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zaei\پرتفو\پرتفوی1404.08.30\پرتفوی مشترک1404.08.30\"/>
    </mc:Choice>
  </mc:AlternateContent>
  <xr:revisionPtr revIDLastSave="0" documentId="13_ncr:1_{82B25DF3-9E96-4627-8996-41E69B46F8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'11'!$A$8:$Q$201</definedName>
    <definedName name="_xlnm.Print_Area" localSheetId="1">'1'!$A$1:$W$204</definedName>
    <definedName name="_xlnm.Print_Area" localSheetId="11">'12'!$A$1:$U$209</definedName>
    <definedName name="_xlnm.Print_Area" localSheetId="6">'7'!$A$1:$I$14</definedName>
    <definedName name="_xlnm.Print_Titles" localSheetId="1">'1'!$1:$10</definedName>
    <definedName name="_xlnm.Print_Titles" localSheetId="9">'10'!$1:$8</definedName>
    <definedName name="_xlnm.Print_Titles" localSheetId="10">'11'!$1:$8</definedName>
    <definedName name="_xlnm.Print_Titles" localSheetId="11">'12'!$1:$8</definedName>
    <definedName name="_xlnm.Print_Titles" localSheetId="7">'8'!$1:$8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6" l="1"/>
  <c r="C9" i="16"/>
  <c r="G16" i="15"/>
  <c r="I12" i="15" s="1"/>
  <c r="C16" i="15"/>
  <c r="E11" i="15" s="1"/>
  <c r="Q9" i="14"/>
  <c r="O9" i="14"/>
  <c r="M9" i="14"/>
  <c r="K9" i="14"/>
  <c r="I9" i="14"/>
  <c r="G9" i="14"/>
  <c r="E9" i="14"/>
  <c r="C9" i="14"/>
  <c r="U208" i="13"/>
  <c r="S208" i="13"/>
  <c r="Q208" i="13"/>
  <c r="O208" i="13"/>
  <c r="M208" i="13"/>
  <c r="K208" i="13"/>
  <c r="I208" i="13"/>
  <c r="G208" i="13"/>
  <c r="E208" i="13"/>
  <c r="C208" i="13"/>
  <c r="Q201" i="12"/>
  <c r="O201" i="12"/>
  <c r="M201" i="12"/>
  <c r="K201" i="12"/>
  <c r="I201" i="12"/>
  <c r="G201" i="12"/>
  <c r="E201" i="12"/>
  <c r="C201" i="12"/>
  <c r="Q139" i="11"/>
  <c r="O139" i="11"/>
  <c r="M139" i="11"/>
  <c r="K139" i="11"/>
  <c r="I139" i="11"/>
  <c r="G139" i="11"/>
  <c r="E139" i="11"/>
  <c r="C139" i="11"/>
  <c r="M16" i="10"/>
  <c r="K16" i="10"/>
  <c r="I16" i="10"/>
  <c r="G16" i="10"/>
  <c r="E16" i="10"/>
  <c r="C16" i="10"/>
  <c r="S83" i="9"/>
  <c r="Q83" i="9"/>
  <c r="O83" i="9"/>
  <c r="M83" i="9"/>
  <c r="K83" i="9"/>
  <c r="I83" i="9"/>
  <c r="E13" i="8"/>
  <c r="G12" i="8"/>
  <c r="G11" i="8"/>
  <c r="G10" i="8"/>
  <c r="I13" i="8"/>
  <c r="G8" i="8"/>
  <c r="K16" i="6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W203" i="2"/>
  <c r="U203" i="2"/>
  <c r="S203" i="2"/>
  <c r="Q203" i="2"/>
  <c r="O203" i="2"/>
  <c r="M203" i="2"/>
  <c r="L203" i="2"/>
  <c r="J203" i="2"/>
  <c r="I203" i="2"/>
  <c r="G203" i="2"/>
  <c r="E203" i="2"/>
  <c r="C203" i="2"/>
  <c r="E13" i="15" l="1"/>
  <c r="E12" i="15"/>
  <c r="E16" i="15" s="1"/>
  <c r="E14" i="15"/>
  <c r="E9" i="15"/>
  <c r="E10" i="15"/>
  <c r="G13" i="8"/>
  <c r="I10" i="15"/>
  <c r="I14" i="15"/>
  <c r="I13" i="15"/>
  <c r="I15" i="15"/>
  <c r="I9" i="15"/>
  <c r="I11" i="15"/>
  <c r="I16" i="15" l="1"/>
</calcChain>
</file>

<file path=xl/sharedStrings.xml><?xml version="1.0" encoding="utf-8"?>
<sst xmlns="http://schemas.openxmlformats.org/spreadsheetml/2006/main" count="1155" uniqueCount="394">
  <si>
    <t>‫شاخصی هم ‏وزن تراز</t>
  </si>
  <si>
    <t>‫صورت وضعیت پورتفوی</t>
  </si>
  <si>
    <t>‫برای ماه منتهی به 1404/08/30</t>
  </si>
  <si>
    <t>‫1- سرمایه گذاری ها</t>
  </si>
  <si>
    <t>‫1-1- سرمایه گذاری در سهام و حق تقدم سهام</t>
  </si>
  <si>
    <t>‫1404/07/30</t>
  </si>
  <si>
    <t>‫تغییرات طی دوره</t>
  </si>
  <si>
    <t>‫1404/08/30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</si>
  <si>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</si>
  <si>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</si>
  <si>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</si>
  <si>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</si>
  <si>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</si>
  <si>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</si>
  <si>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</si>
  <si>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</si>
  <si>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</si>
  <si>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‫آريان كيميا تك</t>
  </si>
  <si>
    <t>‫آلوميناي ايران</t>
  </si>
  <si>
    <t>‫آنتي بيوتيك سازي ايران</t>
  </si>
  <si>
    <t>‫آهن و فولاد غدير ايرانيان</t>
  </si>
  <si>
    <t>‫اخشان خراسان</t>
  </si>
  <si>
    <t>‫ارتباطات سیار</t>
  </si>
  <si>
    <t>‫افست</t>
  </si>
  <si>
    <t>‫اقتصاد نوين</t>
  </si>
  <si>
    <t>‫البرز دارو</t>
  </si>
  <si>
    <t>‫الكتريك خودرو</t>
  </si>
  <si>
    <t>‫املاح ايران</t>
  </si>
  <si>
    <t>‫ايران ترانسفو</t>
  </si>
  <si>
    <t>‫ايران خودرو</t>
  </si>
  <si>
    <t>‫ايمن خودرو شرق</t>
  </si>
  <si>
    <t>‫ایرکا پارت صنعت</t>
  </si>
  <si>
    <t>‫بانك تجارت</t>
  </si>
  <si>
    <t>‫بانك صادرات</t>
  </si>
  <si>
    <t>‫بانك ملت</t>
  </si>
  <si>
    <t>‫برق مپنا</t>
  </si>
  <si>
    <t>‫بهار رز عاليس چناران</t>
  </si>
  <si>
    <t>‫بهمن دیزل</t>
  </si>
  <si>
    <t>‫بيمه آسيا</t>
  </si>
  <si>
    <t>‫بيمه البرز</t>
  </si>
  <si>
    <t>‫بيمه ايران - معين</t>
  </si>
  <si>
    <t>‫بيمه پارسيان</t>
  </si>
  <si>
    <t>‫تامين سرمايه لوتوس پارسيان</t>
  </si>
  <si>
    <t>‫تامين سرمايه نوين</t>
  </si>
  <si>
    <t>‫تامين ماسه</t>
  </si>
  <si>
    <t>‫تايدواتر</t>
  </si>
  <si>
    <t>‫تجارت الکترونیک پارسیان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</si>
  <si>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</si>
  <si>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</si>
  <si>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</si>
  <si>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</si>
  <si>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‫توسعه و عمران اميد</t>
  </si>
  <si>
    <t>‫توكا رنگ فولاد سپاهان</t>
  </si>
  <si>
    <t>‫توليد انرژي برق شمس پاسارگاد</t>
  </si>
  <si>
    <t>‫توليد ژلاتين كپسول ايران</t>
  </si>
  <si>
    <t>‫توليدات پتروشيمي قائد بصير</t>
  </si>
  <si>
    <t>‫توليدي برنا باطري</t>
  </si>
  <si>
    <t>‫توليدي و صنعتي گوهرفام</t>
  </si>
  <si>
    <t>‫توليدي چدن سازان</t>
  </si>
  <si>
    <t>‫حفاري شمال</t>
  </si>
  <si>
    <t>‫حمل و نقل ريلي پارسيان</t>
  </si>
  <si>
    <t>‫خاك چيني</t>
  </si>
  <si>
    <t>‫داده پردازي</t>
  </si>
  <si>
    <t>‫دارو ابوريحان</t>
  </si>
  <si>
    <t>‫داروسازي زاگرس</t>
  </si>
  <si>
    <t>‫داروسازي فارابي</t>
  </si>
  <si>
    <t>‫داروسازي‌ اكسير</t>
  </si>
  <si>
    <t>‫دارويي ره آورد تامين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</si>
  <si>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</si>
  <si>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</si>
  <si>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</si>
  <si>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</si>
  <si>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‫ريل سير كوثر</t>
  </si>
  <si>
    <t>‫س. و توسعه صنايع لاستيك</t>
  </si>
  <si>
    <t>‫سايپا</t>
  </si>
  <si>
    <t>‫سبحان_دارو</t>
  </si>
  <si>
    <t>‫سرمايه گذاري اميد</t>
  </si>
  <si>
    <t>‫سرمايه گذاري تامين اجتماعي</t>
  </si>
  <si>
    <t>‫سرمايه گذاري سپه</t>
  </si>
  <si>
    <t>‫سرمايه گذاري صدرتامين</t>
  </si>
  <si>
    <t>‫سرمايه گذاري غدير</t>
  </si>
  <si>
    <t>‫سرمايه گذاري كشاورزي كوثر</t>
  </si>
  <si>
    <t>‫سرمايه گذاري ملي ايران</t>
  </si>
  <si>
    <t>‫سرمايه گذاري ملي ايران (تقدم)</t>
  </si>
  <si>
    <t>‫سرمايه گذاري پايا تدبيرپارسا</t>
  </si>
  <si>
    <t>‫سرمایه گذاری مسکن تهران</t>
  </si>
  <si>
    <t>‫سنگ آهن گهرزمين</t>
  </si>
  <si>
    <t>‫سيمان اروميه</t>
  </si>
  <si>
    <t>‫سيمان بهبهان</t>
  </si>
  <si>
    <t>‫سيمان تهران</t>
  </si>
  <si>
    <t>‫سيمان خاش</t>
  </si>
  <si>
    <t>‫سيمان خزر</t>
  </si>
  <si>
    <t>‫سيمان ساوه</t>
  </si>
  <si>
    <t>‫سيمان سپاهان</t>
  </si>
  <si>
    <t>‫سيمان شمال</t>
  </si>
  <si>
    <t>‫سيمان صوفيان</t>
  </si>
  <si>
    <t>‫سيمان غرب</t>
  </si>
  <si>
    <t>‫سيمان فارس نو</t>
  </si>
  <si>
    <t>‫سيمان فارس و خوزستان</t>
  </si>
  <si>
    <t>‫سيمان قاين</t>
  </si>
  <si>
    <t>‫سيمان مازندران</t>
  </si>
  <si>
    <t>‫سيمان هگمتان</t>
  </si>
  <si>
    <t>‫سيمرغ</t>
  </si>
  <si>
    <t>‫سينا دارو</t>
  </si>
  <si>
    <t>‫سپيد ماكيان</t>
  </si>
  <si>
    <t>‫شرکت سرمایه گذاری خوارزمی</t>
  </si>
  <si>
    <t>‫شهد ايران</t>
  </si>
  <si>
    <t>‫شير و گوشت زاگرس شهركرد</t>
  </si>
  <si>
    <t>‫شير پاستوريزه پگاه گلپايگان</t>
  </si>
  <si>
    <t>‫شيشه همدان</t>
  </si>
  <si>
    <t>‫شيشه و گاز</t>
  </si>
  <si>
    <t>‫شیشه قزوین</t>
  </si>
  <si>
    <t>‫صنايع ارتباطي آوا</t>
  </si>
  <si>
    <t>‫صنايع غذايي رضوي</t>
  </si>
  <si>
    <t>‫صنايع چوب خزر كاسپين</t>
  </si>
  <si>
    <t>‫صندوق بازنشستگي</t>
  </si>
  <si>
    <t>‫صنعت غذايي كورش</t>
  </si>
  <si>
    <t>‫صنعتي آما</t>
  </si>
  <si>
    <t>‫صنعتي بارز</t>
  </si>
  <si>
    <t>‫صنعتي بهشهر</t>
  </si>
  <si>
    <t>‫صنعتي زر ماكارون</t>
  </si>
  <si>
    <t>‫صنعتي سپاهان</t>
  </si>
  <si>
    <t>‫صنعتی صبانور</t>
  </si>
  <si>
    <t>‫عطرين نخ قم</t>
  </si>
  <si>
    <t>‫عمران فارس</t>
  </si>
  <si>
    <t>‫غذايي مينو</t>
  </si>
  <si>
    <t>‫غلتك سازان سپاهان</t>
  </si>
  <si>
    <t>‫فجر انرژي خليج فارس</t>
  </si>
  <si>
    <t>‫فرآوري زغال سنگ پروده طبس</t>
  </si>
  <si>
    <t>‫فروشگاههاي زنجيره اي افق كوروش</t>
  </si>
  <si>
    <t>‫فن آوران</t>
  </si>
  <si>
    <t>‫فولاد آلياژي ايران</t>
  </si>
  <si>
    <t>‫فولاد خوزستان</t>
  </si>
  <si>
    <t>‫فولاد كاوه</t>
  </si>
  <si>
    <t>‫فولاد مباركه</t>
  </si>
  <si>
    <t>‫قاسم ايران</t>
  </si>
  <si>
    <t>‫قند اصفهان</t>
  </si>
  <si>
    <t>‫قند قزوين</t>
  </si>
  <si>
    <t>‫قند لرستان</t>
  </si>
  <si>
    <t>‫قند هكمتان</t>
  </si>
  <si>
    <t>‫قند پيرانشهر</t>
  </si>
  <si>
    <t>‫قند چهار محال</t>
  </si>
  <si>
    <t>‫كارخانجات داروپخش</t>
  </si>
  <si>
    <t>‫كاشي الوند</t>
  </si>
  <si>
    <t>‫كاشي حافظ</t>
  </si>
  <si>
    <t>‫كاشي وسراميك سينا</t>
  </si>
  <si>
    <t>‫كاشي پارس</t>
  </si>
  <si>
    <t>‫كاني كربن طبس</t>
  </si>
  <si>
    <t>‫كربن</t>
  </si>
  <si>
    <t>‫كشاورزي مكانيزه اصفهان كشت</t>
  </si>
  <si>
    <t>‫كشاورزي و دامپروري بينالود</t>
  </si>
  <si>
    <t>‫كشت و دام قيام اصفهان</t>
  </si>
  <si>
    <t>‫كشت و دامداري فكا</t>
  </si>
  <si>
    <t>‫كشت و صنعت شهداب</t>
  </si>
  <si>
    <t>‫كشتيراني ايران</t>
  </si>
  <si>
    <t>‫كوير تاير</t>
  </si>
  <si>
    <t>‫مجتمع صنايع لاستيك يزد</t>
  </si>
  <si>
    <t>‫مديريت نيروگاهي ايرانيان مپنا</t>
  </si>
  <si>
    <t>‫ملي شيمي كشاورز</t>
  </si>
  <si>
    <t>‫ملي مس</t>
  </si>
  <si>
    <t>‫منگنز ايران</t>
  </si>
  <si>
    <t>‫مهرام</t>
  </si>
  <si>
    <t>‫مهرمام ميهن</t>
  </si>
  <si>
    <t>‫مواداوليه داروپخش</t>
  </si>
  <si>
    <t>‫موتورسازان</t>
  </si>
  <si>
    <t>‫موتوژن</t>
  </si>
  <si>
    <t>‫مپنا</t>
  </si>
  <si>
    <t>‫نخريسي و نساجي خسروي خراسان</t>
  </si>
  <si>
    <t>‫نساجي هديه البرز مشهد</t>
  </si>
  <si>
    <t>‫نسوز آذر</t>
  </si>
  <si>
    <t>‫نشاسته و گلوكز آردينه</t>
  </si>
  <si>
    <t>‫نفت اصفهان</t>
  </si>
  <si>
    <t>‫نفت بندر عباس</t>
  </si>
  <si>
    <t>‫نفت بهران</t>
  </si>
  <si>
    <t>‫نفت تبريز</t>
  </si>
  <si>
    <t>‫نفت سپاهان</t>
  </si>
  <si>
    <t>‫نفت و گاز پارسیان</t>
  </si>
  <si>
    <t>‫نورد قطعات</t>
  </si>
  <si>
    <t>‫نيان الكترونيك</t>
  </si>
  <si>
    <t>‫نيروترانس</t>
  </si>
  <si>
    <t>‫نگين طبس</t>
  </si>
  <si>
    <t>‫همكاران سيستم</t>
  </si>
  <si>
    <t>‫پارس خزر</t>
  </si>
  <si>
    <t>‫پارس سوييچ</t>
  </si>
  <si>
    <t>‫پارس شهاب</t>
  </si>
  <si>
    <t>‫پارس فنر</t>
  </si>
  <si>
    <t>‫پارس فولاد سبزوار</t>
  </si>
  <si>
    <t>‫پارس مينو</t>
  </si>
  <si>
    <t>‫پاکدیس</t>
  </si>
  <si>
    <t>‫پتروشيمي جم</t>
  </si>
  <si>
    <t>‫پتروشيمي نوري</t>
  </si>
  <si>
    <t>‫پتروشيمی پردیس</t>
  </si>
  <si>
    <t>‫پتروشیمی تامین</t>
  </si>
  <si>
    <t>‫پخش البرز</t>
  </si>
  <si>
    <t>‫پخش هجرت</t>
  </si>
  <si>
    <t>‫پديده شيمي قرن</t>
  </si>
  <si>
    <t>‫پرتو بار فرابر خليج فارس</t>
  </si>
  <si>
    <t>‫پست بانك ايران</t>
  </si>
  <si>
    <t>‫پشم شيشه</t>
  </si>
  <si>
    <t>‫پلي پروپيلن جم - جم پيلن</t>
  </si>
  <si>
    <t>‫پمپ ايران</t>
  </si>
  <si>
    <t>‫پگاه آذربايجان</t>
  </si>
  <si>
    <t>‫پگاه اصفهان</t>
  </si>
  <si>
    <t>‫پگاه خراسان</t>
  </si>
  <si>
    <t>‫چادرملو</t>
  </si>
  <si>
    <t>‫کارت اعتباری ایران کیش</t>
  </si>
  <si>
    <t>‫گروه انتخاب الكترونيك آرمان</t>
  </si>
  <si>
    <t>‫گروه مالي مهرگان تامين پارس</t>
  </si>
  <si>
    <t>‫گل گهر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</si>
  <si>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</si>
  <si>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</si>
  <si>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</si>
  <si>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</si>
  <si>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</si>
  <si>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</si>
  <si>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</si>
  <si>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محتشم-17150-4/11/08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</si>
  <si>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</si>
  <si>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</si>
  <si>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</si>
  <si>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</si>
  <si>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</si>
  <si>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</si>
  <si>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</si>
  <si>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</si>
  <si>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</si>
  <si>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</si>
  <si>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</si>
  <si>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</si>
  <si>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</si>
  <si>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</si>
  <si>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</si>
  <si>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</si>
  <si>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</si>
  <si>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</si>
  <si>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</si>
  <si>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</si>
  <si>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</si>
  <si>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</si>
  <si>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</si>
  <si>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</si>
  <si>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</si>
  <si>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‫مبلغ</t>
  </si>
  <si>
    <t>‫افزایش</t>
  </si>
  <si>
    <t>‫کاهش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</si>
  <si>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</si>
  <si>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</si>
  <si>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</si>
  <si>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</si>
  <si>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</si>
  <si>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</si>
  <si>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</si>
  <si>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</si>
  <si>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</si>
  <si>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</si>
  <si>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</si>
  <si>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</si>
  <si>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</si>
  <si>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</si>
  <si>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</si>
  <si>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</si>
  <si>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</si>
  <si>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</si>
  <si>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</si>
  <si>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</si>
  <si>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‫1404/05/14</t>
  </si>
  <si>
    <t>‫1404/03/21</t>
  </si>
  <si>
    <t>‫1404/03/26</t>
  </si>
  <si>
    <t>‫1404/03/12</t>
  </si>
  <si>
    <t>‫1404/04/05</t>
  </si>
  <si>
    <t>‫ايران ياسا</t>
  </si>
  <si>
    <t>‫1404/03/13</t>
  </si>
  <si>
    <t>‫1404/02/31</t>
  </si>
  <si>
    <t>‫1404/05/28</t>
  </si>
  <si>
    <t>‫1404/03/06</t>
  </si>
  <si>
    <t>‫1404/07/06</t>
  </si>
  <si>
    <t>‫1404/04/28</t>
  </si>
  <si>
    <t>‫تراكتور سازي</t>
  </si>
  <si>
    <t>‫1404/05/04</t>
  </si>
  <si>
    <t>‫1404/04/30</t>
  </si>
  <si>
    <t>‫1404/03/01</t>
  </si>
  <si>
    <t>‫1404/04/29</t>
  </si>
  <si>
    <t>‫1404/04/25</t>
  </si>
  <si>
    <t>‫1404/04/04</t>
  </si>
  <si>
    <t>‫1404/05/15</t>
  </si>
  <si>
    <t>‫1404/05/13</t>
  </si>
  <si>
    <t>‫1404/04/22</t>
  </si>
  <si>
    <t>‫زامياد</t>
  </si>
  <si>
    <t>‫1404/08/13</t>
  </si>
  <si>
    <t>‫1404/08/18</t>
  </si>
  <si>
    <t>‫سيمان آبيك</t>
  </si>
  <si>
    <t>‫1404/03/17</t>
  </si>
  <si>
    <t>‫1404/02/13</t>
  </si>
  <si>
    <t>‫1404/02/30</t>
  </si>
  <si>
    <t>‫1404/07/26</t>
  </si>
  <si>
    <t>‫1404/06/03</t>
  </si>
  <si>
    <t>‫صبا فولاد خليج فارس</t>
  </si>
  <si>
    <t>‫1404/01/31</t>
  </si>
  <si>
    <t>‫1404/04/31</t>
  </si>
  <si>
    <t>‫1404/04/19</t>
  </si>
  <si>
    <t>‫صنعتي مينو</t>
  </si>
  <si>
    <t>‫1404/03/25</t>
  </si>
  <si>
    <t>‫1404/05/08</t>
  </si>
  <si>
    <t>‫1404/03/03</t>
  </si>
  <si>
    <t>‫1404/08/24</t>
  </si>
  <si>
    <t>‫1404/03/28</t>
  </si>
  <si>
    <t>‫1404/04/26</t>
  </si>
  <si>
    <t>‫1404/07/15</t>
  </si>
  <si>
    <t>‫لاستيك سهند</t>
  </si>
  <si>
    <t>‫1404/02/20</t>
  </si>
  <si>
    <t>‫ليزينگ اقتصاد نوين</t>
  </si>
  <si>
    <t>‫1404/03/11</t>
  </si>
  <si>
    <t>‫1404/05/05</t>
  </si>
  <si>
    <t>‫1404/05/09</t>
  </si>
  <si>
    <t>‫1404/07/20</t>
  </si>
  <si>
    <t>‫مگسال</t>
  </si>
  <si>
    <t>‫1404/05/12</t>
  </si>
  <si>
    <t>‫1404/03/10</t>
  </si>
  <si>
    <t>‫1404/04/01</t>
  </si>
  <si>
    <t>‫1404/06/23</t>
  </si>
  <si>
    <t>‫1404/02/15</t>
  </si>
  <si>
    <t>‫1404/04/23</t>
  </si>
  <si>
    <t>‫سود اوراق بهادار با درآمد ثابت و سپرده بانکی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</si>
  <si>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</si>
  <si>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</si>
  <si>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</si>
  <si>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</si>
  <si>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</si>
  <si>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</si>
  <si>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</si>
  <si>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</si>
  <si>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</si>
  <si>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</si>
  <si>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</si>
  <si>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</si>
  <si>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</si>
  <si>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</si>
  <si>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</si>
  <si>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</si>
  <si>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</si>
  <si>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‫بهمن ديزل</t>
  </si>
  <si>
    <t>‫بيمه اتكايي ايران معين</t>
  </si>
  <si>
    <t>‫تجارت الكترونيك پارسيان</t>
  </si>
  <si>
    <t>‫توليد مواد اوليه داروپخش</t>
  </si>
  <si>
    <t>‫داروسازي اكسير</t>
  </si>
  <si>
    <t>‫شركت سرمايه گذاري خوارزمي</t>
  </si>
  <si>
    <t>‫شركت سرمايه گذاري مسكن تهران</t>
  </si>
  <si>
    <t>‫شركت پخش البرز</t>
  </si>
  <si>
    <t>‫شيشه قزوين</t>
  </si>
  <si>
    <t>‫صنعتي صبانور</t>
  </si>
  <si>
    <t>‫صنعتي پارس خزر</t>
  </si>
  <si>
    <t>‫كارت اعتباري ايران كيش</t>
  </si>
  <si>
    <t>‫لامپ پارس شهاب</t>
  </si>
  <si>
    <t>‫معادن منگنز ايران</t>
  </si>
  <si>
    <t>‫نفت و گاز پارسيان</t>
  </si>
  <si>
    <t>‫پاكديس</t>
  </si>
  <si>
    <t>‫پتروشيمي تامين</t>
  </si>
  <si>
    <t>‫پتروشيمي فجر</t>
  </si>
  <si>
    <t>‫پتروشيمي پرديس</t>
  </si>
  <si>
    <t>‫پمپ سازي ايران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</si>
  <si>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</si>
  <si>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</si>
  <si>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</si>
  <si>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</si>
  <si>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</si>
  <si>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</si>
  <si>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</si>
  <si>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</si>
  <si>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</si>
  <si>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</si>
  <si>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30 آبان 1404</t>
  </si>
  <si>
    <t>‫%22</t>
  </si>
  <si>
    <t>‫3-1- سرمایه گذاری در  سپرده بانکی و گواهی سپرده</t>
  </si>
  <si>
    <t>‫ بانک پاسارگاد</t>
  </si>
  <si>
    <t>‫ بانک ملي</t>
  </si>
  <si>
    <t>‫ بانک ملت</t>
  </si>
  <si>
    <t>‫ بانک سپه</t>
  </si>
  <si>
    <t>‫ بانک سامان</t>
  </si>
  <si>
    <t>‫ بانک دي</t>
  </si>
  <si>
    <t>‫ بانک خاورميانه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</si>
  <si>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</si>
  <si>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</si>
  <si>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</si>
  <si>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</si>
  <si>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</si>
  <si>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</si>
  <si>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‫بانک ملي</t>
  </si>
  <si>
    <t>‫بانک دي</t>
  </si>
  <si>
    <t>‫بانک پاسارگاد</t>
  </si>
  <si>
    <t>‫بانک سپه</t>
  </si>
  <si>
    <t>‫بانک خاورميانه</t>
  </si>
  <si>
    <t>‫بانک ملت</t>
  </si>
  <si>
    <t>‫بانک سامان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</si>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</sst>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sz val="22"/>
      <color rgb="FFFF0000"/>
      <name val="B Nazanin"/>
      <charset val="178"/>
    </font>
    <font>
      <b/>
      <sz val="14"/>
      <name val="B Nazanin"/>
      <charset val="178"/>
    </font>
    <font>
      <b/>
      <u/>
      <sz val="16"/>
      <name val="B Nazanin"/>
      <charset val="178"/>
    </font>
    <font>
      <sz val="11"/>
      <color indexed="8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1"/>
      <color indexed="8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47">
    <xf numFmtId="0" fontId="0" fillId="0" borderId="0" xfId="0"/>
    <xf numFmtId="0" fontId="11" fillId="0" borderId="0" xfId="0" applyFont="1"/>
    <xf numFmtId="37" fontId="13" fillId="0" borderId="1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right" vertical="center" wrapText="1"/>
    </xf>
    <xf numFmtId="37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7" fontId="13" fillId="0" borderId="3" xfId="0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 wrapText="1"/>
    </xf>
    <xf numFmtId="37" fontId="12" fillId="0" borderId="0" xfId="0" applyNumberFormat="1" applyFont="1" applyAlignment="1">
      <alignment horizontal="center" vertical="center"/>
    </xf>
    <xf numFmtId="37" fontId="12" fillId="0" borderId="0" xfId="0" applyNumberFormat="1" applyFont="1" applyAlignment="1">
      <alignment horizontal="right" vertical="center"/>
    </xf>
    <xf numFmtId="3" fontId="11" fillId="0" borderId="0" xfId="0" applyNumberFormat="1" applyFont="1"/>
    <xf numFmtId="37" fontId="11" fillId="0" borderId="0" xfId="0" applyNumberFormat="1" applyFont="1" applyAlignment="1">
      <alignment horizontal="right" vertical="center" wrapText="1"/>
    </xf>
    <xf numFmtId="37" fontId="11" fillId="0" borderId="0" xfId="0" applyNumberFormat="1" applyFont="1" applyFill="1" applyAlignment="1">
      <alignment horizontal="right" vertical="center" wrapText="1"/>
    </xf>
    <xf numFmtId="0" fontId="11" fillId="0" borderId="0" xfId="0" applyFont="1" applyFill="1"/>
    <xf numFmtId="37" fontId="13" fillId="0" borderId="0" xfId="0" applyNumberFormat="1" applyFont="1" applyFill="1" applyAlignment="1">
      <alignment horizontal="center" vertical="center"/>
    </xf>
    <xf numFmtId="37" fontId="11" fillId="0" borderId="0" xfId="0" applyNumberFormat="1" applyFont="1" applyAlignment="1">
      <alignment horizontal="center" vertical="center" wrapText="1"/>
    </xf>
    <xf numFmtId="37" fontId="10" fillId="0" borderId="0" xfId="0" applyNumberFormat="1" applyFont="1" applyAlignment="1">
      <alignment horizontal="center" vertical="center"/>
    </xf>
    <xf numFmtId="0" fontId="11" fillId="0" borderId="0" xfId="0" applyFont="1"/>
    <xf numFmtId="37" fontId="12" fillId="0" borderId="0" xfId="0" applyNumberFormat="1" applyFont="1" applyAlignment="1">
      <alignment horizontal="right" vertical="center"/>
    </xf>
    <xf numFmtId="37" fontId="12" fillId="0" borderId="1" xfId="0" applyNumberFormat="1" applyFont="1" applyBorder="1" applyAlignment="1">
      <alignment horizontal="center" vertical="center"/>
    </xf>
    <xf numFmtId="0" fontId="11" fillId="2" borderId="2" xfId="0" applyNumberFormat="1" applyFont="1" applyFill="1" applyBorder="1"/>
    <xf numFmtId="0" fontId="13" fillId="0" borderId="0" xfId="0" applyFont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center" vertical="center" wrapText="1"/>
    </xf>
    <xf numFmtId="37" fontId="13" fillId="0" borderId="0" xfId="0" applyNumberFormat="1" applyFont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right" vertical="center"/>
    </xf>
    <xf numFmtId="0" fontId="14" fillId="0" borderId="0" xfId="0" applyFont="1"/>
    <xf numFmtId="37" fontId="13" fillId="0" borderId="5" xfId="0" applyNumberFormat="1" applyFont="1" applyBorder="1" applyAlignment="1">
      <alignment horizontal="center" vertical="center"/>
    </xf>
    <xf numFmtId="0" fontId="11" fillId="2" borderId="7" xfId="0" applyNumberFormat="1" applyFont="1" applyFill="1" applyBorder="1"/>
    <xf numFmtId="0" fontId="11" fillId="2" borderId="8" xfId="0" applyNumberFormat="1" applyFont="1" applyFill="1" applyBorder="1"/>
    <xf numFmtId="37" fontId="0" fillId="0" borderId="0" xfId="0" applyNumberFormat="1" applyFont="1" applyAlignment="1">
      <alignment horizontal="center" vertical="center"/>
    </xf>
    <xf numFmtId="0" fontId="2" fillId="3" borderId="6" xfId="1" applyFont="1" applyFill="1"/>
    <xf numFmtId="0" fontId="11" fillId="3" borderId="0" xfId="0" applyFont="1" applyFill="1"/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7" fillId="3" borderId="6" xfId="1" applyFont="1" applyFill="1" applyAlignment="1">
      <alignment horizontal="center"/>
    </xf>
    <xf numFmtId="0" fontId="8" fillId="3" borderId="6" xfId="1" applyFont="1" applyFill="1" applyAlignment="1">
      <alignment horizontal="center" vertical="center" wrapText="1"/>
    </xf>
    <xf numFmtId="0" fontId="7" fillId="3" borderId="6" xfId="1" applyFont="1" applyFill="1"/>
    <xf numFmtId="0" fontId="9" fillId="3" borderId="6" xfId="1" applyFont="1" applyFill="1" applyAlignment="1">
      <alignment horizontal="center"/>
    </xf>
  </cellXfs>
  <cellStyles count="2">
    <cellStyle name="Normal" xfId="0" builtinId="0"/>
    <cellStyle name="Normal 2" xfId="1" xr:uid="{6127162D-7CD5-40BA-9A03-CB94787991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activeCell="AL14" sqref="AL14"/>
    </sheetView>
  </sheetViews>
  <sheetFormatPr defaultRowHeight="18" x14ac:dyDescent="0.45"/>
  <cols>
    <col min="1" max="16384" width="9.140625" style="38"/>
  </cols>
  <sheetData>
    <row r="1" spans="1:11" x14ac:dyDescent="0.4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4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4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45">
      <c r="A4" s="39" t="s">
        <v>368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5" spans="1:11" x14ac:dyDescent="0.4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1" x14ac:dyDescent="0.4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1" x14ac:dyDescent="0.4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</row>
    <row r="8" spans="1:11" x14ac:dyDescent="0.4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1" ht="48" customHeight="1" x14ac:dyDescent="0.4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</row>
    <row r="10" spans="1:11" x14ac:dyDescent="0.45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0"/>
    </row>
    <row r="11" spans="1:11" x14ac:dyDescent="0.4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spans="1:11" x14ac:dyDescent="0.4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</row>
    <row r="13" spans="1:11" ht="30" x14ac:dyDescent="0.75">
      <c r="A13" s="37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ht="25.5" x14ac:dyDescent="0.65">
      <c r="A14" s="37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1" ht="15" customHeight="1" x14ac:dyDescent="0.45">
      <c r="A15" s="44" t="s">
        <v>370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</row>
    <row r="16" spans="1:11" ht="15" customHeight="1" x14ac:dyDescent="0.4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</row>
    <row r="17" spans="1:11" ht="15" customHeight="1" x14ac:dyDescent="0.4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</row>
    <row r="18" spans="1:11" ht="15" customHeight="1" x14ac:dyDescent="0.4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</row>
    <row r="19" spans="1:11" ht="15" customHeight="1" x14ac:dyDescent="0.4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</row>
    <row r="20" spans="1:11" ht="15" customHeight="1" x14ac:dyDescent="0.4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</row>
    <row r="21" spans="1:11" x14ac:dyDescent="0.4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 spans="1:11" ht="39.950000000000003" customHeight="1" x14ac:dyDescent="0.65">
      <c r="A22" s="37"/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spans="1:11" ht="39.950000000000003" customHeight="1" x14ac:dyDescent="0.6">
      <c r="A23" s="37"/>
      <c r="B23" s="46"/>
      <c r="C23" s="46"/>
      <c r="D23" s="46"/>
      <c r="E23" s="46"/>
      <c r="F23" s="46"/>
      <c r="G23" s="46"/>
      <c r="H23" s="46"/>
      <c r="I23" s="46"/>
      <c r="J23" s="46"/>
      <c r="K23" s="46"/>
    </row>
    <row r="24" spans="1:11" ht="39.950000000000003" customHeight="1" x14ac:dyDescent="0.65">
      <c r="A24" s="37"/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 spans="1:11" x14ac:dyDescent="0.45">
      <c r="A25" s="44" t="s">
        <v>369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</row>
    <row r="26" spans="1:11" x14ac:dyDescent="0.4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</row>
    <row r="27" spans="1:11" x14ac:dyDescent="0.4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</row>
    <row r="28" spans="1:11" x14ac:dyDescent="0.4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</row>
    <row r="29" spans="1:11" x14ac:dyDescent="0.4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</row>
    <row r="30" spans="1:11" x14ac:dyDescent="0.4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spans="1:11" x14ac:dyDescent="0.4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</row>
    <row r="32" spans="1:11" x14ac:dyDescent="0.4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09"/>
  <sheetViews>
    <sheetView rightToLeft="1" view="pageBreakPreview" topLeftCell="B190" zoomScale="106" zoomScaleNormal="100" zoomScaleSheetLayoutView="106" workbookViewId="0">
      <selection activeCell="AL14" sqref="AL14"/>
    </sheetView>
  </sheetViews>
  <sheetFormatPr defaultRowHeight="18" x14ac:dyDescent="0.45"/>
  <cols>
    <col min="1" max="1" width="18" style="1" bestFit="1" customWidth="1"/>
    <col min="2" max="2" width="1.42578125" style="1" customWidth="1"/>
    <col min="3" max="3" width="15.140625" style="1" bestFit="1" customWidth="1"/>
    <col min="4" max="4" width="1.42578125" style="1" customWidth="1"/>
    <col min="5" max="5" width="19.7109375" style="1" bestFit="1" customWidth="1"/>
    <col min="6" max="6" width="1.42578125" style="1" customWidth="1"/>
    <col min="7" max="7" width="19.42578125" style="1" bestFit="1" customWidth="1"/>
    <col min="8" max="8" width="1.42578125" style="1" customWidth="1"/>
    <col min="9" max="9" width="12.5703125" style="1" bestFit="1" customWidth="1"/>
    <col min="10" max="10" width="17" style="1" customWidth="1"/>
    <col min="11" max="11" width="1.42578125" style="1" customWidth="1"/>
    <col min="12" max="12" width="13.7109375" style="1" bestFit="1" customWidth="1"/>
    <col min="13" max="13" width="17.7109375" style="1" bestFit="1" customWidth="1"/>
    <col min="14" max="14" width="1.42578125" style="1" customWidth="1"/>
    <col min="15" max="15" width="14" style="1" bestFit="1" customWidth="1"/>
    <col min="16" max="16" width="1.42578125" style="1" customWidth="1"/>
    <col min="17" max="17" width="14.85546875" style="1" bestFit="1" customWidth="1"/>
    <col min="18" max="18" width="1.42578125" style="1" customWidth="1"/>
    <col min="19" max="19" width="19.85546875" style="1" bestFit="1" customWidth="1"/>
    <col min="20" max="20" width="1.42578125" style="1" customWidth="1"/>
    <col min="21" max="21" width="19.7109375" style="1" bestFit="1" customWidth="1"/>
    <col min="22" max="22" width="1.42578125" style="1" customWidth="1"/>
    <col min="23" max="23" width="17.28515625" style="1" bestFit="1" customWidth="1"/>
    <col min="24" max="16384" width="9.140625" style="1"/>
  </cols>
  <sheetData>
    <row r="1" spans="1:26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6" ht="20.100000000000001" customHeight="1" x14ac:dyDescent="0.4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6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6" ht="21" x14ac:dyDescent="0.45">
      <c r="A5" s="23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6" ht="21" x14ac:dyDescent="0.45">
      <c r="A6" s="23" t="s">
        <v>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8" spans="1:26" ht="21" x14ac:dyDescent="0.45">
      <c r="C8" s="24" t="s">
        <v>5</v>
      </c>
      <c r="D8" s="25"/>
      <c r="E8" s="25"/>
      <c r="F8" s="25"/>
      <c r="G8" s="25"/>
      <c r="I8" s="24" t="s">
        <v>6</v>
      </c>
      <c r="J8" s="25"/>
      <c r="K8" s="25"/>
      <c r="L8" s="25"/>
      <c r="M8" s="25"/>
      <c r="O8" s="24" t="s">
        <v>7</v>
      </c>
      <c r="P8" s="25"/>
      <c r="Q8" s="25"/>
      <c r="R8" s="25"/>
      <c r="S8" s="25"/>
      <c r="T8" s="25"/>
      <c r="U8" s="25"/>
      <c r="V8" s="25"/>
      <c r="W8" s="25"/>
    </row>
    <row r="9" spans="1:26" ht="18.75" x14ac:dyDescent="0.45">
      <c r="A9" s="26" t="s">
        <v>8</v>
      </c>
      <c r="C9" s="26" t="s">
        <v>9</v>
      </c>
      <c r="E9" s="26" t="s">
        <v>10</v>
      </c>
      <c r="G9" s="26" t="s">
        <v>11</v>
      </c>
      <c r="I9" s="26" t="s">
        <v>12</v>
      </c>
      <c r="J9" s="22"/>
      <c r="L9" s="26" t="s">
        <v>13</v>
      </c>
      <c r="M9" s="22"/>
      <c r="O9" s="26" t="s">
        <v>9</v>
      </c>
      <c r="Q9" s="28" t="s">
        <v>14</v>
      </c>
      <c r="S9" s="26" t="s">
        <v>10</v>
      </c>
      <c r="U9" s="26" t="s">
        <v>11</v>
      </c>
      <c r="W9" s="28" t="s">
        <v>15</v>
      </c>
      <c r="Z9" s="15"/>
    </row>
    <row r="10" spans="1:26" ht="18.75" x14ac:dyDescent="0.45">
      <c r="A10" s="27"/>
      <c r="C10" s="27"/>
      <c r="E10" s="27"/>
      <c r="G10" s="27"/>
      <c r="I10" s="2" t="s">
        <v>9</v>
      </c>
      <c r="J10" s="2" t="s">
        <v>10</v>
      </c>
      <c r="L10" s="2" t="s">
        <v>9</v>
      </c>
      <c r="M10" s="2" t="s">
        <v>16</v>
      </c>
      <c r="O10" s="27"/>
      <c r="Q10" s="27"/>
      <c r="S10" s="27"/>
      <c r="U10" s="27"/>
      <c r="W10" s="27"/>
    </row>
    <row r="11" spans="1:26" ht="18.75" x14ac:dyDescent="0.45">
      <c r="A11" s="3" t="s">
        <v>17</v>
      </c>
      <c r="C11" s="4">
        <v>1183678</v>
      </c>
      <c r="E11" s="4">
        <v>9974996868</v>
      </c>
      <c r="G11" s="4">
        <v>10060230241</v>
      </c>
      <c r="I11" s="4">
        <v>0</v>
      </c>
      <c r="J11" s="4">
        <v>0</v>
      </c>
      <c r="L11" s="4">
        <v>10400</v>
      </c>
      <c r="M11" s="4">
        <v>95937785</v>
      </c>
      <c r="O11" s="4">
        <v>1173278</v>
      </c>
      <c r="Q11" s="4">
        <v>9130</v>
      </c>
      <c r="S11" s="4">
        <v>9887354817</v>
      </c>
      <c r="U11" s="4">
        <v>10699076676</v>
      </c>
      <c r="W11" s="5">
        <v>2.9181998239583592E-3</v>
      </c>
    </row>
    <row r="12" spans="1:26" ht="18.75" x14ac:dyDescent="0.45">
      <c r="A12" s="3" t="s">
        <v>18</v>
      </c>
      <c r="C12" s="4">
        <v>108909</v>
      </c>
      <c r="E12" s="4">
        <v>9972240615</v>
      </c>
      <c r="G12" s="4">
        <v>12901462351</v>
      </c>
      <c r="N12" s="6"/>
      <c r="O12" s="4">
        <v>108909</v>
      </c>
      <c r="Q12" s="4">
        <v>105920</v>
      </c>
      <c r="S12" s="4">
        <v>9972240615</v>
      </c>
      <c r="U12" s="4">
        <v>11449712787</v>
      </c>
      <c r="W12" s="5">
        <v>3.1229376937121764E-3</v>
      </c>
    </row>
    <row r="13" spans="1:26" ht="37.5" x14ac:dyDescent="0.45">
      <c r="A13" s="3" t="s">
        <v>19</v>
      </c>
      <c r="C13" s="4">
        <v>50000</v>
      </c>
      <c r="E13" s="4">
        <v>1000908000</v>
      </c>
      <c r="G13" s="4">
        <v>1530837000</v>
      </c>
      <c r="N13" s="6"/>
      <c r="O13" s="4">
        <v>50000</v>
      </c>
      <c r="Q13" s="4">
        <v>27250</v>
      </c>
      <c r="S13" s="4">
        <v>1000908000</v>
      </c>
      <c r="U13" s="4">
        <v>1364371250</v>
      </c>
      <c r="W13" s="5">
        <v>3.7213565825685712E-4</v>
      </c>
    </row>
    <row r="14" spans="1:26" ht="37.5" x14ac:dyDescent="0.45">
      <c r="A14" s="3" t="s">
        <v>20</v>
      </c>
      <c r="C14" s="4">
        <v>5085974</v>
      </c>
      <c r="E14" s="4">
        <v>22096571620</v>
      </c>
      <c r="G14" s="4">
        <v>23660734288</v>
      </c>
      <c r="I14" s="4">
        <v>0</v>
      </c>
      <c r="J14" s="4">
        <v>0</v>
      </c>
      <c r="L14" s="4">
        <v>238100</v>
      </c>
      <c r="M14" s="4">
        <v>1061698051</v>
      </c>
      <c r="O14" s="4">
        <v>4847874</v>
      </c>
      <c r="Q14" s="4">
        <v>4430</v>
      </c>
      <c r="S14" s="4">
        <v>21062120067</v>
      </c>
      <c r="U14" s="4">
        <v>21497677305</v>
      </c>
      <c r="W14" s="5">
        <v>5.8635450540970233E-3</v>
      </c>
    </row>
    <row r="15" spans="1:26" ht="18.75" x14ac:dyDescent="0.45">
      <c r="A15" s="3" t="s">
        <v>21</v>
      </c>
      <c r="C15" s="4">
        <v>245000</v>
      </c>
      <c r="E15" s="4">
        <v>1829159370</v>
      </c>
      <c r="G15" s="4">
        <v>2269813770</v>
      </c>
      <c r="N15" s="6"/>
      <c r="O15" s="4">
        <v>245000</v>
      </c>
      <c r="Q15" s="4">
        <v>11020</v>
      </c>
      <c r="S15" s="4">
        <v>1829159370</v>
      </c>
      <c r="U15" s="4">
        <v>2693616142</v>
      </c>
      <c r="W15" s="5">
        <v>7.3469051483931948E-4</v>
      </c>
    </row>
    <row r="16" spans="1:26" ht="18.75" x14ac:dyDescent="0.45">
      <c r="A16" s="3" t="s">
        <v>22</v>
      </c>
      <c r="C16" s="4">
        <v>2124125</v>
      </c>
      <c r="E16" s="4">
        <v>8803931592</v>
      </c>
      <c r="G16" s="4">
        <v>9831080940</v>
      </c>
      <c r="N16" s="6"/>
      <c r="O16" s="4">
        <v>2124125</v>
      </c>
      <c r="Q16" s="4">
        <v>4543</v>
      </c>
      <c r="S16" s="4">
        <v>8803931592</v>
      </c>
      <c r="U16" s="4">
        <v>9583736971</v>
      </c>
      <c r="W16" s="5">
        <v>2.6139881401514896E-3</v>
      </c>
    </row>
    <row r="17" spans="1:23" ht="18.75" x14ac:dyDescent="0.45">
      <c r="A17" s="3" t="s">
        <v>23</v>
      </c>
      <c r="C17" s="4">
        <v>2598170</v>
      </c>
      <c r="E17" s="4">
        <v>24857803647</v>
      </c>
      <c r="G17" s="4">
        <v>26911847458</v>
      </c>
      <c r="N17" s="6"/>
      <c r="O17" s="4">
        <v>2598170</v>
      </c>
      <c r="Q17" s="4">
        <v>10970</v>
      </c>
      <c r="S17" s="4">
        <v>24857803647</v>
      </c>
      <c r="U17" s="4">
        <v>28023796406</v>
      </c>
      <c r="W17" s="5">
        <v>7.64356030105659E-3</v>
      </c>
    </row>
    <row r="18" spans="1:23" ht="18.75" x14ac:dyDescent="0.45">
      <c r="A18" s="3" t="s">
        <v>24</v>
      </c>
      <c r="C18" s="4">
        <v>6200000</v>
      </c>
      <c r="E18" s="4">
        <v>23409875494</v>
      </c>
      <c r="G18" s="4">
        <v>26082281520</v>
      </c>
      <c r="I18" s="4">
        <v>0</v>
      </c>
      <c r="J18" s="4">
        <v>0</v>
      </c>
      <c r="L18" s="4">
        <v>400000</v>
      </c>
      <c r="M18" s="4">
        <v>1710259372</v>
      </c>
      <c r="O18" s="4">
        <v>5800000</v>
      </c>
      <c r="Q18" s="4">
        <v>4392</v>
      </c>
      <c r="S18" s="4">
        <v>21899560946</v>
      </c>
      <c r="U18" s="4">
        <v>25098278926</v>
      </c>
      <c r="W18" s="5">
        <v>6.8456181184125761E-3</v>
      </c>
    </row>
    <row r="19" spans="1:23" ht="18.75" x14ac:dyDescent="0.45">
      <c r="A19" s="3" t="s">
        <v>25</v>
      </c>
      <c r="C19" s="4">
        <v>2800000</v>
      </c>
      <c r="E19" s="4">
        <v>10433055504</v>
      </c>
      <c r="G19" s="4">
        <v>11403343980</v>
      </c>
      <c r="N19" s="6"/>
      <c r="O19" s="4">
        <v>2800000</v>
      </c>
      <c r="Q19" s="4">
        <v>4122</v>
      </c>
      <c r="S19" s="4">
        <v>10433055504</v>
      </c>
      <c r="U19" s="4">
        <v>11477388636</v>
      </c>
      <c r="W19" s="5">
        <v>3.1304863504912107E-3</v>
      </c>
    </row>
    <row r="20" spans="1:23" ht="18.75" x14ac:dyDescent="0.45">
      <c r="A20" s="3" t="s">
        <v>26</v>
      </c>
      <c r="C20" s="4">
        <v>7326393</v>
      </c>
      <c r="E20" s="4">
        <v>28896418385</v>
      </c>
      <c r="G20" s="4">
        <v>17784599948</v>
      </c>
      <c r="I20" s="4">
        <v>0</v>
      </c>
      <c r="J20" s="4">
        <v>0</v>
      </c>
      <c r="L20" s="4">
        <v>73938</v>
      </c>
      <c r="M20" s="4">
        <v>207999545</v>
      </c>
      <c r="O20" s="4">
        <v>7252455</v>
      </c>
      <c r="Q20" s="4">
        <v>2641</v>
      </c>
      <c r="S20" s="4">
        <v>28604795566</v>
      </c>
      <c r="U20" s="4">
        <v>18955300539</v>
      </c>
      <c r="W20" s="5">
        <v>5.1701054559287465E-3</v>
      </c>
    </row>
    <row r="21" spans="1:23" ht="18.75" x14ac:dyDescent="0.45">
      <c r="A21" s="3" t="s">
        <v>27</v>
      </c>
      <c r="C21" s="4">
        <v>2350568</v>
      </c>
      <c r="E21" s="4">
        <v>33250970246</v>
      </c>
      <c r="G21" s="4">
        <v>36917997502</v>
      </c>
      <c r="I21" s="4">
        <v>0</v>
      </c>
      <c r="J21" s="4">
        <v>0</v>
      </c>
      <c r="L21" s="4">
        <v>288857</v>
      </c>
      <c r="M21" s="4">
        <v>4603320144</v>
      </c>
      <c r="O21" s="4">
        <v>2061711</v>
      </c>
      <c r="Q21" s="4">
        <v>16320</v>
      </c>
      <c r="S21" s="4">
        <v>29164819361</v>
      </c>
      <c r="U21" s="4">
        <v>33837101529</v>
      </c>
      <c r="W21" s="5">
        <v>9.2291537592854734E-3</v>
      </c>
    </row>
    <row r="22" spans="1:23" ht="18.75" x14ac:dyDescent="0.45">
      <c r="A22" s="3" t="s">
        <v>28</v>
      </c>
      <c r="C22" s="4">
        <v>6665950</v>
      </c>
      <c r="E22" s="4">
        <v>12143287523</v>
      </c>
      <c r="G22" s="4">
        <v>24749184177</v>
      </c>
      <c r="I22" s="4">
        <v>4032335</v>
      </c>
      <c r="J22" s="4">
        <v>15030510153</v>
      </c>
      <c r="L22" s="4">
        <v>0</v>
      </c>
      <c r="M22" s="4">
        <v>0</v>
      </c>
      <c r="O22" s="4">
        <v>10698285</v>
      </c>
      <c r="Q22" s="4">
        <v>3252</v>
      </c>
      <c r="S22" s="4">
        <v>27173797676</v>
      </c>
      <c r="U22" s="4">
        <v>34447580649</v>
      </c>
      <c r="W22" s="5">
        <v>9.3956634604927276E-3</v>
      </c>
    </row>
    <row r="23" spans="1:23" ht="18.75" x14ac:dyDescent="0.45">
      <c r="A23" s="3" t="s">
        <v>29</v>
      </c>
      <c r="C23" s="4">
        <v>40000000</v>
      </c>
      <c r="E23" s="4">
        <v>16293963299</v>
      </c>
      <c r="G23" s="4">
        <v>21153384000</v>
      </c>
      <c r="I23" s="4">
        <v>0</v>
      </c>
      <c r="J23" s="4">
        <v>0</v>
      </c>
      <c r="L23" s="4">
        <v>6000000</v>
      </c>
      <c r="M23" s="4">
        <v>3306608080</v>
      </c>
      <c r="O23" s="4">
        <v>34000000</v>
      </c>
      <c r="Q23" s="4">
        <v>532</v>
      </c>
      <c r="S23" s="4">
        <v>13849868804</v>
      </c>
      <c r="U23" s="4">
        <v>18083128480</v>
      </c>
      <c r="W23" s="5">
        <v>4.9322183535076098E-3</v>
      </c>
    </row>
    <row r="24" spans="1:23" ht="18.75" x14ac:dyDescent="0.45">
      <c r="A24" s="3" t="s">
        <v>30</v>
      </c>
      <c r="C24" s="4">
        <v>1750000</v>
      </c>
      <c r="E24" s="4">
        <v>4291393050</v>
      </c>
      <c r="G24" s="4">
        <v>7532413875</v>
      </c>
      <c r="N24" s="6"/>
      <c r="O24" s="4">
        <v>1750000</v>
      </c>
      <c r="Q24" s="4">
        <v>3574</v>
      </c>
      <c r="S24" s="4">
        <v>4291393050</v>
      </c>
      <c r="U24" s="4">
        <v>6277348087</v>
      </c>
      <c r="W24" s="5">
        <v>1.7121623329890362E-3</v>
      </c>
    </row>
    <row r="25" spans="1:23" ht="18.75" x14ac:dyDescent="0.45">
      <c r="A25" s="3" t="s">
        <v>31</v>
      </c>
      <c r="C25" s="4">
        <v>11109504</v>
      </c>
      <c r="E25" s="4">
        <v>22471173750</v>
      </c>
      <c r="G25" s="4">
        <v>18298917862</v>
      </c>
      <c r="I25" s="4">
        <v>0</v>
      </c>
      <c r="J25" s="4">
        <v>0</v>
      </c>
      <c r="L25" s="4">
        <v>2000000</v>
      </c>
      <c r="M25" s="4">
        <v>3095471759</v>
      </c>
      <c r="O25" s="4">
        <v>9109504</v>
      </c>
      <c r="Q25" s="4">
        <v>1535</v>
      </c>
      <c r="S25" s="4">
        <v>18425777349</v>
      </c>
      <c r="U25" s="4">
        <v>13902116627</v>
      </c>
      <c r="W25" s="5">
        <v>3.7918369521142015E-3</v>
      </c>
    </row>
    <row r="26" spans="1:23" ht="18.75" x14ac:dyDescent="0.45">
      <c r="A26" s="3" t="s">
        <v>32</v>
      </c>
      <c r="C26" s="4">
        <v>28966397</v>
      </c>
      <c r="E26" s="4">
        <v>11160852097</v>
      </c>
      <c r="G26" s="4">
        <v>13475613967</v>
      </c>
      <c r="N26" s="6"/>
      <c r="O26" s="4">
        <v>28966397</v>
      </c>
      <c r="Q26" s="4">
        <v>469</v>
      </c>
      <c r="S26" s="4">
        <v>11160852097</v>
      </c>
      <c r="U26" s="4">
        <v>13480226286</v>
      </c>
      <c r="W26" s="5">
        <v>3.6767653103156476E-3</v>
      </c>
    </row>
    <row r="27" spans="1:23" ht="18.75" x14ac:dyDescent="0.45">
      <c r="A27" s="3" t="s">
        <v>33</v>
      </c>
      <c r="C27" s="4">
        <v>40800000</v>
      </c>
      <c r="E27" s="4">
        <v>21017261457</v>
      </c>
      <c r="G27" s="4">
        <v>23442084720</v>
      </c>
      <c r="I27" s="4">
        <v>0</v>
      </c>
      <c r="J27" s="4">
        <v>0</v>
      </c>
      <c r="L27" s="4">
        <v>5200000</v>
      </c>
      <c r="M27" s="4">
        <v>3054914562</v>
      </c>
      <c r="O27" s="4">
        <v>35600000</v>
      </c>
      <c r="Q27" s="4">
        <v>555</v>
      </c>
      <c r="S27" s="4">
        <v>18338590879</v>
      </c>
      <c r="U27" s="4">
        <v>19534621036</v>
      </c>
      <c r="W27" s="5">
        <v>5.3281165650698866E-3</v>
      </c>
    </row>
    <row r="28" spans="1:23" ht="18.75" x14ac:dyDescent="0.45">
      <c r="A28" s="3" t="s">
        <v>34</v>
      </c>
      <c r="C28" s="4">
        <v>25180938</v>
      </c>
      <c r="E28" s="4">
        <v>25869502354</v>
      </c>
      <c r="G28" s="4">
        <v>30638080377</v>
      </c>
      <c r="I28" s="4">
        <v>0</v>
      </c>
      <c r="J28" s="4">
        <v>0</v>
      </c>
      <c r="L28" s="4">
        <v>11200000</v>
      </c>
      <c r="M28" s="4">
        <v>14076543488</v>
      </c>
      <c r="O28" s="4">
        <v>13980938</v>
      </c>
      <c r="Q28" s="4">
        <v>1189</v>
      </c>
      <c r="S28" s="4">
        <v>14363242088</v>
      </c>
      <c r="U28" s="4">
        <v>16564201227</v>
      </c>
      <c r="W28" s="5">
        <v>4.5179271603008973E-3</v>
      </c>
    </row>
    <row r="29" spans="1:23" ht="18.75" x14ac:dyDescent="0.45">
      <c r="A29" s="3" t="s">
        <v>35</v>
      </c>
      <c r="C29" s="4">
        <v>5060139</v>
      </c>
      <c r="E29" s="4">
        <v>21069522683</v>
      </c>
      <c r="G29" s="4">
        <v>24129059537</v>
      </c>
      <c r="N29" s="6"/>
      <c r="O29" s="4">
        <v>5060139</v>
      </c>
      <c r="Q29" s="4">
        <v>4698</v>
      </c>
      <c r="S29" s="4">
        <v>21069522683</v>
      </c>
      <c r="U29" s="4">
        <v>23649023631</v>
      </c>
      <c r="W29" s="5">
        <v>6.4503301253629863E-3</v>
      </c>
    </row>
    <row r="30" spans="1:23" ht="18.75" x14ac:dyDescent="0.45">
      <c r="A30" s="3" t="s">
        <v>36</v>
      </c>
      <c r="C30" s="4">
        <v>8769241</v>
      </c>
      <c r="E30" s="4">
        <v>36816758080</v>
      </c>
      <c r="G30" s="4">
        <v>37544394717</v>
      </c>
      <c r="I30" s="4">
        <v>0</v>
      </c>
      <c r="J30" s="4">
        <v>0</v>
      </c>
      <c r="L30" s="4">
        <v>195351</v>
      </c>
      <c r="M30" s="4">
        <v>979299072</v>
      </c>
      <c r="O30" s="4">
        <v>8573890</v>
      </c>
      <c r="Q30" s="4">
        <v>5350</v>
      </c>
      <c r="S30" s="4">
        <v>35996596962</v>
      </c>
      <c r="U30" s="4">
        <v>45430657854</v>
      </c>
      <c r="W30" s="5">
        <v>1.2391325136424816E-2</v>
      </c>
    </row>
    <row r="31" spans="1:23" ht="18.75" x14ac:dyDescent="0.45">
      <c r="A31" s="3" t="s">
        <v>37</v>
      </c>
      <c r="C31" s="4">
        <v>26443829</v>
      </c>
      <c r="E31" s="4">
        <v>38200298482</v>
      </c>
      <c r="G31" s="4">
        <v>39929175602</v>
      </c>
      <c r="I31" s="4">
        <v>0</v>
      </c>
      <c r="J31" s="4">
        <v>0</v>
      </c>
      <c r="L31" s="4">
        <v>9112413</v>
      </c>
      <c r="M31" s="4">
        <v>13719118279</v>
      </c>
      <c r="O31" s="4">
        <v>17331416</v>
      </c>
      <c r="Q31" s="4">
        <v>1384</v>
      </c>
      <c r="S31" s="4">
        <v>25036664105</v>
      </c>
      <c r="U31" s="4">
        <v>23801262710</v>
      </c>
      <c r="W31" s="5">
        <v>6.4918537135183968E-3</v>
      </c>
    </row>
    <row r="32" spans="1:23" ht="18.75" x14ac:dyDescent="0.45">
      <c r="A32" s="3" t="s">
        <v>38</v>
      </c>
      <c r="C32" s="4">
        <v>9313038</v>
      </c>
      <c r="E32" s="4">
        <v>12506542821</v>
      </c>
      <c r="G32" s="4">
        <v>14006787266</v>
      </c>
      <c r="N32" s="6"/>
      <c r="O32" s="4">
        <v>9313038</v>
      </c>
      <c r="Q32" s="4">
        <v>1870</v>
      </c>
      <c r="S32" s="4">
        <v>12506542821</v>
      </c>
      <c r="U32" s="4">
        <v>17253037020</v>
      </c>
      <c r="W32" s="5">
        <v>4.7058088393225998E-3</v>
      </c>
    </row>
    <row r="33" spans="1:23" ht="18.75" x14ac:dyDescent="0.45">
      <c r="A33" s="3" t="s">
        <v>39</v>
      </c>
      <c r="C33" s="4">
        <v>9169979</v>
      </c>
      <c r="E33" s="4">
        <v>19362075938</v>
      </c>
      <c r="G33" s="4">
        <v>19771340829</v>
      </c>
      <c r="N33" s="6"/>
      <c r="O33" s="4">
        <v>9169979</v>
      </c>
      <c r="Q33" s="4">
        <v>2304</v>
      </c>
      <c r="S33" s="4">
        <v>19362075938</v>
      </c>
      <c r="U33" s="4">
        <v>20900621358</v>
      </c>
      <c r="W33" s="5">
        <v>5.7006965567741597E-3</v>
      </c>
    </row>
    <row r="34" spans="1:23" ht="18.75" x14ac:dyDescent="0.45">
      <c r="A34" s="3" t="s">
        <v>40</v>
      </c>
      <c r="C34" s="4">
        <v>2875000</v>
      </c>
      <c r="E34" s="4">
        <v>4907321845</v>
      </c>
      <c r="G34" s="4">
        <v>5772945375</v>
      </c>
      <c r="N34" s="6"/>
      <c r="O34" s="4">
        <v>2875000</v>
      </c>
      <c r="Q34" s="4">
        <v>1986</v>
      </c>
      <c r="S34" s="4">
        <v>4907321845</v>
      </c>
      <c r="U34" s="4">
        <v>5677024737</v>
      </c>
      <c r="W34" s="5">
        <v>1.5484226433560191E-3</v>
      </c>
    </row>
    <row r="35" spans="1:23" ht="18.75" x14ac:dyDescent="0.45">
      <c r="A35" s="3" t="s">
        <v>41</v>
      </c>
      <c r="C35" s="4">
        <v>7665640</v>
      </c>
      <c r="E35" s="4">
        <v>10065817059</v>
      </c>
      <c r="G35" s="4">
        <v>10607080983</v>
      </c>
      <c r="N35" s="6"/>
      <c r="O35" s="4">
        <v>7665640</v>
      </c>
      <c r="Q35" s="4">
        <v>1407</v>
      </c>
      <c r="S35" s="4">
        <v>10065817059</v>
      </c>
      <c r="U35" s="4">
        <v>10588087367</v>
      </c>
      <c r="W35" s="5">
        <v>2.8879272133590164E-3</v>
      </c>
    </row>
    <row r="36" spans="1:23" ht="37.5" x14ac:dyDescent="0.45">
      <c r="A36" s="3" t="s">
        <v>42</v>
      </c>
      <c r="C36" s="4">
        <v>8791020</v>
      </c>
      <c r="E36" s="4">
        <v>19419675973</v>
      </c>
      <c r="G36" s="4">
        <v>19644627793</v>
      </c>
      <c r="N36" s="6"/>
      <c r="O36" s="4">
        <v>8791020</v>
      </c>
      <c r="Q36" s="4">
        <v>2310</v>
      </c>
      <c r="S36" s="4">
        <v>19419675973</v>
      </c>
      <c r="U36" s="4">
        <v>20499203726</v>
      </c>
      <c r="W36" s="5">
        <v>5.5912088973704395E-3</v>
      </c>
    </row>
    <row r="37" spans="1:23" ht="18.75" x14ac:dyDescent="0.45">
      <c r="A37" s="3" t="s">
        <v>43</v>
      </c>
      <c r="C37" s="4">
        <v>12393399</v>
      </c>
      <c r="E37" s="4">
        <v>18510273240</v>
      </c>
      <c r="G37" s="4">
        <v>19292584860</v>
      </c>
      <c r="N37" s="6"/>
      <c r="O37" s="4">
        <v>12393399</v>
      </c>
      <c r="Q37" s="4">
        <v>1494</v>
      </c>
      <c r="S37" s="4">
        <v>18510273240</v>
      </c>
      <c r="U37" s="4">
        <v>18606265813</v>
      </c>
      <c r="W37" s="5">
        <v>5.0749053646672862E-3</v>
      </c>
    </row>
    <row r="38" spans="1:23" ht="18.75" x14ac:dyDescent="0.45">
      <c r="A38" s="3" t="s">
        <v>44</v>
      </c>
      <c r="C38" s="4">
        <v>6249989</v>
      </c>
      <c r="E38" s="4">
        <v>21936716227</v>
      </c>
      <c r="G38" s="4">
        <v>21626762249</v>
      </c>
      <c r="I38" s="4">
        <v>0</v>
      </c>
      <c r="J38" s="4">
        <v>0</v>
      </c>
      <c r="L38" s="4">
        <v>1600000</v>
      </c>
      <c r="M38" s="4">
        <v>5894620558</v>
      </c>
      <c r="O38" s="4">
        <v>4649989</v>
      </c>
      <c r="Q38" s="4">
        <v>3335</v>
      </c>
      <c r="S38" s="4">
        <v>16320906989</v>
      </c>
      <c r="U38" s="4">
        <v>15392452736</v>
      </c>
      <c r="W38" s="5">
        <v>4.1983298395498452E-3</v>
      </c>
    </row>
    <row r="39" spans="1:23" ht="18.75" x14ac:dyDescent="0.45">
      <c r="A39" s="3" t="s">
        <v>45</v>
      </c>
      <c r="C39" s="4">
        <v>4112494</v>
      </c>
      <c r="E39" s="4">
        <v>15648979964</v>
      </c>
      <c r="G39" s="4">
        <v>27675926953</v>
      </c>
      <c r="I39" s="4">
        <v>0</v>
      </c>
      <c r="J39" s="4">
        <v>0</v>
      </c>
      <c r="L39" s="4">
        <v>600000</v>
      </c>
      <c r="M39" s="4">
        <v>4461661386</v>
      </c>
      <c r="O39" s="4">
        <v>3512494</v>
      </c>
      <c r="Q39" s="4">
        <v>7270</v>
      </c>
      <c r="S39" s="4">
        <v>13365842778</v>
      </c>
      <c r="U39" s="4">
        <v>25024758586</v>
      </c>
      <c r="W39" s="5">
        <v>6.8255652624753319E-3</v>
      </c>
    </row>
    <row r="40" spans="1:23" ht="37.5" x14ac:dyDescent="0.45">
      <c r="A40" s="3" t="s">
        <v>46</v>
      </c>
      <c r="C40" s="4">
        <v>9360312</v>
      </c>
      <c r="E40" s="4">
        <v>17860706169</v>
      </c>
      <c r="G40" s="4">
        <v>19372214975</v>
      </c>
      <c r="I40" s="4">
        <v>0</v>
      </c>
      <c r="J40" s="4">
        <v>0</v>
      </c>
      <c r="L40" s="4">
        <v>1200000</v>
      </c>
      <c r="M40" s="4">
        <v>2819921121</v>
      </c>
      <c r="O40" s="4">
        <v>8160312</v>
      </c>
      <c r="Q40" s="4">
        <v>2735</v>
      </c>
      <c r="S40" s="4">
        <v>15570948370</v>
      </c>
      <c r="U40" s="4">
        <v>22186417840</v>
      </c>
      <c r="W40" s="5">
        <v>6.0514007512618559E-3</v>
      </c>
    </row>
    <row r="41" spans="1:23" ht="18.75" x14ac:dyDescent="0.45">
      <c r="A41" s="3" t="s">
        <v>47</v>
      </c>
      <c r="C41" s="4">
        <v>1916567</v>
      </c>
      <c r="E41" s="4">
        <v>6930571783</v>
      </c>
      <c r="G41" s="4">
        <v>6687123626</v>
      </c>
      <c r="N41" s="6"/>
      <c r="O41" s="4">
        <v>1916567</v>
      </c>
      <c r="Q41" s="4">
        <v>3293</v>
      </c>
      <c r="S41" s="4">
        <v>6930571783</v>
      </c>
      <c r="U41" s="4">
        <v>6311914679</v>
      </c>
      <c r="W41" s="5">
        <v>1.7215904570920737E-3</v>
      </c>
    </row>
    <row r="42" spans="1:23" ht="18.75" x14ac:dyDescent="0.45">
      <c r="A42" s="3" t="s">
        <v>48</v>
      </c>
      <c r="C42" s="4">
        <v>9400000</v>
      </c>
      <c r="E42" s="4">
        <v>20124120011</v>
      </c>
      <c r="G42" s="4">
        <v>16781949720</v>
      </c>
      <c r="N42" s="6"/>
      <c r="O42" s="4">
        <v>9400000</v>
      </c>
      <c r="Q42" s="4">
        <v>2291</v>
      </c>
      <c r="S42" s="4">
        <v>20124120011</v>
      </c>
      <c r="U42" s="4">
        <v>21396913372</v>
      </c>
      <c r="W42" s="5">
        <v>5.8360614402818648E-3</v>
      </c>
    </row>
    <row r="43" spans="1:23" ht="37.5" x14ac:dyDescent="0.45">
      <c r="A43" s="3" t="s">
        <v>49</v>
      </c>
      <c r="C43" s="4">
        <v>842177</v>
      </c>
      <c r="E43" s="4">
        <v>2001916090</v>
      </c>
      <c r="G43" s="4">
        <v>3531166386</v>
      </c>
      <c r="N43" s="6"/>
      <c r="O43" s="4">
        <v>842177</v>
      </c>
      <c r="Q43" s="4">
        <v>4042</v>
      </c>
      <c r="S43" s="4">
        <v>2001916090</v>
      </c>
      <c r="U43" s="4">
        <v>3388629571</v>
      </c>
      <c r="W43" s="5">
        <v>9.2425715947381355E-4</v>
      </c>
    </row>
    <row r="44" spans="1:23" ht="37.5" x14ac:dyDescent="0.45">
      <c r="A44" s="3" t="s">
        <v>50</v>
      </c>
      <c r="C44" s="4">
        <v>285750</v>
      </c>
      <c r="E44" s="4">
        <v>12123197874</v>
      </c>
      <c r="G44" s="4">
        <v>14486539162</v>
      </c>
      <c r="N44" s="6"/>
      <c r="O44" s="4">
        <v>285750</v>
      </c>
      <c r="Q44" s="4">
        <v>57200</v>
      </c>
      <c r="S44" s="4">
        <v>12123197874</v>
      </c>
      <c r="U44" s="4">
        <v>16090960404</v>
      </c>
      <c r="W44" s="5">
        <v>4.3888495465787365E-3</v>
      </c>
    </row>
    <row r="45" spans="1:23" ht="18.75" x14ac:dyDescent="0.45">
      <c r="A45" s="3" t="s">
        <v>51</v>
      </c>
      <c r="C45" s="4">
        <v>10896746</v>
      </c>
      <c r="E45" s="4">
        <v>17903509122</v>
      </c>
      <c r="G45" s="4">
        <v>20580629686</v>
      </c>
      <c r="I45" s="4">
        <v>0</v>
      </c>
      <c r="J45" s="4">
        <v>0</v>
      </c>
      <c r="L45" s="4">
        <v>400000</v>
      </c>
      <c r="M45" s="4">
        <v>691452375</v>
      </c>
      <c r="O45" s="4">
        <v>10496746</v>
      </c>
      <c r="Q45" s="4">
        <v>1690</v>
      </c>
      <c r="S45" s="4">
        <v>17246303416</v>
      </c>
      <c r="U45" s="4">
        <v>17800270916</v>
      </c>
      <c r="W45" s="5">
        <v>4.8550682480857383E-3</v>
      </c>
    </row>
    <row r="46" spans="1:23" ht="18.75" x14ac:dyDescent="0.45">
      <c r="A46" s="3" t="s">
        <v>52</v>
      </c>
      <c r="C46" s="4">
        <v>1648155</v>
      </c>
      <c r="E46" s="4">
        <v>11910020869</v>
      </c>
      <c r="G46" s="4">
        <v>13041253883</v>
      </c>
      <c r="N46" s="6"/>
      <c r="O46" s="4">
        <v>1648155</v>
      </c>
      <c r="Q46" s="4">
        <v>7690</v>
      </c>
      <c r="S46" s="4">
        <v>11910020869</v>
      </c>
      <c r="U46" s="4">
        <v>12625401961</v>
      </c>
      <c r="W46" s="5">
        <v>3.4436098455711008E-3</v>
      </c>
    </row>
    <row r="47" spans="1:23" ht="37.5" x14ac:dyDescent="0.45">
      <c r="A47" s="3" t="s">
        <v>53</v>
      </c>
      <c r="C47" s="4">
        <v>250000</v>
      </c>
      <c r="E47" s="4">
        <v>800726400</v>
      </c>
      <c r="G47" s="4">
        <v>1117312200</v>
      </c>
      <c r="N47" s="6"/>
      <c r="O47" s="4">
        <v>250000</v>
      </c>
      <c r="Q47" s="4">
        <v>4771</v>
      </c>
      <c r="S47" s="4">
        <v>800726400</v>
      </c>
      <c r="U47" s="4">
        <v>1180801300</v>
      </c>
      <c r="W47" s="5">
        <v>3.2206649696411632E-4</v>
      </c>
    </row>
    <row r="48" spans="1:23" ht="37.5" x14ac:dyDescent="0.45">
      <c r="A48" s="3" t="s">
        <v>54</v>
      </c>
      <c r="C48" s="4">
        <v>239400</v>
      </c>
      <c r="E48" s="4">
        <v>29093734827</v>
      </c>
      <c r="G48" s="4">
        <v>28426181836</v>
      </c>
      <c r="I48" s="4">
        <v>0</v>
      </c>
      <c r="J48" s="4">
        <v>0</v>
      </c>
      <c r="L48" s="4">
        <v>125000</v>
      </c>
      <c r="M48" s="4">
        <v>15020018103</v>
      </c>
      <c r="O48" s="4">
        <v>114400</v>
      </c>
      <c r="Q48" s="4">
        <v>119900</v>
      </c>
      <c r="S48" s="4">
        <v>13902770527</v>
      </c>
      <c r="U48" s="4">
        <v>13616206776</v>
      </c>
      <c r="W48" s="5">
        <v>3.713854327807214E-3</v>
      </c>
    </row>
    <row r="49" spans="1:23" ht="37.5" x14ac:dyDescent="0.45">
      <c r="A49" s="3" t="s">
        <v>55</v>
      </c>
      <c r="C49" s="4">
        <v>3600000</v>
      </c>
      <c r="E49" s="4">
        <v>36450079432</v>
      </c>
      <c r="G49" s="4">
        <v>43479747000</v>
      </c>
      <c r="I49" s="4">
        <v>0</v>
      </c>
      <c r="J49" s="4">
        <v>0</v>
      </c>
      <c r="L49" s="4">
        <v>671794</v>
      </c>
      <c r="M49" s="4">
        <v>8180806042</v>
      </c>
      <c r="O49" s="4">
        <v>2928206</v>
      </c>
      <c r="Q49" s="4">
        <v>12110</v>
      </c>
      <c r="S49" s="4">
        <v>29648150360</v>
      </c>
      <c r="U49" s="4">
        <v>35070241579</v>
      </c>
      <c r="W49" s="5">
        <v>9.5654957807328207E-3</v>
      </c>
    </row>
    <row r="50" spans="1:23" ht="18.75" x14ac:dyDescent="0.45">
      <c r="A50" s="3" t="s">
        <v>56</v>
      </c>
      <c r="C50" s="4">
        <v>1000000</v>
      </c>
      <c r="E50" s="4">
        <v>6555947400</v>
      </c>
      <c r="G50" s="4">
        <v>6908647500</v>
      </c>
      <c r="I50" s="4">
        <v>3493622</v>
      </c>
      <c r="J50" s="4">
        <v>24932142546</v>
      </c>
      <c r="L50" s="4">
        <v>1053822</v>
      </c>
      <c r="M50" s="4">
        <v>7139423105</v>
      </c>
      <c r="O50" s="4">
        <v>3439800</v>
      </c>
      <c r="Q50" s="4">
        <v>6890</v>
      </c>
      <c r="S50" s="4">
        <v>24103658874</v>
      </c>
      <c r="U50" s="4">
        <v>23551151387</v>
      </c>
      <c r="W50" s="5">
        <v>6.4236352269282562E-3</v>
      </c>
    </row>
    <row r="51" spans="1:23" ht="37.5" x14ac:dyDescent="0.45">
      <c r="A51" s="3" t="s">
        <v>57</v>
      </c>
      <c r="C51" s="4">
        <v>3742054</v>
      </c>
      <c r="E51" s="4">
        <v>7179669122</v>
      </c>
      <c r="G51" s="4">
        <v>7435857769</v>
      </c>
      <c r="N51" s="6"/>
      <c r="O51" s="4">
        <v>3742054</v>
      </c>
      <c r="Q51" s="4">
        <v>2433</v>
      </c>
      <c r="S51" s="4">
        <v>7179669122</v>
      </c>
      <c r="U51" s="4">
        <v>9156573457</v>
      </c>
      <c r="W51" s="5">
        <v>2.4974782272771875E-3</v>
      </c>
    </row>
    <row r="52" spans="1:23" ht="18.75" x14ac:dyDescent="0.45">
      <c r="A52" s="3" t="s">
        <v>58</v>
      </c>
      <c r="C52" s="4">
        <v>28400000</v>
      </c>
      <c r="E52" s="4">
        <v>52885171123</v>
      </c>
      <c r="G52" s="4">
        <v>42741764280</v>
      </c>
      <c r="N52" s="6"/>
      <c r="O52" s="4">
        <v>28400000</v>
      </c>
      <c r="Q52" s="4">
        <v>1543</v>
      </c>
      <c r="S52" s="4">
        <v>52885171123</v>
      </c>
      <c r="U52" s="4">
        <v>43876988676</v>
      </c>
      <c r="W52" s="5">
        <v>1.196755799660241E-2</v>
      </c>
    </row>
    <row r="53" spans="1:23" ht="18.75" x14ac:dyDescent="0.45">
      <c r="A53" s="3" t="s">
        <v>59</v>
      </c>
      <c r="C53" s="4">
        <v>4103659</v>
      </c>
      <c r="E53" s="4">
        <v>17039703252</v>
      </c>
      <c r="G53" s="4">
        <v>19192834687</v>
      </c>
      <c r="N53" s="6"/>
      <c r="O53" s="4">
        <v>4103659</v>
      </c>
      <c r="Q53" s="4">
        <v>4202</v>
      </c>
      <c r="S53" s="4">
        <v>17039703252</v>
      </c>
      <c r="U53" s="4">
        <v>17256872040</v>
      </c>
      <c r="W53" s="5">
        <v>4.7068548505839244E-3</v>
      </c>
    </row>
    <row r="54" spans="1:23" ht="37.5" x14ac:dyDescent="0.45">
      <c r="A54" s="3" t="s">
        <v>60</v>
      </c>
      <c r="C54" s="4">
        <v>4954671</v>
      </c>
      <c r="E54" s="4">
        <v>36023926711</v>
      </c>
      <c r="G54" s="4">
        <v>28566106104</v>
      </c>
      <c r="N54" s="6"/>
      <c r="O54" s="4">
        <v>4954671</v>
      </c>
      <c r="Q54" s="4">
        <v>6710</v>
      </c>
      <c r="S54" s="4">
        <v>36023926711</v>
      </c>
      <c r="U54" s="4">
        <v>33087179476</v>
      </c>
      <c r="W54" s="5">
        <v>9.0246106506304876E-3</v>
      </c>
    </row>
    <row r="55" spans="1:23" ht="18.75" x14ac:dyDescent="0.45">
      <c r="A55" s="3" t="s">
        <v>61</v>
      </c>
      <c r="C55" s="4">
        <v>952156</v>
      </c>
      <c r="E55" s="4">
        <v>16386702084</v>
      </c>
      <c r="G55" s="4">
        <v>19071787037</v>
      </c>
      <c r="I55" s="4">
        <v>0</v>
      </c>
      <c r="J55" s="4">
        <v>0</v>
      </c>
      <c r="L55" s="4">
        <v>53463</v>
      </c>
      <c r="M55" s="4">
        <v>1087356472</v>
      </c>
      <c r="O55" s="4">
        <v>898693</v>
      </c>
      <c r="Q55" s="4">
        <v>19660</v>
      </c>
      <c r="S55" s="4">
        <v>15466598389</v>
      </c>
      <c r="U55" s="4">
        <v>17522810926</v>
      </c>
      <c r="W55" s="5">
        <v>4.779390344422354E-3</v>
      </c>
    </row>
    <row r="56" spans="1:23" ht="18.75" x14ac:dyDescent="0.45">
      <c r="A56" s="3" t="s">
        <v>62</v>
      </c>
      <c r="C56" s="4">
        <v>5493797</v>
      </c>
      <c r="E56" s="4">
        <v>17139790837</v>
      </c>
      <c r="G56" s="4">
        <v>19081114524</v>
      </c>
      <c r="I56" s="4">
        <v>0</v>
      </c>
      <c r="J56" s="4">
        <v>0</v>
      </c>
      <c r="L56" s="4">
        <v>133690</v>
      </c>
      <c r="M56" s="4">
        <v>506682641</v>
      </c>
      <c r="O56" s="4">
        <v>5360107</v>
      </c>
      <c r="Q56" s="4">
        <v>3794</v>
      </c>
      <c r="S56" s="4">
        <v>16722698863</v>
      </c>
      <c r="U56" s="4">
        <v>19679091480</v>
      </c>
      <c r="W56" s="5">
        <v>5.3675212386707126E-3</v>
      </c>
    </row>
    <row r="57" spans="1:23" ht="18.75" x14ac:dyDescent="0.45">
      <c r="A57" s="3" t="s">
        <v>63</v>
      </c>
      <c r="C57" s="4">
        <v>40025</v>
      </c>
      <c r="E57" s="4">
        <v>688267606</v>
      </c>
      <c r="G57" s="4">
        <v>978756541</v>
      </c>
      <c r="N57" s="6"/>
      <c r="O57" s="4">
        <v>40025</v>
      </c>
      <c r="Q57" s="4">
        <v>24000</v>
      </c>
      <c r="S57" s="4">
        <v>688267606</v>
      </c>
      <c r="U57" s="4">
        <v>957543279</v>
      </c>
      <c r="W57" s="5">
        <v>2.6117231540909001E-4</v>
      </c>
    </row>
    <row r="58" spans="1:23" ht="18.75" x14ac:dyDescent="0.45">
      <c r="A58" s="3" t="s">
        <v>64</v>
      </c>
      <c r="C58" s="4">
        <v>4805523</v>
      </c>
      <c r="E58" s="4">
        <v>19674950673</v>
      </c>
      <c r="G58" s="4">
        <v>21477077901</v>
      </c>
      <c r="I58" s="4">
        <v>0</v>
      </c>
      <c r="J58" s="4">
        <v>0</v>
      </c>
      <c r="L58" s="4">
        <v>800000</v>
      </c>
      <c r="M58" s="4">
        <v>4000057255</v>
      </c>
      <c r="O58" s="4">
        <v>4005523</v>
      </c>
      <c r="Q58" s="4">
        <v>5286</v>
      </c>
      <c r="S58" s="4">
        <v>16399560973</v>
      </c>
      <c r="U58" s="4">
        <v>20906187216</v>
      </c>
      <c r="W58" s="5">
        <v>5.7022146584129879E-3</v>
      </c>
    </row>
    <row r="59" spans="1:23" ht="18.75" x14ac:dyDescent="0.45">
      <c r="A59" s="3" t="s">
        <v>65</v>
      </c>
      <c r="C59" s="4">
        <v>8264837</v>
      </c>
      <c r="E59" s="4">
        <v>40239365212</v>
      </c>
      <c r="G59" s="4">
        <v>40010270141</v>
      </c>
      <c r="I59" s="4">
        <v>0</v>
      </c>
      <c r="J59" s="4">
        <v>0</v>
      </c>
      <c r="L59" s="4">
        <v>1400000</v>
      </c>
      <c r="M59" s="4">
        <v>8439484605</v>
      </c>
      <c r="O59" s="4">
        <v>6864837</v>
      </c>
      <c r="Q59" s="4">
        <v>5790</v>
      </c>
      <c r="S59" s="4">
        <v>33423125364</v>
      </c>
      <c r="U59" s="4">
        <v>39303923344</v>
      </c>
      <c r="W59" s="5">
        <v>1.0720243031870169E-2</v>
      </c>
    </row>
    <row r="60" spans="1:23" ht="18.75" x14ac:dyDescent="0.45">
      <c r="A60" s="3" t="s">
        <v>66</v>
      </c>
      <c r="C60" s="4">
        <v>3008904</v>
      </c>
      <c r="E60" s="4">
        <v>18362719446</v>
      </c>
      <c r="G60" s="4">
        <v>20817367108</v>
      </c>
      <c r="I60" s="4">
        <v>0</v>
      </c>
      <c r="J60" s="4">
        <v>0</v>
      </c>
      <c r="L60" s="4">
        <v>179966</v>
      </c>
      <c r="M60" s="4">
        <v>1551021426</v>
      </c>
      <c r="O60" s="4">
        <v>2828938</v>
      </c>
      <c r="Q60" s="4">
        <v>8740</v>
      </c>
      <c r="S60" s="4">
        <v>17264424131</v>
      </c>
      <c r="U60" s="4">
        <v>24842572237</v>
      </c>
      <c r="W60" s="5">
        <v>6.7758734818030783E-3</v>
      </c>
    </row>
    <row r="61" spans="1:23" ht="18.75" x14ac:dyDescent="0.45">
      <c r="A61" s="3" t="s">
        <v>67</v>
      </c>
      <c r="C61" s="4">
        <v>2232181</v>
      </c>
      <c r="E61" s="4">
        <v>19841676456</v>
      </c>
      <c r="G61" s="4">
        <v>21123923459</v>
      </c>
      <c r="N61" s="6"/>
      <c r="O61" s="4">
        <v>2232181</v>
      </c>
      <c r="Q61" s="4">
        <v>9120</v>
      </c>
      <c r="S61" s="4">
        <v>19841676456</v>
      </c>
      <c r="U61" s="4">
        <v>20288724366</v>
      </c>
      <c r="W61" s="5">
        <v>5.5338001274457711E-3</v>
      </c>
    </row>
    <row r="62" spans="1:23" ht="37.5" x14ac:dyDescent="0.45">
      <c r="A62" s="3" t="s">
        <v>68</v>
      </c>
      <c r="C62" s="4">
        <v>272374</v>
      </c>
      <c r="E62" s="4">
        <v>6749678917</v>
      </c>
      <c r="G62" s="4">
        <v>10315703576</v>
      </c>
      <c r="N62" s="6"/>
      <c r="O62" s="4">
        <v>272374</v>
      </c>
      <c r="Q62" s="4">
        <v>35750</v>
      </c>
      <c r="S62" s="4">
        <v>6749678917</v>
      </c>
      <c r="U62" s="4">
        <v>9635073771</v>
      </c>
      <c r="W62" s="5">
        <v>2.6279903802755031E-3</v>
      </c>
    </row>
    <row r="63" spans="1:23" ht="18.75" x14ac:dyDescent="0.45">
      <c r="A63" s="3" t="s">
        <v>69</v>
      </c>
      <c r="C63" s="4">
        <v>1472602</v>
      </c>
      <c r="E63" s="4">
        <v>19497472672</v>
      </c>
      <c r="G63" s="4">
        <v>14814060983</v>
      </c>
      <c r="N63" s="6"/>
      <c r="O63" s="4">
        <v>1472602</v>
      </c>
      <c r="Q63" s="4">
        <v>11190</v>
      </c>
      <c r="S63" s="4">
        <v>19497472672</v>
      </c>
      <c r="U63" s="4">
        <v>16409486973</v>
      </c>
      <c r="W63" s="5">
        <v>4.4757284619964515E-3</v>
      </c>
    </row>
    <row r="64" spans="1:23" ht="18.75" x14ac:dyDescent="0.45">
      <c r="A64" s="3" t="s">
        <v>70</v>
      </c>
      <c r="C64" s="4">
        <v>20299343</v>
      </c>
      <c r="E64" s="4">
        <v>53326799803</v>
      </c>
      <c r="G64" s="4">
        <v>39529802780</v>
      </c>
      <c r="I64" s="4">
        <v>0</v>
      </c>
      <c r="J64" s="4">
        <v>0</v>
      </c>
      <c r="L64" s="4">
        <v>4800000</v>
      </c>
      <c r="M64" s="4">
        <v>8327783410</v>
      </c>
      <c r="O64" s="4">
        <v>15499343</v>
      </c>
      <c r="Q64" s="4">
        <v>1688</v>
      </c>
      <c r="S64" s="4">
        <v>40717099132</v>
      </c>
      <c r="U64" s="4">
        <v>26299001564</v>
      </c>
      <c r="W64" s="5">
        <v>7.1731182099573371E-3</v>
      </c>
    </row>
    <row r="65" spans="1:23" ht="37.5" x14ac:dyDescent="0.45">
      <c r="A65" s="3" t="s">
        <v>71</v>
      </c>
      <c r="C65" s="4">
        <v>9631957</v>
      </c>
      <c r="E65" s="4">
        <v>28057695627</v>
      </c>
      <c r="G65" s="4">
        <v>22289777880</v>
      </c>
      <c r="I65" s="4">
        <v>0</v>
      </c>
      <c r="J65" s="4">
        <v>0</v>
      </c>
      <c r="L65" s="4">
        <v>2622202</v>
      </c>
      <c r="M65" s="4">
        <v>5913458044</v>
      </c>
      <c r="O65" s="4">
        <v>7009755</v>
      </c>
      <c r="Q65" s="4">
        <v>2083</v>
      </c>
      <c r="S65" s="4">
        <v>20419274318</v>
      </c>
      <c r="U65" s="4">
        <v>14599740577</v>
      </c>
      <c r="W65" s="5">
        <v>3.9821156228564926E-3</v>
      </c>
    </row>
    <row r="66" spans="1:23" ht="18.75" x14ac:dyDescent="0.45">
      <c r="A66" s="3" t="s">
        <v>72</v>
      </c>
      <c r="C66" s="4">
        <v>8445149</v>
      </c>
      <c r="E66" s="4">
        <v>25327695745</v>
      </c>
      <c r="G66" s="4">
        <v>27098738373</v>
      </c>
      <c r="I66" s="4">
        <v>0</v>
      </c>
      <c r="J66" s="4">
        <v>0</v>
      </c>
      <c r="L66" s="4">
        <v>400000</v>
      </c>
      <c r="M66" s="4">
        <v>1330436533</v>
      </c>
      <c r="O66" s="4">
        <v>8045149</v>
      </c>
      <c r="Q66" s="4">
        <v>3637</v>
      </c>
      <c r="S66" s="4">
        <v>24128062879</v>
      </c>
      <c r="U66" s="4">
        <v>29161752874</v>
      </c>
      <c r="W66" s="5">
        <v>7.9539407633294704E-3</v>
      </c>
    </row>
    <row r="67" spans="1:23" ht="37.5" x14ac:dyDescent="0.45">
      <c r="A67" s="3" t="s">
        <v>73</v>
      </c>
      <c r="H67" s="6"/>
      <c r="I67" s="4">
        <v>1125000</v>
      </c>
      <c r="J67" s="4">
        <v>9864145434</v>
      </c>
      <c r="L67" s="4">
        <v>562500</v>
      </c>
      <c r="M67" s="4">
        <v>5893474057</v>
      </c>
      <c r="O67" s="4">
        <v>562500</v>
      </c>
      <c r="Q67" s="4">
        <v>10190</v>
      </c>
      <c r="S67" s="4">
        <v>4931974167</v>
      </c>
      <c r="U67" s="4">
        <v>5654078494</v>
      </c>
      <c r="W67" s="5">
        <v>1.5421639983989909E-3</v>
      </c>
    </row>
    <row r="68" spans="1:23" ht="18.75" x14ac:dyDescent="0.45">
      <c r="A68" s="3" t="s">
        <v>74</v>
      </c>
      <c r="C68" s="4">
        <v>29200000</v>
      </c>
      <c r="E68" s="4">
        <v>11438604653</v>
      </c>
      <c r="G68" s="4">
        <v>14019683580</v>
      </c>
      <c r="I68" s="4">
        <v>0</v>
      </c>
      <c r="J68" s="4">
        <v>0</v>
      </c>
      <c r="L68" s="4">
        <v>3600000</v>
      </c>
      <c r="M68" s="4">
        <v>1829029226</v>
      </c>
      <c r="O68" s="4">
        <v>25600000</v>
      </c>
      <c r="Q68" s="4">
        <v>483</v>
      </c>
      <c r="S68" s="4">
        <v>10028365723</v>
      </c>
      <c r="U68" s="4">
        <v>12320024320</v>
      </c>
      <c r="W68" s="5">
        <v>3.3603173330306458E-3</v>
      </c>
    </row>
    <row r="69" spans="1:23" ht="18.75" x14ac:dyDescent="0.45">
      <c r="A69" s="3" t="s">
        <v>75</v>
      </c>
      <c r="C69" s="4">
        <v>10240020</v>
      </c>
      <c r="E69" s="4">
        <v>26120875248</v>
      </c>
      <c r="G69" s="4">
        <v>26536892534</v>
      </c>
      <c r="N69" s="6"/>
      <c r="O69" s="4">
        <v>10240020</v>
      </c>
      <c r="Q69" s="4">
        <v>2665</v>
      </c>
      <c r="S69" s="4">
        <v>26120875248</v>
      </c>
      <c r="U69" s="4">
        <v>28125273338</v>
      </c>
      <c r="W69" s="5">
        <v>7.6712383871256912E-3</v>
      </c>
    </row>
    <row r="70" spans="1:23" ht="18.75" x14ac:dyDescent="0.45">
      <c r="A70" s="3" t="s">
        <v>76</v>
      </c>
      <c r="C70" s="4">
        <v>1975883</v>
      </c>
      <c r="E70" s="4">
        <v>24989771818</v>
      </c>
      <c r="G70" s="4">
        <v>27340640826</v>
      </c>
      <c r="N70" s="6"/>
      <c r="O70" s="4">
        <v>1975883</v>
      </c>
      <c r="Q70" s="4">
        <v>13590</v>
      </c>
      <c r="S70" s="4">
        <v>24989771818</v>
      </c>
      <c r="U70" s="4">
        <v>26879955209</v>
      </c>
      <c r="W70" s="5">
        <v>7.3315747642850506E-3</v>
      </c>
    </row>
    <row r="71" spans="1:23" ht="37.5" x14ac:dyDescent="0.45">
      <c r="A71" s="3" t="s">
        <v>77</v>
      </c>
      <c r="C71" s="4">
        <v>17200000</v>
      </c>
      <c r="E71" s="4">
        <v>22869603023</v>
      </c>
      <c r="G71" s="4">
        <v>24500946780</v>
      </c>
      <c r="I71" s="4">
        <v>0</v>
      </c>
      <c r="J71" s="4">
        <v>0</v>
      </c>
      <c r="L71" s="4">
        <v>7540929</v>
      </c>
      <c r="M71" s="4">
        <v>9697730171</v>
      </c>
      <c r="O71" s="4">
        <v>9659071</v>
      </c>
      <c r="Q71" s="4">
        <v>1310</v>
      </c>
      <c r="S71" s="4">
        <v>12842972054</v>
      </c>
      <c r="U71" s="4">
        <v>12766429300</v>
      </c>
      <c r="W71" s="5">
        <v>3.4820754037034477E-3</v>
      </c>
    </row>
    <row r="72" spans="1:23" ht="18.75" x14ac:dyDescent="0.45">
      <c r="A72" s="3" t="s">
        <v>78</v>
      </c>
      <c r="C72" s="4">
        <v>2000000</v>
      </c>
      <c r="E72" s="4">
        <v>13632639300</v>
      </c>
      <c r="G72" s="4">
        <v>13996224000</v>
      </c>
      <c r="I72" s="4">
        <v>0</v>
      </c>
      <c r="J72" s="4">
        <v>0</v>
      </c>
      <c r="L72" s="4">
        <v>600000</v>
      </c>
      <c r="M72" s="4">
        <v>4079867610</v>
      </c>
      <c r="O72" s="4">
        <v>1400000</v>
      </c>
      <c r="Q72" s="4">
        <v>6730</v>
      </c>
      <c r="S72" s="4">
        <v>9542847510</v>
      </c>
      <c r="U72" s="4">
        <v>9307492600</v>
      </c>
      <c r="W72" s="5">
        <v>2.5386417995995054E-3</v>
      </c>
    </row>
    <row r="73" spans="1:23" ht="37.5" x14ac:dyDescent="0.45">
      <c r="A73" s="3" t="s">
        <v>79</v>
      </c>
      <c r="C73" s="4">
        <v>2274591</v>
      </c>
      <c r="E73" s="4">
        <v>23157571458</v>
      </c>
      <c r="G73" s="4">
        <v>25097734737</v>
      </c>
      <c r="I73" s="4">
        <v>0</v>
      </c>
      <c r="J73" s="4">
        <v>0</v>
      </c>
      <c r="L73" s="4">
        <v>600000</v>
      </c>
      <c r="M73" s="4">
        <v>6241926817</v>
      </c>
      <c r="O73" s="4">
        <v>1674591</v>
      </c>
      <c r="Q73" s="4">
        <v>9510</v>
      </c>
      <c r="S73" s="4">
        <v>17048981881</v>
      </c>
      <c r="U73" s="4">
        <v>15901956159</v>
      </c>
      <c r="W73" s="5">
        <v>4.3372981677832542E-3</v>
      </c>
    </row>
    <row r="74" spans="1:23" ht="18.75" x14ac:dyDescent="0.45">
      <c r="A74" s="3" t="s">
        <v>80</v>
      </c>
      <c r="C74" s="4">
        <v>2218173</v>
      </c>
      <c r="E74" s="4">
        <v>21229929491</v>
      </c>
      <c r="G74" s="4">
        <v>22226146696</v>
      </c>
      <c r="I74" s="4">
        <v>0</v>
      </c>
      <c r="J74" s="4">
        <v>0</v>
      </c>
      <c r="L74" s="4">
        <v>400000</v>
      </c>
      <c r="M74" s="4">
        <v>4358378835</v>
      </c>
      <c r="O74" s="4">
        <v>1818173</v>
      </c>
      <c r="Q74" s="4">
        <v>11230</v>
      </c>
      <c r="S74" s="4">
        <v>17401566331</v>
      </c>
      <c r="U74" s="4">
        <v>20278292195</v>
      </c>
      <c r="W74" s="5">
        <v>5.5309547268100325E-3</v>
      </c>
    </row>
    <row r="75" spans="1:23" ht="37.5" x14ac:dyDescent="0.45">
      <c r="A75" s="3" t="s">
        <v>81</v>
      </c>
      <c r="C75" s="4">
        <v>717391</v>
      </c>
      <c r="E75" s="4">
        <v>23661448164</v>
      </c>
      <c r="G75" s="4">
        <v>25372899388</v>
      </c>
      <c r="N75" s="6"/>
      <c r="O75" s="4">
        <v>717391</v>
      </c>
      <c r="Q75" s="4">
        <v>33490</v>
      </c>
      <c r="S75" s="4">
        <v>23661448164</v>
      </c>
      <c r="U75" s="4">
        <v>23768523501</v>
      </c>
      <c r="W75" s="5">
        <v>6.4829240126821879E-3</v>
      </c>
    </row>
    <row r="76" spans="1:23" ht="37.5" x14ac:dyDescent="0.45">
      <c r="A76" s="3" t="s">
        <v>82</v>
      </c>
      <c r="C76" s="4">
        <v>3034387</v>
      </c>
      <c r="E76" s="4">
        <v>11917128399</v>
      </c>
      <c r="G76" s="4">
        <v>13039604954</v>
      </c>
      <c r="N76" s="6"/>
      <c r="O76" s="4">
        <v>3034387</v>
      </c>
      <c r="Q76" s="4">
        <v>4245</v>
      </c>
      <c r="S76" s="4">
        <v>11917128399</v>
      </c>
      <c r="U76" s="4">
        <v>12676020304</v>
      </c>
      <c r="W76" s="5">
        <v>3.4574161247580715E-3</v>
      </c>
    </row>
    <row r="77" spans="1:23" ht="37.5" x14ac:dyDescent="0.45">
      <c r="A77" s="3" t="s">
        <v>83</v>
      </c>
      <c r="C77" s="4">
        <v>700243</v>
      </c>
      <c r="E77" s="4">
        <v>2049862949</v>
      </c>
      <c r="G77" s="4">
        <v>2313062389</v>
      </c>
      <c r="N77" s="6"/>
      <c r="O77" s="4">
        <v>700243</v>
      </c>
      <c r="Q77" s="4">
        <v>3114</v>
      </c>
      <c r="S77" s="4">
        <v>2049862949</v>
      </c>
      <c r="U77" s="4">
        <v>2164395829</v>
      </c>
      <c r="W77" s="5">
        <v>5.90344355726721E-4</v>
      </c>
    </row>
    <row r="78" spans="1:23" ht="37.5" x14ac:dyDescent="0.45">
      <c r="A78" s="3" t="s">
        <v>84</v>
      </c>
      <c r="C78" s="4">
        <v>3250000</v>
      </c>
      <c r="E78" s="4">
        <v>3939323661</v>
      </c>
      <c r="G78" s="4">
        <v>3750799162</v>
      </c>
      <c r="N78" s="6"/>
      <c r="O78" s="4">
        <v>3250000</v>
      </c>
      <c r="Q78" s="4">
        <v>1073</v>
      </c>
      <c r="S78" s="4">
        <v>3939323661</v>
      </c>
      <c r="U78" s="4">
        <v>3466743312</v>
      </c>
      <c r="W78" s="5">
        <v>9.4556287697991073E-4</v>
      </c>
    </row>
    <row r="79" spans="1:23" ht="37.5" x14ac:dyDescent="0.45">
      <c r="A79" s="3" t="s">
        <v>85</v>
      </c>
      <c r="C79" s="4">
        <v>3696745</v>
      </c>
      <c r="E79" s="4">
        <v>16431031716</v>
      </c>
      <c r="G79" s="4">
        <v>18006271900</v>
      </c>
      <c r="I79" s="4">
        <v>0</v>
      </c>
      <c r="J79" s="4">
        <v>0</v>
      </c>
      <c r="L79" s="4">
        <v>400000</v>
      </c>
      <c r="M79" s="4">
        <v>1920504607</v>
      </c>
      <c r="O79" s="4">
        <v>3296745</v>
      </c>
      <c r="Q79" s="4">
        <v>4892</v>
      </c>
      <c r="S79" s="4">
        <v>14653139899</v>
      </c>
      <c r="U79" s="4">
        <v>16061892301</v>
      </c>
      <c r="W79" s="5">
        <v>4.3809211490519022E-3</v>
      </c>
    </row>
    <row r="80" spans="1:23" ht="18.75" x14ac:dyDescent="0.45">
      <c r="A80" s="3" t="s">
        <v>86</v>
      </c>
      <c r="C80" s="4">
        <v>4074653</v>
      </c>
      <c r="E80" s="4">
        <v>26361749961</v>
      </c>
      <c r="G80" s="4">
        <v>26206145031</v>
      </c>
      <c r="I80" s="4">
        <v>0</v>
      </c>
      <c r="J80" s="4">
        <v>0</v>
      </c>
      <c r="L80" s="4">
        <v>400000</v>
      </c>
      <c r="M80" s="4">
        <v>2595199042</v>
      </c>
      <c r="O80" s="4">
        <v>3674653</v>
      </c>
      <c r="Q80" s="4">
        <v>6190</v>
      </c>
      <c r="S80" s="4">
        <v>23773873157</v>
      </c>
      <c r="U80" s="4">
        <v>22716124618</v>
      </c>
      <c r="W80" s="5">
        <v>6.1958795949154065E-3</v>
      </c>
    </row>
    <row r="81" spans="1:23" ht="18.75" x14ac:dyDescent="0.45">
      <c r="A81" s="3" t="s">
        <v>87</v>
      </c>
      <c r="C81" s="4">
        <v>84882</v>
      </c>
      <c r="E81" s="4">
        <v>8293870385</v>
      </c>
      <c r="G81" s="4">
        <v>11449952400</v>
      </c>
      <c r="N81" s="6"/>
      <c r="O81" s="4">
        <v>84882</v>
      </c>
      <c r="Q81" s="4">
        <v>126340</v>
      </c>
      <c r="S81" s="4">
        <v>8293870385</v>
      </c>
      <c r="U81" s="4">
        <v>10619196699</v>
      </c>
      <c r="W81" s="5">
        <v>2.8964123611820531E-3</v>
      </c>
    </row>
    <row r="82" spans="1:23" ht="18.75" x14ac:dyDescent="0.45">
      <c r="A82" s="3" t="s">
        <v>88</v>
      </c>
      <c r="C82" s="4">
        <v>1583350</v>
      </c>
      <c r="E82" s="4">
        <v>5228904026</v>
      </c>
      <c r="G82" s="4">
        <v>6363395220</v>
      </c>
      <c r="N82" s="6"/>
      <c r="O82" s="4">
        <v>1583350</v>
      </c>
      <c r="Q82" s="4">
        <v>4418</v>
      </c>
      <c r="S82" s="4">
        <v>5228904026</v>
      </c>
      <c r="U82" s="4">
        <v>6912887100</v>
      </c>
      <c r="W82" s="5">
        <v>1.8855071824577336E-3</v>
      </c>
    </row>
    <row r="83" spans="1:23" ht="18.75" x14ac:dyDescent="0.45">
      <c r="A83" s="3" t="s">
        <v>89</v>
      </c>
      <c r="C83" s="4">
        <v>5130564</v>
      </c>
      <c r="E83" s="4">
        <v>33155238622</v>
      </c>
      <c r="G83" s="4">
        <v>42177307183</v>
      </c>
      <c r="I83" s="4">
        <v>0</v>
      </c>
      <c r="J83" s="4">
        <v>0</v>
      </c>
      <c r="L83" s="4">
        <v>1000000</v>
      </c>
      <c r="M83" s="4">
        <v>8373729604</v>
      </c>
      <c r="O83" s="4">
        <v>4130564</v>
      </c>
      <c r="Q83" s="4">
        <v>9110</v>
      </c>
      <c r="S83" s="4">
        <v>26692939619</v>
      </c>
      <c r="U83" s="4">
        <v>37420535179</v>
      </c>
      <c r="W83" s="5">
        <v>1.0206544216730631E-2</v>
      </c>
    </row>
    <row r="84" spans="1:23" ht="18.75" x14ac:dyDescent="0.45">
      <c r="A84" s="3" t="s">
        <v>90</v>
      </c>
      <c r="C84" s="4">
        <v>4063423</v>
      </c>
      <c r="E84" s="4">
        <v>26822905297</v>
      </c>
      <c r="G84" s="4">
        <v>28395896801</v>
      </c>
      <c r="I84" s="4">
        <v>0</v>
      </c>
      <c r="J84" s="4">
        <v>0</v>
      </c>
      <c r="L84" s="4">
        <v>400000</v>
      </c>
      <c r="M84" s="4">
        <v>2803857241</v>
      </c>
      <c r="O84" s="4">
        <v>3663423</v>
      </c>
      <c r="Q84" s="4">
        <v>8390</v>
      </c>
      <c r="S84" s="4">
        <v>24182480680</v>
      </c>
      <c r="U84" s="4">
        <v>30862039244</v>
      </c>
      <c r="W84" s="5">
        <v>8.4176981076190937E-3</v>
      </c>
    </row>
    <row r="85" spans="1:23" ht="18.75" x14ac:dyDescent="0.45">
      <c r="A85" s="3" t="s">
        <v>91</v>
      </c>
      <c r="C85" s="4">
        <v>3184202</v>
      </c>
      <c r="E85" s="4">
        <v>14295596326</v>
      </c>
      <c r="G85" s="4">
        <v>14762753975</v>
      </c>
      <c r="I85" s="4">
        <v>0</v>
      </c>
      <c r="J85" s="4">
        <v>0</v>
      </c>
      <c r="L85" s="4">
        <v>400000</v>
      </c>
      <c r="M85" s="4">
        <v>1637023421</v>
      </c>
      <c r="O85" s="4">
        <v>2784202</v>
      </c>
      <c r="Q85" s="4">
        <v>4283</v>
      </c>
      <c r="S85" s="4">
        <v>12499781070</v>
      </c>
      <c r="U85" s="4">
        <v>11879524510</v>
      </c>
      <c r="W85" s="5">
        <v>3.2401699121901886E-3</v>
      </c>
    </row>
    <row r="86" spans="1:23" ht="18.75" x14ac:dyDescent="0.45">
      <c r="A86" s="3" t="s">
        <v>92</v>
      </c>
      <c r="C86" s="4">
        <v>2900000</v>
      </c>
      <c r="E86" s="4">
        <v>17098371884</v>
      </c>
      <c r="G86" s="4">
        <v>25310501100</v>
      </c>
      <c r="I86" s="4">
        <v>0</v>
      </c>
      <c r="J86" s="4">
        <v>0</v>
      </c>
      <c r="L86" s="4">
        <v>600000</v>
      </c>
      <c r="M86" s="4">
        <v>4668681365</v>
      </c>
      <c r="O86" s="4">
        <v>2300000</v>
      </c>
      <c r="Q86" s="4">
        <v>8190</v>
      </c>
      <c r="S86" s="4">
        <v>13560777701</v>
      </c>
      <c r="U86" s="4">
        <v>18714212200</v>
      </c>
      <c r="W86" s="5">
        <v>5.1043480107085997E-3</v>
      </c>
    </row>
    <row r="87" spans="1:23" ht="18.75" x14ac:dyDescent="0.45">
      <c r="A87" s="3" t="s">
        <v>93</v>
      </c>
      <c r="C87" s="4">
        <v>1124757</v>
      </c>
      <c r="E87" s="4">
        <v>9807013120</v>
      </c>
      <c r="G87" s="4">
        <v>21187325986</v>
      </c>
      <c r="N87" s="6"/>
      <c r="O87" s="4">
        <v>1518421</v>
      </c>
      <c r="Q87" s="4">
        <v>13390</v>
      </c>
      <c r="S87" s="4">
        <v>9807013120</v>
      </c>
      <c r="U87" s="4">
        <v>20385429185</v>
      </c>
      <c r="W87" s="5">
        <v>5.5601766078026936E-3</v>
      </c>
    </row>
    <row r="88" spans="1:23" ht="18.75" x14ac:dyDescent="0.45">
      <c r="A88" s="3" t="s">
        <v>94</v>
      </c>
      <c r="C88" s="4">
        <v>327781</v>
      </c>
      <c r="E88" s="4">
        <v>8490452900</v>
      </c>
      <c r="G88" s="4">
        <v>9576164363</v>
      </c>
      <c r="N88" s="6"/>
      <c r="O88" s="4">
        <v>327781</v>
      </c>
      <c r="Q88" s="4">
        <v>29020</v>
      </c>
      <c r="S88" s="4">
        <v>8490452900</v>
      </c>
      <c r="U88" s="4">
        <v>9565521707</v>
      </c>
      <c r="W88" s="5">
        <v>2.6090198815056391E-3</v>
      </c>
    </row>
    <row r="89" spans="1:23" ht="18.75" x14ac:dyDescent="0.45">
      <c r="A89" s="3" t="s">
        <v>95</v>
      </c>
      <c r="C89" s="4">
        <v>104452</v>
      </c>
      <c r="E89" s="4">
        <v>12026316222</v>
      </c>
      <c r="G89" s="4">
        <v>14868529118</v>
      </c>
      <c r="N89" s="6"/>
      <c r="O89" s="4">
        <v>104452</v>
      </c>
      <c r="Q89" s="4">
        <v>135720</v>
      </c>
      <c r="S89" s="4">
        <v>12026316222</v>
      </c>
      <c r="U89" s="4">
        <v>14117429065</v>
      </c>
      <c r="W89" s="5">
        <v>3.8505639561067133E-3</v>
      </c>
    </row>
    <row r="90" spans="1:23" ht="18.75" x14ac:dyDescent="0.45">
      <c r="A90" s="3" t="s">
        <v>96</v>
      </c>
      <c r="C90" s="4">
        <v>3058024</v>
      </c>
      <c r="E90" s="4">
        <v>24559668246</v>
      </c>
      <c r="G90" s="4">
        <v>25473764985</v>
      </c>
      <c r="I90" s="4">
        <v>0</v>
      </c>
      <c r="J90" s="4">
        <v>0</v>
      </c>
      <c r="L90" s="4">
        <v>313777</v>
      </c>
      <c r="M90" s="4">
        <v>2308678342</v>
      </c>
      <c r="O90" s="4">
        <v>2744247</v>
      </c>
      <c r="Q90" s="4">
        <v>7680</v>
      </c>
      <c r="S90" s="4">
        <v>22039655642</v>
      </c>
      <c r="U90" s="4">
        <v>21103513273</v>
      </c>
      <c r="W90" s="5">
        <v>5.7560358321682428E-3</v>
      </c>
    </row>
    <row r="91" spans="1:23" ht="18.75" x14ac:dyDescent="0.45">
      <c r="A91" s="3" t="s">
        <v>97</v>
      </c>
      <c r="C91" s="4">
        <v>261325</v>
      </c>
      <c r="E91" s="4">
        <v>7340478709</v>
      </c>
      <c r="G91" s="4">
        <v>8663333377</v>
      </c>
      <c r="N91" s="6"/>
      <c r="O91" s="4">
        <v>261325</v>
      </c>
      <c r="Q91" s="4">
        <v>35700</v>
      </c>
      <c r="S91" s="4">
        <v>7340478709</v>
      </c>
      <c r="U91" s="4">
        <v>9319420182</v>
      </c>
      <c r="W91" s="5">
        <v>2.5418950773118455E-3</v>
      </c>
    </row>
    <row r="92" spans="1:23" ht="37.5" x14ac:dyDescent="0.45">
      <c r="A92" s="3" t="s">
        <v>98</v>
      </c>
      <c r="C92" s="4">
        <v>1446759</v>
      </c>
      <c r="E92" s="4">
        <v>23961827416</v>
      </c>
      <c r="G92" s="4">
        <v>24448563327</v>
      </c>
      <c r="I92" s="4">
        <v>0</v>
      </c>
      <c r="J92" s="4">
        <v>0</v>
      </c>
      <c r="L92" s="4">
        <v>200000</v>
      </c>
      <c r="M92" s="4">
        <v>3333006138</v>
      </c>
      <c r="O92" s="4">
        <v>1246759</v>
      </c>
      <c r="Q92" s="4">
        <v>18180</v>
      </c>
      <c r="S92" s="4">
        <v>20649343800</v>
      </c>
      <c r="U92" s="4">
        <v>22515612263</v>
      </c>
      <c r="W92" s="5">
        <v>6.1411893504408491E-3</v>
      </c>
    </row>
    <row r="93" spans="1:23" ht="18.75" x14ac:dyDescent="0.45">
      <c r="A93" s="3" t="s">
        <v>99</v>
      </c>
      <c r="C93" s="4">
        <v>1504289</v>
      </c>
      <c r="E93" s="4">
        <v>9141298952</v>
      </c>
      <c r="G93" s="4">
        <v>12471122927</v>
      </c>
      <c r="N93" s="6"/>
      <c r="O93" s="4">
        <v>1504289</v>
      </c>
      <c r="Q93" s="4">
        <v>10940</v>
      </c>
      <c r="S93" s="4">
        <v>9141298952</v>
      </c>
      <c r="U93" s="4">
        <v>16329709656</v>
      </c>
      <c r="W93" s="5">
        <v>4.4539689999909598E-3</v>
      </c>
    </row>
    <row r="94" spans="1:23" ht="18.75" x14ac:dyDescent="0.45">
      <c r="A94" s="3" t="s">
        <v>100</v>
      </c>
      <c r="C94" s="4">
        <v>414523</v>
      </c>
      <c r="E94" s="4">
        <v>17125366833</v>
      </c>
      <c r="G94" s="4">
        <v>20269063571</v>
      </c>
      <c r="N94" s="6"/>
      <c r="O94" s="4">
        <v>414523</v>
      </c>
      <c r="Q94" s="4">
        <v>44980</v>
      </c>
      <c r="S94" s="4">
        <v>17125366833</v>
      </c>
      <c r="U94" s="4">
        <v>18649191545</v>
      </c>
      <c r="W94" s="5">
        <v>5.0866134650351131E-3</v>
      </c>
    </row>
    <row r="95" spans="1:23" ht="18.75" x14ac:dyDescent="0.45">
      <c r="A95" s="3" t="s">
        <v>101</v>
      </c>
      <c r="C95" s="4">
        <v>121110</v>
      </c>
      <c r="E95" s="4">
        <v>15342681196</v>
      </c>
      <c r="G95" s="4">
        <v>15597650081</v>
      </c>
      <c r="N95" s="6"/>
      <c r="O95" s="4">
        <v>121110</v>
      </c>
      <c r="Q95" s="4">
        <v>127020</v>
      </c>
      <c r="S95" s="4">
        <v>15342681196</v>
      </c>
      <c r="U95" s="4">
        <v>15373836754</v>
      </c>
      <c r="W95" s="5">
        <v>4.1932522840709618E-3</v>
      </c>
    </row>
    <row r="96" spans="1:23" ht="18.75" x14ac:dyDescent="0.45">
      <c r="A96" s="3" t="s">
        <v>102</v>
      </c>
      <c r="C96" s="4">
        <v>12621257</v>
      </c>
      <c r="E96" s="4">
        <v>20193185425</v>
      </c>
      <c r="G96" s="4">
        <v>20964634230</v>
      </c>
      <c r="I96" s="4">
        <v>0</v>
      </c>
      <c r="J96" s="4">
        <v>0</v>
      </c>
      <c r="L96" s="4">
        <v>1600000</v>
      </c>
      <c r="M96" s="4">
        <v>2974422440</v>
      </c>
      <c r="O96" s="4">
        <v>11021257</v>
      </c>
      <c r="Q96" s="4">
        <v>1948</v>
      </c>
      <c r="S96" s="4">
        <v>17633290109</v>
      </c>
      <c r="U96" s="4">
        <v>21511235298</v>
      </c>
      <c r="W96" s="5">
        <v>5.8672430304723654E-3</v>
      </c>
    </row>
    <row r="97" spans="1:23" ht="18.75" x14ac:dyDescent="0.45">
      <c r="A97" s="3" t="s">
        <v>103</v>
      </c>
      <c r="C97" s="4">
        <v>435481</v>
      </c>
      <c r="E97" s="4">
        <v>13073414559</v>
      </c>
      <c r="G97" s="4">
        <v>15185777273</v>
      </c>
      <c r="I97" s="4">
        <v>0</v>
      </c>
      <c r="J97" s="4">
        <v>0</v>
      </c>
      <c r="L97" s="4">
        <v>100000</v>
      </c>
      <c r="M97" s="4">
        <v>3993098857</v>
      </c>
      <c r="O97" s="4">
        <v>335481</v>
      </c>
      <c r="Q97" s="4">
        <v>40130</v>
      </c>
      <c r="S97" s="4">
        <v>10071351424</v>
      </c>
      <c r="U97" s="4">
        <v>13432019981</v>
      </c>
      <c r="W97" s="5">
        <v>3.6636169205036331E-3</v>
      </c>
    </row>
    <row r="98" spans="1:23" ht="18.75" x14ac:dyDescent="0.45">
      <c r="A98" s="3" t="s">
        <v>104</v>
      </c>
      <c r="C98" s="4">
        <v>1355746</v>
      </c>
      <c r="E98" s="4">
        <v>9317883651</v>
      </c>
      <c r="G98" s="4">
        <v>9218126489</v>
      </c>
      <c r="N98" s="6"/>
      <c r="O98" s="4">
        <v>1355746</v>
      </c>
      <c r="Q98" s="4">
        <v>8190</v>
      </c>
      <c r="S98" s="4">
        <v>9317883651</v>
      </c>
      <c r="U98" s="4">
        <v>11017729223</v>
      </c>
      <c r="W98" s="5">
        <v>3.0051131001894945E-3</v>
      </c>
    </row>
    <row r="99" spans="1:23" ht="37.5" x14ac:dyDescent="0.45">
      <c r="A99" s="3" t="s">
        <v>105</v>
      </c>
      <c r="C99" s="4">
        <v>7464575</v>
      </c>
      <c r="E99" s="4">
        <v>16719808778</v>
      </c>
      <c r="G99" s="4">
        <v>22356944426</v>
      </c>
      <c r="I99" s="4">
        <v>0</v>
      </c>
      <c r="J99" s="4">
        <v>0</v>
      </c>
      <c r="L99" s="4">
        <v>3600000</v>
      </c>
      <c r="M99" s="4">
        <v>10626585580</v>
      </c>
      <c r="O99" s="4">
        <v>3864575</v>
      </c>
      <c r="Q99" s="4">
        <v>2947</v>
      </c>
      <c r="S99" s="4">
        <v>8656213516</v>
      </c>
      <c r="U99" s="4">
        <v>11385229749</v>
      </c>
      <c r="W99" s="5">
        <v>3.1053497844151048E-3</v>
      </c>
    </row>
    <row r="100" spans="1:23" ht="18.75" x14ac:dyDescent="0.45">
      <c r="A100" s="3" t="s">
        <v>106</v>
      </c>
      <c r="C100" s="4">
        <v>3083586</v>
      </c>
      <c r="E100" s="4">
        <v>17142551222</v>
      </c>
      <c r="G100" s="4">
        <v>18943174939</v>
      </c>
      <c r="N100" s="6"/>
      <c r="O100" s="4">
        <v>3083586</v>
      </c>
      <c r="Q100" s="4">
        <v>6100</v>
      </c>
      <c r="S100" s="4">
        <v>17142551222</v>
      </c>
      <c r="U100" s="4">
        <v>18817461763</v>
      </c>
      <c r="W100" s="5">
        <v>5.1325095863000957E-3</v>
      </c>
    </row>
    <row r="101" spans="1:23" ht="37.5" x14ac:dyDescent="0.45">
      <c r="A101" s="3" t="s">
        <v>107</v>
      </c>
      <c r="C101" s="4">
        <v>800000</v>
      </c>
      <c r="E101" s="4">
        <v>10651662871</v>
      </c>
      <c r="G101" s="4">
        <v>11053836000</v>
      </c>
      <c r="N101" s="6"/>
      <c r="O101" s="4">
        <v>800000</v>
      </c>
      <c r="Q101" s="4">
        <v>15120</v>
      </c>
      <c r="S101" s="4">
        <v>10651662871</v>
      </c>
      <c r="U101" s="4">
        <v>11986621600</v>
      </c>
      <c r="W101" s="5">
        <v>3.2693809103584246E-3</v>
      </c>
    </row>
    <row r="102" spans="1:23" ht="37.5" x14ac:dyDescent="0.45">
      <c r="A102" s="3" t="s">
        <v>108</v>
      </c>
      <c r="C102" s="4">
        <v>2600000</v>
      </c>
      <c r="E102" s="4">
        <v>24146628946</v>
      </c>
      <c r="G102" s="4">
        <v>27654471000</v>
      </c>
      <c r="I102" s="4">
        <v>0</v>
      </c>
      <c r="J102" s="4">
        <v>0</v>
      </c>
      <c r="L102" s="4">
        <v>259582</v>
      </c>
      <c r="M102" s="4">
        <v>2582710185</v>
      </c>
      <c r="O102" s="4">
        <v>2340418</v>
      </c>
      <c r="Q102" s="4">
        <v>10300</v>
      </c>
      <c r="S102" s="4">
        <v>21735848086</v>
      </c>
      <c r="U102" s="4">
        <v>23919963659</v>
      </c>
      <c r="W102" s="5">
        <v>6.5242296931440511E-3</v>
      </c>
    </row>
    <row r="103" spans="1:23" ht="18.75" x14ac:dyDescent="0.45">
      <c r="A103" s="3" t="s">
        <v>109</v>
      </c>
      <c r="C103" s="4">
        <v>11000000</v>
      </c>
      <c r="E103" s="4">
        <v>26823969195</v>
      </c>
      <c r="G103" s="4">
        <v>16205003100</v>
      </c>
      <c r="N103" s="6"/>
      <c r="O103" s="4">
        <v>11000000</v>
      </c>
      <c r="Q103" s="4">
        <v>1659</v>
      </c>
      <c r="S103" s="4">
        <v>26823969195</v>
      </c>
      <c r="U103" s="4">
        <v>18151595110</v>
      </c>
      <c r="W103" s="5">
        <v>4.9508927974492266E-3</v>
      </c>
    </row>
    <row r="104" spans="1:23" ht="18.75" x14ac:dyDescent="0.45">
      <c r="A104" s="3" t="s">
        <v>110</v>
      </c>
      <c r="C104" s="4">
        <v>635696</v>
      </c>
      <c r="E104" s="4">
        <v>19028284660</v>
      </c>
      <c r="G104" s="4">
        <v>20170682393</v>
      </c>
      <c r="N104" s="6"/>
      <c r="O104" s="4">
        <v>635696</v>
      </c>
      <c r="Q104" s="4">
        <v>29530</v>
      </c>
      <c r="S104" s="4">
        <v>19028284660</v>
      </c>
      <c r="U104" s="4">
        <v>19011771587</v>
      </c>
      <c r="W104" s="5">
        <v>5.1855080749885762E-3</v>
      </c>
    </row>
    <row r="105" spans="1:23" ht="18.75" x14ac:dyDescent="0.45">
      <c r="A105" s="3" t="s">
        <v>111</v>
      </c>
      <c r="C105" s="4">
        <v>9448213</v>
      </c>
      <c r="E105" s="4">
        <v>15392047456</v>
      </c>
      <c r="G105" s="4">
        <v>5691549656</v>
      </c>
      <c r="N105" s="6"/>
      <c r="O105" s="4">
        <v>9448213</v>
      </c>
      <c r="Q105" s="4">
        <v>523</v>
      </c>
      <c r="S105" s="4">
        <v>15392047456</v>
      </c>
      <c r="U105" s="4">
        <v>4893843080</v>
      </c>
      <c r="W105" s="5">
        <v>1.3348078948318247E-3</v>
      </c>
    </row>
    <row r="106" spans="1:23" ht="18.75" x14ac:dyDescent="0.45">
      <c r="A106" s="3" t="s">
        <v>112</v>
      </c>
      <c r="C106" s="4">
        <v>249996</v>
      </c>
      <c r="E106" s="4">
        <v>1764072098</v>
      </c>
      <c r="G106" s="4">
        <v>1756955263</v>
      </c>
      <c r="N106" s="6"/>
      <c r="O106" s="4">
        <v>249996</v>
      </c>
      <c r="Q106" s="4">
        <v>7480</v>
      </c>
      <c r="S106" s="4">
        <v>1764072098</v>
      </c>
      <c r="U106" s="4">
        <v>1877840929</v>
      </c>
      <c r="W106" s="5">
        <v>5.1218579269761292E-4</v>
      </c>
    </row>
    <row r="107" spans="1:23" ht="18.75" x14ac:dyDescent="0.45">
      <c r="A107" s="3" t="s">
        <v>113</v>
      </c>
      <c r="C107" s="4">
        <v>1875000</v>
      </c>
      <c r="E107" s="4">
        <v>5911612875</v>
      </c>
      <c r="G107" s="4">
        <v>6018351469</v>
      </c>
      <c r="N107" s="6"/>
      <c r="O107" s="4">
        <v>1875000</v>
      </c>
      <c r="Q107" s="4">
        <v>3363</v>
      </c>
      <c r="S107" s="4">
        <v>5911612875</v>
      </c>
      <c r="U107" s="4">
        <v>6295953150</v>
      </c>
      <c r="W107" s="5">
        <v>1.7172369102834606E-3</v>
      </c>
    </row>
    <row r="108" spans="1:23" ht="37.5" x14ac:dyDescent="0.45">
      <c r="A108" s="3" t="s">
        <v>114</v>
      </c>
      <c r="H108" s="6"/>
      <c r="I108" s="4">
        <v>23792</v>
      </c>
      <c r="J108" s="4">
        <v>1265552380</v>
      </c>
      <c r="L108" s="4">
        <v>0</v>
      </c>
      <c r="M108" s="4">
        <v>0</v>
      </c>
      <c r="O108" s="4">
        <v>23792</v>
      </c>
      <c r="Q108" s="4">
        <v>64000</v>
      </c>
      <c r="S108" s="4">
        <v>1265552380</v>
      </c>
      <c r="U108" s="4">
        <v>1512098026</v>
      </c>
      <c r="W108" s="5">
        <v>4.1242850452499953E-4</v>
      </c>
    </row>
    <row r="109" spans="1:23" ht="18.75" x14ac:dyDescent="0.45">
      <c r="A109" s="3" t="s">
        <v>115</v>
      </c>
      <c r="C109" s="4">
        <v>943421</v>
      </c>
      <c r="E109" s="4">
        <v>12470037471</v>
      </c>
      <c r="G109" s="4">
        <v>14348456969</v>
      </c>
      <c r="N109" s="6"/>
      <c r="O109" s="4">
        <v>943421</v>
      </c>
      <c r="Q109" s="4">
        <v>15970</v>
      </c>
      <c r="S109" s="4">
        <v>12470037471</v>
      </c>
      <c r="U109" s="4">
        <v>15024860109</v>
      </c>
      <c r="W109" s="5">
        <v>4.0980680345469823E-3</v>
      </c>
    </row>
    <row r="110" spans="1:23" ht="18.75" x14ac:dyDescent="0.45">
      <c r="A110" s="3" t="s">
        <v>116</v>
      </c>
      <c r="C110" s="4">
        <v>3733986</v>
      </c>
      <c r="E110" s="4">
        <v>14066948730</v>
      </c>
      <c r="G110" s="4">
        <v>17690290021</v>
      </c>
      <c r="N110" s="6"/>
      <c r="O110" s="4">
        <v>3733986</v>
      </c>
      <c r="Q110" s="4">
        <v>5040</v>
      </c>
      <c r="S110" s="4">
        <v>14066948730</v>
      </c>
      <c r="U110" s="4">
        <v>18673816333</v>
      </c>
      <c r="W110" s="5">
        <v>5.0933299373235874E-3</v>
      </c>
    </row>
    <row r="111" spans="1:23" ht="18.75" x14ac:dyDescent="0.45">
      <c r="A111" s="3" t="s">
        <v>117</v>
      </c>
      <c r="C111" s="4">
        <v>9149131</v>
      </c>
      <c r="E111" s="4">
        <v>46853299893</v>
      </c>
      <c r="G111" s="4">
        <v>30167098905</v>
      </c>
      <c r="I111" s="4">
        <v>0</v>
      </c>
      <c r="J111" s="4">
        <v>0</v>
      </c>
      <c r="L111" s="4">
        <v>2790811</v>
      </c>
      <c r="M111" s="4">
        <v>10028753561</v>
      </c>
      <c r="O111" s="4">
        <v>6358320</v>
      </c>
      <c r="Q111" s="4">
        <v>3488</v>
      </c>
      <c r="S111" s="4">
        <v>32561373728</v>
      </c>
      <c r="U111" s="4">
        <v>22214588226</v>
      </c>
      <c r="W111" s="5">
        <v>6.0590842942399564E-3</v>
      </c>
    </row>
    <row r="112" spans="1:23" ht="18.75" x14ac:dyDescent="0.45">
      <c r="A112" s="3" t="s">
        <v>118</v>
      </c>
      <c r="C112" s="4">
        <v>6775855</v>
      </c>
      <c r="E112" s="4">
        <v>44846056297</v>
      </c>
      <c r="G112" s="4">
        <v>51728936930</v>
      </c>
      <c r="I112" s="4">
        <v>0</v>
      </c>
      <c r="J112" s="4">
        <v>0</v>
      </c>
      <c r="L112" s="4">
        <v>1200000</v>
      </c>
      <c r="M112" s="4">
        <v>8027948389</v>
      </c>
      <c r="O112" s="4">
        <v>5575855</v>
      </c>
      <c r="Q112" s="4">
        <v>6670</v>
      </c>
      <c r="S112" s="4">
        <v>36903845675</v>
      </c>
      <c r="U112" s="4">
        <v>36792811712</v>
      </c>
      <c r="W112" s="5">
        <v>1.0035331076908665E-2</v>
      </c>
    </row>
    <row r="113" spans="1:23" ht="18.75" x14ac:dyDescent="0.45">
      <c r="A113" s="3" t="s">
        <v>119</v>
      </c>
      <c r="C113" s="4">
        <v>7357463</v>
      </c>
      <c r="E113" s="4">
        <v>14459594665</v>
      </c>
      <c r="G113" s="4">
        <v>19776207201</v>
      </c>
      <c r="I113" s="4">
        <v>0</v>
      </c>
      <c r="J113" s="4">
        <v>0</v>
      </c>
      <c r="L113" s="4">
        <v>1200000</v>
      </c>
      <c r="M113" s="4">
        <v>3709770534</v>
      </c>
      <c r="O113" s="4">
        <v>6157463</v>
      </c>
      <c r="Q113" s="4">
        <v>3208</v>
      </c>
      <c r="S113" s="4">
        <v>12101239129</v>
      </c>
      <c r="U113" s="4">
        <v>19630998851</v>
      </c>
      <c r="W113" s="5">
        <v>5.3544038542709619E-3</v>
      </c>
    </row>
    <row r="114" spans="1:23" ht="18.75" x14ac:dyDescent="0.45">
      <c r="A114" s="3" t="s">
        <v>120</v>
      </c>
      <c r="C114" s="4">
        <v>10131711</v>
      </c>
      <c r="E114" s="4">
        <v>19444762475</v>
      </c>
      <c r="G114" s="4">
        <v>25108068308</v>
      </c>
      <c r="N114" s="6"/>
      <c r="O114" s="4">
        <v>10131711</v>
      </c>
      <c r="Q114" s="4">
        <v>2298</v>
      </c>
      <c r="S114" s="4">
        <v>19444762475</v>
      </c>
      <c r="U114" s="4">
        <v>23122803610</v>
      </c>
      <c r="W114" s="5">
        <v>6.306802303369689E-3</v>
      </c>
    </row>
    <row r="115" spans="1:23" ht="18.75" x14ac:dyDescent="0.45">
      <c r="A115" s="3" t="s">
        <v>121</v>
      </c>
      <c r="C115" s="4">
        <v>8665914</v>
      </c>
      <c r="E115" s="4">
        <v>29910552206</v>
      </c>
      <c r="G115" s="4">
        <v>22061354990</v>
      </c>
      <c r="I115" s="4">
        <v>0</v>
      </c>
      <c r="J115" s="4">
        <v>0</v>
      </c>
      <c r="L115" s="4">
        <v>2800000</v>
      </c>
      <c r="M115" s="4">
        <v>6493906573</v>
      </c>
      <c r="O115" s="4">
        <v>5865914</v>
      </c>
      <c r="Q115" s="4">
        <v>2404</v>
      </c>
      <c r="S115" s="4">
        <v>20246303729</v>
      </c>
      <c r="U115" s="4">
        <v>13864598895</v>
      </c>
      <c r="W115" s="5">
        <v>3.7816038972223421E-3</v>
      </c>
    </row>
    <row r="116" spans="1:23" ht="18.75" x14ac:dyDescent="0.45">
      <c r="A116" s="3" t="s">
        <v>122</v>
      </c>
      <c r="C116" s="4">
        <v>9180289</v>
      </c>
      <c r="E116" s="4">
        <v>26190987651</v>
      </c>
      <c r="G116" s="4">
        <v>26637819873</v>
      </c>
      <c r="N116" s="6"/>
      <c r="O116" s="4">
        <v>9180289</v>
      </c>
      <c r="Q116" s="4">
        <v>2863</v>
      </c>
      <c r="S116" s="4">
        <v>26190987651</v>
      </c>
      <c r="U116" s="4">
        <v>26070889198</v>
      </c>
      <c r="W116" s="5">
        <v>7.1108999937072228E-3</v>
      </c>
    </row>
    <row r="117" spans="1:23" ht="18.75" x14ac:dyDescent="0.45">
      <c r="A117" s="3" t="s">
        <v>123</v>
      </c>
      <c r="C117" s="4">
        <v>8051889</v>
      </c>
      <c r="E117" s="4">
        <v>28967048691</v>
      </c>
      <c r="G117" s="4">
        <v>30415124990</v>
      </c>
      <c r="I117" s="4">
        <v>0</v>
      </c>
      <c r="J117" s="4">
        <v>0</v>
      </c>
      <c r="L117" s="4">
        <v>1600000</v>
      </c>
      <c r="M117" s="4">
        <v>6207643470</v>
      </c>
      <c r="O117" s="4">
        <v>6451889</v>
      </c>
      <c r="Q117" s="4">
        <v>3839</v>
      </c>
      <c r="S117" s="4">
        <v>23210973576</v>
      </c>
      <c r="U117" s="4">
        <v>24935851923</v>
      </c>
      <c r="W117" s="5">
        <v>6.8013157485993063E-3</v>
      </c>
    </row>
    <row r="118" spans="1:23" ht="18.75" x14ac:dyDescent="0.45">
      <c r="A118" s="3" t="s">
        <v>124</v>
      </c>
      <c r="C118" s="4">
        <v>1243266</v>
      </c>
      <c r="E118" s="4">
        <v>18248081922</v>
      </c>
      <c r="G118" s="4">
        <v>21763645470</v>
      </c>
      <c r="N118" s="6"/>
      <c r="O118" s="4">
        <v>1243266</v>
      </c>
      <c r="Q118" s="4">
        <v>16420</v>
      </c>
      <c r="S118" s="4">
        <v>18248081922</v>
      </c>
      <c r="U118" s="4">
        <v>20120922083</v>
      </c>
      <c r="W118" s="5">
        <v>5.4880316366180664E-3</v>
      </c>
    </row>
    <row r="119" spans="1:23" ht="18.75" x14ac:dyDescent="0.45">
      <c r="A119" s="3" t="s">
        <v>125</v>
      </c>
      <c r="C119" s="4">
        <v>4638196</v>
      </c>
      <c r="E119" s="4">
        <v>12360030252</v>
      </c>
      <c r="G119" s="4">
        <v>16694978015</v>
      </c>
      <c r="I119" s="4">
        <v>2680605</v>
      </c>
      <c r="J119" s="4">
        <v>9972855873</v>
      </c>
      <c r="L119" s="4">
        <v>455374</v>
      </c>
      <c r="M119" s="4">
        <v>1605069761</v>
      </c>
      <c r="O119" s="4">
        <v>6863427</v>
      </c>
      <c r="Q119" s="4">
        <v>3653</v>
      </c>
      <c r="S119" s="4">
        <v>20943339437</v>
      </c>
      <c r="U119" s="4">
        <v>24851050016</v>
      </c>
      <c r="W119" s="5">
        <v>6.7781858171507498E-3</v>
      </c>
    </row>
    <row r="120" spans="1:23" ht="18.75" x14ac:dyDescent="0.45">
      <c r="A120" s="3" t="s">
        <v>126</v>
      </c>
      <c r="C120" s="4">
        <v>3389045</v>
      </c>
      <c r="E120" s="4">
        <v>11156912950</v>
      </c>
      <c r="G120" s="4">
        <v>13883155231</v>
      </c>
      <c r="I120" s="4">
        <v>0</v>
      </c>
      <c r="J120" s="4">
        <v>0</v>
      </c>
      <c r="L120" s="4">
        <v>800000</v>
      </c>
      <c r="M120" s="4">
        <v>3268436423</v>
      </c>
      <c r="O120" s="4">
        <v>2589045</v>
      </c>
      <c r="Q120" s="4">
        <v>3944</v>
      </c>
      <c r="S120" s="4">
        <v>8523271213</v>
      </c>
      <c r="U120" s="4">
        <v>10276126729</v>
      </c>
      <c r="W120" s="5">
        <v>2.802839171982918E-3</v>
      </c>
    </row>
    <row r="121" spans="1:23" ht="18.75" x14ac:dyDescent="0.45">
      <c r="A121" s="3" t="s">
        <v>127</v>
      </c>
      <c r="C121" s="4">
        <v>2316133</v>
      </c>
      <c r="E121" s="4">
        <v>29423915428</v>
      </c>
      <c r="G121" s="4">
        <v>34857609411</v>
      </c>
      <c r="I121" s="4">
        <v>0</v>
      </c>
      <c r="J121" s="4">
        <v>0</v>
      </c>
      <c r="L121" s="4">
        <v>600000</v>
      </c>
      <c r="M121" s="4">
        <v>8797697757</v>
      </c>
      <c r="O121" s="4">
        <v>1716133</v>
      </c>
      <c r="Q121" s="4">
        <v>14300</v>
      </c>
      <c r="S121" s="4">
        <v>21801577135</v>
      </c>
      <c r="U121" s="4">
        <v>24197744218</v>
      </c>
      <c r="W121" s="5">
        <v>6.5999950328009972E-3</v>
      </c>
    </row>
    <row r="122" spans="1:23" ht="37.5" x14ac:dyDescent="0.45">
      <c r="A122" s="3" t="s">
        <v>128</v>
      </c>
      <c r="C122" s="4">
        <v>316099</v>
      </c>
      <c r="E122" s="4">
        <v>2474138629</v>
      </c>
      <c r="G122" s="4">
        <v>2548309691</v>
      </c>
      <c r="N122" s="6"/>
      <c r="O122" s="4">
        <v>316099</v>
      </c>
      <c r="Q122" s="4">
        <v>8260</v>
      </c>
      <c r="S122" s="4">
        <v>2474138629</v>
      </c>
      <c r="U122" s="4">
        <v>2590794882</v>
      </c>
      <c r="W122" s="5">
        <v>7.0664575995834451E-4</v>
      </c>
    </row>
    <row r="123" spans="1:23" ht="37.5" x14ac:dyDescent="0.45">
      <c r="A123" s="3" t="s">
        <v>129</v>
      </c>
      <c r="C123" s="4">
        <v>582860</v>
      </c>
      <c r="E123" s="4">
        <v>12577058146</v>
      </c>
      <c r="G123" s="4">
        <v>14647029330</v>
      </c>
      <c r="N123" s="6"/>
      <c r="O123" s="4">
        <v>582860</v>
      </c>
      <c r="Q123" s="4">
        <v>26330</v>
      </c>
      <c r="S123" s="4">
        <v>12577058146</v>
      </c>
      <c r="U123" s="4">
        <v>15245424414</v>
      </c>
      <c r="W123" s="5">
        <v>4.1582274983506503E-3</v>
      </c>
    </row>
    <row r="124" spans="1:23" ht="18.75" x14ac:dyDescent="0.45">
      <c r="A124" s="3" t="s">
        <v>130</v>
      </c>
      <c r="C124" s="4">
        <v>4496750</v>
      </c>
      <c r="E124" s="4">
        <v>19961108857</v>
      </c>
      <c r="G124" s="4">
        <v>21661592560</v>
      </c>
      <c r="I124" s="4">
        <v>0</v>
      </c>
      <c r="J124" s="4">
        <v>0</v>
      </c>
      <c r="L124" s="4">
        <v>2128850</v>
      </c>
      <c r="M124" s="4">
        <v>11503305900</v>
      </c>
      <c r="O124" s="4">
        <v>2367900</v>
      </c>
      <c r="Q124" s="4">
        <v>5230</v>
      </c>
      <c r="S124" s="4">
        <v>10511126850</v>
      </c>
      <c r="U124" s="4">
        <v>12429363544</v>
      </c>
      <c r="W124" s="5">
        <v>3.3901398788344613E-3</v>
      </c>
    </row>
    <row r="125" spans="1:23" ht="18.75" x14ac:dyDescent="0.45">
      <c r="A125" s="3" t="s">
        <v>131</v>
      </c>
      <c r="C125" s="4">
        <v>5382068</v>
      </c>
      <c r="E125" s="4">
        <v>17904717292</v>
      </c>
      <c r="G125" s="4">
        <v>19795165373</v>
      </c>
      <c r="I125" s="4">
        <v>0</v>
      </c>
      <c r="J125" s="4">
        <v>0</v>
      </c>
      <c r="L125" s="4">
        <v>1200000</v>
      </c>
      <c r="M125" s="4">
        <v>4017853384</v>
      </c>
      <c r="O125" s="4">
        <v>4182068</v>
      </c>
      <c r="Q125" s="4">
        <v>3480</v>
      </c>
      <c r="S125" s="4">
        <v>13912634555</v>
      </c>
      <c r="U125" s="4">
        <v>14656883850</v>
      </c>
      <c r="W125" s="5">
        <v>3.9977015929601621E-3</v>
      </c>
    </row>
    <row r="126" spans="1:23" ht="18.75" x14ac:dyDescent="0.45">
      <c r="A126" s="3" t="s">
        <v>132</v>
      </c>
      <c r="C126" s="4">
        <v>12458150</v>
      </c>
      <c r="E126" s="4">
        <v>15955618686</v>
      </c>
      <c r="G126" s="4">
        <v>17238561418</v>
      </c>
      <c r="I126" s="4">
        <v>0</v>
      </c>
      <c r="J126" s="4">
        <v>0</v>
      </c>
      <c r="L126" s="4">
        <v>3600000</v>
      </c>
      <c r="M126" s="4">
        <v>5579356894</v>
      </c>
      <c r="O126" s="4">
        <v>8858150</v>
      </c>
      <c r="Q126" s="4">
        <v>1525</v>
      </c>
      <c r="S126" s="4">
        <v>11344964033</v>
      </c>
      <c r="U126" s="4">
        <v>13536101811</v>
      </c>
      <c r="W126" s="5">
        <v>3.6920054989932694E-3</v>
      </c>
    </row>
    <row r="127" spans="1:23" ht="18.75" x14ac:dyDescent="0.45">
      <c r="A127" s="3" t="s">
        <v>133</v>
      </c>
      <c r="C127" s="4">
        <v>3000000</v>
      </c>
      <c r="E127" s="4">
        <v>7822145005</v>
      </c>
      <c r="G127" s="4">
        <v>10297363950</v>
      </c>
      <c r="N127" s="6"/>
      <c r="O127" s="4">
        <v>3000000</v>
      </c>
      <c r="Q127" s="4">
        <v>3834</v>
      </c>
      <c r="S127" s="4">
        <v>7822145005</v>
      </c>
      <c r="U127" s="4">
        <v>11416066350</v>
      </c>
      <c r="W127" s="5">
        <v>3.1137605441782846E-3</v>
      </c>
    </row>
    <row r="128" spans="1:23" ht="18.75" x14ac:dyDescent="0.45">
      <c r="A128" s="3" t="s">
        <v>134</v>
      </c>
      <c r="C128" s="4">
        <v>10035806</v>
      </c>
      <c r="E128" s="4">
        <v>26269134759</v>
      </c>
      <c r="G128" s="4">
        <v>27653729669</v>
      </c>
      <c r="I128" s="4">
        <v>0</v>
      </c>
      <c r="J128" s="4">
        <v>0</v>
      </c>
      <c r="L128" s="4">
        <v>5594350</v>
      </c>
      <c r="M128" s="4">
        <v>16967709205</v>
      </c>
      <c r="O128" s="4">
        <v>4441456</v>
      </c>
      <c r="Q128" s="4">
        <v>3061</v>
      </c>
      <c r="S128" s="4">
        <v>11625693660</v>
      </c>
      <c r="U128" s="4">
        <v>13529869284</v>
      </c>
      <c r="W128" s="5">
        <v>3.6903055617234473E-3</v>
      </c>
    </row>
    <row r="129" spans="1:23" ht="18.75" x14ac:dyDescent="0.45">
      <c r="A129" s="3" t="s">
        <v>135</v>
      </c>
      <c r="C129" s="4">
        <v>8492516</v>
      </c>
      <c r="E129" s="4">
        <v>43678221204</v>
      </c>
      <c r="G129" s="4">
        <v>36536913373</v>
      </c>
      <c r="I129" s="4">
        <v>0</v>
      </c>
      <c r="J129" s="4">
        <v>0</v>
      </c>
      <c r="L129" s="4">
        <v>3296006</v>
      </c>
      <c r="M129" s="4">
        <v>13580464920</v>
      </c>
      <c r="O129" s="4">
        <v>5196510</v>
      </c>
      <c r="Q129" s="4">
        <v>4125</v>
      </c>
      <c r="S129" s="4">
        <v>26726392187</v>
      </c>
      <c r="U129" s="4">
        <v>21605068697</v>
      </c>
      <c r="W129" s="5">
        <v>5.8928363238691175E-3</v>
      </c>
    </row>
    <row r="130" spans="1:23" ht="18.75" x14ac:dyDescent="0.45">
      <c r="A130" s="3" t="s">
        <v>136</v>
      </c>
      <c r="C130" s="4">
        <v>15812467</v>
      </c>
      <c r="E130" s="4">
        <v>15857058577</v>
      </c>
      <c r="G130" s="4">
        <v>18689157175</v>
      </c>
      <c r="I130" s="4">
        <v>0</v>
      </c>
      <c r="J130" s="4">
        <v>0</v>
      </c>
      <c r="L130" s="4">
        <v>400000</v>
      </c>
      <c r="M130" s="4">
        <v>453286827</v>
      </c>
      <c r="O130" s="4">
        <v>15412467</v>
      </c>
      <c r="Q130" s="4">
        <v>1179</v>
      </c>
      <c r="S130" s="4">
        <v>15455930566</v>
      </c>
      <c r="U130" s="4">
        <v>17832021183</v>
      </c>
      <c r="W130" s="5">
        <v>4.8637282125271438E-3</v>
      </c>
    </row>
    <row r="131" spans="1:23" ht="18.75" x14ac:dyDescent="0.45">
      <c r="A131" s="3" t="s">
        <v>137</v>
      </c>
      <c r="C131" s="4">
        <v>1447708</v>
      </c>
      <c r="E131" s="4">
        <v>7589659743</v>
      </c>
      <c r="G131" s="4">
        <v>9613148838</v>
      </c>
      <c r="N131" s="6"/>
      <c r="O131" s="4">
        <v>1447708</v>
      </c>
      <c r="Q131" s="4">
        <v>6610</v>
      </c>
      <c r="S131" s="4">
        <v>7589659743</v>
      </c>
      <c r="U131" s="4">
        <v>9581569838</v>
      </c>
      <c r="W131" s="5">
        <v>2.613397049225552E-3</v>
      </c>
    </row>
    <row r="132" spans="1:23" ht="18.75" x14ac:dyDescent="0.45">
      <c r="A132" s="3" t="s">
        <v>138</v>
      </c>
      <c r="C132" s="4">
        <v>1375942</v>
      </c>
      <c r="E132" s="4">
        <v>10930235967</v>
      </c>
      <c r="G132" s="4">
        <v>11516498322</v>
      </c>
      <c r="N132" s="6"/>
      <c r="O132" s="4">
        <v>1375942</v>
      </c>
      <c r="Q132" s="4">
        <v>7700</v>
      </c>
      <c r="S132" s="4">
        <v>10930235967</v>
      </c>
      <c r="U132" s="4">
        <v>10540162076</v>
      </c>
      <c r="W132" s="5">
        <v>2.8748554708157487E-3</v>
      </c>
    </row>
    <row r="133" spans="1:23" ht="18.75" x14ac:dyDescent="0.45">
      <c r="A133" s="3" t="s">
        <v>139</v>
      </c>
      <c r="C133" s="4">
        <v>4691005</v>
      </c>
      <c r="E133" s="4">
        <v>20868927087</v>
      </c>
      <c r="G133" s="4">
        <v>26113323713</v>
      </c>
      <c r="I133" s="4">
        <v>0</v>
      </c>
      <c r="J133" s="4">
        <v>0</v>
      </c>
      <c r="L133" s="4">
        <v>348531</v>
      </c>
      <c r="M133" s="4">
        <v>1879391684</v>
      </c>
      <c r="O133" s="4">
        <v>4342474</v>
      </c>
      <c r="Q133" s="4">
        <v>5340</v>
      </c>
      <c r="S133" s="4">
        <v>19318413279</v>
      </c>
      <c r="U133" s="4">
        <v>23181917917</v>
      </c>
      <c r="W133" s="5">
        <v>6.3229258779083954E-3</v>
      </c>
    </row>
    <row r="134" spans="1:23" ht="18.75" x14ac:dyDescent="0.45">
      <c r="A134" s="3" t="s">
        <v>140</v>
      </c>
      <c r="C134" s="4">
        <v>241083</v>
      </c>
      <c r="E134" s="4">
        <v>1966102194</v>
      </c>
      <c r="G134" s="4">
        <v>2166422948</v>
      </c>
      <c r="N134" s="6"/>
      <c r="O134" s="4">
        <v>241083</v>
      </c>
      <c r="Q134" s="4">
        <v>9740</v>
      </c>
      <c r="S134" s="4">
        <v>1966102194</v>
      </c>
      <c r="U134" s="4">
        <v>2329997233</v>
      </c>
      <c r="W134" s="5">
        <v>6.3551255132289735E-4</v>
      </c>
    </row>
    <row r="135" spans="1:23" ht="18.75" x14ac:dyDescent="0.45">
      <c r="A135" s="3" t="s">
        <v>141</v>
      </c>
      <c r="C135" s="4">
        <v>4912237</v>
      </c>
      <c r="E135" s="4">
        <v>17994298726</v>
      </c>
      <c r="G135" s="4">
        <v>17783919469</v>
      </c>
      <c r="N135" s="6"/>
      <c r="O135" s="4">
        <v>4912237</v>
      </c>
      <c r="Q135" s="4">
        <v>3466</v>
      </c>
      <c r="S135" s="4">
        <v>17994298726</v>
      </c>
      <c r="U135" s="4">
        <v>17113545847</v>
      </c>
      <c r="W135" s="5">
        <v>4.6677622742946597E-3</v>
      </c>
    </row>
    <row r="136" spans="1:23" ht="18.75" x14ac:dyDescent="0.45">
      <c r="A136" s="3" t="s">
        <v>142</v>
      </c>
      <c r="C136" s="4">
        <v>9197090</v>
      </c>
      <c r="E136" s="4">
        <v>13119139315</v>
      </c>
      <c r="G136" s="4">
        <v>17772762059</v>
      </c>
      <c r="N136" s="6"/>
      <c r="O136" s="4">
        <v>9197090</v>
      </c>
      <c r="Q136" s="4">
        <v>2014</v>
      </c>
      <c r="S136" s="4">
        <v>13119139315</v>
      </c>
      <c r="U136" s="4">
        <v>18124229038</v>
      </c>
      <c r="W136" s="5">
        <v>4.9434286331188626E-3</v>
      </c>
    </row>
    <row r="137" spans="1:23" ht="18.75" x14ac:dyDescent="0.45">
      <c r="A137" s="3" t="s">
        <v>143</v>
      </c>
      <c r="C137" s="4">
        <v>17465640</v>
      </c>
      <c r="E137" s="4">
        <v>68232242027</v>
      </c>
      <c r="G137" s="4">
        <v>68057940213</v>
      </c>
      <c r="I137" s="4">
        <v>0</v>
      </c>
      <c r="J137" s="4">
        <v>0</v>
      </c>
      <c r="L137" s="4">
        <v>4800000</v>
      </c>
      <c r="M137" s="4">
        <v>17084892857</v>
      </c>
      <c r="O137" s="4">
        <v>12665640</v>
      </c>
      <c r="Q137" s="4">
        <v>3491</v>
      </c>
      <c r="S137" s="4">
        <v>49480294676</v>
      </c>
      <c r="U137" s="4">
        <v>44125316190</v>
      </c>
      <c r="W137" s="5">
        <v>1.2035289944842802E-2</v>
      </c>
    </row>
    <row r="138" spans="1:23" ht="18.75" x14ac:dyDescent="0.45">
      <c r="A138" s="3" t="s">
        <v>144</v>
      </c>
      <c r="C138" s="4">
        <v>15084042</v>
      </c>
      <c r="E138" s="4">
        <v>19106127464</v>
      </c>
      <c r="G138" s="4">
        <v>24260764375</v>
      </c>
      <c r="N138" s="6"/>
      <c r="O138" s="4">
        <v>15084042</v>
      </c>
      <c r="Q138" s="4">
        <v>1372</v>
      </c>
      <c r="S138" s="4">
        <v>19106127464</v>
      </c>
      <c r="U138" s="4">
        <v>20520363469</v>
      </c>
      <c r="W138" s="5">
        <v>5.5969802700007636E-3</v>
      </c>
    </row>
    <row r="139" spans="1:23" ht="18.75" x14ac:dyDescent="0.45">
      <c r="A139" s="3" t="s">
        <v>145</v>
      </c>
      <c r="C139" s="4">
        <v>862852</v>
      </c>
      <c r="E139" s="4">
        <v>7777212626</v>
      </c>
      <c r="G139" s="4">
        <v>9426321156</v>
      </c>
      <c r="N139" s="6"/>
      <c r="O139" s="4">
        <v>862852</v>
      </c>
      <c r="Q139" s="4">
        <v>12590</v>
      </c>
      <c r="S139" s="4">
        <v>7777212626</v>
      </c>
      <c r="U139" s="4">
        <v>10787895141</v>
      </c>
      <c r="W139" s="5">
        <v>2.9424252816101083E-3</v>
      </c>
    </row>
    <row r="140" spans="1:23" ht="18.75" x14ac:dyDescent="0.45">
      <c r="A140" s="3" t="s">
        <v>146</v>
      </c>
      <c r="C140" s="4">
        <v>4688987</v>
      </c>
      <c r="E140" s="4">
        <v>35485477120</v>
      </c>
      <c r="G140" s="4">
        <v>28525855667</v>
      </c>
      <c r="I140" s="4">
        <v>0</v>
      </c>
      <c r="J140" s="4">
        <v>0</v>
      </c>
      <c r="L140" s="4">
        <v>4703</v>
      </c>
      <c r="M140" s="4">
        <v>31061049</v>
      </c>
      <c r="O140" s="4">
        <v>4684284</v>
      </c>
      <c r="Q140" s="4">
        <v>7080</v>
      </c>
      <c r="S140" s="4">
        <v>35449885595</v>
      </c>
      <c r="U140" s="4">
        <v>33326694055</v>
      </c>
      <c r="W140" s="5">
        <v>9.0899388488890481E-3</v>
      </c>
    </row>
    <row r="141" spans="1:23" ht="18.75" x14ac:dyDescent="0.45">
      <c r="A141" s="3" t="s">
        <v>147</v>
      </c>
      <c r="C141" s="4">
        <v>1744914</v>
      </c>
      <c r="E141" s="4">
        <v>19319949732</v>
      </c>
      <c r="G141" s="4">
        <v>18906396203</v>
      </c>
      <c r="I141" s="4">
        <v>0</v>
      </c>
      <c r="J141" s="4">
        <v>0</v>
      </c>
      <c r="L141" s="4">
        <v>100000</v>
      </c>
      <c r="M141" s="4">
        <v>1095443117</v>
      </c>
      <c r="O141" s="4">
        <v>1644914</v>
      </c>
      <c r="Q141" s="4">
        <v>11590</v>
      </c>
      <c r="S141" s="4">
        <v>18212734721</v>
      </c>
      <c r="U141" s="4">
        <v>19031438180</v>
      </c>
      <c r="W141" s="5">
        <v>5.1908721872356827E-3</v>
      </c>
    </row>
    <row r="142" spans="1:23" ht="18.75" x14ac:dyDescent="0.45">
      <c r="A142" s="3" t="s">
        <v>148</v>
      </c>
      <c r="C142" s="4">
        <v>3900000</v>
      </c>
      <c r="E142" s="4">
        <v>21019568644</v>
      </c>
      <c r="G142" s="4">
        <v>28533211200</v>
      </c>
      <c r="I142" s="4">
        <v>0</v>
      </c>
      <c r="J142" s="4">
        <v>0</v>
      </c>
      <c r="L142" s="4">
        <v>800000</v>
      </c>
      <c r="M142" s="4">
        <v>5534870442</v>
      </c>
      <c r="O142" s="4">
        <v>3100000</v>
      </c>
      <c r="Q142" s="4">
        <v>7120</v>
      </c>
      <c r="S142" s="4">
        <v>16707862255</v>
      </c>
      <c r="U142" s="4">
        <v>21809102330</v>
      </c>
      <c r="W142" s="5">
        <v>5.9484870056927003E-3</v>
      </c>
    </row>
    <row r="143" spans="1:23" ht="37.5" x14ac:dyDescent="0.45">
      <c r="A143" s="3" t="s">
        <v>149</v>
      </c>
      <c r="C143" s="4">
        <v>1400000</v>
      </c>
      <c r="E143" s="4">
        <v>12092170716</v>
      </c>
      <c r="G143" s="4">
        <v>11968362000</v>
      </c>
      <c r="N143" s="6"/>
      <c r="O143" s="4">
        <v>1400000</v>
      </c>
      <c r="Q143" s="4">
        <v>10840</v>
      </c>
      <c r="S143" s="4">
        <v>12092170716</v>
      </c>
      <c r="U143" s="4">
        <v>14794745700</v>
      </c>
      <c r="W143" s="5">
        <v>4.0353037560798104E-3</v>
      </c>
    </row>
    <row r="144" spans="1:23" ht="37.5" x14ac:dyDescent="0.45">
      <c r="A144" s="3" t="s">
        <v>150</v>
      </c>
      <c r="C144" s="4">
        <v>2800000</v>
      </c>
      <c r="E144" s="4">
        <v>13824941564</v>
      </c>
      <c r="G144" s="4">
        <v>13858249860</v>
      </c>
      <c r="I144" s="4">
        <v>0</v>
      </c>
      <c r="J144" s="4">
        <v>0</v>
      </c>
      <c r="L144" s="4">
        <v>400000</v>
      </c>
      <c r="M144" s="4">
        <v>2171154321</v>
      </c>
      <c r="O144" s="4">
        <v>2400000</v>
      </c>
      <c r="Q144" s="4">
        <v>6090</v>
      </c>
      <c r="S144" s="4">
        <v>11849949912</v>
      </c>
      <c r="U144" s="4">
        <v>14407760400</v>
      </c>
      <c r="W144" s="5">
        <v>3.9297525511924111E-3</v>
      </c>
    </row>
    <row r="145" spans="1:23" ht="18.75" x14ac:dyDescent="0.45">
      <c r="A145" s="3" t="s">
        <v>151</v>
      </c>
      <c r="C145" s="4">
        <v>5931590</v>
      </c>
      <c r="E145" s="4">
        <v>20393019674</v>
      </c>
      <c r="G145" s="4">
        <v>26828151530</v>
      </c>
      <c r="I145" s="4">
        <v>0</v>
      </c>
      <c r="J145" s="4">
        <v>0</v>
      </c>
      <c r="L145" s="4">
        <v>1172591</v>
      </c>
      <c r="M145" s="4">
        <v>5250904770</v>
      </c>
      <c r="O145" s="4">
        <v>4758999</v>
      </c>
      <c r="Q145" s="4">
        <v>4656</v>
      </c>
      <c r="S145" s="4">
        <v>16361609659</v>
      </c>
      <c r="U145" s="4">
        <v>22095229657</v>
      </c>
      <c r="W145" s="5">
        <v>6.0265289471206065E-3</v>
      </c>
    </row>
    <row r="146" spans="1:23" ht="18.75" x14ac:dyDescent="0.45">
      <c r="A146" s="3" t="s">
        <v>152</v>
      </c>
      <c r="C146" s="4">
        <v>5445601</v>
      </c>
      <c r="E146" s="4">
        <v>10950841200</v>
      </c>
      <c r="G146" s="4">
        <v>21241395521</v>
      </c>
      <c r="I146" s="4">
        <v>0</v>
      </c>
      <c r="J146" s="4">
        <v>0</v>
      </c>
      <c r="L146" s="4">
        <v>103929</v>
      </c>
      <c r="M146" s="4">
        <v>411081720</v>
      </c>
      <c r="O146" s="4">
        <v>5341672</v>
      </c>
      <c r="Q146" s="4">
        <v>4600</v>
      </c>
      <c r="S146" s="4">
        <v>10741844989</v>
      </c>
      <c r="U146" s="4">
        <v>24519561930</v>
      </c>
      <c r="W146" s="5">
        <v>6.6877716156730242E-3</v>
      </c>
    </row>
    <row r="147" spans="1:23" ht="18.75" x14ac:dyDescent="0.45">
      <c r="A147" s="3" t="s">
        <v>153</v>
      </c>
      <c r="C147" s="4">
        <v>13104132</v>
      </c>
      <c r="E147" s="4">
        <v>18159717549</v>
      </c>
      <c r="G147" s="4">
        <v>18874909339</v>
      </c>
      <c r="N147" s="6"/>
      <c r="O147" s="4">
        <v>13104132</v>
      </c>
      <c r="Q147" s="4">
        <v>1514</v>
      </c>
      <c r="S147" s="4">
        <v>18159717549</v>
      </c>
      <c r="U147" s="4">
        <v>19764312331</v>
      </c>
      <c r="W147" s="5">
        <v>5.3907654381392181E-3</v>
      </c>
    </row>
    <row r="148" spans="1:23" ht="18.75" x14ac:dyDescent="0.45">
      <c r="A148" s="3" t="s">
        <v>154</v>
      </c>
      <c r="C148" s="4">
        <v>2851893</v>
      </c>
      <c r="E148" s="4">
        <v>17234991291</v>
      </c>
      <c r="G148" s="4">
        <v>15847226483</v>
      </c>
      <c r="N148" s="6"/>
      <c r="O148" s="4">
        <v>2851893</v>
      </c>
      <c r="Q148" s="4">
        <v>5750</v>
      </c>
      <c r="S148" s="4">
        <v>17234991291</v>
      </c>
      <c r="U148" s="4">
        <v>16328222193</v>
      </c>
      <c r="W148" s="5">
        <v>4.4535632907511634E-3</v>
      </c>
    </row>
    <row r="149" spans="1:23" ht="18.75" x14ac:dyDescent="0.45">
      <c r="A149" s="3" t="s">
        <v>155</v>
      </c>
      <c r="C149" s="4">
        <v>4467933</v>
      </c>
      <c r="E149" s="4">
        <v>19957583801</v>
      </c>
      <c r="G149" s="4">
        <v>29135248119</v>
      </c>
      <c r="I149" s="4">
        <v>0</v>
      </c>
      <c r="J149" s="4">
        <v>0</v>
      </c>
      <c r="L149" s="4">
        <v>400000</v>
      </c>
      <c r="M149" s="4">
        <v>2350043561</v>
      </c>
      <c r="O149" s="4">
        <v>4067933</v>
      </c>
      <c r="Q149" s="4">
        <v>6350</v>
      </c>
      <c r="S149" s="4">
        <v>18170844045</v>
      </c>
      <c r="U149" s="4">
        <v>26116076570</v>
      </c>
      <c r="W149" s="5">
        <v>7.1232249620207348E-3</v>
      </c>
    </row>
    <row r="150" spans="1:23" ht="37.5" x14ac:dyDescent="0.45">
      <c r="A150" s="3" t="s">
        <v>156</v>
      </c>
      <c r="C150" s="4">
        <v>7537990</v>
      </c>
      <c r="E150" s="4">
        <v>25397518108</v>
      </c>
      <c r="G150" s="4">
        <v>31471183630</v>
      </c>
      <c r="I150" s="4">
        <v>0</v>
      </c>
      <c r="J150" s="4">
        <v>0</v>
      </c>
      <c r="L150" s="4">
        <v>1518569</v>
      </c>
      <c r="M150" s="4">
        <v>5337599044</v>
      </c>
      <c r="O150" s="4">
        <v>6019421</v>
      </c>
      <c r="Q150" s="4">
        <v>3557</v>
      </c>
      <c r="S150" s="4">
        <v>20281050233</v>
      </c>
      <c r="U150" s="4">
        <v>21436705353</v>
      </c>
      <c r="W150" s="5">
        <v>5.8469148022555796E-3</v>
      </c>
    </row>
    <row r="151" spans="1:23" ht="37.5" x14ac:dyDescent="0.45">
      <c r="A151" s="3" t="s">
        <v>157</v>
      </c>
      <c r="C151" s="4">
        <v>700000</v>
      </c>
      <c r="E151" s="4">
        <v>9143294580</v>
      </c>
      <c r="G151" s="4">
        <v>11195985150</v>
      </c>
      <c r="N151" s="6"/>
      <c r="O151" s="4">
        <v>700000</v>
      </c>
      <c r="Q151" s="4">
        <v>16710</v>
      </c>
      <c r="S151" s="4">
        <v>9143294580</v>
      </c>
      <c r="U151" s="4">
        <v>11669095200</v>
      </c>
      <c r="W151" s="5">
        <v>3.1827747935277381E-3</v>
      </c>
    </row>
    <row r="152" spans="1:23" ht="18.75" x14ac:dyDescent="0.45">
      <c r="A152" s="3" t="s">
        <v>158</v>
      </c>
      <c r="C152" s="4">
        <v>7528527</v>
      </c>
      <c r="E152" s="4">
        <v>47090080495</v>
      </c>
      <c r="G152" s="4">
        <v>37418661322</v>
      </c>
      <c r="I152" s="4">
        <v>0</v>
      </c>
      <c r="J152" s="4">
        <v>0</v>
      </c>
      <c r="L152" s="4">
        <v>400000</v>
      </c>
      <c r="M152" s="4">
        <v>1908576018</v>
      </c>
      <c r="O152" s="4">
        <v>9226316</v>
      </c>
      <c r="Q152" s="4">
        <v>3616</v>
      </c>
      <c r="S152" s="4">
        <v>44588125969</v>
      </c>
      <c r="U152" s="4">
        <v>32820662730</v>
      </c>
      <c r="W152" s="5">
        <v>8.9519175440371142E-3</v>
      </c>
    </row>
    <row r="153" spans="1:23" ht="18.75" x14ac:dyDescent="0.45">
      <c r="A153" s="3" t="s">
        <v>159</v>
      </c>
      <c r="C153" s="4">
        <v>2693618</v>
      </c>
      <c r="E153" s="4">
        <v>18861301726</v>
      </c>
      <c r="G153" s="4">
        <v>21233296415</v>
      </c>
      <c r="I153" s="4">
        <v>0</v>
      </c>
      <c r="J153" s="4">
        <v>0</v>
      </c>
      <c r="L153" s="4">
        <v>1200000</v>
      </c>
      <c r="M153" s="4">
        <v>9938561642</v>
      </c>
      <c r="O153" s="4">
        <v>1493618</v>
      </c>
      <c r="Q153" s="4">
        <v>8650</v>
      </c>
      <c r="S153" s="4">
        <v>10458639555</v>
      </c>
      <c r="U153" s="4">
        <v>12923670743</v>
      </c>
      <c r="W153" s="5">
        <v>3.5249633991050388E-3</v>
      </c>
    </row>
    <row r="154" spans="1:23" ht="18.75" x14ac:dyDescent="0.45">
      <c r="A154" s="3" t="s">
        <v>160</v>
      </c>
      <c r="C154" s="4">
        <v>1981269</v>
      </c>
      <c r="E154" s="4">
        <v>6248771988</v>
      </c>
      <c r="G154" s="4">
        <v>8011846468</v>
      </c>
      <c r="N154" s="6"/>
      <c r="O154" s="4">
        <v>1981269</v>
      </c>
      <c r="Q154" s="4">
        <v>5372</v>
      </c>
      <c r="S154" s="4">
        <v>6248771988</v>
      </c>
      <c r="U154" s="4">
        <v>10537512318</v>
      </c>
      <c r="W154" s="5">
        <v>2.8741327427184282E-3</v>
      </c>
    </row>
    <row r="155" spans="1:23" ht="18.75" x14ac:dyDescent="0.45">
      <c r="A155" s="3" t="s">
        <v>161</v>
      </c>
      <c r="C155" s="4">
        <v>2401742</v>
      </c>
      <c r="E155" s="4">
        <v>18302825636</v>
      </c>
      <c r="G155" s="4">
        <v>27622815418</v>
      </c>
      <c r="I155" s="4">
        <v>0</v>
      </c>
      <c r="J155" s="4">
        <v>0</v>
      </c>
      <c r="L155" s="4">
        <v>692741</v>
      </c>
      <c r="M155" s="4">
        <v>9216079430</v>
      </c>
      <c r="O155" s="4">
        <v>1709001</v>
      </c>
      <c r="Q155" s="4">
        <v>14940</v>
      </c>
      <c r="S155" s="4">
        <v>13023691685</v>
      </c>
      <c r="U155" s="4">
        <v>25453814238</v>
      </c>
      <c r="W155" s="5">
        <v>6.9425912607040726E-3</v>
      </c>
    </row>
    <row r="156" spans="1:23" ht="18.75" x14ac:dyDescent="0.45">
      <c r="A156" s="3" t="s">
        <v>162</v>
      </c>
      <c r="C156" s="4">
        <v>999999</v>
      </c>
      <c r="E156" s="4">
        <v>3088990714</v>
      </c>
      <c r="G156" s="4">
        <v>5159114341</v>
      </c>
      <c r="N156" s="6"/>
      <c r="O156" s="4">
        <v>999999</v>
      </c>
      <c r="Q156" s="4">
        <v>4588</v>
      </c>
      <c r="S156" s="4">
        <v>3088990714</v>
      </c>
      <c r="U156" s="4">
        <v>4546576593</v>
      </c>
      <c r="W156" s="5">
        <v>1.2400900951638153E-3</v>
      </c>
    </row>
    <row r="157" spans="1:23" ht="18.75" x14ac:dyDescent="0.45">
      <c r="A157" s="3" t="s">
        <v>163</v>
      </c>
      <c r="C157" s="4">
        <v>500000</v>
      </c>
      <c r="E157" s="4">
        <v>25603738191</v>
      </c>
      <c r="G157" s="4">
        <v>27455661000</v>
      </c>
      <c r="I157" s="4">
        <v>0</v>
      </c>
      <c r="J157" s="4">
        <v>0</v>
      </c>
      <c r="L157" s="4">
        <v>43914</v>
      </c>
      <c r="M157" s="4">
        <v>2950673506</v>
      </c>
      <c r="O157" s="4">
        <v>456086</v>
      </c>
      <c r="Q157" s="4">
        <v>70090</v>
      </c>
      <c r="S157" s="4">
        <v>23355013073</v>
      </c>
      <c r="U157" s="4">
        <v>31000391183</v>
      </c>
      <c r="W157" s="5">
        <v>8.4554339437347241E-3</v>
      </c>
    </row>
    <row r="158" spans="1:23" ht="18.75" x14ac:dyDescent="0.45">
      <c r="A158" s="3" t="s">
        <v>164</v>
      </c>
      <c r="C158" s="4">
        <v>6464750</v>
      </c>
      <c r="E158" s="4">
        <v>17385609263</v>
      </c>
      <c r="G158" s="4">
        <v>21688710989</v>
      </c>
      <c r="I158" s="4">
        <v>0</v>
      </c>
      <c r="J158" s="4">
        <v>0</v>
      </c>
      <c r="L158" s="4">
        <v>232434</v>
      </c>
      <c r="M158" s="4">
        <v>716258160</v>
      </c>
      <c r="O158" s="4">
        <v>6232316</v>
      </c>
      <c r="Q158" s="4">
        <v>3045</v>
      </c>
      <c r="S158" s="4">
        <v>16760526050</v>
      </c>
      <c r="U158" s="4">
        <v>18873995882</v>
      </c>
      <c r="W158" s="5">
        <v>5.1479294081323394E-3</v>
      </c>
    </row>
    <row r="159" spans="1:23" ht="18.75" x14ac:dyDescent="0.45">
      <c r="A159" s="3" t="s">
        <v>165</v>
      </c>
      <c r="C159" s="4">
        <v>8201572</v>
      </c>
      <c r="E159" s="4">
        <v>15893097431</v>
      </c>
      <c r="G159" s="4">
        <v>14691296309</v>
      </c>
      <c r="N159" s="6"/>
      <c r="O159" s="4">
        <v>8201572</v>
      </c>
      <c r="Q159" s="4">
        <v>1848</v>
      </c>
      <c r="S159" s="4">
        <v>15893097431</v>
      </c>
      <c r="U159" s="4">
        <v>15137003358</v>
      </c>
      <c r="W159" s="5">
        <v>4.128655385156779E-3</v>
      </c>
    </row>
    <row r="160" spans="1:23" ht="18.75" x14ac:dyDescent="0.45">
      <c r="A160" s="3" t="s">
        <v>166</v>
      </c>
      <c r="C160" s="4">
        <v>845414</v>
      </c>
      <c r="E160" s="4">
        <v>9972258712</v>
      </c>
      <c r="G160" s="4">
        <v>11412411823</v>
      </c>
      <c r="N160" s="6"/>
      <c r="O160" s="4">
        <v>845414</v>
      </c>
      <c r="Q160" s="4">
        <v>13690</v>
      </c>
      <c r="S160" s="4">
        <v>9972258712</v>
      </c>
      <c r="U160" s="4">
        <v>11383587349</v>
      </c>
      <c r="W160" s="5">
        <v>3.1049018157224772E-3</v>
      </c>
    </row>
    <row r="161" spans="1:23" ht="37.5" x14ac:dyDescent="0.45">
      <c r="A161" s="3" t="s">
        <v>167</v>
      </c>
      <c r="C161" s="4">
        <v>826021</v>
      </c>
      <c r="E161" s="4">
        <v>15540795166</v>
      </c>
      <c r="G161" s="4">
        <v>16372857130</v>
      </c>
      <c r="N161" s="6"/>
      <c r="O161" s="4">
        <v>826021</v>
      </c>
      <c r="Q161" s="4">
        <v>19530</v>
      </c>
      <c r="S161" s="4">
        <v>15540795166</v>
      </c>
      <c r="U161" s="4">
        <v>15925524715</v>
      </c>
      <c r="W161" s="5">
        <v>4.3437265501617478E-3</v>
      </c>
    </row>
    <row r="162" spans="1:23" ht="37.5" x14ac:dyDescent="0.45">
      <c r="A162" s="3" t="s">
        <v>168</v>
      </c>
      <c r="C162" s="4">
        <v>500123</v>
      </c>
      <c r="E162" s="4">
        <v>16131517858</v>
      </c>
      <c r="G162" s="4">
        <v>16271630087</v>
      </c>
      <c r="N162" s="6"/>
      <c r="O162" s="4">
        <v>500123</v>
      </c>
      <c r="Q162" s="4">
        <v>38910</v>
      </c>
      <c r="S162" s="4">
        <v>16131517858</v>
      </c>
      <c r="U162" s="4">
        <v>19229960657</v>
      </c>
      <c r="W162" s="5">
        <v>5.245019687527247E-3</v>
      </c>
    </row>
    <row r="163" spans="1:23" ht="18.75" x14ac:dyDescent="0.45">
      <c r="A163" s="3" t="s">
        <v>169</v>
      </c>
      <c r="C163" s="4">
        <v>5465017</v>
      </c>
      <c r="E163" s="4">
        <v>15778895158</v>
      </c>
      <c r="G163" s="4">
        <v>17394865477</v>
      </c>
      <c r="N163" s="6"/>
      <c r="O163" s="4">
        <v>5465017</v>
      </c>
      <c r="Q163" s="4">
        <v>3063</v>
      </c>
      <c r="S163" s="4">
        <v>15778895158</v>
      </c>
      <c r="U163" s="4">
        <v>16805171725</v>
      </c>
      <c r="W163" s="5">
        <v>4.5836524640946504E-3</v>
      </c>
    </row>
    <row r="164" spans="1:23" ht="18.75" x14ac:dyDescent="0.45">
      <c r="A164" s="3" t="s">
        <v>170</v>
      </c>
      <c r="C164" s="4">
        <v>1184435</v>
      </c>
      <c r="E164" s="4">
        <v>21180499300</v>
      </c>
      <c r="G164" s="4">
        <v>20003815524</v>
      </c>
      <c r="I164" s="4">
        <v>600000</v>
      </c>
      <c r="J164" s="4">
        <v>10540562081</v>
      </c>
      <c r="L164" s="4">
        <v>94669</v>
      </c>
      <c r="M164" s="4">
        <v>1516943270</v>
      </c>
      <c r="O164" s="4">
        <v>1689766</v>
      </c>
      <c r="Q164" s="4">
        <v>16120</v>
      </c>
      <c r="S164" s="4">
        <v>30038175112</v>
      </c>
      <c r="U164" s="4">
        <v>26978169111</v>
      </c>
      <c r="W164" s="5">
        <v>7.3583628507906439E-3</v>
      </c>
    </row>
    <row r="165" spans="1:23" ht="18.75" x14ac:dyDescent="0.45">
      <c r="A165" s="3" t="s">
        <v>171</v>
      </c>
      <c r="C165" s="4">
        <v>3052977</v>
      </c>
      <c r="E165" s="4">
        <v>9377372255</v>
      </c>
      <c r="G165" s="4">
        <v>14870577756</v>
      </c>
      <c r="N165" s="6"/>
      <c r="O165" s="4">
        <v>3052977</v>
      </c>
      <c r="Q165" s="4">
        <v>5220</v>
      </c>
      <c r="S165" s="4">
        <v>9377372255</v>
      </c>
      <c r="U165" s="4">
        <v>15852732394</v>
      </c>
      <c r="W165" s="5">
        <v>4.3238722632208734E-3</v>
      </c>
    </row>
    <row r="166" spans="1:23" ht="18.75" x14ac:dyDescent="0.45">
      <c r="A166" s="3" t="s">
        <v>172</v>
      </c>
      <c r="C166" s="4">
        <v>1726432</v>
      </c>
      <c r="E166" s="4">
        <v>16236225789</v>
      </c>
      <c r="G166" s="4">
        <v>21623612593</v>
      </c>
      <c r="N166" s="6"/>
      <c r="O166" s="4">
        <v>5265617</v>
      </c>
      <c r="Q166" s="4">
        <v>4144</v>
      </c>
      <c r="S166" s="4">
        <v>16236225789</v>
      </c>
      <c r="U166" s="4">
        <v>21584118828</v>
      </c>
      <c r="W166" s="5">
        <v>5.8871221948952699E-3</v>
      </c>
    </row>
    <row r="167" spans="1:23" ht="18.75" x14ac:dyDescent="0.45">
      <c r="A167" s="3" t="s">
        <v>173</v>
      </c>
      <c r="C167" s="4">
        <v>1534515</v>
      </c>
      <c r="E167" s="4">
        <v>20828421657</v>
      </c>
      <c r="G167" s="4">
        <v>24680723406</v>
      </c>
      <c r="N167" s="6"/>
      <c r="O167" s="4">
        <v>1534515</v>
      </c>
      <c r="Q167" s="4">
        <v>17590</v>
      </c>
      <c r="S167" s="4">
        <v>20828421657</v>
      </c>
      <c r="U167" s="4">
        <v>26783469771</v>
      </c>
      <c r="W167" s="5">
        <v>7.3052581206425439E-3</v>
      </c>
    </row>
    <row r="168" spans="1:23" ht="18.75" x14ac:dyDescent="0.45">
      <c r="A168" s="3" t="s">
        <v>174</v>
      </c>
      <c r="C168" s="4">
        <v>1035048</v>
      </c>
      <c r="E168" s="4">
        <v>19458637507</v>
      </c>
      <c r="G168" s="4">
        <v>24456702569</v>
      </c>
      <c r="N168" s="6"/>
      <c r="O168" s="4">
        <v>1035048</v>
      </c>
      <c r="Q168" s="4">
        <v>20570</v>
      </c>
      <c r="S168" s="4">
        <v>19458637507</v>
      </c>
      <c r="U168" s="4">
        <v>21290685947</v>
      </c>
      <c r="W168" s="5">
        <v>5.8070876454094601E-3</v>
      </c>
    </row>
    <row r="169" spans="1:23" ht="18.75" x14ac:dyDescent="0.45">
      <c r="A169" s="3" t="s">
        <v>175</v>
      </c>
      <c r="C169" s="4">
        <v>2000000</v>
      </c>
      <c r="E169" s="4">
        <v>11710857525</v>
      </c>
      <c r="G169" s="4">
        <v>14055867000</v>
      </c>
      <c r="N169" s="6"/>
      <c r="O169" s="4">
        <v>2000000</v>
      </c>
      <c r="Q169" s="4">
        <v>7650</v>
      </c>
      <c r="S169" s="4">
        <v>11710857525</v>
      </c>
      <c r="U169" s="4">
        <v>15221421800</v>
      </c>
      <c r="W169" s="5">
        <v>4.1516807255710456E-3</v>
      </c>
    </row>
    <row r="170" spans="1:23" ht="18.75" x14ac:dyDescent="0.45">
      <c r="A170" s="3" t="s">
        <v>176</v>
      </c>
      <c r="C170" s="4">
        <v>308984</v>
      </c>
      <c r="E170" s="4">
        <v>18732528501</v>
      </c>
      <c r="G170" s="4">
        <v>20692395380</v>
      </c>
      <c r="I170" s="4">
        <v>0</v>
      </c>
      <c r="J170" s="4">
        <v>0</v>
      </c>
      <c r="L170" s="4">
        <v>146355</v>
      </c>
      <c r="M170" s="4">
        <v>9607115128</v>
      </c>
      <c r="O170" s="4">
        <v>162629</v>
      </c>
      <c r="Q170" s="4">
        <v>64340</v>
      </c>
      <c r="S170" s="4">
        <v>9859579712</v>
      </c>
      <c r="U170" s="4">
        <v>10561789404</v>
      </c>
      <c r="W170" s="5">
        <v>2.8807543784199782E-3</v>
      </c>
    </row>
    <row r="171" spans="1:23" ht="18.75" x14ac:dyDescent="0.45">
      <c r="A171" s="3" t="s">
        <v>177</v>
      </c>
      <c r="C171" s="4">
        <v>2067558</v>
      </c>
      <c r="E171" s="4">
        <v>17504816212</v>
      </c>
      <c r="G171" s="4">
        <v>13955188443</v>
      </c>
      <c r="N171" s="6"/>
      <c r="O171" s="4">
        <v>2067558</v>
      </c>
      <c r="Q171" s="4">
        <v>6120</v>
      </c>
      <c r="S171" s="4">
        <v>17504816212</v>
      </c>
      <c r="U171" s="4">
        <v>12719769815</v>
      </c>
      <c r="W171" s="5">
        <v>3.4693489129008887E-3</v>
      </c>
    </row>
    <row r="172" spans="1:23" ht="18.75" x14ac:dyDescent="0.45">
      <c r="A172" s="3" t="s">
        <v>178</v>
      </c>
      <c r="C172" s="4">
        <v>2276925</v>
      </c>
      <c r="E172" s="4">
        <v>14838497595</v>
      </c>
      <c r="G172" s="4">
        <v>14711952426</v>
      </c>
      <c r="I172" s="4">
        <v>0</v>
      </c>
      <c r="J172" s="4">
        <v>0</v>
      </c>
      <c r="L172" s="4">
        <v>200000</v>
      </c>
      <c r="M172" s="4">
        <v>1284312611</v>
      </c>
      <c r="O172" s="4">
        <v>2076925</v>
      </c>
      <c r="Q172" s="4">
        <v>6230</v>
      </c>
      <c r="S172" s="4">
        <v>13535117150</v>
      </c>
      <c r="U172" s="4">
        <v>12880439811</v>
      </c>
      <c r="W172" s="5">
        <v>3.5131720546766969E-3</v>
      </c>
    </row>
    <row r="173" spans="1:23" ht="18.75" x14ac:dyDescent="0.45">
      <c r="A173" s="3" t="s">
        <v>179</v>
      </c>
      <c r="C173" s="4">
        <v>6854018</v>
      </c>
      <c r="E173" s="4">
        <v>21502035448</v>
      </c>
      <c r="G173" s="4">
        <v>23417094170</v>
      </c>
      <c r="N173" s="6"/>
      <c r="O173" s="4">
        <v>6854018</v>
      </c>
      <c r="Q173" s="4">
        <v>3525</v>
      </c>
      <c r="S173" s="4">
        <v>21502035448</v>
      </c>
      <c r="U173" s="4">
        <v>23810428579</v>
      </c>
      <c r="W173" s="5">
        <v>6.4943537271281906E-3</v>
      </c>
    </row>
    <row r="174" spans="1:23" ht="18.75" x14ac:dyDescent="0.45">
      <c r="A174" s="3" t="s">
        <v>180</v>
      </c>
      <c r="C174" s="4">
        <v>3200000</v>
      </c>
      <c r="E174" s="4">
        <v>22335025723</v>
      </c>
      <c r="G174" s="4">
        <v>19531094400</v>
      </c>
      <c r="N174" s="6"/>
      <c r="O174" s="4">
        <v>3200000</v>
      </c>
      <c r="Q174" s="4">
        <v>6710</v>
      </c>
      <c r="S174" s="4">
        <v>22335025723</v>
      </c>
      <c r="U174" s="4">
        <v>21115505600</v>
      </c>
      <c r="W174" s="5">
        <v>5.7593067692406682E-3</v>
      </c>
    </row>
    <row r="175" spans="1:23" ht="18.75" x14ac:dyDescent="0.45">
      <c r="A175" s="3" t="s">
        <v>181</v>
      </c>
      <c r="C175" s="4">
        <v>900000</v>
      </c>
      <c r="E175" s="4">
        <v>25296645218</v>
      </c>
      <c r="G175" s="4">
        <v>26436759750</v>
      </c>
      <c r="I175" s="4">
        <v>0</v>
      </c>
      <c r="J175" s="4">
        <v>0</v>
      </c>
      <c r="L175" s="4">
        <v>200000</v>
      </c>
      <c r="M175" s="4">
        <v>5823144940</v>
      </c>
      <c r="O175" s="4">
        <v>700000</v>
      </c>
      <c r="Q175" s="4">
        <v>30920</v>
      </c>
      <c r="S175" s="4">
        <v>19675168503</v>
      </c>
      <c r="U175" s="4">
        <v>21386395310</v>
      </c>
      <c r="W175" s="5">
        <v>5.8331926126618484E-3</v>
      </c>
    </row>
    <row r="176" spans="1:23" ht="18.75" x14ac:dyDescent="0.45">
      <c r="A176" s="3" t="s">
        <v>182</v>
      </c>
      <c r="C176" s="4">
        <v>3014987</v>
      </c>
      <c r="E176" s="4">
        <v>14987389690</v>
      </c>
      <c r="G176" s="4">
        <v>16004235398</v>
      </c>
      <c r="N176" s="6"/>
      <c r="O176" s="4">
        <v>3014987</v>
      </c>
      <c r="Q176" s="4">
        <v>5016</v>
      </c>
      <c r="S176" s="4">
        <v>14987389690</v>
      </c>
      <c r="U176" s="4">
        <v>15006272651</v>
      </c>
      <c r="W176" s="5">
        <v>4.0929982590601766E-3</v>
      </c>
    </row>
    <row r="177" spans="1:23" ht="18.75" x14ac:dyDescent="0.45">
      <c r="A177" s="3" t="s">
        <v>183</v>
      </c>
      <c r="C177" s="4">
        <v>1641424</v>
      </c>
      <c r="E177" s="4">
        <v>7922461528</v>
      </c>
      <c r="G177" s="4">
        <v>8280661951</v>
      </c>
      <c r="N177" s="6"/>
      <c r="O177" s="4">
        <v>1641424</v>
      </c>
      <c r="Q177" s="4">
        <v>5890</v>
      </c>
      <c r="S177" s="4">
        <v>7922461528</v>
      </c>
      <c r="U177" s="4">
        <v>9772414755</v>
      </c>
      <c r="W177" s="5">
        <v>2.6654504758957271E-3</v>
      </c>
    </row>
    <row r="178" spans="1:23" ht="18.75" x14ac:dyDescent="0.45">
      <c r="A178" s="3" t="s">
        <v>184</v>
      </c>
      <c r="C178" s="4">
        <v>3657173</v>
      </c>
      <c r="E178" s="4">
        <v>19250217180</v>
      </c>
      <c r="G178" s="4">
        <v>19376750334</v>
      </c>
      <c r="I178" s="4">
        <v>2000000</v>
      </c>
      <c r="J178" s="4">
        <v>11150337844</v>
      </c>
      <c r="L178" s="4">
        <v>0</v>
      </c>
      <c r="M178" s="4">
        <v>0</v>
      </c>
      <c r="O178" s="4">
        <v>5657173</v>
      </c>
      <c r="Q178" s="4">
        <v>6810</v>
      </c>
      <c r="S178" s="4">
        <v>30400555024</v>
      </c>
      <c r="U178" s="4">
        <v>38227547189</v>
      </c>
      <c r="W178" s="5">
        <v>1.0426658753417431E-2</v>
      </c>
    </row>
    <row r="179" spans="1:23" ht="18.75" x14ac:dyDescent="0.45">
      <c r="A179" s="3" t="s">
        <v>185</v>
      </c>
      <c r="C179" s="4">
        <v>2000000</v>
      </c>
      <c r="E179" s="4">
        <v>5146668896</v>
      </c>
      <c r="G179" s="4">
        <v>5940442800</v>
      </c>
      <c r="N179" s="6"/>
      <c r="O179" s="4">
        <v>2000000</v>
      </c>
      <c r="Q179" s="4">
        <v>3081</v>
      </c>
      <c r="S179" s="4">
        <v>5146668896</v>
      </c>
      <c r="U179" s="4">
        <v>6136197680</v>
      </c>
      <c r="W179" s="5">
        <v>1.6736632077530213E-3</v>
      </c>
    </row>
    <row r="180" spans="1:23" ht="18.75" x14ac:dyDescent="0.45">
      <c r="A180" s="3" t="s">
        <v>186</v>
      </c>
      <c r="C180" s="4">
        <v>707809</v>
      </c>
      <c r="E180" s="4">
        <v>27178568227</v>
      </c>
      <c r="G180" s="4">
        <v>29621456285</v>
      </c>
      <c r="I180" s="4">
        <v>0</v>
      </c>
      <c r="J180" s="4">
        <v>0</v>
      </c>
      <c r="L180" s="4">
        <v>310397</v>
      </c>
      <c r="M180" s="4">
        <v>13271425623</v>
      </c>
      <c r="O180" s="4">
        <v>397412</v>
      </c>
      <c r="Q180" s="4">
        <v>43630</v>
      </c>
      <c r="S180" s="4">
        <v>15259892367</v>
      </c>
      <c r="U180" s="4">
        <v>17327299830</v>
      </c>
      <c r="W180" s="5">
        <v>4.7260642058024735E-3</v>
      </c>
    </row>
    <row r="181" spans="1:23" ht="18.75" x14ac:dyDescent="0.45">
      <c r="A181" s="3" t="s">
        <v>187</v>
      </c>
      <c r="C181" s="4">
        <v>4734015</v>
      </c>
      <c r="E181" s="4">
        <v>18778157815</v>
      </c>
      <c r="G181" s="4">
        <v>25416282946</v>
      </c>
      <c r="I181" s="4">
        <v>0</v>
      </c>
      <c r="J181" s="4">
        <v>0</v>
      </c>
      <c r="L181" s="4">
        <v>800000</v>
      </c>
      <c r="M181" s="4">
        <v>4453998725</v>
      </c>
      <c r="O181" s="4">
        <v>3934015</v>
      </c>
      <c r="Q181" s="4">
        <v>5620</v>
      </c>
      <c r="S181" s="4">
        <v>15604841666</v>
      </c>
      <c r="U181" s="4">
        <v>21977296511</v>
      </c>
      <c r="W181" s="5">
        <v>5.9943623876764583E-3</v>
      </c>
    </row>
    <row r="182" spans="1:23" ht="18.75" x14ac:dyDescent="0.45">
      <c r="A182" s="3" t="s">
        <v>188</v>
      </c>
      <c r="C182" s="4">
        <v>1500000</v>
      </c>
      <c r="E182" s="4">
        <v>23134946223</v>
      </c>
      <c r="G182" s="4">
        <v>40482686250</v>
      </c>
      <c r="I182" s="4">
        <v>0</v>
      </c>
      <c r="J182" s="4">
        <v>0</v>
      </c>
      <c r="L182" s="4">
        <v>538982</v>
      </c>
      <c r="M182" s="4">
        <v>15671046591</v>
      </c>
      <c r="O182" s="4">
        <v>961018</v>
      </c>
      <c r="Q182" s="4">
        <v>28750</v>
      </c>
      <c r="S182" s="4">
        <v>14822066500</v>
      </c>
      <c r="U182" s="4">
        <v>27606411128</v>
      </c>
      <c r="W182" s="5">
        <v>7.5297174264172635E-3</v>
      </c>
    </row>
    <row r="183" spans="1:23" ht="18.75" x14ac:dyDescent="0.45">
      <c r="A183" s="3" t="s">
        <v>189</v>
      </c>
      <c r="C183" s="4">
        <v>324464</v>
      </c>
      <c r="E183" s="4">
        <v>11863537055</v>
      </c>
      <c r="G183" s="4">
        <v>13933444573</v>
      </c>
      <c r="I183" s="4">
        <v>0</v>
      </c>
      <c r="J183" s="4">
        <v>0</v>
      </c>
      <c r="L183" s="4">
        <v>78333</v>
      </c>
      <c r="M183" s="4">
        <v>3473054536</v>
      </c>
      <c r="O183" s="4">
        <v>246131</v>
      </c>
      <c r="Q183" s="4">
        <v>44560</v>
      </c>
      <c r="S183" s="4">
        <v>8999408991</v>
      </c>
      <c r="U183" s="4">
        <v>10917009809</v>
      </c>
      <c r="W183" s="5">
        <v>2.9776416290425213E-3</v>
      </c>
    </row>
    <row r="184" spans="1:23" ht="18.75" x14ac:dyDescent="0.45">
      <c r="A184" s="3" t="s">
        <v>190</v>
      </c>
      <c r="C184" s="4">
        <v>492921</v>
      </c>
      <c r="E184" s="4">
        <v>16218557119</v>
      </c>
      <c r="G184" s="4">
        <v>21946567897</v>
      </c>
      <c r="I184" s="4">
        <v>0</v>
      </c>
      <c r="J184" s="4">
        <v>0</v>
      </c>
      <c r="L184" s="4">
        <v>200000</v>
      </c>
      <c r="M184" s="4">
        <v>8584615814</v>
      </c>
      <c r="O184" s="4">
        <v>292921</v>
      </c>
      <c r="Q184" s="4">
        <v>41120</v>
      </c>
      <c r="S184" s="4">
        <v>9637966266</v>
      </c>
      <c r="U184" s="4">
        <v>12111665550</v>
      </c>
      <c r="W184" s="5">
        <v>3.3034869593126866E-3</v>
      </c>
    </row>
    <row r="185" spans="1:23" ht="18.75" x14ac:dyDescent="0.45">
      <c r="A185" s="3" t="s">
        <v>191</v>
      </c>
      <c r="C185" s="4">
        <v>48341</v>
      </c>
      <c r="E185" s="4">
        <v>13238121345</v>
      </c>
      <c r="G185" s="4">
        <v>13690405412</v>
      </c>
      <c r="N185" s="6"/>
      <c r="O185" s="4">
        <v>48341</v>
      </c>
      <c r="Q185" s="4">
        <v>298870</v>
      </c>
      <c r="S185" s="4">
        <v>13238121345</v>
      </c>
      <c r="U185" s="4">
        <v>14375807024</v>
      </c>
      <c r="W185" s="5">
        <v>3.9210371882651366E-3</v>
      </c>
    </row>
    <row r="186" spans="1:23" ht="18.75" x14ac:dyDescent="0.45">
      <c r="A186" s="3" t="s">
        <v>192</v>
      </c>
      <c r="C186" s="4">
        <v>1036013</v>
      </c>
      <c r="E186" s="4">
        <v>15308591175</v>
      </c>
      <c r="G186" s="4">
        <v>18372501212</v>
      </c>
      <c r="N186" s="6"/>
      <c r="O186" s="4">
        <v>1036013</v>
      </c>
      <c r="Q186" s="4">
        <v>16450</v>
      </c>
      <c r="S186" s="4">
        <v>15308591175</v>
      </c>
      <c r="U186" s="4">
        <v>16931236083</v>
      </c>
      <c r="W186" s="5">
        <v>4.6180368318736236E-3</v>
      </c>
    </row>
    <row r="187" spans="1:23" ht="18.75" x14ac:dyDescent="0.45">
      <c r="A187" s="3" t="s">
        <v>193</v>
      </c>
      <c r="C187" s="4">
        <v>4658472</v>
      </c>
      <c r="E187" s="4">
        <v>25832654995</v>
      </c>
      <c r="G187" s="4">
        <v>26719451109</v>
      </c>
      <c r="N187" s="6"/>
      <c r="O187" s="4">
        <v>4658472</v>
      </c>
      <c r="Q187" s="4">
        <v>6950</v>
      </c>
      <c r="S187" s="4">
        <v>25832654995</v>
      </c>
      <c r="U187" s="4">
        <v>32264784840</v>
      </c>
      <c r="W187" s="5">
        <v>8.8003004643708704E-3</v>
      </c>
    </row>
    <row r="188" spans="1:23" ht="18.75" x14ac:dyDescent="0.45">
      <c r="A188" s="3" t="s">
        <v>194</v>
      </c>
      <c r="C188" s="4">
        <v>23987053</v>
      </c>
      <c r="E188" s="4">
        <v>62353198178</v>
      </c>
      <c r="G188" s="4">
        <v>46043401297</v>
      </c>
      <c r="I188" s="4">
        <v>0</v>
      </c>
      <c r="J188" s="4">
        <v>0</v>
      </c>
      <c r="L188" s="4">
        <v>4697941</v>
      </c>
      <c r="M188" s="4">
        <v>11041858560</v>
      </c>
      <c r="O188" s="4">
        <v>19289112</v>
      </c>
      <c r="Q188" s="4">
        <v>2500</v>
      </c>
      <c r="S188" s="4">
        <v>50141125015</v>
      </c>
      <c r="U188" s="4">
        <v>47850017911</v>
      </c>
      <c r="W188" s="5">
        <v>1.3051211620673176E-2</v>
      </c>
    </row>
    <row r="189" spans="1:23" ht="18.75" x14ac:dyDescent="0.45">
      <c r="A189" s="3" t="s">
        <v>195</v>
      </c>
      <c r="C189" s="4">
        <v>2280545</v>
      </c>
      <c r="E189" s="4">
        <v>28664992652</v>
      </c>
      <c r="G189" s="4">
        <v>33347213389</v>
      </c>
      <c r="I189" s="4">
        <v>0</v>
      </c>
      <c r="J189" s="4">
        <v>0</v>
      </c>
      <c r="L189" s="4">
        <v>791751</v>
      </c>
      <c r="M189" s="4">
        <v>11625984034</v>
      </c>
      <c r="O189" s="4">
        <v>1488794</v>
      </c>
      <c r="Q189" s="4">
        <v>15050</v>
      </c>
      <c r="S189" s="4">
        <v>18713188764</v>
      </c>
      <c r="U189" s="4">
        <v>22307012898</v>
      </c>
      <c r="W189" s="5">
        <v>6.0842933538371108E-3</v>
      </c>
    </row>
    <row r="190" spans="1:23" ht="37.5" x14ac:dyDescent="0.45">
      <c r="A190" s="3" t="s">
        <v>196</v>
      </c>
      <c r="C190" s="4">
        <v>450000</v>
      </c>
      <c r="E190" s="4">
        <v>2252043000</v>
      </c>
      <c r="G190" s="4">
        <v>7926554700</v>
      </c>
      <c r="N190" s="6"/>
      <c r="O190" s="4">
        <v>450000</v>
      </c>
      <c r="Q190" s="4">
        <v>14350</v>
      </c>
      <c r="S190" s="4">
        <v>2252043000</v>
      </c>
      <c r="U190" s="4">
        <v>6380792235</v>
      </c>
      <c r="W190" s="5">
        <v>1.7403769821241596E-3</v>
      </c>
    </row>
    <row r="191" spans="1:23" ht="18.75" x14ac:dyDescent="0.45">
      <c r="A191" s="3" t="s">
        <v>197</v>
      </c>
      <c r="C191" s="4">
        <v>3000000</v>
      </c>
      <c r="E191" s="4">
        <v>18779411046</v>
      </c>
      <c r="G191" s="4">
        <v>21829338000</v>
      </c>
      <c r="I191" s="4">
        <v>0</v>
      </c>
      <c r="J191" s="4">
        <v>0</v>
      </c>
      <c r="L191" s="4">
        <v>200000</v>
      </c>
      <c r="M191" s="4">
        <v>1587212088</v>
      </c>
      <c r="O191" s="4">
        <v>2800000</v>
      </c>
      <c r="Q191" s="4">
        <v>7980</v>
      </c>
      <c r="S191" s="4">
        <v>17527450310</v>
      </c>
      <c r="U191" s="4">
        <v>22337982240</v>
      </c>
      <c r="W191" s="5">
        <v>6.0927403190388129E-3</v>
      </c>
    </row>
    <row r="192" spans="1:23" ht="18.75" x14ac:dyDescent="0.45">
      <c r="A192" s="3" t="s">
        <v>198</v>
      </c>
      <c r="C192" s="4">
        <v>1405716</v>
      </c>
      <c r="E192" s="4">
        <v>7977806216</v>
      </c>
      <c r="G192" s="4">
        <v>10298484165</v>
      </c>
      <c r="N192" s="6"/>
      <c r="O192" s="4">
        <v>1405716</v>
      </c>
      <c r="Q192" s="4">
        <v>8470</v>
      </c>
      <c r="S192" s="4">
        <v>7977806216</v>
      </c>
      <c r="U192" s="4">
        <v>11814377936</v>
      </c>
      <c r="W192" s="5">
        <v>3.2224010217956796E-3</v>
      </c>
    </row>
    <row r="193" spans="1:23" ht="37.5" x14ac:dyDescent="0.45">
      <c r="A193" s="3" t="s">
        <v>199</v>
      </c>
      <c r="C193" s="4">
        <v>98085</v>
      </c>
      <c r="E193" s="4">
        <v>13405576184</v>
      </c>
      <c r="G193" s="4">
        <v>17020818394</v>
      </c>
      <c r="I193" s="4">
        <v>0</v>
      </c>
      <c r="J193" s="4">
        <v>0</v>
      </c>
      <c r="L193" s="4">
        <v>22615</v>
      </c>
      <c r="M193" s="4">
        <v>3798575984</v>
      </c>
      <c r="O193" s="4">
        <v>75470</v>
      </c>
      <c r="Q193" s="4">
        <v>184100</v>
      </c>
      <c r="S193" s="4">
        <v>10314715141</v>
      </c>
      <c r="U193" s="4">
        <v>13788123904</v>
      </c>
      <c r="W193" s="5">
        <v>3.7607451528622773E-3</v>
      </c>
    </row>
    <row r="194" spans="1:23" ht="18.75" x14ac:dyDescent="0.45">
      <c r="A194" s="3" t="s">
        <v>200</v>
      </c>
      <c r="C194" s="4">
        <v>4067894</v>
      </c>
      <c r="E194" s="4">
        <v>12486002155</v>
      </c>
      <c r="G194" s="4">
        <v>13299696511</v>
      </c>
      <c r="I194" s="4">
        <v>0</v>
      </c>
      <c r="J194" s="4">
        <v>0</v>
      </c>
      <c r="L194" s="4">
        <v>400000</v>
      </c>
      <c r="M194" s="4">
        <v>1264916705</v>
      </c>
      <c r="O194" s="4">
        <v>3667894</v>
      </c>
      <c r="Q194" s="4">
        <v>3315</v>
      </c>
      <c r="S194" s="4">
        <v>11258241338</v>
      </c>
      <c r="U194" s="4">
        <v>12105113963</v>
      </c>
      <c r="W194" s="5">
        <v>3.3016999976328123E-3</v>
      </c>
    </row>
    <row r="195" spans="1:23" ht="18.75" x14ac:dyDescent="0.45">
      <c r="A195" s="3" t="s">
        <v>201</v>
      </c>
      <c r="C195" s="4">
        <v>1724465</v>
      </c>
      <c r="E195" s="4">
        <v>13637699241</v>
      </c>
      <c r="G195" s="4">
        <v>15650686476</v>
      </c>
      <c r="N195" s="6"/>
      <c r="O195" s="4">
        <v>1724465</v>
      </c>
      <c r="Q195" s="4">
        <v>10080</v>
      </c>
      <c r="S195" s="4">
        <v>13637699241</v>
      </c>
      <c r="U195" s="4">
        <v>17419353135</v>
      </c>
      <c r="W195" s="5">
        <v>4.751171974124984E-3</v>
      </c>
    </row>
    <row r="196" spans="1:23" ht="18.75" x14ac:dyDescent="0.45">
      <c r="A196" s="3" t="s">
        <v>202</v>
      </c>
      <c r="C196" s="4">
        <v>1792838</v>
      </c>
      <c r="E196" s="4">
        <v>12418715001</v>
      </c>
      <c r="G196" s="4">
        <v>15718744815</v>
      </c>
      <c r="N196" s="6"/>
      <c r="O196" s="4">
        <v>1792838</v>
      </c>
      <c r="Q196" s="4">
        <v>8260</v>
      </c>
      <c r="S196" s="4">
        <v>12418715001</v>
      </c>
      <c r="U196" s="4">
        <v>14890057262</v>
      </c>
      <c r="W196" s="5">
        <v>4.0613002221181844E-3</v>
      </c>
    </row>
    <row r="197" spans="1:23" ht="18.75" x14ac:dyDescent="0.45">
      <c r="A197" s="3" t="s">
        <v>203</v>
      </c>
      <c r="C197" s="4">
        <v>2031330</v>
      </c>
      <c r="E197" s="4">
        <v>6332700327</v>
      </c>
      <c r="G197" s="4">
        <v>8034570231</v>
      </c>
      <c r="N197" s="6"/>
      <c r="O197" s="4">
        <v>2031330</v>
      </c>
      <c r="Q197" s="4">
        <v>4188</v>
      </c>
      <c r="S197" s="4">
        <v>6332700327</v>
      </c>
      <c r="U197" s="4">
        <v>8507965024</v>
      </c>
      <c r="W197" s="5">
        <v>2.3205686609363524E-3</v>
      </c>
    </row>
    <row r="198" spans="1:23" ht="18.75" x14ac:dyDescent="0.45">
      <c r="A198" s="3" t="s">
        <v>204</v>
      </c>
      <c r="C198" s="4">
        <v>8047274</v>
      </c>
      <c r="E198" s="4">
        <v>15608937924</v>
      </c>
      <c r="G198" s="4">
        <v>20790421679</v>
      </c>
      <c r="I198" s="4">
        <v>0</v>
      </c>
      <c r="J198" s="4">
        <v>0</v>
      </c>
      <c r="L198" s="4">
        <v>400000</v>
      </c>
      <c r="M198" s="4">
        <v>916911727</v>
      </c>
      <c r="O198" s="4">
        <v>7647274</v>
      </c>
      <c r="Q198" s="4">
        <v>2486</v>
      </c>
      <c r="S198" s="4">
        <v>14833075791</v>
      </c>
      <c r="U198" s="4">
        <v>18818638219</v>
      </c>
      <c r="W198" s="5">
        <v>5.1328304676056561E-3</v>
      </c>
    </row>
    <row r="199" spans="1:23" ht="37.5" x14ac:dyDescent="0.45">
      <c r="A199" s="3" t="s">
        <v>205</v>
      </c>
      <c r="C199" s="4">
        <v>9752234</v>
      </c>
      <c r="E199" s="4">
        <v>13415884464</v>
      </c>
      <c r="G199" s="4">
        <v>14415287605</v>
      </c>
      <c r="N199" s="6"/>
      <c r="O199" s="4">
        <v>9752234</v>
      </c>
      <c r="Q199" s="4">
        <v>1528</v>
      </c>
      <c r="S199" s="4">
        <v>13415884464</v>
      </c>
      <c r="U199" s="4">
        <v>14863640419</v>
      </c>
      <c r="W199" s="5">
        <v>4.0540949623629145E-3</v>
      </c>
    </row>
    <row r="200" spans="1:23" ht="37.5" x14ac:dyDescent="0.45">
      <c r="A200" s="3" t="s">
        <v>206</v>
      </c>
      <c r="C200" s="4">
        <v>14788545</v>
      </c>
      <c r="E200" s="4">
        <v>19142666698</v>
      </c>
      <c r="G200" s="4">
        <v>15523784134</v>
      </c>
      <c r="I200" s="4">
        <v>0</v>
      </c>
      <c r="J200" s="4">
        <v>0</v>
      </c>
      <c r="L200" s="4">
        <v>800000</v>
      </c>
      <c r="M200" s="4">
        <v>839773486</v>
      </c>
      <c r="O200" s="4">
        <v>13988545</v>
      </c>
      <c r="Q200" s="4">
        <v>1068</v>
      </c>
      <c r="S200" s="4">
        <v>18107126463</v>
      </c>
      <c r="U200" s="4">
        <v>14838162082</v>
      </c>
      <c r="W200" s="5">
        <v>4.0471456824577676E-3</v>
      </c>
    </row>
    <row r="201" spans="1:23" ht="37.5" x14ac:dyDescent="0.45">
      <c r="A201" s="3" t="s">
        <v>207</v>
      </c>
      <c r="H201" s="6"/>
      <c r="I201" s="4">
        <v>2283</v>
      </c>
      <c r="J201" s="4">
        <v>11580979</v>
      </c>
      <c r="L201" s="4">
        <v>2283</v>
      </c>
      <c r="M201" s="4">
        <v>11846355</v>
      </c>
      <c r="W201" s="5">
        <v>0</v>
      </c>
    </row>
    <row r="202" spans="1:23" ht="18.75" x14ac:dyDescent="0.45">
      <c r="A202" s="3" t="s">
        <v>208</v>
      </c>
      <c r="C202" s="4">
        <v>13459149</v>
      </c>
      <c r="E202" s="4">
        <v>25277948526</v>
      </c>
      <c r="G202" s="4">
        <v>27172885206</v>
      </c>
      <c r="I202" s="4">
        <v>0</v>
      </c>
      <c r="J202" s="4">
        <v>0</v>
      </c>
      <c r="L202" s="4">
        <v>3200000</v>
      </c>
      <c r="M202" s="4">
        <v>6285199307</v>
      </c>
      <c r="O202" s="4">
        <v>10259149</v>
      </c>
      <c r="Q202" s="4">
        <v>2171</v>
      </c>
      <c r="S202" s="4">
        <v>19267952256</v>
      </c>
      <c r="U202" s="4">
        <v>21978287035</v>
      </c>
      <c r="W202" s="5">
        <v>5.9946325555657034E-3</v>
      </c>
    </row>
    <row r="203" spans="1:23" ht="18.75" x14ac:dyDescent="0.45">
      <c r="A203" s="7" t="s">
        <v>209</v>
      </c>
      <c r="C203" s="7">
        <f>SUM(C11:$C$202)</f>
        <v>1009662135</v>
      </c>
      <c r="E203" s="7">
        <f>SUM(E11:$E$202)</f>
        <v>3428021160999</v>
      </c>
      <c r="G203" s="7">
        <f>SUM(G11:$G$202)</f>
        <v>3693567753499</v>
      </c>
      <c r="I203" s="7">
        <f>SUM(I11:$I$202)</f>
        <v>13957637</v>
      </c>
      <c r="J203" s="7">
        <f>SUM(J11:$J$202)</f>
        <v>82767687290</v>
      </c>
      <c r="L203" s="7">
        <f>SUM(L11:$L$202)</f>
        <v>126301913</v>
      </c>
      <c r="M203" s="7">
        <f>SUM(M11:$M$202)</f>
        <v>468368987154</v>
      </c>
      <c r="O203" s="7">
        <f>SUM(O11:$O$202)</f>
        <v>903348497</v>
      </c>
      <c r="Q203" s="7">
        <f>SUM(Q11:$Q$202)</f>
        <v>2924928</v>
      </c>
      <c r="S203" s="7">
        <f>SUM(S11:$S$202)</f>
        <v>3078317500421</v>
      </c>
      <c r="U203" s="7">
        <f>SUM(U11:$U$202)</f>
        <v>3399261592075</v>
      </c>
      <c r="W203" s="8">
        <f>SUM(W11:$W$202)</f>
        <v>0.92715706971550593</v>
      </c>
    </row>
    <row r="204" spans="1:23" ht="18.75" x14ac:dyDescent="0.45">
      <c r="C204" s="9"/>
      <c r="E204" s="9"/>
      <c r="G204" s="9"/>
      <c r="I204" s="9"/>
      <c r="J204" s="9"/>
      <c r="L204" s="9"/>
      <c r="M204" s="9"/>
      <c r="O204" s="9"/>
      <c r="Q204" s="9"/>
      <c r="S204" s="9"/>
      <c r="U204" s="9"/>
      <c r="W204" s="9"/>
    </row>
    <row r="209" spans="21:21" x14ac:dyDescent="0.45">
      <c r="U209" s="15"/>
    </row>
  </sheetData>
  <mergeCells count="19"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7" right="0.7" top="0.75" bottom="0.75" header="0.3" footer="0.3"/>
  <pageSetup paperSize="9"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60" zoomScaleNormal="100" workbookViewId="0">
      <selection activeCell="AL14" sqref="AL14"/>
    </sheetView>
  </sheetViews>
  <sheetFormatPr defaultRowHeight="18" x14ac:dyDescent="0.45"/>
  <cols>
    <col min="1" max="1" width="17" style="1" customWidth="1"/>
    <col min="2" max="2" width="1.42578125" style="1" customWidth="1"/>
    <col min="3" max="3" width="12.7109375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1.42578125" style="1" customWidth="1"/>
    <col min="10" max="10" width="17" style="1" customWidth="1"/>
    <col min="11" max="11" width="1.42578125" style="1" customWidth="1"/>
    <col min="12" max="12" width="11.42578125" style="1" customWidth="1"/>
    <col min="13" max="13" width="17" style="1" customWidth="1"/>
    <col min="14" max="14" width="1.42578125" style="1" customWidth="1"/>
    <col min="15" max="15" width="12.7109375" style="1" customWidth="1"/>
    <col min="16" max="16" width="1.42578125" style="1" customWidth="1"/>
    <col min="17" max="17" width="11.42578125" style="1" customWidth="1"/>
    <col min="18" max="18" width="1.42578125" style="1" customWidth="1"/>
    <col min="19" max="19" width="17" style="1" customWidth="1"/>
    <col min="20" max="20" width="1.42578125" style="1" customWidth="1"/>
    <col min="21" max="21" width="17" style="1" customWidth="1"/>
    <col min="22" max="22" width="1.42578125" style="1" customWidth="1"/>
    <col min="23" max="23" width="8.5703125" style="1" customWidth="1"/>
    <col min="24" max="16384" width="9.140625" style="1"/>
  </cols>
  <sheetData>
    <row r="1" spans="1:24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4" ht="20.100000000000001" customHeight="1" x14ac:dyDescent="0.4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4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5" spans="1:24" ht="21" x14ac:dyDescent="0.45">
      <c r="A5" s="23" t="s">
        <v>210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7" spans="1:24" ht="21" x14ac:dyDescent="0.45">
      <c r="A7" s="24" t="s">
        <v>211</v>
      </c>
      <c r="B7" s="25"/>
      <c r="C7" s="25"/>
      <c r="D7" s="25"/>
      <c r="E7" s="25"/>
      <c r="F7" s="25"/>
      <c r="G7" s="25"/>
      <c r="I7" s="24" t="s">
        <v>5</v>
      </c>
      <c r="J7" s="25"/>
      <c r="K7" s="25"/>
      <c r="L7" s="25"/>
      <c r="M7" s="25"/>
      <c r="O7" s="24" t="s">
        <v>7</v>
      </c>
      <c r="P7" s="25"/>
      <c r="Q7" s="25"/>
      <c r="R7" s="25"/>
      <c r="S7" s="25"/>
      <c r="T7" s="25"/>
      <c r="U7" s="25"/>
      <c r="V7" s="25"/>
      <c r="W7" s="25"/>
    </row>
    <row r="8" spans="1:24" x14ac:dyDescent="0.45">
      <c r="A8" s="26"/>
      <c r="B8" s="22"/>
      <c r="C8" s="22"/>
      <c r="D8" s="22"/>
      <c r="E8" s="22"/>
      <c r="F8" s="22"/>
      <c r="G8" s="22"/>
      <c r="I8" s="26" t="s">
        <v>212</v>
      </c>
      <c r="J8" s="26" t="s">
        <v>213</v>
      </c>
      <c r="L8" s="26" t="s">
        <v>214</v>
      </c>
      <c r="M8" s="26" t="s">
        <v>215</v>
      </c>
      <c r="O8" s="26" t="s">
        <v>212</v>
      </c>
      <c r="Q8" s="26" t="s">
        <v>213</v>
      </c>
      <c r="S8" s="28" t="s">
        <v>214</v>
      </c>
      <c r="U8" s="26" t="s">
        <v>215</v>
      </c>
    </row>
    <row r="9" spans="1:24" x14ac:dyDescent="0.45">
      <c r="A9" s="22"/>
      <c r="B9" s="22"/>
      <c r="C9" s="22"/>
      <c r="D9" s="22"/>
      <c r="E9" s="22"/>
      <c r="F9" s="22"/>
      <c r="G9" s="22"/>
      <c r="I9" s="22"/>
      <c r="J9" s="22"/>
      <c r="L9" s="22"/>
      <c r="M9" s="22"/>
      <c r="O9" s="22"/>
      <c r="Q9" s="22"/>
      <c r="S9" s="22"/>
      <c r="U9" s="22"/>
    </row>
    <row r="10" spans="1:24" x14ac:dyDescent="0.45">
      <c r="A10" s="26" t="s">
        <v>216</v>
      </c>
      <c r="B10" s="22"/>
      <c r="C10" s="22"/>
      <c r="D10" s="22"/>
      <c r="E10" s="22"/>
      <c r="F10" s="22"/>
      <c r="G10" s="22"/>
      <c r="I10" s="29">
        <v>123</v>
      </c>
      <c r="J10" s="29">
        <v>17150</v>
      </c>
      <c r="L10" s="26" t="s">
        <v>217</v>
      </c>
      <c r="M10" s="30" t="s">
        <v>371</v>
      </c>
      <c r="O10" s="29">
        <v>123</v>
      </c>
      <c r="Q10" s="29">
        <v>17150</v>
      </c>
      <c r="S10" s="26" t="s">
        <v>217</v>
      </c>
      <c r="U10" s="30" t="s">
        <v>371</v>
      </c>
    </row>
    <row r="11" spans="1:24" x14ac:dyDescent="0.45">
      <c r="A11" s="22"/>
      <c r="B11" s="22"/>
      <c r="C11" s="22"/>
      <c r="D11" s="22"/>
      <c r="E11" s="22"/>
      <c r="F11" s="22"/>
      <c r="G11" s="22"/>
      <c r="I11" s="22"/>
      <c r="J11" s="22"/>
      <c r="L11" s="22"/>
      <c r="M11" s="22"/>
      <c r="O11" s="22"/>
      <c r="Q11" s="22"/>
      <c r="S11" s="22"/>
      <c r="U11" s="22"/>
    </row>
    <row r="13" spans="1:24" ht="21" x14ac:dyDescent="0.45">
      <c r="A13" s="23" t="s">
        <v>218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5" spans="1:24" ht="21" x14ac:dyDescent="0.45">
      <c r="A15" s="24" t="s">
        <v>211</v>
      </c>
      <c r="B15" s="25"/>
      <c r="C15" s="25"/>
      <c r="D15" s="25"/>
      <c r="E15" s="25"/>
      <c r="F15" s="25"/>
      <c r="G15" s="25"/>
      <c r="I15" s="24" t="s">
        <v>5</v>
      </c>
      <c r="J15" s="25"/>
      <c r="K15" s="25"/>
      <c r="L15" s="25"/>
      <c r="M15" s="25"/>
      <c r="N15" s="25"/>
      <c r="O15" s="25"/>
      <c r="Q15" s="24" t="s">
        <v>7</v>
      </c>
      <c r="R15" s="25"/>
      <c r="S15" s="25"/>
      <c r="T15" s="25"/>
      <c r="U15" s="25"/>
      <c r="V15" s="25"/>
      <c r="W15" s="25"/>
      <c r="X15" s="25"/>
    </row>
    <row r="16" spans="1:24" x14ac:dyDescent="0.45">
      <c r="A16" s="26"/>
      <c r="B16" s="22"/>
      <c r="C16" s="22"/>
      <c r="D16" s="22"/>
      <c r="E16" s="22"/>
      <c r="F16" s="22"/>
      <c r="G16" s="22"/>
      <c r="I16" s="26" t="s">
        <v>219</v>
      </c>
      <c r="J16" s="26" t="s">
        <v>220</v>
      </c>
      <c r="L16" s="26" t="s">
        <v>221</v>
      </c>
      <c r="M16" s="26" t="s">
        <v>213</v>
      </c>
      <c r="O16" s="26" t="s">
        <v>214</v>
      </c>
      <c r="Q16" s="26" t="s">
        <v>219</v>
      </c>
      <c r="S16" s="26" t="s">
        <v>220</v>
      </c>
      <c r="U16" s="26" t="s">
        <v>221</v>
      </c>
      <c r="W16" s="26" t="s">
        <v>213</v>
      </c>
      <c r="X16" s="26" t="s">
        <v>214</v>
      </c>
    </row>
    <row r="17" spans="1:24" x14ac:dyDescent="0.45">
      <c r="A17" s="22"/>
      <c r="B17" s="22"/>
      <c r="C17" s="22"/>
      <c r="D17" s="22"/>
      <c r="E17" s="22"/>
      <c r="F17" s="22"/>
      <c r="G17" s="22"/>
      <c r="I17" s="22"/>
      <c r="J17" s="22"/>
      <c r="L17" s="22"/>
      <c r="M17" s="22"/>
      <c r="O17" s="22"/>
      <c r="Q17" s="22"/>
      <c r="S17" s="22"/>
      <c r="U17" s="22"/>
      <c r="W17" s="22"/>
      <c r="X17" s="22"/>
    </row>
    <row r="19" spans="1:24" ht="21" x14ac:dyDescent="0.45">
      <c r="A19" s="23" t="s">
        <v>222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4" ht="21" x14ac:dyDescent="0.45">
      <c r="A20" s="24" t="s">
        <v>211</v>
      </c>
      <c r="B20" s="25"/>
      <c r="C20" s="25"/>
      <c r="D20" s="25"/>
      <c r="E20" s="25"/>
      <c r="F20" s="25"/>
      <c r="G20" s="25"/>
      <c r="I20" s="24" t="s">
        <v>5</v>
      </c>
      <c r="J20" s="25"/>
      <c r="K20" s="25"/>
      <c r="L20" s="25"/>
      <c r="M20" s="25"/>
      <c r="O20" s="24" t="s">
        <v>7</v>
      </c>
      <c r="P20" s="25"/>
      <c r="Q20" s="25"/>
      <c r="R20" s="25"/>
      <c r="S20" s="25"/>
      <c r="T20" s="25"/>
      <c r="U20" s="25"/>
      <c r="V20" s="25"/>
      <c r="W20" s="25"/>
    </row>
    <row r="21" spans="1:24" x14ac:dyDescent="0.45">
      <c r="A21" s="26"/>
      <c r="B21" s="22"/>
      <c r="C21" s="22"/>
      <c r="D21" s="22"/>
      <c r="E21" s="22"/>
      <c r="F21" s="22"/>
      <c r="G21" s="22"/>
      <c r="I21" s="26" t="s">
        <v>220</v>
      </c>
      <c r="J21" s="26" t="s">
        <v>221</v>
      </c>
      <c r="L21" s="26" t="s">
        <v>213</v>
      </c>
      <c r="M21" s="26" t="s">
        <v>214</v>
      </c>
      <c r="O21" s="26" t="s">
        <v>220</v>
      </c>
      <c r="Q21" s="26" t="s">
        <v>221</v>
      </c>
      <c r="S21" s="26" t="s">
        <v>213</v>
      </c>
      <c r="U21" s="26" t="s">
        <v>214</v>
      </c>
    </row>
    <row r="22" spans="1:24" x14ac:dyDescent="0.45">
      <c r="A22" s="22"/>
      <c r="B22" s="22"/>
      <c r="C22" s="22"/>
      <c r="D22" s="22"/>
      <c r="E22" s="22"/>
      <c r="F22" s="22"/>
      <c r="G22" s="22"/>
      <c r="I22" s="22"/>
      <c r="J22" s="22"/>
      <c r="L22" s="22"/>
      <c r="M22" s="22"/>
      <c r="O22" s="22"/>
      <c r="Q22" s="22"/>
      <c r="S22" s="22"/>
      <c r="U22" s="22"/>
    </row>
  </sheetData>
  <mergeCells count="53"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O10:O11"/>
    <mergeCell ref="Q10:Q11"/>
    <mergeCell ref="S10:S11"/>
    <mergeCell ref="U10:U11"/>
    <mergeCell ref="A8:G9"/>
    <mergeCell ref="I8:I9"/>
    <mergeCell ref="J8:J9"/>
    <mergeCell ref="A10:G11"/>
    <mergeCell ref="I10:I11"/>
    <mergeCell ref="J10:J11"/>
    <mergeCell ref="L10:L11"/>
    <mergeCell ref="M10:M11"/>
    <mergeCell ref="L8:L9"/>
    <mergeCell ref="M8:M9"/>
    <mergeCell ref="A1:W1"/>
    <mergeCell ref="A2:W2"/>
    <mergeCell ref="A3:W3"/>
    <mergeCell ref="A5:W5"/>
    <mergeCell ref="A7:G7"/>
    <mergeCell ref="I7:M7"/>
    <mergeCell ref="O7:W7"/>
    <mergeCell ref="O8:O9"/>
    <mergeCell ref="Q8:Q9"/>
    <mergeCell ref="S8:S9"/>
    <mergeCell ref="U8:U9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activeCell="AL14" sqref="AL14"/>
    </sheetView>
  </sheetViews>
  <sheetFormatPr defaultRowHeight="18" x14ac:dyDescent="0.45"/>
  <cols>
    <col min="1" max="1" width="17" style="1" customWidth="1"/>
    <col min="2" max="2" width="1.42578125" style="1" customWidth="1"/>
    <col min="3" max="3" width="8.5703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0" width="1.42578125" style="1" customWidth="1"/>
    <col min="11" max="11" width="7.140625" style="1" customWidth="1"/>
    <col min="12" max="12" width="1.42578125" style="1" customWidth="1"/>
    <col min="13" max="13" width="7.140625" style="1" customWidth="1"/>
    <col min="14" max="14" width="1.42578125" style="1" customWidth="1"/>
    <col min="15" max="15" width="11.42578125" style="1" customWidth="1"/>
    <col min="16" max="16" width="1.42578125" style="1" customWidth="1"/>
    <col min="17" max="17" width="18.42578125" style="1" customWidth="1"/>
    <col min="18" max="18" width="1.42578125" style="1" customWidth="1"/>
    <col min="19" max="19" width="18.42578125" style="1" customWidth="1"/>
    <col min="20" max="20" width="1.42578125" style="1" customWidth="1"/>
    <col min="21" max="21" width="11.42578125" style="1" customWidth="1"/>
    <col min="22" max="22" width="18.42578125" style="1" customWidth="1"/>
    <col min="23" max="23" width="1.42578125" style="1" customWidth="1"/>
    <col min="24" max="24" width="11.42578125" style="1" customWidth="1"/>
    <col min="25" max="25" width="18.42578125" style="1" customWidth="1"/>
    <col min="26" max="26" width="1.42578125" style="1" customWidth="1"/>
    <col min="27" max="27" width="11.42578125" style="1" customWidth="1"/>
    <col min="28" max="28" width="1.42578125" style="1" customWidth="1"/>
    <col min="29" max="29" width="11.42578125" style="1" customWidth="1"/>
    <col min="30" max="30" width="1.42578125" style="1" customWidth="1"/>
    <col min="31" max="31" width="18.42578125" style="1" customWidth="1"/>
    <col min="32" max="32" width="1.42578125" style="1" customWidth="1"/>
    <col min="33" max="33" width="18.42578125" style="1" customWidth="1"/>
    <col min="34" max="34" width="1.42578125" style="1" customWidth="1"/>
    <col min="35" max="35" width="8.5703125" style="1" customWidth="1"/>
    <col min="36" max="16384" width="9.140625" style="1"/>
  </cols>
  <sheetData>
    <row r="1" spans="1:35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35" ht="20.100000000000001" customHeight="1" x14ac:dyDescent="0.4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1:35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</row>
    <row r="5" spans="1:35" ht="21" x14ac:dyDescent="0.45">
      <c r="A5" s="23" t="s">
        <v>223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7" spans="1:35" ht="21" x14ac:dyDescent="0.45">
      <c r="C7" s="24" t="s">
        <v>224</v>
      </c>
      <c r="D7" s="25"/>
      <c r="E7" s="25"/>
      <c r="F7" s="25"/>
      <c r="G7" s="25"/>
      <c r="H7" s="25"/>
      <c r="I7" s="25"/>
      <c r="J7" s="25"/>
      <c r="K7" s="25"/>
      <c r="L7" s="25"/>
      <c r="M7" s="25"/>
      <c r="O7" s="24" t="s">
        <v>5</v>
      </c>
      <c r="P7" s="25"/>
      <c r="Q7" s="25"/>
      <c r="R7" s="25"/>
      <c r="S7" s="25"/>
      <c r="U7" s="24" t="s">
        <v>6</v>
      </c>
      <c r="V7" s="25"/>
      <c r="W7" s="25"/>
      <c r="X7" s="25"/>
      <c r="Y7" s="25"/>
      <c r="AA7" s="24" t="s">
        <v>7</v>
      </c>
      <c r="AB7" s="25"/>
      <c r="AC7" s="25"/>
      <c r="AD7" s="25"/>
      <c r="AE7" s="25"/>
      <c r="AF7" s="25"/>
      <c r="AG7" s="25"/>
      <c r="AH7" s="25"/>
      <c r="AI7" s="25"/>
    </row>
    <row r="8" spans="1:35" ht="18.75" x14ac:dyDescent="0.45">
      <c r="A8" s="26" t="s">
        <v>225</v>
      </c>
      <c r="C8" s="28" t="s">
        <v>226</v>
      </c>
      <c r="E8" s="28" t="s">
        <v>227</v>
      </c>
      <c r="G8" s="28" t="s">
        <v>228</v>
      </c>
      <c r="I8" s="28" t="s">
        <v>229</v>
      </c>
      <c r="K8" s="28" t="s">
        <v>230</v>
      </c>
      <c r="M8" s="28" t="s">
        <v>231</v>
      </c>
      <c r="O8" s="26" t="s">
        <v>9</v>
      </c>
      <c r="Q8" s="26" t="s">
        <v>10</v>
      </c>
      <c r="S8" s="26" t="s">
        <v>11</v>
      </c>
      <c r="U8" s="26" t="s">
        <v>12</v>
      </c>
      <c r="V8" s="22"/>
      <c r="X8" s="26" t="s">
        <v>13</v>
      </c>
      <c r="Y8" s="22"/>
      <c r="AA8" s="26" t="s">
        <v>9</v>
      </c>
      <c r="AC8" s="28" t="s">
        <v>232</v>
      </c>
      <c r="AE8" s="26" t="s">
        <v>10</v>
      </c>
      <c r="AG8" s="26" t="s">
        <v>11</v>
      </c>
      <c r="AI8" s="28" t="s">
        <v>15</v>
      </c>
    </row>
    <row r="9" spans="1:35" ht="18.75" x14ac:dyDescent="0.45">
      <c r="A9" s="27"/>
      <c r="C9" s="27"/>
      <c r="E9" s="27"/>
      <c r="G9" s="27"/>
      <c r="I9" s="27"/>
      <c r="K9" s="27"/>
      <c r="M9" s="27"/>
      <c r="O9" s="27"/>
      <c r="Q9" s="27"/>
      <c r="S9" s="27"/>
      <c r="U9" s="2" t="s">
        <v>9</v>
      </c>
      <c r="V9" s="2" t="s">
        <v>10</v>
      </c>
      <c r="X9" s="2" t="s">
        <v>9</v>
      </c>
      <c r="Y9" s="2" t="s">
        <v>16</v>
      </c>
      <c r="AA9" s="27"/>
      <c r="AC9" s="27"/>
      <c r="AE9" s="27"/>
      <c r="AG9" s="27"/>
      <c r="AI9" s="27"/>
    </row>
    <row r="10" spans="1:35" ht="18.75" x14ac:dyDescent="0.45">
      <c r="A10" s="7" t="s">
        <v>209</v>
      </c>
      <c r="O10" s="7">
        <f>SUM($O$9)</f>
        <v>0</v>
      </c>
      <c r="Q10" s="7">
        <f>SUM($Q$9)</f>
        <v>0</v>
      </c>
      <c r="S10" s="7">
        <f>SUM($S$9)</f>
        <v>0</v>
      </c>
      <c r="U10" s="7">
        <f>SUM($U$9)</f>
        <v>0</v>
      </c>
      <c r="V10" s="7">
        <f>SUM($V$9)</f>
        <v>0</v>
      </c>
      <c r="X10" s="7">
        <f>SUM($X$9)</f>
        <v>0</v>
      </c>
      <c r="Y10" s="7">
        <f>SUM($Y$9)</f>
        <v>0</v>
      </c>
      <c r="AA10" s="7">
        <f>SUM($AA$9)</f>
        <v>0</v>
      </c>
      <c r="AC10" s="7">
        <f>SUM($AC$9)</f>
        <v>0</v>
      </c>
      <c r="AE10" s="7">
        <f>SUM($AE$9)</f>
        <v>0</v>
      </c>
      <c r="AG10" s="7">
        <f>SUM($AG$9)</f>
        <v>0</v>
      </c>
      <c r="AI10" s="8">
        <f>SUM($AI$9)</f>
        <v>0</v>
      </c>
    </row>
    <row r="11" spans="1:35" ht="18.75" x14ac:dyDescent="0.45">
      <c r="O11" s="9"/>
      <c r="Q11" s="9"/>
      <c r="S11" s="9"/>
      <c r="U11" s="9"/>
      <c r="V11" s="9"/>
      <c r="X11" s="9"/>
      <c r="Y11" s="9"/>
      <c r="AA11" s="9"/>
      <c r="AC11" s="9"/>
      <c r="AE11" s="9"/>
      <c r="AG11" s="9"/>
      <c r="AI11" s="9"/>
    </row>
  </sheetData>
  <mergeCells count="25">
    <mergeCell ref="AG8:AG9"/>
    <mergeCell ref="AI8:AI9"/>
    <mergeCell ref="U8:V8"/>
    <mergeCell ref="X8:Y8"/>
    <mergeCell ref="AA8:AA9"/>
    <mergeCell ref="AC8:AC9"/>
    <mergeCell ref="AE8:AE9"/>
    <mergeCell ref="K8:K9"/>
    <mergeCell ref="M8:M9"/>
    <mergeCell ref="O8:O9"/>
    <mergeCell ref="Q8:Q9"/>
    <mergeCell ref="S8:S9"/>
    <mergeCell ref="A8:A9"/>
    <mergeCell ref="C8:C9"/>
    <mergeCell ref="E8:E9"/>
    <mergeCell ref="G8:G9"/>
    <mergeCell ref="I8:I9"/>
    <mergeCell ref="A1:AI1"/>
    <mergeCell ref="A2:AI2"/>
    <mergeCell ref="A3:AI3"/>
    <mergeCell ref="A5:AI5"/>
    <mergeCell ref="C7:M7"/>
    <mergeCell ref="O7:S7"/>
    <mergeCell ref="U7:Y7"/>
    <mergeCell ref="AA7:AI7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activeCell="AL14" sqref="AL14"/>
    </sheetView>
  </sheetViews>
  <sheetFormatPr defaultRowHeight="18" x14ac:dyDescent="0.45"/>
  <cols>
    <col min="1" max="1" width="28.42578125" style="1" customWidth="1"/>
    <col min="2" max="2" width="1.42578125" style="1" customWidth="1"/>
    <col min="3" max="3" width="11.42578125" style="1" customWidth="1"/>
    <col min="4" max="4" width="1.42578125" style="1" customWidth="1"/>
    <col min="5" max="5" width="11.42578125" style="1" customWidth="1"/>
    <col min="6" max="6" width="1.42578125" style="1" customWidth="1"/>
    <col min="7" max="7" width="14.140625" style="1" customWidth="1"/>
    <col min="8" max="8" width="1.42578125" style="1" customWidth="1"/>
    <col min="9" max="9" width="8.5703125" style="1" customWidth="1"/>
    <col min="10" max="10" width="1.42578125" style="1" customWidth="1"/>
    <col min="11" max="11" width="21.28515625" style="1" customWidth="1"/>
    <col min="12" max="12" width="1.42578125" style="1" customWidth="1"/>
    <col min="13" max="13" width="28.42578125" style="1" customWidth="1"/>
    <col min="14" max="16384" width="9.140625" style="1"/>
  </cols>
  <sheetData>
    <row r="1" spans="1:13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0.100000000000001" customHeight="1" x14ac:dyDescent="0.4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5" spans="1:13" ht="21" x14ac:dyDescent="0.45">
      <c r="A5" s="23" t="s">
        <v>233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ht="21" x14ac:dyDescent="0.45">
      <c r="A6" s="23" t="s">
        <v>234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8" spans="1:13" ht="21" x14ac:dyDescent="0.45">
      <c r="C8" s="24" t="s">
        <v>7</v>
      </c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ht="42" x14ac:dyDescent="0.45">
      <c r="A9" s="10" t="s">
        <v>235</v>
      </c>
      <c r="C9" s="10" t="s">
        <v>9</v>
      </c>
      <c r="E9" s="10" t="s">
        <v>236</v>
      </c>
      <c r="G9" s="10" t="s">
        <v>237</v>
      </c>
      <c r="I9" s="10" t="s">
        <v>238</v>
      </c>
      <c r="K9" s="11" t="s">
        <v>239</v>
      </c>
      <c r="M9" s="10" t="s">
        <v>240</v>
      </c>
    </row>
    <row r="10" spans="1:13" ht="18.75" x14ac:dyDescent="0.45">
      <c r="A10" s="7" t="s">
        <v>209</v>
      </c>
      <c r="K10" s="7">
        <f>SUM($K$9)</f>
        <v>0</v>
      </c>
    </row>
    <row r="11" spans="1:13" ht="18.75" x14ac:dyDescent="0.45">
      <c r="K11" s="9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1"/>
  <sheetViews>
    <sheetView rightToLeft="1" view="pageBreakPreview" zoomScale="84" zoomScaleNormal="100" zoomScaleSheetLayoutView="84" workbookViewId="0">
      <selection activeCell="AL14" sqref="AL14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8.42578125" style="1" customWidth="1"/>
    <col min="6" max="6" width="1.42578125" style="1" customWidth="1"/>
    <col min="7" max="7" width="18.42578125" style="1" customWidth="1"/>
    <col min="8" max="8" width="1.42578125" style="1" customWidth="1"/>
    <col min="9" max="9" width="28" style="1" customWidth="1"/>
    <col min="10" max="10" width="1.42578125" style="1" customWidth="1"/>
    <col min="11" max="11" width="10.7109375" style="1" customWidth="1"/>
    <col min="12" max="16384" width="9.140625" style="1"/>
  </cols>
  <sheetData>
    <row r="1" spans="1:15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5" ht="20.100000000000001" customHeight="1" x14ac:dyDescent="0.4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5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5" x14ac:dyDescent="0.45">
      <c r="O4" s="15"/>
    </row>
    <row r="5" spans="1:15" ht="19.5" x14ac:dyDescent="0.5">
      <c r="A5" s="31" t="s">
        <v>372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7" spans="1:15" ht="21" x14ac:dyDescent="0.45">
      <c r="C7" s="10" t="s">
        <v>5</v>
      </c>
      <c r="E7" s="24" t="s">
        <v>6</v>
      </c>
      <c r="F7" s="25"/>
      <c r="G7" s="25"/>
      <c r="I7" s="24" t="s">
        <v>7</v>
      </c>
      <c r="J7" s="25"/>
      <c r="K7" s="25"/>
    </row>
    <row r="8" spans="1:15" ht="63" x14ac:dyDescent="0.45">
      <c r="A8" s="10" t="s">
        <v>241</v>
      </c>
      <c r="C8" s="10" t="s">
        <v>242</v>
      </c>
      <c r="E8" s="10" t="s">
        <v>243</v>
      </c>
      <c r="G8" s="10" t="s">
        <v>244</v>
      </c>
      <c r="I8" s="10" t="s">
        <v>242</v>
      </c>
      <c r="K8" s="11" t="s">
        <v>15</v>
      </c>
    </row>
    <row r="9" spans="1:15" ht="18.75" x14ac:dyDescent="0.45">
      <c r="A9" s="16" t="s">
        <v>379</v>
      </c>
      <c r="C9" s="4">
        <v>1160162415</v>
      </c>
      <c r="E9" s="4">
        <v>116100137652</v>
      </c>
      <c r="G9" s="4">
        <v>117226666856</v>
      </c>
      <c r="I9" s="4">
        <v>33633211</v>
      </c>
      <c r="K9" s="5">
        <v>9.1735421094344861E-6</v>
      </c>
    </row>
    <row r="10" spans="1:15" ht="18.75" x14ac:dyDescent="0.45">
      <c r="A10" s="16" t="s">
        <v>378</v>
      </c>
      <c r="C10" s="4">
        <v>90995317905</v>
      </c>
      <c r="E10" s="4">
        <v>457769218383</v>
      </c>
      <c r="G10" s="4">
        <v>382304525000</v>
      </c>
      <c r="I10" s="4">
        <v>166460011288</v>
      </c>
      <c r="K10" s="5">
        <v>4.5402382873505835E-2</v>
      </c>
    </row>
    <row r="11" spans="1:15" ht="18.75" x14ac:dyDescent="0.45">
      <c r="A11" s="16" t="s">
        <v>377</v>
      </c>
      <c r="C11" s="4">
        <v>1398292</v>
      </c>
      <c r="H11" s="6"/>
      <c r="I11" s="4">
        <v>1398292</v>
      </c>
      <c r="K11" s="5">
        <v>3.8138762734504795E-7</v>
      </c>
    </row>
    <row r="12" spans="1:15" ht="18.75" x14ac:dyDescent="0.45">
      <c r="A12" s="16" t="s">
        <v>376</v>
      </c>
      <c r="C12" s="4">
        <v>16253945</v>
      </c>
      <c r="E12" s="4">
        <v>66516</v>
      </c>
      <c r="G12" s="4">
        <v>0</v>
      </c>
      <c r="I12" s="4">
        <v>16320461</v>
      </c>
      <c r="K12" s="5">
        <v>4.451446406020623E-6</v>
      </c>
    </row>
    <row r="13" spans="1:15" ht="18.75" x14ac:dyDescent="0.45">
      <c r="A13" s="16" t="s">
        <v>375</v>
      </c>
      <c r="C13" s="4">
        <v>9107818</v>
      </c>
      <c r="E13" s="4">
        <v>37429</v>
      </c>
      <c r="G13" s="4">
        <v>0</v>
      </c>
      <c r="I13" s="4">
        <v>9145247</v>
      </c>
      <c r="K13" s="5">
        <v>2.4943889079065157E-6</v>
      </c>
    </row>
    <row r="14" spans="1:15" ht="18.75" x14ac:dyDescent="0.45">
      <c r="A14" s="16" t="s">
        <v>374</v>
      </c>
      <c r="C14" s="4">
        <v>7556683</v>
      </c>
      <c r="E14" s="4">
        <v>31055</v>
      </c>
      <c r="G14" s="4">
        <v>0</v>
      </c>
      <c r="I14" s="4">
        <v>7587738</v>
      </c>
      <c r="K14" s="5">
        <v>2.0695744470653192E-6</v>
      </c>
    </row>
    <row r="15" spans="1:15" s="18" customFormat="1" ht="18.75" x14ac:dyDescent="0.45">
      <c r="A15" s="17" t="s">
        <v>373</v>
      </c>
      <c r="C15" s="19">
        <v>413049124</v>
      </c>
      <c r="E15" s="19">
        <v>558921678605</v>
      </c>
      <c r="G15" s="19">
        <v>559170543675</v>
      </c>
      <c r="I15" s="19">
        <v>164184054</v>
      </c>
      <c r="K15" s="5">
        <v>4.4781609851841549E-5</v>
      </c>
    </row>
    <row r="16" spans="1:15" ht="19.5" thickBot="1" x14ac:dyDescent="0.5">
      <c r="A16" s="7" t="s">
        <v>209</v>
      </c>
      <c r="C16" s="7">
        <f>SUM(C9:$C$15)</f>
        <v>92602846182</v>
      </c>
      <c r="E16" s="7">
        <f>SUM(E9:$E$15)</f>
        <v>1132791169640</v>
      </c>
      <c r="G16" s="7">
        <f>SUM(G9:$G$15)</f>
        <v>1058701735531</v>
      </c>
      <c r="I16" s="7">
        <f>SUM(I9:$I$15)</f>
        <v>166692280291</v>
      </c>
      <c r="K16" s="8">
        <f>SUM(K9:$K$15)</f>
        <v>4.5465734822855451E-2</v>
      </c>
    </row>
    <row r="17" spans="3:11" ht="19.5" thickTop="1" x14ac:dyDescent="0.45">
      <c r="C17" s="9"/>
      <c r="E17" s="9"/>
      <c r="G17" s="9"/>
      <c r="I17" s="9"/>
      <c r="K17" s="9"/>
    </row>
    <row r="21" spans="3:11" x14ac:dyDescent="0.45">
      <c r="I21" s="15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4"/>
  <sheetViews>
    <sheetView rightToLeft="1" view="pageBreakPreview" zoomScale="78" zoomScaleNormal="100" zoomScaleSheetLayoutView="78" workbookViewId="0">
      <selection activeCell="AL14" sqref="AL14"/>
    </sheetView>
  </sheetViews>
  <sheetFormatPr defaultRowHeight="18" x14ac:dyDescent="0.45"/>
  <cols>
    <col min="1" max="1" width="57.5703125" style="1" bestFit="1" customWidth="1"/>
    <col min="2" max="2" width="1.42578125" style="1" customWidth="1"/>
    <col min="3" max="3" width="11.42578125" style="1" customWidth="1"/>
    <col min="4" max="4" width="1.42578125" style="1" customWidth="1"/>
    <col min="5" max="5" width="21.2851562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1.42578125" style="1" customWidth="1"/>
    <col min="10" max="16384" width="9.140625" style="1"/>
  </cols>
  <sheetData>
    <row r="1" spans="1:14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2" spans="1:14" ht="20.100000000000001" customHeight="1" x14ac:dyDescent="0.45">
      <c r="A2" s="21" t="s">
        <v>245</v>
      </c>
      <c r="B2" s="22"/>
      <c r="C2" s="22"/>
      <c r="D2" s="22"/>
      <c r="E2" s="22"/>
      <c r="F2" s="22"/>
      <c r="G2" s="22"/>
      <c r="H2" s="22"/>
      <c r="I2" s="22"/>
    </row>
    <row r="3" spans="1:14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</row>
    <row r="5" spans="1:14" ht="21" x14ac:dyDescent="0.45">
      <c r="A5" s="23" t="s">
        <v>246</v>
      </c>
      <c r="B5" s="22"/>
      <c r="C5" s="22"/>
      <c r="D5" s="22"/>
      <c r="E5" s="22"/>
      <c r="F5" s="22"/>
      <c r="G5" s="22"/>
      <c r="H5" s="22"/>
      <c r="I5" s="22"/>
      <c r="M5" s="15"/>
    </row>
    <row r="7" spans="1:14" ht="42" x14ac:dyDescent="0.45">
      <c r="A7" s="10" t="s">
        <v>247</v>
      </c>
      <c r="C7" s="10" t="s">
        <v>248</v>
      </c>
      <c r="E7" s="10" t="s">
        <v>242</v>
      </c>
      <c r="G7" s="11" t="s">
        <v>249</v>
      </c>
      <c r="I7" s="11" t="s">
        <v>250</v>
      </c>
      <c r="N7" s="15"/>
    </row>
    <row r="8" spans="1:14" ht="21" x14ac:dyDescent="0.45">
      <c r="A8" s="14" t="s">
        <v>251</v>
      </c>
      <c r="C8" s="6" t="s">
        <v>380</v>
      </c>
      <c r="E8" s="4">
        <v>619644969787</v>
      </c>
      <c r="G8" s="5">
        <f>E8/629348001120</f>
        <v>0.9845824070057706</v>
      </c>
      <c r="I8" s="5">
        <v>0.1690097095766534</v>
      </c>
    </row>
    <row r="9" spans="1:14" ht="21" x14ac:dyDescent="0.45">
      <c r="A9" s="14" t="s">
        <v>381</v>
      </c>
      <c r="C9" s="6" t="s">
        <v>382</v>
      </c>
      <c r="E9" s="4">
        <v>0</v>
      </c>
      <c r="G9" s="5">
        <v>0</v>
      </c>
      <c r="I9" s="5">
        <v>0</v>
      </c>
    </row>
    <row r="10" spans="1:14" ht="21" x14ac:dyDescent="0.45">
      <c r="A10" s="14" t="s">
        <v>252</v>
      </c>
      <c r="C10" s="6" t="s">
        <v>383</v>
      </c>
      <c r="E10" s="4">
        <v>0</v>
      </c>
      <c r="G10" s="5">
        <f>E10/629348001120</f>
        <v>0</v>
      </c>
      <c r="I10" s="5">
        <v>0</v>
      </c>
    </row>
    <row r="11" spans="1:14" ht="21" x14ac:dyDescent="0.45">
      <c r="A11" s="14" t="s">
        <v>253</v>
      </c>
      <c r="C11" s="6" t="s">
        <v>384</v>
      </c>
      <c r="E11" s="4">
        <v>9703031333</v>
      </c>
      <c r="G11" s="5">
        <f>E11/629348001120</f>
        <v>1.5417592994229418E-2</v>
      </c>
      <c r="I11" s="5">
        <v>2.6465259746515949E-3</v>
      </c>
    </row>
    <row r="12" spans="1:14" ht="21" x14ac:dyDescent="0.45">
      <c r="A12" s="14" t="s">
        <v>254</v>
      </c>
      <c r="C12" s="6" t="s">
        <v>385</v>
      </c>
      <c r="E12" s="4">
        <v>0</v>
      </c>
      <c r="G12" s="5">
        <f>E12/629348001120</f>
        <v>0</v>
      </c>
      <c r="I12" s="5">
        <v>0</v>
      </c>
    </row>
    <row r="13" spans="1:14" ht="21" x14ac:dyDescent="0.45">
      <c r="A13" s="10" t="s">
        <v>209</v>
      </c>
      <c r="E13" s="7">
        <f>SUM(E8:$E$12)</f>
        <v>629348001120</v>
      </c>
      <c r="G13" s="8">
        <f>SUM(G8:$G$12)</f>
        <v>1</v>
      </c>
      <c r="I13" s="8">
        <f>SUM(I8:$I$12)</f>
        <v>0.17165623555130499</v>
      </c>
    </row>
    <row r="14" spans="1:14" ht="18.75" x14ac:dyDescent="0.45">
      <c r="E14" s="9"/>
      <c r="G14" s="9"/>
      <c r="I14" s="9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83"/>
  <sheetViews>
    <sheetView rightToLeft="1" view="pageBreakPreview" topLeftCell="A63" zoomScale="84" zoomScaleNormal="100" zoomScaleSheetLayoutView="84" workbookViewId="0">
      <selection activeCell="AL14" sqref="AL14"/>
    </sheetView>
  </sheetViews>
  <sheetFormatPr defaultRowHeight="18" x14ac:dyDescent="0.45"/>
  <cols>
    <col min="1" max="1" width="17.5703125" style="1" bestFit="1" customWidth="1"/>
    <col min="2" max="2" width="1.42578125" style="1" customWidth="1"/>
    <col min="3" max="3" width="12.5703125" style="1" bestFit="1" customWidth="1"/>
    <col min="4" max="4" width="1.42578125" style="1" customWidth="1"/>
    <col min="5" max="5" width="17.5703125" style="1" bestFit="1" customWidth="1"/>
    <col min="6" max="6" width="1.42578125" style="1" customWidth="1"/>
    <col min="7" max="7" width="10.5703125" style="1" bestFit="1" customWidth="1"/>
    <col min="8" max="8" width="1.42578125" style="1" customWidth="1"/>
    <col min="9" max="9" width="15.5703125" style="1" bestFit="1" customWidth="1"/>
    <col min="10" max="10" width="1.42578125" style="1" customWidth="1"/>
    <col min="11" max="11" width="14.7109375" style="1" bestFit="1" customWidth="1"/>
    <col min="12" max="12" width="1.42578125" style="1" customWidth="1"/>
    <col min="13" max="13" width="16.140625" style="1" bestFit="1" customWidth="1"/>
    <col min="14" max="14" width="1.42578125" style="1" customWidth="1"/>
    <col min="15" max="15" width="17.7109375" style="1" bestFit="1" customWidth="1"/>
    <col min="16" max="16" width="1.42578125" style="1" customWidth="1"/>
    <col min="17" max="17" width="14.7109375" style="1" bestFit="1" customWidth="1"/>
    <col min="18" max="18" width="1.42578125" style="1" customWidth="1"/>
    <col min="19" max="19" width="18.28515625" style="1" bestFit="1" customWidth="1"/>
    <col min="20" max="16384" width="9.140625" style="1"/>
  </cols>
  <sheetData>
    <row r="1" spans="1:19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20.100000000000001" customHeight="1" x14ac:dyDescent="0.45">
      <c r="A2" s="21" t="s">
        <v>245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5" spans="1:19" ht="21" x14ac:dyDescent="0.45">
      <c r="A5" s="23" t="s">
        <v>255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7" spans="1:19" ht="21" x14ac:dyDescent="0.45">
      <c r="C7" s="24" t="s">
        <v>256</v>
      </c>
      <c r="D7" s="25"/>
      <c r="E7" s="25"/>
      <c r="F7" s="25"/>
      <c r="G7" s="25"/>
      <c r="I7" s="24" t="s">
        <v>257</v>
      </c>
      <c r="J7" s="25"/>
      <c r="K7" s="25"/>
      <c r="L7" s="25"/>
      <c r="M7" s="25"/>
      <c r="O7" s="24" t="s">
        <v>7</v>
      </c>
      <c r="P7" s="25"/>
      <c r="Q7" s="25"/>
      <c r="R7" s="25"/>
      <c r="S7" s="25"/>
    </row>
    <row r="8" spans="1:19" ht="42" x14ac:dyDescent="0.45">
      <c r="A8" s="10" t="s">
        <v>211</v>
      </c>
      <c r="C8" s="11" t="s">
        <v>258</v>
      </c>
      <c r="E8" s="11" t="s">
        <v>259</v>
      </c>
      <c r="G8" s="11" t="s">
        <v>260</v>
      </c>
      <c r="I8" s="11" t="s">
        <v>261</v>
      </c>
      <c r="K8" s="11" t="s">
        <v>262</v>
      </c>
      <c r="M8" s="11" t="s">
        <v>263</v>
      </c>
      <c r="O8" s="11" t="s">
        <v>261</v>
      </c>
      <c r="Q8" s="11" t="s">
        <v>262</v>
      </c>
      <c r="S8" s="11" t="s">
        <v>263</v>
      </c>
    </row>
    <row r="9" spans="1:19" ht="37.5" x14ac:dyDescent="0.45">
      <c r="A9" s="12" t="s">
        <v>19</v>
      </c>
      <c r="C9" s="6" t="s">
        <v>264</v>
      </c>
      <c r="E9" s="4">
        <v>50000</v>
      </c>
      <c r="G9" s="4">
        <v>3980</v>
      </c>
      <c r="N9" s="6"/>
      <c r="O9" s="4">
        <v>199000000</v>
      </c>
      <c r="Q9" s="4">
        <v>0</v>
      </c>
      <c r="S9" s="4">
        <v>199000000</v>
      </c>
    </row>
    <row r="10" spans="1:19" ht="18.75" x14ac:dyDescent="0.45">
      <c r="A10" s="12" t="s">
        <v>21</v>
      </c>
      <c r="C10" s="6" t="s">
        <v>265</v>
      </c>
      <c r="E10" s="4">
        <v>245000</v>
      </c>
      <c r="G10" s="4">
        <v>100</v>
      </c>
      <c r="N10" s="6"/>
      <c r="O10" s="4">
        <v>24500000</v>
      </c>
      <c r="Q10" s="4">
        <v>0</v>
      </c>
      <c r="S10" s="4">
        <v>24500000</v>
      </c>
    </row>
    <row r="11" spans="1:19" ht="18.75" x14ac:dyDescent="0.45">
      <c r="A11" s="12" t="s">
        <v>22</v>
      </c>
      <c r="C11" s="6" t="s">
        <v>266</v>
      </c>
      <c r="E11" s="4">
        <v>6813853</v>
      </c>
      <c r="G11" s="4">
        <v>637</v>
      </c>
      <c r="N11" s="6"/>
      <c r="O11" s="4">
        <v>4340424361</v>
      </c>
      <c r="Q11" s="4">
        <v>0</v>
      </c>
      <c r="S11" s="4">
        <v>4340424361</v>
      </c>
    </row>
    <row r="12" spans="1:19" ht="18.75" x14ac:dyDescent="0.45">
      <c r="A12" s="12" t="s">
        <v>26</v>
      </c>
      <c r="C12" s="6" t="s">
        <v>267</v>
      </c>
      <c r="E12" s="4">
        <v>19134677</v>
      </c>
      <c r="G12" s="4">
        <v>35</v>
      </c>
      <c r="N12" s="6"/>
      <c r="O12" s="4">
        <v>669713695</v>
      </c>
      <c r="Q12" s="4">
        <v>0</v>
      </c>
      <c r="S12" s="4">
        <v>669713695</v>
      </c>
    </row>
    <row r="13" spans="1:19" ht="18.75" x14ac:dyDescent="0.45">
      <c r="A13" s="12" t="s">
        <v>27</v>
      </c>
      <c r="C13" s="6" t="s">
        <v>268</v>
      </c>
      <c r="E13" s="4">
        <v>2291471</v>
      </c>
      <c r="G13" s="4">
        <v>1940</v>
      </c>
      <c r="N13" s="6"/>
      <c r="O13" s="4">
        <v>4445453740</v>
      </c>
      <c r="Q13" s="4">
        <v>0</v>
      </c>
      <c r="S13" s="4">
        <v>4445453740</v>
      </c>
    </row>
    <row r="14" spans="1:19" ht="18.75" x14ac:dyDescent="0.45">
      <c r="A14" s="12" t="s">
        <v>28</v>
      </c>
      <c r="C14" s="6" t="s">
        <v>269</v>
      </c>
      <c r="E14" s="4">
        <v>14265950</v>
      </c>
      <c r="G14" s="4">
        <v>135</v>
      </c>
      <c r="N14" s="6"/>
      <c r="O14" s="4">
        <v>1925903250</v>
      </c>
      <c r="Q14" s="4">
        <v>0</v>
      </c>
      <c r="S14" s="4">
        <v>1925903250</v>
      </c>
    </row>
    <row r="15" spans="1:19" ht="18.75" x14ac:dyDescent="0.45">
      <c r="A15" s="12" t="s">
        <v>270</v>
      </c>
      <c r="C15" s="6" t="s">
        <v>271</v>
      </c>
      <c r="E15" s="4">
        <v>500000</v>
      </c>
      <c r="G15" s="4">
        <v>1425</v>
      </c>
      <c r="N15" s="6"/>
      <c r="O15" s="4">
        <v>712500000</v>
      </c>
      <c r="Q15" s="4">
        <v>0</v>
      </c>
      <c r="S15" s="4">
        <v>712500000</v>
      </c>
    </row>
    <row r="16" spans="1:19" ht="18.75" x14ac:dyDescent="0.45">
      <c r="A16" s="12" t="s">
        <v>30</v>
      </c>
      <c r="C16" s="6" t="s">
        <v>272</v>
      </c>
      <c r="E16" s="4">
        <v>1750000</v>
      </c>
      <c r="G16" s="4">
        <v>400</v>
      </c>
      <c r="N16" s="6"/>
      <c r="O16" s="4">
        <v>700000000</v>
      </c>
      <c r="Q16" s="4">
        <v>0</v>
      </c>
      <c r="S16" s="4">
        <v>700000000</v>
      </c>
    </row>
    <row r="17" spans="1:19" ht="18.75" x14ac:dyDescent="0.45">
      <c r="A17" s="12" t="s">
        <v>31</v>
      </c>
      <c r="C17" s="6" t="s">
        <v>273</v>
      </c>
      <c r="E17" s="4">
        <v>13509504</v>
      </c>
      <c r="G17" s="4">
        <v>50</v>
      </c>
      <c r="N17" s="6"/>
      <c r="O17" s="4">
        <v>675475200</v>
      </c>
      <c r="Q17" s="4">
        <v>0</v>
      </c>
      <c r="S17" s="4">
        <v>675475200</v>
      </c>
    </row>
    <row r="18" spans="1:19" ht="18.75" x14ac:dyDescent="0.45">
      <c r="A18" s="12" t="s">
        <v>40</v>
      </c>
      <c r="C18" s="6" t="s">
        <v>274</v>
      </c>
      <c r="E18" s="4">
        <v>1562500</v>
      </c>
      <c r="G18" s="4">
        <v>440</v>
      </c>
      <c r="N18" s="6"/>
      <c r="O18" s="4">
        <v>687500000</v>
      </c>
      <c r="Q18" s="4">
        <v>0</v>
      </c>
      <c r="S18" s="4">
        <v>687500000</v>
      </c>
    </row>
    <row r="19" spans="1:19" ht="18.75" x14ac:dyDescent="0.45">
      <c r="A19" s="12" t="s">
        <v>44</v>
      </c>
      <c r="C19" s="6" t="s">
        <v>275</v>
      </c>
      <c r="E19" s="4">
        <v>8400000</v>
      </c>
      <c r="G19" s="4">
        <v>50</v>
      </c>
      <c r="N19" s="6"/>
      <c r="O19" s="4">
        <v>420000000</v>
      </c>
      <c r="Q19" s="4">
        <v>-17901639</v>
      </c>
      <c r="S19" s="4">
        <v>402098361</v>
      </c>
    </row>
    <row r="20" spans="1:19" ht="18.75" x14ac:dyDescent="0.45">
      <c r="A20" s="12" t="s">
        <v>45</v>
      </c>
      <c r="C20" s="6" t="s">
        <v>276</v>
      </c>
      <c r="E20" s="4">
        <v>18000000</v>
      </c>
      <c r="G20" s="4">
        <v>1000</v>
      </c>
      <c r="N20" s="6"/>
      <c r="O20" s="4">
        <v>18000000000</v>
      </c>
      <c r="Q20" s="4">
        <v>0</v>
      </c>
      <c r="S20" s="4">
        <v>18000000000</v>
      </c>
    </row>
    <row r="21" spans="1:19" ht="18.75" x14ac:dyDescent="0.45">
      <c r="A21" s="12" t="s">
        <v>277</v>
      </c>
      <c r="C21" s="6" t="s">
        <v>278</v>
      </c>
      <c r="E21" s="4">
        <v>4739606</v>
      </c>
      <c r="G21" s="4">
        <v>460</v>
      </c>
      <c r="N21" s="6"/>
      <c r="O21" s="4">
        <v>2180218760</v>
      </c>
      <c r="Q21" s="4">
        <v>0</v>
      </c>
      <c r="S21" s="4">
        <v>2180218760</v>
      </c>
    </row>
    <row r="22" spans="1:19" ht="18.75" x14ac:dyDescent="0.45">
      <c r="A22" s="12" t="s">
        <v>48</v>
      </c>
      <c r="C22" s="6" t="s">
        <v>271</v>
      </c>
      <c r="E22" s="4">
        <v>9127149</v>
      </c>
      <c r="G22" s="4">
        <v>167</v>
      </c>
      <c r="N22" s="6"/>
      <c r="O22" s="4">
        <v>1524233883</v>
      </c>
      <c r="Q22" s="4">
        <v>0</v>
      </c>
      <c r="S22" s="4">
        <v>1524233883</v>
      </c>
    </row>
    <row r="23" spans="1:19" ht="37.5" x14ac:dyDescent="0.45">
      <c r="A23" s="12" t="s">
        <v>49</v>
      </c>
      <c r="C23" s="6" t="s">
        <v>279</v>
      </c>
      <c r="E23" s="4">
        <v>842177</v>
      </c>
      <c r="G23" s="4">
        <v>35</v>
      </c>
      <c r="N23" s="6"/>
      <c r="O23" s="4">
        <v>29476195</v>
      </c>
      <c r="Q23" s="4">
        <v>0</v>
      </c>
      <c r="S23" s="4">
        <v>29476195</v>
      </c>
    </row>
    <row r="24" spans="1:19" ht="37.5" x14ac:dyDescent="0.45">
      <c r="A24" s="12" t="s">
        <v>55</v>
      </c>
      <c r="C24" s="6" t="s">
        <v>280</v>
      </c>
      <c r="E24" s="4">
        <v>6645110</v>
      </c>
      <c r="G24" s="4">
        <v>1600</v>
      </c>
      <c r="N24" s="6"/>
      <c r="O24" s="4">
        <v>10632176000</v>
      </c>
      <c r="Q24" s="4">
        <v>0</v>
      </c>
      <c r="S24" s="4">
        <v>10632176000</v>
      </c>
    </row>
    <row r="25" spans="1:19" ht="18.75" x14ac:dyDescent="0.45">
      <c r="A25" s="12" t="s">
        <v>56</v>
      </c>
      <c r="C25" s="6" t="s">
        <v>281</v>
      </c>
      <c r="E25" s="4">
        <v>1000000</v>
      </c>
      <c r="G25" s="4">
        <v>600</v>
      </c>
      <c r="N25" s="6"/>
      <c r="O25" s="4">
        <v>600000000</v>
      </c>
      <c r="Q25" s="4">
        <v>0</v>
      </c>
      <c r="S25" s="4">
        <v>600000000</v>
      </c>
    </row>
    <row r="26" spans="1:19" ht="18.75" x14ac:dyDescent="0.45">
      <c r="A26" s="12" t="s">
        <v>58</v>
      </c>
      <c r="C26" s="6" t="s">
        <v>282</v>
      </c>
      <c r="E26" s="4">
        <v>31806527</v>
      </c>
      <c r="G26" s="4">
        <v>120</v>
      </c>
      <c r="N26" s="6"/>
      <c r="O26" s="4">
        <v>3816783240</v>
      </c>
      <c r="Q26" s="4">
        <v>0</v>
      </c>
      <c r="S26" s="4">
        <v>3816783240</v>
      </c>
    </row>
    <row r="27" spans="1:19" ht="18.75" x14ac:dyDescent="0.45">
      <c r="A27" s="12" t="s">
        <v>61</v>
      </c>
      <c r="C27" s="6" t="s">
        <v>283</v>
      </c>
      <c r="E27" s="4">
        <v>236747</v>
      </c>
      <c r="G27" s="4">
        <v>2300</v>
      </c>
      <c r="N27" s="6"/>
      <c r="O27" s="4">
        <v>544518100</v>
      </c>
      <c r="Q27" s="4">
        <v>0</v>
      </c>
      <c r="S27" s="4">
        <v>544518100</v>
      </c>
    </row>
    <row r="28" spans="1:19" ht="18.75" x14ac:dyDescent="0.45">
      <c r="A28" s="12" t="s">
        <v>65</v>
      </c>
      <c r="C28" s="6" t="s">
        <v>274</v>
      </c>
      <c r="E28" s="4">
        <v>2773715</v>
      </c>
      <c r="G28" s="4">
        <v>5375</v>
      </c>
      <c r="N28" s="6"/>
      <c r="O28" s="4">
        <v>14908718125</v>
      </c>
      <c r="Q28" s="4">
        <v>0</v>
      </c>
      <c r="S28" s="4">
        <v>14908718125</v>
      </c>
    </row>
    <row r="29" spans="1:19" ht="37.5" x14ac:dyDescent="0.45">
      <c r="A29" s="12" t="s">
        <v>68</v>
      </c>
      <c r="C29" s="6" t="s">
        <v>284</v>
      </c>
      <c r="E29" s="4">
        <v>122374</v>
      </c>
      <c r="G29" s="4">
        <v>2400</v>
      </c>
      <c r="N29" s="6"/>
      <c r="O29" s="4">
        <v>293697600</v>
      </c>
      <c r="Q29" s="4">
        <v>0</v>
      </c>
      <c r="S29" s="4">
        <v>293697600</v>
      </c>
    </row>
    <row r="30" spans="1:19" ht="18.75" x14ac:dyDescent="0.45">
      <c r="A30" s="12" t="s">
        <v>69</v>
      </c>
      <c r="C30" s="6" t="s">
        <v>285</v>
      </c>
      <c r="E30" s="4">
        <v>2672602</v>
      </c>
      <c r="G30" s="4">
        <v>1150</v>
      </c>
      <c r="N30" s="6"/>
      <c r="O30" s="4">
        <v>3073492300</v>
      </c>
      <c r="Q30" s="4">
        <v>0</v>
      </c>
      <c r="S30" s="4">
        <v>3073492300</v>
      </c>
    </row>
    <row r="31" spans="1:19" ht="18.75" x14ac:dyDescent="0.45">
      <c r="A31" s="12" t="s">
        <v>70</v>
      </c>
      <c r="C31" s="6" t="s">
        <v>286</v>
      </c>
      <c r="E31" s="4">
        <v>27844387</v>
      </c>
      <c r="G31" s="4">
        <v>40</v>
      </c>
      <c r="N31" s="6"/>
      <c r="O31" s="4">
        <v>1113775480</v>
      </c>
      <c r="Q31" s="4">
        <v>0</v>
      </c>
      <c r="S31" s="4">
        <v>1113775480</v>
      </c>
    </row>
    <row r="32" spans="1:19" ht="37.5" x14ac:dyDescent="0.45">
      <c r="A32" s="12" t="s">
        <v>71</v>
      </c>
      <c r="C32" s="6" t="s">
        <v>266</v>
      </c>
      <c r="E32" s="4">
        <v>15167887</v>
      </c>
      <c r="G32" s="4">
        <v>266</v>
      </c>
      <c r="N32" s="6"/>
      <c r="O32" s="4">
        <v>4034657942</v>
      </c>
      <c r="Q32" s="4">
        <v>0</v>
      </c>
      <c r="S32" s="4">
        <v>4034657942</v>
      </c>
    </row>
    <row r="33" spans="1:19" ht="18.75" x14ac:dyDescent="0.45">
      <c r="A33" s="12" t="s">
        <v>287</v>
      </c>
      <c r="C33" s="6" t="s">
        <v>279</v>
      </c>
      <c r="E33" s="4">
        <v>10258397</v>
      </c>
      <c r="G33" s="4">
        <v>114</v>
      </c>
      <c r="N33" s="6"/>
      <c r="O33" s="4">
        <v>1169457258</v>
      </c>
      <c r="Q33" s="4">
        <v>0</v>
      </c>
      <c r="S33" s="4">
        <v>1169457258</v>
      </c>
    </row>
    <row r="34" spans="1:19" ht="37.5" x14ac:dyDescent="0.45">
      <c r="A34" s="12" t="s">
        <v>77</v>
      </c>
      <c r="C34" s="6" t="s">
        <v>5</v>
      </c>
      <c r="E34" s="4">
        <v>17200000</v>
      </c>
      <c r="G34" s="4">
        <v>190</v>
      </c>
      <c r="I34" s="4">
        <v>3268000000</v>
      </c>
      <c r="K34" s="4">
        <v>-129000000</v>
      </c>
      <c r="M34" s="4">
        <v>3139000000</v>
      </c>
      <c r="O34" s="4">
        <v>3268000000</v>
      </c>
      <c r="Q34" s="4">
        <v>-129000000</v>
      </c>
      <c r="S34" s="4">
        <v>3139000000</v>
      </c>
    </row>
    <row r="35" spans="1:19" ht="37.5" x14ac:dyDescent="0.45">
      <c r="A35" s="12" t="s">
        <v>81</v>
      </c>
      <c r="C35" s="6" t="s">
        <v>288</v>
      </c>
      <c r="E35" s="4">
        <v>717391</v>
      </c>
      <c r="G35" s="4">
        <v>3870</v>
      </c>
      <c r="I35" s="4">
        <v>2776303170</v>
      </c>
      <c r="K35" s="4">
        <v>-140800811</v>
      </c>
      <c r="M35" s="4">
        <v>2635502359</v>
      </c>
      <c r="O35" s="4">
        <v>2776303170</v>
      </c>
      <c r="Q35" s="4">
        <v>-140800811</v>
      </c>
      <c r="S35" s="4">
        <v>2635502359</v>
      </c>
    </row>
    <row r="36" spans="1:19" ht="37.5" x14ac:dyDescent="0.45">
      <c r="A36" s="12" t="s">
        <v>84</v>
      </c>
      <c r="C36" s="6" t="s">
        <v>289</v>
      </c>
      <c r="E36" s="4">
        <v>3250000</v>
      </c>
      <c r="G36" s="4">
        <v>170</v>
      </c>
      <c r="I36" s="4">
        <v>552500000</v>
      </c>
      <c r="K36" s="4">
        <v>0</v>
      </c>
      <c r="M36" s="4">
        <v>552500000</v>
      </c>
      <c r="O36" s="4">
        <v>552500000</v>
      </c>
      <c r="Q36" s="4">
        <v>0</v>
      </c>
      <c r="S36" s="4">
        <v>552500000</v>
      </c>
    </row>
    <row r="37" spans="1:19" ht="18.75" x14ac:dyDescent="0.45">
      <c r="A37" s="12" t="s">
        <v>290</v>
      </c>
      <c r="C37" s="6" t="s">
        <v>291</v>
      </c>
      <c r="E37" s="4">
        <v>1186353</v>
      </c>
      <c r="G37" s="4">
        <v>6810</v>
      </c>
      <c r="N37" s="6"/>
      <c r="O37" s="4">
        <v>8079063930</v>
      </c>
      <c r="Q37" s="4">
        <v>0</v>
      </c>
      <c r="S37" s="4">
        <v>8079063930</v>
      </c>
    </row>
    <row r="38" spans="1:19" ht="18.75" x14ac:dyDescent="0.45">
      <c r="A38" s="12" t="s">
        <v>87</v>
      </c>
      <c r="C38" s="6" t="s">
        <v>292</v>
      </c>
      <c r="E38" s="4">
        <v>100000</v>
      </c>
      <c r="G38" s="4">
        <v>14500</v>
      </c>
      <c r="N38" s="6"/>
      <c r="O38" s="4">
        <v>1450000000</v>
      </c>
      <c r="Q38" s="4">
        <v>0</v>
      </c>
      <c r="S38" s="4">
        <v>1450000000</v>
      </c>
    </row>
    <row r="39" spans="1:19" ht="18.75" x14ac:dyDescent="0.45">
      <c r="A39" s="12" t="s">
        <v>89</v>
      </c>
      <c r="C39" s="6" t="s">
        <v>276</v>
      </c>
      <c r="E39" s="4">
        <v>5530564</v>
      </c>
      <c r="G39" s="4">
        <v>1050</v>
      </c>
      <c r="N39" s="6"/>
      <c r="O39" s="4">
        <v>5807092200</v>
      </c>
      <c r="Q39" s="4">
        <v>0</v>
      </c>
      <c r="S39" s="4">
        <v>5807092200</v>
      </c>
    </row>
    <row r="40" spans="1:19" ht="18.75" x14ac:dyDescent="0.45">
      <c r="A40" s="12" t="s">
        <v>92</v>
      </c>
      <c r="C40" s="6" t="s">
        <v>293</v>
      </c>
      <c r="E40" s="4">
        <v>5799792</v>
      </c>
      <c r="G40" s="4">
        <v>1076</v>
      </c>
      <c r="N40" s="6"/>
      <c r="O40" s="4">
        <v>6240576192</v>
      </c>
      <c r="Q40" s="4">
        <v>0</v>
      </c>
      <c r="S40" s="4">
        <v>6240576192</v>
      </c>
    </row>
    <row r="41" spans="1:19" ht="18.75" x14ac:dyDescent="0.45">
      <c r="A41" s="12" t="s">
        <v>109</v>
      </c>
      <c r="C41" s="6" t="s">
        <v>294</v>
      </c>
      <c r="E41" s="4">
        <v>11000000</v>
      </c>
      <c r="G41" s="4">
        <v>150</v>
      </c>
      <c r="N41" s="6"/>
      <c r="O41" s="4">
        <v>1650000000</v>
      </c>
      <c r="Q41" s="4">
        <v>-93798450</v>
      </c>
      <c r="S41" s="4">
        <v>1556201550</v>
      </c>
    </row>
    <row r="42" spans="1:19" ht="18.75" x14ac:dyDescent="0.45">
      <c r="A42" s="12" t="s">
        <v>110</v>
      </c>
      <c r="C42" s="6" t="s">
        <v>295</v>
      </c>
      <c r="E42" s="4">
        <v>324775</v>
      </c>
      <c r="G42" s="4">
        <v>2720</v>
      </c>
      <c r="N42" s="6"/>
      <c r="O42" s="4">
        <v>883388000</v>
      </c>
      <c r="Q42" s="4">
        <v>-18366887</v>
      </c>
      <c r="S42" s="4">
        <v>865021113</v>
      </c>
    </row>
    <row r="43" spans="1:19" ht="18.75" x14ac:dyDescent="0.45">
      <c r="A43" s="12" t="s">
        <v>111</v>
      </c>
      <c r="C43" s="6" t="s">
        <v>285</v>
      </c>
      <c r="E43" s="4">
        <v>9448213</v>
      </c>
      <c r="G43" s="4">
        <v>10</v>
      </c>
      <c r="N43" s="6"/>
      <c r="O43" s="4">
        <v>94482130</v>
      </c>
      <c r="Q43" s="4">
        <v>-706529</v>
      </c>
      <c r="S43" s="4">
        <v>93775601</v>
      </c>
    </row>
    <row r="44" spans="1:19" ht="18.75" x14ac:dyDescent="0.45">
      <c r="A44" s="12" t="s">
        <v>296</v>
      </c>
      <c r="C44" s="6" t="s">
        <v>297</v>
      </c>
      <c r="E44" s="4">
        <v>10148510</v>
      </c>
      <c r="G44" s="4">
        <v>560</v>
      </c>
      <c r="N44" s="6"/>
      <c r="O44" s="4">
        <v>5683165600</v>
      </c>
      <c r="Q44" s="4">
        <v>0</v>
      </c>
      <c r="S44" s="4">
        <v>5683165600</v>
      </c>
    </row>
    <row r="45" spans="1:19" ht="18.75" x14ac:dyDescent="0.45">
      <c r="A45" s="12" t="s">
        <v>112</v>
      </c>
      <c r="C45" s="6" t="s">
        <v>298</v>
      </c>
      <c r="E45" s="4">
        <v>249996</v>
      </c>
      <c r="G45" s="4">
        <v>118</v>
      </c>
      <c r="N45" s="6"/>
      <c r="O45" s="4">
        <v>29499528</v>
      </c>
      <c r="Q45" s="4">
        <v>0</v>
      </c>
      <c r="S45" s="4">
        <v>29499528</v>
      </c>
    </row>
    <row r="46" spans="1:19" ht="18.75" x14ac:dyDescent="0.45">
      <c r="A46" s="12" t="s">
        <v>113</v>
      </c>
      <c r="C46" s="6" t="s">
        <v>276</v>
      </c>
      <c r="E46" s="4">
        <v>3600000</v>
      </c>
      <c r="G46" s="4">
        <v>300</v>
      </c>
      <c r="N46" s="6"/>
      <c r="O46" s="4">
        <v>1080000000</v>
      </c>
      <c r="Q46" s="4">
        <v>0</v>
      </c>
      <c r="S46" s="4">
        <v>1080000000</v>
      </c>
    </row>
    <row r="47" spans="1:19" ht="18.75" x14ac:dyDescent="0.45">
      <c r="A47" s="12" t="s">
        <v>117</v>
      </c>
      <c r="C47" s="6" t="s">
        <v>298</v>
      </c>
      <c r="E47" s="4">
        <v>22264729</v>
      </c>
      <c r="G47" s="4">
        <v>310</v>
      </c>
      <c r="N47" s="6"/>
      <c r="O47" s="4">
        <v>6902065990</v>
      </c>
      <c r="Q47" s="4">
        <v>0</v>
      </c>
      <c r="S47" s="4">
        <v>6902065990</v>
      </c>
    </row>
    <row r="48" spans="1:19" ht="18.75" x14ac:dyDescent="0.45">
      <c r="A48" s="12" t="s">
        <v>118</v>
      </c>
      <c r="C48" s="6" t="s">
        <v>299</v>
      </c>
      <c r="E48" s="4">
        <v>9664654</v>
      </c>
      <c r="G48" s="4">
        <v>1430</v>
      </c>
      <c r="N48" s="6"/>
      <c r="O48" s="4">
        <v>13820455220</v>
      </c>
      <c r="Q48" s="4">
        <v>0</v>
      </c>
      <c r="S48" s="4">
        <v>13820455220</v>
      </c>
    </row>
    <row r="49" spans="1:19" ht="18.75" x14ac:dyDescent="0.45">
      <c r="A49" s="12" t="s">
        <v>121</v>
      </c>
      <c r="C49" s="6" t="s">
        <v>279</v>
      </c>
      <c r="E49" s="4">
        <v>14021442</v>
      </c>
      <c r="G49" s="4">
        <v>500</v>
      </c>
      <c r="N49" s="6"/>
      <c r="O49" s="4">
        <v>7010721000</v>
      </c>
      <c r="Q49" s="4">
        <v>0</v>
      </c>
      <c r="S49" s="4">
        <v>7010721000</v>
      </c>
    </row>
    <row r="50" spans="1:19" ht="18.75" x14ac:dyDescent="0.45">
      <c r="A50" s="12" t="s">
        <v>300</v>
      </c>
      <c r="C50" s="6" t="s">
        <v>301</v>
      </c>
      <c r="E50" s="4">
        <v>800000</v>
      </c>
      <c r="G50" s="4">
        <v>730</v>
      </c>
      <c r="N50" s="6"/>
      <c r="O50" s="4">
        <v>584000000</v>
      </c>
      <c r="Q50" s="4">
        <v>0</v>
      </c>
      <c r="S50" s="4">
        <v>584000000</v>
      </c>
    </row>
    <row r="51" spans="1:19" ht="18.75" x14ac:dyDescent="0.45">
      <c r="A51" s="12" t="s">
        <v>130</v>
      </c>
      <c r="C51" s="6" t="s">
        <v>302</v>
      </c>
      <c r="E51" s="4">
        <v>200000</v>
      </c>
      <c r="G51" s="4">
        <v>500</v>
      </c>
      <c r="N51" s="6"/>
      <c r="O51" s="4">
        <v>100000000</v>
      </c>
      <c r="Q51" s="4">
        <v>0</v>
      </c>
      <c r="S51" s="4">
        <v>100000000</v>
      </c>
    </row>
    <row r="52" spans="1:19" ht="18.75" x14ac:dyDescent="0.45">
      <c r="A52" s="12" t="s">
        <v>135</v>
      </c>
      <c r="C52" s="6" t="s">
        <v>303</v>
      </c>
      <c r="E52" s="4">
        <v>8231319</v>
      </c>
      <c r="G52" s="4">
        <v>400</v>
      </c>
      <c r="N52" s="6"/>
      <c r="O52" s="4">
        <v>3292527600</v>
      </c>
      <c r="Q52" s="4">
        <v>0</v>
      </c>
      <c r="S52" s="4">
        <v>3292527600</v>
      </c>
    </row>
    <row r="53" spans="1:19" ht="18.75" x14ac:dyDescent="0.45">
      <c r="A53" s="12" t="s">
        <v>138</v>
      </c>
      <c r="C53" s="6" t="s">
        <v>304</v>
      </c>
      <c r="E53" s="4">
        <v>1375942</v>
      </c>
      <c r="G53" s="4">
        <v>1000</v>
      </c>
      <c r="I53" s="4">
        <v>1375942000</v>
      </c>
      <c r="K53" s="4">
        <v>-89850246</v>
      </c>
      <c r="M53" s="4">
        <v>1286091754</v>
      </c>
      <c r="O53" s="4">
        <v>1375942000</v>
      </c>
      <c r="Q53" s="4">
        <v>-89850246</v>
      </c>
      <c r="S53" s="4">
        <v>1286091754</v>
      </c>
    </row>
    <row r="54" spans="1:19" ht="18.75" x14ac:dyDescent="0.45">
      <c r="A54" s="12" t="s">
        <v>139</v>
      </c>
      <c r="C54" s="6" t="s">
        <v>276</v>
      </c>
      <c r="E54" s="4">
        <v>6256631</v>
      </c>
      <c r="G54" s="4">
        <v>700</v>
      </c>
      <c r="N54" s="6"/>
      <c r="O54" s="4">
        <v>4379641700</v>
      </c>
      <c r="Q54" s="4">
        <v>0</v>
      </c>
      <c r="S54" s="4">
        <v>4379641700</v>
      </c>
    </row>
    <row r="55" spans="1:19" ht="18.75" x14ac:dyDescent="0.45">
      <c r="A55" s="12" t="s">
        <v>141</v>
      </c>
      <c r="C55" s="6" t="s">
        <v>273</v>
      </c>
      <c r="E55" s="4">
        <v>3129644</v>
      </c>
      <c r="G55" s="4">
        <v>73</v>
      </c>
      <c r="N55" s="6"/>
      <c r="O55" s="4">
        <v>228464012</v>
      </c>
      <c r="Q55" s="4">
        <v>0</v>
      </c>
      <c r="S55" s="4">
        <v>228464012</v>
      </c>
    </row>
    <row r="56" spans="1:19" ht="18.75" x14ac:dyDescent="0.45">
      <c r="A56" s="12" t="s">
        <v>143</v>
      </c>
      <c r="C56" s="6" t="s">
        <v>276</v>
      </c>
      <c r="E56" s="4">
        <v>16300000</v>
      </c>
      <c r="G56" s="4">
        <v>800</v>
      </c>
      <c r="N56" s="6"/>
      <c r="O56" s="4">
        <v>13040000000</v>
      </c>
      <c r="Q56" s="4">
        <v>0</v>
      </c>
      <c r="S56" s="4">
        <v>13040000000</v>
      </c>
    </row>
    <row r="57" spans="1:19" ht="18.75" x14ac:dyDescent="0.45">
      <c r="A57" s="12" t="s">
        <v>145</v>
      </c>
      <c r="C57" s="6" t="s">
        <v>281</v>
      </c>
      <c r="E57" s="4">
        <v>44699</v>
      </c>
      <c r="G57" s="4">
        <v>1300</v>
      </c>
      <c r="N57" s="6"/>
      <c r="O57" s="4">
        <v>58108700</v>
      </c>
      <c r="Q57" s="4">
        <v>0</v>
      </c>
      <c r="S57" s="4">
        <v>58108700</v>
      </c>
    </row>
    <row r="58" spans="1:19" ht="18.75" x14ac:dyDescent="0.45">
      <c r="A58" s="12" t="s">
        <v>146</v>
      </c>
      <c r="C58" s="6" t="s">
        <v>272</v>
      </c>
      <c r="E58" s="4">
        <v>4274063</v>
      </c>
      <c r="G58" s="4">
        <v>670</v>
      </c>
      <c r="N58" s="6"/>
      <c r="O58" s="4">
        <v>2863622210</v>
      </c>
      <c r="Q58" s="4">
        <v>0</v>
      </c>
      <c r="S58" s="4">
        <v>2863622210</v>
      </c>
    </row>
    <row r="59" spans="1:19" ht="18.75" x14ac:dyDescent="0.45">
      <c r="A59" s="12" t="s">
        <v>147</v>
      </c>
      <c r="C59" s="6" t="s">
        <v>305</v>
      </c>
      <c r="E59" s="4">
        <v>250000</v>
      </c>
      <c r="G59" s="4">
        <v>1480</v>
      </c>
      <c r="N59" s="6"/>
      <c r="O59" s="4">
        <v>370000000</v>
      </c>
      <c r="Q59" s="4">
        <v>0</v>
      </c>
      <c r="S59" s="4">
        <v>370000000</v>
      </c>
    </row>
    <row r="60" spans="1:19" ht="18.75" x14ac:dyDescent="0.45">
      <c r="A60" s="12" t="s">
        <v>148</v>
      </c>
      <c r="C60" s="6" t="s">
        <v>278</v>
      </c>
      <c r="E60" s="4">
        <v>15800000</v>
      </c>
      <c r="G60" s="4">
        <v>1400</v>
      </c>
      <c r="N60" s="6"/>
      <c r="O60" s="4">
        <v>22120000000</v>
      </c>
      <c r="Q60" s="4">
        <v>-30259918</v>
      </c>
      <c r="S60" s="4">
        <v>22089740082</v>
      </c>
    </row>
    <row r="61" spans="1:19" ht="37.5" x14ac:dyDescent="0.45">
      <c r="A61" s="12" t="s">
        <v>151</v>
      </c>
      <c r="C61" s="6" t="s">
        <v>306</v>
      </c>
      <c r="E61" s="4">
        <v>6668802</v>
      </c>
      <c r="G61" s="4">
        <v>350</v>
      </c>
      <c r="N61" s="6"/>
      <c r="O61" s="4">
        <v>2334080700</v>
      </c>
      <c r="Q61" s="4">
        <v>0</v>
      </c>
      <c r="S61" s="4">
        <v>2334080700</v>
      </c>
    </row>
    <row r="62" spans="1:19" ht="18.75" x14ac:dyDescent="0.45">
      <c r="A62" s="12" t="s">
        <v>152</v>
      </c>
      <c r="C62" s="6" t="s">
        <v>276</v>
      </c>
      <c r="E62" s="4">
        <v>5155597</v>
      </c>
      <c r="G62" s="4">
        <v>380</v>
      </c>
      <c r="N62" s="6"/>
      <c r="O62" s="4">
        <v>1959126860</v>
      </c>
      <c r="Q62" s="4">
        <v>0</v>
      </c>
      <c r="S62" s="4">
        <v>1959126860</v>
      </c>
    </row>
    <row r="63" spans="1:19" ht="18.75" x14ac:dyDescent="0.45">
      <c r="A63" s="12" t="s">
        <v>154</v>
      </c>
      <c r="C63" s="6" t="s">
        <v>307</v>
      </c>
      <c r="E63" s="4">
        <v>2851893</v>
      </c>
      <c r="G63" s="4">
        <v>1050</v>
      </c>
      <c r="N63" s="6"/>
      <c r="O63" s="4">
        <v>2994487650</v>
      </c>
      <c r="Q63" s="4">
        <v>0</v>
      </c>
      <c r="S63" s="4">
        <v>2994487650</v>
      </c>
    </row>
    <row r="64" spans="1:19" ht="18.75" x14ac:dyDescent="0.45">
      <c r="A64" s="12" t="s">
        <v>308</v>
      </c>
      <c r="C64" s="6" t="s">
        <v>309</v>
      </c>
      <c r="E64" s="4">
        <v>1207911</v>
      </c>
      <c r="G64" s="4">
        <v>2600</v>
      </c>
      <c r="N64" s="6"/>
      <c r="O64" s="4">
        <v>3140568600</v>
      </c>
      <c r="Q64" s="4">
        <v>0</v>
      </c>
      <c r="S64" s="4">
        <v>3140568600</v>
      </c>
    </row>
    <row r="65" spans="1:19" ht="18.75" x14ac:dyDescent="0.45">
      <c r="A65" s="12" t="s">
        <v>310</v>
      </c>
      <c r="C65" s="6" t="s">
        <v>311</v>
      </c>
      <c r="E65" s="4">
        <v>411</v>
      </c>
      <c r="G65" s="4">
        <v>285</v>
      </c>
      <c r="N65" s="6"/>
      <c r="O65" s="4">
        <v>117135</v>
      </c>
      <c r="Q65" s="4">
        <v>0</v>
      </c>
      <c r="S65" s="4">
        <v>117135</v>
      </c>
    </row>
    <row r="66" spans="1:19" ht="37.5" x14ac:dyDescent="0.45">
      <c r="A66" s="12" t="s">
        <v>156</v>
      </c>
      <c r="C66" s="6" t="s">
        <v>265</v>
      </c>
      <c r="E66" s="4">
        <v>8036726</v>
      </c>
      <c r="G66" s="4">
        <v>410</v>
      </c>
      <c r="N66" s="6"/>
      <c r="O66" s="4">
        <v>3295057660</v>
      </c>
      <c r="Q66" s="4">
        <v>0</v>
      </c>
      <c r="S66" s="4">
        <v>3295057660</v>
      </c>
    </row>
    <row r="67" spans="1:19" ht="37.5" x14ac:dyDescent="0.45">
      <c r="A67" s="12" t="s">
        <v>157</v>
      </c>
      <c r="C67" s="6" t="s">
        <v>312</v>
      </c>
      <c r="E67" s="4">
        <v>700000</v>
      </c>
      <c r="G67" s="4">
        <v>722</v>
      </c>
      <c r="N67" s="6"/>
      <c r="O67" s="4">
        <v>505400000</v>
      </c>
      <c r="Q67" s="4">
        <v>0</v>
      </c>
      <c r="S67" s="4">
        <v>505400000</v>
      </c>
    </row>
    <row r="68" spans="1:19" ht="18.75" x14ac:dyDescent="0.45">
      <c r="A68" s="12" t="s">
        <v>161</v>
      </c>
      <c r="C68" s="6" t="s">
        <v>298</v>
      </c>
      <c r="E68" s="4">
        <v>10319249</v>
      </c>
      <c r="G68" s="4">
        <v>1000</v>
      </c>
      <c r="N68" s="6"/>
      <c r="O68" s="4">
        <v>10319249000</v>
      </c>
      <c r="Q68" s="4">
        <v>0</v>
      </c>
      <c r="S68" s="4">
        <v>10319249000</v>
      </c>
    </row>
    <row r="69" spans="1:19" ht="18.75" x14ac:dyDescent="0.45">
      <c r="A69" s="12" t="s">
        <v>162</v>
      </c>
      <c r="C69" s="6" t="s">
        <v>313</v>
      </c>
      <c r="E69" s="4">
        <v>1999999</v>
      </c>
      <c r="G69" s="4">
        <v>50</v>
      </c>
      <c r="N69" s="6"/>
      <c r="O69" s="4">
        <v>99999950</v>
      </c>
      <c r="Q69" s="4">
        <v>0</v>
      </c>
      <c r="S69" s="4">
        <v>99999950</v>
      </c>
    </row>
    <row r="70" spans="1:19" ht="18.75" x14ac:dyDescent="0.45">
      <c r="A70" s="12" t="s">
        <v>164</v>
      </c>
      <c r="C70" s="6" t="s">
        <v>266</v>
      </c>
      <c r="E70" s="4">
        <v>18635760</v>
      </c>
      <c r="G70" s="4">
        <v>390</v>
      </c>
      <c r="N70" s="6"/>
      <c r="O70" s="4">
        <v>7267946400</v>
      </c>
      <c r="Q70" s="4">
        <v>0</v>
      </c>
      <c r="S70" s="4">
        <v>7267946400</v>
      </c>
    </row>
    <row r="71" spans="1:19" ht="18.75" x14ac:dyDescent="0.45">
      <c r="A71" s="12" t="s">
        <v>166</v>
      </c>
      <c r="C71" s="6" t="s">
        <v>314</v>
      </c>
      <c r="E71" s="4">
        <v>845414</v>
      </c>
      <c r="G71" s="4">
        <v>620</v>
      </c>
      <c r="N71" s="6"/>
      <c r="O71" s="4">
        <v>524156680</v>
      </c>
      <c r="Q71" s="4">
        <v>-27228918</v>
      </c>
      <c r="S71" s="4">
        <v>496927762</v>
      </c>
    </row>
    <row r="72" spans="1:19" ht="18.75" x14ac:dyDescent="0.45">
      <c r="A72" s="12" t="s">
        <v>315</v>
      </c>
      <c r="C72" s="6" t="s">
        <v>306</v>
      </c>
      <c r="E72" s="4">
        <v>177678</v>
      </c>
      <c r="G72" s="4">
        <v>4100</v>
      </c>
      <c r="N72" s="6"/>
      <c r="O72" s="4">
        <v>728479800</v>
      </c>
      <c r="Q72" s="4">
        <v>0</v>
      </c>
      <c r="S72" s="4">
        <v>728479800</v>
      </c>
    </row>
    <row r="73" spans="1:19" ht="37.5" x14ac:dyDescent="0.45">
      <c r="A73" s="12" t="s">
        <v>168</v>
      </c>
      <c r="C73" s="6" t="s">
        <v>316</v>
      </c>
      <c r="E73" s="4">
        <v>123</v>
      </c>
      <c r="G73" s="4">
        <v>400</v>
      </c>
      <c r="N73" s="6"/>
      <c r="O73" s="4">
        <v>49200</v>
      </c>
      <c r="Q73" s="4">
        <v>0</v>
      </c>
      <c r="S73" s="4">
        <v>49200</v>
      </c>
    </row>
    <row r="74" spans="1:19" ht="18.75" x14ac:dyDescent="0.45">
      <c r="A74" s="12" t="s">
        <v>172</v>
      </c>
      <c r="C74" s="6" t="s">
        <v>302</v>
      </c>
      <c r="E74" s="4">
        <v>2570924</v>
      </c>
      <c r="G74" s="4">
        <v>936</v>
      </c>
      <c r="N74" s="6"/>
      <c r="O74" s="4">
        <v>2406384864</v>
      </c>
      <c r="Q74" s="4">
        <v>0</v>
      </c>
      <c r="S74" s="4">
        <v>2406384864</v>
      </c>
    </row>
    <row r="75" spans="1:19" ht="18.75" x14ac:dyDescent="0.45">
      <c r="A75" s="12" t="s">
        <v>177</v>
      </c>
      <c r="C75" s="6" t="s">
        <v>317</v>
      </c>
      <c r="E75" s="4">
        <v>4613772</v>
      </c>
      <c r="G75" s="4">
        <v>220</v>
      </c>
      <c r="N75" s="6"/>
      <c r="O75" s="4">
        <v>1015029840</v>
      </c>
      <c r="Q75" s="4">
        <v>0</v>
      </c>
      <c r="S75" s="4">
        <v>1015029840</v>
      </c>
    </row>
    <row r="76" spans="1:19" ht="18.75" x14ac:dyDescent="0.45">
      <c r="A76" s="12" t="s">
        <v>180</v>
      </c>
      <c r="C76" s="6" t="s">
        <v>318</v>
      </c>
      <c r="E76" s="4">
        <v>6744759</v>
      </c>
      <c r="G76" s="4">
        <v>480</v>
      </c>
      <c r="N76" s="6"/>
      <c r="O76" s="4">
        <v>3237484320</v>
      </c>
      <c r="Q76" s="4">
        <v>0</v>
      </c>
      <c r="S76" s="4">
        <v>3237484320</v>
      </c>
    </row>
    <row r="77" spans="1:19" ht="18.75" x14ac:dyDescent="0.45">
      <c r="A77" s="12" t="s">
        <v>188</v>
      </c>
      <c r="C77" s="6" t="s">
        <v>276</v>
      </c>
      <c r="E77" s="4">
        <v>3500000</v>
      </c>
      <c r="G77" s="4">
        <v>2280</v>
      </c>
      <c r="N77" s="6"/>
      <c r="O77" s="4">
        <v>7980000000</v>
      </c>
      <c r="Q77" s="4">
        <v>0</v>
      </c>
      <c r="S77" s="4">
        <v>7980000000</v>
      </c>
    </row>
    <row r="78" spans="1:19" ht="18.75" x14ac:dyDescent="0.45">
      <c r="A78" s="12" t="s">
        <v>191</v>
      </c>
      <c r="C78" s="6" t="s">
        <v>319</v>
      </c>
      <c r="E78" s="4">
        <v>65229</v>
      </c>
      <c r="G78" s="4">
        <v>38000</v>
      </c>
      <c r="N78" s="6"/>
      <c r="O78" s="4">
        <v>2478702000</v>
      </c>
      <c r="Q78" s="4">
        <v>-72515218</v>
      </c>
      <c r="S78" s="4">
        <v>2406186782</v>
      </c>
    </row>
    <row r="79" spans="1:19" ht="18.75" x14ac:dyDescent="0.45">
      <c r="A79" s="12" t="s">
        <v>194</v>
      </c>
      <c r="C79" s="6" t="s">
        <v>320</v>
      </c>
      <c r="E79" s="4">
        <v>1947948</v>
      </c>
      <c r="G79" s="4">
        <v>5330</v>
      </c>
      <c r="N79" s="6"/>
      <c r="O79" s="4">
        <v>10382562840</v>
      </c>
      <c r="Q79" s="4">
        <v>-209044889</v>
      </c>
      <c r="S79" s="4">
        <v>10173517951</v>
      </c>
    </row>
    <row r="80" spans="1:19" ht="37.5" x14ac:dyDescent="0.45">
      <c r="A80" s="12" t="s">
        <v>196</v>
      </c>
      <c r="C80" s="6" t="s">
        <v>298</v>
      </c>
      <c r="E80" s="4">
        <v>450000</v>
      </c>
      <c r="G80" s="4">
        <v>45</v>
      </c>
      <c r="N80" s="6"/>
      <c r="O80" s="4">
        <v>20250000</v>
      </c>
      <c r="Q80" s="4">
        <v>0</v>
      </c>
      <c r="S80" s="4">
        <v>20250000</v>
      </c>
    </row>
    <row r="81" spans="1:19" ht="18.75" x14ac:dyDescent="0.45">
      <c r="A81" s="12" t="s">
        <v>200</v>
      </c>
      <c r="C81" s="6" t="s">
        <v>5</v>
      </c>
      <c r="E81" s="4">
        <v>4067894</v>
      </c>
      <c r="G81" s="4">
        <v>200</v>
      </c>
      <c r="I81" s="4">
        <v>813578800</v>
      </c>
      <c r="K81" s="4">
        <v>-46745328</v>
      </c>
      <c r="M81" s="4">
        <v>766833472</v>
      </c>
      <c r="O81" s="4">
        <v>813578800</v>
      </c>
      <c r="Q81" s="4">
        <v>-46745328</v>
      </c>
      <c r="S81" s="4">
        <v>766833472</v>
      </c>
    </row>
    <row r="82" spans="1:19" ht="18.75" x14ac:dyDescent="0.45">
      <c r="A82" s="12" t="s">
        <v>204</v>
      </c>
      <c r="C82" s="6" t="s">
        <v>321</v>
      </c>
      <c r="E82" s="4">
        <v>2800000</v>
      </c>
      <c r="G82" s="4">
        <v>380</v>
      </c>
      <c r="N82" s="6"/>
      <c r="O82" s="4">
        <v>1064000000</v>
      </c>
      <c r="Q82" s="4">
        <v>0</v>
      </c>
      <c r="S82" s="4">
        <v>1064000000</v>
      </c>
    </row>
    <row r="83" spans="1:19" ht="18.75" x14ac:dyDescent="0.45">
      <c r="A83" s="7" t="s">
        <v>209</v>
      </c>
      <c r="I83" s="7">
        <f>SUM(I9:$I$82)</f>
        <v>8786323970</v>
      </c>
      <c r="K83" s="7">
        <f>SUM(K9:$K$82)</f>
        <v>-406396385</v>
      </c>
      <c r="M83" s="7">
        <f>SUM(M9:$M$82)</f>
        <v>8379927585</v>
      </c>
      <c r="O83" s="7">
        <f>SUM(O9:$O$82)</f>
        <v>253028006610</v>
      </c>
      <c r="Q83" s="7">
        <f>SUM(Q9:$Q$82)</f>
        <v>-876218833</v>
      </c>
      <c r="S83" s="7">
        <f>SUM(S9:$S$82)</f>
        <v>252151787777</v>
      </c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7"/>
  <sheetViews>
    <sheetView rightToLeft="1" view="pageBreakPreview" zoomScale="82" zoomScaleNormal="100" zoomScaleSheetLayoutView="82" workbookViewId="0">
      <selection activeCell="AL14" sqref="AL14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4.140625" style="1" customWidth="1"/>
    <col min="6" max="6" width="1.42578125" style="1" customWidth="1"/>
    <col min="7" max="7" width="18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4.140625" style="1" customWidth="1"/>
    <col min="12" max="12" width="1.42578125" style="1" customWidth="1"/>
    <col min="13" max="13" width="18.42578125" style="1" customWidth="1"/>
    <col min="14" max="16384" width="9.140625" style="1"/>
  </cols>
  <sheetData>
    <row r="1" spans="1:13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0.100000000000001" customHeight="1" x14ac:dyDescent="0.45">
      <c r="A2" s="21" t="s">
        <v>245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5" spans="1:13" ht="21" x14ac:dyDescent="0.45">
      <c r="A5" s="23" t="s">
        <v>322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3" ht="21" x14ac:dyDescent="0.45">
      <c r="C7" s="24" t="s">
        <v>257</v>
      </c>
      <c r="D7" s="25"/>
      <c r="E7" s="25"/>
      <c r="F7" s="25"/>
      <c r="G7" s="25"/>
      <c r="I7" s="24" t="s">
        <v>7</v>
      </c>
      <c r="J7" s="25"/>
      <c r="K7" s="25"/>
      <c r="L7" s="25"/>
      <c r="M7" s="25"/>
    </row>
    <row r="8" spans="1:13" ht="21" x14ac:dyDescent="0.45">
      <c r="A8" s="13" t="s">
        <v>247</v>
      </c>
      <c r="C8" s="11" t="s">
        <v>323</v>
      </c>
      <c r="E8" s="11" t="s">
        <v>262</v>
      </c>
      <c r="G8" s="11" t="s">
        <v>324</v>
      </c>
      <c r="I8" s="11" t="s">
        <v>323</v>
      </c>
      <c r="K8" s="11" t="s">
        <v>262</v>
      </c>
      <c r="M8" s="11" t="s">
        <v>324</v>
      </c>
    </row>
    <row r="9" spans="1:13" ht="18.75" x14ac:dyDescent="0.45">
      <c r="A9" s="20" t="s">
        <v>386</v>
      </c>
      <c r="C9" s="4">
        <v>31055</v>
      </c>
      <c r="E9" s="4">
        <v>0</v>
      </c>
      <c r="G9" s="4">
        <v>31055</v>
      </c>
      <c r="I9" s="4">
        <v>269027</v>
      </c>
      <c r="K9" s="4">
        <v>0</v>
      </c>
      <c r="M9" s="4">
        <v>269027</v>
      </c>
    </row>
    <row r="10" spans="1:13" ht="18.75" x14ac:dyDescent="0.45">
      <c r="A10" s="20" t="s">
        <v>387</v>
      </c>
      <c r="C10" s="4">
        <v>2452303423</v>
      </c>
      <c r="E10" s="4">
        <v>0</v>
      </c>
      <c r="G10" s="4">
        <v>2452303423</v>
      </c>
      <c r="I10" s="4">
        <v>9683514727</v>
      </c>
      <c r="K10" s="4">
        <v>0</v>
      </c>
      <c r="M10" s="4">
        <v>9683514727</v>
      </c>
    </row>
    <row r="11" spans="1:13" ht="18.75" x14ac:dyDescent="0.45">
      <c r="A11" s="20" t="s">
        <v>388</v>
      </c>
      <c r="C11" s="4">
        <v>658428</v>
      </c>
      <c r="E11" s="4">
        <v>0</v>
      </c>
      <c r="G11" s="4">
        <v>658428</v>
      </c>
      <c r="I11" s="4">
        <v>11333908</v>
      </c>
      <c r="K11" s="4">
        <v>0</v>
      </c>
      <c r="M11" s="4">
        <v>11333908</v>
      </c>
    </row>
    <row r="12" spans="1:13" ht="18.75" x14ac:dyDescent="0.45">
      <c r="A12" s="20" t="s">
        <v>389</v>
      </c>
      <c r="C12" s="4">
        <v>66516</v>
      </c>
      <c r="E12" s="4">
        <v>0</v>
      </c>
      <c r="G12" s="4">
        <v>66516</v>
      </c>
      <c r="I12" s="4">
        <v>538013</v>
      </c>
      <c r="K12" s="4">
        <v>0</v>
      </c>
      <c r="M12" s="4">
        <v>538013</v>
      </c>
    </row>
    <row r="13" spans="1:13" ht="18.75" x14ac:dyDescent="0.45">
      <c r="A13" s="20" t="s">
        <v>390</v>
      </c>
      <c r="C13" s="4">
        <v>137652</v>
      </c>
      <c r="E13" s="4">
        <v>0</v>
      </c>
      <c r="G13" s="4">
        <v>137652</v>
      </c>
      <c r="I13" s="4">
        <v>3928785</v>
      </c>
      <c r="K13" s="4">
        <v>0</v>
      </c>
      <c r="M13" s="4">
        <v>3928785</v>
      </c>
    </row>
    <row r="14" spans="1:13" ht="18.75" x14ac:dyDescent="0.45">
      <c r="A14" s="20" t="s">
        <v>391</v>
      </c>
      <c r="C14" s="4">
        <v>37429</v>
      </c>
      <c r="E14" s="4">
        <v>0</v>
      </c>
      <c r="G14" s="4">
        <v>37429</v>
      </c>
      <c r="I14" s="4">
        <v>283402</v>
      </c>
      <c r="K14" s="4">
        <v>0</v>
      </c>
      <c r="M14" s="4">
        <v>283402</v>
      </c>
    </row>
    <row r="15" spans="1:13" ht="18.75" x14ac:dyDescent="0.45">
      <c r="A15" s="20" t="s">
        <v>392</v>
      </c>
      <c r="H15" s="6"/>
      <c r="I15" s="4">
        <v>3163471</v>
      </c>
      <c r="K15" s="4">
        <v>0</v>
      </c>
      <c r="M15" s="4">
        <v>3163471</v>
      </c>
    </row>
    <row r="16" spans="1:13" ht="19.5" thickBot="1" x14ac:dyDescent="0.5">
      <c r="A16" s="7" t="s">
        <v>209</v>
      </c>
      <c r="C16" s="7">
        <f>SUM(C9:$C$15)</f>
        <v>2453234503</v>
      </c>
      <c r="E16" s="7">
        <f>SUM(E9:$E$15)</f>
        <v>0</v>
      </c>
      <c r="G16" s="7">
        <f>SUM(G9:$G$15)</f>
        <v>2453234503</v>
      </c>
      <c r="I16" s="7">
        <f>SUM(I9:$I$15)</f>
        <v>9703031333</v>
      </c>
      <c r="K16" s="7">
        <f>SUM(K9:$K$15)</f>
        <v>0</v>
      </c>
      <c r="M16" s="7">
        <f>SUM(M9:$M$15)</f>
        <v>9703031333</v>
      </c>
    </row>
    <row r="17" spans="3:13" ht="19.5" thickTop="1" x14ac:dyDescent="0.45">
      <c r="C17" s="9"/>
      <c r="E17" s="9"/>
      <c r="G17" s="9"/>
      <c r="I17" s="9"/>
      <c r="K17" s="9"/>
      <c r="M17" s="9"/>
    </row>
  </sheetData>
  <mergeCells count="6">
    <mergeCell ref="A1:M1"/>
    <mergeCell ref="A2:M2"/>
    <mergeCell ref="A3:M3"/>
    <mergeCell ref="A5:M5"/>
    <mergeCell ref="C7:G7"/>
    <mergeCell ref="I7:M7"/>
  </mergeCells>
  <pageMargins left="0.7" right="0.7" top="0.75" bottom="0.7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42"/>
  <sheetViews>
    <sheetView rightToLeft="1" view="pageBreakPreview" topLeftCell="A111" zoomScale="86" zoomScaleNormal="100" zoomScaleSheetLayoutView="86" workbookViewId="0">
      <selection activeCell="AL14" sqref="AL14"/>
    </sheetView>
  </sheetViews>
  <sheetFormatPr defaultRowHeight="18" x14ac:dyDescent="0.45"/>
  <cols>
    <col min="1" max="1" width="21.85546875" style="1" bestFit="1" customWidth="1"/>
    <col min="2" max="2" width="1.42578125" style="1" customWidth="1"/>
    <col min="3" max="3" width="13.7109375" style="1" bestFit="1" customWidth="1"/>
    <col min="4" max="4" width="1.42578125" style="1" customWidth="1"/>
    <col min="5" max="5" width="17.7109375" style="1" bestFit="1" customWidth="1"/>
    <col min="6" max="6" width="1.42578125" style="1" customWidth="1"/>
    <col min="7" max="7" width="18" style="1" bestFit="1" customWidth="1"/>
    <col min="8" max="8" width="1.42578125" style="1" customWidth="1"/>
    <col min="9" max="9" width="17" style="1" customWidth="1"/>
    <col min="10" max="10" width="1.42578125" style="1" customWidth="1"/>
    <col min="11" max="11" width="13.7109375" style="1" bestFit="1" customWidth="1"/>
    <col min="12" max="12" width="1.42578125" style="1" customWidth="1"/>
    <col min="13" max="13" width="19.85546875" style="1" bestFit="1" customWidth="1"/>
    <col min="14" max="14" width="1.42578125" style="1" customWidth="1"/>
    <col min="15" max="15" width="19.7109375" style="1" bestFit="1" customWidth="1"/>
    <col min="16" max="16" width="1.42578125" style="1" customWidth="1"/>
    <col min="17" max="17" width="17.7109375" style="1" bestFit="1" customWidth="1"/>
    <col min="18" max="16384" width="9.140625" style="1"/>
  </cols>
  <sheetData>
    <row r="1" spans="1:17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0.100000000000001" customHeight="1" x14ac:dyDescent="0.45">
      <c r="A2" s="21" t="s">
        <v>245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5" spans="1:17" ht="21" x14ac:dyDescent="0.45">
      <c r="A5" s="23" t="s">
        <v>325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7" spans="1:17" ht="21" x14ac:dyDescent="0.45">
      <c r="C7" s="24" t="s">
        <v>257</v>
      </c>
      <c r="D7" s="25"/>
      <c r="E7" s="25"/>
      <c r="F7" s="25"/>
      <c r="G7" s="25"/>
      <c r="H7" s="25"/>
      <c r="I7" s="25"/>
      <c r="K7" s="24" t="s">
        <v>7</v>
      </c>
      <c r="L7" s="25"/>
      <c r="M7" s="25"/>
      <c r="N7" s="25"/>
      <c r="O7" s="25"/>
      <c r="P7" s="25"/>
      <c r="Q7" s="25"/>
    </row>
    <row r="8" spans="1:17" ht="42" x14ac:dyDescent="0.45">
      <c r="A8" s="13" t="s">
        <v>247</v>
      </c>
      <c r="C8" s="11" t="s">
        <v>9</v>
      </c>
      <c r="E8" s="11" t="s">
        <v>11</v>
      </c>
      <c r="G8" s="11" t="s">
        <v>326</v>
      </c>
      <c r="I8" s="11" t="s">
        <v>327</v>
      </c>
      <c r="K8" s="11" t="s">
        <v>9</v>
      </c>
      <c r="M8" s="11" t="s">
        <v>11</v>
      </c>
      <c r="O8" s="11" t="s">
        <v>326</v>
      </c>
      <c r="Q8" s="11" t="s">
        <v>327</v>
      </c>
    </row>
    <row r="9" spans="1:17" ht="18.75" x14ac:dyDescent="0.45">
      <c r="A9" s="12" t="s">
        <v>17</v>
      </c>
      <c r="C9" s="4">
        <v>10400</v>
      </c>
      <c r="E9" s="4">
        <v>95937785</v>
      </c>
      <c r="G9" s="4">
        <v>87067836</v>
      </c>
      <c r="I9" s="4">
        <v>8869949</v>
      </c>
      <c r="K9" s="4">
        <v>10400</v>
      </c>
      <c r="M9" s="4">
        <v>95937785</v>
      </c>
      <c r="O9" s="4">
        <v>87067836</v>
      </c>
      <c r="Q9" s="4">
        <v>8869949</v>
      </c>
    </row>
    <row r="10" spans="1:17" ht="18.75" x14ac:dyDescent="0.45">
      <c r="A10" s="12" t="s">
        <v>18</v>
      </c>
      <c r="J10" s="6"/>
      <c r="K10" s="4">
        <v>75</v>
      </c>
      <c r="M10" s="4">
        <v>7507566</v>
      </c>
      <c r="O10" s="4">
        <v>4739180</v>
      </c>
      <c r="Q10" s="4">
        <v>2768386</v>
      </c>
    </row>
    <row r="11" spans="1:17" ht="18.75" x14ac:dyDescent="0.45">
      <c r="A11" s="12" t="s">
        <v>20</v>
      </c>
      <c r="C11" s="4">
        <v>238100</v>
      </c>
      <c r="E11" s="4">
        <v>1061698051</v>
      </c>
      <c r="G11" s="4">
        <v>1028096844</v>
      </c>
      <c r="I11" s="4">
        <v>33601207</v>
      </c>
      <c r="K11" s="4">
        <v>838100</v>
      </c>
      <c r="M11" s="4">
        <v>3634697089</v>
      </c>
      <c r="O11" s="4">
        <v>3579217809</v>
      </c>
      <c r="Q11" s="4">
        <v>55479280</v>
      </c>
    </row>
    <row r="12" spans="1:17" ht="18.75" x14ac:dyDescent="0.45">
      <c r="A12" s="12" t="s">
        <v>22</v>
      </c>
      <c r="J12" s="6"/>
      <c r="K12" s="4">
        <v>6847087</v>
      </c>
      <c r="M12" s="4">
        <v>29901025067</v>
      </c>
      <c r="O12" s="4">
        <v>29115540893</v>
      </c>
      <c r="Q12" s="4">
        <v>785484174</v>
      </c>
    </row>
    <row r="13" spans="1:17" ht="18.75" x14ac:dyDescent="0.45">
      <c r="A13" s="12" t="s">
        <v>23</v>
      </c>
      <c r="J13" s="6"/>
      <c r="K13" s="4">
        <v>697410</v>
      </c>
      <c r="M13" s="4">
        <v>6292796240</v>
      </c>
      <c r="O13" s="4">
        <v>5744125774</v>
      </c>
      <c r="Q13" s="4">
        <v>548670466</v>
      </c>
    </row>
    <row r="14" spans="1:17" ht="18.75" x14ac:dyDescent="0.45">
      <c r="A14" s="12" t="s">
        <v>24</v>
      </c>
      <c r="C14" s="4">
        <v>400000</v>
      </c>
      <c r="E14" s="4">
        <v>1710259372</v>
      </c>
      <c r="G14" s="4">
        <v>1500077624</v>
      </c>
      <c r="I14" s="4">
        <v>210181748</v>
      </c>
      <c r="K14" s="4">
        <v>1200000</v>
      </c>
      <c r="M14" s="4">
        <v>5061899792</v>
      </c>
      <c r="O14" s="4">
        <v>4500645140</v>
      </c>
      <c r="Q14" s="4">
        <v>561254652</v>
      </c>
    </row>
    <row r="15" spans="1:17" ht="18.75" x14ac:dyDescent="0.45">
      <c r="A15" s="12" t="s">
        <v>26</v>
      </c>
      <c r="C15" s="4">
        <v>73938</v>
      </c>
      <c r="E15" s="4">
        <v>207999545</v>
      </c>
      <c r="G15" s="4">
        <v>243735683</v>
      </c>
      <c r="I15" s="4">
        <v>-35736138</v>
      </c>
      <c r="K15" s="4">
        <v>11882222</v>
      </c>
      <c r="M15" s="4">
        <v>25500778992</v>
      </c>
      <c r="O15" s="4">
        <v>39217034924</v>
      </c>
      <c r="Q15" s="4">
        <v>-13716255932</v>
      </c>
    </row>
    <row r="16" spans="1:17" ht="18.75" x14ac:dyDescent="0.45">
      <c r="A16" s="12" t="s">
        <v>27</v>
      </c>
      <c r="C16" s="4">
        <v>288857</v>
      </c>
      <c r="E16" s="4">
        <v>4603320144</v>
      </c>
      <c r="G16" s="4">
        <v>4285342304</v>
      </c>
      <c r="I16" s="4">
        <v>317977840</v>
      </c>
      <c r="K16" s="4">
        <v>1810426</v>
      </c>
      <c r="M16" s="4">
        <v>25272803170</v>
      </c>
      <c r="O16" s="4">
        <v>27753829246</v>
      </c>
      <c r="Q16" s="4">
        <v>-2481026076</v>
      </c>
    </row>
    <row r="17" spans="1:17" ht="18.75" x14ac:dyDescent="0.45">
      <c r="A17" s="12" t="s">
        <v>28</v>
      </c>
      <c r="J17" s="6"/>
      <c r="K17" s="4">
        <v>8134050</v>
      </c>
      <c r="M17" s="4">
        <v>24510849608</v>
      </c>
      <c r="O17" s="4">
        <v>19525680267</v>
      </c>
      <c r="Q17" s="4">
        <v>4985169341</v>
      </c>
    </row>
    <row r="18" spans="1:17" ht="18.75" x14ac:dyDescent="0.45">
      <c r="A18" s="12" t="s">
        <v>29</v>
      </c>
      <c r="C18" s="4">
        <v>6000000</v>
      </c>
      <c r="E18" s="4">
        <v>3306608080</v>
      </c>
      <c r="G18" s="4">
        <v>2424302575</v>
      </c>
      <c r="I18" s="4">
        <v>882305505</v>
      </c>
      <c r="K18" s="4">
        <v>8000000</v>
      </c>
      <c r="M18" s="4">
        <v>4131669615</v>
      </c>
      <c r="O18" s="4">
        <v>3234062275</v>
      </c>
      <c r="Q18" s="4">
        <v>897607340</v>
      </c>
    </row>
    <row r="19" spans="1:17" ht="18.75" x14ac:dyDescent="0.45">
      <c r="A19" s="12" t="s">
        <v>270</v>
      </c>
      <c r="J19" s="6"/>
      <c r="K19" s="4">
        <v>500000</v>
      </c>
      <c r="M19" s="4">
        <v>6011371915</v>
      </c>
      <c r="O19" s="4">
        <v>8791182875</v>
      </c>
      <c r="Q19" s="4">
        <v>-2779810960</v>
      </c>
    </row>
    <row r="20" spans="1:17" ht="18.75" x14ac:dyDescent="0.45">
      <c r="A20" s="12" t="s">
        <v>31</v>
      </c>
      <c r="C20" s="4">
        <v>2000000</v>
      </c>
      <c r="E20" s="4">
        <v>3095471759</v>
      </c>
      <c r="G20" s="4">
        <v>2549274392</v>
      </c>
      <c r="I20" s="4">
        <v>546197367</v>
      </c>
      <c r="K20" s="4">
        <v>14400000</v>
      </c>
      <c r="M20" s="4">
        <v>20314924338</v>
      </c>
      <c r="O20" s="4">
        <v>18332359372</v>
      </c>
      <c r="Q20" s="4">
        <v>1982564966</v>
      </c>
    </row>
    <row r="21" spans="1:17" ht="18.75" x14ac:dyDescent="0.45">
      <c r="A21" s="12" t="s">
        <v>33</v>
      </c>
      <c r="C21" s="4">
        <v>5200000</v>
      </c>
      <c r="E21" s="4">
        <v>3054914562</v>
      </c>
      <c r="G21" s="4">
        <v>2660385140</v>
      </c>
      <c r="I21" s="4">
        <v>394529422</v>
      </c>
      <c r="K21" s="4">
        <v>8000000</v>
      </c>
      <c r="M21" s="4">
        <v>4635398678</v>
      </c>
      <c r="O21" s="4">
        <v>4093286129</v>
      </c>
      <c r="Q21" s="4">
        <v>542112549</v>
      </c>
    </row>
    <row r="22" spans="1:17" ht="18.75" x14ac:dyDescent="0.45">
      <c r="A22" s="12" t="s">
        <v>34</v>
      </c>
      <c r="C22" s="4">
        <v>11200000</v>
      </c>
      <c r="E22" s="4">
        <v>14076543488</v>
      </c>
      <c r="G22" s="4">
        <v>11422003754</v>
      </c>
      <c r="I22" s="4">
        <v>2654539734</v>
      </c>
      <c r="K22" s="4">
        <v>15341220</v>
      </c>
      <c r="M22" s="4">
        <v>19090920448</v>
      </c>
      <c r="O22" s="4">
        <v>15646450032</v>
      </c>
      <c r="Q22" s="4">
        <v>3444470416</v>
      </c>
    </row>
    <row r="23" spans="1:17" ht="18.75" x14ac:dyDescent="0.45">
      <c r="A23" s="12" t="s">
        <v>36</v>
      </c>
      <c r="C23" s="4">
        <v>195351</v>
      </c>
      <c r="E23" s="4">
        <v>979299072</v>
      </c>
      <c r="G23" s="4">
        <v>814299418</v>
      </c>
      <c r="I23" s="4">
        <v>164999654</v>
      </c>
      <c r="K23" s="4">
        <v>195351</v>
      </c>
      <c r="M23" s="4">
        <v>979299072</v>
      </c>
      <c r="O23" s="4">
        <v>814299418</v>
      </c>
      <c r="Q23" s="4">
        <v>164999654</v>
      </c>
    </row>
    <row r="24" spans="1:17" ht="18.75" x14ac:dyDescent="0.45">
      <c r="A24" s="12" t="s">
        <v>37</v>
      </c>
      <c r="C24" s="4">
        <v>9112413</v>
      </c>
      <c r="E24" s="4">
        <v>13719118279</v>
      </c>
      <c r="G24" s="4">
        <v>13081517444</v>
      </c>
      <c r="I24" s="4">
        <v>637600835</v>
      </c>
      <c r="K24" s="4">
        <v>9112413</v>
      </c>
      <c r="M24" s="4">
        <v>13719118279</v>
      </c>
      <c r="O24" s="4">
        <v>13081517444</v>
      </c>
      <c r="Q24" s="4">
        <v>637600835</v>
      </c>
    </row>
    <row r="25" spans="1:17" ht="18.75" x14ac:dyDescent="0.45">
      <c r="A25" s="12" t="s">
        <v>44</v>
      </c>
      <c r="C25" s="4">
        <v>1600000</v>
      </c>
      <c r="E25" s="4">
        <v>5894620558</v>
      </c>
      <c r="G25" s="4">
        <v>5591835358</v>
      </c>
      <c r="I25" s="4">
        <v>302785200</v>
      </c>
      <c r="K25" s="4">
        <v>18068176</v>
      </c>
      <c r="M25" s="4">
        <v>76564064921</v>
      </c>
      <c r="O25" s="4">
        <v>63086569761</v>
      </c>
      <c r="Q25" s="4">
        <v>13477495160</v>
      </c>
    </row>
    <row r="26" spans="1:17" ht="18.75" x14ac:dyDescent="0.45">
      <c r="A26" s="12" t="s">
        <v>45</v>
      </c>
      <c r="C26" s="4">
        <v>600000</v>
      </c>
      <c r="E26" s="4">
        <v>4461661386</v>
      </c>
      <c r="G26" s="4">
        <v>3700981836</v>
      </c>
      <c r="I26" s="4">
        <v>760679550</v>
      </c>
      <c r="K26" s="4">
        <v>19028570</v>
      </c>
      <c r="M26" s="4">
        <v>135350528252</v>
      </c>
      <c r="O26" s="4">
        <v>117410783655</v>
      </c>
      <c r="Q26" s="4">
        <v>17939744597</v>
      </c>
    </row>
    <row r="27" spans="1:17" ht="18.75" x14ac:dyDescent="0.45">
      <c r="A27" s="12" t="s">
        <v>46</v>
      </c>
      <c r="C27" s="4">
        <v>1200000</v>
      </c>
      <c r="E27" s="4">
        <v>2819921121</v>
      </c>
      <c r="G27" s="4">
        <v>2272878920</v>
      </c>
      <c r="I27" s="4">
        <v>547042201</v>
      </c>
      <c r="K27" s="4">
        <v>1200000</v>
      </c>
      <c r="M27" s="4">
        <v>2819921121</v>
      </c>
      <c r="O27" s="4">
        <v>2272878920</v>
      </c>
      <c r="Q27" s="4">
        <v>547042201</v>
      </c>
    </row>
    <row r="28" spans="1:17" ht="18.75" x14ac:dyDescent="0.45">
      <c r="A28" s="12" t="s">
        <v>277</v>
      </c>
      <c r="J28" s="6"/>
      <c r="K28" s="4">
        <v>2838120</v>
      </c>
      <c r="M28" s="4">
        <v>11214374490</v>
      </c>
      <c r="O28" s="4">
        <v>12978257492</v>
      </c>
      <c r="Q28" s="4">
        <v>-1763883002</v>
      </c>
    </row>
    <row r="29" spans="1:17" ht="18.75" x14ac:dyDescent="0.45">
      <c r="A29" s="12" t="s">
        <v>48</v>
      </c>
      <c r="J29" s="6"/>
      <c r="K29" s="4">
        <v>5327149</v>
      </c>
      <c r="M29" s="4">
        <v>8931461087</v>
      </c>
      <c r="O29" s="4">
        <v>7746742035</v>
      </c>
      <c r="Q29" s="4">
        <v>1184719052</v>
      </c>
    </row>
    <row r="30" spans="1:17" ht="18.75" x14ac:dyDescent="0.45">
      <c r="A30" s="12" t="s">
        <v>50</v>
      </c>
      <c r="J30" s="6"/>
      <c r="K30" s="4">
        <v>750</v>
      </c>
      <c r="M30" s="4">
        <v>34443835</v>
      </c>
      <c r="O30" s="4">
        <v>35616912</v>
      </c>
      <c r="Q30" s="4">
        <v>-1173077</v>
      </c>
    </row>
    <row r="31" spans="1:17" ht="18.75" x14ac:dyDescent="0.45">
      <c r="A31" s="12" t="s">
        <v>51</v>
      </c>
      <c r="C31" s="4">
        <v>400000</v>
      </c>
      <c r="E31" s="4">
        <v>691452375</v>
      </c>
      <c r="G31" s="4">
        <v>653066951</v>
      </c>
      <c r="I31" s="4">
        <v>38385424</v>
      </c>
      <c r="K31" s="4">
        <v>400000</v>
      </c>
      <c r="M31" s="4">
        <v>691452375</v>
      </c>
      <c r="O31" s="4">
        <v>653066951</v>
      </c>
      <c r="Q31" s="4">
        <v>38385424</v>
      </c>
    </row>
    <row r="32" spans="1:17" ht="18.75" x14ac:dyDescent="0.45">
      <c r="A32" s="12" t="s">
        <v>54</v>
      </c>
      <c r="C32" s="4">
        <v>125000</v>
      </c>
      <c r="E32" s="4">
        <v>15020018103</v>
      </c>
      <c r="G32" s="4">
        <v>15101060353</v>
      </c>
      <c r="I32" s="4">
        <v>-81042250</v>
      </c>
      <c r="K32" s="4">
        <v>150000</v>
      </c>
      <c r="M32" s="4">
        <v>17732694239</v>
      </c>
      <c r="O32" s="4">
        <v>18233930268</v>
      </c>
      <c r="Q32" s="4">
        <v>-501236029</v>
      </c>
    </row>
    <row r="33" spans="1:17" ht="18.75" x14ac:dyDescent="0.45">
      <c r="A33" s="12" t="s">
        <v>55</v>
      </c>
      <c r="C33" s="4">
        <v>671794</v>
      </c>
      <c r="E33" s="4">
        <v>8180806042</v>
      </c>
      <c r="G33" s="4">
        <v>7617340570</v>
      </c>
      <c r="I33" s="4">
        <v>563465472</v>
      </c>
      <c r="K33" s="4">
        <v>3716904</v>
      </c>
      <c r="M33" s="4">
        <v>38797959784</v>
      </c>
      <c r="O33" s="4">
        <v>42183942150</v>
      </c>
      <c r="Q33" s="4">
        <v>-3385982366</v>
      </c>
    </row>
    <row r="34" spans="1:17" ht="18.75" x14ac:dyDescent="0.45">
      <c r="A34" s="12" t="s">
        <v>56</v>
      </c>
      <c r="C34" s="4">
        <v>1053822</v>
      </c>
      <c r="E34" s="4">
        <v>7139423105</v>
      </c>
      <c r="G34" s="4">
        <v>7303188592</v>
      </c>
      <c r="I34" s="4">
        <v>-163765487</v>
      </c>
      <c r="K34" s="4">
        <v>1053822</v>
      </c>
      <c r="M34" s="4">
        <v>7139423105</v>
      </c>
      <c r="O34" s="4">
        <v>7303188592</v>
      </c>
      <c r="Q34" s="4">
        <v>-163765487</v>
      </c>
    </row>
    <row r="35" spans="1:17" ht="18.75" x14ac:dyDescent="0.45">
      <c r="A35" s="12" t="s">
        <v>58</v>
      </c>
      <c r="J35" s="6"/>
      <c r="K35" s="4">
        <v>3406527</v>
      </c>
      <c r="M35" s="4">
        <v>4867055326</v>
      </c>
      <c r="O35" s="4">
        <v>5896819563</v>
      </c>
      <c r="Q35" s="4">
        <v>-1029764237</v>
      </c>
    </row>
    <row r="36" spans="1:17" ht="18.75" x14ac:dyDescent="0.45">
      <c r="A36" s="12" t="s">
        <v>60</v>
      </c>
      <c r="J36" s="6"/>
      <c r="K36" s="4">
        <v>2683070</v>
      </c>
      <c r="M36" s="4">
        <v>13857853623</v>
      </c>
      <c r="O36" s="4">
        <v>17545176730</v>
      </c>
      <c r="Q36" s="4">
        <v>-3687323107</v>
      </c>
    </row>
    <row r="37" spans="1:17" ht="18.75" x14ac:dyDescent="0.45">
      <c r="A37" s="12" t="s">
        <v>61</v>
      </c>
      <c r="C37" s="4">
        <v>53463</v>
      </c>
      <c r="E37" s="4">
        <v>1087356472</v>
      </c>
      <c r="G37" s="4">
        <v>913595267</v>
      </c>
      <c r="I37" s="4">
        <v>173761205</v>
      </c>
      <c r="K37" s="4">
        <v>3289702</v>
      </c>
      <c r="M37" s="4">
        <v>82529668146</v>
      </c>
      <c r="O37" s="4">
        <v>69118784644</v>
      </c>
      <c r="Q37" s="4">
        <v>13410883502</v>
      </c>
    </row>
    <row r="38" spans="1:17" ht="18.75" x14ac:dyDescent="0.45">
      <c r="A38" s="12" t="s">
        <v>62</v>
      </c>
      <c r="C38" s="4">
        <v>133690</v>
      </c>
      <c r="E38" s="4">
        <v>506682641</v>
      </c>
      <c r="G38" s="4">
        <v>414059183</v>
      </c>
      <c r="I38" s="4">
        <v>92623458</v>
      </c>
      <c r="K38" s="4">
        <v>381629</v>
      </c>
      <c r="M38" s="4">
        <v>1317301965</v>
      </c>
      <c r="O38" s="4">
        <v>1180763495</v>
      </c>
      <c r="Q38" s="4">
        <v>136538470</v>
      </c>
    </row>
    <row r="39" spans="1:17" ht="18.75" x14ac:dyDescent="0.45">
      <c r="A39" s="12" t="s">
        <v>64</v>
      </c>
      <c r="C39" s="4">
        <v>800000</v>
      </c>
      <c r="E39" s="4">
        <v>4000057255</v>
      </c>
      <c r="G39" s="4">
        <v>3251446955</v>
      </c>
      <c r="I39" s="4">
        <v>748610300</v>
      </c>
      <c r="K39" s="4">
        <v>800000</v>
      </c>
      <c r="M39" s="4">
        <v>4000057255</v>
      </c>
      <c r="O39" s="4">
        <v>3251446955</v>
      </c>
      <c r="Q39" s="4">
        <v>748610300</v>
      </c>
    </row>
    <row r="40" spans="1:17" ht="18.75" x14ac:dyDescent="0.45">
      <c r="A40" s="12" t="s">
        <v>65</v>
      </c>
      <c r="C40" s="4">
        <v>1400000</v>
      </c>
      <c r="E40" s="4">
        <v>8439484605</v>
      </c>
      <c r="G40" s="4">
        <v>5732640133</v>
      </c>
      <c r="I40" s="4">
        <v>2706844472</v>
      </c>
      <c r="K40" s="4">
        <v>9094425</v>
      </c>
      <c r="M40" s="4">
        <v>42770843682</v>
      </c>
      <c r="O40" s="4">
        <v>37311472486</v>
      </c>
      <c r="Q40" s="4">
        <v>5459371196</v>
      </c>
    </row>
    <row r="41" spans="1:17" ht="18.75" x14ac:dyDescent="0.45">
      <c r="A41" s="12" t="s">
        <v>66</v>
      </c>
      <c r="C41" s="4">
        <v>179966</v>
      </c>
      <c r="E41" s="4">
        <v>1551021426</v>
      </c>
      <c r="G41" s="4">
        <v>1089011521</v>
      </c>
      <c r="I41" s="4">
        <v>462009905</v>
      </c>
      <c r="K41" s="4">
        <v>179966</v>
      </c>
      <c r="M41" s="4">
        <v>1551021426</v>
      </c>
      <c r="O41" s="4">
        <v>1089011521</v>
      </c>
      <c r="Q41" s="4">
        <v>462009905</v>
      </c>
    </row>
    <row r="42" spans="1:17" ht="37.5" x14ac:dyDescent="0.45">
      <c r="A42" s="12" t="s">
        <v>68</v>
      </c>
      <c r="J42" s="6"/>
      <c r="K42" s="4">
        <v>150126</v>
      </c>
      <c r="M42" s="4">
        <v>4938968390</v>
      </c>
      <c r="O42" s="4">
        <v>4029568098</v>
      </c>
      <c r="Q42" s="4">
        <v>909400292</v>
      </c>
    </row>
    <row r="43" spans="1:17" ht="18.75" x14ac:dyDescent="0.45">
      <c r="A43" s="12" t="s">
        <v>69</v>
      </c>
      <c r="J43" s="6"/>
      <c r="K43" s="4">
        <v>1200000</v>
      </c>
      <c r="M43" s="4">
        <v>10218327640</v>
      </c>
      <c r="O43" s="4">
        <v>18005021512</v>
      </c>
      <c r="Q43" s="4">
        <v>-7786693872</v>
      </c>
    </row>
    <row r="44" spans="1:17" ht="18.75" x14ac:dyDescent="0.45">
      <c r="A44" s="12" t="s">
        <v>70</v>
      </c>
      <c r="C44" s="4">
        <v>4800000</v>
      </c>
      <c r="E44" s="4">
        <v>8327783410</v>
      </c>
      <c r="G44" s="4">
        <v>11120094312</v>
      </c>
      <c r="I44" s="4">
        <v>-2792310902</v>
      </c>
      <c r="K44" s="4">
        <v>12345044</v>
      </c>
      <c r="M44" s="4">
        <v>20812581289</v>
      </c>
      <c r="O44" s="4">
        <v>28603219019</v>
      </c>
      <c r="Q44" s="4">
        <v>-7790637730</v>
      </c>
    </row>
    <row r="45" spans="1:17" ht="18.75" x14ac:dyDescent="0.45">
      <c r="A45" s="12" t="s">
        <v>71</v>
      </c>
      <c r="C45" s="4">
        <v>2622202</v>
      </c>
      <c r="E45" s="4">
        <v>5913458044</v>
      </c>
      <c r="G45" s="4">
        <v>7558009055</v>
      </c>
      <c r="I45" s="4">
        <v>-1644551011</v>
      </c>
      <c r="K45" s="4">
        <v>8158132</v>
      </c>
      <c r="M45" s="4">
        <v>17490626959</v>
      </c>
      <c r="O45" s="4">
        <v>23519726997</v>
      </c>
      <c r="Q45" s="4">
        <v>-6029100038</v>
      </c>
    </row>
    <row r="46" spans="1:17" ht="18.75" x14ac:dyDescent="0.45">
      <c r="A46" s="12" t="s">
        <v>72</v>
      </c>
      <c r="C46" s="4">
        <v>400000</v>
      </c>
      <c r="E46" s="4">
        <v>1330436533</v>
      </c>
      <c r="G46" s="4">
        <v>1191669399</v>
      </c>
      <c r="I46" s="4">
        <v>138767134</v>
      </c>
      <c r="K46" s="4">
        <v>400000</v>
      </c>
      <c r="M46" s="4">
        <v>1330436533</v>
      </c>
      <c r="O46" s="4">
        <v>1191669399</v>
      </c>
      <c r="Q46" s="4">
        <v>138767134</v>
      </c>
    </row>
    <row r="47" spans="1:17" ht="18.75" x14ac:dyDescent="0.45">
      <c r="A47" s="12" t="s">
        <v>287</v>
      </c>
      <c r="J47" s="6"/>
      <c r="K47" s="4">
        <v>10258397</v>
      </c>
      <c r="M47" s="4">
        <v>17418477479</v>
      </c>
      <c r="O47" s="4">
        <v>20331248787</v>
      </c>
      <c r="Q47" s="4">
        <v>-2912771308</v>
      </c>
    </row>
    <row r="48" spans="1:17" ht="18.75" x14ac:dyDescent="0.45">
      <c r="A48" s="12" t="s">
        <v>73</v>
      </c>
      <c r="C48" s="4">
        <v>562500</v>
      </c>
      <c r="E48" s="4">
        <v>5893474057</v>
      </c>
      <c r="G48" s="4">
        <v>4896698224</v>
      </c>
      <c r="I48" s="4">
        <v>996775833</v>
      </c>
      <c r="K48" s="4">
        <v>562500</v>
      </c>
      <c r="M48" s="4">
        <v>5893474057</v>
      </c>
      <c r="O48" s="4">
        <v>4896698224</v>
      </c>
      <c r="Q48" s="4">
        <v>996775833</v>
      </c>
    </row>
    <row r="49" spans="1:17" ht="18.75" x14ac:dyDescent="0.45">
      <c r="A49" s="12" t="s">
        <v>74</v>
      </c>
      <c r="C49" s="4">
        <v>3600000</v>
      </c>
      <c r="E49" s="4">
        <v>1829029226</v>
      </c>
      <c r="G49" s="4">
        <v>1399291156</v>
      </c>
      <c r="I49" s="4">
        <v>429738070</v>
      </c>
      <c r="K49" s="4">
        <v>3600000</v>
      </c>
      <c r="M49" s="4">
        <v>1829029226</v>
      </c>
      <c r="O49" s="4">
        <v>1399291156</v>
      </c>
      <c r="Q49" s="4">
        <v>429738070</v>
      </c>
    </row>
    <row r="50" spans="1:17" ht="18.75" x14ac:dyDescent="0.45">
      <c r="A50" s="12" t="s">
        <v>75</v>
      </c>
      <c r="J50" s="6"/>
      <c r="K50" s="4">
        <v>5362092</v>
      </c>
      <c r="M50" s="4">
        <v>12980888049</v>
      </c>
      <c r="O50" s="4">
        <v>12856362371</v>
      </c>
      <c r="Q50" s="4">
        <v>124525678</v>
      </c>
    </row>
    <row r="51" spans="1:17" ht="18.75" x14ac:dyDescent="0.45">
      <c r="A51" s="12" t="s">
        <v>76</v>
      </c>
      <c r="J51" s="6"/>
      <c r="K51" s="4">
        <v>324703</v>
      </c>
      <c r="M51" s="4">
        <v>4351143893</v>
      </c>
      <c r="O51" s="4">
        <v>3998814252</v>
      </c>
      <c r="Q51" s="4">
        <v>352329641</v>
      </c>
    </row>
    <row r="52" spans="1:17" ht="37.5" x14ac:dyDescent="0.45">
      <c r="A52" s="12" t="s">
        <v>77</v>
      </c>
      <c r="C52" s="4">
        <v>7540929</v>
      </c>
      <c r="E52" s="4">
        <v>9697730171</v>
      </c>
      <c r="G52" s="4">
        <v>9968584275</v>
      </c>
      <c r="I52" s="4">
        <v>-270854104</v>
      </c>
      <c r="K52" s="4">
        <v>7540929</v>
      </c>
      <c r="M52" s="4">
        <v>9697730171</v>
      </c>
      <c r="O52" s="4">
        <v>9968584275</v>
      </c>
      <c r="Q52" s="4">
        <v>-270854104</v>
      </c>
    </row>
    <row r="53" spans="1:17" ht="18.75" x14ac:dyDescent="0.45">
      <c r="A53" s="12" t="s">
        <v>78</v>
      </c>
      <c r="C53" s="4">
        <v>600000</v>
      </c>
      <c r="E53" s="4">
        <v>4079867610</v>
      </c>
      <c r="G53" s="4">
        <v>4065371400</v>
      </c>
      <c r="I53" s="4">
        <v>14496210</v>
      </c>
      <c r="K53" s="4">
        <v>600000</v>
      </c>
      <c r="M53" s="4">
        <v>4079867610</v>
      </c>
      <c r="O53" s="4">
        <v>4065371400</v>
      </c>
      <c r="Q53" s="4">
        <v>14496210</v>
      </c>
    </row>
    <row r="54" spans="1:17" ht="18.75" x14ac:dyDescent="0.45">
      <c r="A54" s="12" t="s">
        <v>79</v>
      </c>
      <c r="C54" s="4">
        <v>600000</v>
      </c>
      <c r="E54" s="4">
        <v>6241926817</v>
      </c>
      <c r="G54" s="4">
        <v>6071227914</v>
      </c>
      <c r="I54" s="4">
        <v>170698903</v>
      </c>
      <c r="K54" s="4">
        <v>1000000</v>
      </c>
      <c r="M54" s="4">
        <v>10536445784</v>
      </c>
      <c r="O54" s="4">
        <v>10117915662</v>
      </c>
      <c r="Q54" s="4">
        <v>418530122</v>
      </c>
    </row>
    <row r="55" spans="1:17" ht="18.75" x14ac:dyDescent="0.45">
      <c r="A55" s="12" t="s">
        <v>80</v>
      </c>
      <c r="C55" s="4">
        <v>400000</v>
      </c>
      <c r="E55" s="4">
        <v>4358378835</v>
      </c>
      <c r="G55" s="4">
        <v>3802275625</v>
      </c>
      <c r="I55" s="4">
        <v>556103210</v>
      </c>
      <c r="K55" s="4">
        <v>1598598</v>
      </c>
      <c r="M55" s="4">
        <v>16231208586</v>
      </c>
      <c r="O55" s="4">
        <v>14956766961</v>
      </c>
      <c r="Q55" s="4">
        <v>1274441625</v>
      </c>
    </row>
    <row r="56" spans="1:17" ht="18.75" x14ac:dyDescent="0.45">
      <c r="A56" s="12" t="s">
        <v>84</v>
      </c>
      <c r="J56" s="6"/>
      <c r="K56" s="4">
        <v>3250000</v>
      </c>
      <c r="M56" s="4">
        <v>4477257642</v>
      </c>
      <c r="O56" s="4">
        <v>3912524843</v>
      </c>
      <c r="Q56" s="4">
        <v>564732799</v>
      </c>
    </row>
    <row r="57" spans="1:17" ht="18.75" x14ac:dyDescent="0.45">
      <c r="A57" s="12" t="s">
        <v>85</v>
      </c>
      <c r="C57" s="4">
        <v>400000</v>
      </c>
      <c r="E57" s="4">
        <v>1920504607</v>
      </c>
      <c r="G57" s="4">
        <v>1766396424</v>
      </c>
      <c r="I57" s="4">
        <v>154108183</v>
      </c>
      <c r="K57" s="4">
        <v>400000</v>
      </c>
      <c r="M57" s="4">
        <v>1920504607</v>
      </c>
      <c r="O57" s="4">
        <v>1766396424</v>
      </c>
      <c r="Q57" s="4">
        <v>154108183</v>
      </c>
    </row>
    <row r="58" spans="1:17" ht="18.75" x14ac:dyDescent="0.45">
      <c r="A58" s="12" t="s">
        <v>86</v>
      </c>
      <c r="C58" s="4">
        <v>400000</v>
      </c>
      <c r="E58" s="4">
        <v>2595199042</v>
      </c>
      <c r="G58" s="4">
        <v>2572342966</v>
      </c>
      <c r="I58" s="4">
        <v>22856076</v>
      </c>
      <c r="K58" s="4">
        <v>600000</v>
      </c>
      <c r="M58" s="4">
        <v>3881939888</v>
      </c>
      <c r="O58" s="4">
        <v>3858579514</v>
      </c>
      <c r="Q58" s="4">
        <v>23360374</v>
      </c>
    </row>
    <row r="59" spans="1:17" ht="18.75" x14ac:dyDescent="0.45">
      <c r="A59" s="12" t="s">
        <v>290</v>
      </c>
      <c r="J59" s="6"/>
      <c r="K59" s="4">
        <v>1186353</v>
      </c>
      <c r="M59" s="4">
        <v>60228986918</v>
      </c>
      <c r="O59" s="4">
        <v>56481474431</v>
      </c>
      <c r="Q59" s="4">
        <v>3747512487</v>
      </c>
    </row>
    <row r="60" spans="1:17" ht="18.75" x14ac:dyDescent="0.45">
      <c r="A60" s="12" t="s">
        <v>87</v>
      </c>
      <c r="J60" s="6"/>
      <c r="K60" s="4">
        <v>15118</v>
      </c>
      <c r="M60" s="4">
        <v>1570544571</v>
      </c>
      <c r="O60" s="4">
        <v>1359504255</v>
      </c>
      <c r="Q60" s="4">
        <v>211040316</v>
      </c>
    </row>
    <row r="61" spans="1:17" ht="18.75" x14ac:dyDescent="0.45">
      <c r="A61" s="12" t="s">
        <v>89</v>
      </c>
      <c r="C61" s="4">
        <v>1000000</v>
      </c>
      <c r="E61" s="4">
        <v>8373729604</v>
      </c>
      <c r="G61" s="4">
        <v>8098286123</v>
      </c>
      <c r="I61" s="4">
        <v>275443481</v>
      </c>
      <c r="K61" s="4">
        <v>4433426</v>
      </c>
      <c r="M61" s="4">
        <v>45093603796</v>
      </c>
      <c r="O61" s="4">
        <v>35694422044</v>
      </c>
      <c r="Q61" s="4">
        <v>9399181752</v>
      </c>
    </row>
    <row r="62" spans="1:17" ht="18.75" x14ac:dyDescent="0.45">
      <c r="A62" s="12" t="s">
        <v>90</v>
      </c>
      <c r="C62" s="4">
        <v>400000</v>
      </c>
      <c r="E62" s="4">
        <v>2803857241</v>
      </c>
      <c r="G62" s="4">
        <v>2623641938</v>
      </c>
      <c r="I62" s="4">
        <v>180215303</v>
      </c>
      <c r="K62" s="4">
        <v>400000</v>
      </c>
      <c r="M62" s="4">
        <v>2803857241</v>
      </c>
      <c r="O62" s="4">
        <v>2623641938</v>
      </c>
      <c r="Q62" s="4">
        <v>180215303</v>
      </c>
    </row>
    <row r="63" spans="1:17" ht="18.75" x14ac:dyDescent="0.45">
      <c r="A63" s="12" t="s">
        <v>91</v>
      </c>
      <c r="C63" s="4">
        <v>400000</v>
      </c>
      <c r="E63" s="4">
        <v>1637023421</v>
      </c>
      <c r="G63" s="4">
        <v>1786016677</v>
      </c>
      <c r="I63" s="4">
        <v>-148993256</v>
      </c>
      <c r="K63" s="4">
        <v>400000</v>
      </c>
      <c r="M63" s="4">
        <v>1637023421</v>
      </c>
      <c r="O63" s="4">
        <v>1786016677</v>
      </c>
      <c r="Q63" s="4">
        <v>-148993256</v>
      </c>
    </row>
    <row r="64" spans="1:17" ht="18.75" x14ac:dyDescent="0.45">
      <c r="A64" s="12" t="s">
        <v>92</v>
      </c>
      <c r="C64" s="4">
        <v>600000</v>
      </c>
      <c r="E64" s="4">
        <v>4668681365</v>
      </c>
      <c r="G64" s="4">
        <v>4965896047</v>
      </c>
      <c r="I64" s="4">
        <v>-297214682</v>
      </c>
      <c r="K64" s="4">
        <v>4103951</v>
      </c>
      <c r="M64" s="4">
        <v>33721921379</v>
      </c>
      <c r="O64" s="4">
        <v>33875900986</v>
      </c>
      <c r="Q64" s="4">
        <v>-153979607</v>
      </c>
    </row>
    <row r="65" spans="1:17" ht="18.75" x14ac:dyDescent="0.45">
      <c r="A65" s="12" t="s">
        <v>93</v>
      </c>
      <c r="J65" s="6"/>
      <c r="K65" s="4">
        <v>4275243</v>
      </c>
      <c r="M65" s="4">
        <v>74407807280</v>
      </c>
      <c r="O65" s="4">
        <v>51402249741</v>
      </c>
      <c r="Q65" s="4">
        <v>23005557539</v>
      </c>
    </row>
    <row r="66" spans="1:17" ht="18.75" x14ac:dyDescent="0.45">
      <c r="A66" s="12" t="s">
        <v>94</v>
      </c>
      <c r="J66" s="6"/>
      <c r="K66" s="4">
        <v>200000</v>
      </c>
      <c r="M66" s="4">
        <v>5291690299</v>
      </c>
      <c r="O66" s="4">
        <v>4664218559</v>
      </c>
      <c r="Q66" s="4">
        <v>627471740</v>
      </c>
    </row>
    <row r="67" spans="1:17" ht="18.75" x14ac:dyDescent="0.45">
      <c r="A67" s="12" t="s">
        <v>96</v>
      </c>
      <c r="C67" s="4">
        <v>313777</v>
      </c>
      <c r="E67" s="4">
        <v>2308678342</v>
      </c>
      <c r="G67" s="4">
        <v>2506193776</v>
      </c>
      <c r="I67" s="4">
        <v>-197515434</v>
      </c>
      <c r="K67" s="4">
        <v>313777</v>
      </c>
      <c r="M67" s="4">
        <v>2308678342</v>
      </c>
      <c r="O67" s="4">
        <v>2506193776</v>
      </c>
      <c r="Q67" s="4">
        <v>-197515434</v>
      </c>
    </row>
    <row r="68" spans="1:17" ht="18.75" x14ac:dyDescent="0.45">
      <c r="A68" s="12" t="s">
        <v>98</v>
      </c>
      <c r="C68" s="4">
        <v>200000</v>
      </c>
      <c r="E68" s="4">
        <v>3333006138</v>
      </c>
      <c r="G68" s="4">
        <v>3292533594</v>
      </c>
      <c r="I68" s="4">
        <v>40472544</v>
      </c>
      <c r="K68" s="4">
        <v>200000</v>
      </c>
      <c r="M68" s="4">
        <v>3333006138</v>
      </c>
      <c r="O68" s="4">
        <v>3292533594</v>
      </c>
      <c r="Q68" s="4">
        <v>40472544</v>
      </c>
    </row>
    <row r="69" spans="1:17" ht="18.75" x14ac:dyDescent="0.45">
      <c r="A69" s="12" t="s">
        <v>102</v>
      </c>
      <c r="C69" s="4">
        <v>1600000</v>
      </c>
      <c r="E69" s="4">
        <v>2974422440</v>
      </c>
      <c r="G69" s="4">
        <v>2542091718</v>
      </c>
      <c r="I69" s="4">
        <v>432330722</v>
      </c>
      <c r="K69" s="4">
        <v>1600000</v>
      </c>
      <c r="M69" s="4">
        <v>2974422440</v>
      </c>
      <c r="O69" s="4">
        <v>2542091718</v>
      </c>
      <c r="Q69" s="4">
        <v>432330722</v>
      </c>
    </row>
    <row r="70" spans="1:17" ht="18.75" x14ac:dyDescent="0.45">
      <c r="A70" s="12" t="s">
        <v>103</v>
      </c>
      <c r="C70" s="4">
        <v>100000</v>
      </c>
      <c r="E70" s="4">
        <v>3993098857</v>
      </c>
      <c r="G70" s="4">
        <v>2978161992</v>
      </c>
      <c r="I70" s="4">
        <v>1014936865</v>
      </c>
      <c r="K70" s="4">
        <v>100000</v>
      </c>
      <c r="M70" s="4">
        <v>3993098857</v>
      </c>
      <c r="O70" s="4">
        <v>2978161992</v>
      </c>
      <c r="Q70" s="4">
        <v>1014936865</v>
      </c>
    </row>
    <row r="71" spans="1:17" ht="37.5" x14ac:dyDescent="0.45">
      <c r="A71" s="12" t="s">
        <v>105</v>
      </c>
      <c r="C71" s="4">
        <v>3600000</v>
      </c>
      <c r="E71" s="4">
        <v>10626585580</v>
      </c>
      <c r="G71" s="4">
        <v>7999989085</v>
      </c>
      <c r="I71" s="4">
        <v>2626596495</v>
      </c>
      <c r="K71" s="4">
        <v>3600000</v>
      </c>
      <c r="M71" s="4">
        <v>10626585580</v>
      </c>
      <c r="O71" s="4">
        <v>7999989085</v>
      </c>
      <c r="Q71" s="4">
        <v>2626596495</v>
      </c>
    </row>
    <row r="72" spans="1:17" ht="18.75" x14ac:dyDescent="0.45">
      <c r="A72" s="12" t="s">
        <v>108</v>
      </c>
      <c r="C72" s="4">
        <v>259582</v>
      </c>
      <c r="E72" s="4">
        <v>2582710185</v>
      </c>
      <c r="G72" s="4">
        <v>2395321785</v>
      </c>
      <c r="I72" s="4">
        <v>187388400</v>
      </c>
      <c r="K72" s="4">
        <v>259582</v>
      </c>
      <c r="M72" s="4">
        <v>2582710185</v>
      </c>
      <c r="O72" s="4">
        <v>2395321785</v>
      </c>
      <c r="Q72" s="4">
        <v>187388400</v>
      </c>
    </row>
    <row r="73" spans="1:17" ht="18.75" x14ac:dyDescent="0.45">
      <c r="A73" s="12" t="s">
        <v>109</v>
      </c>
      <c r="J73" s="6"/>
      <c r="K73" s="4">
        <v>20189045</v>
      </c>
      <c r="M73" s="4">
        <v>32485089486</v>
      </c>
      <c r="O73" s="4">
        <v>31534520133</v>
      </c>
      <c r="Q73" s="4">
        <v>950569353</v>
      </c>
    </row>
    <row r="74" spans="1:17" ht="18.75" x14ac:dyDescent="0.45">
      <c r="A74" s="12" t="s">
        <v>110</v>
      </c>
      <c r="J74" s="6"/>
      <c r="K74" s="4">
        <v>6199</v>
      </c>
      <c r="M74" s="4">
        <v>156164327</v>
      </c>
      <c r="O74" s="4">
        <v>177766649</v>
      </c>
      <c r="Q74" s="4">
        <v>-21602322</v>
      </c>
    </row>
    <row r="75" spans="1:17" ht="18.75" x14ac:dyDescent="0.45">
      <c r="A75" s="12" t="s">
        <v>296</v>
      </c>
      <c r="J75" s="6"/>
      <c r="K75" s="4">
        <v>10148510</v>
      </c>
      <c r="M75" s="4">
        <v>23061457106</v>
      </c>
      <c r="O75" s="4">
        <v>37934552149</v>
      </c>
      <c r="Q75" s="4">
        <v>-14873095043</v>
      </c>
    </row>
    <row r="76" spans="1:17" ht="18.75" x14ac:dyDescent="0.45">
      <c r="A76" s="12" t="s">
        <v>113</v>
      </c>
      <c r="J76" s="6"/>
      <c r="K76" s="4">
        <v>1875000</v>
      </c>
      <c r="M76" s="4">
        <v>6181102605</v>
      </c>
      <c r="O76" s="4">
        <v>5874615480</v>
      </c>
      <c r="Q76" s="4">
        <v>306487125</v>
      </c>
    </row>
    <row r="77" spans="1:17" ht="18.75" x14ac:dyDescent="0.45">
      <c r="A77" s="12" t="s">
        <v>117</v>
      </c>
      <c r="C77" s="4">
        <v>2790811</v>
      </c>
      <c r="E77" s="4">
        <v>10028753561</v>
      </c>
      <c r="G77" s="4">
        <v>12324025927</v>
      </c>
      <c r="I77" s="4">
        <v>-2295272366</v>
      </c>
      <c r="K77" s="4">
        <v>16038059</v>
      </c>
      <c r="M77" s="4">
        <v>51628529329</v>
      </c>
      <c r="O77" s="4">
        <v>70858884105</v>
      </c>
      <c r="Q77" s="4">
        <v>-19230354776</v>
      </c>
    </row>
    <row r="78" spans="1:17" ht="18.75" x14ac:dyDescent="0.45">
      <c r="A78" s="12" t="s">
        <v>118</v>
      </c>
      <c r="C78" s="4">
        <v>1200000</v>
      </c>
      <c r="E78" s="4">
        <v>8027948389</v>
      </c>
      <c r="G78" s="4">
        <v>8994120329</v>
      </c>
      <c r="I78" s="4">
        <v>-966171940</v>
      </c>
      <c r="K78" s="4">
        <v>8664654</v>
      </c>
      <c r="M78" s="4">
        <v>59911495868</v>
      </c>
      <c r="O78" s="4">
        <v>64747995337</v>
      </c>
      <c r="Q78" s="4">
        <v>-4836499469</v>
      </c>
    </row>
    <row r="79" spans="1:17" ht="18.75" x14ac:dyDescent="0.45">
      <c r="A79" s="12" t="s">
        <v>119</v>
      </c>
      <c r="C79" s="4">
        <v>1200000</v>
      </c>
      <c r="E79" s="4">
        <v>3709770534</v>
      </c>
      <c r="G79" s="4">
        <v>2336150321</v>
      </c>
      <c r="I79" s="4">
        <v>1373620213</v>
      </c>
      <c r="K79" s="4">
        <v>1200000</v>
      </c>
      <c r="M79" s="4">
        <v>3709770534</v>
      </c>
      <c r="O79" s="4">
        <v>2336150321</v>
      </c>
      <c r="Q79" s="4">
        <v>1373620213</v>
      </c>
    </row>
    <row r="80" spans="1:17" ht="18.75" x14ac:dyDescent="0.45">
      <c r="A80" s="12" t="s">
        <v>121</v>
      </c>
      <c r="C80" s="4">
        <v>2800000</v>
      </c>
      <c r="E80" s="4">
        <v>6493906573</v>
      </c>
      <c r="G80" s="4">
        <v>10301238329</v>
      </c>
      <c r="I80" s="4">
        <v>-3807331756</v>
      </c>
      <c r="K80" s="4">
        <v>8155528</v>
      </c>
      <c r="M80" s="4">
        <v>19430540152</v>
      </c>
      <c r="O80" s="4">
        <v>30001212231</v>
      </c>
      <c r="Q80" s="4">
        <v>-10570672079</v>
      </c>
    </row>
    <row r="81" spans="1:17" ht="18.75" x14ac:dyDescent="0.45">
      <c r="A81" s="12" t="s">
        <v>300</v>
      </c>
      <c r="J81" s="6"/>
      <c r="K81" s="4">
        <v>800000</v>
      </c>
      <c r="M81" s="4">
        <v>5996109686</v>
      </c>
      <c r="O81" s="4">
        <v>7154632734</v>
      </c>
      <c r="Q81" s="4">
        <v>-1158523048</v>
      </c>
    </row>
    <row r="82" spans="1:17" ht="18.75" x14ac:dyDescent="0.45">
      <c r="A82" s="12" t="s">
        <v>123</v>
      </c>
      <c r="C82" s="4">
        <v>1600000</v>
      </c>
      <c r="E82" s="4">
        <v>6207643470</v>
      </c>
      <c r="G82" s="4">
        <v>5718918585</v>
      </c>
      <c r="I82" s="4">
        <v>488724885</v>
      </c>
      <c r="K82" s="4">
        <v>2869048</v>
      </c>
      <c r="M82" s="4">
        <v>10841586635</v>
      </c>
      <c r="O82" s="4">
        <v>9939319370</v>
      </c>
      <c r="Q82" s="4">
        <v>902267265</v>
      </c>
    </row>
    <row r="83" spans="1:17" ht="18.75" x14ac:dyDescent="0.45">
      <c r="A83" s="12" t="s">
        <v>125</v>
      </c>
      <c r="C83" s="4">
        <v>455374</v>
      </c>
      <c r="E83" s="4">
        <v>1605069761</v>
      </c>
      <c r="G83" s="4">
        <v>1379939530</v>
      </c>
      <c r="I83" s="4">
        <v>225130231</v>
      </c>
      <c r="K83" s="4">
        <v>455374</v>
      </c>
      <c r="M83" s="4">
        <v>1605069761</v>
      </c>
      <c r="O83" s="4">
        <v>1379939530</v>
      </c>
      <c r="Q83" s="4">
        <v>225130231</v>
      </c>
    </row>
    <row r="84" spans="1:17" ht="18.75" x14ac:dyDescent="0.45">
      <c r="A84" s="12" t="s">
        <v>126</v>
      </c>
      <c r="C84" s="4">
        <v>800000</v>
      </c>
      <c r="E84" s="4">
        <v>3268436423</v>
      </c>
      <c r="G84" s="4">
        <v>2614078160</v>
      </c>
      <c r="I84" s="4">
        <v>654358263</v>
      </c>
      <c r="K84" s="4">
        <v>800000</v>
      </c>
      <c r="M84" s="4">
        <v>3268436423</v>
      </c>
      <c r="O84" s="4">
        <v>2614078160</v>
      </c>
      <c r="Q84" s="4">
        <v>654358263</v>
      </c>
    </row>
    <row r="85" spans="1:17" ht="18.75" x14ac:dyDescent="0.45">
      <c r="A85" s="12" t="s">
        <v>127</v>
      </c>
      <c r="C85" s="4">
        <v>600000</v>
      </c>
      <c r="E85" s="4">
        <v>8797697757</v>
      </c>
      <c r="G85" s="4">
        <v>7569678740</v>
      </c>
      <c r="I85" s="4">
        <v>1228019017</v>
      </c>
      <c r="K85" s="4">
        <v>800000</v>
      </c>
      <c r="M85" s="4">
        <v>11426960046</v>
      </c>
      <c r="O85" s="4">
        <v>9972036927</v>
      </c>
      <c r="Q85" s="4">
        <v>1454923119</v>
      </c>
    </row>
    <row r="86" spans="1:17" ht="37.5" x14ac:dyDescent="0.45">
      <c r="A86" s="12" t="s">
        <v>129</v>
      </c>
      <c r="J86" s="6"/>
      <c r="K86" s="4">
        <v>300000</v>
      </c>
      <c r="M86" s="4">
        <v>6341843654</v>
      </c>
      <c r="O86" s="4">
        <v>6432566679</v>
      </c>
      <c r="Q86" s="4">
        <v>-90723025</v>
      </c>
    </row>
    <row r="87" spans="1:17" ht="18.75" x14ac:dyDescent="0.45">
      <c r="A87" s="12" t="s">
        <v>130</v>
      </c>
      <c r="C87" s="4">
        <v>2128850</v>
      </c>
      <c r="E87" s="4">
        <v>11503305900</v>
      </c>
      <c r="G87" s="4">
        <v>9381127807</v>
      </c>
      <c r="I87" s="4">
        <v>2122178093</v>
      </c>
      <c r="K87" s="4">
        <v>2328850</v>
      </c>
      <c r="M87" s="4">
        <v>12388606838</v>
      </c>
      <c r="O87" s="4">
        <v>10435486045</v>
      </c>
      <c r="Q87" s="4">
        <v>1953120793</v>
      </c>
    </row>
    <row r="88" spans="1:17" ht="18.75" x14ac:dyDescent="0.45">
      <c r="A88" s="12" t="s">
        <v>131</v>
      </c>
      <c r="C88" s="4">
        <v>1200000</v>
      </c>
      <c r="E88" s="4">
        <v>4017853384</v>
      </c>
      <c r="G88" s="4">
        <v>3968033570</v>
      </c>
      <c r="I88" s="4">
        <v>49819814</v>
      </c>
      <c r="K88" s="4">
        <v>1200000</v>
      </c>
      <c r="M88" s="4">
        <v>4017853384</v>
      </c>
      <c r="O88" s="4">
        <v>3968033570</v>
      </c>
      <c r="Q88" s="4">
        <v>49819814</v>
      </c>
    </row>
    <row r="89" spans="1:17" ht="18.75" x14ac:dyDescent="0.45">
      <c r="A89" s="12" t="s">
        <v>132</v>
      </c>
      <c r="C89" s="4">
        <v>3600000</v>
      </c>
      <c r="E89" s="4">
        <v>5579356894</v>
      </c>
      <c r="G89" s="4">
        <v>4577258897</v>
      </c>
      <c r="I89" s="4">
        <v>1002097997</v>
      </c>
      <c r="K89" s="4">
        <v>3600000</v>
      </c>
      <c r="M89" s="4">
        <v>5579356894</v>
      </c>
      <c r="O89" s="4">
        <v>4577258897</v>
      </c>
      <c r="Q89" s="4">
        <v>1002097997</v>
      </c>
    </row>
    <row r="90" spans="1:17" ht="18.75" x14ac:dyDescent="0.45">
      <c r="A90" s="12" t="s">
        <v>134</v>
      </c>
      <c r="C90" s="4">
        <v>5594350</v>
      </c>
      <c r="E90" s="4">
        <v>16967709205</v>
      </c>
      <c r="G90" s="4">
        <v>14541879122</v>
      </c>
      <c r="I90" s="4">
        <v>2425830083</v>
      </c>
      <c r="K90" s="4">
        <v>9856287</v>
      </c>
      <c r="M90" s="4">
        <v>28338435472</v>
      </c>
      <c r="O90" s="4">
        <v>25076043041</v>
      </c>
      <c r="Q90" s="4">
        <v>3262392431</v>
      </c>
    </row>
    <row r="91" spans="1:17" ht="18.75" x14ac:dyDescent="0.45">
      <c r="A91" s="12" t="s">
        <v>135</v>
      </c>
      <c r="C91" s="4">
        <v>3296006</v>
      </c>
      <c r="E91" s="4">
        <v>13580464920</v>
      </c>
      <c r="G91" s="4">
        <v>9537904341</v>
      </c>
      <c r="I91" s="4">
        <v>4042560579</v>
      </c>
      <c r="K91" s="4">
        <v>3296006</v>
      </c>
      <c r="M91" s="4">
        <v>13580464920</v>
      </c>
      <c r="O91" s="4">
        <v>9537904341</v>
      </c>
      <c r="Q91" s="4">
        <v>4042560579</v>
      </c>
    </row>
    <row r="92" spans="1:17" ht="18.75" x14ac:dyDescent="0.45">
      <c r="A92" s="12" t="s">
        <v>136</v>
      </c>
      <c r="C92" s="4">
        <v>400000</v>
      </c>
      <c r="E92" s="4">
        <v>453286827</v>
      </c>
      <c r="G92" s="4">
        <v>398414838</v>
      </c>
      <c r="I92" s="4">
        <v>54871989</v>
      </c>
      <c r="K92" s="4">
        <v>400000</v>
      </c>
      <c r="M92" s="4">
        <v>453286827</v>
      </c>
      <c r="O92" s="4">
        <v>398414838</v>
      </c>
      <c r="Q92" s="4">
        <v>54871989</v>
      </c>
    </row>
    <row r="93" spans="1:17" ht="18.75" x14ac:dyDescent="0.45">
      <c r="A93" s="12" t="s">
        <v>139</v>
      </c>
      <c r="C93" s="4">
        <v>348531</v>
      </c>
      <c r="E93" s="4">
        <v>1879391684</v>
      </c>
      <c r="G93" s="4">
        <v>1831775847</v>
      </c>
      <c r="I93" s="4">
        <v>47615837</v>
      </c>
      <c r="K93" s="4">
        <v>2410435</v>
      </c>
      <c r="M93" s="4">
        <v>11361884136</v>
      </c>
      <c r="O93" s="4">
        <v>12658870197</v>
      </c>
      <c r="Q93" s="4">
        <v>-1296986061</v>
      </c>
    </row>
    <row r="94" spans="1:17" ht="18.75" x14ac:dyDescent="0.45">
      <c r="A94" s="12" t="s">
        <v>141</v>
      </c>
      <c r="J94" s="6"/>
      <c r="K94" s="4">
        <v>1537022</v>
      </c>
      <c r="M94" s="4">
        <v>4464836919</v>
      </c>
      <c r="O94" s="4">
        <v>4984711049</v>
      </c>
      <c r="Q94" s="4">
        <v>-519874130</v>
      </c>
    </row>
    <row r="95" spans="1:17" ht="18.75" x14ac:dyDescent="0.45">
      <c r="A95" s="12" t="s">
        <v>143</v>
      </c>
      <c r="C95" s="4">
        <v>4800000</v>
      </c>
      <c r="E95" s="4">
        <v>17084892857</v>
      </c>
      <c r="G95" s="4">
        <v>19904808638</v>
      </c>
      <c r="I95" s="4">
        <v>-2819915781</v>
      </c>
      <c r="K95" s="4">
        <v>11800006</v>
      </c>
      <c r="M95" s="4">
        <v>48415656634</v>
      </c>
      <c r="O95" s="4">
        <v>51661554010</v>
      </c>
      <c r="Q95" s="4">
        <v>-3245897376</v>
      </c>
    </row>
    <row r="96" spans="1:17" ht="18.75" x14ac:dyDescent="0.45">
      <c r="A96" s="12" t="s">
        <v>145</v>
      </c>
      <c r="J96" s="6"/>
      <c r="K96" s="4">
        <v>444699</v>
      </c>
      <c r="M96" s="4">
        <v>4647411119</v>
      </c>
      <c r="O96" s="4">
        <v>5692349199</v>
      </c>
      <c r="Q96" s="4">
        <v>-1044938080</v>
      </c>
    </row>
    <row r="97" spans="1:17" ht="18.75" x14ac:dyDescent="0.45">
      <c r="A97" s="12" t="s">
        <v>146</v>
      </c>
      <c r="C97" s="4">
        <v>4703</v>
      </c>
      <c r="E97" s="4">
        <v>31061049</v>
      </c>
      <c r="G97" s="4">
        <v>27510992</v>
      </c>
      <c r="I97" s="4">
        <v>3550057</v>
      </c>
      <c r="K97" s="4">
        <v>2841607</v>
      </c>
      <c r="M97" s="4">
        <v>16678889048</v>
      </c>
      <c r="O97" s="4">
        <v>17328051253</v>
      </c>
      <c r="Q97" s="4">
        <v>-649162205</v>
      </c>
    </row>
    <row r="98" spans="1:17" ht="18.75" x14ac:dyDescent="0.45">
      <c r="A98" s="12" t="s">
        <v>147</v>
      </c>
      <c r="C98" s="4">
        <v>100000</v>
      </c>
      <c r="E98" s="4">
        <v>1095443117</v>
      </c>
      <c r="G98" s="4">
        <v>1105303517</v>
      </c>
      <c r="I98" s="4">
        <v>-9860400</v>
      </c>
      <c r="K98" s="4">
        <v>100000</v>
      </c>
      <c r="M98" s="4">
        <v>1095443117</v>
      </c>
      <c r="O98" s="4">
        <v>1105303517</v>
      </c>
      <c r="Q98" s="4">
        <v>-9860400</v>
      </c>
    </row>
    <row r="99" spans="1:17" ht="18.75" x14ac:dyDescent="0.45">
      <c r="A99" s="12" t="s">
        <v>148</v>
      </c>
      <c r="C99" s="4">
        <v>800000</v>
      </c>
      <c r="E99" s="4">
        <v>5534870442</v>
      </c>
      <c r="G99" s="4">
        <v>7126988814</v>
      </c>
      <c r="I99" s="4">
        <v>-1592118372</v>
      </c>
      <c r="K99" s="4">
        <v>13600000</v>
      </c>
      <c r="M99" s="4">
        <v>83964740939</v>
      </c>
      <c r="O99" s="4">
        <v>123462390802</v>
      </c>
      <c r="Q99" s="4">
        <v>-39497649863</v>
      </c>
    </row>
    <row r="100" spans="1:17" ht="18.75" x14ac:dyDescent="0.45">
      <c r="A100" s="12" t="s">
        <v>150</v>
      </c>
      <c r="C100" s="4">
        <v>400000</v>
      </c>
      <c r="E100" s="4">
        <v>2171154321</v>
      </c>
      <c r="G100" s="4">
        <v>1961995973</v>
      </c>
      <c r="I100" s="4">
        <v>209158348</v>
      </c>
      <c r="K100" s="4">
        <v>400000</v>
      </c>
      <c r="M100" s="4">
        <v>2171154321</v>
      </c>
      <c r="O100" s="4">
        <v>1961995973</v>
      </c>
      <c r="Q100" s="4">
        <v>209158348</v>
      </c>
    </row>
    <row r="101" spans="1:17" ht="18.75" x14ac:dyDescent="0.45">
      <c r="A101" s="12" t="s">
        <v>151</v>
      </c>
      <c r="C101" s="4">
        <v>1172591</v>
      </c>
      <c r="E101" s="4">
        <v>5250904770</v>
      </c>
      <c r="G101" s="4">
        <v>4079136043</v>
      </c>
      <c r="I101" s="4">
        <v>1171768727</v>
      </c>
      <c r="K101" s="4">
        <v>3509803</v>
      </c>
      <c r="M101" s="4">
        <v>15557848238</v>
      </c>
      <c r="O101" s="4">
        <v>12046786875</v>
      </c>
      <c r="Q101" s="4">
        <v>3511061363</v>
      </c>
    </row>
    <row r="102" spans="1:17" ht="18.75" x14ac:dyDescent="0.45">
      <c r="A102" s="12" t="s">
        <v>152</v>
      </c>
      <c r="C102" s="4">
        <v>103929</v>
      </c>
      <c r="E102" s="4">
        <v>411081720</v>
      </c>
      <c r="G102" s="4">
        <v>266534480</v>
      </c>
      <c r="I102" s="4">
        <v>144547240</v>
      </c>
      <c r="K102" s="4">
        <v>613925</v>
      </c>
      <c r="M102" s="4">
        <v>1922193458</v>
      </c>
      <c r="O102" s="4">
        <v>1481294744</v>
      </c>
      <c r="Q102" s="4">
        <v>440898714</v>
      </c>
    </row>
    <row r="103" spans="1:17" ht="18.75" x14ac:dyDescent="0.45">
      <c r="A103" s="12" t="s">
        <v>155</v>
      </c>
      <c r="C103" s="4">
        <v>400000</v>
      </c>
      <c r="E103" s="4">
        <v>2350043561</v>
      </c>
      <c r="G103" s="4">
        <v>2204817342</v>
      </c>
      <c r="I103" s="4">
        <v>145226219</v>
      </c>
      <c r="K103" s="4">
        <v>6452019</v>
      </c>
      <c r="M103" s="4">
        <v>37246543838</v>
      </c>
      <c r="O103" s="4">
        <v>35567757430</v>
      </c>
      <c r="Q103" s="4">
        <v>1678786408</v>
      </c>
    </row>
    <row r="104" spans="1:17" ht="18.75" x14ac:dyDescent="0.45">
      <c r="A104" s="12" t="s">
        <v>308</v>
      </c>
      <c r="J104" s="6"/>
      <c r="K104" s="4">
        <v>1313770</v>
      </c>
      <c r="M104" s="4">
        <v>34590634395</v>
      </c>
      <c r="O104" s="4">
        <v>45318479673</v>
      </c>
      <c r="Q104" s="4">
        <v>-10727845278</v>
      </c>
    </row>
    <row r="105" spans="1:17" ht="18.75" x14ac:dyDescent="0.45">
      <c r="A105" s="12" t="s">
        <v>310</v>
      </c>
      <c r="J105" s="6"/>
      <c r="K105" s="4">
        <v>411</v>
      </c>
      <c r="M105" s="4">
        <v>1101466</v>
      </c>
      <c r="O105" s="4">
        <v>992650</v>
      </c>
      <c r="Q105" s="4">
        <v>108816</v>
      </c>
    </row>
    <row r="106" spans="1:17" ht="18.75" x14ac:dyDescent="0.45">
      <c r="A106" s="12" t="s">
        <v>156</v>
      </c>
      <c r="C106" s="4">
        <v>1518569</v>
      </c>
      <c r="E106" s="4">
        <v>5337599044</v>
      </c>
      <c r="G106" s="4">
        <v>5178961044</v>
      </c>
      <c r="I106" s="4">
        <v>158638000</v>
      </c>
      <c r="K106" s="4">
        <v>2952132</v>
      </c>
      <c r="M106" s="4">
        <v>10947717988</v>
      </c>
      <c r="O106" s="4">
        <v>10064596164</v>
      </c>
      <c r="Q106" s="4">
        <v>883121824</v>
      </c>
    </row>
    <row r="107" spans="1:17" ht="18.75" x14ac:dyDescent="0.45">
      <c r="A107" s="12" t="s">
        <v>158</v>
      </c>
      <c r="C107" s="4">
        <v>400000</v>
      </c>
      <c r="E107" s="4">
        <v>1908576018</v>
      </c>
      <c r="G107" s="4">
        <v>2151628818</v>
      </c>
      <c r="I107" s="4">
        <v>-243052800</v>
      </c>
      <c r="K107" s="4">
        <v>571473</v>
      </c>
      <c r="M107" s="4">
        <v>2667536910</v>
      </c>
      <c r="O107" s="4">
        <v>3074348873</v>
      </c>
      <c r="Q107" s="4">
        <v>-406811963</v>
      </c>
    </row>
    <row r="108" spans="1:17" ht="18.75" x14ac:dyDescent="0.45">
      <c r="A108" s="12" t="s">
        <v>159</v>
      </c>
      <c r="C108" s="4">
        <v>1200000</v>
      </c>
      <c r="E108" s="4">
        <v>9938561642</v>
      </c>
      <c r="G108" s="4">
        <v>8343173813</v>
      </c>
      <c r="I108" s="4">
        <v>1595387829</v>
      </c>
      <c r="K108" s="4">
        <v>2000000</v>
      </c>
      <c r="M108" s="4">
        <v>16189148079</v>
      </c>
      <c r="O108" s="4">
        <v>13907535030</v>
      </c>
      <c r="Q108" s="4">
        <v>2281613049</v>
      </c>
    </row>
    <row r="109" spans="1:17" ht="18.75" x14ac:dyDescent="0.45">
      <c r="A109" s="12" t="s">
        <v>161</v>
      </c>
      <c r="C109" s="4">
        <v>692741</v>
      </c>
      <c r="E109" s="4">
        <v>9216079430</v>
      </c>
      <c r="G109" s="4">
        <v>6149295171</v>
      </c>
      <c r="I109" s="4">
        <v>3066784259</v>
      </c>
      <c r="K109" s="4">
        <v>9590999</v>
      </c>
      <c r="M109" s="4">
        <v>98431610004</v>
      </c>
      <c r="O109" s="4">
        <v>85311562654</v>
      </c>
      <c r="Q109" s="4">
        <v>13120047350</v>
      </c>
    </row>
    <row r="110" spans="1:17" ht="18.75" x14ac:dyDescent="0.45">
      <c r="A110" s="12" t="s">
        <v>162</v>
      </c>
      <c r="J110" s="6"/>
      <c r="K110" s="4">
        <v>1000000</v>
      </c>
      <c r="M110" s="4">
        <v>4284006369</v>
      </c>
      <c r="O110" s="4">
        <v>3549955462</v>
      </c>
      <c r="Q110" s="4">
        <v>734050907</v>
      </c>
    </row>
    <row r="111" spans="1:17" ht="18.75" x14ac:dyDescent="0.45">
      <c r="A111" s="12" t="s">
        <v>163</v>
      </c>
      <c r="C111" s="4">
        <v>43914</v>
      </c>
      <c r="E111" s="4">
        <v>2950673506</v>
      </c>
      <c r="G111" s="4">
        <v>2231063574</v>
      </c>
      <c r="I111" s="4">
        <v>719609932</v>
      </c>
      <c r="K111" s="4">
        <v>43914</v>
      </c>
      <c r="M111" s="4">
        <v>2950673506</v>
      </c>
      <c r="O111" s="4">
        <v>2231063574</v>
      </c>
      <c r="Q111" s="4">
        <v>719609932</v>
      </c>
    </row>
    <row r="112" spans="1:17" ht="18.75" x14ac:dyDescent="0.45">
      <c r="A112" s="12" t="s">
        <v>164</v>
      </c>
      <c r="C112" s="4">
        <v>232434</v>
      </c>
      <c r="E112" s="4">
        <v>716258160</v>
      </c>
      <c r="G112" s="4">
        <v>734844965</v>
      </c>
      <c r="I112" s="4">
        <v>-18586805</v>
      </c>
      <c r="K112" s="4">
        <v>12403444</v>
      </c>
      <c r="M112" s="4">
        <v>40679472803</v>
      </c>
      <c r="O112" s="4">
        <v>39199039040</v>
      </c>
      <c r="Q112" s="4">
        <v>1480433763</v>
      </c>
    </row>
    <row r="113" spans="1:17" ht="18.75" x14ac:dyDescent="0.45">
      <c r="A113" s="12" t="s">
        <v>165</v>
      </c>
      <c r="J113" s="6"/>
      <c r="K113" s="4">
        <v>18800000</v>
      </c>
      <c r="M113" s="4">
        <v>28091711753</v>
      </c>
      <c r="O113" s="4">
        <v>29246986666</v>
      </c>
      <c r="Q113" s="4">
        <v>-1155274913</v>
      </c>
    </row>
    <row r="114" spans="1:17" ht="18.75" x14ac:dyDescent="0.45">
      <c r="A114" s="12" t="s">
        <v>315</v>
      </c>
      <c r="J114" s="6"/>
      <c r="K114" s="4">
        <v>177678</v>
      </c>
      <c r="M114" s="4">
        <v>5989000605</v>
      </c>
      <c r="O114" s="4">
        <v>6375488122</v>
      </c>
      <c r="Q114" s="4">
        <v>-386487517</v>
      </c>
    </row>
    <row r="115" spans="1:17" ht="18.75" x14ac:dyDescent="0.45">
      <c r="A115" s="12" t="s">
        <v>170</v>
      </c>
      <c r="C115" s="4">
        <v>94669</v>
      </c>
      <c r="E115" s="4">
        <v>1516943270</v>
      </c>
      <c r="G115" s="4">
        <v>1673806469</v>
      </c>
      <c r="I115" s="4">
        <v>-156863199</v>
      </c>
      <c r="K115" s="4">
        <v>94669</v>
      </c>
      <c r="M115" s="4">
        <v>1516943270</v>
      </c>
      <c r="O115" s="4">
        <v>1673806469</v>
      </c>
      <c r="Q115" s="4">
        <v>-156863199</v>
      </c>
    </row>
    <row r="116" spans="1:17" ht="18.75" x14ac:dyDescent="0.45">
      <c r="A116" s="12" t="s">
        <v>171</v>
      </c>
      <c r="J116" s="6"/>
      <c r="K116" s="4">
        <v>4260000</v>
      </c>
      <c r="M116" s="4">
        <v>14770469820</v>
      </c>
      <c r="O116" s="4">
        <v>14466092181</v>
      </c>
      <c r="Q116" s="4">
        <v>304377639</v>
      </c>
    </row>
    <row r="117" spans="1:17" ht="18.75" x14ac:dyDescent="0.45">
      <c r="A117" s="12" t="s">
        <v>172</v>
      </c>
      <c r="J117" s="6"/>
      <c r="K117" s="4">
        <v>3009494</v>
      </c>
      <c r="M117" s="4">
        <v>28410190787</v>
      </c>
      <c r="O117" s="4">
        <v>26933730534</v>
      </c>
      <c r="Q117" s="4">
        <v>1476460253</v>
      </c>
    </row>
    <row r="118" spans="1:17" ht="18.75" x14ac:dyDescent="0.45">
      <c r="A118" s="12" t="s">
        <v>176</v>
      </c>
      <c r="C118" s="4">
        <v>146355</v>
      </c>
      <c r="E118" s="4">
        <v>9607115128</v>
      </c>
      <c r="G118" s="4">
        <v>8815444347</v>
      </c>
      <c r="I118" s="4">
        <v>791670781</v>
      </c>
      <c r="K118" s="4">
        <v>237371</v>
      </c>
      <c r="M118" s="4">
        <v>15624371286</v>
      </c>
      <c r="O118" s="4">
        <v>14297382485</v>
      </c>
      <c r="Q118" s="4">
        <v>1326988801</v>
      </c>
    </row>
    <row r="119" spans="1:17" ht="18.75" x14ac:dyDescent="0.45">
      <c r="A119" s="12" t="s">
        <v>177</v>
      </c>
      <c r="J119" s="6"/>
      <c r="K119" s="4">
        <v>3146214</v>
      </c>
      <c r="M119" s="4">
        <v>18223860883</v>
      </c>
      <c r="O119" s="4">
        <v>21126603614</v>
      </c>
      <c r="Q119" s="4">
        <v>-2902742731</v>
      </c>
    </row>
    <row r="120" spans="1:17" ht="18.75" x14ac:dyDescent="0.45">
      <c r="A120" s="12" t="s">
        <v>178</v>
      </c>
      <c r="C120" s="4">
        <v>200000</v>
      </c>
      <c r="E120" s="4">
        <v>1284312611</v>
      </c>
      <c r="G120" s="4">
        <v>1295693056</v>
      </c>
      <c r="I120" s="4">
        <v>-11380445</v>
      </c>
      <c r="K120" s="4">
        <v>200000</v>
      </c>
      <c r="M120" s="4">
        <v>1284312611</v>
      </c>
      <c r="O120" s="4">
        <v>1295693056</v>
      </c>
      <c r="Q120" s="4">
        <v>-11380445</v>
      </c>
    </row>
    <row r="121" spans="1:17" ht="18.75" x14ac:dyDescent="0.45">
      <c r="A121" s="12" t="s">
        <v>179</v>
      </c>
      <c r="J121" s="6"/>
      <c r="K121" s="4">
        <v>400000</v>
      </c>
      <c r="M121" s="4">
        <v>1100960502</v>
      </c>
      <c r="O121" s="4">
        <v>1041139008</v>
      </c>
      <c r="Q121" s="4">
        <v>59821494</v>
      </c>
    </row>
    <row r="122" spans="1:17" ht="18.75" x14ac:dyDescent="0.45">
      <c r="A122" s="12" t="s">
        <v>180</v>
      </c>
      <c r="J122" s="6"/>
      <c r="K122" s="4">
        <v>3544759</v>
      </c>
      <c r="M122" s="4">
        <v>18764562621</v>
      </c>
      <c r="O122" s="4">
        <v>24629021269</v>
      </c>
      <c r="Q122" s="4">
        <v>-5864458648</v>
      </c>
    </row>
    <row r="123" spans="1:17" ht="18.75" x14ac:dyDescent="0.45">
      <c r="A123" s="12" t="s">
        <v>181</v>
      </c>
      <c r="C123" s="4">
        <v>200000</v>
      </c>
      <c r="E123" s="4">
        <v>5823144940</v>
      </c>
      <c r="G123" s="4">
        <v>5586621655</v>
      </c>
      <c r="I123" s="4">
        <v>236523285</v>
      </c>
      <c r="K123" s="4">
        <v>200000</v>
      </c>
      <c r="M123" s="4">
        <v>5823144940</v>
      </c>
      <c r="O123" s="4">
        <v>5586621655</v>
      </c>
      <c r="Q123" s="4">
        <v>236523285</v>
      </c>
    </row>
    <row r="124" spans="1:17" ht="18.75" x14ac:dyDescent="0.45">
      <c r="A124" s="12" t="s">
        <v>186</v>
      </c>
      <c r="C124" s="4">
        <v>310397</v>
      </c>
      <c r="E124" s="4">
        <v>13271425623</v>
      </c>
      <c r="G124" s="4">
        <v>11538065718</v>
      </c>
      <c r="I124" s="4">
        <v>1733359905</v>
      </c>
      <c r="K124" s="4">
        <v>410397</v>
      </c>
      <c r="M124" s="4">
        <v>16360933038</v>
      </c>
      <c r="O124" s="4">
        <v>15107099583</v>
      </c>
      <c r="Q124" s="4">
        <v>1253833455</v>
      </c>
    </row>
    <row r="125" spans="1:17" ht="18.75" x14ac:dyDescent="0.45">
      <c r="A125" s="12" t="s">
        <v>187</v>
      </c>
      <c r="C125" s="4">
        <v>800000</v>
      </c>
      <c r="E125" s="4">
        <v>4453998725</v>
      </c>
      <c r="G125" s="4">
        <v>3146656304</v>
      </c>
      <c r="I125" s="4">
        <v>1307342421</v>
      </c>
      <c r="K125" s="4">
        <v>800000</v>
      </c>
      <c r="M125" s="4">
        <v>4453998725</v>
      </c>
      <c r="O125" s="4">
        <v>3146656304</v>
      </c>
      <c r="Q125" s="4">
        <v>1307342421</v>
      </c>
    </row>
    <row r="126" spans="1:17" ht="18.75" x14ac:dyDescent="0.45">
      <c r="A126" s="12" t="s">
        <v>188</v>
      </c>
      <c r="C126" s="4">
        <v>538982</v>
      </c>
      <c r="E126" s="4">
        <v>15671046591</v>
      </c>
      <c r="G126" s="4">
        <v>9962697162</v>
      </c>
      <c r="I126" s="4">
        <v>5708349429</v>
      </c>
      <c r="K126" s="4">
        <v>5171707</v>
      </c>
      <c r="M126" s="4">
        <v>138210860084</v>
      </c>
      <c r="O126" s="4">
        <v>95668080778</v>
      </c>
      <c r="Q126" s="4">
        <v>42542779306</v>
      </c>
    </row>
    <row r="127" spans="1:17" ht="18.75" x14ac:dyDescent="0.45">
      <c r="A127" s="12" t="s">
        <v>189</v>
      </c>
      <c r="C127" s="4">
        <v>78333</v>
      </c>
      <c r="E127" s="4">
        <v>3473054536</v>
      </c>
      <c r="G127" s="4">
        <v>2843339710</v>
      </c>
      <c r="I127" s="4">
        <v>629714826</v>
      </c>
      <c r="K127" s="4">
        <v>278333</v>
      </c>
      <c r="M127" s="4">
        <v>11233412632</v>
      </c>
      <c r="O127" s="4">
        <v>10109587741</v>
      </c>
      <c r="Q127" s="4">
        <v>1123824891</v>
      </c>
    </row>
    <row r="128" spans="1:17" ht="18.75" x14ac:dyDescent="0.45">
      <c r="A128" s="12" t="s">
        <v>190</v>
      </c>
      <c r="C128" s="4">
        <v>200000</v>
      </c>
      <c r="E128" s="4">
        <v>8584615814</v>
      </c>
      <c r="G128" s="4">
        <v>6529206667</v>
      </c>
      <c r="I128" s="4">
        <v>2055409147</v>
      </c>
      <c r="K128" s="4">
        <v>313138</v>
      </c>
      <c r="M128" s="4">
        <v>13117119461</v>
      </c>
      <c r="O128" s="4">
        <v>10224651314</v>
      </c>
      <c r="Q128" s="4">
        <v>2892468147</v>
      </c>
    </row>
    <row r="129" spans="1:17" ht="18.75" x14ac:dyDescent="0.45">
      <c r="A129" s="12" t="s">
        <v>191</v>
      </c>
      <c r="J129" s="6"/>
      <c r="K129" s="4">
        <v>66888</v>
      </c>
      <c r="M129" s="4">
        <v>17351055718</v>
      </c>
      <c r="O129" s="4">
        <v>17114520081</v>
      </c>
      <c r="Q129" s="4">
        <v>236535637</v>
      </c>
    </row>
    <row r="130" spans="1:17" ht="18.75" x14ac:dyDescent="0.45">
      <c r="A130" s="12" t="s">
        <v>194</v>
      </c>
      <c r="C130" s="4">
        <v>4697941</v>
      </c>
      <c r="E130" s="4">
        <v>11041858560</v>
      </c>
      <c r="G130" s="4">
        <v>10601506073</v>
      </c>
      <c r="I130" s="4">
        <v>440352487</v>
      </c>
      <c r="K130" s="4">
        <v>9051591</v>
      </c>
      <c r="M130" s="4">
        <v>19089011203</v>
      </c>
      <c r="O130" s="4">
        <v>20579458517</v>
      </c>
      <c r="Q130" s="4">
        <v>-1490447314</v>
      </c>
    </row>
    <row r="131" spans="1:17" ht="18.75" x14ac:dyDescent="0.45">
      <c r="A131" s="12" t="s">
        <v>195</v>
      </c>
      <c r="C131" s="4">
        <v>791751</v>
      </c>
      <c r="E131" s="4">
        <v>11625984034</v>
      </c>
      <c r="G131" s="4">
        <v>9882215642</v>
      </c>
      <c r="I131" s="4">
        <v>1743768392</v>
      </c>
      <c r="K131" s="4">
        <v>1569688</v>
      </c>
      <c r="M131" s="4">
        <v>20991550194</v>
      </c>
      <c r="O131" s="4">
        <v>19337309312</v>
      </c>
      <c r="Q131" s="4">
        <v>1654240882</v>
      </c>
    </row>
    <row r="132" spans="1:17" ht="18.75" x14ac:dyDescent="0.45">
      <c r="A132" s="12" t="s">
        <v>197</v>
      </c>
      <c r="C132" s="4">
        <v>200000</v>
      </c>
      <c r="E132" s="4">
        <v>1587212088</v>
      </c>
      <c r="G132" s="4">
        <v>1242460304</v>
      </c>
      <c r="I132" s="4">
        <v>344751784</v>
      </c>
      <c r="K132" s="4">
        <v>200000</v>
      </c>
      <c r="M132" s="4">
        <v>1587212088</v>
      </c>
      <c r="O132" s="4">
        <v>1242460304</v>
      </c>
      <c r="Q132" s="4">
        <v>344751784</v>
      </c>
    </row>
    <row r="133" spans="1:17" ht="18.75" x14ac:dyDescent="0.45">
      <c r="A133" s="12" t="s">
        <v>199</v>
      </c>
      <c r="C133" s="4">
        <v>22615</v>
      </c>
      <c r="E133" s="4">
        <v>3798575984</v>
      </c>
      <c r="G133" s="4">
        <v>3068124327</v>
      </c>
      <c r="I133" s="4">
        <v>730451657</v>
      </c>
      <c r="K133" s="4">
        <v>22615</v>
      </c>
      <c r="M133" s="4">
        <v>3798575984</v>
      </c>
      <c r="O133" s="4">
        <v>3068124327</v>
      </c>
      <c r="Q133" s="4">
        <v>730451657</v>
      </c>
    </row>
    <row r="134" spans="1:17" ht="18.75" x14ac:dyDescent="0.45">
      <c r="A134" s="12" t="s">
        <v>200</v>
      </c>
      <c r="C134" s="4">
        <v>400000</v>
      </c>
      <c r="E134" s="4">
        <v>1264916705</v>
      </c>
      <c r="G134" s="4">
        <v>1220189570</v>
      </c>
      <c r="I134" s="4">
        <v>44727135</v>
      </c>
      <c r="K134" s="4">
        <v>1600000</v>
      </c>
      <c r="M134" s="4">
        <v>4864968209</v>
      </c>
      <c r="O134" s="4">
        <v>4774976133</v>
      </c>
      <c r="Q134" s="4">
        <v>89992076</v>
      </c>
    </row>
    <row r="135" spans="1:17" ht="18.75" x14ac:dyDescent="0.45">
      <c r="A135" s="12" t="s">
        <v>204</v>
      </c>
      <c r="C135" s="4">
        <v>400000</v>
      </c>
      <c r="E135" s="4">
        <v>916911727</v>
      </c>
      <c r="G135" s="4">
        <v>759911658</v>
      </c>
      <c r="I135" s="4">
        <v>157000069</v>
      </c>
      <c r="K135" s="4">
        <v>3200000</v>
      </c>
      <c r="M135" s="4">
        <v>6511425291</v>
      </c>
      <c r="O135" s="4">
        <v>8137694993</v>
      </c>
      <c r="Q135" s="4">
        <v>-1626269702</v>
      </c>
    </row>
    <row r="136" spans="1:17" ht="37.5" x14ac:dyDescent="0.45">
      <c r="A136" s="12" t="s">
        <v>206</v>
      </c>
      <c r="C136" s="4">
        <v>800000</v>
      </c>
      <c r="E136" s="4">
        <v>839773486</v>
      </c>
      <c r="G136" s="4">
        <v>1059004606</v>
      </c>
      <c r="I136" s="4">
        <v>-219231120</v>
      </c>
      <c r="K136" s="4">
        <v>7611455</v>
      </c>
      <c r="M136" s="4">
        <v>7267755205</v>
      </c>
      <c r="O136" s="4">
        <v>10080029462</v>
      </c>
      <c r="Q136" s="4">
        <v>-2812274257</v>
      </c>
    </row>
    <row r="137" spans="1:17" ht="37.5" x14ac:dyDescent="0.45">
      <c r="A137" s="12" t="s">
        <v>207</v>
      </c>
      <c r="C137" s="4">
        <v>2283</v>
      </c>
      <c r="E137" s="4">
        <v>11846355</v>
      </c>
      <c r="G137" s="4">
        <v>11510074</v>
      </c>
      <c r="I137" s="4">
        <v>336281</v>
      </c>
      <c r="K137" s="4">
        <v>2283</v>
      </c>
      <c r="M137" s="4">
        <v>11846355</v>
      </c>
      <c r="O137" s="4">
        <v>11510074</v>
      </c>
      <c r="Q137" s="4">
        <v>336281</v>
      </c>
    </row>
    <row r="138" spans="1:17" ht="18.75" x14ac:dyDescent="0.45">
      <c r="A138" s="12" t="s">
        <v>208</v>
      </c>
      <c r="C138" s="4">
        <v>3200000</v>
      </c>
      <c r="E138" s="4">
        <v>6285199307</v>
      </c>
      <c r="G138" s="4">
        <v>5972375577</v>
      </c>
      <c r="I138" s="4">
        <v>312823730</v>
      </c>
      <c r="K138" s="4">
        <v>3200000</v>
      </c>
      <c r="M138" s="4">
        <v>6285199307</v>
      </c>
      <c r="O138" s="4">
        <v>5972375577</v>
      </c>
      <c r="Q138" s="4">
        <v>312823730</v>
      </c>
    </row>
    <row r="139" spans="1:17" ht="18.75" x14ac:dyDescent="0.45">
      <c r="A139" s="7" t="s">
        <v>209</v>
      </c>
      <c r="C139" s="7">
        <f>SUM(C9:$C$138)</f>
        <v>126301913</v>
      </c>
      <c r="E139" s="7">
        <f>SUM(E9:$E$138)</f>
        <v>468368987154</v>
      </c>
      <c r="G139" s="7">
        <f>SUM(G9:$G$138)</f>
        <v>429486738584</v>
      </c>
      <c r="I139" s="7">
        <f>SUM(I9:$I$138)</f>
        <v>38882248570</v>
      </c>
      <c r="K139" s="7">
        <f>SUM(K9:$K$138)</f>
        <v>471162034</v>
      </c>
      <c r="M139" s="7">
        <f>SUM(M9:$M$138)</f>
        <v>2187399082342</v>
      </c>
      <c r="O139" s="7">
        <f>SUM(O9:$O$138)</f>
        <v>2154706118484</v>
      </c>
      <c r="Q139" s="7">
        <f>SUM(Q9:$Q$138)</f>
        <v>32692963858</v>
      </c>
    </row>
    <row r="140" spans="1:17" ht="18.75" x14ac:dyDescent="0.45">
      <c r="C140" s="9"/>
      <c r="E140" s="9"/>
      <c r="G140" s="9"/>
      <c r="I140" s="9"/>
      <c r="K140" s="9"/>
      <c r="M140" s="9"/>
      <c r="O140" s="9"/>
      <c r="Q140" s="9"/>
    </row>
    <row r="142" spans="1:17" ht="18.75" x14ac:dyDescent="0.45">
      <c r="A142" s="33" t="s">
        <v>328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5"/>
    </row>
  </sheetData>
  <mergeCells count="7">
    <mergeCell ref="A142:Q142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04"/>
  <sheetViews>
    <sheetView rightToLeft="1" view="pageBreakPreview" topLeftCell="A181" zoomScale="82" zoomScaleNormal="100" zoomScaleSheetLayoutView="82" workbookViewId="0">
      <selection activeCell="AL14" sqref="AL14"/>
    </sheetView>
  </sheetViews>
  <sheetFormatPr defaultRowHeight="18" x14ac:dyDescent="0.45"/>
  <cols>
    <col min="1" max="1" width="21.85546875" style="1" bestFit="1" customWidth="1"/>
    <col min="2" max="2" width="1.42578125" style="1" customWidth="1"/>
    <col min="3" max="3" width="14" style="1" bestFit="1" customWidth="1"/>
    <col min="4" max="4" width="1.42578125" style="1" customWidth="1"/>
    <col min="5" max="5" width="19.7109375" style="1" bestFit="1" customWidth="1"/>
    <col min="6" max="6" width="1.42578125" style="1" customWidth="1"/>
    <col min="7" max="7" width="19.85546875" style="1" bestFit="1" customWidth="1"/>
    <col min="8" max="8" width="1.42578125" style="1" customWidth="1"/>
    <col min="9" max="9" width="17" style="1" customWidth="1"/>
    <col min="10" max="10" width="1.42578125" style="1" customWidth="1"/>
    <col min="11" max="11" width="14" style="1" bestFit="1" customWidth="1"/>
    <col min="12" max="12" width="1.42578125" style="1" customWidth="1"/>
    <col min="13" max="13" width="19.7109375" style="1" bestFit="1" customWidth="1"/>
    <col min="14" max="14" width="1.42578125" style="1" customWidth="1"/>
    <col min="15" max="15" width="19.42578125" style="1" bestFit="1" customWidth="1"/>
    <col min="16" max="16" width="1.42578125" style="1" customWidth="1"/>
    <col min="17" max="17" width="18.28515625" style="1" bestFit="1" customWidth="1"/>
    <col min="18" max="16384" width="9.140625" style="1"/>
  </cols>
  <sheetData>
    <row r="1" spans="1:17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0.100000000000001" customHeight="1" x14ac:dyDescent="0.45">
      <c r="A2" s="21" t="s">
        <v>245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5" spans="1:17" ht="21" x14ac:dyDescent="0.45">
      <c r="A5" s="23" t="s">
        <v>329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7" spans="1:17" ht="21" x14ac:dyDescent="0.45">
      <c r="C7" s="24" t="s">
        <v>257</v>
      </c>
      <c r="D7" s="25"/>
      <c r="E7" s="25"/>
      <c r="F7" s="25"/>
      <c r="G7" s="25"/>
      <c r="H7" s="25"/>
      <c r="I7" s="25"/>
      <c r="K7" s="24" t="s">
        <v>7</v>
      </c>
      <c r="L7" s="25"/>
      <c r="M7" s="25"/>
      <c r="N7" s="25"/>
      <c r="O7" s="25"/>
      <c r="P7" s="25"/>
      <c r="Q7" s="25"/>
    </row>
    <row r="8" spans="1:17" ht="42" x14ac:dyDescent="0.45">
      <c r="A8" s="13" t="s">
        <v>247</v>
      </c>
      <c r="C8" s="11" t="s">
        <v>9</v>
      </c>
      <c r="E8" s="11" t="s">
        <v>11</v>
      </c>
      <c r="G8" s="11" t="s">
        <v>326</v>
      </c>
      <c r="I8" s="11" t="s">
        <v>330</v>
      </c>
      <c r="K8" s="11" t="s">
        <v>9</v>
      </c>
      <c r="M8" s="11" t="s">
        <v>11</v>
      </c>
      <c r="O8" s="11" t="s">
        <v>326</v>
      </c>
      <c r="Q8" s="11" t="s">
        <v>330</v>
      </c>
    </row>
    <row r="9" spans="1:17" ht="18.75" x14ac:dyDescent="0.45">
      <c r="A9" s="12" t="s">
        <v>17</v>
      </c>
      <c r="C9" s="4">
        <v>1173278</v>
      </c>
      <c r="E9" s="4">
        <v>10699076676</v>
      </c>
      <c r="G9" s="4">
        <v>9972588190</v>
      </c>
      <c r="I9" s="4">
        <v>726488486</v>
      </c>
      <c r="K9" s="4">
        <v>1173278</v>
      </c>
      <c r="M9" s="4">
        <v>10699076676</v>
      </c>
      <c r="O9" s="4">
        <v>9887354817</v>
      </c>
      <c r="Q9" s="4">
        <v>811721859</v>
      </c>
    </row>
    <row r="10" spans="1:17" ht="18.75" x14ac:dyDescent="0.45">
      <c r="A10" s="12" t="s">
        <v>18</v>
      </c>
      <c r="C10" s="4">
        <v>108909</v>
      </c>
      <c r="E10" s="4">
        <v>11449712787</v>
      </c>
      <c r="G10" s="4">
        <v>12901462351</v>
      </c>
      <c r="I10" s="4">
        <v>-1451749564</v>
      </c>
      <c r="K10" s="4">
        <v>108909</v>
      </c>
      <c r="M10" s="4">
        <v>11449712787</v>
      </c>
      <c r="O10" s="4">
        <v>9972240615</v>
      </c>
      <c r="Q10" s="4">
        <v>1477472172</v>
      </c>
    </row>
    <row r="11" spans="1:17" ht="18.75" x14ac:dyDescent="0.45">
      <c r="A11" s="12" t="s">
        <v>19</v>
      </c>
      <c r="C11" s="4">
        <v>50000</v>
      </c>
      <c r="E11" s="4">
        <v>1364371250</v>
      </c>
      <c r="G11" s="4">
        <v>1530837000</v>
      </c>
      <c r="I11" s="4">
        <v>-166465750</v>
      </c>
      <c r="K11" s="4">
        <v>50000</v>
      </c>
      <c r="M11" s="4">
        <v>1364371250</v>
      </c>
      <c r="O11" s="4">
        <v>1304690625</v>
      </c>
      <c r="Q11" s="4">
        <v>59680625</v>
      </c>
    </row>
    <row r="12" spans="1:17" ht="18.75" x14ac:dyDescent="0.45">
      <c r="A12" s="12" t="s">
        <v>20</v>
      </c>
      <c r="C12" s="4">
        <v>4847874</v>
      </c>
      <c r="E12" s="4">
        <v>21497677305</v>
      </c>
      <c r="G12" s="4">
        <v>22626282735</v>
      </c>
      <c r="I12" s="4">
        <v>-1128605430</v>
      </c>
      <c r="K12" s="4">
        <v>4847874</v>
      </c>
      <c r="M12" s="4">
        <v>21497677305</v>
      </c>
      <c r="O12" s="4">
        <v>21062120067</v>
      </c>
      <c r="Q12" s="4">
        <v>435557238</v>
      </c>
    </row>
    <row r="13" spans="1:17" ht="18.75" x14ac:dyDescent="0.45">
      <c r="A13" s="12" t="s">
        <v>21</v>
      </c>
      <c r="C13" s="4">
        <v>245000</v>
      </c>
      <c r="E13" s="4">
        <v>2693616142</v>
      </c>
      <c r="G13" s="4">
        <v>2269813770</v>
      </c>
      <c r="I13" s="4">
        <v>423802372</v>
      </c>
      <c r="K13" s="4">
        <v>245000</v>
      </c>
      <c r="M13" s="4">
        <v>2693616142</v>
      </c>
      <c r="O13" s="4">
        <v>1736456242</v>
      </c>
      <c r="Q13" s="4">
        <v>957159900</v>
      </c>
    </row>
    <row r="14" spans="1:17" ht="18.75" x14ac:dyDescent="0.45">
      <c r="A14" s="12" t="s">
        <v>22</v>
      </c>
      <c r="C14" s="4">
        <v>2124125</v>
      </c>
      <c r="E14" s="4">
        <v>9583736971</v>
      </c>
      <c r="G14" s="4">
        <v>9831080940</v>
      </c>
      <c r="I14" s="4">
        <v>-247343969</v>
      </c>
      <c r="K14" s="4">
        <v>2124125</v>
      </c>
      <c r="M14" s="4">
        <v>9583736971</v>
      </c>
      <c r="O14" s="4">
        <v>8803931592</v>
      </c>
      <c r="Q14" s="4">
        <v>779805379</v>
      </c>
    </row>
    <row r="15" spans="1:17" ht="18.75" x14ac:dyDescent="0.45">
      <c r="A15" s="12" t="s">
        <v>23</v>
      </c>
      <c r="C15" s="4">
        <v>2598170</v>
      </c>
      <c r="E15" s="4">
        <v>28023796406</v>
      </c>
      <c r="G15" s="4">
        <v>26911847458</v>
      </c>
      <c r="I15" s="4">
        <v>1111948948</v>
      </c>
      <c r="K15" s="4">
        <v>2598170</v>
      </c>
      <c r="M15" s="4">
        <v>28023796406</v>
      </c>
      <c r="O15" s="4">
        <v>23170949357</v>
      </c>
      <c r="Q15" s="4">
        <v>4852847049</v>
      </c>
    </row>
    <row r="16" spans="1:17" ht="18.75" x14ac:dyDescent="0.45">
      <c r="A16" s="12" t="s">
        <v>24</v>
      </c>
      <c r="C16" s="4">
        <v>5800000</v>
      </c>
      <c r="E16" s="4">
        <v>25098278926</v>
      </c>
      <c r="G16" s="4">
        <v>24571966972</v>
      </c>
      <c r="I16" s="4">
        <v>526311954</v>
      </c>
      <c r="K16" s="4">
        <v>5800000</v>
      </c>
      <c r="M16" s="4">
        <v>25098278926</v>
      </c>
      <c r="O16" s="4">
        <v>21899560946</v>
      </c>
      <c r="Q16" s="4">
        <v>3198717980</v>
      </c>
    </row>
    <row r="17" spans="1:17" ht="18.75" x14ac:dyDescent="0.45">
      <c r="A17" s="12" t="s">
        <v>25</v>
      </c>
      <c r="C17" s="4">
        <v>2800000</v>
      </c>
      <c r="E17" s="4">
        <v>11477388636</v>
      </c>
      <c r="G17" s="4">
        <v>11403343980</v>
      </c>
      <c r="I17" s="4">
        <v>74044656</v>
      </c>
      <c r="K17" s="4">
        <v>2800000</v>
      </c>
      <c r="M17" s="4">
        <v>11477388636</v>
      </c>
      <c r="O17" s="4">
        <v>10433055504</v>
      </c>
      <c r="Q17" s="4">
        <v>1044333132</v>
      </c>
    </row>
    <row r="18" spans="1:17" ht="18.75" x14ac:dyDescent="0.45">
      <c r="A18" s="12" t="s">
        <v>26</v>
      </c>
      <c r="C18" s="4">
        <v>7252455</v>
      </c>
      <c r="E18" s="4">
        <v>18955300539</v>
      </c>
      <c r="G18" s="4">
        <v>17539619270</v>
      </c>
      <c r="I18" s="4">
        <v>1415681269</v>
      </c>
      <c r="K18" s="4">
        <v>7252455</v>
      </c>
      <c r="M18" s="4">
        <v>18955300539</v>
      </c>
      <c r="O18" s="4">
        <v>24029745843</v>
      </c>
      <c r="Q18" s="4">
        <v>-5074445304</v>
      </c>
    </row>
    <row r="19" spans="1:17" ht="18.75" x14ac:dyDescent="0.45">
      <c r="A19" s="12" t="s">
        <v>27</v>
      </c>
      <c r="C19" s="4">
        <v>2061711</v>
      </c>
      <c r="E19" s="4">
        <v>33837101529</v>
      </c>
      <c r="G19" s="4">
        <v>32605101752</v>
      </c>
      <c r="I19" s="4">
        <v>1231999777</v>
      </c>
      <c r="K19" s="4">
        <v>2061711</v>
      </c>
      <c r="M19" s="4">
        <v>33837101529</v>
      </c>
      <c r="O19" s="4">
        <v>30783206248</v>
      </c>
      <c r="Q19" s="4">
        <v>3053895281</v>
      </c>
    </row>
    <row r="20" spans="1:17" ht="18.75" x14ac:dyDescent="0.45">
      <c r="A20" s="12" t="s">
        <v>28</v>
      </c>
      <c r="C20" s="4">
        <v>10698285</v>
      </c>
      <c r="E20" s="4">
        <v>34447580649</v>
      </c>
      <c r="G20" s="4">
        <v>39779694330</v>
      </c>
      <c r="I20" s="4">
        <v>-5332113681</v>
      </c>
      <c r="K20" s="4">
        <v>10698285</v>
      </c>
      <c r="M20" s="4">
        <v>34447580649</v>
      </c>
      <c r="O20" s="4">
        <v>31152267878</v>
      </c>
      <c r="Q20" s="4">
        <v>3295312771</v>
      </c>
    </row>
    <row r="21" spans="1:17" ht="18.75" x14ac:dyDescent="0.45">
      <c r="A21" s="12" t="s">
        <v>29</v>
      </c>
      <c r="C21" s="4">
        <v>34000000</v>
      </c>
      <c r="E21" s="4">
        <v>18083128480</v>
      </c>
      <c r="G21" s="4">
        <v>18709289505</v>
      </c>
      <c r="I21" s="4">
        <v>-626161025</v>
      </c>
      <c r="K21" s="4">
        <v>34000000</v>
      </c>
      <c r="M21" s="4">
        <v>18083128480</v>
      </c>
      <c r="O21" s="4">
        <v>13849868804</v>
      </c>
      <c r="Q21" s="4">
        <v>4233259676</v>
      </c>
    </row>
    <row r="22" spans="1:17" ht="18.75" x14ac:dyDescent="0.45">
      <c r="A22" s="12" t="s">
        <v>30</v>
      </c>
      <c r="C22" s="4">
        <v>1750000</v>
      </c>
      <c r="E22" s="4">
        <v>6277348087</v>
      </c>
      <c r="G22" s="4">
        <v>7532413875</v>
      </c>
      <c r="I22" s="4">
        <v>-1255065788</v>
      </c>
      <c r="K22" s="4">
        <v>1750000</v>
      </c>
      <c r="M22" s="4">
        <v>6277348087</v>
      </c>
      <c r="O22" s="4">
        <v>4695146662</v>
      </c>
      <c r="Q22" s="4">
        <v>1582201425</v>
      </c>
    </row>
    <row r="23" spans="1:17" ht="18.75" x14ac:dyDescent="0.45">
      <c r="A23" s="12" t="s">
        <v>31</v>
      </c>
      <c r="C23" s="4">
        <v>9109504</v>
      </c>
      <c r="E23" s="4">
        <v>13902116627</v>
      </c>
      <c r="G23" s="4">
        <v>15731115229</v>
      </c>
      <c r="I23" s="4">
        <v>-1828998602</v>
      </c>
      <c r="K23" s="4">
        <v>9109504</v>
      </c>
      <c r="M23" s="4">
        <v>13902116627</v>
      </c>
      <c r="O23" s="4">
        <v>11695704176</v>
      </c>
      <c r="Q23" s="4">
        <v>2206412451</v>
      </c>
    </row>
    <row r="24" spans="1:17" ht="18.75" x14ac:dyDescent="0.45">
      <c r="A24" s="12" t="s">
        <v>32</v>
      </c>
      <c r="C24" s="4">
        <v>28966397</v>
      </c>
      <c r="E24" s="4">
        <v>13480226286</v>
      </c>
      <c r="G24" s="4">
        <v>13475613967</v>
      </c>
      <c r="I24" s="4">
        <v>4612319</v>
      </c>
      <c r="K24" s="4">
        <v>28966397</v>
      </c>
      <c r="M24" s="4">
        <v>13480226286</v>
      </c>
      <c r="O24" s="4">
        <v>11160852097</v>
      </c>
      <c r="Q24" s="4">
        <v>2319374189</v>
      </c>
    </row>
    <row r="25" spans="1:17" ht="18.75" x14ac:dyDescent="0.45">
      <c r="A25" s="12" t="s">
        <v>33</v>
      </c>
      <c r="C25" s="4">
        <v>35600000</v>
      </c>
      <c r="E25" s="4">
        <v>19534621036</v>
      </c>
      <c r="G25" s="4">
        <v>20763414142</v>
      </c>
      <c r="I25" s="4">
        <v>-1228793106</v>
      </c>
      <c r="K25" s="4">
        <v>35600000</v>
      </c>
      <c r="M25" s="4">
        <v>19534621036</v>
      </c>
      <c r="O25" s="4">
        <v>18338590879</v>
      </c>
      <c r="Q25" s="4">
        <v>1196030157</v>
      </c>
    </row>
    <row r="26" spans="1:17" ht="18.75" x14ac:dyDescent="0.45">
      <c r="A26" s="12" t="s">
        <v>34</v>
      </c>
      <c r="C26" s="4">
        <v>13980938</v>
      </c>
      <c r="E26" s="4">
        <v>16564201227</v>
      </c>
      <c r="G26" s="4">
        <v>19131820111</v>
      </c>
      <c r="I26" s="4">
        <v>-2567618884</v>
      </c>
      <c r="K26" s="4">
        <v>13980938</v>
      </c>
      <c r="M26" s="4">
        <v>16564201227</v>
      </c>
      <c r="O26" s="4">
        <v>14363242088</v>
      </c>
      <c r="Q26" s="4">
        <v>2200959139</v>
      </c>
    </row>
    <row r="27" spans="1:17" ht="18.75" x14ac:dyDescent="0.45">
      <c r="A27" s="12" t="s">
        <v>35</v>
      </c>
      <c r="C27" s="4">
        <v>5060139</v>
      </c>
      <c r="E27" s="4">
        <v>23649023631</v>
      </c>
      <c r="G27" s="4">
        <v>24129059537</v>
      </c>
      <c r="I27" s="4">
        <v>-480035906</v>
      </c>
      <c r="K27" s="4">
        <v>5060139</v>
      </c>
      <c r="M27" s="4">
        <v>23649023631</v>
      </c>
      <c r="O27" s="4">
        <v>21069522683</v>
      </c>
      <c r="Q27" s="4">
        <v>2579500948</v>
      </c>
    </row>
    <row r="28" spans="1:17" ht="18.75" x14ac:dyDescent="0.45">
      <c r="A28" s="12" t="s">
        <v>36</v>
      </c>
      <c r="C28" s="4">
        <v>8573890</v>
      </c>
      <c r="E28" s="4">
        <v>45430657854</v>
      </c>
      <c r="G28" s="4">
        <v>36724233599</v>
      </c>
      <c r="I28" s="4">
        <v>8706424255</v>
      </c>
      <c r="K28" s="4">
        <v>8573890</v>
      </c>
      <c r="M28" s="4">
        <v>45430657854</v>
      </c>
      <c r="O28" s="4">
        <v>35996596962</v>
      </c>
      <c r="Q28" s="4">
        <v>9434060892</v>
      </c>
    </row>
    <row r="29" spans="1:17" ht="18.75" x14ac:dyDescent="0.45">
      <c r="A29" s="12" t="s">
        <v>37</v>
      </c>
      <c r="C29" s="4">
        <v>17331416</v>
      </c>
      <c r="E29" s="4">
        <v>23801262710</v>
      </c>
      <c r="G29" s="4">
        <v>26765541225</v>
      </c>
      <c r="I29" s="4">
        <v>-2964278515</v>
      </c>
      <c r="K29" s="4">
        <v>17331416</v>
      </c>
      <c r="M29" s="4">
        <v>23801262710</v>
      </c>
      <c r="O29" s="4">
        <v>25036664105</v>
      </c>
      <c r="Q29" s="4">
        <v>-1235401395</v>
      </c>
    </row>
    <row r="30" spans="1:17" ht="18.75" x14ac:dyDescent="0.45">
      <c r="A30" s="12" t="s">
        <v>38</v>
      </c>
      <c r="C30" s="4">
        <v>9313038</v>
      </c>
      <c r="E30" s="4">
        <v>17253037020</v>
      </c>
      <c r="G30" s="4">
        <v>14006787266</v>
      </c>
      <c r="I30" s="4">
        <v>3246249754</v>
      </c>
      <c r="K30" s="4">
        <v>9313038</v>
      </c>
      <c r="M30" s="4">
        <v>17253037020</v>
      </c>
      <c r="O30" s="4">
        <v>12506542821</v>
      </c>
      <c r="Q30" s="4">
        <v>4746494199</v>
      </c>
    </row>
    <row r="31" spans="1:17" ht="18.75" x14ac:dyDescent="0.45">
      <c r="A31" s="12" t="s">
        <v>39</v>
      </c>
      <c r="C31" s="4">
        <v>9169979</v>
      </c>
      <c r="E31" s="4">
        <v>20900621358</v>
      </c>
      <c r="G31" s="4">
        <v>19771340829</v>
      </c>
      <c r="I31" s="4">
        <v>1129280529</v>
      </c>
      <c r="K31" s="4">
        <v>9169979</v>
      </c>
      <c r="M31" s="4">
        <v>20900621358</v>
      </c>
      <c r="O31" s="4">
        <v>19362075938</v>
      </c>
      <c r="Q31" s="4">
        <v>1538545420</v>
      </c>
    </row>
    <row r="32" spans="1:17" ht="18.75" x14ac:dyDescent="0.45">
      <c r="A32" s="12" t="s">
        <v>40</v>
      </c>
      <c r="C32" s="4">
        <v>2875000</v>
      </c>
      <c r="E32" s="4">
        <v>5677024737</v>
      </c>
      <c r="G32" s="4">
        <v>5772945375</v>
      </c>
      <c r="I32" s="4">
        <v>-95920638</v>
      </c>
      <c r="K32" s="4">
        <v>2875000</v>
      </c>
      <c r="M32" s="4">
        <v>5677024737</v>
      </c>
      <c r="O32" s="4">
        <v>5893653906</v>
      </c>
      <c r="Q32" s="4">
        <v>-216629169</v>
      </c>
    </row>
    <row r="33" spans="1:17" ht="18.75" x14ac:dyDescent="0.45">
      <c r="A33" s="12" t="s">
        <v>41</v>
      </c>
      <c r="C33" s="4">
        <v>7665640</v>
      </c>
      <c r="E33" s="4">
        <v>10588087367</v>
      </c>
      <c r="G33" s="4">
        <v>10607080983</v>
      </c>
      <c r="I33" s="4">
        <v>-18993616</v>
      </c>
      <c r="K33" s="4">
        <v>7665640</v>
      </c>
      <c r="M33" s="4">
        <v>10588087367</v>
      </c>
      <c r="O33" s="4">
        <v>10065817059</v>
      </c>
      <c r="Q33" s="4">
        <v>522270308</v>
      </c>
    </row>
    <row r="34" spans="1:17" ht="37.5" x14ac:dyDescent="0.45">
      <c r="A34" s="12" t="s">
        <v>42</v>
      </c>
      <c r="C34" s="4">
        <v>8791020</v>
      </c>
      <c r="E34" s="4">
        <v>20499203726</v>
      </c>
      <c r="G34" s="4">
        <v>19644627793</v>
      </c>
      <c r="I34" s="4">
        <v>854575933</v>
      </c>
      <c r="K34" s="4">
        <v>8791020</v>
      </c>
      <c r="M34" s="4">
        <v>20499203726</v>
      </c>
      <c r="O34" s="4">
        <v>19419675973</v>
      </c>
      <c r="Q34" s="4">
        <v>1079527753</v>
      </c>
    </row>
    <row r="35" spans="1:17" ht="18.75" x14ac:dyDescent="0.45">
      <c r="A35" s="12" t="s">
        <v>43</v>
      </c>
      <c r="C35" s="4">
        <v>12393399</v>
      </c>
      <c r="E35" s="4">
        <v>18606265813</v>
      </c>
      <c r="G35" s="4">
        <v>19292584860</v>
      </c>
      <c r="I35" s="4">
        <v>-686319047</v>
      </c>
      <c r="K35" s="4">
        <v>12393399</v>
      </c>
      <c r="M35" s="4">
        <v>18606265813</v>
      </c>
      <c r="O35" s="4">
        <v>18510273240</v>
      </c>
      <c r="Q35" s="4">
        <v>95992573</v>
      </c>
    </row>
    <row r="36" spans="1:17" ht="18.75" x14ac:dyDescent="0.45">
      <c r="A36" s="12" t="s">
        <v>44</v>
      </c>
      <c r="C36" s="4">
        <v>4649989</v>
      </c>
      <c r="E36" s="4">
        <v>15392452736</v>
      </c>
      <c r="G36" s="4">
        <v>15999644009</v>
      </c>
      <c r="I36" s="4">
        <v>-607191273</v>
      </c>
      <c r="K36" s="4">
        <v>4649989</v>
      </c>
      <c r="M36" s="4">
        <v>15392452736</v>
      </c>
      <c r="O36" s="4">
        <v>16353773700</v>
      </c>
      <c r="Q36" s="4">
        <v>-961320964</v>
      </c>
    </row>
    <row r="37" spans="1:17" ht="18.75" x14ac:dyDescent="0.45">
      <c r="A37" s="12" t="s">
        <v>45</v>
      </c>
      <c r="C37" s="4">
        <v>3512494</v>
      </c>
      <c r="E37" s="4">
        <v>25024758586</v>
      </c>
      <c r="G37" s="4">
        <v>23948239453</v>
      </c>
      <c r="I37" s="4">
        <v>1076519133</v>
      </c>
      <c r="K37" s="4">
        <v>3512494</v>
      </c>
      <c r="M37" s="4">
        <v>25024758586</v>
      </c>
      <c r="O37" s="4">
        <v>21822466629</v>
      </c>
      <c r="Q37" s="4">
        <v>3202291957</v>
      </c>
    </row>
    <row r="38" spans="1:17" ht="18.75" x14ac:dyDescent="0.45">
      <c r="A38" s="12" t="s">
        <v>46</v>
      </c>
      <c r="C38" s="4">
        <v>8160312</v>
      </c>
      <c r="E38" s="4">
        <v>22186417840</v>
      </c>
      <c r="G38" s="4">
        <v>17082457176</v>
      </c>
      <c r="I38" s="4">
        <v>5103960664</v>
      </c>
      <c r="K38" s="4">
        <v>8160312</v>
      </c>
      <c r="M38" s="4">
        <v>22186417840</v>
      </c>
      <c r="O38" s="4">
        <v>15570948370</v>
      </c>
      <c r="Q38" s="4">
        <v>6615469470</v>
      </c>
    </row>
    <row r="39" spans="1:17" ht="18.75" x14ac:dyDescent="0.45">
      <c r="A39" s="12" t="s">
        <v>277</v>
      </c>
      <c r="C39" s="4">
        <v>1916567</v>
      </c>
      <c r="E39" s="4">
        <v>6311914679</v>
      </c>
      <c r="G39" s="4">
        <v>6687123626</v>
      </c>
      <c r="I39" s="4">
        <v>-375208947</v>
      </c>
      <c r="K39" s="4">
        <v>1916567</v>
      </c>
      <c r="M39" s="4">
        <v>6311914679</v>
      </c>
      <c r="O39" s="4">
        <v>8809475685</v>
      </c>
      <c r="Q39" s="4">
        <v>-2497561006</v>
      </c>
    </row>
    <row r="40" spans="1:17" ht="18.75" x14ac:dyDescent="0.45">
      <c r="A40" s="12" t="s">
        <v>48</v>
      </c>
      <c r="C40" s="4">
        <v>9400000</v>
      </c>
      <c r="E40" s="4">
        <v>21396913372</v>
      </c>
      <c r="G40" s="4">
        <v>16781949720</v>
      </c>
      <c r="I40" s="4">
        <v>4614963652</v>
      </c>
      <c r="K40" s="4">
        <v>9400000</v>
      </c>
      <c r="M40" s="4">
        <v>21396913372</v>
      </c>
      <c r="O40" s="4">
        <v>14420634180</v>
      </c>
      <c r="Q40" s="4">
        <v>6976279192</v>
      </c>
    </row>
    <row r="41" spans="1:17" ht="37.5" x14ac:dyDescent="0.45">
      <c r="A41" s="12" t="s">
        <v>49</v>
      </c>
      <c r="C41" s="4">
        <v>842177</v>
      </c>
      <c r="E41" s="4">
        <v>3388629571</v>
      </c>
      <c r="G41" s="4">
        <v>3531166386</v>
      </c>
      <c r="I41" s="4">
        <v>-142536815</v>
      </c>
      <c r="K41" s="4">
        <v>842177</v>
      </c>
      <c r="M41" s="4">
        <v>3388629571</v>
      </c>
      <c r="O41" s="4">
        <v>5324376058</v>
      </c>
      <c r="Q41" s="4">
        <v>-1935746487</v>
      </c>
    </row>
    <row r="42" spans="1:17" ht="18.75" x14ac:dyDescent="0.45">
      <c r="A42" s="12" t="s">
        <v>50</v>
      </c>
      <c r="C42" s="4">
        <v>285750</v>
      </c>
      <c r="E42" s="4">
        <v>16090960404</v>
      </c>
      <c r="G42" s="4">
        <v>14486539162</v>
      </c>
      <c r="I42" s="4">
        <v>1604421242</v>
      </c>
      <c r="K42" s="4">
        <v>285750</v>
      </c>
      <c r="M42" s="4">
        <v>16090960404</v>
      </c>
      <c r="O42" s="4">
        <v>13648592289</v>
      </c>
      <c r="Q42" s="4">
        <v>2442368115</v>
      </c>
    </row>
    <row r="43" spans="1:17" ht="18.75" x14ac:dyDescent="0.45">
      <c r="A43" s="12" t="s">
        <v>51</v>
      </c>
      <c r="C43" s="4">
        <v>10496746</v>
      </c>
      <c r="E43" s="4">
        <v>17800270916</v>
      </c>
      <c r="G43" s="4">
        <v>19923423980</v>
      </c>
      <c r="I43" s="4">
        <v>-2123153064</v>
      </c>
      <c r="K43" s="4">
        <v>10496746</v>
      </c>
      <c r="M43" s="4">
        <v>17800270916</v>
      </c>
      <c r="O43" s="4">
        <v>17246303416</v>
      </c>
      <c r="Q43" s="4">
        <v>553967500</v>
      </c>
    </row>
    <row r="44" spans="1:17" ht="18.75" x14ac:dyDescent="0.45">
      <c r="A44" s="12" t="s">
        <v>52</v>
      </c>
      <c r="C44" s="4">
        <v>1648155</v>
      </c>
      <c r="E44" s="4">
        <v>12625401961</v>
      </c>
      <c r="G44" s="4">
        <v>13041253883</v>
      </c>
      <c r="I44" s="4">
        <v>-415851922</v>
      </c>
      <c r="K44" s="4">
        <v>1648155</v>
      </c>
      <c r="M44" s="4">
        <v>12625401961</v>
      </c>
      <c r="O44" s="4">
        <v>11910020869</v>
      </c>
      <c r="Q44" s="4">
        <v>715381092</v>
      </c>
    </row>
    <row r="45" spans="1:17" ht="37.5" x14ac:dyDescent="0.45">
      <c r="A45" s="12" t="s">
        <v>53</v>
      </c>
      <c r="C45" s="4">
        <v>250000</v>
      </c>
      <c r="E45" s="4">
        <v>1180801300</v>
      </c>
      <c r="G45" s="4">
        <v>1117312200</v>
      </c>
      <c r="I45" s="4">
        <v>63489100</v>
      </c>
      <c r="K45" s="4">
        <v>250000</v>
      </c>
      <c r="M45" s="4">
        <v>1180801300</v>
      </c>
      <c r="O45" s="4">
        <v>810399262</v>
      </c>
      <c r="Q45" s="4">
        <v>370402038</v>
      </c>
    </row>
    <row r="46" spans="1:17" ht="18.75" x14ac:dyDescent="0.45">
      <c r="A46" s="12" t="s">
        <v>54</v>
      </c>
      <c r="C46" s="4">
        <v>114400</v>
      </c>
      <c r="E46" s="4">
        <v>13616206776</v>
      </c>
      <c r="G46" s="4">
        <v>13235217536</v>
      </c>
      <c r="I46" s="4">
        <v>380989240</v>
      </c>
      <c r="K46" s="4">
        <v>114400</v>
      </c>
      <c r="M46" s="4">
        <v>13616206776</v>
      </c>
      <c r="O46" s="4">
        <v>13902770527</v>
      </c>
      <c r="Q46" s="4">
        <v>-286563751</v>
      </c>
    </row>
    <row r="47" spans="1:17" ht="18.75" x14ac:dyDescent="0.45">
      <c r="A47" s="12" t="s">
        <v>55</v>
      </c>
      <c r="C47" s="4">
        <v>2928206</v>
      </c>
      <c r="E47" s="4">
        <v>35070241579</v>
      </c>
      <c r="G47" s="4">
        <v>35813439442</v>
      </c>
      <c r="I47" s="4">
        <v>-743197863</v>
      </c>
      <c r="K47" s="4">
        <v>2928206</v>
      </c>
      <c r="M47" s="4">
        <v>35070241579</v>
      </c>
      <c r="O47" s="4">
        <v>33415790840</v>
      </c>
      <c r="Q47" s="4">
        <v>1654450739</v>
      </c>
    </row>
    <row r="48" spans="1:17" ht="18.75" x14ac:dyDescent="0.45">
      <c r="A48" s="12" t="s">
        <v>56</v>
      </c>
      <c r="C48" s="4">
        <v>3439800</v>
      </c>
      <c r="E48" s="4">
        <v>23551151387</v>
      </c>
      <c r="G48" s="4">
        <v>24494867729</v>
      </c>
      <c r="I48" s="4">
        <v>-943716342</v>
      </c>
      <c r="K48" s="4">
        <v>3439800</v>
      </c>
      <c r="M48" s="4">
        <v>23551151387</v>
      </c>
      <c r="O48" s="4">
        <v>23977961729</v>
      </c>
      <c r="Q48" s="4">
        <v>-426810342</v>
      </c>
    </row>
    <row r="49" spans="1:17" ht="18.75" x14ac:dyDescent="0.45">
      <c r="A49" s="12" t="s">
        <v>57</v>
      </c>
      <c r="C49" s="4">
        <v>3742054</v>
      </c>
      <c r="E49" s="4">
        <v>9156573457</v>
      </c>
      <c r="G49" s="4">
        <v>7435857769</v>
      </c>
      <c r="I49" s="4">
        <v>1720715688</v>
      </c>
      <c r="K49" s="4">
        <v>3742054</v>
      </c>
      <c r="M49" s="4">
        <v>9156573457</v>
      </c>
      <c r="O49" s="4">
        <v>7179669122</v>
      </c>
      <c r="Q49" s="4">
        <v>1976904335</v>
      </c>
    </row>
    <row r="50" spans="1:17" ht="18.75" x14ac:dyDescent="0.45">
      <c r="A50" s="12" t="s">
        <v>58</v>
      </c>
      <c r="C50" s="4">
        <v>28400000</v>
      </c>
      <c r="E50" s="4">
        <v>43876988676</v>
      </c>
      <c r="G50" s="4">
        <v>42741764280</v>
      </c>
      <c r="I50" s="4">
        <v>1135224396</v>
      </c>
      <c r="K50" s="4">
        <v>28400000</v>
      </c>
      <c r="M50" s="4">
        <v>43876988676</v>
      </c>
      <c r="O50" s="4">
        <v>49404285000</v>
      </c>
      <c r="Q50" s="4">
        <v>-5527296324</v>
      </c>
    </row>
    <row r="51" spans="1:17" ht="18.75" x14ac:dyDescent="0.45">
      <c r="A51" s="12" t="s">
        <v>59</v>
      </c>
      <c r="C51" s="4">
        <v>4103659</v>
      </c>
      <c r="E51" s="4">
        <v>17256872040</v>
      </c>
      <c r="G51" s="4">
        <v>19192834687</v>
      </c>
      <c r="I51" s="4">
        <v>-1935962647</v>
      </c>
      <c r="K51" s="4">
        <v>4103659</v>
      </c>
      <c r="M51" s="4">
        <v>17256872040</v>
      </c>
      <c r="O51" s="4">
        <v>17039703252</v>
      </c>
      <c r="Q51" s="4">
        <v>217168788</v>
      </c>
    </row>
    <row r="52" spans="1:17" ht="18.75" x14ac:dyDescent="0.45">
      <c r="A52" s="12" t="s">
        <v>60</v>
      </c>
      <c r="C52" s="4">
        <v>4954671</v>
      </c>
      <c r="E52" s="4">
        <v>33087179476</v>
      </c>
      <c r="G52" s="4">
        <v>28566106104</v>
      </c>
      <c r="I52" s="4">
        <v>4521073372</v>
      </c>
      <c r="K52" s="4">
        <v>4954671</v>
      </c>
      <c r="M52" s="4">
        <v>33087179476</v>
      </c>
      <c r="O52" s="4">
        <v>32101362884</v>
      </c>
      <c r="Q52" s="4">
        <v>985816592</v>
      </c>
    </row>
    <row r="53" spans="1:17" ht="18.75" x14ac:dyDescent="0.45">
      <c r="A53" s="12" t="s">
        <v>61</v>
      </c>
      <c r="C53" s="4">
        <v>898693</v>
      </c>
      <c r="E53" s="4">
        <v>17522810926</v>
      </c>
      <c r="G53" s="4">
        <v>18151683342</v>
      </c>
      <c r="I53" s="4">
        <v>-628872416</v>
      </c>
      <c r="K53" s="4">
        <v>898693</v>
      </c>
      <c r="M53" s="4">
        <v>17522810926</v>
      </c>
      <c r="O53" s="4">
        <v>15466598389</v>
      </c>
      <c r="Q53" s="4">
        <v>2056212537</v>
      </c>
    </row>
    <row r="54" spans="1:17" ht="18.75" x14ac:dyDescent="0.45">
      <c r="A54" s="12" t="s">
        <v>62</v>
      </c>
      <c r="C54" s="4">
        <v>5360107</v>
      </c>
      <c r="E54" s="4">
        <v>19679091480</v>
      </c>
      <c r="G54" s="4">
        <v>18664022550</v>
      </c>
      <c r="I54" s="4">
        <v>1015068930</v>
      </c>
      <c r="K54" s="4">
        <v>5360107</v>
      </c>
      <c r="M54" s="4">
        <v>19679091480</v>
      </c>
      <c r="O54" s="4">
        <v>16722698863</v>
      </c>
      <c r="Q54" s="4">
        <v>2956392617</v>
      </c>
    </row>
    <row r="55" spans="1:17" ht="18.75" x14ac:dyDescent="0.45">
      <c r="A55" s="12" t="s">
        <v>63</v>
      </c>
      <c r="C55" s="4">
        <v>40025</v>
      </c>
      <c r="E55" s="4">
        <v>957543279</v>
      </c>
      <c r="G55" s="4">
        <v>978756541</v>
      </c>
      <c r="I55" s="4">
        <v>-21213262</v>
      </c>
      <c r="K55" s="4">
        <v>40025</v>
      </c>
      <c r="M55" s="4">
        <v>957543279</v>
      </c>
      <c r="O55" s="4">
        <v>688267606</v>
      </c>
      <c r="Q55" s="4">
        <v>269275673</v>
      </c>
    </row>
    <row r="56" spans="1:17" ht="18.75" x14ac:dyDescent="0.45">
      <c r="A56" s="12" t="s">
        <v>64</v>
      </c>
      <c r="C56" s="4">
        <v>4005523</v>
      </c>
      <c r="E56" s="4">
        <v>20906187216</v>
      </c>
      <c r="G56" s="4">
        <v>18201688201</v>
      </c>
      <c r="I56" s="4">
        <v>2704499015</v>
      </c>
      <c r="K56" s="4">
        <v>4005523</v>
      </c>
      <c r="M56" s="4">
        <v>20906187216</v>
      </c>
      <c r="O56" s="4">
        <v>16399560973</v>
      </c>
      <c r="Q56" s="4">
        <v>4506626243</v>
      </c>
    </row>
    <row r="57" spans="1:17" ht="18.75" x14ac:dyDescent="0.45">
      <c r="A57" s="12" t="s">
        <v>65</v>
      </c>
      <c r="C57" s="4">
        <v>6864837</v>
      </c>
      <c r="E57" s="4">
        <v>39303923344</v>
      </c>
      <c r="G57" s="4">
        <v>34227114613</v>
      </c>
      <c r="I57" s="4">
        <v>5076808731</v>
      </c>
      <c r="K57" s="4">
        <v>6864837</v>
      </c>
      <c r="M57" s="4">
        <v>39303923344</v>
      </c>
      <c r="O57" s="4">
        <v>28357442891</v>
      </c>
      <c r="Q57" s="4">
        <v>10946480453</v>
      </c>
    </row>
    <row r="58" spans="1:17" ht="18.75" x14ac:dyDescent="0.45">
      <c r="A58" s="12" t="s">
        <v>66</v>
      </c>
      <c r="C58" s="4">
        <v>2828938</v>
      </c>
      <c r="E58" s="4">
        <v>24842572237</v>
      </c>
      <c r="G58" s="4">
        <v>19719071793</v>
      </c>
      <c r="I58" s="4">
        <v>5123500444</v>
      </c>
      <c r="K58" s="4">
        <v>2828938</v>
      </c>
      <c r="M58" s="4">
        <v>24842572237</v>
      </c>
      <c r="O58" s="4">
        <v>17264424131</v>
      </c>
      <c r="Q58" s="4">
        <v>7578148106</v>
      </c>
    </row>
    <row r="59" spans="1:17" ht="18.75" x14ac:dyDescent="0.45">
      <c r="A59" s="12" t="s">
        <v>67</v>
      </c>
      <c r="C59" s="4">
        <v>2232181</v>
      </c>
      <c r="E59" s="4">
        <v>20288724366</v>
      </c>
      <c r="G59" s="4">
        <v>21123923459</v>
      </c>
      <c r="I59" s="4">
        <v>-835199093</v>
      </c>
      <c r="K59" s="4">
        <v>2232181</v>
      </c>
      <c r="M59" s="4">
        <v>20288724366</v>
      </c>
      <c r="O59" s="4">
        <v>19841676456</v>
      </c>
      <c r="Q59" s="4">
        <v>447047910</v>
      </c>
    </row>
    <row r="60" spans="1:17" ht="37.5" x14ac:dyDescent="0.45">
      <c r="A60" s="12" t="s">
        <v>68</v>
      </c>
      <c r="C60" s="4">
        <v>272374</v>
      </c>
      <c r="E60" s="4">
        <v>9635073771</v>
      </c>
      <c r="G60" s="4">
        <v>10315703576</v>
      </c>
      <c r="I60" s="4">
        <v>-680629805</v>
      </c>
      <c r="K60" s="4">
        <v>272374</v>
      </c>
      <c r="M60" s="4">
        <v>9635073771</v>
      </c>
      <c r="O60" s="4">
        <v>7766626587</v>
      </c>
      <c r="Q60" s="4">
        <v>1868447184</v>
      </c>
    </row>
    <row r="61" spans="1:17" ht="18.75" x14ac:dyDescent="0.45">
      <c r="A61" s="12" t="s">
        <v>69</v>
      </c>
      <c r="C61" s="4">
        <v>1472602</v>
      </c>
      <c r="E61" s="4">
        <v>16409486973</v>
      </c>
      <c r="G61" s="4">
        <v>14814060983</v>
      </c>
      <c r="I61" s="4">
        <v>1595425990</v>
      </c>
      <c r="K61" s="4">
        <v>1472602</v>
      </c>
      <c r="M61" s="4">
        <v>16409486973</v>
      </c>
      <c r="O61" s="4">
        <v>22170249192</v>
      </c>
      <c r="Q61" s="4">
        <v>-5760762219</v>
      </c>
    </row>
    <row r="62" spans="1:17" ht="18.75" x14ac:dyDescent="0.45">
      <c r="A62" s="12" t="s">
        <v>70</v>
      </c>
      <c r="C62" s="4">
        <v>15499343</v>
      </c>
      <c r="E62" s="4">
        <v>26299001564</v>
      </c>
      <c r="G62" s="4">
        <v>28359861740</v>
      </c>
      <c r="I62" s="4">
        <v>-2060860176</v>
      </c>
      <c r="K62" s="4">
        <v>15499343</v>
      </c>
      <c r="M62" s="4">
        <v>26299001564</v>
      </c>
      <c r="O62" s="4">
        <v>36068072390</v>
      </c>
      <c r="Q62" s="4">
        <v>-9769070826</v>
      </c>
    </row>
    <row r="63" spans="1:17" ht="18.75" x14ac:dyDescent="0.45">
      <c r="A63" s="12" t="s">
        <v>71</v>
      </c>
      <c r="C63" s="4">
        <v>7009755</v>
      </c>
      <c r="E63" s="4">
        <v>14599740577</v>
      </c>
      <c r="G63" s="4">
        <v>14696373210</v>
      </c>
      <c r="I63" s="4">
        <v>-96632633</v>
      </c>
      <c r="K63" s="4">
        <v>7009755</v>
      </c>
      <c r="M63" s="4">
        <v>14599740577</v>
      </c>
      <c r="O63" s="4">
        <v>20298934388</v>
      </c>
      <c r="Q63" s="4">
        <v>-5699193811</v>
      </c>
    </row>
    <row r="64" spans="1:17" ht="18.75" x14ac:dyDescent="0.45">
      <c r="A64" s="12" t="s">
        <v>72</v>
      </c>
      <c r="C64" s="4">
        <v>8045149</v>
      </c>
      <c r="E64" s="4">
        <v>29161752874</v>
      </c>
      <c r="G64" s="4">
        <v>25899105507</v>
      </c>
      <c r="I64" s="4">
        <v>3262647367</v>
      </c>
      <c r="K64" s="4">
        <v>8045149</v>
      </c>
      <c r="M64" s="4">
        <v>29161752874</v>
      </c>
      <c r="O64" s="4">
        <v>24128062879</v>
      </c>
      <c r="Q64" s="4">
        <v>5033689995</v>
      </c>
    </row>
    <row r="65" spans="1:17" ht="18.75" x14ac:dyDescent="0.45">
      <c r="A65" s="12" t="s">
        <v>73</v>
      </c>
      <c r="C65" s="4">
        <v>562500</v>
      </c>
      <c r="E65" s="4">
        <v>5654078494</v>
      </c>
      <c r="G65" s="4">
        <v>4931974167</v>
      </c>
      <c r="I65" s="4">
        <v>722104327</v>
      </c>
      <c r="K65" s="4">
        <v>562500</v>
      </c>
      <c r="M65" s="4">
        <v>5654078494</v>
      </c>
      <c r="O65" s="4">
        <v>4931974167</v>
      </c>
      <c r="Q65" s="4">
        <v>722104327</v>
      </c>
    </row>
    <row r="66" spans="1:17" ht="18.75" x14ac:dyDescent="0.45">
      <c r="A66" s="12" t="s">
        <v>74</v>
      </c>
      <c r="C66" s="4">
        <v>25600000</v>
      </c>
      <c r="E66" s="4">
        <v>12320024320</v>
      </c>
      <c r="G66" s="4">
        <v>12609444650</v>
      </c>
      <c r="I66" s="4">
        <v>-289420330</v>
      </c>
      <c r="K66" s="4">
        <v>25600000</v>
      </c>
      <c r="M66" s="4">
        <v>12320024320</v>
      </c>
      <c r="O66" s="4">
        <v>10028365723</v>
      </c>
      <c r="Q66" s="4">
        <v>2291658597</v>
      </c>
    </row>
    <row r="67" spans="1:17" ht="18.75" x14ac:dyDescent="0.45">
      <c r="A67" s="12" t="s">
        <v>75</v>
      </c>
      <c r="C67" s="4">
        <v>10240020</v>
      </c>
      <c r="E67" s="4">
        <v>28125273338</v>
      </c>
      <c r="G67" s="4">
        <v>26536892534</v>
      </c>
      <c r="I67" s="4">
        <v>1588380804</v>
      </c>
      <c r="K67" s="4">
        <v>10240020</v>
      </c>
      <c r="M67" s="4">
        <v>28125273338</v>
      </c>
      <c r="O67" s="4">
        <v>23756576900</v>
      </c>
      <c r="Q67" s="4">
        <v>4368696438</v>
      </c>
    </row>
    <row r="68" spans="1:17" ht="18.75" x14ac:dyDescent="0.45">
      <c r="A68" s="12" t="s">
        <v>331</v>
      </c>
      <c r="J68" s="6"/>
      <c r="K68" s="4">
        <v>0</v>
      </c>
      <c r="M68" s="4">
        <v>0</v>
      </c>
      <c r="O68" s="4">
        <v>-3981368184</v>
      </c>
      <c r="Q68" s="4">
        <v>3981368184</v>
      </c>
    </row>
    <row r="69" spans="1:17" ht="18.75" x14ac:dyDescent="0.45">
      <c r="A69" s="12" t="s">
        <v>76</v>
      </c>
      <c r="C69" s="4">
        <v>1975883</v>
      </c>
      <c r="E69" s="4">
        <v>26879955209</v>
      </c>
      <c r="G69" s="4">
        <v>27340640826</v>
      </c>
      <c r="I69" s="4">
        <v>-460685617</v>
      </c>
      <c r="K69" s="4">
        <v>1975883</v>
      </c>
      <c r="M69" s="4">
        <v>26879955209</v>
      </c>
      <c r="O69" s="4">
        <v>24989771818</v>
      </c>
      <c r="Q69" s="4">
        <v>1890183391</v>
      </c>
    </row>
    <row r="70" spans="1:17" ht="37.5" x14ac:dyDescent="0.45">
      <c r="A70" s="12" t="s">
        <v>77</v>
      </c>
      <c r="C70" s="4">
        <v>9659071</v>
      </c>
      <c r="E70" s="4">
        <v>12766429300</v>
      </c>
      <c r="G70" s="4">
        <v>14474315811</v>
      </c>
      <c r="I70" s="4">
        <v>-1707886511</v>
      </c>
      <c r="K70" s="4">
        <v>9659071</v>
      </c>
      <c r="M70" s="4">
        <v>12766429300</v>
      </c>
      <c r="O70" s="4">
        <v>12842972054</v>
      </c>
      <c r="Q70" s="4">
        <v>-76542754</v>
      </c>
    </row>
    <row r="71" spans="1:17" ht="18.75" x14ac:dyDescent="0.45">
      <c r="A71" s="12" t="s">
        <v>78</v>
      </c>
      <c r="C71" s="4">
        <v>1400000</v>
      </c>
      <c r="E71" s="4">
        <v>9307492600</v>
      </c>
      <c r="G71" s="4">
        <v>9906432210</v>
      </c>
      <c r="I71" s="4">
        <v>-598939610</v>
      </c>
      <c r="K71" s="4">
        <v>1400000</v>
      </c>
      <c r="M71" s="4">
        <v>9307492600</v>
      </c>
      <c r="O71" s="4">
        <v>9542847510</v>
      </c>
      <c r="Q71" s="4">
        <v>-235354910</v>
      </c>
    </row>
    <row r="72" spans="1:17" ht="18.75" x14ac:dyDescent="0.45">
      <c r="A72" s="12" t="s">
        <v>79</v>
      </c>
      <c r="C72" s="4">
        <v>1674591</v>
      </c>
      <c r="E72" s="4">
        <v>15901956159</v>
      </c>
      <c r="G72" s="4">
        <v>18989145160</v>
      </c>
      <c r="I72" s="4">
        <v>-3087189001</v>
      </c>
      <c r="K72" s="4">
        <v>1674591</v>
      </c>
      <c r="M72" s="4">
        <v>15901956159</v>
      </c>
      <c r="O72" s="4">
        <v>17048981881</v>
      </c>
      <c r="Q72" s="4">
        <v>-1147025722</v>
      </c>
    </row>
    <row r="73" spans="1:17" ht="18.75" x14ac:dyDescent="0.45">
      <c r="A73" s="12" t="s">
        <v>80</v>
      </c>
      <c r="C73" s="4">
        <v>1818173</v>
      </c>
      <c r="E73" s="4">
        <v>20278292195</v>
      </c>
      <c r="G73" s="4">
        <v>18397783536</v>
      </c>
      <c r="I73" s="4">
        <v>1880508659</v>
      </c>
      <c r="K73" s="4">
        <v>1818173</v>
      </c>
      <c r="M73" s="4">
        <v>20278292195</v>
      </c>
      <c r="O73" s="4">
        <v>17401566331</v>
      </c>
      <c r="Q73" s="4">
        <v>2876725864</v>
      </c>
    </row>
    <row r="74" spans="1:17" ht="18.75" x14ac:dyDescent="0.45">
      <c r="A74" s="12" t="s">
        <v>81</v>
      </c>
      <c r="C74" s="4">
        <v>717391</v>
      </c>
      <c r="E74" s="4">
        <v>23768523501</v>
      </c>
      <c r="G74" s="4">
        <v>25372899388</v>
      </c>
      <c r="I74" s="4">
        <v>-1604375887</v>
      </c>
      <c r="K74" s="4">
        <v>717391</v>
      </c>
      <c r="M74" s="4">
        <v>23768523501</v>
      </c>
      <c r="O74" s="4">
        <v>23661448164</v>
      </c>
      <c r="Q74" s="4">
        <v>107075337</v>
      </c>
    </row>
    <row r="75" spans="1:17" ht="18.75" x14ac:dyDescent="0.45">
      <c r="A75" s="12" t="s">
        <v>82</v>
      </c>
      <c r="C75" s="4">
        <v>3034387</v>
      </c>
      <c r="E75" s="4">
        <v>12676020304</v>
      </c>
      <c r="G75" s="4">
        <v>13039604954</v>
      </c>
      <c r="I75" s="4">
        <v>-363584650</v>
      </c>
      <c r="K75" s="4">
        <v>3034387</v>
      </c>
      <c r="M75" s="4">
        <v>12676020304</v>
      </c>
      <c r="O75" s="4">
        <v>11917128399</v>
      </c>
      <c r="Q75" s="4">
        <v>758891905</v>
      </c>
    </row>
    <row r="76" spans="1:17" ht="37.5" x14ac:dyDescent="0.45">
      <c r="A76" s="12" t="s">
        <v>83</v>
      </c>
      <c r="C76" s="4">
        <v>700243</v>
      </c>
      <c r="E76" s="4">
        <v>2164395829</v>
      </c>
      <c r="G76" s="4">
        <v>2313062389</v>
      </c>
      <c r="I76" s="4">
        <v>-148666560</v>
      </c>
      <c r="K76" s="4">
        <v>700243</v>
      </c>
      <c r="M76" s="4">
        <v>2164395829</v>
      </c>
      <c r="O76" s="4">
        <v>2049862949</v>
      </c>
      <c r="Q76" s="4">
        <v>114532880</v>
      </c>
    </row>
    <row r="77" spans="1:17" ht="18.75" x14ac:dyDescent="0.45">
      <c r="A77" s="12" t="s">
        <v>84</v>
      </c>
      <c r="C77" s="4">
        <v>3250000</v>
      </c>
      <c r="E77" s="4">
        <v>3466743312</v>
      </c>
      <c r="G77" s="4">
        <v>3750799162</v>
      </c>
      <c r="I77" s="4">
        <v>-284055850</v>
      </c>
      <c r="K77" s="4">
        <v>3250000</v>
      </c>
      <c r="M77" s="4">
        <v>3466743312</v>
      </c>
      <c r="O77" s="4">
        <v>3939323661</v>
      </c>
      <c r="Q77" s="4">
        <v>-472580349</v>
      </c>
    </row>
    <row r="78" spans="1:17" ht="18.75" x14ac:dyDescent="0.45">
      <c r="A78" s="12" t="s">
        <v>85</v>
      </c>
      <c r="C78" s="4">
        <v>3296745</v>
      </c>
      <c r="E78" s="4">
        <v>16061892301</v>
      </c>
      <c r="G78" s="4">
        <v>16228380083</v>
      </c>
      <c r="I78" s="4">
        <v>-166487782</v>
      </c>
      <c r="K78" s="4">
        <v>3296745</v>
      </c>
      <c r="M78" s="4">
        <v>16061892301</v>
      </c>
      <c r="O78" s="4">
        <v>14653139899</v>
      </c>
      <c r="Q78" s="4">
        <v>1408752402</v>
      </c>
    </row>
    <row r="79" spans="1:17" ht="18.75" x14ac:dyDescent="0.45">
      <c r="A79" s="12" t="s">
        <v>86</v>
      </c>
      <c r="C79" s="4">
        <v>3674653</v>
      </c>
      <c r="E79" s="4">
        <v>22716124618</v>
      </c>
      <c r="G79" s="4">
        <v>23618268227</v>
      </c>
      <c r="I79" s="4">
        <v>-902143609</v>
      </c>
      <c r="K79" s="4">
        <v>3674653</v>
      </c>
      <c r="M79" s="4">
        <v>22716124618</v>
      </c>
      <c r="O79" s="4">
        <v>23773873157</v>
      </c>
      <c r="Q79" s="4">
        <v>-1057748539</v>
      </c>
    </row>
    <row r="80" spans="1:17" ht="18.75" x14ac:dyDescent="0.45">
      <c r="A80" s="12" t="s">
        <v>87</v>
      </c>
      <c r="C80" s="4">
        <v>84882</v>
      </c>
      <c r="E80" s="4">
        <v>10619196699</v>
      </c>
      <c r="G80" s="4">
        <v>11449952400</v>
      </c>
      <c r="I80" s="4">
        <v>-830755701</v>
      </c>
      <c r="K80" s="4">
        <v>84882</v>
      </c>
      <c r="M80" s="4">
        <v>10619196699</v>
      </c>
      <c r="O80" s="4">
        <v>7685896566</v>
      </c>
      <c r="Q80" s="4">
        <v>2933300133</v>
      </c>
    </row>
    <row r="81" spans="1:17" ht="18.75" x14ac:dyDescent="0.45">
      <c r="A81" s="12" t="s">
        <v>88</v>
      </c>
      <c r="C81" s="4">
        <v>1583350</v>
      </c>
      <c r="E81" s="4">
        <v>6912887100</v>
      </c>
      <c r="G81" s="4">
        <v>6363395220</v>
      </c>
      <c r="I81" s="4">
        <v>549491880</v>
      </c>
      <c r="K81" s="4">
        <v>1583350</v>
      </c>
      <c r="M81" s="4">
        <v>6912887100</v>
      </c>
      <c r="O81" s="4">
        <v>5228904026</v>
      </c>
      <c r="Q81" s="4">
        <v>1683983074</v>
      </c>
    </row>
    <row r="82" spans="1:17" ht="18.75" x14ac:dyDescent="0.45">
      <c r="A82" s="12" t="s">
        <v>89</v>
      </c>
      <c r="C82" s="4">
        <v>4130564</v>
      </c>
      <c r="E82" s="4">
        <v>37420535179</v>
      </c>
      <c r="G82" s="4">
        <v>34028899464</v>
      </c>
      <c r="I82" s="4">
        <v>3391635715</v>
      </c>
      <c r="K82" s="4">
        <v>4130564</v>
      </c>
      <c r="M82" s="4">
        <v>37420535179</v>
      </c>
      <c r="O82" s="4">
        <v>33657519579</v>
      </c>
      <c r="Q82" s="4">
        <v>3763015600</v>
      </c>
    </row>
    <row r="83" spans="1:17" ht="18.75" x14ac:dyDescent="0.45">
      <c r="A83" s="12" t="s">
        <v>90</v>
      </c>
      <c r="C83" s="4">
        <v>3663423</v>
      </c>
      <c r="E83" s="4">
        <v>30862039244</v>
      </c>
      <c r="G83" s="4">
        <v>25755472184</v>
      </c>
      <c r="I83" s="4">
        <v>5106567060</v>
      </c>
      <c r="K83" s="4">
        <v>3663423</v>
      </c>
      <c r="M83" s="4">
        <v>30862039244</v>
      </c>
      <c r="O83" s="4">
        <v>24182480680</v>
      </c>
      <c r="Q83" s="4">
        <v>6679558564</v>
      </c>
    </row>
    <row r="84" spans="1:17" ht="18.75" x14ac:dyDescent="0.45">
      <c r="A84" s="12" t="s">
        <v>91</v>
      </c>
      <c r="C84" s="4">
        <v>2784202</v>
      </c>
      <c r="E84" s="4">
        <v>11879524510</v>
      </c>
      <c r="G84" s="4">
        <v>12966938719</v>
      </c>
      <c r="I84" s="4">
        <v>-1087414209</v>
      </c>
      <c r="K84" s="4">
        <v>2784202</v>
      </c>
      <c r="M84" s="4">
        <v>11879524510</v>
      </c>
      <c r="O84" s="4">
        <v>12499781070</v>
      </c>
      <c r="Q84" s="4">
        <v>-620256560</v>
      </c>
    </row>
    <row r="85" spans="1:17" ht="18.75" x14ac:dyDescent="0.45">
      <c r="A85" s="12" t="s">
        <v>92</v>
      </c>
      <c r="C85" s="4">
        <v>2300000</v>
      </c>
      <c r="E85" s="4">
        <v>18714212200</v>
      </c>
      <c r="G85" s="4">
        <v>20316660158</v>
      </c>
      <c r="I85" s="4">
        <v>-1602447958</v>
      </c>
      <c r="K85" s="4">
        <v>2300000</v>
      </c>
      <c r="M85" s="4">
        <v>18714212200</v>
      </c>
      <c r="O85" s="4">
        <v>19143056943</v>
      </c>
      <c r="Q85" s="4">
        <v>-428844743</v>
      </c>
    </row>
    <row r="86" spans="1:17" ht="18.75" x14ac:dyDescent="0.45">
      <c r="A86" s="12" t="s">
        <v>93</v>
      </c>
      <c r="C86" s="4">
        <v>1518421</v>
      </c>
      <c r="E86" s="4">
        <v>20385429185</v>
      </c>
      <c r="G86" s="4">
        <v>21187325986</v>
      </c>
      <c r="I86" s="4">
        <v>-801896801</v>
      </c>
      <c r="K86" s="4">
        <v>1518421</v>
      </c>
      <c r="M86" s="4">
        <v>20385429185</v>
      </c>
      <c r="O86" s="4">
        <v>13640389289</v>
      </c>
      <c r="Q86" s="4">
        <v>6745039896</v>
      </c>
    </row>
    <row r="87" spans="1:17" ht="18.75" x14ac:dyDescent="0.45">
      <c r="A87" s="12" t="s">
        <v>94</v>
      </c>
      <c r="C87" s="4">
        <v>327781</v>
      </c>
      <c r="E87" s="4">
        <v>9565521707</v>
      </c>
      <c r="G87" s="4">
        <v>9576164363</v>
      </c>
      <c r="I87" s="4">
        <v>-10642656</v>
      </c>
      <c r="K87" s="4">
        <v>327781</v>
      </c>
      <c r="M87" s="4">
        <v>9565521707</v>
      </c>
      <c r="O87" s="4">
        <v>8490452900</v>
      </c>
      <c r="Q87" s="4">
        <v>1075068807</v>
      </c>
    </row>
    <row r="88" spans="1:17" ht="18.75" x14ac:dyDescent="0.45">
      <c r="A88" s="12" t="s">
        <v>95</v>
      </c>
      <c r="C88" s="4">
        <v>104452</v>
      </c>
      <c r="E88" s="4">
        <v>14117429065</v>
      </c>
      <c r="G88" s="4">
        <v>14868529118</v>
      </c>
      <c r="I88" s="4">
        <v>-751100053</v>
      </c>
      <c r="K88" s="4">
        <v>104452</v>
      </c>
      <c r="M88" s="4">
        <v>14117429065</v>
      </c>
      <c r="O88" s="4">
        <v>12026316222</v>
      </c>
      <c r="Q88" s="4">
        <v>2091112843</v>
      </c>
    </row>
    <row r="89" spans="1:17" ht="18.75" x14ac:dyDescent="0.45">
      <c r="A89" s="12" t="s">
        <v>96</v>
      </c>
      <c r="C89" s="4">
        <v>2744247</v>
      </c>
      <c r="E89" s="4">
        <v>21103513273</v>
      </c>
      <c r="G89" s="4">
        <v>22953752381</v>
      </c>
      <c r="I89" s="4">
        <v>-1850239108</v>
      </c>
      <c r="K89" s="4">
        <v>2744247</v>
      </c>
      <c r="M89" s="4">
        <v>21103513273</v>
      </c>
      <c r="O89" s="4">
        <v>22039655642</v>
      </c>
      <c r="Q89" s="4">
        <v>-936142369</v>
      </c>
    </row>
    <row r="90" spans="1:17" ht="18.75" x14ac:dyDescent="0.45">
      <c r="A90" s="12" t="s">
        <v>97</v>
      </c>
      <c r="C90" s="4">
        <v>261325</v>
      </c>
      <c r="E90" s="4">
        <v>9319420182</v>
      </c>
      <c r="G90" s="4">
        <v>8663333377</v>
      </c>
      <c r="I90" s="4">
        <v>656086805</v>
      </c>
      <c r="K90" s="4">
        <v>261325</v>
      </c>
      <c r="M90" s="4">
        <v>9319420182</v>
      </c>
      <c r="O90" s="4">
        <v>7340478709</v>
      </c>
      <c r="Q90" s="4">
        <v>1978941473</v>
      </c>
    </row>
    <row r="91" spans="1:17" ht="18.75" x14ac:dyDescent="0.45">
      <c r="A91" s="12" t="s">
        <v>98</v>
      </c>
      <c r="C91" s="4">
        <v>1246759</v>
      </c>
      <c r="E91" s="4">
        <v>22515612263</v>
      </c>
      <c r="G91" s="4">
        <v>21136079711</v>
      </c>
      <c r="I91" s="4">
        <v>1379532552</v>
      </c>
      <c r="K91" s="4">
        <v>1246759</v>
      </c>
      <c r="M91" s="4">
        <v>22515612263</v>
      </c>
      <c r="O91" s="4">
        <v>20649343800</v>
      </c>
      <c r="Q91" s="4">
        <v>1866268463</v>
      </c>
    </row>
    <row r="92" spans="1:17" ht="18.75" x14ac:dyDescent="0.45">
      <c r="A92" s="12" t="s">
        <v>99</v>
      </c>
      <c r="C92" s="4">
        <v>1504289</v>
      </c>
      <c r="E92" s="4">
        <v>16329709656</v>
      </c>
      <c r="G92" s="4">
        <v>12471122927</v>
      </c>
      <c r="I92" s="4">
        <v>3858586729</v>
      </c>
      <c r="K92" s="4">
        <v>1504289</v>
      </c>
      <c r="M92" s="4">
        <v>16329709656</v>
      </c>
      <c r="O92" s="4">
        <v>9141298952</v>
      </c>
      <c r="Q92" s="4">
        <v>7188410704</v>
      </c>
    </row>
    <row r="93" spans="1:17" ht="18.75" x14ac:dyDescent="0.45">
      <c r="A93" s="12" t="s">
        <v>100</v>
      </c>
      <c r="C93" s="4">
        <v>414523</v>
      </c>
      <c r="E93" s="4">
        <v>18649191545</v>
      </c>
      <c r="G93" s="4">
        <v>20269063571</v>
      </c>
      <c r="I93" s="4">
        <v>-1619872026</v>
      </c>
      <c r="K93" s="4">
        <v>414523</v>
      </c>
      <c r="M93" s="4">
        <v>18649191545</v>
      </c>
      <c r="O93" s="4">
        <v>17125366833</v>
      </c>
      <c r="Q93" s="4">
        <v>1523824712</v>
      </c>
    </row>
    <row r="94" spans="1:17" ht="18.75" x14ac:dyDescent="0.45">
      <c r="A94" s="12" t="s">
        <v>101</v>
      </c>
      <c r="C94" s="4">
        <v>121110</v>
      </c>
      <c r="E94" s="4">
        <v>15373836754</v>
      </c>
      <c r="G94" s="4">
        <v>15597650081</v>
      </c>
      <c r="I94" s="4">
        <v>-223813327</v>
      </c>
      <c r="K94" s="4">
        <v>121110</v>
      </c>
      <c r="M94" s="4">
        <v>15373836754</v>
      </c>
      <c r="O94" s="4">
        <v>15342681196</v>
      </c>
      <c r="Q94" s="4">
        <v>31155558</v>
      </c>
    </row>
    <row r="95" spans="1:17" ht="18.75" x14ac:dyDescent="0.45">
      <c r="A95" s="12" t="s">
        <v>102</v>
      </c>
      <c r="C95" s="4">
        <v>11021257</v>
      </c>
      <c r="E95" s="4">
        <v>21511235298</v>
      </c>
      <c r="G95" s="4">
        <v>18404738914</v>
      </c>
      <c r="I95" s="4">
        <v>3106496384</v>
      </c>
      <c r="K95" s="4">
        <v>11021257</v>
      </c>
      <c r="M95" s="4">
        <v>21511235298</v>
      </c>
      <c r="O95" s="4">
        <v>17633290109</v>
      </c>
      <c r="Q95" s="4">
        <v>3877945189</v>
      </c>
    </row>
    <row r="96" spans="1:17" ht="18.75" x14ac:dyDescent="0.45">
      <c r="A96" s="12" t="s">
        <v>103</v>
      </c>
      <c r="C96" s="4">
        <v>335481</v>
      </c>
      <c r="E96" s="4">
        <v>13432019981</v>
      </c>
      <c r="G96" s="4">
        <v>12183714138</v>
      </c>
      <c r="I96" s="4">
        <v>1248305843</v>
      </c>
      <c r="K96" s="4">
        <v>335481</v>
      </c>
      <c r="M96" s="4">
        <v>13432019981</v>
      </c>
      <c r="O96" s="4">
        <v>10071351424</v>
      </c>
      <c r="Q96" s="4">
        <v>3360668557</v>
      </c>
    </row>
    <row r="97" spans="1:17" ht="18.75" x14ac:dyDescent="0.45">
      <c r="A97" s="12" t="s">
        <v>104</v>
      </c>
      <c r="C97" s="4">
        <v>1355746</v>
      </c>
      <c r="E97" s="4">
        <v>11017729223</v>
      </c>
      <c r="G97" s="4">
        <v>9218126489</v>
      </c>
      <c r="I97" s="4">
        <v>1799602734</v>
      </c>
      <c r="K97" s="4">
        <v>1355746</v>
      </c>
      <c r="M97" s="4">
        <v>11017729223</v>
      </c>
      <c r="O97" s="4">
        <v>9317883651</v>
      </c>
      <c r="Q97" s="4">
        <v>1699845572</v>
      </c>
    </row>
    <row r="98" spans="1:17" ht="37.5" x14ac:dyDescent="0.45">
      <c r="A98" s="12" t="s">
        <v>105</v>
      </c>
      <c r="C98" s="4">
        <v>3864575</v>
      </c>
      <c r="E98" s="4">
        <v>11385229749</v>
      </c>
      <c r="G98" s="4">
        <v>14293349164</v>
      </c>
      <c r="I98" s="4">
        <v>-2908119415</v>
      </c>
      <c r="K98" s="4">
        <v>3864575</v>
      </c>
      <c r="M98" s="4">
        <v>11385229749</v>
      </c>
      <c r="O98" s="4">
        <v>8656213516</v>
      </c>
      <c r="Q98" s="4">
        <v>2729016233</v>
      </c>
    </row>
    <row r="99" spans="1:17" ht="18.75" x14ac:dyDescent="0.45">
      <c r="A99" s="12" t="s">
        <v>106</v>
      </c>
      <c r="C99" s="4">
        <v>3083586</v>
      </c>
      <c r="E99" s="4">
        <v>18817461763</v>
      </c>
      <c r="G99" s="4">
        <v>18943174939</v>
      </c>
      <c r="I99" s="4">
        <v>-125713176</v>
      </c>
      <c r="K99" s="4">
        <v>3083586</v>
      </c>
      <c r="M99" s="4">
        <v>18817461763</v>
      </c>
      <c r="O99" s="4">
        <v>17142551222</v>
      </c>
      <c r="Q99" s="4">
        <v>1674910541</v>
      </c>
    </row>
    <row r="100" spans="1:17" ht="18.75" x14ac:dyDescent="0.45">
      <c r="A100" s="12" t="s">
        <v>107</v>
      </c>
      <c r="C100" s="4">
        <v>800000</v>
      </c>
      <c r="E100" s="4">
        <v>11986621600</v>
      </c>
      <c r="G100" s="4">
        <v>11053836000</v>
      </c>
      <c r="I100" s="4">
        <v>932785600</v>
      </c>
      <c r="K100" s="4">
        <v>800000</v>
      </c>
      <c r="M100" s="4">
        <v>11986621600</v>
      </c>
      <c r="O100" s="4">
        <v>10651662871</v>
      </c>
      <c r="Q100" s="4">
        <v>1334958729</v>
      </c>
    </row>
    <row r="101" spans="1:17" ht="18.75" x14ac:dyDescent="0.45">
      <c r="A101" s="12" t="s">
        <v>108</v>
      </c>
      <c r="C101" s="4">
        <v>2340418</v>
      </c>
      <c r="E101" s="4">
        <v>23919963659</v>
      </c>
      <c r="G101" s="4">
        <v>25243690140</v>
      </c>
      <c r="I101" s="4">
        <v>-1323726481</v>
      </c>
      <c r="K101" s="4">
        <v>2340418</v>
      </c>
      <c r="M101" s="4">
        <v>23919963659</v>
      </c>
      <c r="O101" s="4">
        <v>21735848086</v>
      </c>
      <c r="Q101" s="4">
        <v>2184115573</v>
      </c>
    </row>
    <row r="102" spans="1:17" ht="18.75" x14ac:dyDescent="0.45">
      <c r="A102" s="12" t="s">
        <v>109</v>
      </c>
      <c r="C102" s="4">
        <v>11000000</v>
      </c>
      <c r="E102" s="4">
        <v>18151595110</v>
      </c>
      <c r="G102" s="4">
        <v>16205003100</v>
      </c>
      <c r="I102" s="4">
        <v>1946592010</v>
      </c>
      <c r="K102" s="4">
        <v>11000000</v>
      </c>
      <c r="M102" s="4">
        <v>18151595110</v>
      </c>
      <c r="O102" s="4">
        <v>17287523550</v>
      </c>
      <c r="Q102" s="4">
        <v>864071560</v>
      </c>
    </row>
    <row r="103" spans="1:17" ht="18.75" x14ac:dyDescent="0.45">
      <c r="A103" s="12" t="s">
        <v>110</v>
      </c>
      <c r="C103" s="4">
        <v>635696</v>
      </c>
      <c r="E103" s="4">
        <v>19011771587</v>
      </c>
      <c r="G103" s="4">
        <v>20170682393</v>
      </c>
      <c r="I103" s="4">
        <v>-1158910806</v>
      </c>
      <c r="K103" s="4">
        <v>635696</v>
      </c>
      <c r="M103" s="4">
        <v>19011771587</v>
      </c>
      <c r="O103" s="4">
        <v>17885876182</v>
      </c>
      <c r="Q103" s="4">
        <v>1125895405</v>
      </c>
    </row>
    <row r="104" spans="1:17" ht="18.75" x14ac:dyDescent="0.45">
      <c r="A104" s="12" t="s">
        <v>111</v>
      </c>
      <c r="C104" s="4">
        <v>9448213</v>
      </c>
      <c r="E104" s="4">
        <v>4893843080</v>
      </c>
      <c r="G104" s="4">
        <v>5691549656</v>
      </c>
      <c r="I104" s="4">
        <v>-797706576</v>
      </c>
      <c r="K104" s="4">
        <v>9448213</v>
      </c>
      <c r="M104" s="4">
        <v>4893843080</v>
      </c>
      <c r="O104" s="4">
        <v>7062781092</v>
      </c>
      <c r="Q104" s="4">
        <v>-2168938012</v>
      </c>
    </row>
    <row r="105" spans="1:17" ht="18.75" x14ac:dyDescent="0.45">
      <c r="A105" s="12" t="s">
        <v>112</v>
      </c>
      <c r="C105" s="4">
        <v>249996</v>
      </c>
      <c r="E105" s="4">
        <v>1877840929</v>
      </c>
      <c r="G105" s="4">
        <v>1756955263</v>
      </c>
      <c r="I105" s="4">
        <v>120885666</v>
      </c>
      <c r="K105" s="4">
        <v>249996</v>
      </c>
      <c r="M105" s="4">
        <v>1877840929</v>
      </c>
      <c r="O105" s="4">
        <v>1732104411</v>
      </c>
      <c r="Q105" s="4">
        <v>145736518</v>
      </c>
    </row>
    <row r="106" spans="1:17" ht="18.75" x14ac:dyDescent="0.45">
      <c r="A106" s="12" t="s">
        <v>113</v>
      </c>
      <c r="C106" s="4">
        <v>1875000</v>
      </c>
      <c r="E106" s="4">
        <v>6295953150</v>
      </c>
      <c r="G106" s="4">
        <v>6018351469</v>
      </c>
      <c r="I106" s="4">
        <v>277601681</v>
      </c>
      <c r="K106" s="4">
        <v>1875000</v>
      </c>
      <c r="M106" s="4">
        <v>6295953150</v>
      </c>
      <c r="O106" s="4">
        <v>5911612875</v>
      </c>
      <c r="Q106" s="4">
        <v>384340275</v>
      </c>
    </row>
    <row r="107" spans="1:17" ht="18.75" x14ac:dyDescent="0.45">
      <c r="A107" s="12" t="s">
        <v>114</v>
      </c>
      <c r="C107" s="4">
        <v>23792</v>
      </c>
      <c r="E107" s="4">
        <v>1512098026</v>
      </c>
      <c r="G107" s="4">
        <v>1265552380</v>
      </c>
      <c r="I107" s="4">
        <v>246545646</v>
      </c>
      <c r="K107" s="4">
        <v>23792</v>
      </c>
      <c r="M107" s="4">
        <v>1512098026</v>
      </c>
      <c r="O107" s="4">
        <v>1265552380</v>
      </c>
      <c r="Q107" s="4">
        <v>246545646</v>
      </c>
    </row>
    <row r="108" spans="1:17" ht="18.75" x14ac:dyDescent="0.45">
      <c r="A108" s="12" t="s">
        <v>115</v>
      </c>
      <c r="C108" s="4">
        <v>943421</v>
      </c>
      <c r="E108" s="4">
        <v>15024860109</v>
      </c>
      <c r="G108" s="4">
        <v>14348456969</v>
      </c>
      <c r="I108" s="4">
        <v>676403140</v>
      </c>
      <c r="K108" s="4">
        <v>943421</v>
      </c>
      <c r="M108" s="4">
        <v>15024860109</v>
      </c>
      <c r="O108" s="4">
        <v>12470037471</v>
      </c>
      <c r="Q108" s="4">
        <v>2554822638</v>
      </c>
    </row>
    <row r="109" spans="1:17" ht="18.75" x14ac:dyDescent="0.45">
      <c r="A109" s="12" t="s">
        <v>116</v>
      </c>
      <c r="C109" s="4">
        <v>3733986</v>
      </c>
      <c r="E109" s="4">
        <v>18673816333</v>
      </c>
      <c r="G109" s="4">
        <v>17690290021</v>
      </c>
      <c r="I109" s="4">
        <v>983526312</v>
      </c>
      <c r="K109" s="4">
        <v>3733986</v>
      </c>
      <c r="M109" s="4">
        <v>18673816333</v>
      </c>
      <c r="O109" s="4">
        <v>14066948730</v>
      </c>
      <c r="Q109" s="4">
        <v>4606867603</v>
      </c>
    </row>
    <row r="110" spans="1:17" ht="18.75" x14ac:dyDescent="0.45">
      <c r="A110" s="12" t="s">
        <v>117</v>
      </c>
      <c r="C110" s="4">
        <v>6358320</v>
      </c>
      <c r="E110" s="4">
        <v>22214588226</v>
      </c>
      <c r="G110" s="4">
        <v>17783044774</v>
      </c>
      <c r="I110" s="4">
        <v>4431543452</v>
      </c>
      <c r="K110" s="4">
        <v>6358320</v>
      </c>
      <c r="M110" s="4">
        <v>22214588226</v>
      </c>
      <c r="O110" s="4">
        <v>28214658414</v>
      </c>
      <c r="Q110" s="4">
        <v>-6000070188</v>
      </c>
    </row>
    <row r="111" spans="1:17" ht="18.75" x14ac:dyDescent="0.45">
      <c r="A111" s="12" t="s">
        <v>118</v>
      </c>
      <c r="C111" s="4">
        <v>5575855</v>
      </c>
      <c r="E111" s="4">
        <v>36792811712</v>
      </c>
      <c r="G111" s="4">
        <v>42686764990</v>
      </c>
      <c r="I111" s="4">
        <v>-5893953278</v>
      </c>
      <c r="K111" s="4">
        <v>5575855</v>
      </c>
      <c r="M111" s="4">
        <v>36792811712</v>
      </c>
      <c r="O111" s="4">
        <v>42014866351</v>
      </c>
      <c r="Q111" s="4">
        <v>-5222054639</v>
      </c>
    </row>
    <row r="112" spans="1:17" ht="18.75" x14ac:dyDescent="0.45">
      <c r="A112" s="12" t="s">
        <v>119</v>
      </c>
      <c r="C112" s="4">
        <v>6157463</v>
      </c>
      <c r="E112" s="4">
        <v>19630998851</v>
      </c>
      <c r="G112" s="4">
        <v>17417851665</v>
      </c>
      <c r="I112" s="4">
        <v>2213147186</v>
      </c>
      <c r="K112" s="4">
        <v>6157463</v>
      </c>
      <c r="M112" s="4">
        <v>19630998851</v>
      </c>
      <c r="O112" s="4">
        <v>12101239129</v>
      </c>
      <c r="Q112" s="4">
        <v>7529759722</v>
      </c>
    </row>
    <row r="113" spans="1:17" ht="18.75" x14ac:dyDescent="0.45">
      <c r="A113" s="12" t="s">
        <v>120</v>
      </c>
      <c r="C113" s="4">
        <v>10131711</v>
      </c>
      <c r="E113" s="4">
        <v>23122803610</v>
      </c>
      <c r="G113" s="4">
        <v>25108068308</v>
      </c>
      <c r="I113" s="4">
        <v>-1985264698</v>
      </c>
      <c r="K113" s="4">
        <v>10131711</v>
      </c>
      <c r="M113" s="4">
        <v>23122803610</v>
      </c>
      <c r="O113" s="4">
        <v>19444762475</v>
      </c>
      <c r="Q113" s="4">
        <v>3678041135</v>
      </c>
    </row>
    <row r="114" spans="1:17" ht="18.75" x14ac:dyDescent="0.45">
      <c r="A114" s="12" t="s">
        <v>121</v>
      </c>
      <c r="C114" s="4">
        <v>5865914</v>
      </c>
      <c r="E114" s="4">
        <v>13864598895</v>
      </c>
      <c r="G114" s="4">
        <v>11721246890</v>
      </c>
      <c r="I114" s="4">
        <v>2143352005</v>
      </c>
      <c r="K114" s="4">
        <v>5865914</v>
      </c>
      <c r="M114" s="4">
        <v>13864598895</v>
      </c>
      <c r="O114" s="4">
        <v>21662208880</v>
      </c>
      <c r="Q114" s="4">
        <v>-7797609985</v>
      </c>
    </row>
    <row r="115" spans="1:17" ht="18.75" x14ac:dyDescent="0.45">
      <c r="A115" s="12" t="s">
        <v>122</v>
      </c>
      <c r="C115" s="4">
        <v>9180289</v>
      </c>
      <c r="E115" s="4">
        <v>26070889198</v>
      </c>
      <c r="G115" s="4">
        <v>26637819873</v>
      </c>
      <c r="I115" s="4">
        <v>-566930675</v>
      </c>
      <c r="K115" s="4">
        <v>9180289</v>
      </c>
      <c r="M115" s="4">
        <v>26070889198</v>
      </c>
      <c r="O115" s="4">
        <v>26190987651</v>
      </c>
      <c r="Q115" s="4">
        <v>-120098453</v>
      </c>
    </row>
    <row r="116" spans="1:17" ht="18.75" x14ac:dyDescent="0.45">
      <c r="A116" s="12" t="s">
        <v>123</v>
      </c>
      <c r="C116" s="4">
        <v>6451889</v>
      </c>
      <c r="E116" s="4">
        <v>24935851923</v>
      </c>
      <c r="G116" s="4">
        <v>24659049875</v>
      </c>
      <c r="I116" s="4">
        <v>276802048</v>
      </c>
      <c r="K116" s="4">
        <v>6451889</v>
      </c>
      <c r="M116" s="4">
        <v>24935851923</v>
      </c>
      <c r="O116" s="4">
        <v>23210973576</v>
      </c>
      <c r="Q116" s="4">
        <v>1724878347</v>
      </c>
    </row>
    <row r="117" spans="1:17" ht="18.75" x14ac:dyDescent="0.45">
      <c r="A117" s="12" t="s">
        <v>124</v>
      </c>
      <c r="C117" s="4">
        <v>1243266</v>
      </c>
      <c r="E117" s="4">
        <v>20120922083</v>
      </c>
      <c r="G117" s="4">
        <v>21763645470</v>
      </c>
      <c r="I117" s="4">
        <v>-1642723387</v>
      </c>
      <c r="K117" s="4">
        <v>1243266</v>
      </c>
      <c r="M117" s="4">
        <v>20120922083</v>
      </c>
      <c r="O117" s="4">
        <v>18248081922</v>
      </c>
      <c r="Q117" s="4">
        <v>1872840161</v>
      </c>
    </row>
    <row r="118" spans="1:17" ht="18.75" x14ac:dyDescent="0.45">
      <c r="A118" s="12" t="s">
        <v>125</v>
      </c>
      <c r="C118" s="4">
        <v>6863427</v>
      </c>
      <c r="E118" s="4">
        <v>24851050016</v>
      </c>
      <c r="G118" s="4">
        <v>25278287200</v>
      </c>
      <c r="I118" s="4">
        <v>-427237184</v>
      </c>
      <c r="K118" s="4">
        <v>6863427</v>
      </c>
      <c r="M118" s="4">
        <v>24851050016</v>
      </c>
      <c r="O118" s="4">
        <v>20943339437</v>
      </c>
      <c r="Q118" s="4">
        <v>3907710579</v>
      </c>
    </row>
    <row r="119" spans="1:17" ht="18.75" x14ac:dyDescent="0.45">
      <c r="A119" s="12" t="s">
        <v>126</v>
      </c>
      <c r="C119" s="4">
        <v>2589045</v>
      </c>
      <c r="E119" s="4">
        <v>10276126729</v>
      </c>
      <c r="G119" s="4">
        <v>11249513494</v>
      </c>
      <c r="I119" s="4">
        <v>-973386765</v>
      </c>
      <c r="K119" s="4">
        <v>2589045</v>
      </c>
      <c r="M119" s="4">
        <v>10276126729</v>
      </c>
      <c r="O119" s="4">
        <v>8523271213</v>
      </c>
      <c r="Q119" s="4">
        <v>1752855516</v>
      </c>
    </row>
    <row r="120" spans="1:17" ht="18.75" x14ac:dyDescent="0.45">
      <c r="A120" s="12" t="s">
        <v>127</v>
      </c>
      <c r="C120" s="4">
        <v>1716133</v>
      </c>
      <c r="E120" s="4">
        <v>24197744218</v>
      </c>
      <c r="G120" s="4">
        <v>27235271118</v>
      </c>
      <c r="I120" s="4">
        <v>-3037526900</v>
      </c>
      <c r="K120" s="4">
        <v>1716133</v>
      </c>
      <c r="M120" s="4">
        <v>24197744218</v>
      </c>
      <c r="O120" s="4">
        <v>21801577135</v>
      </c>
      <c r="Q120" s="4">
        <v>2396167083</v>
      </c>
    </row>
    <row r="121" spans="1:17" ht="37.5" x14ac:dyDescent="0.45">
      <c r="A121" s="12" t="s">
        <v>128</v>
      </c>
      <c r="C121" s="4">
        <v>316099</v>
      </c>
      <c r="E121" s="4">
        <v>2590794882</v>
      </c>
      <c r="G121" s="4">
        <v>2548309691</v>
      </c>
      <c r="I121" s="4">
        <v>42485191</v>
      </c>
      <c r="K121" s="4">
        <v>316099</v>
      </c>
      <c r="M121" s="4">
        <v>2590794882</v>
      </c>
      <c r="O121" s="4">
        <v>2474138629</v>
      </c>
      <c r="Q121" s="4">
        <v>116656253</v>
      </c>
    </row>
    <row r="122" spans="1:17" ht="37.5" x14ac:dyDescent="0.45">
      <c r="A122" s="12" t="s">
        <v>129</v>
      </c>
      <c r="C122" s="4">
        <v>582860</v>
      </c>
      <c r="E122" s="4">
        <v>15245424414</v>
      </c>
      <c r="G122" s="4">
        <v>14647029330</v>
      </c>
      <c r="I122" s="4">
        <v>598395084</v>
      </c>
      <c r="K122" s="4">
        <v>582860</v>
      </c>
      <c r="M122" s="4">
        <v>15245424414</v>
      </c>
      <c r="O122" s="4">
        <v>12577058146</v>
      </c>
      <c r="Q122" s="4">
        <v>2668366268</v>
      </c>
    </row>
    <row r="123" spans="1:17" ht="18.75" x14ac:dyDescent="0.45">
      <c r="A123" s="12" t="s">
        <v>130</v>
      </c>
      <c r="C123" s="4">
        <v>2367900</v>
      </c>
      <c r="E123" s="4">
        <v>12429363544</v>
      </c>
      <c r="G123" s="4">
        <v>12211610553</v>
      </c>
      <c r="I123" s="4">
        <v>217752991</v>
      </c>
      <c r="K123" s="4">
        <v>2367900</v>
      </c>
      <c r="M123" s="4">
        <v>12429363544</v>
      </c>
      <c r="O123" s="4">
        <v>10511126850</v>
      </c>
      <c r="Q123" s="4">
        <v>1918236694</v>
      </c>
    </row>
    <row r="124" spans="1:17" ht="18.75" x14ac:dyDescent="0.45">
      <c r="A124" s="12" t="s">
        <v>131</v>
      </c>
      <c r="C124" s="4">
        <v>4182068</v>
      </c>
      <c r="E124" s="4">
        <v>14656883850</v>
      </c>
      <c r="G124" s="4">
        <v>15803082636</v>
      </c>
      <c r="I124" s="4">
        <v>-1146198786</v>
      </c>
      <c r="K124" s="4">
        <v>4182068</v>
      </c>
      <c r="M124" s="4">
        <v>14656883850</v>
      </c>
      <c r="O124" s="4">
        <v>13912634555</v>
      </c>
      <c r="Q124" s="4">
        <v>744249295</v>
      </c>
    </row>
    <row r="125" spans="1:17" ht="18.75" x14ac:dyDescent="0.45">
      <c r="A125" s="12" t="s">
        <v>132</v>
      </c>
      <c r="C125" s="4">
        <v>8858150</v>
      </c>
      <c r="E125" s="4">
        <v>13536101811</v>
      </c>
      <c r="G125" s="4">
        <v>12627906765</v>
      </c>
      <c r="I125" s="4">
        <v>908195046</v>
      </c>
      <c r="K125" s="4">
        <v>8858150</v>
      </c>
      <c r="M125" s="4">
        <v>13536101811</v>
      </c>
      <c r="O125" s="4">
        <v>11344964033</v>
      </c>
      <c r="Q125" s="4">
        <v>2191137778</v>
      </c>
    </row>
    <row r="126" spans="1:17" ht="18.75" x14ac:dyDescent="0.45">
      <c r="A126" s="12" t="s">
        <v>133</v>
      </c>
      <c r="C126" s="4">
        <v>3000000</v>
      </c>
      <c r="E126" s="4">
        <v>11416066350</v>
      </c>
      <c r="G126" s="4">
        <v>10297363950</v>
      </c>
      <c r="I126" s="4">
        <v>1118702400</v>
      </c>
      <c r="K126" s="4">
        <v>3000000</v>
      </c>
      <c r="M126" s="4">
        <v>11416066350</v>
      </c>
      <c r="O126" s="4">
        <v>7822145005</v>
      </c>
      <c r="Q126" s="4">
        <v>3593921345</v>
      </c>
    </row>
    <row r="127" spans="1:17" ht="18.75" x14ac:dyDescent="0.45">
      <c r="A127" s="12" t="s">
        <v>134</v>
      </c>
      <c r="C127" s="4">
        <v>4441456</v>
      </c>
      <c r="E127" s="4">
        <v>13529869284</v>
      </c>
      <c r="G127" s="4">
        <v>13010288570</v>
      </c>
      <c r="I127" s="4">
        <v>519580714</v>
      </c>
      <c r="K127" s="4">
        <v>4441456</v>
      </c>
      <c r="M127" s="4">
        <v>13529869284</v>
      </c>
      <c r="O127" s="4">
        <v>11625693660</v>
      </c>
      <c r="Q127" s="4">
        <v>1904175624</v>
      </c>
    </row>
    <row r="128" spans="1:17" ht="18.75" x14ac:dyDescent="0.45">
      <c r="A128" s="12" t="s">
        <v>135</v>
      </c>
      <c r="C128" s="4">
        <v>5196510</v>
      </c>
      <c r="E128" s="4">
        <v>21605068697</v>
      </c>
      <c r="G128" s="4">
        <v>26917721844</v>
      </c>
      <c r="I128" s="4">
        <v>-5312653147</v>
      </c>
      <c r="K128" s="4">
        <v>5196510</v>
      </c>
      <c r="M128" s="4">
        <v>21605068697</v>
      </c>
      <c r="O128" s="4">
        <v>15165695990</v>
      </c>
      <c r="Q128" s="4">
        <v>6439372707</v>
      </c>
    </row>
    <row r="129" spans="1:17" ht="18.75" x14ac:dyDescent="0.45">
      <c r="A129" s="12" t="s">
        <v>136</v>
      </c>
      <c r="C129" s="4">
        <v>15412467</v>
      </c>
      <c r="E129" s="4">
        <v>17832021183</v>
      </c>
      <c r="G129" s="4">
        <v>18288029164</v>
      </c>
      <c r="I129" s="4">
        <v>-456007981</v>
      </c>
      <c r="K129" s="4">
        <v>15412467</v>
      </c>
      <c r="M129" s="4">
        <v>17832021183</v>
      </c>
      <c r="O129" s="4">
        <v>15455930566</v>
      </c>
      <c r="Q129" s="4">
        <v>2376090617</v>
      </c>
    </row>
    <row r="130" spans="1:17" ht="18.75" x14ac:dyDescent="0.45">
      <c r="A130" s="12" t="s">
        <v>137</v>
      </c>
      <c r="C130" s="4">
        <v>1447708</v>
      </c>
      <c r="E130" s="4">
        <v>9581569838</v>
      </c>
      <c r="G130" s="4">
        <v>9613148838</v>
      </c>
      <c r="I130" s="4">
        <v>-31579000</v>
      </c>
      <c r="K130" s="4">
        <v>1447708</v>
      </c>
      <c r="M130" s="4">
        <v>9581569838</v>
      </c>
      <c r="O130" s="4">
        <v>7589659743</v>
      </c>
      <c r="Q130" s="4">
        <v>1991910095</v>
      </c>
    </row>
    <row r="131" spans="1:17" ht="18.75" x14ac:dyDescent="0.45">
      <c r="A131" s="12" t="s">
        <v>138</v>
      </c>
      <c r="C131" s="4">
        <v>1375942</v>
      </c>
      <c r="E131" s="4">
        <v>10540162076</v>
      </c>
      <c r="G131" s="4">
        <v>11516498322</v>
      </c>
      <c r="I131" s="4">
        <v>-976336246</v>
      </c>
      <c r="K131" s="4">
        <v>1375942</v>
      </c>
      <c r="M131" s="4">
        <v>10540162076</v>
      </c>
      <c r="O131" s="4">
        <v>10930235967</v>
      </c>
      <c r="Q131" s="4">
        <v>-390073891</v>
      </c>
    </row>
    <row r="132" spans="1:17" ht="18.75" x14ac:dyDescent="0.45">
      <c r="A132" s="12" t="s">
        <v>139</v>
      </c>
      <c r="C132" s="4">
        <v>4342474</v>
      </c>
      <c r="E132" s="4">
        <v>23181917917</v>
      </c>
      <c r="G132" s="4">
        <v>24270298930</v>
      </c>
      <c r="I132" s="4">
        <v>-1088381013</v>
      </c>
      <c r="K132" s="4">
        <v>4342474</v>
      </c>
      <c r="M132" s="4">
        <v>23181917917</v>
      </c>
      <c r="O132" s="4">
        <v>22962913506</v>
      </c>
      <c r="Q132" s="4">
        <v>219004411</v>
      </c>
    </row>
    <row r="133" spans="1:17" ht="18.75" x14ac:dyDescent="0.45">
      <c r="A133" s="12" t="s">
        <v>140</v>
      </c>
      <c r="C133" s="4">
        <v>241083</v>
      </c>
      <c r="E133" s="4">
        <v>2329997233</v>
      </c>
      <c r="G133" s="4">
        <v>2166422948</v>
      </c>
      <c r="I133" s="4">
        <v>163574285</v>
      </c>
      <c r="K133" s="4">
        <v>241083</v>
      </c>
      <c r="M133" s="4">
        <v>2329997233</v>
      </c>
      <c r="O133" s="4">
        <v>1966102194</v>
      </c>
      <c r="Q133" s="4">
        <v>363895039</v>
      </c>
    </row>
    <row r="134" spans="1:17" ht="18.75" x14ac:dyDescent="0.45">
      <c r="A134" s="12" t="s">
        <v>141</v>
      </c>
      <c r="C134" s="4">
        <v>4912237</v>
      </c>
      <c r="E134" s="4">
        <v>17113545847</v>
      </c>
      <c r="G134" s="4">
        <v>17783919469</v>
      </c>
      <c r="I134" s="4">
        <v>-670373622</v>
      </c>
      <c r="K134" s="4">
        <v>4912237</v>
      </c>
      <c r="M134" s="4">
        <v>17113545847</v>
      </c>
      <c r="O134" s="4">
        <v>15435382580</v>
      </c>
      <c r="Q134" s="4">
        <v>1678163267</v>
      </c>
    </row>
    <row r="135" spans="1:17" ht="18.75" x14ac:dyDescent="0.45">
      <c r="A135" s="12" t="s">
        <v>142</v>
      </c>
      <c r="C135" s="4">
        <v>9197090</v>
      </c>
      <c r="E135" s="4">
        <v>18124229038</v>
      </c>
      <c r="G135" s="4">
        <v>17772762059</v>
      </c>
      <c r="I135" s="4">
        <v>351466979</v>
      </c>
      <c r="K135" s="4">
        <v>9197090</v>
      </c>
      <c r="M135" s="4">
        <v>18124229038</v>
      </c>
      <c r="O135" s="4">
        <v>13119139315</v>
      </c>
      <c r="Q135" s="4">
        <v>5005089723</v>
      </c>
    </row>
    <row r="136" spans="1:17" ht="18.75" x14ac:dyDescent="0.45">
      <c r="A136" s="12" t="s">
        <v>143</v>
      </c>
      <c r="C136" s="4">
        <v>12665640</v>
      </c>
      <c r="E136" s="4">
        <v>44125316190</v>
      </c>
      <c r="G136" s="4">
        <v>48050869368</v>
      </c>
      <c r="I136" s="4">
        <v>-3925553178</v>
      </c>
      <c r="K136" s="4">
        <v>12665640</v>
      </c>
      <c r="M136" s="4">
        <v>44125316190</v>
      </c>
      <c r="O136" s="4">
        <v>52792157663</v>
      </c>
      <c r="Q136" s="4">
        <v>-8666841473</v>
      </c>
    </row>
    <row r="137" spans="1:17" ht="18.75" x14ac:dyDescent="0.45">
      <c r="A137" s="12" t="s">
        <v>144</v>
      </c>
      <c r="C137" s="4">
        <v>15084042</v>
      </c>
      <c r="E137" s="4">
        <v>20520363469</v>
      </c>
      <c r="G137" s="4">
        <v>24260764375</v>
      </c>
      <c r="I137" s="4">
        <v>-3740400906</v>
      </c>
      <c r="K137" s="4">
        <v>15084042</v>
      </c>
      <c r="M137" s="4">
        <v>20520363469</v>
      </c>
      <c r="O137" s="4">
        <v>19106127464</v>
      </c>
      <c r="Q137" s="4">
        <v>1414236005</v>
      </c>
    </row>
    <row r="138" spans="1:17" ht="18.75" x14ac:dyDescent="0.45">
      <c r="A138" s="12" t="s">
        <v>145</v>
      </c>
      <c r="C138" s="4">
        <v>862852</v>
      </c>
      <c r="E138" s="4">
        <v>10787895141</v>
      </c>
      <c r="G138" s="4">
        <v>9426321156</v>
      </c>
      <c r="I138" s="4">
        <v>1361573985</v>
      </c>
      <c r="K138" s="4">
        <v>862852</v>
      </c>
      <c r="M138" s="4">
        <v>10787895141</v>
      </c>
      <c r="O138" s="4">
        <v>7777212626</v>
      </c>
      <c r="Q138" s="4">
        <v>3010682515</v>
      </c>
    </row>
    <row r="139" spans="1:17" ht="18.75" x14ac:dyDescent="0.45">
      <c r="A139" s="12" t="s">
        <v>146</v>
      </c>
      <c r="C139" s="4">
        <v>4684284</v>
      </c>
      <c r="E139" s="4">
        <v>33326694055</v>
      </c>
      <c r="G139" s="4">
        <v>28498158774</v>
      </c>
      <c r="I139" s="4">
        <v>4828535281</v>
      </c>
      <c r="K139" s="4">
        <v>4684284</v>
      </c>
      <c r="M139" s="4">
        <v>33326694055</v>
      </c>
      <c r="O139" s="4">
        <v>27586671383</v>
      </c>
      <c r="Q139" s="4">
        <v>5740022672</v>
      </c>
    </row>
    <row r="140" spans="1:17" ht="18.75" x14ac:dyDescent="0.45">
      <c r="A140" s="12" t="s">
        <v>147</v>
      </c>
      <c r="C140" s="4">
        <v>1644914</v>
      </c>
      <c r="E140" s="4">
        <v>19031438180</v>
      </c>
      <c r="G140" s="4">
        <v>17794535803</v>
      </c>
      <c r="I140" s="4">
        <v>1236902377</v>
      </c>
      <c r="K140" s="4">
        <v>1644914</v>
      </c>
      <c r="M140" s="4">
        <v>19031438180</v>
      </c>
      <c r="O140" s="4">
        <v>18289147382</v>
      </c>
      <c r="Q140" s="4">
        <v>742290798</v>
      </c>
    </row>
    <row r="141" spans="1:17" ht="18.75" x14ac:dyDescent="0.45">
      <c r="A141" s="12" t="s">
        <v>148</v>
      </c>
      <c r="C141" s="4">
        <v>3100000</v>
      </c>
      <c r="E141" s="4">
        <v>21809102330</v>
      </c>
      <c r="G141" s="4">
        <v>21373092828</v>
      </c>
      <c r="I141" s="4">
        <v>436009502</v>
      </c>
      <c r="K141" s="4">
        <v>3100000</v>
      </c>
      <c r="M141" s="4">
        <v>21809102330</v>
      </c>
      <c r="O141" s="4">
        <v>27745458691</v>
      </c>
      <c r="Q141" s="4">
        <v>-5936356361</v>
      </c>
    </row>
    <row r="142" spans="1:17" ht="37.5" x14ac:dyDescent="0.45">
      <c r="A142" s="12" t="s">
        <v>149</v>
      </c>
      <c r="C142" s="4">
        <v>1400000</v>
      </c>
      <c r="E142" s="4">
        <v>14794745700</v>
      </c>
      <c r="G142" s="4">
        <v>11968362000</v>
      </c>
      <c r="I142" s="4">
        <v>2826383700</v>
      </c>
      <c r="K142" s="4">
        <v>1400000</v>
      </c>
      <c r="M142" s="4">
        <v>14794745700</v>
      </c>
      <c r="O142" s="4">
        <v>12092170716</v>
      </c>
      <c r="Q142" s="4">
        <v>2702574984</v>
      </c>
    </row>
    <row r="143" spans="1:17" ht="18.75" x14ac:dyDescent="0.45">
      <c r="A143" s="12" t="s">
        <v>150</v>
      </c>
      <c r="C143" s="4">
        <v>2400000</v>
      </c>
      <c r="E143" s="4">
        <v>14407760400</v>
      </c>
      <c r="G143" s="4">
        <v>11883258208</v>
      </c>
      <c r="I143" s="4">
        <v>2524502192</v>
      </c>
      <c r="K143" s="4">
        <v>2400000</v>
      </c>
      <c r="M143" s="4">
        <v>14407760400</v>
      </c>
      <c r="O143" s="4">
        <v>11849949912</v>
      </c>
      <c r="Q143" s="4">
        <v>2557810488</v>
      </c>
    </row>
    <row r="144" spans="1:17" ht="18.75" x14ac:dyDescent="0.45">
      <c r="A144" s="12" t="s">
        <v>151</v>
      </c>
      <c r="C144" s="4">
        <v>4758999</v>
      </c>
      <c r="E144" s="4">
        <v>22095229657</v>
      </c>
      <c r="G144" s="4">
        <v>22717586305</v>
      </c>
      <c r="I144" s="4">
        <v>-622356648</v>
      </c>
      <c r="K144" s="4">
        <v>4758999</v>
      </c>
      <c r="M144" s="4">
        <v>22095229657</v>
      </c>
      <c r="O144" s="4">
        <v>16682863679</v>
      </c>
      <c r="Q144" s="4">
        <v>5412365978</v>
      </c>
    </row>
    <row r="145" spans="1:17" ht="18.75" x14ac:dyDescent="0.45">
      <c r="A145" s="12" t="s">
        <v>152</v>
      </c>
      <c r="C145" s="4">
        <v>5341672</v>
      </c>
      <c r="E145" s="4">
        <v>24519561930</v>
      </c>
      <c r="G145" s="4">
        <v>20972400486</v>
      </c>
      <c r="I145" s="4">
        <v>3547161444</v>
      </c>
      <c r="K145" s="4">
        <v>5341672</v>
      </c>
      <c r="M145" s="4">
        <v>24519561930</v>
      </c>
      <c r="O145" s="4">
        <v>13825623678</v>
      </c>
      <c r="Q145" s="4">
        <v>10693938252</v>
      </c>
    </row>
    <row r="146" spans="1:17" ht="18.75" x14ac:dyDescent="0.45">
      <c r="A146" s="12" t="s">
        <v>153</v>
      </c>
      <c r="C146" s="4">
        <v>13104132</v>
      </c>
      <c r="E146" s="4">
        <v>19764312331</v>
      </c>
      <c r="G146" s="4">
        <v>18874909339</v>
      </c>
      <c r="I146" s="4">
        <v>889402992</v>
      </c>
      <c r="K146" s="4">
        <v>13104132</v>
      </c>
      <c r="M146" s="4">
        <v>19764312331</v>
      </c>
      <c r="O146" s="4">
        <v>18159717549</v>
      </c>
      <c r="Q146" s="4">
        <v>1604594782</v>
      </c>
    </row>
    <row r="147" spans="1:17" ht="18.75" x14ac:dyDescent="0.45">
      <c r="A147" s="12" t="s">
        <v>154</v>
      </c>
      <c r="C147" s="4">
        <v>2851893</v>
      </c>
      <c r="E147" s="4">
        <v>16328222193</v>
      </c>
      <c r="G147" s="4">
        <v>15847226483</v>
      </c>
      <c r="I147" s="4">
        <v>480995710</v>
      </c>
      <c r="K147" s="4">
        <v>2851893</v>
      </c>
      <c r="M147" s="4">
        <v>16328222193</v>
      </c>
      <c r="O147" s="4">
        <v>17234991291</v>
      </c>
      <c r="Q147" s="4">
        <v>-906769098</v>
      </c>
    </row>
    <row r="148" spans="1:17" ht="18.75" x14ac:dyDescent="0.45">
      <c r="A148" s="12" t="s">
        <v>155</v>
      </c>
      <c r="C148" s="4">
        <v>4067933</v>
      </c>
      <c r="E148" s="4">
        <v>26116076570</v>
      </c>
      <c r="G148" s="4">
        <v>26916364338</v>
      </c>
      <c r="I148" s="4">
        <v>-800287768</v>
      </c>
      <c r="K148" s="4">
        <v>4067933</v>
      </c>
      <c r="M148" s="4">
        <v>26116076570</v>
      </c>
      <c r="O148" s="4">
        <v>22565676394</v>
      </c>
      <c r="Q148" s="4">
        <v>3550400176</v>
      </c>
    </row>
    <row r="149" spans="1:17" ht="18.75" x14ac:dyDescent="0.45">
      <c r="A149" s="12" t="s">
        <v>156</v>
      </c>
      <c r="C149" s="4">
        <v>6019421</v>
      </c>
      <c r="E149" s="4">
        <v>21436705353</v>
      </c>
      <c r="G149" s="4">
        <v>26260273938</v>
      </c>
      <c r="I149" s="4">
        <v>-4823568585</v>
      </c>
      <c r="K149" s="4">
        <v>6019421</v>
      </c>
      <c r="M149" s="4">
        <v>21436705353</v>
      </c>
      <c r="O149" s="4">
        <v>20655405996</v>
      </c>
      <c r="Q149" s="4">
        <v>781299357</v>
      </c>
    </row>
    <row r="150" spans="1:17" ht="37.5" x14ac:dyDescent="0.45">
      <c r="A150" s="12" t="s">
        <v>157</v>
      </c>
      <c r="C150" s="4">
        <v>700000</v>
      </c>
      <c r="E150" s="4">
        <v>11669095200</v>
      </c>
      <c r="G150" s="4">
        <v>11195985150</v>
      </c>
      <c r="I150" s="4">
        <v>473110050</v>
      </c>
      <c r="K150" s="4">
        <v>700000</v>
      </c>
      <c r="M150" s="4">
        <v>11669095200</v>
      </c>
      <c r="O150" s="4">
        <v>9581647950</v>
      </c>
      <c r="Q150" s="4">
        <v>2087447250</v>
      </c>
    </row>
    <row r="151" spans="1:17" ht="18.75" x14ac:dyDescent="0.45">
      <c r="A151" s="12" t="s">
        <v>158</v>
      </c>
      <c r="C151" s="4">
        <v>9226316</v>
      </c>
      <c r="E151" s="4">
        <v>32820662730</v>
      </c>
      <c r="G151" s="4">
        <v>35255608522</v>
      </c>
      <c r="I151" s="4">
        <v>-2434945792</v>
      </c>
      <c r="K151" s="4">
        <v>9226316</v>
      </c>
      <c r="M151" s="4">
        <v>32820662730</v>
      </c>
      <c r="O151" s="4">
        <v>38548450718</v>
      </c>
      <c r="Q151" s="4">
        <v>-5727787988</v>
      </c>
    </row>
    <row r="152" spans="1:17" ht="18.75" x14ac:dyDescent="0.45">
      <c r="A152" s="12" t="s">
        <v>159</v>
      </c>
      <c r="C152" s="4">
        <v>1493618</v>
      </c>
      <c r="E152" s="4">
        <v>12923670743</v>
      </c>
      <c r="G152" s="4">
        <v>12830634244</v>
      </c>
      <c r="I152" s="4">
        <v>93036499</v>
      </c>
      <c r="K152" s="4">
        <v>1493618</v>
      </c>
      <c r="M152" s="4">
        <v>12923670743</v>
      </c>
      <c r="O152" s="4">
        <v>10458639555</v>
      </c>
      <c r="Q152" s="4">
        <v>2465031188</v>
      </c>
    </row>
    <row r="153" spans="1:17" ht="18.75" x14ac:dyDescent="0.45">
      <c r="A153" s="12" t="s">
        <v>160</v>
      </c>
      <c r="C153" s="4">
        <v>1981269</v>
      </c>
      <c r="E153" s="4">
        <v>10537512318</v>
      </c>
      <c r="G153" s="4">
        <v>8011846468</v>
      </c>
      <c r="I153" s="4">
        <v>2525665850</v>
      </c>
      <c r="K153" s="4">
        <v>1981269</v>
      </c>
      <c r="M153" s="4">
        <v>10537512318</v>
      </c>
      <c r="O153" s="4">
        <v>6248771988</v>
      </c>
      <c r="Q153" s="4">
        <v>4288740330</v>
      </c>
    </row>
    <row r="154" spans="1:17" ht="18.75" x14ac:dyDescent="0.45">
      <c r="A154" s="12" t="s">
        <v>161</v>
      </c>
      <c r="C154" s="4">
        <v>1709001</v>
      </c>
      <c r="E154" s="4">
        <v>25453814238</v>
      </c>
      <c r="G154" s="4">
        <v>21418356507</v>
      </c>
      <c r="I154" s="4">
        <v>4035457731</v>
      </c>
      <c r="K154" s="4">
        <v>1709001</v>
      </c>
      <c r="M154" s="4">
        <v>25453814238</v>
      </c>
      <c r="O154" s="4">
        <v>15306480320</v>
      </c>
      <c r="Q154" s="4">
        <v>10147333918</v>
      </c>
    </row>
    <row r="155" spans="1:17" ht="18.75" x14ac:dyDescent="0.45">
      <c r="A155" s="12" t="s">
        <v>162</v>
      </c>
      <c r="C155" s="4">
        <v>999999</v>
      </c>
      <c r="E155" s="4">
        <v>4546576593</v>
      </c>
      <c r="G155" s="4">
        <v>5159114341</v>
      </c>
      <c r="I155" s="4">
        <v>-612537748</v>
      </c>
      <c r="K155" s="4">
        <v>999999</v>
      </c>
      <c r="M155" s="4">
        <v>4546576593</v>
      </c>
      <c r="O155" s="4">
        <v>3575594274</v>
      </c>
      <c r="Q155" s="4">
        <v>970982319</v>
      </c>
    </row>
    <row r="156" spans="1:17" ht="18.75" x14ac:dyDescent="0.45">
      <c r="A156" s="12" t="s">
        <v>163</v>
      </c>
      <c r="C156" s="4">
        <v>456086</v>
      </c>
      <c r="E156" s="4">
        <v>31000391183</v>
      </c>
      <c r="G156" s="4">
        <v>25206935882</v>
      </c>
      <c r="I156" s="4">
        <v>5793455301</v>
      </c>
      <c r="K156" s="4">
        <v>456086</v>
      </c>
      <c r="M156" s="4">
        <v>31000391183</v>
      </c>
      <c r="O156" s="4">
        <v>23355013073</v>
      </c>
      <c r="Q156" s="4">
        <v>7645378110</v>
      </c>
    </row>
    <row r="157" spans="1:17" ht="18.75" x14ac:dyDescent="0.45">
      <c r="A157" s="12" t="s">
        <v>164</v>
      </c>
      <c r="C157" s="4">
        <v>6232316</v>
      </c>
      <c r="E157" s="4">
        <v>18873995882</v>
      </c>
      <c r="G157" s="4">
        <v>20949578784</v>
      </c>
      <c r="I157" s="4">
        <v>-2075582902</v>
      </c>
      <c r="K157" s="4">
        <v>6232316</v>
      </c>
      <c r="M157" s="4">
        <v>18873995882</v>
      </c>
      <c r="O157" s="4">
        <v>19818552670</v>
      </c>
      <c r="Q157" s="4">
        <v>-944556788</v>
      </c>
    </row>
    <row r="158" spans="1:17" ht="18.75" x14ac:dyDescent="0.45">
      <c r="A158" s="12" t="s">
        <v>165</v>
      </c>
      <c r="C158" s="4">
        <v>8201572</v>
      </c>
      <c r="E158" s="4">
        <v>15137003358</v>
      </c>
      <c r="G158" s="4">
        <v>14691296309</v>
      </c>
      <c r="I158" s="4">
        <v>445707049</v>
      </c>
      <c r="K158" s="4">
        <v>8201572</v>
      </c>
      <c r="M158" s="4">
        <v>15137003358</v>
      </c>
      <c r="O158" s="4">
        <v>13042680222</v>
      </c>
      <c r="Q158" s="4">
        <v>2094323136</v>
      </c>
    </row>
    <row r="159" spans="1:17" ht="18.75" x14ac:dyDescent="0.45">
      <c r="A159" s="12" t="s">
        <v>166</v>
      </c>
      <c r="C159" s="4">
        <v>845414</v>
      </c>
      <c r="E159" s="4">
        <v>11383587349</v>
      </c>
      <c r="G159" s="4">
        <v>11412411823</v>
      </c>
      <c r="I159" s="4">
        <v>-28824474</v>
      </c>
      <c r="K159" s="4">
        <v>845414</v>
      </c>
      <c r="M159" s="4">
        <v>11383587349</v>
      </c>
      <c r="O159" s="4">
        <v>9972258712</v>
      </c>
      <c r="Q159" s="4">
        <v>1411328637</v>
      </c>
    </row>
    <row r="160" spans="1:17" ht="37.5" x14ac:dyDescent="0.45">
      <c r="A160" s="12" t="s">
        <v>167</v>
      </c>
      <c r="C160" s="4">
        <v>826021</v>
      </c>
      <c r="E160" s="4">
        <v>15925524715</v>
      </c>
      <c r="G160" s="4">
        <v>16372857130</v>
      </c>
      <c r="I160" s="4">
        <v>-447332415</v>
      </c>
      <c r="K160" s="4">
        <v>826021</v>
      </c>
      <c r="M160" s="4">
        <v>15925524715</v>
      </c>
      <c r="O160" s="4">
        <v>15540795166</v>
      </c>
      <c r="Q160" s="4">
        <v>384729549</v>
      </c>
    </row>
    <row r="161" spans="1:17" ht="18.75" x14ac:dyDescent="0.45">
      <c r="A161" s="12" t="s">
        <v>168</v>
      </c>
      <c r="C161" s="4">
        <v>500123</v>
      </c>
      <c r="E161" s="4">
        <v>19229960657</v>
      </c>
      <c r="G161" s="4">
        <v>16271630087</v>
      </c>
      <c r="I161" s="4">
        <v>2958330570</v>
      </c>
      <c r="K161" s="4">
        <v>500123</v>
      </c>
      <c r="M161" s="4">
        <v>19229960657</v>
      </c>
      <c r="O161" s="4">
        <v>16132605508</v>
      </c>
      <c r="Q161" s="4">
        <v>3097355149</v>
      </c>
    </row>
    <row r="162" spans="1:17" ht="18.75" x14ac:dyDescent="0.45">
      <c r="A162" s="12" t="s">
        <v>169</v>
      </c>
      <c r="C162" s="4">
        <v>5465017</v>
      </c>
      <c r="E162" s="4">
        <v>16805171725</v>
      </c>
      <c r="G162" s="4">
        <v>17394865477</v>
      </c>
      <c r="I162" s="4">
        <v>-589693752</v>
      </c>
      <c r="K162" s="4">
        <v>5465017</v>
      </c>
      <c r="M162" s="4">
        <v>16805171725</v>
      </c>
      <c r="O162" s="4">
        <v>15778895158</v>
      </c>
      <c r="Q162" s="4">
        <v>1026276567</v>
      </c>
    </row>
    <row r="163" spans="1:17" ht="18.75" x14ac:dyDescent="0.45">
      <c r="A163" s="12" t="s">
        <v>170</v>
      </c>
      <c r="C163" s="4">
        <v>1689766</v>
      </c>
      <c r="E163" s="4">
        <v>26978169111</v>
      </c>
      <c r="G163" s="4">
        <v>28861491336</v>
      </c>
      <c r="I163" s="4">
        <v>-1883322225</v>
      </c>
      <c r="K163" s="4">
        <v>1689766</v>
      </c>
      <c r="M163" s="4">
        <v>26978169111</v>
      </c>
      <c r="O163" s="4">
        <v>30038175112</v>
      </c>
      <c r="Q163" s="4">
        <v>-3060006001</v>
      </c>
    </row>
    <row r="164" spans="1:17" ht="18.75" x14ac:dyDescent="0.45">
      <c r="A164" s="12" t="s">
        <v>171</v>
      </c>
      <c r="C164" s="4">
        <v>3052977</v>
      </c>
      <c r="E164" s="4">
        <v>15852732394</v>
      </c>
      <c r="G164" s="4">
        <v>14870577756</v>
      </c>
      <c r="I164" s="4">
        <v>982154638</v>
      </c>
      <c r="K164" s="4">
        <v>3052977</v>
      </c>
      <c r="M164" s="4">
        <v>15852732394</v>
      </c>
      <c r="O164" s="4">
        <v>9377372255</v>
      </c>
      <c r="Q164" s="4">
        <v>6475360139</v>
      </c>
    </row>
    <row r="165" spans="1:17" ht="18.75" x14ac:dyDescent="0.45">
      <c r="A165" s="12" t="s">
        <v>172</v>
      </c>
      <c r="C165" s="4">
        <v>5265617</v>
      </c>
      <c r="E165" s="4">
        <v>21584118828</v>
      </c>
      <c r="G165" s="4">
        <v>21623612593</v>
      </c>
      <c r="I165" s="4">
        <v>-39493765</v>
      </c>
      <c r="K165" s="4">
        <v>5265617</v>
      </c>
      <c r="M165" s="4">
        <v>21584118828</v>
      </c>
      <c r="O165" s="4">
        <v>16236225789</v>
      </c>
      <c r="Q165" s="4">
        <v>5347893039</v>
      </c>
    </row>
    <row r="166" spans="1:17" ht="18.75" x14ac:dyDescent="0.45">
      <c r="A166" s="12" t="s">
        <v>173</v>
      </c>
      <c r="C166" s="4">
        <v>1534515</v>
      </c>
      <c r="E166" s="4">
        <v>26783469771</v>
      </c>
      <c r="G166" s="4">
        <v>24680723406</v>
      </c>
      <c r="I166" s="4">
        <v>2102746365</v>
      </c>
      <c r="K166" s="4">
        <v>1534515</v>
      </c>
      <c r="M166" s="4">
        <v>26783469771</v>
      </c>
      <c r="O166" s="4">
        <v>20828421657</v>
      </c>
      <c r="Q166" s="4">
        <v>5955048114</v>
      </c>
    </row>
    <row r="167" spans="1:17" ht="18.75" x14ac:dyDescent="0.45">
      <c r="A167" s="12" t="s">
        <v>174</v>
      </c>
      <c r="C167" s="4">
        <v>1035048</v>
      </c>
      <c r="E167" s="4">
        <v>21290685947</v>
      </c>
      <c r="G167" s="4">
        <v>24456702569</v>
      </c>
      <c r="I167" s="4">
        <v>-3166016622</v>
      </c>
      <c r="K167" s="4">
        <v>1035048</v>
      </c>
      <c r="M167" s="4">
        <v>21290685947</v>
      </c>
      <c r="O167" s="4">
        <v>19458637507</v>
      </c>
      <c r="Q167" s="4">
        <v>1832048440</v>
      </c>
    </row>
    <row r="168" spans="1:17" ht="18.75" x14ac:dyDescent="0.45">
      <c r="A168" s="12" t="s">
        <v>175</v>
      </c>
      <c r="C168" s="4">
        <v>2000000</v>
      </c>
      <c r="E168" s="4">
        <v>15221421800</v>
      </c>
      <c r="G168" s="4">
        <v>14055867000</v>
      </c>
      <c r="I168" s="4">
        <v>1165554800</v>
      </c>
      <c r="K168" s="4">
        <v>2000000</v>
      </c>
      <c r="M168" s="4">
        <v>15221421800</v>
      </c>
      <c r="O168" s="4">
        <v>11710857525</v>
      </c>
      <c r="Q168" s="4">
        <v>3510564275</v>
      </c>
    </row>
    <row r="169" spans="1:17" ht="18.75" x14ac:dyDescent="0.45">
      <c r="A169" s="12" t="s">
        <v>176</v>
      </c>
      <c r="C169" s="4">
        <v>162629</v>
      </c>
      <c r="E169" s="4">
        <v>10561789404</v>
      </c>
      <c r="G169" s="4">
        <v>11819446591</v>
      </c>
      <c r="I169" s="4">
        <v>-1257657187</v>
      </c>
      <c r="K169" s="4">
        <v>162629</v>
      </c>
      <c r="M169" s="4">
        <v>10561789404</v>
      </c>
      <c r="O169" s="4">
        <v>9859579712</v>
      </c>
      <c r="Q169" s="4">
        <v>702209692</v>
      </c>
    </row>
    <row r="170" spans="1:17" ht="18.75" x14ac:dyDescent="0.45">
      <c r="A170" s="12" t="s">
        <v>177</v>
      </c>
      <c r="C170" s="4">
        <v>2067558</v>
      </c>
      <c r="E170" s="4">
        <v>12719769815</v>
      </c>
      <c r="G170" s="4">
        <v>13955188443</v>
      </c>
      <c r="I170" s="4">
        <v>-1235418628</v>
      </c>
      <c r="K170" s="4">
        <v>2067558</v>
      </c>
      <c r="M170" s="4">
        <v>12719769815</v>
      </c>
      <c r="O170" s="4">
        <v>13646897589</v>
      </c>
      <c r="Q170" s="4">
        <v>-927127774</v>
      </c>
    </row>
    <row r="171" spans="1:17" ht="18.75" x14ac:dyDescent="0.45">
      <c r="A171" s="12" t="s">
        <v>178</v>
      </c>
      <c r="C171" s="4">
        <v>2076925</v>
      </c>
      <c r="E171" s="4">
        <v>12880439811</v>
      </c>
      <c r="G171" s="4">
        <v>13408571981</v>
      </c>
      <c r="I171" s="4">
        <v>-528132170</v>
      </c>
      <c r="K171" s="4">
        <v>2076925</v>
      </c>
      <c r="M171" s="4">
        <v>12880439811</v>
      </c>
      <c r="O171" s="4">
        <v>13535117150</v>
      </c>
      <c r="Q171" s="4">
        <v>-654677339</v>
      </c>
    </row>
    <row r="172" spans="1:17" ht="18.75" x14ac:dyDescent="0.45">
      <c r="A172" s="12" t="s">
        <v>179</v>
      </c>
      <c r="C172" s="4">
        <v>6854018</v>
      </c>
      <c r="E172" s="4">
        <v>23810428579</v>
      </c>
      <c r="G172" s="4">
        <v>23417094170</v>
      </c>
      <c r="I172" s="4">
        <v>393334409</v>
      </c>
      <c r="K172" s="4">
        <v>6854018</v>
      </c>
      <c r="M172" s="4">
        <v>23810428579</v>
      </c>
      <c r="O172" s="4">
        <v>21502035448</v>
      </c>
      <c r="Q172" s="4">
        <v>2308393131</v>
      </c>
    </row>
    <row r="173" spans="1:17" ht="18.75" x14ac:dyDescent="0.45">
      <c r="A173" s="12" t="s">
        <v>180</v>
      </c>
      <c r="C173" s="4">
        <v>3200000</v>
      </c>
      <c r="E173" s="4">
        <v>21115505600</v>
      </c>
      <c r="G173" s="4">
        <v>19531094400</v>
      </c>
      <c r="I173" s="4">
        <v>1584411200</v>
      </c>
      <c r="K173" s="4">
        <v>3200000</v>
      </c>
      <c r="M173" s="4">
        <v>21115505600</v>
      </c>
      <c r="O173" s="4">
        <v>22335025723</v>
      </c>
      <c r="Q173" s="4">
        <v>-1219520123</v>
      </c>
    </row>
    <row r="174" spans="1:17" ht="18.75" x14ac:dyDescent="0.45">
      <c r="A174" s="12" t="s">
        <v>181</v>
      </c>
      <c r="C174" s="4">
        <v>700000</v>
      </c>
      <c r="E174" s="4">
        <v>21386395310</v>
      </c>
      <c r="G174" s="4">
        <v>20815283035</v>
      </c>
      <c r="I174" s="4">
        <v>571112275</v>
      </c>
      <c r="K174" s="4">
        <v>700000</v>
      </c>
      <c r="M174" s="4">
        <v>21386395310</v>
      </c>
      <c r="O174" s="4">
        <v>19675168503</v>
      </c>
      <c r="Q174" s="4">
        <v>1711226807</v>
      </c>
    </row>
    <row r="175" spans="1:17" ht="18.75" x14ac:dyDescent="0.45">
      <c r="A175" s="12" t="s">
        <v>182</v>
      </c>
      <c r="C175" s="4">
        <v>3014987</v>
      </c>
      <c r="E175" s="4">
        <v>15006272651</v>
      </c>
      <c r="G175" s="4">
        <v>16004235398</v>
      </c>
      <c r="I175" s="4">
        <v>-997962747</v>
      </c>
      <c r="K175" s="4">
        <v>3014987</v>
      </c>
      <c r="M175" s="4">
        <v>15006272651</v>
      </c>
      <c r="O175" s="4">
        <v>14987389690</v>
      </c>
      <c r="Q175" s="4">
        <v>18882961</v>
      </c>
    </row>
    <row r="176" spans="1:17" ht="18.75" x14ac:dyDescent="0.45">
      <c r="A176" s="12" t="s">
        <v>183</v>
      </c>
      <c r="C176" s="4">
        <v>1641424</v>
      </c>
      <c r="E176" s="4">
        <v>9772414755</v>
      </c>
      <c r="G176" s="4">
        <v>8280661951</v>
      </c>
      <c r="I176" s="4">
        <v>1491752804</v>
      </c>
      <c r="K176" s="4">
        <v>1641424</v>
      </c>
      <c r="M176" s="4">
        <v>9772414755</v>
      </c>
      <c r="O176" s="4">
        <v>7922461528</v>
      </c>
      <c r="Q176" s="4">
        <v>1849953227</v>
      </c>
    </row>
    <row r="177" spans="1:17" ht="18.75" x14ac:dyDescent="0.45">
      <c r="A177" s="12" t="s">
        <v>184</v>
      </c>
      <c r="C177" s="4">
        <v>5657173</v>
      </c>
      <c r="E177" s="4">
        <v>38227547189</v>
      </c>
      <c r="G177" s="4">
        <v>30527088178</v>
      </c>
      <c r="I177" s="4">
        <v>7700459011</v>
      </c>
      <c r="K177" s="4">
        <v>5657173</v>
      </c>
      <c r="M177" s="4">
        <v>38227547189</v>
      </c>
      <c r="O177" s="4">
        <v>30400555024</v>
      </c>
      <c r="Q177" s="4">
        <v>7826992165</v>
      </c>
    </row>
    <row r="178" spans="1:17" ht="18.75" x14ac:dyDescent="0.45">
      <c r="A178" s="12" t="s">
        <v>185</v>
      </c>
      <c r="C178" s="4">
        <v>2000000</v>
      </c>
      <c r="E178" s="4">
        <v>6136197680</v>
      </c>
      <c r="G178" s="4">
        <v>5940442800</v>
      </c>
      <c r="I178" s="4">
        <v>195754880</v>
      </c>
      <c r="K178" s="4">
        <v>2000000</v>
      </c>
      <c r="M178" s="4">
        <v>6136197680</v>
      </c>
      <c r="O178" s="4">
        <v>5146668896</v>
      </c>
      <c r="Q178" s="4">
        <v>989528784</v>
      </c>
    </row>
    <row r="179" spans="1:17" ht="18.75" x14ac:dyDescent="0.45">
      <c r="A179" s="12" t="s">
        <v>186</v>
      </c>
      <c r="C179" s="4">
        <v>397412</v>
      </c>
      <c r="E179" s="4">
        <v>17327299830</v>
      </c>
      <c r="G179" s="4">
        <v>18003952960</v>
      </c>
      <c r="I179" s="4">
        <v>-676653130</v>
      </c>
      <c r="K179" s="4">
        <v>397412</v>
      </c>
      <c r="M179" s="4">
        <v>17327299830</v>
      </c>
      <c r="O179" s="4">
        <v>14874290767</v>
      </c>
      <c r="Q179" s="4">
        <v>2453009063</v>
      </c>
    </row>
    <row r="180" spans="1:17" ht="18.75" x14ac:dyDescent="0.45">
      <c r="A180" s="12" t="s">
        <v>187</v>
      </c>
      <c r="C180" s="4">
        <v>3934015</v>
      </c>
      <c r="E180" s="4">
        <v>21977296511</v>
      </c>
      <c r="G180" s="4">
        <v>22242966797</v>
      </c>
      <c r="I180" s="4">
        <v>-265670286</v>
      </c>
      <c r="K180" s="4">
        <v>3934015</v>
      </c>
      <c r="M180" s="4">
        <v>21977296511</v>
      </c>
      <c r="O180" s="4">
        <v>15604841666</v>
      </c>
      <c r="Q180" s="4">
        <v>6372454845</v>
      </c>
    </row>
    <row r="181" spans="1:17" ht="18.75" x14ac:dyDescent="0.45">
      <c r="A181" s="12" t="s">
        <v>188</v>
      </c>
      <c r="C181" s="4">
        <v>961018</v>
      </c>
      <c r="E181" s="4">
        <v>27606411128</v>
      </c>
      <c r="G181" s="4">
        <v>30426188429</v>
      </c>
      <c r="I181" s="4">
        <v>-2819777301</v>
      </c>
      <c r="K181" s="4">
        <v>961018</v>
      </c>
      <c r="M181" s="4">
        <v>27606411128</v>
      </c>
      <c r="O181" s="4">
        <v>17930979929</v>
      </c>
      <c r="Q181" s="4">
        <v>9675431199</v>
      </c>
    </row>
    <row r="182" spans="1:17" ht="18.75" x14ac:dyDescent="0.45">
      <c r="A182" s="12" t="s">
        <v>189</v>
      </c>
      <c r="C182" s="4">
        <v>246131</v>
      </c>
      <c r="E182" s="4">
        <v>10917009809</v>
      </c>
      <c r="G182" s="4">
        <v>11069316509</v>
      </c>
      <c r="I182" s="4">
        <v>-152306700</v>
      </c>
      <c r="K182" s="4">
        <v>246131</v>
      </c>
      <c r="M182" s="4">
        <v>10917009809</v>
      </c>
      <c r="O182" s="4">
        <v>8999408991</v>
      </c>
      <c r="Q182" s="4">
        <v>1917600818</v>
      </c>
    </row>
    <row r="183" spans="1:17" ht="18.75" x14ac:dyDescent="0.45">
      <c r="A183" s="12" t="s">
        <v>190</v>
      </c>
      <c r="C183" s="4">
        <v>292921</v>
      </c>
      <c r="E183" s="4">
        <v>12111665550</v>
      </c>
      <c r="G183" s="4">
        <v>15365977044</v>
      </c>
      <c r="I183" s="4">
        <v>-3254311494</v>
      </c>
      <c r="K183" s="4">
        <v>292921</v>
      </c>
      <c r="M183" s="4">
        <v>12111665550</v>
      </c>
      <c r="O183" s="4">
        <v>9637966266</v>
      </c>
      <c r="Q183" s="4">
        <v>2473699284</v>
      </c>
    </row>
    <row r="184" spans="1:17" ht="18.75" x14ac:dyDescent="0.45">
      <c r="A184" s="12" t="s">
        <v>191</v>
      </c>
      <c r="C184" s="4">
        <v>48341</v>
      </c>
      <c r="E184" s="4">
        <v>14375807024</v>
      </c>
      <c r="G184" s="4">
        <v>13690405412</v>
      </c>
      <c r="I184" s="4">
        <v>685401612</v>
      </c>
      <c r="K184" s="4">
        <v>48341</v>
      </c>
      <c r="M184" s="4">
        <v>14375807024</v>
      </c>
      <c r="O184" s="4">
        <v>13238121345</v>
      </c>
      <c r="Q184" s="4">
        <v>1137685679</v>
      </c>
    </row>
    <row r="185" spans="1:17" ht="18.75" x14ac:dyDescent="0.45">
      <c r="A185" s="12" t="s">
        <v>192</v>
      </c>
      <c r="C185" s="4">
        <v>1036013</v>
      </c>
      <c r="E185" s="4">
        <v>16931236083</v>
      </c>
      <c r="G185" s="4">
        <v>18372501212</v>
      </c>
      <c r="I185" s="4">
        <v>-1441265129</v>
      </c>
      <c r="K185" s="4">
        <v>1036013</v>
      </c>
      <c r="M185" s="4">
        <v>16931236083</v>
      </c>
      <c r="O185" s="4">
        <v>15308591175</v>
      </c>
      <c r="Q185" s="4">
        <v>1622644908</v>
      </c>
    </row>
    <row r="186" spans="1:17" ht="18.75" x14ac:dyDescent="0.45">
      <c r="A186" s="12" t="s">
        <v>193</v>
      </c>
      <c r="C186" s="4">
        <v>4658472</v>
      </c>
      <c r="E186" s="4">
        <v>32264784840</v>
      </c>
      <c r="G186" s="4">
        <v>26719451109</v>
      </c>
      <c r="I186" s="4">
        <v>5545333731</v>
      </c>
      <c r="K186" s="4">
        <v>4658472</v>
      </c>
      <c r="M186" s="4">
        <v>32264784840</v>
      </c>
      <c r="O186" s="4">
        <v>25832654995</v>
      </c>
      <c r="Q186" s="4">
        <v>6432129845</v>
      </c>
    </row>
    <row r="187" spans="1:17" ht="18.75" x14ac:dyDescent="0.45">
      <c r="A187" s="12" t="s">
        <v>194</v>
      </c>
      <c r="C187" s="4">
        <v>19289112</v>
      </c>
      <c r="E187" s="4">
        <v>47850017911</v>
      </c>
      <c r="G187" s="4">
        <v>35375803006</v>
      </c>
      <c r="I187" s="4">
        <v>12474214905</v>
      </c>
      <c r="K187" s="4">
        <v>19289112</v>
      </c>
      <c r="M187" s="4">
        <v>47850017911</v>
      </c>
      <c r="O187" s="4">
        <v>43799719543</v>
      </c>
      <c r="Q187" s="4">
        <v>4050298368</v>
      </c>
    </row>
    <row r="188" spans="1:17" ht="18.75" x14ac:dyDescent="0.45">
      <c r="A188" s="12" t="s">
        <v>195</v>
      </c>
      <c r="C188" s="4">
        <v>1488794</v>
      </c>
      <c r="E188" s="4">
        <v>22307012898</v>
      </c>
      <c r="G188" s="4">
        <v>23395409501</v>
      </c>
      <c r="I188" s="4">
        <v>-1088396603</v>
      </c>
      <c r="K188" s="4">
        <v>1488794</v>
      </c>
      <c r="M188" s="4">
        <v>22307012898</v>
      </c>
      <c r="O188" s="4">
        <v>18713188764</v>
      </c>
      <c r="Q188" s="4">
        <v>3593824134</v>
      </c>
    </row>
    <row r="189" spans="1:17" ht="18.75" x14ac:dyDescent="0.45">
      <c r="A189" s="12" t="s">
        <v>196</v>
      </c>
      <c r="C189" s="4">
        <v>450000</v>
      </c>
      <c r="E189" s="4">
        <v>6380792235</v>
      </c>
      <c r="G189" s="4">
        <v>7926554700</v>
      </c>
      <c r="I189" s="4">
        <v>-1545762465</v>
      </c>
      <c r="K189" s="4">
        <v>450000</v>
      </c>
      <c r="M189" s="4">
        <v>6380792235</v>
      </c>
      <c r="O189" s="4">
        <v>8423082675</v>
      </c>
      <c r="Q189" s="4">
        <v>-2042290440</v>
      </c>
    </row>
    <row r="190" spans="1:17" ht="18.75" x14ac:dyDescent="0.45">
      <c r="A190" s="12" t="s">
        <v>197</v>
      </c>
      <c r="C190" s="4">
        <v>2800000</v>
      </c>
      <c r="E190" s="4">
        <v>22337982240</v>
      </c>
      <c r="G190" s="4">
        <v>20577377264</v>
      </c>
      <c r="I190" s="4">
        <v>1760604976</v>
      </c>
      <c r="K190" s="4">
        <v>2800000</v>
      </c>
      <c r="M190" s="4">
        <v>22337982240</v>
      </c>
      <c r="O190" s="4">
        <v>17527450310</v>
      </c>
      <c r="Q190" s="4">
        <v>4810531930</v>
      </c>
    </row>
    <row r="191" spans="1:17" ht="18.75" x14ac:dyDescent="0.45">
      <c r="A191" s="12" t="s">
        <v>198</v>
      </c>
      <c r="C191" s="4">
        <v>1405716</v>
      </c>
      <c r="E191" s="4">
        <v>11814377936</v>
      </c>
      <c r="G191" s="4">
        <v>10298484165</v>
      </c>
      <c r="I191" s="4">
        <v>1515893771</v>
      </c>
      <c r="K191" s="4">
        <v>1405716</v>
      </c>
      <c r="M191" s="4">
        <v>11814377936</v>
      </c>
      <c r="O191" s="4">
        <v>7977806216</v>
      </c>
      <c r="Q191" s="4">
        <v>3836571720</v>
      </c>
    </row>
    <row r="192" spans="1:17" ht="18.75" x14ac:dyDescent="0.45">
      <c r="A192" s="12" t="s">
        <v>199</v>
      </c>
      <c r="C192" s="4">
        <v>75470</v>
      </c>
      <c r="E192" s="4">
        <v>13788123904</v>
      </c>
      <c r="G192" s="4">
        <v>13929957351</v>
      </c>
      <c r="I192" s="4">
        <v>-141833447</v>
      </c>
      <c r="K192" s="4">
        <v>75470</v>
      </c>
      <c r="M192" s="4">
        <v>13788123904</v>
      </c>
      <c r="O192" s="4">
        <v>10314715141</v>
      </c>
      <c r="Q192" s="4">
        <v>3473408763</v>
      </c>
    </row>
    <row r="193" spans="1:17" ht="18.75" x14ac:dyDescent="0.45">
      <c r="A193" s="12" t="s">
        <v>200</v>
      </c>
      <c r="C193" s="4">
        <v>3667894</v>
      </c>
      <c r="E193" s="4">
        <v>12105113963</v>
      </c>
      <c r="G193" s="4">
        <v>12071935694</v>
      </c>
      <c r="I193" s="4">
        <v>33178269</v>
      </c>
      <c r="K193" s="4">
        <v>3667894</v>
      </c>
      <c r="M193" s="4">
        <v>12105113963</v>
      </c>
      <c r="O193" s="4">
        <v>11258241338</v>
      </c>
      <c r="Q193" s="4">
        <v>846872625</v>
      </c>
    </row>
    <row r="194" spans="1:17" ht="18.75" x14ac:dyDescent="0.45">
      <c r="A194" s="12" t="s">
        <v>201</v>
      </c>
      <c r="C194" s="4">
        <v>1724465</v>
      </c>
      <c r="E194" s="4">
        <v>17419353135</v>
      </c>
      <c r="G194" s="4">
        <v>15650686476</v>
      </c>
      <c r="I194" s="4">
        <v>1768666659</v>
      </c>
      <c r="K194" s="4">
        <v>1724465</v>
      </c>
      <c r="M194" s="4">
        <v>17419353135</v>
      </c>
      <c r="O194" s="4">
        <v>13637699241</v>
      </c>
      <c r="Q194" s="4">
        <v>3781653894</v>
      </c>
    </row>
    <row r="195" spans="1:17" ht="18.75" x14ac:dyDescent="0.45">
      <c r="A195" s="12" t="s">
        <v>202</v>
      </c>
      <c r="C195" s="4">
        <v>1792838</v>
      </c>
      <c r="E195" s="4">
        <v>14890057262</v>
      </c>
      <c r="G195" s="4">
        <v>15718744815</v>
      </c>
      <c r="I195" s="4">
        <v>-828687553</v>
      </c>
      <c r="K195" s="4">
        <v>1792838</v>
      </c>
      <c r="M195" s="4">
        <v>14890057262</v>
      </c>
      <c r="O195" s="4">
        <v>12418715001</v>
      </c>
      <c r="Q195" s="4">
        <v>2471342261</v>
      </c>
    </row>
    <row r="196" spans="1:17" ht="18.75" x14ac:dyDescent="0.45">
      <c r="A196" s="12" t="s">
        <v>203</v>
      </c>
      <c r="C196" s="4">
        <v>2031330</v>
      </c>
      <c r="E196" s="4">
        <v>8507965024</v>
      </c>
      <c r="G196" s="4">
        <v>8034570231</v>
      </c>
      <c r="I196" s="4">
        <v>473394793</v>
      </c>
      <c r="K196" s="4">
        <v>2031330</v>
      </c>
      <c r="M196" s="4">
        <v>8507965024</v>
      </c>
      <c r="O196" s="4">
        <v>6332700327</v>
      </c>
      <c r="Q196" s="4">
        <v>2175264697</v>
      </c>
    </row>
    <row r="197" spans="1:17" ht="18.75" x14ac:dyDescent="0.45">
      <c r="A197" s="12" t="s">
        <v>204</v>
      </c>
      <c r="C197" s="4">
        <v>7647274</v>
      </c>
      <c r="E197" s="4">
        <v>18818638219</v>
      </c>
      <c r="G197" s="4">
        <v>20025021748</v>
      </c>
      <c r="I197" s="4">
        <v>-1206383529</v>
      </c>
      <c r="K197" s="4">
        <v>7647274</v>
      </c>
      <c r="M197" s="4">
        <v>18818638219</v>
      </c>
      <c r="O197" s="4">
        <v>14633057482</v>
      </c>
      <c r="Q197" s="4">
        <v>4185580737</v>
      </c>
    </row>
    <row r="198" spans="1:17" ht="18.75" x14ac:dyDescent="0.45">
      <c r="A198" s="12" t="s">
        <v>205</v>
      </c>
      <c r="C198" s="4">
        <v>9752234</v>
      </c>
      <c r="E198" s="4">
        <v>14863640419</v>
      </c>
      <c r="G198" s="4">
        <v>14415287605</v>
      </c>
      <c r="I198" s="4">
        <v>448352814</v>
      </c>
      <c r="K198" s="4">
        <v>9752234</v>
      </c>
      <c r="M198" s="4">
        <v>14863640419</v>
      </c>
      <c r="O198" s="4">
        <v>13415884464</v>
      </c>
      <c r="Q198" s="4">
        <v>1447755955</v>
      </c>
    </row>
    <row r="199" spans="1:17" ht="37.5" x14ac:dyDescent="0.45">
      <c r="A199" s="12" t="s">
        <v>206</v>
      </c>
      <c r="C199" s="4">
        <v>13988545</v>
      </c>
      <c r="E199" s="4">
        <v>14838162082</v>
      </c>
      <c r="G199" s="4">
        <v>14459753014</v>
      </c>
      <c r="I199" s="4">
        <v>378409068</v>
      </c>
      <c r="K199" s="4">
        <v>13988545</v>
      </c>
      <c r="M199" s="4">
        <v>14838162082</v>
      </c>
      <c r="O199" s="4">
        <v>18605309006</v>
      </c>
      <c r="Q199" s="4">
        <v>-3767146924</v>
      </c>
    </row>
    <row r="200" spans="1:17" ht="18.75" x14ac:dyDescent="0.45">
      <c r="A200" s="12" t="s">
        <v>208</v>
      </c>
      <c r="C200" s="4">
        <v>10259149</v>
      </c>
      <c r="E200" s="4">
        <v>21978287035</v>
      </c>
      <c r="G200" s="4">
        <v>21162888936</v>
      </c>
      <c r="I200" s="4">
        <v>815398099</v>
      </c>
      <c r="K200" s="4">
        <v>10259149</v>
      </c>
      <c r="M200" s="4">
        <v>21978287035</v>
      </c>
      <c r="O200" s="4">
        <v>19267952256</v>
      </c>
      <c r="Q200" s="4">
        <v>2710334779</v>
      </c>
    </row>
    <row r="201" spans="1:17" ht="19.5" thickBot="1" x14ac:dyDescent="0.5">
      <c r="A201" s="7" t="s">
        <v>209</v>
      </c>
      <c r="C201" s="7">
        <f>SUM(C9:$C$200)</f>
        <v>903348497</v>
      </c>
      <c r="E201" s="7">
        <f>SUM(E9:$E$200)</f>
        <v>3399261592075</v>
      </c>
      <c r="G201" s="7">
        <f>SUM(G9:$G$200)</f>
        <v>3344045039929</v>
      </c>
      <c r="I201" s="7">
        <f>SUM(I9:$I$200)</f>
        <v>55216552146</v>
      </c>
      <c r="K201" s="7">
        <f>SUM(K9:$K$200)</f>
        <v>903348497</v>
      </c>
      <c r="M201" s="7">
        <f>SUM(M9:$M$200)</f>
        <v>3399261592075</v>
      </c>
      <c r="O201" s="7">
        <f>SUM(O9:$O$200)</f>
        <v>3065337592756</v>
      </c>
      <c r="Q201" s="7">
        <f>SUM(Q9:$Q$200)</f>
        <v>333923999319</v>
      </c>
    </row>
    <row r="202" spans="1:17" ht="19.5" thickTop="1" x14ac:dyDescent="0.45">
      <c r="C202" s="9"/>
      <c r="E202" s="9"/>
      <c r="G202" s="9"/>
      <c r="I202" s="9"/>
      <c r="K202" s="9"/>
      <c r="M202" s="9"/>
      <c r="O202" s="9"/>
      <c r="Q202" s="9"/>
    </row>
    <row r="204" spans="1:17" ht="18.75" x14ac:dyDescent="0.45">
      <c r="A204" s="33" t="s">
        <v>328</v>
      </c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5"/>
    </row>
  </sheetData>
  <mergeCells count="7">
    <mergeCell ref="A204:Q204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213"/>
  <sheetViews>
    <sheetView rightToLeft="1" view="pageBreakPreview" topLeftCell="A194" zoomScale="93" zoomScaleNormal="100" zoomScaleSheetLayoutView="93" workbookViewId="0">
      <selection activeCell="AL14" sqref="AL14"/>
    </sheetView>
  </sheetViews>
  <sheetFormatPr defaultRowHeight="18" x14ac:dyDescent="0.45"/>
  <cols>
    <col min="1" max="1" width="21.85546875" style="1" bestFit="1" customWidth="1"/>
    <col min="2" max="2" width="1.42578125" style="1" customWidth="1"/>
    <col min="3" max="3" width="15.5703125" style="1" bestFit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.7109375" style="1" bestFit="1" customWidth="1"/>
    <col min="10" max="10" width="1.42578125" style="1" customWidth="1"/>
    <col min="11" max="11" width="11.5703125" style="1" bestFit="1" customWidth="1"/>
    <col min="12" max="12" width="1.42578125" style="1" customWidth="1"/>
    <col min="13" max="13" width="17.7109375" style="1" bestFit="1" customWidth="1"/>
    <col min="14" max="14" width="1.42578125" style="1" customWidth="1"/>
    <col min="15" max="15" width="18.28515625" style="1" bestFit="1" customWidth="1"/>
    <col min="16" max="16" width="1.42578125" style="1" customWidth="1"/>
    <col min="17" max="17" width="17.7109375" style="1" bestFit="1" customWidth="1"/>
    <col min="18" max="18" width="1.42578125" style="1" customWidth="1"/>
    <col min="19" max="19" width="17.7109375" style="1" bestFit="1" customWidth="1"/>
    <col min="20" max="20" width="1.42578125" style="1" customWidth="1"/>
    <col min="21" max="21" width="11.5703125" style="1" bestFit="1" customWidth="1"/>
    <col min="22" max="16384" width="9.140625" style="1"/>
  </cols>
  <sheetData>
    <row r="1" spans="1:27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7" ht="20.100000000000001" customHeight="1" x14ac:dyDescent="0.45">
      <c r="A2" s="21" t="s">
        <v>245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7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5" spans="1:27" ht="21" x14ac:dyDescent="0.45">
      <c r="A5" s="23" t="s">
        <v>332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</row>
    <row r="6" spans="1:27" x14ac:dyDescent="0.45">
      <c r="Z6" s="15"/>
      <c r="AA6" s="15"/>
    </row>
    <row r="7" spans="1:27" ht="21" x14ac:dyDescent="0.45">
      <c r="C7" s="24" t="s">
        <v>257</v>
      </c>
      <c r="D7" s="25"/>
      <c r="E7" s="25"/>
      <c r="F7" s="25"/>
      <c r="G7" s="25"/>
      <c r="H7" s="25"/>
      <c r="I7" s="25"/>
      <c r="J7" s="25"/>
      <c r="K7" s="25"/>
      <c r="M7" s="24" t="s">
        <v>7</v>
      </c>
      <c r="N7" s="25"/>
      <c r="O7" s="25"/>
      <c r="P7" s="25"/>
      <c r="Q7" s="25"/>
      <c r="R7" s="25"/>
      <c r="S7" s="25"/>
      <c r="T7" s="25"/>
      <c r="U7" s="25"/>
    </row>
    <row r="8" spans="1:27" ht="42" x14ac:dyDescent="0.45">
      <c r="A8" s="10" t="s">
        <v>333</v>
      </c>
      <c r="C8" s="11" t="s">
        <v>255</v>
      </c>
      <c r="E8" s="11" t="s">
        <v>334</v>
      </c>
      <c r="G8" s="11" t="s">
        <v>335</v>
      </c>
      <c r="I8" s="11" t="s">
        <v>336</v>
      </c>
      <c r="K8" s="11" t="s">
        <v>337</v>
      </c>
      <c r="M8" s="11" t="s">
        <v>255</v>
      </c>
      <c r="O8" s="11" t="s">
        <v>334</v>
      </c>
      <c r="Q8" s="11" t="s">
        <v>335</v>
      </c>
      <c r="S8" s="11" t="s">
        <v>336</v>
      </c>
      <c r="U8" s="11" t="s">
        <v>337</v>
      </c>
    </row>
    <row r="9" spans="1:27" ht="18.75" x14ac:dyDescent="0.45">
      <c r="A9" s="12" t="s">
        <v>17</v>
      </c>
      <c r="C9" s="4">
        <v>0</v>
      </c>
      <c r="E9" s="4">
        <v>726488486</v>
      </c>
      <c r="G9" s="4">
        <v>8869949</v>
      </c>
      <c r="I9" s="4">
        <v>735358435</v>
      </c>
      <c r="K9" s="5">
        <v>6.9809178789334144E-3</v>
      </c>
      <c r="M9" s="4">
        <v>0</v>
      </c>
      <c r="O9" s="4">
        <v>811721859</v>
      </c>
      <c r="Q9" s="4">
        <v>8869949</v>
      </c>
      <c r="S9" s="4">
        <v>820591808</v>
      </c>
      <c r="U9" s="5">
        <v>1.3038760853131476E-3</v>
      </c>
    </row>
    <row r="10" spans="1:27" ht="18.75" x14ac:dyDescent="0.45">
      <c r="A10" s="12" t="s">
        <v>18</v>
      </c>
      <c r="C10" s="4">
        <v>0</v>
      </c>
      <c r="E10" s="4">
        <v>-1451749564</v>
      </c>
      <c r="G10" s="4">
        <v>0</v>
      </c>
      <c r="I10" s="4">
        <v>-1451749564</v>
      </c>
      <c r="K10" s="5">
        <v>-1.3781774988494404E-2</v>
      </c>
      <c r="M10" s="4">
        <v>0</v>
      </c>
      <c r="O10" s="4">
        <v>1477472172</v>
      </c>
      <c r="Q10" s="4">
        <v>2768386</v>
      </c>
      <c r="S10" s="4">
        <v>1480240558</v>
      </c>
      <c r="U10" s="5">
        <v>2.3520223395732329E-3</v>
      </c>
    </row>
    <row r="11" spans="1:27" ht="18.75" x14ac:dyDescent="0.45">
      <c r="A11" s="12" t="s">
        <v>19</v>
      </c>
      <c r="C11" s="4">
        <v>0</v>
      </c>
      <c r="E11" s="4">
        <v>-166465750</v>
      </c>
      <c r="G11" s="4">
        <v>0</v>
      </c>
      <c r="I11" s="4">
        <v>-166465750</v>
      </c>
      <c r="K11" s="5">
        <v>-1.5802956423625711E-3</v>
      </c>
      <c r="M11" s="4">
        <v>199000000</v>
      </c>
      <c r="O11" s="4">
        <v>59680625</v>
      </c>
      <c r="Q11" s="4">
        <v>0</v>
      </c>
      <c r="S11" s="4">
        <v>258680625</v>
      </c>
      <c r="U11" s="5">
        <v>4.110295488976638E-4</v>
      </c>
    </row>
    <row r="12" spans="1:27" ht="18.75" x14ac:dyDescent="0.45">
      <c r="A12" s="12" t="s">
        <v>20</v>
      </c>
      <c r="C12" s="4">
        <v>0</v>
      </c>
      <c r="E12" s="4">
        <v>-1128605430</v>
      </c>
      <c r="G12" s="4">
        <v>33601207</v>
      </c>
      <c r="I12" s="4">
        <v>-1095004223</v>
      </c>
      <c r="K12" s="5">
        <v>-1.039511372144428E-2</v>
      </c>
      <c r="M12" s="4">
        <v>0</v>
      </c>
      <c r="O12" s="4">
        <v>435557238</v>
      </c>
      <c r="Q12" s="4">
        <v>55479280</v>
      </c>
      <c r="S12" s="4">
        <v>491036518</v>
      </c>
      <c r="U12" s="5">
        <v>7.802305197222233E-4</v>
      </c>
    </row>
    <row r="13" spans="1:27" ht="18.75" x14ac:dyDescent="0.45">
      <c r="A13" s="12" t="s">
        <v>21</v>
      </c>
      <c r="C13" s="4">
        <v>0</v>
      </c>
      <c r="E13" s="4">
        <v>423802372</v>
      </c>
      <c r="G13" s="4">
        <v>0</v>
      </c>
      <c r="I13" s="4">
        <v>423802372</v>
      </c>
      <c r="K13" s="5">
        <v>4.0232482759638023E-3</v>
      </c>
      <c r="M13" s="4">
        <v>24500000</v>
      </c>
      <c r="O13" s="4">
        <v>957159900</v>
      </c>
      <c r="Q13" s="4">
        <v>0</v>
      </c>
      <c r="S13" s="4">
        <v>981659900</v>
      </c>
      <c r="U13" s="5">
        <v>1.5598045886425617E-3</v>
      </c>
    </row>
    <row r="14" spans="1:27" ht="18.75" x14ac:dyDescent="0.45">
      <c r="A14" s="12" t="s">
        <v>338</v>
      </c>
      <c r="C14" s="4">
        <v>0</v>
      </c>
      <c r="E14" s="4">
        <v>-247343969</v>
      </c>
      <c r="G14" s="4">
        <v>0</v>
      </c>
      <c r="I14" s="4">
        <v>-247343969</v>
      </c>
      <c r="K14" s="5">
        <v>-2.34809020098947E-3</v>
      </c>
      <c r="M14" s="4">
        <v>4340424361</v>
      </c>
      <c r="O14" s="4">
        <v>779805379</v>
      </c>
      <c r="Q14" s="4">
        <v>785484174</v>
      </c>
      <c r="S14" s="4">
        <v>5905713914</v>
      </c>
      <c r="U14" s="5">
        <v>9.3838606041332876E-3</v>
      </c>
    </row>
    <row r="15" spans="1:27" ht="18.75" x14ac:dyDescent="0.45">
      <c r="A15" s="12" t="s">
        <v>23</v>
      </c>
      <c r="C15" s="4">
        <v>0</v>
      </c>
      <c r="E15" s="4">
        <v>1111948948</v>
      </c>
      <c r="G15" s="4">
        <v>0</v>
      </c>
      <c r="I15" s="4">
        <v>1111948948</v>
      </c>
      <c r="K15" s="5">
        <v>1.0555973688605886E-2</v>
      </c>
      <c r="M15" s="4">
        <v>0</v>
      </c>
      <c r="O15" s="4">
        <v>4852847049</v>
      </c>
      <c r="Q15" s="4">
        <v>548670466</v>
      </c>
      <c r="S15" s="4">
        <v>5401517515</v>
      </c>
      <c r="U15" s="5">
        <v>8.5827197439053652E-3</v>
      </c>
    </row>
    <row r="16" spans="1:27" ht="18.75" x14ac:dyDescent="0.45">
      <c r="A16" s="12" t="s">
        <v>24</v>
      </c>
      <c r="C16" s="4">
        <v>0</v>
      </c>
      <c r="E16" s="4">
        <v>526311954</v>
      </c>
      <c r="G16" s="4">
        <v>210181748</v>
      </c>
      <c r="I16" s="4">
        <v>736493702</v>
      </c>
      <c r="K16" s="5">
        <v>6.9916952159713216E-3</v>
      </c>
      <c r="M16" s="4">
        <v>0</v>
      </c>
      <c r="O16" s="4">
        <v>3198717980</v>
      </c>
      <c r="Q16" s="4">
        <v>561254652</v>
      </c>
      <c r="S16" s="4">
        <v>3759972632</v>
      </c>
      <c r="U16" s="5">
        <v>5.9743935395181668E-3</v>
      </c>
    </row>
    <row r="17" spans="1:21" ht="18.75" x14ac:dyDescent="0.45">
      <c r="A17" s="12" t="s">
        <v>25</v>
      </c>
      <c r="C17" s="4">
        <v>0</v>
      </c>
      <c r="E17" s="4">
        <v>74044656</v>
      </c>
      <c r="G17" s="4">
        <v>0</v>
      </c>
      <c r="I17" s="4">
        <v>74044656</v>
      </c>
      <c r="K17" s="5">
        <v>7.0292205584052939E-4</v>
      </c>
      <c r="M17" s="4">
        <v>0</v>
      </c>
      <c r="O17" s="4">
        <v>1044333132</v>
      </c>
      <c r="Q17" s="4">
        <v>0</v>
      </c>
      <c r="S17" s="4">
        <v>1044333132</v>
      </c>
      <c r="U17" s="5">
        <v>1.6593889710326947E-3</v>
      </c>
    </row>
    <row r="18" spans="1:21" ht="18.75" x14ac:dyDescent="0.45">
      <c r="A18" s="12" t="s">
        <v>26</v>
      </c>
      <c r="C18" s="4">
        <v>0</v>
      </c>
      <c r="E18" s="4">
        <v>1415681269</v>
      </c>
      <c r="G18" s="4">
        <v>-35736138</v>
      </c>
      <c r="I18" s="4">
        <v>1379945131</v>
      </c>
      <c r="K18" s="5">
        <v>1.3100119857801063E-2</v>
      </c>
      <c r="M18" s="4">
        <v>669713695</v>
      </c>
      <c r="O18" s="4">
        <v>-5074445304</v>
      </c>
      <c r="Q18" s="4">
        <v>-13716255932</v>
      </c>
      <c r="S18" s="4">
        <v>-18120987541</v>
      </c>
      <c r="U18" s="5">
        <v>-2.8793270986404242E-2</v>
      </c>
    </row>
    <row r="19" spans="1:21" ht="18.75" x14ac:dyDescent="0.45">
      <c r="A19" s="12" t="s">
        <v>27</v>
      </c>
      <c r="C19" s="4">
        <v>0</v>
      </c>
      <c r="E19" s="4">
        <v>1231999777</v>
      </c>
      <c r="G19" s="4">
        <v>317977840</v>
      </c>
      <c r="I19" s="4">
        <v>1549977617</v>
      </c>
      <c r="K19" s="5">
        <v>1.4714275302304661E-2</v>
      </c>
      <c r="M19" s="4">
        <v>4445453740</v>
      </c>
      <c r="O19" s="4">
        <v>3053895281</v>
      </c>
      <c r="Q19" s="4">
        <v>-2481026076</v>
      </c>
      <c r="S19" s="4">
        <v>5018322945</v>
      </c>
      <c r="U19" s="5">
        <v>7.9738442579769774E-3</v>
      </c>
    </row>
    <row r="20" spans="1:21" ht="18.75" x14ac:dyDescent="0.45">
      <c r="A20" s="12" t="s">
        <v>28</v>
      </c>
      <c r="C20" s="4">
        <v>0</v>
      </c>
      <c r="E20" s="4">
        <v>-5332113681</v>
      </c>
      <c r="G20" s="4">
        <v>0</v>
      </c>
      <c r="I20" s="4">
        <v>-5332113681</v>
      </c>
      <c r="K20" s="5">
        <v>-5.0618917192672655E-2</v>
      </c>
      <c r="M20" s="4">
        <v>1925903250</v>
      </c>
      <c r="O20" s="4">
        <v>3295312771</v>
      </c>
      <c r="Q20" s="4">
        <v>4985169341</v>
      </c>
      <c r="S20" s="4">
        <v>10206385362</v>
      </c>
      <c r="U20" s="5">
        <v>1.621739537400058E-2</v>
      </c>
    </row>
    <row r="21" spans="1:21" ht="18.75" x14ac:dyDescent="0.45">
      <c r="A21" s="12" t="s">
        <v>29</v>
      </c>
      <c r="C21" s="4">
        <v>0</v>
      </c>
      <c r="E21" s="4">
        <v>-626161025</v>
      </c>
      <c r="G21" s="4">
        <v>882305505</v>
      </c>
      <c r="I21" s="4">
        <v>256144480</v>
      </c>
      <c r="K21" s="5">
        <v>2.4316353697936468E-3</v>
      </c>
      <c r="M21" s="4">
        <v>0</v>
      </c>
      <c r="O21" s="4">
        <v>4233259676</v>
      </c>
      <c r="Q21" s="4">
        <v>897607340</v>
      </c>
      <c r="S21" s="4">
        <v>5130867016</v>
      </c>
      <c r="U21" s="5">
        <v>8.1526707113854478E-3</v>
      </c>
    </row>
    <row r="22" spans="1:21" ht="18.75" x14ac:dyDescent="0.45">
      <c r="A22" s="12" t="s">
        <v>339</v>
      </c>
      <c r="C22" s="4">
        <v>0</v>
      </c>
      <c r="E22" s="4">
        <v>-1828998602</v>
      </c>
      <c r="G22" s="4">
        <v>546197367</v>
      </c>
      <c r="I22" s="4">
        <v>-1282801235</v>
      </c>
      <c r="K22" s="5">
        <v>-1.2177911682660395E-2</v>
      </c>
      <c r="M22" s="4">
        <v>675475200</v>
      </c>
      <c r="O22" s="4">
        <v>2206412451</v>
      </c>
      <c r="Q22" s="4">
        <v>1982564966</v>
      </c>
      <c r="S22" s="4">
        <v>4864452617</v>
      </c>
      <c r="U22" s="5">
        <v>7.729352613090254E-3</v>
      </c>
    </row>
    <row r="23" spans="1:21" ht="18.75" x14ac:dyDescent="0.45">
      <c r="A23" s="12" t="s">
        <v>30</v>
      </c>
      <c r="C23" s="4">
        <v>0</v>
      </c>
      <c r="E23" s="4">
        <v>-1255065788</v>
      </c>
      <c r="G23" s="4">
        <v>0</v>
      </c>
      <c r="I23" s="4">
        <v>-1255065788</v>
      </c>
      <c r="K23" s="5">
        <v>-1.1914613039948136E-2</v>
      </c>
      <c r="M23" s="4">
        <v>700000000</v>
      </c>
      <c r="O23" s="4">
        <v>1582201425</v>
      </c>
      <c r="Q23" s="4">
        <v>0</v>
      </c>
      <c r="S23" s="4">
        <v>2282201425</v>
      </c>
      <c r="U23" s="5">
        <v>3.6262948653821886E-3</v>
      </c>
    </row>
    <row r="24" spans="1:21" ht="18.75" x14ac:dyDescent="0.45">
      <c r="A24" s="12" t="s">
        <v>32</v>
      </c>
      <c r="C24" s="4">
        <v>0</v>
      </c>
      <c r="E24" s="4">
        <v>4612319</v>
      </c>
      <c r="G24" s="4">
        <v>0</v>
      </c>
      <c r="I24" s="4">
        <v>4612319</v>
      </c>
      <c r="K24" s="5">
        <v>4.3785749422245068E-5</v>
      </c>
      <c r="M24" s="4">
        <v>0</v>
      </c>
      <c r="O24" s="4">
        <v>2319374189</v>
      </c>
      <c r="Q24" s="4">
        <v>0</v>
      </c>
      <c r="S24" s="4">
        <v>2319374189</v>
      </c>
      <c r="U24" s="5">
        <v>3.6853603806993847E-3</v>
      </c>
    </row>
    <row r="25" spans="1:21" ht="18.75" x14ac:dyDescent="0.45">
      <c r="A25" s="12" t="s">
        <v>33</v>
      </c>
      <c r="C25" s="4">
        <v>0</v>
      </c>
      <c r="E25" s="4">
        <v>-1228793106</v>
      </c>
      <c r="G25" s="4">
        <v>394529422</v>
      </c>
      <c r="I25" s="4">
        <v>-834263684</v>
      </c>
      <c r="K25" s="5">
        <v>-7.919846961951903E-3</v>
      </c>
      <c r="M25" s="4">
        <v>0</v>
      </c>
      <c r="O25" s="4">
        <v>1196030157</v>
      </c>
      <c r="Q25" s="4">
        <v>542112549</v>
      </c>
      <c r="S25" s="4">
        <v>1738142706</v>
      </c>
      <c r="U25" s="5">
        <v>2.7618149305420328E-3</v>
      </c>
    </row>
    <row r="26" spans="1:21" ht="18.75" x14ac:dyDescent="0.45">
      <c r="A26" s="12" t="s">
        <v>34</v>
      </c>
      <c r="C26" s="4">
        <v>0</v>
      </c>
      <c r="E26" s="4">
        <v>-2567618884</v>
      </c>
      <c r="G26" s="4">
        <v>2654539734</v>
      </c>
      <c r="I26" s="4">
        <v>86920850</v>
      </c>
      <c r="K26" s="5">
        <v>8.2515857157073268E-4</v>
      </c>
      <c r="M26" s="4">
        <v>0</v>
      </c>
      <c r="O26" s="4">
        <v>2200959139</v>
      </c>
      <c r="Q26" s="4">
        <v>3444470416</v>
      </c>
      <c r="S26" s="4">
        <v>5645429555</v>
      </c>
      <c r="U26" s="5">
        <v>8.9702828084831966E-3</v>
      </c>
    </row>
    <row r="27" spans="1:21" ht="18.75" x14ac:dyDescent="0.45">
      <c r="A27" s="12" t="s">
        <v>35</v>
      </c>
      <c r="C27" s="4">
        <v>0</v>
      </c>
      <c r="E27" s="4">
        <v>-480035906</v>
      </c>
      <c r="G27" s="4">
        <v>0</v>
      </c>
      <c r="I27" s="4">
        <v>-480035906</v>
      </c>
      <c r="K27" s="5">
        <v>-4.5570854691092243E-3</v>
      </c>
      <c r="M27" s="4">
        <v>0</v>
      </c>
      <c r="O27" s="4">
        <v>2579500948</v>
      </c>
      <c r="Q27" s="4">
        <v>0</v>
      </c>
      <c r="S27" s="4">
        <v>2579500948</v>
      </c>
      <c r="U27" s="5">
        <v>4.0986877584571167E-3</v>
      </c>
    </row>
    <row r="28" spans="1:21" ht="18.75" x14ac:dyDescent="0.45">
      <c r="A28" s="12" t="s">
        <v>36</v>
      </c>
      <c r="C28" s="4">
        <v>0</v>
      </c>
      <c r="E28" s="4">
        <v>8706424255</v>
      </c>
      <c r="G28" s="4">
        <v>164999654</v>
      </c>
      <c r="I28" s="4">
        <v>8871423909</v>
      </c>
      <c r="K28" s="5">
        <v>8.4218360503249629E-2</v>
      </c>
      <c r="M28" s="4">
        <v>0</v>
      </c>
      <c r="O28" s="4">
        <v>9434060892</v>
      </c>
      <c r="Q28" s="4">
        <v>164999654</v>
      </c>
      <c r="S28" s="4">
        <v>9599060546</v>
      </c>
      <c r="U28" s="5">
        <v>1.5252389026289627E-2</v>
      </c>
    </row>
    <row r="29" spans="1:21" ht="18.75" x14ac:dyDescent="0.45">
      <c r="A29" s="12" t="s">
        <v>340</v>
      </c>
      <c r="C29" s="4">
        <v>0</v>
      </c>
      <c r="E29" s="4">
        <v>-2964278515</v>
      </c>
      <c r="G29" s="4">
        <v>637600835</v>
      </c>
      <c r="I29" s="4">
        <v>-2326677680</v>
      </c>
      <c r="K29" s="5">
        <v>-2.2087658265356427E-2</v>
      </c>
      <c r="M29" s="4">
        <v>0</v>
      </c>
      <c r="O29" s="4">
        <v>-1235401395</v>
      </c>
      <c r="Q29" s="4">
        <v>637600835</v>
      </c>
      <c r="S29" s="4">
        <v>-597800560</v>
      </c>
      <c r="U29" s="5">
        <v>-9.4987281907012091E-4</v>
      </c>
    </row>
    <row r="30" spans="1:21" ht="18.75" x14ac:dyDescent="0.45">
      <c r="A30" s="12" t="s">
        <v>38</v>
      </c>
      <c r="C30" s="4">
        <v>0</v>
      </c>
      <c r="E30" s="4">
        <v>3246249754</v>
      </c>
      <c r="G30" s="4">
        <v>0</v>
      </c>
      <c r="I30" s="4">
        <v>3246249754</v>
      </c>
      <c r="K30" s="5">
        <v>3.0817356364698255E-2</v>
      </c>
      <c r="M30" s="4">
        <v>0</v>
      </c>
      <c r="O30" s="4">
        <v>4746494199</v>
      </c>
      <c r="Q30" s="4">
        <v>0</v>
      </c>
      <c r="S30" s="4">
        <v>4746494199</v>
      </c>
      <c r="U30" s="5">
        <v>7.5419230545787806E-3</v>
      </c>
    </row>
    <row r="31" spans="1:21" ht="18.75" x14ac:dyDescent="0.45">
      <c r="A31" s="12" t="s">
        <v>341</v>
      </c>
      <c r="C31" s="4">
        <v>0</v>
      </c>
      <c r="E31" s="4">
        <v>-95920638</v>
      </c>
      <c r="G31" s="4">
        <v>0</v>
      </c>
      <c r="I31" s="4">
        <v>-95920638</v>
      </c>
      <c r="K31" s="5">
        <v>-9.105955203640247E-4</v>
      </c>
      <c r="M31" s="4">
        <v>687500000</v>
      </c>
      <c r="O31" s="4">
        <v>-216629169</v>
      </c>
      <c r="Q31" s="4">
        <v>0</v>
      </c>
      <c r="S31" s="4">
        <v>470870831</v>
      </c>
      <c r="U31" s="5">
        <v>7.4818833167346061E-4</v>
      </c>
    </row>
    <row r="32" spans="1:21" ht="18.75" x14ac:dyDescent="0.45">
      <c r="A32" s="12" t="s">
        <v>39</v>
      </c>
      <c r="C32" s="4">
        <v>0</v>
      </c>
      <c r="E32" s="4">
        <v>1129280529</v>
      </c>
      <c r="G32" s="4">
        <v>0</v>
      </c>
      <c r="I32" s="4">
        <v>1129280529</v>
      </c>
      <c r="K32" s="5">
        <v>1.0720506164082396E-2</v>
      </c>
      <c r="M32" s="4">
        <v>0</v>
      </c>
      <c r="O32" s="4">
        <v>1538545420</v>
      </c>
      <c r="Q32" s="4">
        <v>0</v>
      </c>
      <c r="S32" s="4">
        <v>1538545420</v>
      </c>
      <c r="U32" s="5">
        <v>2.4446656178489078E-3</v>
      </c>
    </row>
    <row r="33" spans="1:21" ht="18.75" x14ac:dyDescent="0.45">
      <c r="A33" s="12" t="s">
        <v>41</v>
      </c>
      <c r="C33" s="4">
        <v>0</v>
      </c>
      <c r="E33" s="4">
        <v>-18993616</v>
      </c>
      <c r="G33" s="4">
        <v>0</v>
      </c>
      <c r="I33" s="4">
        <v>-18993616</v>
      </c>
      <c r="K33" s="5">
        <v>-1.8031053593611904E-4</v>
      </c>
      <c r="M33" s="4">
        <v>0</v>
      </c>
      <c r="O33" s="4">
        <v>522270308</v>
      </c>
      <c r="Q33" s="4">
        <v>0</v>
      </c>
      <c r="S33" s="4">
        <v>522270308</v>
      </c>
      <c r="U33" s="5">
        <v>8.2985932595409462E-4</v>
      </c>
    </row>
    <row r="34" spans="1:21" ht="37.5" x14ac:dyDescent="0.45">
      <c r="A34" s="12" t="s">
        <v>42</v>
      </c>
      <c r="C34" s="4">
        <v>0</v>
      </c>
      <c r="E34" s="4">
        <v>854575933</v>
      </c>
      <c r="G34" s="4">
        <v>0</v>
      </c>
      <c r="I34" s="4">
        <v>854575933</v>
      </c>
      <c r="K34" s="5">
        <v>8.1126755683245868E-3</v>
      </c>
      <c r="M34" s="4">
        <v>0</v>
      </c>
      <c r="O34" s="4">
        <v>1079527753</v>
      </c>
      <c r="Q34" s="4">
        <v>0</v>
      </c>
      <c r="S34" s="4">
        <v>1079527753</v>
      </c>
      <c r="U34" s="5">
        <v>1.7153113239079989E-3</v>
      </c>
    </row>
    <row r="35" spans="1:21" ht="18.75" x14ac:dyDescent="0.45">
      <c r="A35" s="12" t="s">
        <v>43</v>
      </c>
      <c r="C35" s="4">
        <v>0</v>
      </c>
      <c r="E35" s="4">
        <v>-686319047</v>
      </c>
      <c r="G35" s="4">
        <v>0</v>
      </c>
      <c r="I35" s="4">
        <v>-686319047</v>
      </c>
      <c r="K35" s="5">
        <v>-6.5153762815746341E-3</v>
      </c>
      <c r="M35" s="4">
        <v>0</v>
      </c>
      <c r="O35" s="4">
        <v>95992573</v>
      </c>
      <c r="Q35" s="4">
        <v>0</v>
      </c>
      <c r="S35" s="4">
        <v>95992573</v>
      </c>
      <c r="U35" s="5">
        <v>1.5252701657774353E-4</v>
      </c>
    </row>
    <row r="36" spans="1:21" ht="18.75" x14ac:dyDescent="0.45">
      <c r="A36" s="12" t="s">
        <v>44</v>
      </c>
      <c r="C36" s="4">
        <v>0</v>
      </c>
      <c r="E36" s="4">
        <v>-607191273</v>
      </c>
      <c r="G36" s="4">
        <v>302785200</v>
      </c>
      <c r="I36" s="4">
        <v>-304406073</v>
      </c>
      <c r="K36" s="5">
        <v>-2.8897931897138161E-3</v>
      </c>
      <c r="M36" s="4">
        <v>420000000</v>
      </c>
      <c r="O36" s="4">
        <v>-961320964</v>
      </c>
      <c r="Q36" s="4">
        <v>13477495160</v>
      </c>
      <c r="S36" s="4">
        <v>12936174196</v>
      </c>
      <c r="U36" s="5">
        <v>2.0554882470395601E-2</v>
      </c>
    </row>
    <row r="37" spans="1:21" ht="18.75" x14ac:dyDescent="0.45">
      <c r="A37" s="12" t="s">
        <v>45</v>
      </c>
      <c r="C37" s="4">
        <v>0</v>
      </c>
      <c r="E37" s="4">
        <v>1076519133</v>
      </c>
      <c r="G37" s="4">
        <v>760679550</v>
      </c>
      <c r="I37" s="4">
        <v>1837198683</v>
      </c>
      <c r="K37" s="5">
        <v>1.7440927475466602E-2</v>
      </c>
      <c r="M37" s="4">
        <v>18000000000</v>
      </c>
      <c r="O37" s="4">
        <v>3202291957</v>
      </c>
      <c r="Q37" s="4">
        <v>17939744597</v>
      </c>
      <c r="S37" s="4">
        <v>39142036554</v>
      </c>
      <c r="U37" s="5">
        <v>6.2194583099242494E-2</v>
      </c>
    </row>
    <row r="38" spans="1:21" ht="18.75" x14ac:dyDescent="0.45">
      <c r="A38" s="12" t="s">
        <v>342</v>
      </c>
      <c r="C38" s="4">
        <v>0</v>
      </c>
      <c r="E38" s="4">
        <v>5103960664</v>
      </c>
      <c r="G38" s="4">
        <v>547042201</v>
      </c>
      <c r="I38" s="4">
        <v>5651002865</v>
      </c>
      <c r="K38" s="5">
        <v>5.3646201711390507E-2</v>
      </c>
      <c r="M38" s="4">
        <v>0</v>
      </c>
      <c r="O38" s="4">
        <v>6615469470</v>
      </c>
      <c r="Q38" s="4">
        <v>547042201</v>
      </c>
      <c r="S38" s="4">
        <v>7162511671</v>
      </c>
      <c r="U38" s="5">
        <v>1.1380844394918955E-2</v>
      </c>
    </row>
    <row r="39" spans="1:21" ht="18.75" x14ac:dyDescent="0.45">
      <c r="A39" s="12" t="s">
        <v>277</v>
      </c>
      <c r="C39" s="4">
        <v>0</v>
      </c>
      <c r="E39" s="4">
        <v>-375208947</v>
      </c>
      <c r="G39" s="4">
        <v>0</v>
      </c>
      <c r="I39" s="4">
        <v>-375208947</v>
      </c>
      <c r="K39" s="5">
        <v>-3.5619403025520199E-3</v>
      </c>
      <c r="M39" s="4">
        <v>2180218760</v>
      </c>
      <c r="O39" s="4">
        <v>-2497561006</v>
      </c>
      <c r="Q39" s="4">
        <v>-1763883002</v>
      </c>
      <c r="S39" s="4">
        <v>-2081225248</v>
      </c>
      <c r="U39" s="5">
        <v>-3.3069545693260498E-3</v>
      </c>
    </row>
    <row r="40" spans="1:21" ht="18.75" x14ac:dyDescent="0.45">
      <c r="A40" s="12" t="s">
        <v>48</v>
      </c>
      <c r="C40" s="4">
        <v>0</v>
      </c>
      <c r="E40" s="4">
        <v>4614963652</v>
      </c>
      <c r="G40" s="4">
        <v>0</v>
      </c>
      <c r="I40" s="4">
        <v>4614963652</v>
      </c>
      <c r="K40" s="5">
        <v>4.3810855680025816E-2</v>
      </c>
      <c r="M40" s="4">
        <v>1524233883</v>
      </c>
      <c r="O40" s="4">
        <v>6976279192</v>
      </c>
      <c r="Q40" s="4">
        <v>1184719052</v>
      </c>
      <c r="S40" s="4">
        <v>9685232127</v>
      </c>
      <c r="U40" s="5">
        <v>1.538931101674109E-2</v>
      </c>
    </row>
    <row r="41" spans="1:21" ht="37.5" x14ac:dyDescent="0.45">
      <c r="A41" s="12" t="s">
        <v>49</v>
      </c>
      <c r="C41" s="4">
        <v>0</v>
      </c>
      <c r="E41" s="4">
        <v>-142536815</v>
      </c>
      <c r="G41" s="4">
        <v>0</v>
      </c>
      <c r="I41" s="4">
        <v>-142536815</v>
      </c>
      <c r="K41" s="5">
        <v>-1.3531330476133376E-3</v>
      </c>
      <c r="M41" s="4">
        <v>29476195</v>
      </c>
      <c r="O41" s="4">
        <v>-1935746487</v>
      </c>
      <c r="Q41" s="4">
        <v>0</v>
      </c>
      <c r="S41" s="4">
        <v>-1906270292</v>
      </c>
      <c r="U41" s="5">
        <v>-3.0289605887482986E-3</v>
      </c>
    </row>
    <row r="42" spans="1:21" ht="18.75" x14ac:dyDescent="0.45">
      <c r="A42" s="12" t="s">
        <v>50</v>
      </c>
      <c r="C42" s="4">
        <v>0</v>
      </c>
      <c r="E42" s="4">
        <v>1604421242</v>
      </c>
      <c r="G42" s="4">
        <v>0</v>
      </c>
      <c r="I42" s="4">
        <v>1604421242</v>
      </c>
      <c r="K42" s="5">
        <v>1.5231120499241101E-2</v>
      </c>
      <c r="M42" s="4">
        <v>0</v>
      </c>
      <c r="O42" s="4">
        <v>2442368115</v>
      </c>
      <c r="Q42" s="4">
        <v>-1173077</v>
      </c>
      <c r="S42" s="4">
        <v>2441195038</v>
      </c>
      <c r="U42" s="5">
        <v>3.8789271335661693E-3</v>
      </c>
    </row>
    <row r="43" spans="1:21" ht="18.75" x14ac:dyDescent="0.45">
      <c r="A43" s="12" t="s">
        <v>51</v>
      </c>
      <c r="C43" s="4">
        <v>0</v>
      </c>
      <c r="E43" s="4">
        <v>-2123153064</v>
      </c>
      <c r="G43" s="4">
        <v>38385424</v>
      </c>
      <c r="I43" s="4">
        <v>-2084767640</v>
      </c>
      <c r="K43" s="5">
        <v>-1.9791153536571345E-2</v>
      </c>
      <c r="M43" s="4">
        <v>0</v>
      </c>
      <c r="O43" s="4">
        <v>553967500</v>
      </c>
      <c r="Q43" s="4">
        <v>38385424</v>
      </c>
      <c r="S43" s="4">
        <v>592352924</v>
      </c>
      <c r="U43" s="5">
        <v>9.4121681954314172E-4</v>
      </c>
    </row>
    <row r="44" spans="1:21" ht="18.75" x14ac:dyDescent="0.45">
      <c r="A44" s="12" t="s">
        <v>52</v>
      </c>
      <c r="C44" s="4">
        <v>0</v>
      </c>
      <c r="E44" s="4">
        <v>-415851922</v>
      </c>
      <c r="G44" s="4">
        <v>0</v>
      </c>
      <c r="I44" s="4">
        <v>-415851922</v>
      </c>
      <c r="K44" s="5">
        <v>-3.9477729214850493E-3</v>
      </c>
      <c r="M44" s="4">
        <v>0</v>
      </c>
      <c r="O44" s="4">
        <v>715381092</v>
      </c>
      <c r="Q44" s="4">
        <v>0</v>
      </c>
      <c r="S44" s="4">
        <v>715381092</v>
      </c>
      <c r="U44" s="5">
        <v>1.1367019371268262E-3</v>
      </c>
    </row>
    <row r="45" spans="1:21" ht="37.5" x14ac:dyDescent="0.45">
      <c r="A45" s="12" t="s">
        <v>53</v>
      </c>
      <c r="C45" s="4">
        <v>0</v>
      </c>
      <c r="E45" s="4">
        <v>63489100</v>
      </c>
      <c r="G45" s="4">
        <v>0</v>
      </c>
      <c r="I45" s="4">
        <v>63489100</v>
      </c>
      <c r="K45" s="5">
        <v>6.0271586237722484E-4</v>
      </c>
      <c r="M45" s="4">
        <v>0</v>
      </c>
      <c r="O45" s="4">
        <v>370402038</v>
      </c>
      <c r="Q45" s="4">
        <v>0</v>
      </c>
      <c r="S45" s="4">
        <v>370402038</v>
      </c>
      <c r="U45" s="5">
        <v>5.8854884315327175E-4</v>
      </c>
    </row>
    <row r="46" spans="1:21" ht="18.75" x14ac:dyDescent="0.45">
      <c r="A46" s="12" t="s">
        <v>343</v>
      </c>
      <c r="C46" s="4">
        <v>0</v>
      </c>
      <c r="E46" s="4">
        <v>5793455301</v>
      </c>
      <c r="G46" s="4">
        <v>719609932</v>
      </c>
      <c r="I46" s="4">
        <v>6513065233</v>
      </c>
      <c r="K46" s="5">
        <v>6.1829947638676809E-2</v>
      </c>
      <c r="M46" s="4">
        <v>0</v>
      </c>
      <c r="O46" s="4">
        <v>7645378110</v>
      </c>
      <c r="Q46" s="4">
        <v>719609932</v>
      </c>
      <c r="S46" s="4">
        <v>8364988042</v>
      </c>
      <c r="U46" s="5">
        <v>1.3291514435754947E-2</v>
      </c>
    </row>
    <row r="47" spans="1:21" ht="18.75" x14ac:dyDescent="0.45">
      <c r="A47" s="12" t="s">
        <v>54</v>
      </c>
      <c r="C47" s="4">
        <v>0</v>
      </c>
      <c r="E47" s="4">
        <v>380989240</v>
      </c>
      <c r="G47" s="4">
        <v>-81042250</v>
      </c>
      <c r="I47" s="4">
        <v>299946990</v>
      </c>
      <c r="K47" s="5">
        <v>2.8474621430340458E-3</v>
      </c>
      <c r="M47" s="4">
        <v>0</v>
      </c>
      <c r="O47" s="4">
        <v>-286563751</v>
      </c>
      <c r="Q47" s="4">
        <v>-501236029</v>
      </c>
      <c r="S47" s="4">
        <v>-787799780</v>
      </c>
      <c r="U47" s="5">
        <v>-1.251771323016862E-3</v>
      </c>
    </row>
    <row r="48" spans="1:21" ht="18.75" x14ac:dyDescent="0.45">
      <c r="A48" s="12" t="s">
        <v>55</v>
      </c>
      <c r="C48" s="4">
        <v>0</v>
      </c>
      <c r="E48" s="4">
        <v>-743197863</v>
      </c>
      <c r="G48" s="4">
        <v>563465472</v>
      </c>
      <c r="I48" s="4">
        <v>-179732391</v>
      </c>
      <c r="K48" s="5">
        <v>-1.7062387565532598E-3</v>
      </c>
      <c r="M48" s="4">
        <v>10632176000</v>
      </c>
      <c r="O48" s="4">
        <v>1654450739</v>
      </c>
      <c r="Q48" s="4">
        <v>-3385982366</v>
      </c>
      <c r="S48" s="4">
        <v>8900644373</v>
      </c>
      <c r="U48" s="5">
        <v>1.4142643429645028E-2</v>
      </c>
    </row>
    <row r="49" spans="1:21" ht="18.75" x14ac:dyDescent="0.45">
      <c r="A49" s="12" t="s">
        <v>56</v>
      </c>
      <c r="C49" s="4">
        <v>0</v>
      </c>
      <c r="E49" s="4">
        <v>-943716342</v>
      </c>
      <c r="G49" s="4">
        <v>-163765487</v>
      </c>
      <c r="I49" s="4">
        <v>-1107481829</v>
      </c>
      <c r="K49" s="5">
        <v>-1.0513566354426842E-2</v>
      </c>
      <c r="M49" s="4">
        <v>600000000</v>
      </c>
      <c r="O49" s="4">
        <v>-426810342</v>
      </c>
      <c r="Q49" s="4">
        <v>-163765487</v>
      </c>
      <c r="S49" s="4">
        <v>9424171</v>
      </c>
      <c r="U49" s="5">
        <v>1.497449897867088E-5</v>
      </c>
    </row>
    <row r="50" spans="1:21" ht="18.75" x14ac:dyDescent="0.45">
      <c r="A50" s="12" t="s">
        <v>57</v>
      </c>
      <c r="C50" s="4">
        <v>0</v>
      </c>
      <c r="E50" s="4">
        <v>1720715688</v>
      </c>
      <c r="G50" s="4">
        <v>0</v>
      </c>
      <c r="I50" s="4">
        <v>1720715688</v>
      </c>
      <c r="K50" s="5">
        <v>1.6335129018980262E-2</v>
      </c>
      <c r="M50" s="4">
        <v>0</v>
      </c>
      <c r="O50" s="4">
        <v>1976904335</v>
      </c>
      <c r="Q50" s="4">
        <v>0</v>
      </c>
      <c r="S50" s="4">
        <v>1976904335</v>
      </c>
      <c r="U50" s="5">
        <v>3.1411942700729366E-3</v>
      </c>
    </row>
    <row r="51" spans="1:21" ht="18.75" x14ac:dyDescent="0.45">
      <c r="A51" s="12" t="s">
        <v>58</v>
      </c>
      <c r="C51" s="4">
        <v>0</v>
      </c>
      <c r="E51" s="4">
        <v>1135224396</v>
      </c>
      <c r="G51" s="4">
        <v>0</v>
      </c>
      <c r="I51" s="4">
        <v>1135224396</v>
      </c>
      <c r="K51" s="5">
        <v>1.0776932588850751E-2</v>
      </c>
      <c r="M51" s="4">
        <v>3816783240</v>
      </c>
      <c r="O51" s="4">
        <v>-5527296324</v>
      </c>
      <c r="Q51" s="4">
        <v>-1029764237</v>
      </c>
      <c r="S51" s="4">
        <v>-2740277321</v>
      </c>
      <c r="U51" s="5">
        <v>-4.3541527360432524E-3</v>
      </c>
    </row>
    <row r="52" spans="1:21" ht="18.75" x14ac:dyDescent="0.45">
      <c r="A52" s="12" t="s">
        <v>59</v>
      </c>
      <c r="C52" s="4">
        <v>0</v>
      </c>
      <c r="E52" s="4">
        <v>-1935962647</v>
      </c>
      <c r="G52" s="4">
        <v>0</v>
      </c>
      <c r="I52" s="4">
        <v>-1935962647</v>
      </c>
      <c r="K52" s="5">
        <v>-1.8378515309190081E-2</v>
      </c>
      <c r="M52" s="4">
        <v>0</v>
      </c>
      <c r="O52" s="4">
        <v>217168788</v>
      </c>
      <c r="Q52" s="4">
        <v>0</v>
      </c>
      <c r="S52" s="4">
        <v>217168788</v>
      </c>
      <c r="U52" s="5">
        <v>3.4506948081748439E-4</v>
      </c>
    </row>
    <row r="53" spans="1:21" ht="18.75" x14ac:dyDescent="0.45">
      <c r="A53" s="12" t="s">
        <v>60</v>
      </c>
      <c r="C53" s="4">
        <v>0</v>
      </c>
      <c r="E53" s="4">
        <v>4521073372</v>
      </c>
      <c r="G53" s="4">
        <v>0</v>
      </c>
      <c r="I53" s="4">
        <v>4521073372</v>
      </c>
      <c r="K53" s="5">
        <v>4.2919534790628433E-2</v>
      </c>
      <c r="M53" s="4">
        <v>0</v>
      </c>
      <c r="O53" s="4">
        <v>985816592</v>
      </c>
      <c r="Q53" s="4">
        <v>-3687323107</v>
      </c>
      <c r="S53" s="4">
        <v>-2701506515</v>
      </c>
      <c r="U53" s="5">
        <v>-4.2925480182543618E-3</v>
      </c>
    </row>
    <row r="54" spans="1:21" ht="18.75" x14ac:dyDescent="0.45">
      <c r="A54" s="12" t="s">
        <v>61</v>
      </c>
      <c r="C54" s="4">
        <v>0</v>
      </c>
      <c r="E54" s="4">
        <v>-628872416</v>
      </c>
      <c r="G54" s="4">
        <v>173761205</v>
      </c>
      <c r="I54" s="4">
        <v>-455111211</v>
      </c>
      <c r="K54" s="5">
        <v>-4.3204699076756191E-3</v>
      </c>
      <c r="M54" s="4">
        <v>544518100</v>
      </c>
      <c r="O54" s="4">
        <v>2056212537</v>
      </c>
      <c r="Q54" s="4">
        <v>13410883502</v>
      </c>
      <c r="S54" s="4">
        <v>16011614139</v>
      </c>
      <c r="U54" s="5">
        <v>2.5441590519879969E-2</v>
      </c>
    </row>
    <row r="55" spans="1:21" ht="18.75" x14ac:dyDescent="0.45">
      <c r="A55" s="12" t="s">
        <v>62</v>
      </c>
      <c r="C55" s="4">
        <v>0</v>
      </c>
      <c r="E55" s="4">
        <v>1015068930</v>
      </c>
      <c r="G55" s="4">
        <v>92623458</v>
      </c>
      <c r="I55" s="4">
        <v>1107692388</v>
      </c>
      <c r="K55" s="5">
        <v>1.0515565236900625E-2</v>
      </c>
      <c r="M55" s="4">
        <v>0</v>
      </c>
      <c r="O55" s="4">
        <v>2956392617</v>
      </c>
      <c r="Q55" s="4">
        <v>136538470</v>
      </c>
      <c r="S55" s="4">
        <v>3092931087</v>
      </c>
      <c r="U55" s="5">
        <v>4.9145005330846515E-3</v>
      </c>
    </row>
    <row r="56" spans="1:21" ht="18.75" x14ac:dyDescent="0.45">
      <c r="A56" s="12" t="s">
        <v>63</v>
      </c>
      <c r="C56" s="4">
        <v>0</v>
      </c>
      <c r="E56" s="4">
        <v>-21213262</v>
      </c>
      <c r="G56" s="4">
        <v>0</v>
      </c>
      <c r="I56" s="4">
        <v>-21213262</v>
      </c>
      <c r="K56" s="5">
        <v>-2.0138211913799396E-4</v>
      </c>
      <c r="M56" s="4">
        <v>0</v>
      </c>
      <c r="O56" s="4">
        <v>269275673</v>
      </c>
      <c r="Q56" s="4">
        <v>0</v>
      </c>
      <c r="S56" s="4">
        <v>269275673</v>
      </c>
      <c r="U56" s="5">
        <v>4.2786450822246479E-4</v>
      </c>
    </row>
    <row r="57" spans="1:21" ht="18.75" x14ac:dyDescent="0.45">
      <c r="A57" s="12" t="s">
        <v>344</v>
      </c>
      <c r="C57" s="4">
        <v>0</v>
      </c>
      <c r="E57" s="4">
        <v>5123500444</v>
      </c>
      <c r="G57" s="4">
        <v>462009905</v>
      </c>
      <c r="I57" s="4">
        <v>5585510349</v>
      </c>
      <c r="K57" s="5">
        <v>5.3024466984324066E-2</v>
      </c>
      <c r="M57" s="4">
        <v>0</v>
      </c>
      <c r="O57" s="4">
        <v>7578148106</v>
      </c>
      <c r="Q57" s="4">
        <v>462009905</v>
      </c>
      <c r="S57" s="4">
        <v>8040158011</v>
      </c>
      <c r="U57" s="5">
        <v>1.2775377051633719E-2</v>
      </c>
    </row>
    <row r="58" spans="1:21" ht="18.75" x14ac:dyDescent="0.45">
      <c r="A58" s="12" t="s">
        <v>64</v>
      </c>
      <c r="C58" s="4">
        <v>0</v>
      </c>
      <c r="E58" s="4">
        <v>2704499015</v>
      </c>
      <c r="G58" s="4">
        <v>748610300</v>
      </c>
      <c r="I58" s="4">
        <v>3453109315</v>
      </c>
      <c r="K58" s="5">
        <v>3.2781119257841947E-2</v>
      </c>
      <c r="M58" s="4">
        <v>0</v>
      </c>
      <c r="O58" s="4">
        <v>4506626243</v>
      </c>
      <c r="Q58" s="4">
        <v>748610300</v>
      </c>
      <c r="S58" s="4">
        <v>5255236543</v>
      </c>
      <c r="U58" s="5">
        <v>8.3502871760102182E-3</v>
      </c>
    </row>
    <row r="59" spans="1:21" ht="18.75" x14ac:dyDescent="0.45">
      <c r="A59" s="12" t="s">
        <v>65</v>
      </c>
      <c r="C59" s="4">
        <v>0</v>
      </c>
      <c r="E59" s="4">
        <v>5076808731</v>
      </c>
      <c r="G59" s="4">
        <v>2706844472</v>
      </c>
      <c r="I59" s="4">
        <v>7783653203</v>
      </c>
      <c r="K59" s="5">
        <v>7.389191613507505E-2</v>
      </c>
      <c r="M59" s="4">
        <v>14908718125</v>
      </c>
      <c r="O59" s="4">
        <v>10946480453</v>
      </c>
      <c r="Q59" s="4">
        <v>5459371196</v>
      </c>
      <c r="S59" s="4">
        <v>31314569774</v>
      </c>
      <c r="U59" s="5">
        <v>4.9757160932062991E-2</v>
      </c>
    </row>
    <row r="60" spans="1:21" ht="18.75" x14ac:dyDescent="0.45">
      <c r="A60" s="12" t="s">
        <v>67</v>
      </c>
      <c r="C60" s="4">
        <v>0</v>
      </c>
      <c r="E60" s="4">
        <v>-835199093</v>
      </c>
      <c r="G60" s="4">
        <v>0</v>
      </c>
      <c r="I60" s="4">
        <v>-835199093</v>
      </c>
      <c r="K60" s="5">
        <v>-7.928727003441079E-3</v>
      </c>
      <c r="M60" s="4">
        <v>0</v>
      </c>
      <c r="O60" s="4">
        <v>447047910</v>
      </c>
      <c r="Q60" s="4">
        <v>0</v>
      </c>
      <c r="S60" s="4">
        <v>447047910</v>
      </c>
      <c r="U60" s="5">
        <v>7.1033499622533928E-4</v>
      </c>
    </row>
    <row r="61" spans="1:21" ht="37.5" x14ac:dyDescent="0.45">
      <c r="A61" s="12" t="s">
        <v>68</v>
      </c>
      <c r="C61" s="4">
        <v>0</v>
      </c>
      <c r="E61" s="4">
        <v>-680629805</v>
      </c>
      <c r="G61" s="4">
        <v>0</v>
      </c>
      <c r="I61" s="4">
        <v>-680629805</v>
      </c>
      <c r="K61" s="5">
        <v>-6.4613670674212951E-3</v>
      </c>
      <c r="M61" s="4">
        <v>293697600</v>
      </c>
      <c r="O61" s="4">
        <v>1868447184</v>
      </c>
      <c r="Q61" s="4">
        <v>909400292</v>
      </c>
      <c r="S61" s="4">
        <v>3071545076</v>
      </c>
      <c r="U61" s="5">
        <v>4.8805193160760315E-3</v>
      </c>
    </row>
    <row r="62" spans="1:21" ht="18.75" x14ac:dyDescent="0.45">
      <c r="A62" s="12" t="s">
        <v>69</v>
      </c>
      <c r="C62" s="4">
        <v>0</v>
      </c>
      <c r="E62" s="4">
        <v>1595425990</v>
      </c>
      <c r="G62" s="4">
        <v>0</v>
      </c>
      <c r="I62" s="4">
        <v>1595425990</v>
      </c>
      <c r="K62" s="5">
        <v>1.5145726611684332E-2</v>
      </c>
      <c r="M62" s="4">
        <v>3073492300</v>
      </c>
      <c r="O62" s="4">
        <v>-5760762219</v>
      </c>
      <c r="Q62" s="4">
        <v>-7786693872</v>
      </c>
      <c r="S62" s="4">
        <v>-10473963791</v>
      </c>
      <c r="U62" s="5">
        <v>-1.6642563053128522E-2</v>
      </c>
    </row>
    <row r="63" spans="1:21" ht="18.75" x14ac:dyDescent="0.45">
      <c r="A63" s="12" t="s">
        <v>70</v>
      </c>
      <c r="C63" s="4">
        <v>0</v>
      </c>
      <c r="E63" s="4">
        <v>-2060860176</v>
      </c>
      <c r="G63" s="4">
        <v>-2792310902</v>
      </c>
      <c r="I63" s="4">
        <v>-4853171078</v>
      </c>
      <c r="K63" s="5">
        <v>-4.6072210687204192E-2</v>
      </c>
      <c r="M63" s="4">
        <v>1113775480</v>
      </c>
      <c r="O63" s="4">
        <v>-9769070826</v>
      </c>
      <c r="Q63" s="4">
        <v>-7790637730</v>
      </c>
      <c r="S63" s="4">
        <v>-16445933076</v>
      </c>
      <c r="U63" s="5">
        <v>-2.6131699865150116E-2</v>
      </c>
    </row>
    <row r="64" spans="1:21" ht="18.75" x14ac:dyDescent="0.45">
      <c r="A64" s="12" t="s">
        <v>71</v>
      </c>
      <c r="C64" s="4">
        <v>0</v>
      </c>
      <c r="E64" s="4">
        <v>-96632633</v>
      </c>
      <c r="G64" s="4">
        <v>-1644551011</v>
      </c>
      <c r="I64" s="4">
        <v>-1741183644</v>
      </c>
      <c r="K64" s="5">
        <v>-1.6529435785836922E-2</v>
      </c>
      <c r="M64" s="4">
        <v>4034657942</v>
      </c>
      <c r="O64" s="4">
        <v>-5699193811</v>
      </c>
      <c r="Q64" s="4">
        <v>-6029100038</v>
      </c>
      <c r="S64" s="4">
        <v>-7693635907</v>
      </c>
      <c r="U64" s="5">
        <v>-1.2224772134507863E-2</v>
      </c>
    </row>
    <row r="65" spans="1:21" ht="18.75" x14ac:dyDescent="0.45">
      <c r="A65" s="12" t="s">
        <v>72</v>
      </c>
      <c r="C65" s="4">
        <v>0</v>
      </c>
      <c r="E65" s="4">
        <v>3262647367</v>
      </c>
      <c r="G65" s="4">
        <v>138767134</v>
      </c>
      <c r="I65" s="4">
        <v>3401414501</v>
      </c>
      <c r="K65" s="5">
        <v>3.2290369122772458E-2</v>
      </c>
      <c r="M65" s="4">
        <v>0</v>
      </c>
      <c r="O65" s="4">
        <v>5033689995</v>
      </c>
      <c r="Q65" s="4">
        <v>138767134</v>
      </c>
      <c r="S65" s="4">
        <v>5172457129</v>
      </c>
      <c r="U65" s="5">
        <v>8.218755155804093E-3</v>
      </c>
    </row>
    <row r="66" spans="1:21" ht="18.75" x14ac:dyDescent="0.45">
      <c r="A66" s="12" t="s">
        <v>73</v>
      </c>
      <c r="C66" s="4">
        <v>0</v>
      </c>
      <c r="E66" s="4">
        <v>722104327</v>
      </c>
      <c r="G66" s="4">
        <v>996775833</v>
      </c>
      <c r="I66" s="4">
        <v>1718880160</v>
      </c>
      <c r="K66" s="5">
        <v>1.6317703951662602E-2</v>
      </c>
      <c r="M66" s="4">
        <v>0</v>
      </c>
      <c r="O66" s="4">
        <v>722104327</v>
      </c>
      <c r="Q66" s="4">
        <v>996775833</v>
      </c>
      <c r="S66" s="4">
        <v>1718880160</v>
      </c>
      <c r="U66" s="5">
        <v>2.7312077847884593E-3</v>
      </c>
    </row>
    <row r="67" spans="1:21" ht="18.75" x14ac:dyDescent="0.45">
      <c r="A67" s="12" t="s">
        <v>74</v>
      </c>
      <c r="C67" s="4">
        <v>0</v>
      </c>
      <c r="E67" s="4">
        <v>-289420330</v>
      </c>
      <c r="G67" s="4">
        <v>429738070</v>
      </c>
      <c r="I67" s="4">
        <v>140317740</v>
      </c>
      <c r="K67" s="5">
        <v>1.3320668850388998E-3</v>
      </c>
      <c r="M67" s="4">
        <v>0</v>
      </c>
      <c r="O67" s="4">
        <v>2291658597</v>
      </c>
      <c r="Q67" s="4">
        <v>429738070</v>
      </c>
      <c r="S67" s="4">
        <v>2721396667</v>
      </c>
      <c r="U67" s="5">
        <v>4.3241523960621938E-3</v>
      </c>
    </row>
    <row r="68" spans="1:21" ht="18.75" x14ac:dyDescent="0.45">
      <c r="A68" s="12" t="s">
        <v>75</v>
      </c>
      <c r="C68" s="4">
        <v>0</v>
      </c>
      <c r="E68" s="4">
        <v>1588380804</v>
      </c>
      <c r="G68" s="4">
        <v>0</v>
      </c>
      <c r="I68" s="4">
        <v>1588380804</v>
      </c>
      <c r="K68" s="5">
        <v>1.5078845125640302E-2</v>
      </c>
      <c r="M68" s="4">
        <v>0</v>
      </c>
      <c r="O68" s="4">
        <v>8350064622</v>
      </c>
      <c r="Q68" s="4">
        <v>124525678</v>
      </c>
      <c r="S68" s="4">
        <v>8474590300</v>
      </c>
      <c r="U68" s="5">
        <v>1.3465666507112842E-2</v>
      </c>
    </row>
    <row r="69" spans="1:21" ht="18.75" x14ac:dyDescent="0.45">
      <c r="A69" s="12" t="s">
        <v>76</v>
      </c>
      <c r="C69" s="4">
        <v>0</v>
      </c>
      <c r="E69" s="4">
        <v>-460685617</v>
      </c>
      <c r="G69" s="4">
        <v>0</v>
      </c>
      <c r="I69" s="4">
        <v>-460685617</v>
      </c>
      <c r="K69" s="5">
        <v>-4.373388958654933E-3</v>
      </c>
      <c r="M69" s="4">
        <v>0</v>
      </c>
      <c r="O69" s="4">
        <v>1890183391</v>
      </c>
      <c r="Q69" s="4">
        <v>352329641</v>
      </c>
      <c r="S69" s="4">
        <v>2242513032</v>
      </c>
      <c r="U69" s="5">
        <v>3.5632321513839401E-3</v>
      </c>
    </row>
    <row r="70" spans="1:21" ht="37.5" x14ac:dyDescent="0.45">
      <c r="A70" s="12" t="s">
        <v>77</v>
      </c>
      <c r="C70" s="4">
        <v>3268000000</v>
      </c>
      <c r="E70" s="4">
        <v>-1707886511</v>
      </c>
      <c r="G70" s="4">
        <v>-270854104</v>
      </c>
      <c r="I70" s="4">
        <v>1289259385</v>
      </c>
      <c r="K70" s="5">
        <v>1.2239220308024613E-2</v>
      </c>
      <c r="M70" s="4">
        <v>3268000000</v>
      </c>
      <c r="O70" s="4">
        <v>-76542754</v>
      </c>
      <c r="Q70" s="4">
        <v>-270854104</v>
      </c>
      <c r="S70" s="4">
        <v>2920603142</v>
      </c>
      <c r="U70" s="5">
        <v>4.6406807311732742E-3</v>
      </c>
    </row>
    <row r="71" spans="1:21" ht="18.75" x14ac:dyDescent="0.45">
      <c r="A71" s="12" t="s">
        <v>78</v>
      </c>
      <c r="C71" s="4">
        <v>0</v>
      </c>
      <c r="E71" s="4">
        <v>-598939610</v>
      </c>
      <c r="G71" s="4">
        <v>14496210</v>
      </c>
      <c r="I71" s="4">
        <v>-584443400</v>
      </c>
      <c r="K71" s="5">
        <v>-5.5482485630080972E-3</v>
      </c>
      <c r="M71" s="4">
        <v>0</v>
      </c>
      <c r="O71" s="4">
        <v>-235354910</v>
      </c>
      <c r="Q71" s="4">
        <v>14496210</v>
      </c>
      <c r="S71" s="4">
        <v>-220858700</v>
      </c>
      <c r="U71" s="5">
        <v>-3.5093255179480281E-4</v>
      </c>
    </row>
    <row r="72" spans="1:21" ht="18.75" x14ac:dyDescent="0.45">
      <c r="A72" s="12" t="s">
        <v>79</v>
      </c>
      <c r="C72" s="4">
        <v>0</v>
      </c>
      <c r="E72" s="4">
        <v>-3087189001</v>
      </c>
      <c r="G72" s="4">
        <v>170698903</v>
      </c>
      <c r="I72" s="4">
        <v>-2916490098</v>
      </c>
      <c r="K72" s="5">
        <v>-2.7686876086299963E-2</v>
      </c>
      <c r="M72" s="4">
        <v>0</v>
      </c>
      <c r="O72" s="4">
        <v>-1147025722</v>
      </c>
      <c r="Q72" s="4">
        <v>418530122</v>
      </c>
      <c r="S72" s="4">
        <v>-728495600</v>
      </c>
      <c r="U72" s="5">
        <v>-1.1575401823848729E-3</v>
      </c>
    </row>
    <row r="73" spans="1:21" ht="18.75" x14ac:dyDescent="0.45">
      <c r="A73" s="12" t="s">
        <v>80</v>
      </c>
      <c r="C73" s="4">
        <v>0</v>
      </c>
      <c r="E73" s="4">
        <v>1880508659</v>
      </c>
      <c r="G73" s="4">
        <v>556103210</v>
      </c>
      <c r="I73" s="4">
        <v>2436611869</v>
      </c>
      <c r="K73" s="5">
        <v>2.3131287479314033E-2</v>
      </c>
      <c r="M73" s="4">
        <v>0</v>
      </c>
      <c r="O73" s="4">
        <v>2876725864</v>
      </c>
      <c r="Q73" s="4">
        <v>1274441625</v>
      </c>
      <c r="S73" s="4">
        <v>4151167489</v>
      </c>
      <c r="U73" s="5">
        <v>6.5959810496140471E-3</v>
      </c>
    </row>
    <row r="74" spans="1:21" ht="18.75" x14ac:dyDescent="0.45">
      <c r="A74" s="12" t="s">
        <v>81</v>
      </c>
      <c r="C74" s="4">
        <v>2776303170</v>
      </c>
      <c r="E74" s="4">
        <v>-1604375887</v>
      </c>
      <c r="G74" s="4">
        <v>0</v>
      </c>
      <c r="I74" s="4">
        <v>1171927283</v>
      </c>
      <c r="K74" s="5">
        <v>1.1125361093742753E-2</v>
      </c>
      <c r="M74" s="4">
        <v>2776303170</v>
      </c>
      <c r="O74" s="4">
        <v>107075337</v>
      </c>
      <c r="Q74" s="4">
        <v>0</v>
      </c>
      <c r="S74" s="4">
        <v>2883378507</v>
      </c>
      <c r="U74" s="5">
        <v>4.5815327956372047E-3</v>
      </c>
    </row>
    <row r="75" spans="1:21" ht="18.75" x14ac:dyDescent="0.45">
      <c r="A75" s="12" t="s">
        <v>82</v>
      </c>
      <c r="C75" s="4">
        <v>0</v>
      </c>
      <c r="E75" s="4">
        <v>-512251210</v>
      </c>
      <c r="G75" s="4">
        <v>0</v>
      </c>
      <c r="I75" s="4">
        <v>-512251210</v>
      </c>
      <c r="K75" s="5">
        <v>-4.8629123706104968E-3</v>
      </c>
      <c r="M75" s="4">
        <v>0</v>
      </c>
      <c r="O75" s="4">
        <v>873424785</v>
      </c>
      <c r="Q75" s="4">
        <v>0</v>
      </c>
      <c r="S75" s="4">
        <v>873424785</v>
      </c>
      <c r="U75" s="5">
        <v>1.3878248337098652E-3</v>
      </c>
    </row>
    <row r="76" spans="1:21" ht="18.75" x14ac:dyDescent="0.45">
      <c r="A76" s="12" t="s">
        <v>84</v>
      </c>
      <c r="C76" s="4">
        <v>552500000</v>
      </c>
      <c r="E76" s="4">
        <v>-284055850</v>
      </c>
      <c r="G76" s="4">
        <v>0</v>
      </c>
      <c r="I76" s="4">
        <v>268444150</v>
      </c>
      <c r="K76" s="5">
        <v>2.548398817550904E-3</v>
      </c>
      <c r="M76" s="4">
        <v>552500000</v>
      </c>
      <c r="O76" s="4">
        <v>-472580349</v>
      </c>
      <c r="Q76" s="4">
        <v>564732799</v>
      </c>
      <c r="S76" s="4">
        <v>644652450</v>
      </c>
      <c r="U76" s="5">
        <v>1.0243179430978789E-3</v>
      </c>
    </row>
    <row r="77" spans="1:21" ht="18.75" x14ac:dyDescent="0.45">
      <c r="A77" s="12" t="s">
        <v>86</v>
      </c>
      <c r="C77" s="4">
        <v>0</v>
      </c>
      <c r="E77" s="4">
        <v>-902143609</v>
      </c>
      <c r="G77" s="4">
        <v>22856076</v>
      </c>
      <c r="I77" s="4">
        <v>-879287533</v>
      </c>
      <c r="K77" s="5">
        <v>-8.3472681724837423E-3</v>
      </c>
      <c r="M77" s="4">
        <v>0</v>
      </c>
      <c r="O77" s="4">
        <v>-1057748539</v>
      </c>
      <c r="Q77" s="4">
        <v>23360374</v>
      </c>
      <c r="S77" s="4">
        <v>-1034388165</v>
      </c>
      <c r="U77" s="5">
        <v>-1.6435869553238949E-3</v>
      </c>
    </row>
    <row r="78" spans="1:21" ht="18.75" x14ac:dyDescent="0.45">
      <c r="A78" s="12" t="s">
        <v>87</v>
      </c>
      <c r="C78" s="4">
        <v>0</v>
      </c>
      <c r="E78" s="4">
        <v>-830755701</v>
      </c>
      <c r="G78" s="4">
        <v>0</v>
      </c>
      <c r="I78" s="4">
        <v>-830755701</v>
      </c>
      <c r="K78" s="5">
        <v>-7.8865449148438228E-3</v>
      </c>
      <c r="M78" s="4">
        <v>1450000000</v>
      </c>
      <c r="O78" s="4">
        <v>2933300133</v>
      </c>
      <c r="Q78" s="4">
        <v>211040316</v>
      </c>
      <c r="S78" s="4">
        <v>4594340449</v>
      </c>
      <c r="U78" s="5">
        <v>7.3001589594688821E-3</v>
      </c>
    </row>
    <row r="79" spans="1:21" ht="18.75" x14ac:dyDescent="0.45">
      <c r="A79" s="12" t="s">
        <v>88</v>
      </c>
      <c r="C79" s="4">
        <v>0</v>
      </c>
      <c r="E79" s="4">
        <v>549491880</v>
      </c>
      <c r="G79" s="4">
        <v>0</v>
      </c>
      <c r="I79" s="4">
        <v>549491880</v>
      </c>
      <c r="K79" s="5">
        <v>5.2164461667196819E-3</v>
      </c>
      <c r="M79" s="4">
        <v>0</v>
      </c>
      <c r="O79" s="4">
        <v>1683983074</v>
      </c>
      <c r="Q79" s="4">
        <v>0</v>
      </c>
      <c r="S79" s="4">
        <v>1683983074</v>
      </c>
      <c r="U79" s="5">
        <v>2.6757581989664712E-3</v>
      </c>
    </row>
    <row r="80" spans="1:21" ht="18.75" x14ac:dyDescent="0.45">
      <c r="A80" s="12" t="s">
        <v>89</v>
      </c>
      <c r="C80" s="4">
        <v>0</v>
      </c>
      <c r="E80" s="4">
        <v>3391635715</v>
      </c>
      <c r="G80" s="4">
        <v>275443481</v>
      </c>
      <c r="I80" s="4">
        <v>3667079196</v>
      </c>
      <c r="K80" s="5">
        <v>3.4812381968286212E-2</v>
      </c>
      <c r="M80" s="4">
        <v>5807092200</v>
      </c>
      <c r="O80" s="4">
        <v>3763015600</v>
      </c>
      <c r="Q80" s="4">
        <v>9399181752</v>
      </c>
      <c r="S80" s="4">
        <v>18969289552</v>
      </c>
      <c r="U80" s="5">
        <v>3.0141177088418302E-2</v>
      </c>
    </row>
    <row r="81" spans="1:21" ht="18.75" x14ac:dyDescent="0.45">
      <c r="A81" s="12" t="s">
        <v>90</v>
      </c>
      <c r="C81" s="4">
        <v>0</v>
      </c>
      <c r="E81" s="4">
        <v>5106567060</v>
      </c>
      <c r="G81" s="4">
        <v>180215303</v>
      </c>
      <c r="I81" s="4">
        <v>5286782363</v>
      </c>
      <c r="K81" s="5">
        <v>5.0188577111917598E-2</v>
      </c>
      <c r="M81" s="4">
        <v>0</v>
      </c>
      <c r="O81" s="4">
        <v>6679558564</v>
      </c>
      <c r="Q81" s="4">
        <v>180215303</v>
      </c>
      <c r="S81" s="4">
        <v>6859773867</v>
      </c>
      <c r="U81" s="5">
        <v>1.0899810366907041E-2</v>
      </c>
    </row>
    <row r="82" spans="1:21" ht="18.75" x14ac:dyDescent="0.45">
      <c r="A82" s="12" t="s">
        <v>91</v>
      </c>
      <c r="C82" s="4">
        <v>0</v>
      </c>
      <c r="E82" s="4">
        <v>-1087414209</v>
      </c>
      <c r="G82" s="4">
        <v>-148993256</v>
      </c>
      <c r="I82" s="4">
        <v>-1236407465</v>
      </c>
      <c r="K82" s="5">
        <v>-1.173748551353088E-2</v>
      </c>
      <c r="M82" s="4">
        <v>0</v>
      </c>
      <c r="O82" s="4">
        <v>-620256560</v>
      </c>
      <c r="Q82" s="4">
        <v>-148993256</v>
      </c>
      <c r="S82" s="4">
        <v>-769249816</v>
      </c>
      <c r="U82" s="5">
        <v>-1.2222964315943294E-3</v>
      </c>
    </row>
    <row r="83" spans="1:21" ht="18.75" x14ac:dyDescent="0.45">
      <c r="A83" s="12" t="s">
        <v>92</v>
      </c>
      <c r="C83" s="4">
        <v>0</v>
      </c>
      <c r="E83" s="4">
        <v>-1602447958</v>
      </c>
      <c r="G83" s="4">
        <v>-297214682</v>
      </c>
      <c r="I83" s="4">
        <v>-1899662640</v>
      </c>
      <c r="K83" s="5">
        <v>-1.8033911431937066E-2</v>
      </c>
      <c r="M83" s="4">
        <v>6240576192</v>
      </c>
      <c r="O83" s="4">
        <v>-428844743</v>
      </c>
      <c r="Q83" s="4">
        <v>-153979607</v>
      </c>
      <c r="S83" s="4">
        <v>5657751842</v>
      </c>
      <c r="U83" s="5">
        <v>8.9898622573383151E-3</v>
      </c>
    </row>
    <row r="84" spans="1:21" ht="18.75" x14ac:dyDescent="0.45">
      <c r="A84" s="12" t="s">
        <v>93</v>
      </c>
      <c r="C84" s="4">
        <v>0</v>
      </c>
      <c r="E84" s="4">
        <v>-801896801</v>
      </c>
      <c r="G84" s="4">
        <v>0</v>
      </c>
      <c r="I84" s="4">
        <v>-801896801</v>
      </c>
      <c r="K84" s="5">
        <v>-7.6125810879702632E-3</v>
      </c>
      <c r="M84" s="4">
        <v>0</v>
      </c>
      <c r="O84" s="4">
        <v>6745039896</v>
      </c>
      <c r="Q84" s="4">
        <v>23005557539</v>
      </c>
      <c r="S84" s="4">
        <v>29750597435</v>
      </c>
      <c r="U84" s="5">
        <v>4.7272093312531786E-2</v>
      </c>
    </row>
    <row r="85" spans="1:21" ht="18.75" x14ac:dyDescent="0.45">
      <c r="A85" s="12" t="s">
        <v>94</v>
      </c>
      <c r="C85" s="4">
        <v>0</v>
      </c>
      <c r="E85" s="4">
        <v>-10642656</v>
      </c>
      <c r="G85" s="4">
        <v>0</v>
      </c>
      <c r="I85" s="4">
        <v>-10642656</v>
      </c>
      <c r="K85" s="5">
        <v>-1.0103305274486717E-4</v>
      </c>
      <c r="M85" s="4">
        <v>0</v>
      </c>
      <c r="O85" s="4">
        <v>1075068807</v>
      </c>
      <c r="Q85" s="4">
        <v>627471740</v>
      </c>
      <c r="S85" s="4">
        <v>1702540547</v>
      </c>
      <c r="U85" s="5">
        <v>2.7052450217846494E-3</v>
      </c>
    </row>
    <row r="86" spans="1:21" ht="18.75" x14ac:dyDescent="0.45">
      <c r="A86" s="12" t="s">
        <v>95</v>
      </c>
      <c r="C86" s="4">
        <v>0</v>
      </c>
      <c r="E86" s="4">
        <v>-751100053</v>
      </c>
      <c r="G86" s="4">
        <v>0</v>
      </c>
      <c r="I86" s="4">
        <v>-751100053</v>
      </c>
      <c r="K86" s="5">
        <v>-7.1303564891528511E-3</v>
      </c>
      <c r="M86" s="4">
        <v>0</v>
      </c>
      <c r="O86" s="4">
        <v>2091112843</v>
      </c>
      <c r="Q86" s="4">
        <v>0</v>
      </c>
      <c r="S86" s="4">
        <v>2091112843</v>
      </c>
      <c r="U86" s="5">
        <v>3.3226654240239338E-3</v>
      </c>
    </row>
    <row r="87" spans="1:21" ht="18.75" x14ac:dyDescent="0.45">
      <c r="A87" s="12" t="s">
        <v>96</v>
      </c>
      <c r="C87" s="4">
        <v>0</v>
      </c>
      <c r="E87" s="4">
        <v>-1850239108</v>
      </c>
      <c r="G87" s="4">
        <v>-197515434</v>
      </c>
      <c r="I87" s="4">
        <v>-2047754542</v>
      </c>
      <c r="K87" s="5">
        <v>-1.9439780131052558E-2</v>
      </c>
      <c r="M87" s="4">
        <v>0</v>
      </c>
      <c r="O87" s="4">
        <v>-936142369</v>
      </c>
      <c r="Q87" s="4">
        <v>-197515434</v>
      </c>
      <c r="S87" s="4">
        <v>-1133657803</v>
      </c>
      <c r="U87" s="5">
        <v>-1.8013210512824707E-3</v>
      </c>
    </row>
    <row r="88" spans="1:21" ht="18.75" x14ac:dyDescent="0.45">
      <c r="A88" s="12" t="s">
        <v>97</v>
      </c>
      <c r="C88" s="4">
        <v>0</v>
      </c>
      <c r="E88" s="4">
        <v>656086805</v>
      </c>
      <c r="G88" s="4">
        <v>0</v>
      </c>
      <c r="I88" s="4">
        <v>656086805</v>
      </c>
      <c r="K88" s="5">
        <v>6.2283750198048665E-3</v>
      </c>
      <c r="M88" s="4">
        <v>0</v>
      </c>
      <c r="O88" s="4">
        <v>1978941473</v>
      </c>
      <c r="Q88" s="4">
        <v>0</v>
      </c>
      <c r="S88" s="4">
        <v>1978941473</v>
      </c>
      <c r="U88" s="5">
        <v>3.1444311723851305E-3</v>
      </c>
    </row>
    <row r="89" spans="1:21" ht="18.75" x14ac:dyDescent="0.45">
      <c r="A89" s="12" t="s">
        <v>98</v>
      </c>
      <c r="C89" s="4">
        <v>0</v>
      </c>
      <c r="E89" s="4">
        <v>1379532552</v>
      </c>
      <c r="G89" s="4">
        <v>40472544</v>
      </c>
      <c r="I89" s="4">
        <v>1420005096</v>
      </c>
      <c r="K89" s="5">
        <v>1.3480417835749664E-2</v>
      </c>
      <c r="M89" s="4">
        <v>0</v>
      </c>
      <c r="O89" s="4">
        <v>1866268463</v>
      </c>
      <c r="Q89" s="4">
        <v>40472544</v>
      </c>
      <c r="S89" s="4">
        <v>1906741007</v>
      </c>
      <c r="U89" s="5">
        <v>3.029708529472925E-3</v>
      </c>
    </row>
    <row r="90" spans="1:21" ht="18.75" x14ac:dyDescent="0.45">
      <c r="A90" s="12" t="s">
        <v>99</v>
      </c>
      <c r="C90" s="4">
        <v>0</v>
      </c>
      <c r="E90" s="4">
        <v>3858586729</v>
      </c>
      <c r="G90" s="4">
        <v>0</v>
      </c>
      <c r="I90" s="4">
        <v>3858586729</v>
      </c>
      <c r="K90" s="5">
        <v>3.663040471398319E-2</v>
      </c>
      <c r="M90" s="4">
        <v>0</v>
      </c>
      <c r="O90" s="4">
        <v>7188410704</v>
      </c>
      <c r="Q90" s="4">
        <v>0</v>
      </c>
      <c r="S90" s="4">
        <v>7188410704</v>
      </c>
      <c r="U90" s="5">
        <v>1.1421996560261357E-2</v>
      </c>
    </row>
    <row r="91" spans="1:21" ht="18.75" x14ac:dyDescent="0.45">
      <c r="A91" s="12" t="s">
        <v>100</v>
      </c>
      <c r="C91" s="4">
        <v>0</v>
      </c>
      <c r="E91" s="4">
        <v>-1619872026</v>
      </c>
      <c r="G91" s="4">
        <v>0</v>
      </c>
      <c r="I91" s="4">
        <v>-1619872026</v>
      </c>
      <c r="K91" s="5">
        <v>-1.5377798158917553E-2</v>
      </c>
      <c r="M91" s="4">
        <v>0</v>
      </c>
      <c r="O91" s="4">
        <v>1523824712</v>
      </c>
      <c r="Q91" s="4">
        <v>0</v>
      </c>
      <c r="S91" s="4">
        <v>1523824712</v>
      </c>
      <c r="U91" s="5">
        <v>2.4212752074975557E-3</v>
      </c>
    </row>
    <row r="92" spans="1:21" ht="18.75" x14ac:dyDescent="0.45">
      <c r="A92" s="12" t="s">
        <v>101</v>
      </c>
      <c r="C92" s="4">
        <v>0</v>
      </c>
      <c r="E92" s="4">
        <v>-223813327</v>
      </c>
      <c r="G92" s="4">
        <v>0</v>
      </c>
      <c r="I92" s="4">
        <v>-223813327</v>
      </c>
      <c r="K92" s="5">
        <v>-2.1247086884885881E-3</v>
      </c>
      <c r="M92" s="4">
        <v>0</v>
      </c>
      <c r="O92" s="4">
        <v>31155558</v>
      </c>
      <c r="Q92" s="4">
        <v>0</v>
      </c>
      <c r="S92" s="4">
        <v>31155558</v>
      </c>
      <c r="U92" s="5">
        <v>4.9504499807030391E-5</v>
      </c>
    </row>
    <row r="93" spans="1:21" ht="18.75" x14ac:dyDescent="0.45">
      <c r="A93" s="12" t="s">
        <v>102</v>
      </c>
      <c r="C93" s="4">
        <v>0</v>
      </c>
      <c r="E93" s="4">
        <v>3106496384</v>
      </c>
      <c r="G93" s="4">
        <v>432330722</v>
      </c>
      <c r="I93" s="4">
        <v>3538827106</v>
      </c>
      <c r="K93" s="5">
        <v>3.359485692814497E-2</v>
      </c>
      <c r="M93" s="4">
        <v>0</v>
      </c>
      <c r="O93" s="4">
        <v>3877945189</v>
      </c>
      <c r="Q93" s="4">
        <v>432330722</v>
      </c>
      <c r="S93" s="4">
        <v>4310275911</v>
      </c>
      <c r="U93" s="5">
        <v>6.8487957431013508E-3</v>
      </c>
    </row>
    <row r="94" spans="1:21" ht="18.75" x14ac:dyDescent="0.45">
      <c r="A94" s="12" t="s">
        <v>103</v>
      </c>
      <c r="C94" s="4">
        <v>0</v>
      </c>
      <c r="E94" s="4">
        <v>1248305843</v>
      </c>
      <c r="G94" s="4">
        <v>1014936865</v>
      </c>
      <c r="I94" s="4">
        <v>2263242708</v>
      </c>
      <c r="K94" s="5">
        <v>2.1485456251879229E-2</v>
      </c>
      <c r="M94" s="4">
        <v>0</v>
      </c>
      <c r="O94" s="4">
        <v>3360668557</v>
      </c>
      <c r="Q94" s="4">
        <v>1014936865</v>
      </c>
      <c r="S94" s="4">
        <v>4375605422</v>
      </c>
      <c r="U94" s="5">
        <v>6.9526008094298979E-3</v>
      </c>
    </row>
    <row r="95" spans="1:21" ht="18.75" x14ac:dyDescent="0.45">
      <c r="A95" s="12" t="s">
        <v>104</v>
      </c>
      <c r="C95" s="4">
        <v>0</v>
      </c>
      <c r="E95" s="4">
        <v>1799602734</v>
      </c>
      <c r="G95" s="4">
        <v>0</v>
      </c>
      <c r="I95" s="4">
        <v>1799602734</v>
      </c>
      <c r="K95" s="5">
        <v>1.7084020938385038E-2</v>
      </c>
      <c r="M95" s="4">
        <v>0</v>
      </c>
      <c r="O95" s="4">
        <v>1699845572</v>
      </c>
      <c r="Q95" s="4">
        <v>0</v>
      </c>
      <c r="S95" s="4">
        <v>1699845572</v>
      </c>
      <c r="U95" s="5">
        <v>2.7009628519911425E-3</v>
      </c>
    </row>
    <row r="96" spans="1:21" ht="37.5" x14ac:dyDescent="0.45">
      <c r="A96" s="12" t="s">
        <v>345</v>
      </c>
      <c r="C96" s="4">
        <v>0</v>
      </c>
      <c r="E96" s="4">
        <v>-2908119415</v>
      </c>
      <c r="G96" s="4">
        <v>2626596495</v>
      </c>
      <c r="I96" s="4">
        <v>-281522920</v>
      </c>
      <c r="K96" s="5">
        <v>-2.6725584313961686E-3</v>
      </c>
      <c r="M96" s="4">
        <v>0</v>
      </c>
      <c r="O96" s="4">
        <v>2729016233</v>
      </c>
      <c r="Q96" s="4">
        <v>2626596495</v>
      </c>
      <c r="S96" s="4">
        <v>5355612728</v>
      </c>
      <c r="U96" s="5">
        <v>8.5097795154176186E-3</v>
      </c>
    </row>
    <row r="97" spans="1:21" ht="37.5" x14ac:dyDescent="0.45">
      <c r="A97" s="12" t="s">
        <v>346</v>
      </c>
      <c r="C97" s="4">
        <v>0</v>
      </c>
      <c r="E97" s="4">
        <v>-166487782</v>
      </c>
      <c r="G97" s="4">
        <v>154108183</v>
      </c>
      <c r="I97" s="4">
        <v>-12379599</v>
      </c>
      <c r="K97" s="5">
        <v>-1.1752223117305538E-4</v>
      </c>
      <c r="M97" s="4">
        <v>0</v>
      </c>
      <c r="O97" s="4">
        <v>1408752402</v>
      </c>
      <c r="Q97" s="4">
        <v>154108183</v>
      </c>
      <c r="S97" s="4">
        <v>1562860585</v>
      </c>
      <c r="U97" s="5">
        <v>2.4833011024404665E-3</v>
      </c>
    </row>
    <row r="98" spans="1:21" ht="18.75" x14ac:dyDescent="0.45">
      <c r="A98" s="12" t="s">
        <v>347</v>
      </c>
      <c r="C98" s="4">
        <v>0</v>
      </c>
      <c r="E98" s="4">
        <v>5545333731</v>
      </c>
      <c r="G98" s="4">
        <v>0</v>
      </c>
      <c r="I98" s="4">
        <v>5545333731</v>
      </c>
      <c r="K98" s="5">
        <v>5.2643061594024466E-2</v>
      </c>
      <c r="M98" s="4">
        <v>0</v>
      </c>
      <c r="O98" s="4">
        <v>6432129845</v>
      </c>
      <c r="Q98" s="4">
        <v>0</v>
      </c>
      <c r="S98" s="4">
        <v>6432129845</v>
      </c>
      <c r="U98" s="5">
        <v>1.0220307101243281E-2</v>
      </c>
    </row>
    <row r="99" spans="1:21" ht="18.75" x14ac:dyDescent="0.45">
      <c r="A99" s="12" t="s">
        <v>106</v>
      </c>
      <c r="C99" s="4">
        <v>0</v>
      </c>
      <c r="E99" s="4">
        <v>-125713176</v>
      </c>
      <c r="G99" s="4">
        <v>0</v>
      </c>
      <c r="I99" s="4">
        <v>-125713176</v>
      </c>
      <c r="K99" s="5">
        <v>-1.1934225762378085E-3</v>
      </c>
      <c r="M99" s="4">
        <v>0</v>
      </c>
      <c r="O99" s="4">
        <v>1674910541</v>
      </c>
      <c r="Q99" s="4">
        <v>0</v>
      </c>
      <c r="S99" s="4">
        <v>1674910541</v>
      </c>
      <c r="U99" s="5">
        <v>2.6613424337875013E-3</v>
      </c>
    </row>
    <row r="100" spans="1:21" ht="18.75" x14ac:dyDescent="0.45">
      <c r="A100" s="12" t="s">
        <v>107</v>
      </c>
      <c r="C100" s="4">
        <v>0</v>
      </c>
      <c r="E100" s="4">
        <v>932785600</v>
      </c>
      <c r="G100" s="4">
        <v>0</v>
      </c>
      <c r="I100" s="4">
        <v>932785600</v>
      </c>
      <c r="K100" s="5">
        <v>8.8551369812622498E-3</v>
      </c>
      <c r="M100" s="4">
        <v>0</v>
      </c>
      <c r="O100" s="4">
        <v>1334958729</v>
      </c>
      <c r="Q100" s="4">
        <v>0</v>
      </c>
      <c r="S100" s="4">
        <v>1334958729</v>
      </c>
      <c r="U100" s="5">
        <v>2.1211773559688461E-3</v>
      </c>
    </row>
    <row r="101" spans="1:21" ht="18.75" x14ac:dyDescent="0.45">
      <c r="A101" s="12" t="s">
        <v>108</v>
      </c>
      <c r="C101" s="4">
        <v>0</v>
      </c>
      <c r="E101" s="4">
        <v>-1323726481</v>
      </c>
      <c r="G101" s="4">
        <v>187388400</v>
      </c>
      <c r="I101" s="4">
        <v>-1136338081</v>
      </c>
      <c r="K101" s="5">
        <v>-1.0787505043259328E-2</v>
      </c>
      <c r="M101" s="4">
        <v>0</v>
      </c>
      <c r="O101" s="4">
        <v>2184115573</v>
      </c>
      <c r="Q101" s="4">
        <v>187388400</v>
      </c>
      <c r="S101" s="4">
        <v>2371503973</v>
      </c>
      <c r="U101" s="5">
        <v>3.7681917933792197E-3</v>
      </c>
    </row>
    <row r="102" spans="1:21" ht="18.75" x14ac:dyDescent="0.45">
      <c r="A102" s="12" t="s">
        <v>348</v>
      </c>
      <c r="C102" s="4">
        <v>0</v>
      </c>
      <c r="E102" s="4">
        <v>-797706576</v>
      </c>
      <c r="G102" s="4">
        <v>0</v>
      </c>
      <c r="I102" s="4">
        <v>-797706576</v>
      </c>
      <c r="K102" s="5">
        <v>-7.5728023688762828E-3</v>
      </c>
      <c r="M102" s="4">
        <v>94482130</v>
      </c>
      <c r="O102" s="4">
        <v>-2168938012</v>
      </c>
      <c r="Q102" s="4">
        <v>0</v>
      </c>
      <c r="S102" s="4">
        <v>-2074455882</v>
      </c>
      <c r="U102" s="5">
        <v>-3.2961984121793629E-3</v>
      </c>
    </row>
    <row r="103" spans="1:21" ht="18.75" x14ac:dyDescent="0.45">
      <c r="A103" s="12" t="s">
        <v>109</v>
      </c>
      <c r="C103" s="4">
        <v>0</v>
      </c>
      <c r="E103" s="4">
        <v>1946592010</v>
      </c>
      <c r="G103" s="4">
        <v>0</v>
      </c>
      <c r="I103" s="4">
        <v>1946592010</v>
      </c>
      <c r="K103" s="5">
        <v>1.8479422168589024E-2</v>
      </c>
      <c r="M103" s="4">
        <v>1650000000</v>
      </c>
      <c r="O103" s="4">
        <v>864071560</v>
      </c>
      <c r="Q103" s="4">
        <v>950569353</v>
      </c>
      <c r="S103" s="4">
        <v>3464640913</v>
      </c>
      <c r="U103" s="5">
        <v>5.5051273807722552E-3</v>
      </c>
    </row>
    <row r="104" spans="1:21" ht="18.75" x14ac:dyDescent="0.45">
      <c r="A104" s="12" t="s">
        <v>110</v>
      </c>
      <c r="C104" s="4">
        <v>0</v>
      </c>
      <c r="E104" s="4">
        <v>-1158910806</v>
      </c>
      <c r="G104" s="4">
        <v>0</v>
      </c>
      <c r="I104" s="4">
        <v>-1158910806</v>
      </c>
      <c r="K104" s="5">
        <v>-1.1001792840921901E-2</v>
      </c>
      <c r="M104" s="4">
        <v>883388000</v>
      </c>
      <c r="O104" s="4">
        <v>1125895405</v>
      </c>
      <c r="Q104" s="4">
        <v>-21602322</v>
      </c>
      <c r="S104" s="4">
        <v>1987681083</v>
      </c>
      <c r="U104" s="5">
        <v>3.1583179408891169E-3</v>
      </c>
    </row>
    <row r="105" spans="1:21" ht="18.75" x14ac:dyDescent="0.45">
      <c r="A105" s="12" t="s">
        <v>112</v>
      </c>
      <c r="C105" s="4">
        <v>0</v>
      </c>
      <c r="E105" s="4">
        <v>120885666</v>
      </c>
      <c r="G105" s="4">
        <v>0</v>
      </c>
      <c r="I105" s="4">
        <v>120885666</v>
      </c>
      <c r="K105" s="5">
        <v>1.1475939717563357E-3</v>
      </c>
      <c r="M105" s="4">
        <v>29499528</v>
      </c>
      <c r="O105" s="4">
        <v>145736518</v>
      </c>
      <c r="Q105" s="4">
        <v>0</v>
      </c>
      <c r="S105" s="4">
        <v>175236046</v>
      </c>
      <c r="U105" s="5">
        <v>2.7844061741381004E-4</v>
      </c>
    </row>
    <row r="106" spans="1:21" ht="18.75" x14ac:dyDescent="0.45">
      <c r="A106" s="12" t="s">
        <v>113</v>
      </c>
      <c r="C106" s="4">
        <v>0</v>
      </c>
      <c r="E106" s="4">
        <v>277601681</v>
      </c>
      <c r="G106" s="4">
        <v>0</v>
      </c>
      <c r="I106" s="4">
        <v>277601681</v>
      </c>
      <c r="K106" s="5">
        <v>2.6353332550198738E-3</v>
      </c>
      <c r="M106" s="4">
        <v>1080000000</v>
      </c>
      <c r="O106" s="4">
        <v>384340275</v>
      </c>
      <c r="Q106" s="4">
        <v>306487125</v>
      </c>
      <c r="S106" s="4">
        <v>1770827400</v>
      </c>
      <c r="U106" s="5">
        <v>2.8137491449064761E-3</v>
      </c>
    </row>
    <row r="107" spans="1:21" ht="18.75" x14ac:dyDescent="0.45">
      <c r="A107" s="12" t="s">
        <v>114</v>
      </c>
      <c r="C107" s="4">
        <v>0</v>
      </c>
      <c r="E107" s="4">
        <v>246545646</v>
      </c>
      <c r="G107" s="4">
        <v>0</v>
      </c>
      <c r="I107" s="4">
        <v>246545646</v>
      </c>
      <c r="K107" s="5">
        <v>2.3405115467732256E-3</v>
      </c>
      <c r="M107" s="4">
        <v>0</v>
      </c>
      <c r="O107" s="4">
        <v>246545646</v>
      </c>
      <c r="Q107" s="4">
        <v>0</v>
      </c>
      <c r="S107" s="4">
        <v>246545646</v>
      </c>
      <c r="U107" s="5">
        <v>3.9174772234319097E-4</v>
      </c>
    </row>
    <row r="108" spans="1:21" ht="18.75" x14ac:dyDescent="0.45">
      <c r="A108" s="12" t="s">
        <v>115</v>
      </c>
      <c r="C108" s="4">
        <v>0</v>
      </c>
      <c r="E108" s="4">
        <v>676403140</v>
      </c>
      <c r="G108" s="4">
        <v>0</v>
      </c>
      <c r="I108" s="4">
        <v>676403140</v>
      </c>
      <c r="K108" s="5">
        <v>6.4212424154660051E-3</v>
      </c>
      <c r="M108" s="4">
        <v>0</v>
      </c>
      <c r="O108" s="4">
        <v>2554822638</v>
      </c>
      <c r="Q108" s="4">
        <v>0</v>
      </c>
      <c r="S108" s="4">
        <v>2554822638</v>
      </c>
      <c r="U108" s="5">
        <v>4.0594752560640344E-3</v>
      </c>
    </row>
    <row r="109" spans="1:21" ht="18.75" x14ac:dyDescent="0.45">
      <c r="A109" s="12" t="s">
        <v>116</v>
      </c>
      <c r="C109" s="4">
        <v>0</v>
      </c>
      <c r="E109" s="4">
        <v>983526312</v>
      </c>
      <c r="G109" s="4">
        <v>0</v>
      </c>
      <c r="I109" s="4">
        <v>983526312</v>
      </c>
      <c r="K109" s="5">
        <v>9.3368296181198258E-3</v>
      </c>
      <c r="M109" s="4">
        <v>0</v>
      </c>
      <c r="O109" s="4">
        <v>4606867603</v>
      </c>
      <c r="Q109" s="4">
        <v>0</v>
      </c>
      <c r="S109" s="4">
        <v>4606867603</v>
      </c>
      <c r="U109" s="5">
        <v>7.3200639309277671E-3</v>
      </c>
    </row>
    <row r="110" spans="1:21" ht="18.75" x14ac:dyDescent="0.45">
      <c r="A110" s="12" t="s">
        <v>117</v>
      </c>
      <c r="C110" s="4">
        <v>0</v>
      </c>
      <c r="E110" s="4">
        <v>4431543452</v>
      </c>
      <c r="G110" s="4">
        <v>-2295272366</v>
      </c>
      <c r="I110" s="4">
        <v>2136271086</v>
      </c>
      <c r="K110" s="5">
        <v>2.0280086973512315E-2</v>
      </c>
      <c r="M110" s="4">
        <v>6902065990</v>
      </c>
      <c r="O110" s="4">
        <v>-6000070188</v>
      </c>
      <c r="Q110" s="4">
        <v>-19230354776</v>
      </c>
      <c r="S110" s="4">
        <v>-18328358974</v>
      </c>
      <c r="U110" s="5">
        <v>-2.9122772999012461E-2</v>
      </c>
    </row>
    <row r="111" spans="1:21" ht="18.75" x14ac:dyDescent="0.45">
      <c r="A111" s="12" t="s">
        <v>118</v>
      </c>
      <c r="C111" s="4">
        <v>0</v>
      </c>
      <c r="E111" s="4">
        <v>-5893953278</v>
      </c>
      <c r="G111" s="4">
        <v>-966171940</v>
      </c>
      <c r="I111" s="4">
        <v>-6860125218</v>
      </c>
      <c r="K111" s="5">
        <v>-6.5124663710504918E-2</v>
      </c>
      <c r="M111" s="4">
        <v>13820455220</v>
      </c>
      <c r="O111" s="4">
        <v>-5222054639</v>
      </c>
      <c r="Q111" s="4">
        <v>-4836499469</v>
      </c>
      <c r="S111" s="4">
        <v>3761901112</v>
      </c>
      <c r="U111" s="5">
        <v>5.9774577901339915E-3</v>
      </c>
    </row>
    <row r="112" spans="1:21" ht="18.75" x14ac:dyDescent="0.45">
      <c r="A112" s="12" t="s">
        <v>119</v>
      </c>
      <c r="C112" s="4">
        <v>0</v>
      </c>
      <c r="E112" s="4">
        <v>2213147186</v>
      </c>
      <c r="G112" s="4">
        <v>1373620213</v>
      </c>
      <c r="I112" s="4">
        <v>3586767399</v>
      </c>
      <c r="K112" s="5">
        <v>3.4049964577144751E-2</v>
      </c>
      <c r="M112" s="4">
        <v>0</v>
      </c>
      <c r="O112" s="4">
        <v>7529759722</v>
      </c>
      <c r="Q112" s="4">
        <v>1373620213</v>
      </c>
      <c r="S112" s="4">
        <v>8903379935</v>
      </c>
      <c r="U112" s="5">
        <v>1.4146990089990548E-2</v>
      </c>
    </row>
    <row r="113" spans="1:21" ht="18.75" x14ac:dyDescent="0.45">
      <c r="A113" s="12" t="s">
        <v>120</v>
      </c>
      <c r="C113" s="4">
        <v>0</v>
      </c>
      <c r="E113" s="4">
        <v>-1985264698</v>
      </c>
      <c r="G113" s="4">
        <v>0</v>
      </c>
      <c r="I113" s="4">
        <v>-1985264698</v>
      </c>
      <c r="K113" s="5">
        <v>-1.8846550423649584E-2</v>
      </c>
      <c r="M113" s="4">
        <v>0</v>
      </c>
      <c r="O113" s="4">
        <v>3678041135</v>
      </c>
      <c r="Q113" s="4">
        <v>0</v>
      </c>
      <c r="S113" s="4">
        <v>3678041135</v>
      </c>
      <c r="U113" s="5">
        <v>5.8442088136523608E-3</v>
      </c>
    </row>
    <row r="114" spans="1:21" ht="18.75" x14ac:dyDescent="0.45">
      <c r="A114" s="12" t="s">
        <v>121</v>
      </c>
      <c r="C114" s="4">
        <v>0</v>
      </c>
      <c r="E114" s="4">
        <v>2143352005</v>
      </c>
      <c r="G114" s="4">
        <v>-3807331756</v>
      </c>
      <c r="I114" s="4">
        <v>-1663979751</v>
      </c>
      <c r="K114" s="5">
        <v>-1.5796522404667963E-2</v>
      </c>
      <c r="M114" s="4">
        <v>7010721000</v>
      </c>
      <c r="O114" s="4">
        <v>-7797609985</v>
      </c>
      <c r="Q114" s="4">
        <v>-10570672079</v>
      </c>
      <c r="S114" s="4">
        <v>-11357561064</v>
      </c>
      <c r="U114" s="5">
        <v>-1.8046551421134035E-2</v>
      </c>
    </row>
    <row r="115" spans="1:21" ht="18.75" x14ac:dyDescent="0.45">
      <c r="A115" s="12" t="s">
        <v>349</v>
      </c>
      <c r="C115" s="4">
        <v>0</v>
      </c>
      <c r="E115" s="4">
        <v>-566930675</v>
      </c>
      <c r="G115" s="4">
        <v>0</v>
      </c>
      <c r="I115" s="4">
        <v>-566930675</v>
      </c>
      <c r="K115" s="5">
        <v>-5.3819964480631664E-3</v>
      </c>
      <c r="M115" s="4">
        <v>0</v>
      </c>
      <c r="O115" s="4">
        <v>-120098453</v>
      </c>
      <c r="Q115" s="4">
        <v>0</v>
      </c>
      <c r="S115" s="4">
        <v>-120098453</v>
      </c>
      <c r="U115" s="5">
        <v>-1.9082995860203011E-4</v>
      </c>
    </row>
    <row r="116" spans="1:21" ht="18.75" x14ac:dyDescent="0.45">
      <c r="A116" s="12" t="s">
        <v>350</v>
      </c>
      <c r="C116" s="4">
        <v>0</v>
      </c>
      <c r="E116" s="4">
        <v>-997962747</v>
      </c>
      <c r="G116" s="4">
        <v>0</v>
      </c>
      <c r="I116" s="4">
        <v>-997962747</v>
      </c>
      <c r="K116" s="5">
        <v>-9.4738778416838358E-3</v>
      </c>
      <c r="M116" s="4">
        <v>0</v>
      </c>
      <c r="O116" s="4">
        <v>18882961</v>
      </c>
      <c r="Q116" s="4">
        <v>0</v>
      </c>
      <c r="S116" s="4">
        <v>18882961</v>
      </c>
      <c r="U116" s="5">
        <v>3.0004005679521526E-5</v>
      </c>
    </row>
    <row r="117" spans="1:21" ht="18.75" x14ac:dyDescent="0.45">
      <c r="A117" s="12" t="s">
        <v>123</v>
      </c>
      <c r="C117" s="4">
        <v>0</v>
      </c>
      <c r="E117" s="4">
        <v>276802048</v>
      </c>
      <c r="G117" s="4">
        <v>488724885</v>
      </c>
      <c r="I117" s="4">
        <v>765526933</v>
      </c>
      <c r="K117" s="5">
        <v>7.2673140050195546E-3</v>
      </c>
      <c r="M117" s="4">
        <v>0</v>
      </c>
      <c r="O117" s="4">
        <v>1724878347</v>
      </c>
      <c r="Q117" s="4">
        <v>902267265</v>
      </c>
      <c r="S117" s="4">
        <v>2627145612</v>
      </c>
      <c r="U117" s="5">
        <v>4.1743925575749513E-3</v>
      </c>
    </row>
    <row r="118" spans="1:21" ht="18.75" x14ac:dyDescent="0.45">
      <c r="A118" s="12" t="s">
        <v>124</v>
      </c>
      <c r="C118" s="4">
        <v>0</v>
      </c>
      <c r="E118" s="4">
        <v>-1642723387</v>
      </c>
      <c r="G118" s="4">
        <v>0</v>
      </c>
      <c r="I118" s="4">
        <v>-1642723387</v>
      </c>
      <c r="K118" s="5">
        <v>-1.5594731108850821E-2</v>
      </c>
      <c r="M118" s="4">
        <v>0</v>
      </c>
      <c r="O118" s="4">
        <v>1872840161</v>
      </c>
      <c r="Q118" s="4">
        <v>0</v>
      </c>
      <c r="S118" s="4">
        <v>1872840161</v>
      </c>
      <c r="U118" s="5">
        <v>2.9758419152314092E-3</v>
      </c>
    </row>
    <row r="119" spans="1:21" ht="18.75" x14ac:dyDescent="0.45">
      <c r="A119" s="12" t="s">
        <v>125</v>
      </c>
      <c r="C119" s="4">
        <v>0</v>
      </c>
      <c r="E119" s="4">
        <v>-427237184</v>
      </c>
      <c r="G119" s="4">
        <v>225130231</v>
      </c>
      <c r="I119" s="4">
        <v>-202106953</v>
      </c>
      <c r="K119" s="5">
        <v>-1.9186453496714908E-3</v>
      </c>
      <c r="M119" s="4">
        <v>0</v>
      </c>
      <c r="O119" s="4">
        <v>3907710579</v>
      </c>
      <c r="Q119" s="4">
        <v>225130231</v>
      </c>
      <c r="S119" s="4">
        <v>4132840810</v>
      </c>
      <c r="U119" s="5">
        <v>6.566860946003031E-3</v>
      </c>
    </row>
    <row r="120" spans="1:21" ht="18.75" x14ac:dyDescent="0.45">
      <c r="A120" s="12" t="s">
        <v>126</v>
      </c>
      <c r="C120" s="4">
        <v>0</v>
      </c>
      <c r="E120" s="4">
        <v>-973386765</v>
      </c>
      <c r="G120" s="4">
        <v>654358263</v>
      </c>
      <c r="I120" s="4">
        <v>-319028502</v>
      </c>
      <c r="K120" s="5">
        <v>-3.0286070948531982E-3</v>
      </c>
      <c r="M120" s="4">
        <v>0</v>
      </c>
      <c r="O120" s="4">
        <v>1752855516</v>
      </c>
      <c r="Q120" s="4">
        <v>654358263</v>
      </c>
      <c r="S120" s="4">
        <v>2407213779</v>
      </c>
      <c r="U120" s="5">
        <v>3.8249327474085488E-3</v>
      </c>
    </row>
    <row r="121" spans="1:21" ht="37.5" x14ac:dyDescent="0.45">
      <c r="A121" s="12" t="s">
        <v>128</v>
      </c>
      <c r="C121" s="4">
        <v>0</v>
      </c>
      <c r="E121" s="4">
        <v>42485191</v>
      </c>
      <c r="G121" s="4">
        <v>0</v>
      </c>
      <c r="I121" s="4">
        <v>42485191</v>
      </c>
      <c r="K121" s="5">
        <v>4.0332117689219268E-4</v>
      </c>
      <c r="M121" s="4">
        <v>0</v>
      </c>
      <c r="O121" s="4">
        <v>116656253</v>
      </c>
      <c r="Q121" s="4">
        <v>0</v>
      </c>
      <c r="S121" s="4">
        <v>116656253</v>
      </c>
      <c r="U121" s="5">
        <v>1.8536048862059822E-4</v>
      </c>
    </row>
    <row r="122" spans="1:21" ht="37.5" x14ac:dyDescent="0.45">
      <c r="A122" s="12" t="s">
        <v>129</v>
      </c>
      <c r="C122" s="4">
        <v>0</v>
      </c>
      <c r="E122" s="4">
        <v>598395084</v>
      </c>
      <c r="G122" s="4">
        <v>0</v>
      </c>
      <c r="I122" s="4">
        <v>598395084</v>
      </c>
      <c r="K122" s="5">
        <v>5.6806949396881025E-3</v>
      </c>
      <c r="M122" s="4">
        <v>0</v>
      </c>
      <c r="O122" s="4">
        <v>2668366268</v>
      </c>
      <c r="Q122" s="4">
        <v>-90723025</v>
      </c>
      <c r="S122" s="4">
        <v>2577643243</v>
      </c>
      <c r="U122" s="5">
        <v>4.0957359654956805E-3</v>
      </c>
    </row>
    <row r="123" spans="1:21" ht="18.75" x14ac:dyDescent="0.45">
      <c r="A123" s="12" t="s">
        <v>130</v>
      </c>
      <c r="C123" s="4">
        <v>0</v>
      </c>
      <c r="E123" s="4">
        <v>217752991</v>
      </c>
      <c r="G123" s="4">
        <v>2122178093</v>
      </c>
      <c r="I123" s="4">
        <v>2339931084</v>
      </c>
      <c r="K123" s="5">
        <v>2.2213475717821399E-2</v>
      </c>
      <c r="M123" s="4">
        <v>100000000</v>
      </c>
      <c r="O123" s="4">
        <v>1918236694</v>
      </c>
      <c r="Q123" s="4">
        <v>1953120793</v>
      </c>
      <c r="S123" s="4">
        <v>3971357487</v>
      </c>
      <c r="U123" s="5">
        <v>6.3102726630298251E-3</v>
      </c>
    </row>
    <row r="124" spans="1:21" ht="18.75" x14ac:dyDescent="0.45">
      <c r="A124" s="12" t="s">
        <v>131</v>
      </c>
      <c r="C124" s="4">
        <v>0</v>
      </c>
      <c r="E124" s="4">
        <v>-1146198786</v>
      </c>
      <c r="G124" s="4">
        <v>49819814</v>
      </c>
      <c r="I124" s="4">
        <v>-1096378972</v>
      </c>
      <c r="K124" s="5">
        <v>-1.0408164513298113E-2</v>
      </c>
      <c r="M124" s="4">
        <v>0</v>
      </c>
      <c r="O124" s="4">
        <v>744249295</v>
      </c>
      <c r="Q124" s="4">
        <v>49819814</v>
      </c>
      <c r="S124" s="4">
        <v>794069109</v>
      </c>
      <c r="U124" s="5">
        <v>1.2617329483637972E-3</v>
      </c>
    </row>
    <row r="125" spans="1:21" ht="18.75" x14ac:dyDescent="0.45">
      <c r="A125" s="12" t="s">
        <v>132</v>
      </c>
      <c r="C125" s="4">
        <v>0</v>
      </c>
      <c r="E125" s="4">
        <v>908195046</v>
      </c>
      <c r="G125" s="4">
        <v>1002097997</v>
      </c>
      <c r="I125" s="4">
        <v>1910293043</v>
      </c>
      <c r="K125" s="5">
        <v>1.8134828164282656E-2</v>
      </c>
      <c r="M125" s="4">
        <v>0</v>
      </c>
      <c r="O125" s="4">
        <v>2191137778</v>
      </c>
      <c r="Q125" s="4">
        <v>1002097997</v>
      </c>
      <c r="S125" s="4">
        <v>3193235775</v>
      </c>
      <c r="U125" s="5">
        <v>5.0738792676186389E-3</v>
      </c>
    </row>
    <row r="126" spans="1:21" ht="18.75" x14ac:dyDescent="0.45">
      <c r="A126" s="12" t="s">
        <v>133</v>
      </c>
      <c r="C126" s="4">
        <v>0</v>
      </c>
      <c r="E126" s="4">
        <v>1118702400</v>
      </c>
      <c r="G126" s="4">
        <v>0</v>
      </c>
      <c r="I126" s="4">
        <v>1118702400</v>
      </c>
      <c r="K126" s="5">
        <v>1.0620085680210794E-2</v>
      </c>
      <c r="M126" s="4">
        <v>0</v>
      </c>
      <c r="O126" s="4">
        <v>3593921345</v>
      </c>
      <c r="Q126" s="4">
        <v>0</v>
      </c>
      <c r="S126" s="4">
        <v>3593921345</v>
      </c>
      <c r="U126" s="5">
        <v>5.7105470083390862E-3</v>
      </c>
    </row>
    <row r="127" spans="1:21" ht="18.75" x14ac:dyDescent="0.45">
      <c r="A127" s="12" t="s">
        <v>134</v>
      </c>
      <c r="C127" s="4">
        <v>0</v>
      </c>
      <c r="E127" s="4">
        <v>519580714</v>
      </c>
      <c r="G127" s="4">
        <v>2425830083</v>
      </c>
      <c r="I127" s="4">
        <v>2945410797</v>
      </c>
      <c r="K127" s="5">
        <v>2.7961426584548279E-2</v>
      </c>
      <c r="M127" s="4">
        <v>0</v>
      </c>
      <c r="O127" s="4">
        <v>1904175624</v>
      </c>
      <c r="Q127" s="4">
        <v>3262392431</v>
      </c>
      <c r="S127" s="4">
        <v>5166568055</v>
      </c>
      <c r="U127" s="5">
        <v>8.2093977351250409E-3</v>
      </c>
    </row>
    <row r="128" spans="1:21" ht="18.75" x14ac:dyDescent="0.45">
      <c r="A128" s="12" t="s">
        <v>135</v>
      </c>
      <c r="C128" s="4">
        <v>0</v>
      </c>
      <c r="E128" s="4">
        <v>-5312653147</v>
      </c>
      <c r="G128" s="4">
        <v>4042560579</v>
      </c>
      <c r="I128" s="4">
        <v>-1270092568</v>
      </c>
      <c r="K128" s="5">
        <v>-1.2057265537250081E-2</v>
      </c>
      <c r="M128" s="4">
        <v>3292527600</v>
      </c>
      <c r="O128" s="4">
        <v>6439372707</v>
      </c>
      <c r="Q128" s="4">
        <v>4042560579</v>
      </c>
      <c r="S128" s="4">
        <v>13774460886</v>
      </c>
      <c r="U128" s="5">
        <v>2.188687476799275E-2</v>
      </c>
    </row>
    <row r="129" spans="1:21" ht="18.75" x14ac:dyDescent="0.45">
      <c r="A129" s="12" t="s">
        <v>136</v>
      </c>
      <c r="C129" s="4">
        <v>0</v>
      </c>
      <c r="E129" s="4">
        <v>-456007981</v>
      </c>
      <c r="G129" s="4">
        <v>54871989</v>
      </c>
      <c r="I129" s="4">
        <v>-401135992</v>
      </c>
      <c r="K129" s="5">
        <v>-3.8080713909761448E-3</v>
      </c>
      <c r="M129" s="4">
        <v>0</v>
      </c>
      <c r="O129" s="4">
        <v>2376090617</v>
      </c>
      <c r="Q129" s="4">
        <v>54871989</v>
      </c>
      <c r="S129" s="4">
        <v>2430962606</v>
      </c>
      <c r="U129" s="5">
        <v>3.8626683514904497E-3</v>
      </c>
    </row>
    <row r="130" spans="1:21" ht="18.75" x14ac:dyDescent="0.45">
      <c r="A130" s="12" t="s">
        <v>137</v>
      </c>
      <c r="C130" s="4">
        <v>0</v>
      </c>
      <c r="E130" s="4">
        <v>-31579000</v>
      </c>
      <c r="G130" s="4">
        <v>0</v>
      </c>
      <c r="I130" s="4">
        <v>-31579000</v>
      </c>
      <c r="K130" s="5">
        <v>-2.9978632896056779E-4</v>
      </c>
      <c r="M130" s="4">
        <v>0</v>
      </c>
      <c r="O130" s="4">
        <v>1991910095</v>
      </c>
      <c r="Q130" s="4">
        <v>0</v>
      </c>
      <c r="S130" s="4">
        <v>1991910095</v>
      </c>
      <c r="U130" s="5">
        <v>3.1650376126644685E-3</v>
      </c>
    </row>
    <row r="131" spans="1:21" ht="18.75" x14ac:dyDescent="0.45">
      <c r="A131" s="12" t="s">
        <v>138</v>
      </c>
      <c r="C131" s="4">
        <v>1375942000</v>
      </c>
      <c r="E131" s="4">
        <v>-976336246</v>
      </c>
      <c r="G131" s="4">
        <v>0</v>
      </c>
      <c r="I131" s="4">
        <v>399605754</v>
      </c>
      <c r="K131" s="5">
        <v>3.7935445081598443E-3</v>
      </c>
      <c r="M131" s="4">
        <v>1375942000</v>
      </c>
      <c r="O131" s="4">
        <v>-390073891</v>
      </c>
      <c r="Q131" s="4">
        <v>0</v>
      </c>
      <c r="S131" s="4">
        <v>985868109</v>
      </c>
      <c r="U131" s="5">
        <v>1.5664912055739111E-3</v>
      </c>
    </row>
    <row r="132" spans="1:21" ht="18.75" x14ac:dyDescent="0.45">
      <c r="A132" s="12" t="s">
        <v>139</v>
      </c>
      <c r="C132" s="4">
        <v>0</v>
      </c>
      <c r="E132" s="4">
        <v>-1088381013</v>
      </c>
      <c r="G132" s="4">
        <v>47615837</v>
      </c>
      <c r="I132" s="4">
        <v>-1040765176</v>
      </c>
      <c r="K132" s="5">
        <v>-9.8802106280451944E-3</v>
      </c>
      <c r="M132" s="4">
        <v>4379641700</v>
      </c>
      <c r="O132" s="4">
        <v>219004411</v>
      </c>
      <c r="Q132" s="4">
        <v>-1296986061</v>
      </c>
      <c r="S132" s="4">
        <v>3301660050</v>
      </c>
      <c r="U132" s="5">
        <v>5.2461595875800057E-3</v>
      </c>
    </row>
    <row r="133" spans="1:21" ht="18.75" x14ac:dyDescent="0.45">
      <c r="A133" s="12" t="s">
        <v>140</v>
      </c>
      <c r="C133" s="4">
        <v>0</v>
      </c>
      <c r="E133" s="4">
        <v>163574285</v>
      </c>
      <c r="G133" s="4">
        <v>0</v>
      </c>
      <c r="I133" s="4">
        <v>163574285</v>
      </c>
      <c r="K133" s="5">
        <v>1.5528463349852644E-3</v>
      </c>
      <c r="M133" s="4">
        <v>0</v>
      </c>
      <c r="O133" s="4">
        <v>363895039</v>
      </c>
      <c r="Q133" s="4">
        <v>0</v>
      </c>
      <c r="S133" s="4">
        <v>363895039</v>
      </c>
      <c r="U133" s="5">
        <v>5.7820957300635785E-4</v>
      </c>
    </row>
    <row r="134" spans="1:21" ht="18.75" x14ac:dyDescent="0.45">
      <c r="A134" s="12" t="s">
        <v>141</v>
      </c>
      <c r="C134" s="4">
        <v>0</v>
      </c>
      <c r="E134" s="4">
        <v>-670373622</v>
      </c>
      <c r="G134" s="4">
        <v>0</v>
      </c>
      <c r="I134" s="4">
        <v>-670373622</v>
      </c>
      <c r="K134" s="5">
        <v>-6.3640028870888665E-3</v>
      </c>
      <c r="M134" s="4">
        <v>228464012</v>
      </c>
      <c r="O134" s="4">
        <v>1678163267</v>
      </c>
      <c r="Q134" s="4">
        <v>-519874130</v>
      </c>
      <c r="S134" s="4">
        <v>1386753149</v>
      </c>
      <c r="U134" s="5">
        <v>2.203475893356469E-3</v>
      </c>
    </row>
    <row r="135" spans="1:21" ht="18.75" x14ac:dyDescent="0.45">
      <c r="A135" s="12" t="s">
        <v>351</v>
      </c>
      <c r="C135" s="4">
        <v>0</v>
      </c>
      <c r="E135" s="4">
        <v>448352814</v>
      </c>
      <c r="G135" s="4">
        <v>0</v>
      </c>
      <c r="I135" s="4">
        <v>448352814</v>
      </c>
      <c r="K135" s="5">
        <v>4.2563109721080548E-3</v>
      </c>
      <c r="M135" s="4">
        <v>0</v>
      </c>
      <c r="O135" s="4">
        <v>1447755955</v>
      </c>
      <c r="Q135" s="4">
        <v>0</v>
      </c>
      <c r="S135" s="4">
        <v>1447755955</v>
      </c>
      <c r="U135" s="5">
        <v>2.3004060590063767E-3</v>
      </c>
    </row>
    <row r="136" spans="1:21" ht="18.75" x14ac:dyDescent="0.45">
      <c r="A136" s="12" t="s">
        <v>142</v>
      </c>
      <c r="C136" s="4">
        <v>0</v>
      </c>
      <c r="E136" s="4">
        <v>351466979</v>
      </c>
      <c r="G136" s="4">
        <v>0</v>
      </c>
      <c r="I136" s="4">
        <v>351466979</v>
      </c>
      <c r="K136" s="5">
        <v>3.3365526262792034E-3</v>
      </c>
      <c r="M136" s="4">
        <v>0</v>
      </c>
      <c r="O136" s="4">
        <v>5005089723</v>
      </c>
      <c r="Q136" s="4">
        <v>0</v>
      </c>
      <c r="S136" s="4">
        <v>5005089723</v>
      </c>
      <c r="U136" s="5">
        <v>7.9528173825814084E-3</v>
      </c>
    </row>
    <row r="137" spans="1:21" ht="18.75" x14ac:dyDescent="0.45">
      <c r="A137" s="12" t="s">
        <v>143</v>
      </c>
      <c r="C137" s="4">
        <v>0</v>
      </c>
      <c r="E137" s="4">
        <v>-3925553178</v>
      </c>
      <c r="G137" s="4">
        <v>-2819915781</v>
      </c>
      <c r="I137" s="4">
        <v>-6745468959</v>
      </c>
      <c r="K137" s="5">
        <v>-6.4036206856964206E-2</v>
      </c>
      <c r="M137" s="4">
        <v>13040000000</v>
      </c>
      <c r="O137" s="4">
        <v>-8666841473</v>
      </c>
      <c r="Q137" s="4">
        <v>-3245897376</v>
      </c>
      <c r="S137" s="4">
        <v>1127261151</v>
      </c>
      <c r="U137" s="5">
        <v>1.7911571165617497E-3</v>
      </c>
    </row>
    <row r="138" spans="1:21" ht="18.75" x14ac:dyDescent="0.45">
      <c r="A138" s="12" t="s">
        <v>144</v>
      </c>
      <c r="C138" s="4">
        <v>0</v>
      </c>
      <c r="E138" s="4">
        <v>-3740400906</v>
      </c>
      <c r="G138" s="4">
        <v>0</v>
      </c>
      <c r="I138" s="4">
        <v>-3740400906</v>
      </c>
      <c r="K138" s="5">
        <v>-3.550844094019829E-2</v>
      </c>
      <c r="M138" s="4">
        <v>0</v>
      </c>
      <c r="O138" s="4">
        <v>1414236005</v>
      </c>
      <c r="Q138" s="4">
        <v>0</v>
      </c>
      <c r="S138" s="4">
        <v>1414236005</v>
      </c>
      <c r="U138" s="5">
        <v>2.247144667947142E-3</v>
      </c>
    </row>
    <row r="139" spans="1:21" ht="18.75" x14ac:dyDescent="0.45">
      <c r="A139" s="12" t="s">
        <v>145</v>
      </c>
      <c r="C139" s="4">
        <v>0</v>
      </c>
      <c r="E139" s="4">
        <v>1361573985</v>
      </c>
      <c r="G139" s="4">
        <v>0</v>
      </c>
      <c r="I139" s="4">
        <v>1361573985</v>
      </c>
      <c r="K139" s="5">
        <v>1.2925718565228828E-2</v>
      </c>
      <c r="M139" s="4">
        <v>58108700</v>
      </c>
      <c r="O139" s="4">
        <v>3010682515</v>
      </c>
      <c r="Q139" s="4">
        <v>-1044938080</v>
      </c>
      <c r="S139" s="4">
        <v>2023853135</v>
      </c>
      <c r="U139" s="5">
        <v>3.2157933788592502E-3</v>
      </c>
    </row>
    <row r="140" spans="1:21" ht="18.75" x14ac:dyDescent="0.45">
      <c r="A140" s="12" t="s">
        <v>146</v>
      </c>
      <c r="C140" s="4">
        <v>0</v>
      </c>
      <c r="E140" s="4">
        <v>4828535281</v>
      </c>
      <c r="G140" s="4">
        <v>3550057</v>
      </c>
      <c r="I140" s="4">
        <v>4832085338</v>
      </c>
      <c r="K140" s="5">
        <v>4.5872039162202866E-2</v>
      </c>
      <c r="M140" s="4">
        <v>2863622210</v>
      </c>
      <c r="O140" s="4">
        <v>5740022672</v>
      </c>
      <c r="Q140" s="4">
        <v>-649162205</v>
      </c>
      <c r="S140" s="4">
        <v>7954482677</v>
      </c>
      <c r="U140" s="5">
        <v>1.2639243570876601E-2</v>
      </c>
    </row>
    <row r="141" spans="1:21" ht="18.75" x14ac:dyDescent="0.45">
      <c r="A141" s="12" t="s">
        <v>147</v>
      </c>
      <c r="C141" s="4">
        <v>0</v>
      </c>
      <c r="E141" s="4">
        <v>1236902377</v>
      </c>
      <c r="G141" s="4">
        <v>-9860400</v>
      </c>
      <c r="I141" s="4">
        <v>1227041977</v>
      </c>
      <c r="K141" s="5">
        <v>1.1648576894941177E-2</v>
      </c>
      <c r="M141" s="4">
        <v>370000000</v>
      </c>
      <c r="O141" s="4">
        <v>742290798</v>
      </c>
      <c r="Q141" s="4">
        <v>-9860400</v>
      </c>
      <c r="S141" s="4">
        <v>1102430398</v>
      </c>
      <c r="U141" s="5">
        <v>1.7517023904709212E-3</v>
      </c>
    </row>
    <row r="142" spans="1:21" ht="18.75" x14ac:dyDescent="0.45">
      <c r="A142" s="12" t="s">
        <v>148</v>
      </c>
      <c r="C142" s="4">
        <v>0</v>
      </c>
      <c r="E142" s="4">
        <v>436009502</v>
      </c>
      <c r="G142" s="4">
        <v>-1592118372</v>
      </c>
      <c r="I142" s="4">
        <v>-1156108870</v>
      </c>
      <c r="K142" s="5">
        <v>-1.0975193451852506E-2</v>
      </c>
      <c r="M142" s="4">
        <v>22120000000</v>
      </c>
      <c r="O142" s="4">
        <v>-5936356361</v>
      </c>
      <c r="Q142" s="4">
        <v>-39497649863</v>
      </c>
      <c r="S142" s="4">
        <v>-23314006224</v>
      </c>
      <c r="U142" s="5">
        <v>-3.7044697341550206E-2</v>
      </c>
    </row>
    <row r="143" spans="1:21" ht="37.5" x14ac:dyDescent="0.45">
      <c r="A143" s="12" t="s">
        <v>149</v>
      </c>
      <c r="C143" s="4">
        <v>0</v>
      </c>
      <c r="E143" s="4">
        <v>2826383700</v>
      </c>
      <c r="G143" s="4">
        <v>0</v>
      </c>
      <c r="I143" s="4">
        <v>2826383700</v>
      </c>
      <c r="K143" s="5">
        <v>2.683147641334389E-2</v>
      </c>
      <c r="M143" s="4">
        <v>0</v>
      </c>
      <c r="O143" s="4">
        <v>2702574984</v>
      </c>
      <c r="Q143" s="4">
        <v>0</v>
      </c>
      <c r="S143" s="4">
        <v>2702574984</v>
      </c>
      <c r="U143" s="5">
        <v>4.2942457578167325E-3</v>
      </c>
    </row>
    <row r="144" spans="1:21" ht="18.75" x14ac:dyDescent="0.45">
      <c r="A144" s="12" t="s">
        <v>150</v>
      </c>
      <c r="C144" s="4">
        <v>0</v>
      </c>
      <c r="E144" s="4">
        <v>2524502192</v>
      </c>
      <c r="G144" s="4">
        <v>209158348</v>
      </c>
      <c r="I144" s="4">
        <v>2733660540</v>
      </c>
      <c r="K144" s="5">
        <v>2.5951235248455089E-2</v>
      </c>
      <c r="M144" s="4">
        <v>0</v>
      </c>
      <c r="O144" s="4">
        <v>2557810488</v>
      </c>
      <c r="Q144" s="4">
        <v>209158348</v>
      </c>
      <c r="S144" s="4">
        <v>2766968836</v>
      </c>
      <c r="U144" s="5">
        <v>4.396564112503493E-3</v>
      </c>
    </row>
    <row r="145" spans="1:21" ht="18.75" x14ac:dyDescent="0.45">
      <c r="A145" s="12" t="s">
        <v>151</v>
      </c>
      <c r="C145" s="4">
        <v>0</v>
      </c>
      <c r="E145" s="4">
        <v>-622356648</v>
      </c>
      <c r="G145" s="4">
        <v>1171768727</v>
      </c>
      <c r="I145" s="4">
        <v>549412079</v>
      </c>
      <c r="K145" s="5">
        <v>5.2156885984357779E-3</v>
      </c>
      <c r="M145" s="4">
        <v>2334080700</v>
      </c>
      <c r="O145" s="4">
        <v>5412365978</v>
      </c>
      <c r="Q145" s="4">
        <v>3511061363</v>
      </c>
      <c r="S145" s="4">
        <v>11257508041</v>
      </c>
      <c r="U145" s="5">
        <v>1.788757256869954E-2</v>
      </c>
    </row>
    <row r="146" spans="1:21" ht="18.75" x14ac:dyDescent="0.45">
      <c r="A146" s="12" t="s">
        <v>152</v>
      </c>
      <c r="C146" s="4">
        <v>0</v>
      </c>
      <c r="E146" s="4">
        <v>3547161444</v>
      </c>
      <c r="G146" s="4">
        <v>144547240</v>
      </c>
      <c r="I146" s="4">
        <v>3691708684</v>
      </c>
      <c r="K146" s="5">
        <v>3.504619506533483E-2</v>
      </c>
      <c r="M146" s="4">
        <v>1959126860</v>
      </c>
      <c r="O146" s="4">
        <v>10693938252</v>
      </c>
      <c r="Q146" s="4">
        <v>440898714</v>
      </c>
      <c r="S146" s="4">
        <v>13093963826</v>
      </c>
      <c r="U146" s="5">
        <v>2.0805601674586598E-2</v>
      </c>
    </row>
    <row r="147" spans="1:21" ht="18.75" x14ac:dyDescent="0.45">
      <c r="A147" s="12" t="s">
        <v>153</v>
      </c>
      <c r="C147" s="4">
        <v>0</v>
      </c>
      <c r="E147" s="4">
        <v>889402992</v>
      </c>
      <c r="G147" s="4">
        <v>0</v>
      </c>
      <c r="I147" s="4">
        <v>889402992</v>
      </c>
      <c r="K147" s="5">
        <v>8.4432964292164171E-3</v>
      </c>
      <c r="M147" s="4">
        <v>0</v>
      </c>
      <c r="O147" s="4">
        <v>1604594782</v>
      </c>
      <c r="Q147" s="4">
        <v>0</v>
      </c>
      <c r="S147" s="4">
        <v>1604594782</v>
      </c>
      <c r="U147" s="5">
        <v>2.5496144885570966E-3</v>
      </c>
    </row>
    <row r="148" spans="1:21" ht="18.75" x14ac:dyDescent="0.45">
      <c r="A148" s="12" t="s">
        <v>154</v>
      </c>
      <c r="C148" s="4">
        <v>0</v>
      </c>
      <c r="E148" s="4">
        <v>480995710</v>
      </c>
      <c r="G148" s="4">
        <v>0</v>
      </c>
      <c r="I148" s="4">
        <v>480995710</v>
      </c>
      <c r="K148" s="5">
        <v>4.5661970976497625E-3</v>
      </c>
      <c r="M148" s="4">
        <v>2994487650</v>
      </c>
      <c r="O148" s="4">
        <v>-906769098</v>
      </c>
      <c r="Q148" s="4">
        <v>0</v>
      </c>
      <c r="S148" s="4">
        <v>2087718552</v>
      </c>
      <c r="U148" s="5">
        <v>3.3172720788572541E-3</v>
      </c>
    </row>
    <row r="149" spans="1:21" ht="18.75" x14ac:dyDescent="0.45">
      <c r="A149" s="12" t="s">
        <v>155</v>
      </c>
      <c r="C149" s="4">
        <v>0</v>
      </c>
      <c r="E149" s="4">
        <v>-800287768</v>
      </c>
      <c r="G149" s="4">
        <v>145226219</v>
      </c>
      <c r="I149" s="4">
        <v>-655061549</v>
      </c>
      <c r="K149" s="5">
        <v>-6.2186420411644789E-3</v>
      </c>
      <c r="M149" s="4">
        <v>0</v>
      </c>
      <c r="O149" s="4">
        <v>3550400176</v>
      </c>
      <c r="Q149" s="4">
        <v>1678786408</v>
      </c>
      <c r="S149" s="4">
        <v>5229186584</v>
      </c>
      <c r="U149" s="5">
        <v>8.3088951974011789E-3</v>
      </c>
    </row>
    <row r="150" spans="1:21" ht="18.75" x14ac:dyDescent="0.45">
      <c r="A150" s="12" t="s">
        <v>352</v>
      </c>
      <c r="C150" s="4">
        <v>0</v>
      </c>
      <c r="E150" s="4">
        <v>7700459011</v>
      </c>
      <c r="G150" s="4">
        <v>0</v>
      </c>
      <c r="I150" s="4">
        <v>7700459011</v>
      </c>
      <c r="K150" s="5">
        <v>7.3102135540042884E-2</v>
      </c>
      <c r="M150" s="4">
        <v>0</v>
      </c>
      <c r="O150" s="4">
        <v>7826992165</v>
      </c>
      <c r="Q150" s="4">
        <v>0</v>
      </c>
      <c r="S150" s="4">
        <v>7826992165</v>
      </c>
      <c r="U150" s="5">
        <v>1.2436668029565411E-2</v>
      </c>
    </row>
    <row r="151" spans="1:21" ht="18.75" x14ac:dyDescent="0.45">
      <c r="A151" s="12" t="s">
        <v>156</v>
      </c>
      <c r="C151" s="4">
        <v>0</v>
      </c>
      <c r="E151" s="4">
        <v>-4823568585</v>
      </c>
      <c r="G151" s="4">
        <v>158638000</v>
      </c>
      <c r="I151" s="4">
        <v>-4664930585</v>
      </c>
      <c r="K151" s="5">
        <v>-4.4285202664207983E-2</v>
      </c>
      <c r="M151" s="4">
        <v>3295057660</v>
      </c>
      <c r="O151" s="4">
        <v>781299357</v>
      </c>
      <c r="Q151" s="4">
        <v>883121824</v>
      </c>
      <c r="S151" s="4">
        <v>4959478841</v>
      </c>
      <c r="U151" s="5">
        <v>7.8803441532729335E-3</v>
      </c>
    </row>
    <row r="152" spans="1:21" ht="37.5" x14ac:dyDescent="0.45">
      <c r="A152" s="12" t="s">
        <v>157</v>
      </c>
      <c r="C152" s="4">
        <v>0</v>
      </c>
      <c r="E152" s="4">
        <v>473110050</v>
      </c>
      <c r="G152" s="4">
        <v>0</v>
      </c>
      <c r="I152" s="4">
        <v>473110050</v>
      </c>
      <c r="K152" s="5">
        <v>4.49133680876059E-3</v>
      </c>
      <c r="M152" s="4">
        <v>505400000</v>
      </c>
      <c r="O152" s="4">
        <v>2087447250</v>
      </c>
      <c r="Q152" s="4">
        <v>0</v>
      </c>
      <c r="S152" s="4">
        <v>2592847250</v>
      </c>
      <c r="U152" s="5">
        <v>4.1198943118683435E-3</v>
      </c>
    </row>
    <row r="153" spans="1:21" ht="18.75" x14ac:dyDescent="0.45">
      <c r="A153" s="12" t="s">
        <v>353</v>
      </c>
      <c r="C153" s="4">
        <v>0</v>
      </c>
      <c r="E153" s="4">
        <v>2525665850</v>
      </c>
      <c r="G153" s="4">
        <v>0</v>
      </c>
      <c r="I153" s="4">
        <v>2525665850</v>
      </c>
      <c r="K153" s="5">
        <v>2.3976696328337568E-2</v>
      </c>
      <c r="M153" s="4">
        <v>0</v>
      </c>
      <c r="O153" s="4">
        <v>4288740330</v>
      </c>
      <c r="Q153" s="4">
        <v>0</v>
      </c>
      <c r="S153" s="4">
        <v>4288740330</v>
      </c>
      <c r="U153" s="5">
        <v>6.8145768674368933E-3</v>
      </c>
    </row>
    <row r="154" spans="1:21" ht="18.75" x14ac:dyDescent="0.45">
      <c r="A154" s="12" t="s">
        <v>158</v>
      </c>
      <c r="C154" s="4">
        <v>0</v>
      </c>
      <c r="E154" s="4">
        <v>-2434945792</v>
      </c>
      <c r="G154" s="4">
        <v>-243052800</v>
      </c>
      <c r="I154" s="4">
        <v>-2677998592</v>
      </c>
      <c r="K154" s="5">
        <v>-2.5422824245772486E-2</v>
      </c>
      <c r="M154" s="4">
        <v>0</v>
      </c>
      <c r="O154" s="4">
        <v>-5727787988</v>
      </c>
      <c r="Q154" s="4">
        <v>-406811963</v>
      </c>
      <c r="S154" s="4">
        <v>-6134599951</v>
      </c>
      <c r="U154" s="5">
        <v>-9.7475481610853551E-3</v>
      </c>
    </row>
    <row r="155" spans="1:21" ht="18.75" x14ac:dyDescent="0.45">
      <c r="A155" s="12" t="s">
        <v>159</v>
      </c>
      <c r="C155" s="4">
        <v>0</v>
      </c>
      <c r="E155" s="4">
        <v>93036499</v>
      </c>
      <c r="G155" s="4">
        <v>1595387829</v>
      </c>
      <c r="I155" s="4">
        <v>1688424328</v>
      </c>
      <c r="K155" s="5">
        <v>1.6028580101296229E-2</v>
      </c>
      <c r="M155" s="4">
        <v>0</v>
      </c>
      <c r="O155" s="4">
        <v>2465031188</v>
      </c>
      <c r="Q155" s="4">
        <v>2281613049</v>
      </c>
      <c r="S155" s="4">
        <v>4746644237</v>
      </c>
      <c r="U155" s="5">
        <v>7.5421614568613538E-3</v>
      </c>
    </row>
    <row r="156" spans="1:21" ht="18.75" x14ac:dyDescent="0.45">
      <c r="A156" s="12" t="s">
        <v>161</v>
      </c>
      <c r="C156" s="4">
        <v>0</v>
      </c>
      <c r="E156" s="4">
        <v>4035457731</v>
      </c>
      <c r="G156" s="4">
        <v>3066784259</v>
      </c>
      <c r="I156" s="4">
        <v>7102241990</v>
      </c>
      <c r="K156" s="5">
        <v>6.7423130991218772E-2</v>
      </c>
      <c r="M156" s="4">
        <v>10319249000</v>
      </c>
      <c r="O156" s="4">
        <v>10147333918</v>
      </c>
      <c r="Q156" s="4">
        <v>13120047350</v>
      </c>
      <c r="S156" s="4">
        <v>33586630268</v>
      </c>
      <c r="U156" s="5">
        <v>5.3367342405519005E-2</v>
      </c>
    </row>
    <row r="157" spans="1:21" ht="18.75" x14ac:dyDescent="0.45">
      <c r="A157" s="12" t="s">
        <v>162</v>
      </c>
      <c r="C157" s="4">
        <v>0</v>
      </c>
      <c r="E157" s="4">
        <v>-612537748</v>
      </c>
      <c r="G157" s="4">
        <v>0</v>
      </c>
      <c r="I157" s="4">
        <v>-612537748</v>
      </c>
      <c r="K157" s="5">
        <v>-5.8149543311280709E-3</v>
      </c>
      <c r="M157" s="4">
        <v>99999950</v>
      </c>
      <c r="O157" s="4">
        <v>970982319</v>
      </c>
      <c r="Q157" s="4">
        <v>734050907</v>
      </c>
      <c r="S157" s="4">
        <v>1805033176</v>
      </c>
      <c r="U157" s="5">
        <v>2.8681002764571074E-3</v>
      </c>
    </row>
    <row r="158" spans="1:21" ht="18.75" x14ac:dyDescent="0.45">
      <c r="A158" s="12" t="s">
        <v>164</v>
      </c>
      <c r="C158" s="4">
        <v>0</v>
      </c>
      <c r="E158" s="4">
        <v>-2075582902</v>
      </c>
      <c r="G158" s="4">
        <v>-18586805</v>
      </c>
      <c r="I158" s="4">
        <v>-2094169707</v>
      </c>
      <c r="K158" s="5">
        <v>-1.9880409407579652E-2</v>
      </c>
      <c r="M158" s="4">
        <v>7267946400</v>
      </c>
      <c r="O158" s="4">
        <v>-944556788</v>
      </c>
      <c r="Q158" s="4">
        <v>1480433763</v>
      </c>
      <c r="S158" s="4">
        <v>7803823375</v>
      </c>
      <c r="U158" s="5">
        <v>1.239985407296466E-2</v>
      </c>
    </row>
    <row r="159" spans="1:21" ht="18.75" x14ac:dyDescent="0.45">
      <c r="A159" s="12" t="s">
        <v>165</v>
      </c>
      <c r="C159" s="4">
        <v>0</v>
      </c>
      <c r="E159" s="4">
        <v>445707049</v>
      </c>
      <c r="G159" s="4">
        <v>0</v>
      </c>
      <c r="I159" s="4">
        <v>445707049</v>
      </c>
      <c r="K159" s="5">
        <v>4.2311941483757524E-3</v>
      </c>
      <c r="M159" s="4">
        <v>0</v>
      </c>
      <c r="O159" s="4">
        <v>2094323136</v>
      </c>
      <c r="Q159" s="4">
        <v>-1155274913</v>
      </c>
      <c r="S159" s="4">
        <v>939048223</v>
      </c>
      <c r="U159" s="5">
        <v>1.4920969341744971E-3</v>
      </c>
    </row>
    <row r="160" spans="1:21" ht="18.75" x14ac:dyDescent="0.45">
      <c r="A160" s="12" t="s">
        <v>166</v>
      </c>
      <c r="C160" s="4">
        <v>0</v>
      </c>
      <c r="E160" s="4">
        <v>-28824474</v>
      </c>
      <c r="G160" s="4">
        <v>0</v>
      </c>
      <c r="I160" s="4">
        <v>-28824474</v>
      </c>
      <c r="K160" s="5">
        <v>-2.736370133531566E-4</v>
      </c>
      <c r="M160" s="4">
        <v>524156680</v>
      </c>
      <c r="O160" s="4">
        <v>1411328637</v>
      </c>
      <c r="Q160" s="4">
        <v>0</v>
      </c>
      <c r="S160" s="4">
        <v>1935485317</v>
      </c>
      <c r="U160" s="5">
        <v>3.0753816863731552E-3</v>
      </c>
    </row>
    <row r="161" spans="1:21" ht="37.5" x14ac:dyDescent="0.45">
      <c r="A161" s="12" t="s">
        <v>167</v>
      </c>
      <c r="C161" s="4">
        <v>0</v>
      </c>
      <c r="E161" s="4">
        <v>-447332415</v>
      </c>
      <c r="G161" s="4">
        <v>0</v>
      </c>
      <c r="I161" s="4">
        <v>-447332415</v>
      </c>
      <c r="K161" s="5">
        <v>-4.2466241020271455E-3</v>
      </c>
      <c r="M161" s="4">
        <v>0</v>
      </c>
      <c r="O161" s="4">
        <v>384729549</v>
      </c>
      <c r="Q161" s="4">
        <v>0</v>
      </c>
      <c r="S161" s="4">
        <v>384729549</v>
      </c>
      <c r="U161" s="5">
        <v>6.1131448469738169E-4</v>
      </c>
    </row>
    <row r="162" spans="1:21" ht="18.75" x14ac:dyDescent="0.45">
      <c r="A162" s="12" t="s">
        <v>168</v>
      </c>
      <c r="C162" s="4">
        <v>0</v>
      </c>
      <c r="E162" s="4">
        <v>2958330570</v>
      </c>
      <c r="G162" s="4">
        <v>0</v>
      </c>
      <c r="I162" s="4">
        <v>2958330570</v>
      </c>
      <c r="K162" s="5">
        <v>2.8084076805222583E-2</v>
      </c>
      <c r="M162" s="4">
        <v>49200</v>
      </c>
      <c r="O162" s="4">
        <v>3097355149</v>
      </c>
      <c r="Q162" s="4">
        <v>0</v>
      </c>
      <c r="S162" s="4">
        <v>3097404349</v>
      </c>
      <c r="U162" s="5">
        <v>4.9216083049247773E-3</v>
      </c>
    </row>
    <row r="163" spans="1:21" ht="18.75" x14ac:dyDescent="0.45">
      <c r="A163" s="12" t="s">
        <v>169</v>
      </c>
      <c r="C163" s="4">
        <v>0</v>
      </c>
      <c r="E163" s="4">
        <v>-589693752</v>
      </c>
      <c r="G163" s="4">
        <v>0</v>
      </c>
      <c r="I163" s="4">
        <v>-589693752</v>
      </c>
      <c r="K163" s="5">
        <v>-5.5980912987448452E-3</v>
      </c>
      <c r="M163" s="4">
        <v>0</v>
      </c>
      <c r="O163" s="4">
        <v>1026276567</v>
      </c>
      <c r="Q163" s="4">
        <v>0</v>
      </c>
      <c r="S163" s="4">
        <v>1026276567</v>
      </c>
      <c r="U163" s="5">
        <v>1.6306980639862495E-3</v>
      </c>
    </row>
    <row r="164" spans="1:21" ht="18.75" x14ac:dyDescent="0.45">
      <c r="A164" s="12" t="s">
        <v>170</v>
      </c>
      <c r="C164" s="4">
        <v>0</v>
      </c>
      <c r="E164" s="4">
        <v>-1883322225</v>
      </c>
      <c r="G164" s="4">
        <v>-156863199</v>
      </c>
      <c r="I164" s="4">
        <v>-2040185424</v>
      </c>
      <c r="K164" s="5">
        <v>-1.9367924844352874E-2</v>
      </c>
      <c r="M164" s="4">
        <v>0</v>
      </c>
      <c r="O164" s="4">
        <v>-3060006001</v>
      </c>
      <c r="Q164" s="4">
        <v>-156863199</v>
      </c>
      <c r="S164" s="4">
        <v>-3216869200</v>
      </c>
      <c r="U164" s="5">
        <v>-5.1114315041522283E-3</v>
      </c>
    </row>
    <row r="165" spans="1:21" ht="18.75" x14ac:dyDescent="0.45">
      <c r="A165" s="12" t="s">
        <v>171</v>
      </c>
      <c r="C165" s="4">
        <v>0</v>
      </c>
      <c r="E165" s="4">
        <v>982154638</v>
      </c>
      <c r="G165" s="4">
        <v>0</v>
      </c>
      <c r="I165" s="4">
        <v>982154638</v>
      </c>
      <c r="K165" s="5">
        <v>9.3238080179111234E-3</v>
      </c>
      <c r="M165" s="4">
        <v>0</v>
      </c>
      <c r="O165" s="4">
        <v>6475360139</v>
      </c>
      <c r="Q165" s="4">
        <v>304377639</v>
      </c>
      <c r="S165" s="4">
        <v>6779737778</v>
      </c>
      <c r="U165" s="5">
        <v>1.0772637342034369E-2</v>
      </c>
    </row>
    <row r="166" spans="1:21" ht="18.75" x14ac:dyDescent="0.45">
      <c r="A166" s="12" t="s">
        <v>172</v>
      </c>
      <c r="C166" s="4">
        <v>0</v>
      </c>
      <c r="E166" s="4">
        <v>-39493765</v>
      </c>
      <c r="G166" s="4">
        <v>0</v>
      </c>
      <c r="I166" s="4">
        <v>-39493765</v>
      </c>
      <c r="K166" s="5">
        <v>-3.7492291795754637E-4</v>
      </c>
      <c r="M166" s="4">
        <v>2406384864</v>
      </c>
      <c r="O166" s="4">
        <v>5347893039</v>
      </c>
      <c r="Q166" s="4">
        <v>1476460253</v>
      </c>
      <c r="S166" s="4">
        <v>9230738156</v>
      </c>
      <c r="U166" s="5">
        <v>1.4667144631543753E-2</v>
      </c>
    </row>
    <row r="167" spans="1:21" ht="18.75" x14ac:dyDescent="0.45">
      <c r="A167" s="12" t="s">
        <v>173</v>
      </c>
      <c r="C167" s="4">
        <v>0</v>
      </c>
      <c r="E167" s="4">
        <v>2102746365</v>
      </c>
      <c r="G167" s="4">
        <v>0</v>
      </c>
      <c r="I167" s="4">
        <v>2102746365</v>
      </c>
      <c r="K167" s="5">
        <v>1.9961829491070903E-2</v>
      </c>
      <c r="M167" s="4">
        <v>0</v>
      </c>
      <c r="O167" s="4">
        <v>5955048114</v>
      </c>
      <c r="Q167" s="4">
        <v>0</v>
      </c>
      <c r="S167" s="4">
        <v>5955048114</v>
      </c>
      <c r="U167" s="5">
        <v>9.4622499847497408E-3</v>
      </c>
    </row>
    <row r="168" spans="1:21" ht="18.75" x14ac:dyDescent="0.45">
      <c r="A168" s="12" t="s">
        <v>174</v>
      </c>
      <c r="C168" s="4">
        <v>0</v>
      </c>
      <c r="E168" s="4">
        <v>-3166016622</v>
      </c>
      <c r="G168" s="4">
        <v>0</v>
      </c>
      <c r="I168" s="4">
        <v>-3166016622</v>
      </c>
      <c r="K168" s="5">
        <v>-3.0055685757545126E-2</v>
      </c>
      <c r="M168" s="4">
        <v>0</v>
      </c>
      <c r="O168" s="4">
        <v>1832048440</v>
      </c>
      <c r="Q168" s="4">
        <v>0</v>
      </c>
      <c r="S168" s="4">
        <v>1832048440</v>
      </c>
      <c r="U168" s="5">
        <v>2.9110260726015668E-3</v>
      </c>
    </row>
    <row r="169" spans="1:21" ht="18.75" x14ac:dyDescent="0.45">
      <c r="A169" s="12" t="s">
        <v>175</v>
      </c>
      <c r="C169" s="4">
        <v>0</v>
      </c>
      <c r="E169" s="4">
        <v>1165554800</v>
      </c>
      <c r="G169" s="4">
        <v>0</v>
      </c>
      <c r="I169" s="4">
        <v>1165554800</v>
      </c>
      <c r="K169" s="5">
        <v>1.1064865723878804E-2</v>
      </c>
      <c r="M169" s="4">
        <v>0</v>
      </c>
      <c r="O169" s="4">
        <v>3510564275</v>
      </c>
      <c r="Q169" s="4">
        <v>0</v>
      </c>
      <c r="S169" s="4">
        <v>3510564275</v>
      </c>
      <c r="U169" s="5">
        <v>5.5780971239322782E-3</v>
      </c>
    </row>
    <row r="170" spans="1:21" ht="18.75" x14ac:dyDescent="0.45">
      <c r="A170" s="12" t="s">
        <v>354</v>
      </c>
      <c r="C170" s="4">
        <v>0</v>
      </c>
      <c r="E170" s="4">
        <v>-1257657187</v>
      </c>
      <c r="G170" s="4">
        <v>791670781</v>
      </c>
      <c r="I170" s="4">
        <v>-465986406</v>
      </c>
      <c r="K170" s="5">
        <v>-4.4237105038243355E-3</v>
      </c>
      <c r="M170" s="4">
        <v>0</v>
      </c>
      <c r="O170" s="4">
        <v>702209692</v>
      </c>
      <c r="Q170" s="4">
        <v>1326988801</v>
      </c>
      <c r="S170" s="4">
        <v>2029198493</v>
      </c>
      <c r="U170" s="5">
        <v>3.2242868641654517E-3</v>
      </c>
    </row>
    <row r="171" spans="1:21" ht="18.75" x14ac:dyDescent="0.45">
      <c r="A171" s="12" t="s">
        <v>177</v>
      </c>
      <c r="C171" s="4">
        <v>0</v>
      </c>
      <c r="E171" s="4">
        <v>-1235418628</v>
      </c>
      <c r="G171" s="4">
        <v>0</v>
      </c>
      <c r="I171" s="4">
        <v>-1235418628</v>
      </c>
      <c r="K171" s="5">
        <v>-1.1728098268394226E-2</v>
      </c>
      <c r="M171" s="4">
        <v>1015029840</v>
      </c>
      <c r="O171" s="4">
        <v>-927127774</v>
      </c>
      <c r="Q171" s="4">
        <v>-2902742731</v>
      </c>
      <c r="S171" s="4">
        <v>-2814840665</v>
      </c>
      <c r="U171" s="5">
        <v>-4.4726298645433914E-3</v>
      </c>
    </row>
    <row r="172" spans="1:21" ht="18.75" x14ac:dyDescent="0.45">
      <c r="A172" s="12" t="s">
        <v>178</v>
      </c>
      <c r="C172" s="4">
        <v>0</v>
      </c>
      <c r="E172" s="4">
        <v>-528132170</v>
      </c>
      <c r="G172" s="4">
        <v>-11380445</v>
      </c>
      <c r="I172" s="4">
        <v>-539512615</v>
      </c>
      <c r="K172" s="5">
        <v>-5.1217108293095462E-3</v>
      </c>
      <c r="M172" s="4">
        <v>0</v>
      </c>
      <c r="O172" s="4">
        <v>-654677339</v>
      </c>
      <c r="Q172" s="4">
        <v>-11380445</v>
      </c>
      <c r="S172" s="4">
        <v>-666057784</v>
      </c>
      <c r="U172" s="5">
        <v>-1.0583298633103952E-3</v>
      </c>
    </row>
    <row r="173" spans="1:21" ht="18.75" x14ac:dyDescent="0.45">
      <c r="A173" s="12" t="s">
        <v>179</v>
      </c>
      <c r="C173" s="4">
        <v>0</v>
      </c>
      <c r="E173" s="4">
        <v>393334409</v>
      </c>
      <c r="G173" s="4">
        <v>0</v>
      </c>
      <c r="I173" s="4">
        <v>393334409</v>
      </c>
      <c r="K173" s="5">
        <v>3.7340092633707371E-3</v>
      </c>
      <c r="M173" s="4">
        <v>0</v>
      </c>
      <c r="O173" s="4">
        <v>2308393131</v>
      </c>
      <c r="Q173" s="4">
        <v>59821494</v>
      </c>
      <c r="S173" s="4">
        <v>2368214625</v>
      </c>
      <c r="U173" s="5">
        <v>3.7629651969744546E-3</v>
      </c>
    </row>
    <row r="174" spans="1:21" ht="18.75" x14ac:dyDescent="0.45">
      <c r="A174" s="12" t="s">
        <v>180</v>
      </c>
      <c r="C174" s="4">
        <v>0</v>
      </c>
      <c r="E174" s="4">
        <v>1584411200</v>
      </c>
      <c r="G174" s="4">
        <v>0</v>
      </c>
      <c r="I174" s="4">
        <v>1584411200</v>
      </c>
      <c r="K174" s="5">
        <v>1.5041160809778902E-2</v>
      </c>
      <c r="M174" s="4">
        <v>3237484320</v>
      </c>
      <c r="O174" s="4">
        <v>-1219520123</v>
      </c>
      <c r="Q174" s="4">
        <v>-5864458648</v>
      </c>
      <c r="S174" s="4">
        <v>-3846494451</v>
      </c>
      <c r="U174" s="5">
        <v>-6.1118720392449068E-3</v>
      </c>
    </row>
    <row r="175" spans="1:21" ht="18.75" x14ac:dyDescent="0.45">
      <c r="A175" s="12" t="s">
        <v>181</v>
      </c>
      <c r="C175" s="4">
        <v>0</v>
      </c>
      <c r="E175" s="4">
        <v>571112275</v>
      </c>
      <c r="G175" s="4">
        <v>236523285</v>
      </c>
      <c r="I175" s="4">
        <v>807635560</v>
      </c>
      <c r="K175" s="5">
        <v>7.6670603777957615E-3</v>
      </c>
      <c r="M175" s="4">
        <v>0</v>
      </c>
      <c r="O175" s="4">
        <v>1711226807</v>
      </c>
      <c r="Q175" s="4">
        <v>236523285</v>
      </c>
      <c r="S175" s="4">
        <v>1947750092</v>
      </c>
      <c r="U175" s="5">
        <v>3.0948697517649152E-3</v>
      </c>
    </row>
    <row r="176" spans="1:21" ht="18.75" x14ac:dyDescent="0.45">
      <c r="A176" s="12" t="s">
        <v>183</v>
      </c>
      <c r="C176" s="4">
        <v>0</v>
      </c>
      <c r="E176" s="4">
        <v>1491752804</v>
      </c>
      <c r="G176" s="4">
        <v>0</v>
      </c>
      <c r="I176" s="4">
        <v>1491752804</v>
      </c>
      <c r="K176" s="5">
        <v>1.4161534463656016E-2</v>
      </c>
      <c r="M176" s="4">
        <v>0</v>
      </c>
      <c r="O176" s="4">
        <v>1849953227</v>
      </c>
      <c r="Q176" s="4">
        <v>0</v>
      </c>
      <c r="S176" s="4">
        <v>1849953227</v>
      </c>
      <c r="U176" s="5">
        <v>2.939475812599368E-3</v>
      </c>
    </row>
    <row r="177" spans="1:21" ht="18.75" x14ac:dyDescent="0.45">
      <c r="A177" s="12" t="s">
        <v>185</v>
      </c>
      <c r="C177" s="4">
        <v>0</v>
      </c>
      <c r="E177" s="4">
        <v>195754880</v>
      </c>
      <c r="G177" s="4">
        <v>0</v>
      </c>
      <c r="I177" s="4">
        <v>195754880</v>
      </c>
      <c r="K177" s="5">
        <v>1.8583437363854608E-3</v>
      </c>
      <c r="M177" s="4">
        <v>0</v>
      </c>
      <c r="O177" s="4">
        <v>989528784</v>
      </c>
      <c r="Q177" s="4">
        <v>0</v>
      </c>
      <c r="S177" s="4">
        <v>989528784</v>
      </c>
      <c r="U177" s="5">
        <v>1.5723078205365159E-3</v>
      </c>
    </row>
    <row r="178" spans="1:21" ht="18.75" x14ac:dyDescent="0.45">
      <c r="A178" s="12" t="s">
        <v>186</v>
      </c>
      <c r="C178" s="4">
        <v>0</v>
      </c>
      <c r="E178" s="4">
        <v>-676653130</v>
      </c>
      <c r="G178" s="4">
        <v>1733359905</v>
      </c>
      <c r="I178" s="4">
        <v>1056706775</v>
      </c>
      <c r="K178" s="5">
        <v>1.0031547701479168E-2</v>
      </c>
      <c r="M178" s="4">
        <v>0</v>
      </c>
      <c r="O178" s="4">
        <v>2453009063</v>
      </c>
      <c r="Q178" s="4">
        <v>1253833455</v>
      </c>
      <c r="S178" s="4">
        <v>3706842518</v>
      </c>
      <c r="U178" s="5">
        <v>5.8899726564686479E-3</v>
      </c>
    </row>
    <row r="179" spans="1:21" ht="18.75" x14ac:dyDescent="0.45">
      <c r="A179" s="12" t="s">
        <v>187</v>
      </c>
      <c r="C179" s="4">
        <v>0</v>
      </c>
      <c r="E179" s="4">
        <v>-265670286</v>
      </c>
      <c r="G179" s="4">
        <v>1307342421</v>
      </c>
      <c r="I179" s="4">
        <v>1041672135</v>
      </c>
      <c r="K179" s="5">
        <v>9.8888205874843073E-3</v>
      </c>
      <c r="M179" s="4">
        <v>0</v>
      </c>
      <c r="O179" s="4">
        <v>6372454845</v>
      </c>
      <c r="Q179" s="4">
        <v>1307342421</v>
      </c>
      <c r="S179" s="4">
        <v>7679797266</v>
      </c>
      <c r="U179" s="5">
        <v>1.2202783281003328E-2</v>
      </c>
    </row>
    <row r="180" spans="1:21" ht="18.75" x14ac:dyDescent="0.45">
      <c r="A180" s="12" t="s">
        <v>355</v>
      </c>
      <c r="C180" s="4">
        <v>0</v>
      </c>
      <c r="E180" s="4">
        <v>-2819777301</v>
      </c>
      <c r="G180" s="4">
        <v>5708349429</v>
      </c>
      <c r="I180" s="4">
        <v>2888572128</v>
      </c>
      <c r="K180" s="5">
        <v>2.7421844712971762E-2</v>
      </c>
      <c r="M180" s="4">
        <v>7980000000</v>
      </c>
      <c r="O180" s="4">
        <v>9675431199</v>
      </c>
      <c r="Q180" s="4">
        <v>42542779306</v>
      </c>
      <c r="S180" s="4">
        <v>60198210505</v>
      </c>
      <c r="U180" s="5">
        <v>9.5651706842430725E-2</v>
      </c>
    </row>
    <row r="181" spans="1:21" ht="18.75" x14ac:dyDescent="0.45">
      <c r="A181" s="12" t="s">
        <v>356</v>
      </c>
      <c r="C181" s="4">
        <v>0</v>
      </c>
      <c r="E181" s="4">
        <v>-1441265129</v>
      </c>
      <c r="G181" s="4">
        <v>0</v>
      </c>
      <c r="I181" s="4">
        <v>-1441265129</v>
      </c>
      <c r="K181" s="5">
        <v>-1.3682243962183385E-2</v>
      </c>
      <c r="M181" s="4">
        <v>0</v>
      </c>
      <c r="O181" s="4">
        <v>1622644908</v>
      </c>
      <c r="Q181" s="4">
        <v>0</v>
      </c>
      <c r="S181" s="4">
        <v>1622644908</v>
      </c>
      <c r="U181" s="5">
        <v>2.5782951643801354E-3</v>
      </c>
    </row>
    <row r="182" spans="1:21" ht="18.75" x14ac:dyDescent="0.45">
      <c r="A182" s="12" t="s">
        <v>189</v>
      </c>
      <c r="C182" s="4">
        <v>0</v>
      </c>
      <c r="E182" s="4">
        <v>-152306700</v>
      </c>
      <c r="G182" s="4">
        <v>629714826</v>
      </c>
      <c r="I182" s="4">
        <v>477408126</v>
      </c>
      <c r="K182" s="5">
        <v>4.5321393809013644E-3</v>
      </c>
      <c r="M182" s="4">
        <v>0</v>
      </c>
      <c r="O182" s="4">
        <v>1917600818</v>
      </c>
      <c r="Q182" s="4">
        <v>1123824891</v>
      </c>
      <c r="S182" s="4">
        <v>3041425709</v>
      </c>
      <c r="U182" s="5">
        <v>4.8326612678318186E-3</v>
      </c>
    </row>
    <row r="183" spans="1:21" ht="18.75" x14ac:dyDescent="0.45">
      <c r="A183" s="12" t="s">
        <v>357</v>
      </c>
      <c r="C183" s="4">
        <v>0</v>
      </c>
      <c r="E183" s="4">
        <v>-3037526900</v>
      </c>
      <c r="G183" s="4">
        <v>1228019017</v>
      </c>
      <c r="I183" s="4">
        <v>-1809507883</v>
      </c>
      <c r="K183" s="5">
        <v>-1.7178052676455193E-2</v>
      </c>
      <c r="M183" s="4">
        <v>0</v>
      </c>
      <c r="O183" s="4">
        <v>2396167083</v>
      </c>
      <c r="Q183" s="4">
        <v>1454923119</v>
      </c>
      <c r="S183" s="4">
        <v>3851090202</v>
      </c>
      <c r="U183" s="5">
        <v>6.1191744394937693E-3</v>
      </c>
    </row>
    <row r="184" spans="1:21" ht="18.75" x14ac:dyDescent="0.45">
      <c r="A184" s="12" t="s">
        <v>190</v>
      </c>
      <c r="C184" s="4">
        <v>0</v>
      </c>
      <c r="E184" s="4">
        <v>-3254311494</v>
      </c>
      <c r="G184" s="4">
        <v>2055409147</v>
      </c>
      <c r="I184" s="4">
        <v>-1198902347</v>
      </c>
      <c r="K184" s="5">
        <v>-1.1381441254926969E-2</v>
      </c>
      <c r="M184" s="4">
        <v>0</v>
      </c>
      <c r="O184" s="4">
        <v>2473699284</v>
      </c>
      <c r="Q184" s="4">
        <v>2892468147</v>
      </c>
      <c r="S184" s="4">
        <v>5366167431</v>
      </c>
      <c r="U184" s="5">
        <v>8.526550368715342E-3</v>
      </c>
    </row>
    <row r="185" spans="1:21" ht="18.75" x14ac:dyDescent="0.45">
      <c r="A185" s="12" t="s">
        <v>358</v>
      </c>
      <c r="C185" s="4">
        <v>0</v>
      </c>
      <c r="E185" s="4">
        <v>685401612</v>
      </c>
      <c r="G185" s="4">
        <v>0</v>
      </c>
      <c r="I185" s="4">
        <v>685401612</v>
      </c>
      <c r="K185" s="5">
        <v>6.5066668711845034E-3</v>
      </c>
      <c r="M185" s="4">
        <v>2478702000</v>
      </c>
      <c r="O185" s="4">
        <v>1137685679</v>
      </c>
      <c r="Q185" s="4">
        <v>236535637</v>
      </c>
      <c r="S185" s="4">
        <v>3852923316</v>
      </c>
      <c r="U185" s="5">
        <v>6.1220871586836895E-3</v>
      </c>
    </row>
    <row r="186" spans="1:21" ht="18.75" x14ac:dyDescent="0.45">
      <c r="A186" s="12" t="s">
        <v>194</v>
      </c>
      <c r="C186" s="4">
        <v>0</v>
      </c>
      <c r="E186" s="4">
        <v>12474214905</v>
      </c>
      <c r="G186" s="4">
        <v>440352487</v>
      </c>
      <c r="I186" s="4">
        <v>12914567392</v>
      </c>
      <c r="K186" s="5">
        <v>0.12260080270311073</v>
      </c>
      <c r="M186" s="4">
        <v>10382562840</v>
      </c>
      <c r="O186" s="4">
        <v>4050298368</v>
      </c>
      <c r="Q186" s="4">
        <v>-1490447314</v>
      </c>
      <c r="S186" s="4">
        <v>12942413894</v>
      </c>
      <c r="U186" s="5">
        <v>2.0564797013683092E-2</v>
      </c>
    </row>
    <row r="187" spans="1:21" ht="18.75" x14ac:dyDescent="0.45">
      <c r="A187" s="12" t="s">
        <v>195</v>
      </c>
      <c r="C187" s="4">
        <v>0</v>
      </c>
      <c r="E187" s="4">
        <v>-1088396603</v>
      </c>
      <c r="G187" s="4">
        <v>1743768392</v>
      </c>
      <c r="I187" s="4">
        <v>655371789</v>
      </c>
      <c r="K187" s="5">
        <v>6.2215872170945817E-3</v>
      </c>
      <c r="M187" s="4">
        <v>0</v>
      </c>
      <c r="O187" s="4">
        <v>3593824134</v>
      </c>
      <c r="Q187" s="4">
        <v>1654240882</v>
      </c>
      <c r="S187" s="4">
        <v>5248065016</v>
      </c>
      <c r="U187" s="5">
        <v>8.3388920067441873E-3</v>
      </c>
    </row>
    <row r="188" spans="1:21" ht="18.75" x14ac:dyDescent="0.45">
      <c r="A188" s="12" t="s">
        <v>196</v>
      </c>
      <c r="C188" s="4">
        <v>0</v>
      </c>
      <c r="E188" s="4">
        <v>-1545762465</v>
      </c>
      <c r="G188" s="4">
        <v>0</v>
      </c>
      <c r="I188" s="4">
        <v>-1545762465</v>
      </c>
      <c r="K188" s="5">
        <v>-1.4674259945767381E-2</v>
      </c>
      <c r="M188" s="4">
        <v>20250000</v>
      </c>
      <c r="O188" s="4">
        <v>-2042290440</v>
      </c>
      <c r="Q188" s="4">
        <v>0</v>
      </c>
      <c r="S188" s="4">
        <v>-2022040440</v>
      </c>
      <c r="U188" s="5">
        <v>-3.2129131043580617E-3</v>
      </c>
    </row>
    <row r="189" spans="1:21" ht="18.75" x14ac:dyDescent="0.45">
      <c r="A189" s="12" t="s">
        <v>197</v>
      </c>
      <c r="C189" s="4">
        <v>0</v>
      </c>
      <c r="E189" s="4">
        <v>1760604976</v>
      </c>
      <c r="G189" s="4">
        <v>344751784</v>
      </c>
      <c r="I189" s="4">
        <v>2105356760</v>
      </c>
      <c r="K189" s="5">
        <v>1.998661053968508E-2</v>
      </c>
      <c r="M189" s="4">
        <v>0</v>
      </c>
      <c r="O189" s="4">
        <v>4810531930</v>
      </c>
      <c r="Q189" s="4">
        <v>344751784</v>
      </c>
      <c r="S189" s="4">
        <v>5155283714</v>
      </c>
      <c r="U189" s="5">
        <v>8.1914675264330005E-3</v>
      </c>
    </row>
    <row r="190" spans="1:21" ht="18.75" x14ac:dyDescent="0.45">
      <c r="A190" s="12" t="s">
        <v>198</v>
      </c>
      <c r="C190" s="4">
        <v>0</v>
      </c>
      <c r="E190" s="4">
        <v>1515893771</v>
      </c>
      <c r="G190" s="4">
        <v>0</v>
      </c>
      <c r="I190" s="4">
        <v>1515893771</v>
      </c>
      <c r="K190" s="5">
        <v>1.4390709924389043E-2</v>
      </c>
      <c r="M190" s="4">
        <v>0</v>
      </c>
      <c r="O190" s="4">
        <v>3836571720</v>
      </c>
      <c r="Q190" s="4">
        <v>0</v>
      </c>
      <c r="S190" s="4">
        <v>3836571720</v>
      </c>
      <c r="U190" s="5">
        <v>6.0961053553397516E-3</v>
      </c>
    </row>
    <row r="191" spans="1:21" ht="18.75" x14ac:dyDescent="0.45">
      <c r="A191" s="12" t="s">
        <v>199</v>
      </c>
      <c r="C191" s="4">
        <v>0</v>
      </c>
      <c r="E191" s="4">
        <v>-141833447</v>
      </c>
      <c r="G191" s="4">
        <v>730451657</v>
      </c>
      <c r="I191" s="4">
        <v>588618210</v>
      </c>
      <c r="K191" s="5">
        <v>5.5878809441477105E-3</v>
      </c>
      <c r="M191" s="4">
        <v>0</v>
      </c>
      <c r="O191" s="4">
        <v>3473408763</v>
      </c>
      <c r="Q191" s="4">
        <v>730451657</v>
      </c>
      <c r="S191" s="4">
        <v>4203860420</v>
      </c>
      <c r="U191" s="5">
        <v>6.6797072724767981E-3</v>
      </c>
    </row>
    <row r="192" spans="1:21" ht="18.75" x14ac:dyDescent="0.45">
      <c r="A192" s="12" t="s">
        <v>359</v>
      </c>
      <c r="C192" s="4">
        <v>813578800</v>
      </c>
      <c r="E192" s="4">
        <v>33178269</v>
      </c>
      <c r="G192" s="4">
        <v>44727135</v>
      </c>
      <c r="I192" s="4">
        <v>891484204</v>
      </c>
      <c r="K192" s="5">
        <v>8.4630538282875929E-3</v>
      </c>
      <c r="M192" s="4">
        <v>813578800</v>
      </c>
      <c r="O192" s="4">
        <v>846872625</v>
      </c>
      <c r="Q192" s="4">
        <v>89992076</v>
      </c>
      <c r="S192" s="4">
        <v>1750443501</v>
      </c>
      <c r="U192" s="5">
        <v>2.781360229769343E-3</v>
      </c>
    </row>
    <row r="193" spans="1:21" ht="18.75" x14ac:dyDescent="0.45">
      <c r="A193" s="12" t="s">
        <v>201</v>
      </c>
      <c r="C193" s="4">
        <v>0</v>
      </c>
      <c r="E193" s="4">
        <v>1768666659</v>
      </c>
      <c r="G193" s="4">
        <v>0</v>
      </c>
      <c r="I193" s="4">
        <v>1768666659</v>
      </c>
      <c r="K193" s="5">
        <v>1.6790338036561079E-2</v>
      </c>
      <c r="M193" s="4">
        <v>0</v>
      </c>
      <c r="O193" s="4">
        <v>3781653894</v>
      </c>
      <c r="Q193" s="4">
        <v>0</v>
      </c>
      <c r="S193" s="4">
        <v>3781653894</v>
      </c>
      <c r="U193" s="5">
        <v>6.0088438944273992E-3</v>
      </c>
    </row>
    <row r="194" spans="1:21" ht="18.75" x14ac:dyDescent="0.45">
      <c r="A194" s="12" t="s">
        <v>202</v>
      </c>
      <c r="C194" s="4">
        <v>0</v>
      </c>
      <c r="E194" s="4">
        <v>-828687553</v>
      </c>
      <c r="G194" s="4">
        <v>0</v>
      </c>
      <c r="I194" s="4">
        <v>-828687553</v>
      </c>
      <c r="K194" s="5">
        <v>-7.8669115351716629E-3</v>
      </c>
      <c r="M194" s="4">
        <v>0</v>
      </c>
      <c r="O194" s="4">
        <v>2471342261</v>
      </c>
      <c r="Q194" s="4">
        <v>0</v>
      </c>
      <c r="S194" s="4">
        <v>2471342261</v>
      </c>
      <c r="U194" s="5">
        <v>3.9268294434906459E-3</v>
      </c>
    </row>
    <row r="195" spans="1:21" ht="18.75" x14ac:dyDescent="0.45">
      <c r="A195" s="12" t="s">
        <v>203</v>
      </c>
      <c r="C195" s="4">
        <v>0</v>
      </c>
      <c r="E195" s="4">
        <v>473394793</v>
      </c>
      <c r="G195" s="4">
        <v>0</v>
      </c>
      <c r="I195" s="4">
        <v>473394793</v>
      </c>
      <c r="K195" s="5">
        <v>4.4940399361131731E-3</v>
      </c>
      <c r="M195" s="4">
        <v>0</v>
      </c>
      <c r="O195" s="4">
        <v>2175264697</v>
      </c>
      <c r="Q195" s="4">
        <v>0</v>
      </c>
      <c r="S195" s="4">
        <v>2175264697</v>
      </c>
      <c r="U195" s="5">
        <v>3.4563781773023134E-3</v>
      </c>
    </row>
    <row r="196" spans="1:21" ht="18.75" x14ac:dyDescent="0.45">
      <c r="A196" s="12" t="s">
        <v>204</v>
      </c>
      <c r="C196" s="4">
        <v>0</v>
      </c>
      <c r="E196" s="4">
        <v>-1206383529</v>
      </c>
      <c r="G196" s="4">
        <v>157000069</v>
      </c>
      <c r="I196" s="4">
        <v>-1049383460</v>
      </c>
      <c r="K196" s="5">
        <v>-9.9620258762259349E-3</v>
      </c>
      <c r="M196" s="4">
        <v>1064000000</v>
      </c>
      <c r="O196" s="4">
        <v>4185580737</v>
      </c>
      <c r="Q196" s="4">
        <v>-1626269702</v>
      </c>
      <c r="S196" s="4">
        <v>3623311035</v>
      </c>
      <c r="U196" s="5">
        <v>5.7572456392200894E-3</v>
      </c>
    </row>
    <row r="197" spans="1:21" ht="37.5" x14ac:dyDescent="0.45">
      <c r="A197" s="12" t="s">
        <v>206</v>
      </c>
      <c r="C197" s="4">
        <v>0</v>
      </c>
      <c r="E197" s="4">
        <v>378409068</v>
      </c>
      <c r="G197" s="4">
        <v>-219231120</v>
      </c>
      <c r="I197" s="4">
        <v>159177948</v>
      </c>
      <c r="K197" s="5">
        <v>1.5111109497576284E-3</v>
      </c>
      <c r="M197" s="4">
        <v>0</v>
      </c>
      <c r="O197" s="4">
        <v>-3767146924</v>
      </c>
      <c r="Q197" s="4">
        <v>-2812274257</v>
      </c>
      <c r="S197" s="4">
        <v>-6579421181</v>
      </c>
      <c r="U197" s="5">
        <v>-1.0454345082992452E-2</v>
      </c>
    </row>
    <row r="198" spans="1:21" ht="37.5" x14ac:dyDescent="0.45">
      <c r="A198" s="12" t="s">
        <v>207</v>
      </c>
      <c r="C198" s="4">
        <v>0</v>
      </c>
      <c r="E198" s="4">
        <v>0</v>
      </c>
      <c r="G198" s="4">
        <v>336281</v>
      </c>
      <c r="I198" s="4">
        <v>336281</v>
      </c>
      <c r="K198" s="5">
        <v>3.1923888181762782E-6</v>
      </c>
      <c r="M198" s="4">
        <v>0</v>
      </c>
      <c r="O198" s="4">
        <v>0</v>
      </c>
      <c r="Q198" s="4">
        <v>336281</v>
      </c>
      <c r="S198" s="4">
        <v>336281</v>
      </c>
      <c r="U198" s="5">
        <v>5.3433235571027118E-7</v>
      </c>
    </row>
    <row r="199" spans="1:21" ht="18.75" x14ac:dyDescent="0.45">
      <c r="A199" s="12" t="s">
        <v>208</v>
      </c>
      <c r="C199" s="4">
        <v>0</v>
      </c>
      <c r="E199" s="4">
        <v>815398099</v>
      </c>
      <c r="G199" s="4">
        <v>312823730</v>
      </c>
      <c r="I199" s="4">
        <v>1128221829</v>
      </c>
      <c r="K199" s="5">
        <v>1.0710455694261611E-2</v>
      </c>
      <c r="M199" s="4">
        <v>0</v>
      </c>
      <c r="O199" s="4">
        <v>2710334779</v>
      </c>
      <c r="Q199" s="4">
        <v>312823730</v>
      </c>
      <c r="S199" s="4">
        <v>3023158509</v>
      </c>
      <c r="U199" s="5">
        <v>4.8036356731409775E-3</v>
      </c>
    </row>
    <row r="200" spans="1:21" ht="18.75" x14ac:dyDescent="0.45">
      <c r="A200" s="12" t="s">
        <v>270</v>
      </c>
      <c r="L200" s="6"/>
      <c r="M200" s="4">
        <v>712500000</v>
      </c>
      <c r="O200" s="4">
        <v>0</v>
      </c>
      <c r="Q200" s="4">
        <v>-2779810960</v>
      </c>
      <c r="S200" s="4">
        <v>-2067310960</v>
      </c>
      <c r="U200" s="5">
        <v>-3.2848455168221287E-3</v>
      </c>
    </row>
    <row r="201" spans="1:21" ht="18.75" x14ac:dyDescent="0.45">
      <c r="A201" s="12" t="s">
        <v>287</v>
      </c>
      <c r="L201" s="6"/>
      <c r="M201" s="4">
        <v>1169457258</v>
      </c>
      <c r="O201" s="4">
        <v>0</v>
      </c>
      <c r="Q201" s="4">
        <v>-2912771308</v>
      </c>
      <c r="S201" s="4">
        <v>-1743314050</v>
      </c>
      <c r="U201" s="5">
        <v>-2.7700319169959454E-3</v>
      </c>
    </row>
    <row r="202" spans="1:21" ht="18.75" x14ac:dyDescent="0.45">
      <c r="A202" s="12" t="s">
        <v>290</v>
      </c>
      <c r="L202" s="6"/>
      <c r="M202" s="4">
        <v>8079063930</v>
      </c>
      <c r="O202" s="4">
        <v>0</v>
      </c>
      <c r="Q202" s="4">
        <v>3747512487</v>
      </c>
      <c r="S202" s="4">
        <v>11826576417</v>
      </c>
      <c r="U202" s="5">
        <v>1.8791791498428839E-2</v>
      </c>
    </row>
    <row r="203" spans="1:21" ht="18.75" x14ac:dyDescent="0.45">
      <c r="A203" s="12" t="s">
        <v>296</v>
      </c>
      <c r="L203" s="6"/>
      <c r="M203" s="4">
        <v>5683165600</v>
      </c>
      <c r="O203" s="4">
        <v>0</v>
      </c>
      <c r="Q203" s="4">
        <v>-14873095043</v>
      </c>
      <c r="S203" s="4">
        <v>-9189929443</v>
      </c>
      <c r="U203" s="5">
        <v>-1.4602301789543181E-2</v>
      </c>
    </row>
    <row r="204" spans="1:21" ht="18.75" x14ac:dyDescent="0.45">
      <c r="A204" s="12" t="s">
        <v>300</v>
      </c>
      <c r="L204" s="6"/>
      <c r="M204" s="4">
        <v>584000000</v>
      </c>
      <c r="O204" s="4">
        <v>0</v>
      </c>
      <c r="Q204" s="4">
        <v>-1158523048</v>
      </c>
      <c r="S204" s="4">
        <v>-574523048</v>
      </c>
      <c r="U204" s="5">
        <v>-9.1288610908045714E-4</v>
      </c>
    </row>
    <row r="205" spans="1:21" ht="18.75" x14ac:dyDescent="0.45">
      <c r="A205" s="12" t="s">
        <v>308</v>
      </c>
      <c r="L205" s="6"/>
      <c r="M205" s="4">
        <v>3140568600</v>
      </c>
      <c r="O205" s="4">
        <v>0</v>
      </c>
      <c r="Q205" s="4">
        <v>-10727845278</v>
      </c>
      <c r="S205" s="4">
        <v>-7587276678</v>
      </c>
      <c r="U205" s="5">
        <v>-1.2055773061164147E-2</v>
      </c>
    </row>
    <row r="206" spans="1:21" ht="18.75" x14ac:dyDescent="0.45">
      <c r="A206" s="12" t="s">
        <v>310</v>
      </c>
      <c r="L206" s="6"/>
      <c r="M206" s="4">
        <v>117135</v>
      </c>
      <c r="O206" s="4">
        <v>0</v>
      </c>
      <c r="Q206" s="4">
        <v>108816</v>
      </c>
      <c r="S206" s="4">
        <v>225951</v>
      </c>
      <c r="U206" s="5">
        <v>3.5902394159970827E-7</v>
      </c>
    </row>
    <row r="207" spans="1:21" ht="18.75" x14ac:dyDescent="0.45">
      <c r="A207" s="12" t="s">
        <v>315</v>
      </c>
      <c r="L207" s="6"/>
      <c r="M207" s="4">
        <v>728479800</v>
      </c>
      <c r="O207" s="4">
        <v>0</v>
      </c>
      <c r="Q207" s="4">
        <v>-386487517</v>
      </c>
      <c r="S207" s="4">
        <v>341992283</v>
      </c>
      <c r="U207" s="5">
        <v>5.4340727608792572E-4</v>
      </c>
    </row>
    <row r="208" spans="1:21" ht="18.75" x14ac:dyDescent="0.45">
      <c r="A208" s="7" t="s">
        <v>209</v>
      </c>
      <c r="C208" s="7">
        <f>SUM(C9:$C$207)</f>
        <v>8786323970</v>
      </c>
      <c r="E208" s="7">
        <f>SUM(E9:$E$207)</f>
        <v>55216552146</v>
      </c>
      <c r="G208" s="7">
        <f>SUM(G9:$G$207)</f>
        <v>38882248570</v>
      </c>
      <c r="I208" s="7">
        <f>SUM(I9:$I$207)</f>
        <v>102885124686</v>
      </c>
      <c r="K208" s="8">
        <f>SUM(K9:$K$207)</f>
        <v>0.97671091023358003</v>
      </c>
      <c r="M208" s="7">
        <f>SUM(M9:$M$207)</f>
        <v>253028006610</v>
      </c>
      <c r="O208" s="7">
        <f>SUM(O9:$O$207)</f>
        <v>333923999319</v>
      </c>
      <c r="Q208" s="7">
        <f>SUM(Q9:$Q$207)</f>
        <v>32692963858</v>
      </c>
      <c r="S208" s="7">
        <f>SUM(S9:$S$207)</f>
        <v>619644969787</v>
      </c>
      <c r="U208" s="8">
        <f>SUM(U9:$U$207)</f>
        <v>0.98458240700577071</v>
      </c>
    </row>
    <row r="209" spans="3:21" ht="18.75" x14ac:dyDescent="0.45">
      <c r="C209" s="9"/>
      <c r="E209" s="9"/>
      <c r="G209" s="9"/>
      <c r="I209" s="9"/>
      <c r="K209" s="9"/>
      <c r="M209" s="9"/>
      <c r="O209" s="9"/>
      <c r="Q209" s="9"/>
      <c r="S209" s="9"/>
      <c r="U209" s="9"/>
    </row>
    <row r="213" spans="3:21" x14ac:dyDescent="0.45">
      <c r="S213" s="15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activeCell="AL14" sqref="AL14"/>
    </sheetView>
  </sheetViews>
  <sheetFormatPr defaultRowHeight="18" x14ac:dyDescent="0.45"/>
  <cols>
    <col min="1" max="1" width="21.285156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7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6384" width="9.140625" style="1"/>
  </cols>
  <sheetData>
    <row r="1" spans="1:17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20.100000000000001" customHeight="1" x14ac:dyDescent="0.45">
      <c r="A2" s="21" t="s">
        <v>245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5" spans="1:17" ht="21" x14ac:dyDescent="0.45">
      <c r="A5" s="23" t="s">
        <v>360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7" spans="1:17" ht="21" x14ac:dyDescent="0.45">
      <c r="C7" s="24" t="s">
        <v>257</v>
      </c>
      <c r="D7" s="25"/>
      <c r="E7" s="25"/>
      <c r="F7" s="25"/>
      <c r="G7" s="25"/>
      <c r="H7" s="25"/>
      <c r="I7" s="25"/>
      <c r="J7" s="25"/>
      <c r="K7" s="25"/>
      <c r="M7" s="24" t="s">
        <v>7</v>
      </c>
      <c r="N7" s="25"/>
      <c r="O7" s="25"/>
      <c r="P7" s="25"/>
      <c r="Q7" s="25"/>
    </row>
    <row r="8" spans="1:17" ht="21" x14ac:dyDescent="0.45">
      <c r="C8" s="11" t="s">
        <v>361</v>
      </c>
      <c r="E8" s="11" t="s">
        <v>334</v>
      </c>
      <c r="G8" s="11" t="s">
        <v>335</v>
      </c>
      <c r="I8" s="11" t="s">
        <v>209</v>
      </c>
      <c r="K8" s="11" t="s">
        <v>361</v>
      </c>
      <c r="M8" s="11" t="s">
        <v>334</v>
      </c>
      <c r="O8" s="11" t="s">
        <v>335</v>
      </c>
      <c r="Q8" s="11" t="s">
        <v>209</v>
      </c>
    </row>
    <row r="9" spans="1:17" ht="18.75" x14ac:dyDescent="0.45">
      <c r="A9" s="7" t="s">
        <v>209</v>
      </c>
      <c r="C9" s="7">
        <f>SUM($C$8)</f>
        <v>0</v>
      </c>
      <c r="E9" s="7">
        <f>SUM($E$8)</f>
        <v>0</v>
      </c>
      <c r="G9" s="7">
        <f>SUM($G$8)</f>
        <v>0</v>
      </c>
      <c r="I9" s="7">
        <f>SUM($I$8)</f>
        <v>0</v>
      </c>
      <c r="K9" s="7">
        <f>SUM($K$8)</f>
        <v>0</v>
      </c>
      <c r="M9" s="7">
        <f>SUM($M$8)</f>
        <v>0</v>
      </c>
      <c r="O9" s="7">
        <f>SUM($O$8)</f>
        <v>0</v>
      </c>
      <c r="Q9" s="7">
        <f>SUM($Q$8)</f>
        <v>0</v>
      </c>
    </row>
    <row r="10" spans="1:17" ht="18.75" x14ac:dyDescent="0.45">
      <c r="C10" s="9"/>
      <c r="E10" s="9"/>
      <c r="G10" s="9"/>
      <c r="I10" s="9"/>
      <c r="K10" s="9"/>
      <c r="M10" s="9"/>
      <c r="O10" s="9"/>
      <c r="Q10" s="9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84" zoomScaleNormal="100" zoomScaleSheetLayoutView="84" workbookViewId="0">
      <selection activeCell="AL14" sqref="AL14"/>
    </sheetView>
  </sheetViews>
  <sheetFormatPr defaultRowHeight="18" x14ac:dyDescent="0.45"/>
  <cols>
    <col min="1" max="1" width="25.5703125" style="1" customWidth="1"/>
    <col min="2" max="2" width="1.42578125" style="1" customWidth="1"/>
    <col min="3" max="3" width="17" style="1" customWidth="1"/>
    <col min="4" max="4" width="1.42578125" style="1" customWidth="1"/>
    <col min="5" max="5" width="14.140625" style="1" customWidth="1"/>
    <col min="6" max="6" width="1.42578125" style="1" customWidth="1"/>
    <col min="7" max="7" width="17" style="1" customWidth="1"/>
    <col min="8" max="8" width="1.42578125" style="1" customWidth="1"/>
    <col min="9" max="9" width="14.140625" style="1" customWidth="1"/>
    <col min="10" max="16384" width="9.140625" style="1"/>
  </cols>
  <sheetData>
    <row r="1" spans="1:9" ht="20.100000000000001" customHeight="1" x14ac:dyDescent="0.4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0.100000000000001" customHeight="1" x14ac:dyDescent="0.45">
      <c r="A2" s="21" t="s">
        <v>245</v>
      </c>
      <c r="B2" s="22"/>
      <c r="C2" s="22"/>
      <c r="D2" s="22"/>
      <c r="E2" s="22"/>
      <c r="F2" s="22"/>
      <c r="G2" s="22"/>
      <c r="H2" s="22"/>
      <c r="I2" s="22"/>
    </row>
    <row r="3" spans="1:9" ht="20.100000000000001" customHeight="1" x14ac:dyDescent="0.45">
      <c r="A3" s="21" t="s">
        <v>2</v>
      </c>
      <c r="B3" s="22"/>
      <c r="C3" s="22"/>
      <c r="D3" s="22"/>
      <c r="E3" s="22"/>
      <c r="F3" s="22"/>
      <c r="G3" s="22"/>
      <c r="H3" s="22"/>
      <c r="I3" s="22"/>
    </row>
    <row r="5" spans="1:9" ht="21" x14ac:dyDescent="0.45">
      <c r="A5" s="23" t="s">
        <v>362</v>
      </c>
      <c r="B5" s="22"/>
      <c r="C5" s="22"/>
      <c r="D5" s="22"/>
      <c r="E5" s="22"/>
      <c r="F5" s="22"/>
      <c r="G5" s="22"/>
      <c r="H5" s="22"/>
      <c r="I5" s="22"/>
    </row>
    <row r="7" spans="1:9" ht="21" x14ac:dyDescent="0.45">
      <c r="A7" s="24" t="s">
        <v>363</v>
      </c>
      <c r="B7" s="25"/>
      <c r="C7" s="24" t="s">
        <v>257</v>
      </c>
      <c r="D7" s="25"/>
      <c r="E7" s="25"/>
      <c r="G7" s="24" t="s">
        <v>7</v>
      </c>
      <c r="H7" s="25"/>
      <c r="I7" s="25"/>
    </row>
    <row r="8" spans="1:9" ht="42" x14ac:dyDescent="0.45">
      <c r="A8" s="11" t="s">
        <v>364</v>
      </c>
      <c r="C8" s="11" t="s">
        <v>365</v>
      </c>
      <c r="E8" s="11" t="s">
        <v>366</v>
      </c>
      <c r="G8" s="11" t="s">
        <v>365</v>
      </c>
      <c r="I8" s="11" t="s">
        <v>366</v>
      </c>
    </row>
    <row r="9" spans="1:9" ht="18.75" x14ac:dyDescent="0.45">
      <c r="A9" s="20" t="s">
        <v>390</v>
      </c>
      <c r="C9" s="4">
        <v>137652</v>
      </c>
      <c r="E9" s="5">
        <f>C9/C16</f>
        <v>5.6110412531565477E-5</v>
      </c>
      <c r="G9" s="4">
        <v>3928785</v>
      </c>
      <c r="I9" s="5">
        <f>G9/G16</f>
        <v>4.0490284583934155E-4</v>
      </c>
    </row>
    <row r="10" spans="1:9" ht="18.75" x14ac:dyDescent="0.45">
      <c r="A10" s="20" t="s">
        <v>387</v>
      </c>
      <c r="C10" s="4">
        <v>2452303423</v>
      </c>
      <c r="E10" s="5">
        <f>C10/C16</f>
        <v>0.99962046840656227</v>
      </c>
      <c r="G10" s="4">
        <v>9683514727</v>
      </c>
      <c r="I10" s="5">
        <f>G10/G16</f>
        <v>0.99798860734030359</v>
      </c>
    </row>
    <row r="11" spans="1:9" ht="18.75" x14ac:dyDescent="0.45">
      <c r="A11" s="20" t="s">
        <v>389</v>
      </c>
      <c r="C11" s="4">
        <v>66516</v>
      </c>
      <c r="E11" s="5">
        <f>C11/C16</f>
        <v>2.7113592246749841E-5</v>
      </c>
      <c r="G11" s="4">
        <v>538013</v>
      </c>
      <c r="I11" s="5">
        <f>G11/G16</f>
        <v>5.5447929779451327E-5</v>
      </c>
    </row>
    <row r="12" spans="1:9" ht="18.75" x14ac:dyDescent="0.45">
      <c r="A12" s="20" t="s">
        <v>391</v>
      </c>
      <c r="C12" s="4">
        <v>37429</v>
      </c>
      <c r="E12" s="5">
        <f>C12/C16</f>
        <v>1.5257000484148173E-5</v>
      </c>
      <c r="G12" s="4">
        <v>283402</v>
      </c>
      <c r="I12" s="5">
        <f>G12/G16</f>
        <v>2.9207573414315389E-5</v>
      </c>
    </row>
    <row r="13" spans="1:9" ht="18.75" x14ac:dyDescent="0.45">
      <c r="A13" s="20" t="s">
        <v>386</v>
      </c>
      <c r="C13" s="4">
        <v>31055</v>
      </c>
      <c r="E13" s="5">
        <f>C13/C16</f>
        <v>1.2658797991803721E-5</v>
      </c>
      <c r="G13" s="4">
        <v>269027</v>
      </c>
      <c r="I13" s="5">
        <f>G13/G16</f>
        <v>2.7726077631537624E-5</v>
      </c>
    </row>
    <row r="14" spans="1:9" ht="18.75" x14ac:dyDescent="0.45">
      <c r="A14" s="20" t="s">
        <v>388</v>
      </c>
      <c r="C14" s="4">
        <v>658428</v>
      </c>
      <c r="E14" s="5">
        <f>C14/C16</f>
        <v>2.6839179018345967E-4</v>
      </c>
      <c r="G14" s="4">
        <v>11333908</v>
      </c>
      <c r="I14" s="5">
        <f>G14/G16</f>
        <v>1.1680790890011238E-3</v>
      </c>
    </row>
    <row r="15" spans="1:9" ht="18.75" x14ac:dyDescent="0.45">
      <c r="A15" s="20" t="s">
        <v>392</v>
      </c>
      <c r="F15" s="6"/>
      <c r="G15" s="4">
        <v>3163471</v>
      </c>
      <c r="I15" s="5">
        <f>G15/G16</f>
        <v>3.2602914403059158E-4</v>
      </c>
    </row>
    <row r="16" spans="1:9" ht="19.5" thickBot="1" x14ac:dyDescent="0.5">
      <c r="A16" s="7" t="s">
        <v>209</v>
      </c>
      <c r="C16" s="7">
        <f>SUM(C9:$C$15)</f>
        <v>2453234503</v>
      </c>
      <c r="E16" s="8">
        <f>SUM(E9:$E$15)</f>
        <v>1</v>
      </c>
      <c r="G16" s="7">
        <f>SUM(G9:$G$15)</f>
        <v>9703031333</v>
      </c>
      <c r="I16" s="8">
        <f>SUM(I9:$I$15)</f>
        <v>0.99999999999999989</v>
      </c>
    </row>
    <row r="17" spans="3:9" ht="19.5" thickTop="1" x14ac:dyDescent="0.45">
      <c r="C17" s="9"/>
      <c r="E17" s="9"/>
      <c r="G17" s="9"/>
      <c r="I17" s="9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rightToLeft="1" view="pageBreakPreview" zoomScale="60" zoomScaleNormal="100" workbookViewId="0">
      <selection activeCell="AL14" sqref="AL14"/>
    </sheetView>
  </sheetViews>
  <sheetFormatPr defaultRowHeight="18" x14ac:dyDescent="0.45"/>
  <cols>
    <col min="1" max="1" width="25.57031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18.42578125" style="1" customWidth="1"/>
    <col min="6" max="16384" width="9.140625" style="1"/>
  </cols>
  <sheetData>
    <row r="1" spans="1:5" ht="20.100000000000001" customHeight="1" x14ac:dyDescent="0.45">
      <c r="A1" s="36" t="s">
        <v>393</v>
      </c>
      <c r="B1" s="22"/>
      <c r="C1" s="22"/>
      <c r="D1" s="22"/>
      <c r="E1" s="22"/>
    </row>
    <row r="2" spans="1:5" ht="20.100000000000001" customHeight="1" x14ac:dyDescent="0.45">
      <c r="A2" s="21" t="s">
        <v>245</v>
      </c>
      <c r="B2" s="22"/>
      <c r="C2" s="22"/>
      <c r="D2" s="22"/>
      <c r="E2" s="22"/>
    </row>
    <row r="3" spans="1:5" ht="20.100000000000001" customHeight="1" x14ac:dyDescent="0.45">
      <c r="A3" s="21" t="s">
        <v>2</v>
      </c>
      <c r="B3" s="22"/>
      <c r="C3" s="22"/>
      <c r="D3" s="22"/>
      <c r="E3" s="22"/>
    </row>
    <row r="5" spans="1:5" ht="21" x14ac:dyDescent="0.45">
      <c r="A5" s="23" t="s">
        <v>367</v>
      </c>
      <c r="B5" s="22"/>
      <c r="C5" s="22"/>
      <c r="D5" s="22"/>
      <c r="E5" s="22"/>
    </row>
    <row r="7" spans="1:5" ht="21" x14ac:dyDescent="0.45">
      <c r="C7" s="10" t="s">
        <v>257</v>
      </c>
      <c r="E7" s="10" t="s">
        <v>7</v>
      </c>
    </row>
    <row r="8" spans="1:5" ht="21" x14ac:dyDescent="0.45">
      <c r="A8" s="11" t="s">
        <v>254</v>
      </c>
      <c r="C8" s="11" t="s">
        <v>242</v>
      </c>
      <c r="E8" s="11" t="s">
        <v>242</v>
      </c>
    </row>
    <row r="9" spans="1:5" ht="18.75" x14ac:dyDescent="0.45">
      <c r="A9" s="7" t="s">
        <v>209</v>
      </c>
      <c r="C9" s="7">
        <f>SUM($C$8)</f>
        <v>0</v>
      </c>
      <c r="E9" s="7">
        <f>SUM($E$8)</f>
        <v>0</v>
      </c>
    </row>
    <row r="10" spans="1:5" ht="18.75" x14ac:dyDescent="0.45">
      <c r="C10" s="9"/>
      <c r="E10" s="9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'1'!Print_Area</vt:lpstr>
      <vt:lpstr>'12'!Print_Area</vt:lpstr>
      <vt:lpstr>'7'!Print_Area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2025-11-26T05:02:59Z</cp:lastPrinted>
  <dcterms:created xsi:type="dcterms:W3CDTF">2025-11-22T06:07:09Z</dcterms:created>
  <dcterms:modified xsi:type="dcterms:W3CDTF">2025-11-26T05:03:05Z</dcterms:modified>
</cp:coreProperties>
</file>