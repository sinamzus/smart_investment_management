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.langari.AM\Desktop\پرتفو\"/>
    </mc:Choice>
  </mc:AlternateContent>
  <xr:revisionPtr revIDLastSave="0" documentId="13_ncr:1_{776C59E7-F230-44FF-B4D1-C3D9EBF0B549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1" sheetId="24" r:id="rId1"/>
    <sheet name=" سهام" sheetId="21" r:id="rId2"/>
    <sheet name="سپرده" sheetId="2" r:id="rId3"/>
    <sheet name="درآمدها" sheetId="11" r:id="rId4"/>
    <sheet name="درآمد سرمایه گذاری در سهام " sheetId="5" r:id="rId5"/>
    <sheet name="درآمد سپرده بانکی" sheetId="7" r:id="rId6"/>
    <sheet name="سایر درآمدها" sheetId="8" r:id="rId7"/>
    <sheet name="درآمد سود سهام" sheetId="12" r:id="rId8"/>
    <sheet name="سود  سپرده بانکی" sheetId="22" r:id="rId9"/>
    <sheet name="درآمد ناشی ازفروش" sheetId="15" r:id="rId10"/>
    <sheet name="درآمد ناشی از تغییر قیمت اوراق " sheetId="14" r:id="rId11"/>
  </sheets>
  <definedNames>
    <definedName name="_xlnm.Print_Area" localSheetId="1">' سهام'!$A$1:$N$235</definedName>
    <definedName name="_xlnm.Print_Area" localSheetId="10">'درآمد ناشی از تغییر قیمت اوراق '!$A$1:$I$234</definedName>
    <definedName name="_xlnm.Print_Area" localSheetId="3">درآمدها!$A$1:$E$11</definedName>
    <definedName name="_xlnm.Print_Area" localSheetId="2">سپرده!$A$1:$O$17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3" i="14" l="1"/>
  <c r="H233" i="14"/>
  <c r="G233" i="14"/>
  <c r="F233" i="14"/>
  <c r="E233" i="14"/>
  <c r="D233" i="14"/>
  <c r="C233" i="14"/>
  <c r="B233" i="14"/>
  <c r="I183" i="15"/>
  <c r="H183" i="15"/>
  <c r="G183" i="15"/>
  <c r="F183" i="15"/>
  <c r="E183" i="15"/>
  <c r="D183" i="15"/>
  <c r="C183" i="15"/>
  <c r="B183" i="15"/>
  <c r="H14" i="22"/>
  <c r="G14" i="22"/>
  <c r="F14" i="22"/>
  <c r="E14" i="22"/>
  <c r="D14" i="22"/>
  <c r="C14" i="22"/>
  <c r="J190" i="12"/>
  <c r="I190" i="12"/>
  <c r="H190" i="12"/>
  <c r="G190" i="12"/>
  <c r="F190" i="12"/>
  <c r="E190" i="12"/>
  <c r="D190" i="12"/>
  <c r="C190" i="12"/>
  <c r="B190" i="12"/>
  <c r="C10" i="8"/>
  <c r="B10" i="8"/>
  <c r="E16" i="7"/>
  <c r="C16" i="7"/>
  <c r="K235" i="5"/>
  <c r="J235" i="5"/>
  <c r="I235" i="5"/>
  <c r="H235" i="5"/>
  <c r="G235" i="5"/>
  <c r="F235" i="5"/>
  <c r="E235" i="5"/>
  <c r="D235" i="5"/>
  <c r="C235" i="5"/>
  <c r="B235" i="5"/>
  <c r="C10" i="11"/>
  <c r="E9" i="11"/>
  <c r="D9" i="11"/>
  <c r="D10" i="11" s="1"/>
  <c r="E10" i="11"/>
  <c r="E8" i="11"/>
  <c r="D8" i="11"/>
  <c r="F16" i="2"/>
  <c r="E16" i="2"/>
  <c r="D16" i="2"/>
  <c r="C16" i="2"/>
  <c r="B16" i="2"/>
  <c r="N234" i="21"/>
  <c r="M234" i="21"/>
  <c r="L234" i="21"/>
  <c r="I234" i="21"/>
  <c r="G234" i="21"/>
  <c r="D234" i="21"/>
  <c r="C234" i="21"/>
  <c r="F12" i="7" l="1"/>
  <c r="F11" i="7"/>
  <c r="F10" i="7"/>
  <c r="D12" i="7"/>
  <c r="D11" i="7"/>
  <c r="F14" i="7"/>
  <c r="F15" i="7"/>
  <c r="F13" i="7"/>
  <c r="D10" i="7"/>
  <c r="D16" i="7" s="1"/>
  <c r="D13" i="7"/>
  <c r="D14" i="7"/>
  <c r="F16" i="7" l="1"/>
</calcChain>
</file>

<file path=xl/sharedStrings.xml><?xml version="1.0" encoding="utf-8"?>
<sst xmlns="http://schemas.openxmlformats.org/spreadsheetml/2006/main" count="1406" uniqueCount="408">
  <si>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</si>
  <si>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</si>
  <si>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</si>
  <si>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</si>
  <si>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</si>
  <si>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</si>
  <si>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</si>
  <si>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تغییرات طی دوره</t>
  </si>
  <si>
    <t>سپرده های بانکی</t>
  </si>
  <si>
    <t>درآمد سود سهام</t>
  </si>
  <si>
    <t>درآمد تغییر ارزش</t>
  </si>
  <si>
    <t>درآمد فروش</t>
  </si>
  <si>
    <t>درصد از کل درآمد ها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</si>
  <si>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</si>
  <si>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</si>
  <si>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</si>
  <si>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</si>
  <si>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</si>
  <si>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</si>
  <si>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</si>
  <si>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</si>
  <si>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</si>
  <si>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</si>
  <si>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</si>
  <si>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</si>
  <si>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</si>
  <si>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</si>
  <si>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</si>
  <si>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نام سهام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</si>
  <si>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</si>
  <si>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</si>
  <si>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</si>
  <si>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</si>
  <si>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</si>
  <si>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</si>
  <si>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</si>
  <si>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</si>
  <si>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</si>
  <si>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</si>
  <si>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</si>
  <si>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</si>
  <si>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</si>
  <si>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</si>
  <si>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</si>
  <si>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</si>
  <si>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</si>
  <si>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</si>
  <si>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</si>
  <si>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</si>
  <si>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</si>
  <si>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1-2</t>
  </si>
  <si>
    <t>2-2</t>
  </si>
  <si>
    <t xml:space="preserve">صورت وضعیت درآمدها </t>
  </si>
  <si>
    <t xml:space="preserve">درآمد سود </t>
  </si>
  <si>
    <t>یادداشت ...</t>
  </si>
  <si>
    <t>درصد از کل دارایی ها</t>
  </si>
  <si>
    <t>سود سپرده بانکی</t>
  </si>
  <si>
    <t xml:space="preserve">افزایش سرمایه </t>
  </si>
  <si>
    <t>طی دوره</t>
  </si>
  <si>
    <t>کاهش</t>
  </si>
  <si>
    <t>8-2-سایر درآمدها:</t>
  </si>
  <si>
    <t>شاخصی هم ‏وزن تراز</t>
  </si>
  <si>
    <t>برای ماه منتهی به 1405/06/31</t>
  </si>
  <si>
    <t>1405/06/31</t>
  </si>
  <si>
    <t>1405/05/31</t>
  </si>
  <si>
    <t>كاريزما</t>
  </si>
  <si>
    <t>سپه</t>
  </si>
  <si>
    <t>ملت</t>
  </si>
  <si>
    <t>پاسارگاد</t>
  </si>
  <si>
    <t>دي</t>
  </si>
  <si>
    <t>خاورميانه</t>
  </si>
  <si>
    <t>سامان</t>
  </si>
  <si>
    <t>سيمان اردستان</t>
  </si>
  <si>
    <t>منگنز ايران</t>
  </si>
  <si>
    <t>بيمه پارسيان</t>
  </si>
  <si>
    <t>پتروشيمي شازند</t>
  </si>
  <si>
    <t>سيمان اروميه</t>
  </si>
  <si>
    <t>ایرکا پارت صنعت</t>
  </si>
  <si>
    <t>پتروشيمي خراسان</t>
  </si>
  <si>
    <t>فنرسازي زر</t>
  </si>
  <si>
    <t>بانك تجارت</t>
  </si>
  <si>
    <t>سيمان ساوه</t>
  </si>
  <si>
    <t>كشاورزي مكانيزه اصفهان كشت</t>
  </si>
  <si>
    <t>مديريت نيروگاهي ايرانيان مپنا</t>
  </si>
  <si>
    <t>پارس توشه</t>
  </si>
  <si>
    <t>فن آوران</t>
  </si>
  <si>
    <t>سيمان سپاهان</t>
  </si>
  <si>
    <t>داروسازي‌ اكسير</t>
  </si>
  <si>
    <t>حمل و نقل گهرترابر سيرجان</t>
  </si>
  <si>
    <t>پارس خزر</t>
  </si>
  <si>
    <t>سرمايه گذاري سپه</t>
  </si>
  <si>
    <t>سيمان تهران</t>
  </si>
  <si>
    <t>صنايع الكترونيك ماديران</t>
  </si>
  <si>
    <t>خاك چيني</t>
  </si>
  <si>
    <t>سرمايه گذاري اميد</t>
  </si>
  <si>
    <t>بانك سينا</t>
  </si>
  <si>
    <t>بهمن دیزل</t>
  </si>
  <si>
    <t>املاح ايران</t>
  </si>
  <si>
    <t>صندوق بازنشستگي</t>
  </si>
  <si>
    <t>كيميا كالاي رازي(نمادقدیمی حذف شده)</t>
  </si>
  <si>
    <t>سرمایه گذاری مسکن تهران</t>
  </si>
  <si>
    <t>كاشي الوند</t>
  </si>
  <si>
    <t xml:space="preserve">پتروشيمي كرمانشاه </t>
  </si>
  <si>
    <t>صنعتي بارز</t>
  </si>
  <si>
    <t>نشاسته و گلوكز آردينه</t>
  </si>
  <si>
    <t>توزيع دارو پخش</t>
  </si>
  <si>
    <t>نيان الكترونيك</t>
  </si>
  <si>
    <t>نيان باتري خاوران</t>
  </si>
  <si>
    <t>داروسازي فارابي</t>
  </si>
  <si>
    <t>سيمان خاش</t>
  </si>
  <si>
    <t>كوير تاير</t>
  </si>
  <si>
    <t>نفت بهران</t>
  </si>
  <si>
    <t>ملي مس</t>
  </si>
  <si>
    <t>نفت اصفهان</t>
  </si>
  <si>
    <t>كشت و دام قيام اصفهان</t>
  </si>
  <si>
    <t>سبحان_دارو</t>
  </si>
  <si>
    <t>تامين ماسه</t>
  </si>
  <si>
    <t>پگاه آذربايجان</t>
  </si>
  <si>
    <t>سيمان قاين</t>
  </si>
  <si>
    <t>غذايي مينو</t>
  </si>
  <si>
    <t>كاشي حافظ</t>
  </si>
  <si>
    <t>صنعتي بهشهر</t>
  </si>
  <si>
    <t>ريل سير كوثر</t>
  </si>
  <si>
    <t>گل گهر</t>
  </si>
  <si>
    <t xml:space="preserve">تراكتور سازي </t>
  </si>
  <si>
    <t>ايران ترانسفو</t>
  </si>
  <si>
    <t>سيمان بجنورد</t>
  </si>
  <si>
    <t>دانش بنيان پويا نيرو</t>
  </si>
  <si>
    <t>بهار رز عاليس چناران</t>
  </si>
  <si>
    <t>حمل و نقل ريلي پارسيان</t>
  </si>
  <si>
    <t>كاشي وسراميك سينا</t>
  </si>
  <si>
    <t>پاکدیس</t>
  </si>
  <si>
    <t>توليد ژلاتين كپسول ايران</t>
  </si>
  <si>
    <t>کارخانجات توليدي نيروترانسفو</t>
  </si>
  <si>
    <t>فولاد ارفع</t>
  </si>
  <si>
    <t>سيمان غرب</t>
  </si>
  <si>
    <t>رادياتور</t>
  </si>
  <si>
    <t>قند اصفهان</t>
  </si>
  <si>
    <t>سايپا</t>
  </si>
  <si>
    <t>ويتانا.</t>
  </si>
  <si>
    <t>توليدي و صنعتي گوهرفام</t>
  </si>
  <si>
    <t>قند چهار محال</t>
  </si>
  <si>
    <t>حفاري شمال</t>
  </si>
  <si>
    <t>ريخته گري تراكتورسازي</t>
  </si>
  <si>
    <t>آترا زيست آراي</t>
  </si>
  <si>
    <t>شيميايي ايران</t>
  </si>
  <si>
    <t>شيشه و گاز</t>
  </si>
  <si>
    <t>شيشه همدان</t>
  </si>
  <si>
    <t>سرمايه گذاري ملي ايران</t>
  </si>
  <si>
    <t>انتقال داده هاي آسياتك</t>
  </si>
  <si>
    <t>صنايع شيميايي كيمياگران امروز</t>
  </si>
  <si>
    <t>گلتاش</t>
  </si>
  <si>
    <t>صنعتي سپاهان</t>
  </si>
  <si>
    <t>فولاد هرمزگان</t>
  </si>
  <si>
    <t>توليد برق عسلويه مپنا</t>
  </si>
  <si>
    <t>بانك صادرات</t>
  </si>
  <si>
    <t>فولاد مباركه</t>
  </si>
  <si>
    <t>صنايع ارتباطي آوا</t>
  </si>
  <si>
    <t>شرکت سرمایه گذاری خوارزمی</t>
  </si>
  <si>
    <t>پشم شيشه</t>
  </si>
  <si>
    <t>پگاه اصفهان</t>
  </si>
  <si>
    <t>بيمه البرز</t>
  </si>
  <si>
    <t>پخش البرز</t>
  </si>
  <si>
    <t>آلومينيوم ايران</t>
  </si>
  <si>
    <t>فروشگاههاي زنجيره اي افق كوروش</t>
  </si>
  <si>
    <t>نفت تبريز</t>
  </si>
  <si>
    <t>پارس فولاد سبزوار</t>
  </si>
  <si>
    <t>موتورسازان</t>
  </si>
  <si>
    <t>توليدي برنا باطري</t>
  </si>
  <si>
    <t>مپنا</t>
  </si>
  <si>
    <t>پگاه خراسان</t>
  </si>
  <si>
    <t>توكا رنگ فولاد سپاهان</t>
  </si>
  <si>
    <t>فولاد آلياژي ايران</t>
  </si>
  <si>
    <t>قند قزوين</t>
  </si>
  <si>
    <t>كشت و صنعت شهداب</t>
  </si>
  <si>
    <t>قاسم ايران</t>
  </si>
  <si>
    <t>كشت و دامداري فكا</t>
  </si>
  <si>
    <t>صنعتی صبانور</t>
  </si>
  <si>
    <t>سالمين</t>
  </si>
  <si>
    <t>سيمان خزر</t>
  </si>
  <si>
    <t>تايدواتر</t>
  </si>
  <si>
    <t>شير و گوشت زاگرس شهركرد</t>
  </si>
  <si>
    <t>داروسازي اسوه</t>
  </si>
  <si>
    <t>اقتصاد نوين</t>
  </si>
  <si>
    <t>كارخانجات داروپخش</t>
  </si>
  <si>
    <t>پتروشيمی پردیس</t>
  </si>
  <si>
    <t>سيمان بهبهان</t>
  </si>
  <si>
    <t>توسعه معادن كروميت كاوندگان</t>
  </si>
  <si>
    <t>سيمان مازندران</t>
  </si>
  <si>
    <t>مگسال</t>
  </si>
  <si>
    <t>قند هكمتان</t>
  </si>
  <si>
    <t>دارويي ره آورد تامين</t>
  </si>
  <si>
    <t>شير پاستوريزه پگاه گلپايگان</t>
  </si>
  <si>
    <t>سپيد ماكيان</t>
  </si>
  <si>
    <t>عمران فارس</t>
  </si>
  <si>
    <t>كربن</t>
  </si>
  <si>
    <t>ايران خودرو</t>
  </si>
  <si>
    <t>عطرين نخ قم</t>
  </si>
  <si>
    <t>نگين طبس</t>
  </si>
  <si>
    <t>ارتباطات سیار</t>
  </si>
  <si>
    <t>البرز دارو</t>
  </si>
  <si>
    <t>صنعتي زر ماكارون</t>
  </si>
  <si>
    <t>فرآوري زغال سنگ پروده طبس</t>
  </si>
  <si>
    <t>شیرین دارو</t>
  </si>
  <si>
    <t>پمپ ايران</t>
  </si>
  <si>
    <t>سرمايه گذاري كشاورزي كوثر</t>
  </si>
  <si>
    <t>پديده شيمي قرن</t>
  </si>
  <si>
    <t>سرمايه گذاري تامين اجتماعي</t>
  </si>
  <si>
    <t>گروه انتخاب الكترونيك آرمان</t>
  </si>
  <si>
    <t>كاشي سعدي</t>
  </si>
  <si>
    <t>بانك خاورميانه</t>
  </si>
  <si>
    <t>فولاد شاهرود</t>
  </si>
  <si>
    <t>قند لرستان</t>
  </si>
  <si>
    <t>بانك ملت</t>
  </si>
  <si>
    <t>توليدات پتروشيمي قائد بصير</t>
  </si>
  <si>
    <t>افست</t>
  </si>
  <si>
    <t>چادرملو</t>
  </si>
  <si>
    <t>دارويي و نهاده هاي زاگرس دارو</t>
  </si>
  <si>
    <t>تجارت الکترونیک پارسیان</t>
  </si>
  <si>
    <t>پارس فنر</t>
  </si>
  <si>
    <t>داروسازي زاگرس</t>
  </si>
  <si>
    <t>توليدي چدن سازان</t>
  </si>
  <si>
    <t>کارت اعتباری ایران کیش</t>
  </si>
  <si>
    <t>نيروترانس</t>
  </si>
  <si>
    <t>مجتمع صنايع لاستيك يزد</t>
  </si>
  <si>
    <t>داده پردازي</t>
  </si>
  <si>
    <t>نفت بندر عباس</t>
  </si>
  <si>
    <t>توسعه نيشكر و صنايع جانبي</t>
  </si>
  <si>
    <t>نفت سپاهان</t>
  </si>
  <si>
    <t>تامين سرمايه نوين</t>
  </si>
  <si>
    <t>موتوژن</t>
  </si>
  <si>
    <t>صنعتي آما</t>
  </si>
  <si>
    <t>سرمايه گذاري غدير</t>
  </si>
  <si>
    <t>پارس شهاب</t>
  </si>
  <si>
    <t>توسعه سامانه ي نرم افزاري نگين</t>
  </si>
  <si>
    <t>سينا دارو</t>
  </si>
  <si>
    <t>كشاورزي و دامپروري بينالود</t>
  </si>
  <si>
    <t>نساجي هديه البرز مشهد</t>
  </si>
  <si>
    <t>نسوز آذر</t>
  </si>
  <si>
    <t>پخش هجرت</t>
  </si>
  <si>
    <t>مواداوليه داروپخش</t>
  </si>
  <si>
    <t>قند پيرانشهر</t>
  </si>
  <si>
    <t>سيمان فارس و خوزستان</t>
  </si>
  <si>
    <t>صنعت غذايي كورش</t>
  </si>
  <si>
    <t>دارو ابوريحان</t>
  </si>
  <si>
    <t>نخريسي و نساجي خسروي خراسان</t>
  </si>
  <si>
    <t>پارس سوييچ</t>
  </si>
  <si>
    <t>آريان كيميا تك</t>
  </si>
  <si>
    <t>لامپ پارس شهاب</t>
  </si>
  <si>
    <t>نفت و گاز پارسيان</t>
  </si>
  <si>
    <t>برق مپنا</t>
  </si>
  <si>
    <t>پاكديس</t>
  </si>
  <si>
    <t>پتروشيمي نوري</t>
  </si>
  <si>
    <t>ايمن خودرو شرق</t>
  </si>
  <si>
    <t>صنايع غذايي رضوي</t>
  </si>
  <si>
    <t>پرتو بار فرابر خليج فارس</t>
  </si>
  <si>
    <t>كيميا كالاي رازي</t>
  </si>
  <si>
    <t>پتروشيمي كرمانشاه</t>
  </si>
  <si>
    <t>سيمان فارس نو</t>
  </si>
  <si>
    <t>كارت اعتباري ايران كيش</t>
  </si>
  <si>
    <t>صنعتي پارس خزر</t>
  </si>
  <si>
    <t>سرمايه گذاري پارس توشــــــه ( هلدينگ)</t>
  </si>
  <si>
    <t>پتروشيمي فجر</t>
  </si>
  <si>
    <t>سيمرغ</t>
  </si>
  <si>
    <t>صنايع چوب خزر كاسپين</t>
  </si>
  <si>
    <t>مهرمام ميهن</t>
  </si>
  <si>
    <t>صنايع دامپروري و لبني رضوي</t>
  </si>
  <si>
    <t>تراكتور سازي</t>
  </si>
  <si>
    <t>كاشي پارس</t>
  </si>
  <si>
    <t>بهمن ديزل</t>
  </si>
  <si>
    <t>فولاد هرمزگان جنوب</t>
  </si>
  <si>
    <t>آلوميناي ايران</t>
  </si>
  <si>
    <t>كاني كربن طبس</t>
  </si>
  <si>
    <t>اخشان خراسان</t>
  </si>
  <si>
    <t>صنعتي معدني سيمان تجارت مهريز</t>
  </si>
  <si>
    <t>پارس مينو</t>
  </si>
  <si>
    <t>مهرام</t>
  </si>
  <si>
    <t>سيمان شمال</t>
  </si>
  <si>
    <t>پتروشيمي پرديس</t>
  </si>
  <si>
    <t>دريايي سينا</t>
  </si>
  <si>
    <t>كشتيراني ايران</t>
  </si>
  <si>
    <t>س. و توسعه صنايع لاستيك</t>
  </si>
  <si>
    <t>گروه مالي نماد غدير(سهامي عام)</t>
  </si>
  <si>
    <t>مجتمع كاشي و سنگ پرسپوليس يزد</t>
  </si>
  <si>
    <t>سيمان هگمتان</t>
  </si>
  <si>
    <t>شهد ايران</t>
  </si>
  <si>
    <t>تجارت الكترونيك پارسيان</t>
  </si>
  <si>
    <t>داروسازي اكسير</t>
  </si>
  <si>
    <t>نورد قطعات</t>
  </si>
  <si>
    <t>سيمان صوفيان</t>
  </si>
  <si>
    <t>معادن منگنز ايران</t>
  </si>
  <si>
    <t>سنگ آهن گهرزمين</t>
  </si>
  <si>
    <t>سرمايه گذاري صدرتامين</t>
  </si>
  <si>
    <t>توسعه و عمران اميد</t>
  </si>
  <si>
    <t>آهن و فولاد غدير ايرانيان</t>
  </si>
  <si>
    <t>بيمه اتكايي ايران معين</t>
  </si>
  <si>
    <t>شركت سرمايه گذاري خوارزمي</t>
  </si>
  <si>
    <t>پتروشيمي تامين</t>
  </si>
  <si>
    <t>ايركا پارت صنعت</t>
  </si>
  <si>
    <t>كاشي و سراميك سعدي</t>
  </si>
  <si>
    <t>سرمايه گذاري البرز ( هلدينگ)</t>
  </si>
  <si>
    <t>فولاد كاوه</t>
  </si>
  <si>
    <t>ملي شيمي كشاورز</t>
  </si>
  <si>
    <t>توليد انرژي برق شمس پاسارگاد</t>
  </si>
  <si>
    <t>سرمايه گذاري پايا تدبيرپارسا</t>
  </si>
  <si>
    <t>بيمه آسيا</t>
  </si>
  <si>
    <t>شركت پالايش نفت لاوان</t>
  </si>
  <si>
    <t>شركت پخش البرز</t>
  </si>
  <si>
    <t>ارتباطات سيار</t>
  </si>
  <si>
    <t>تامين سرمايه لوتوس پارسيان</t>
  </si>
  <si>
    <t>غلتك سازان سپاهان</t>
  </si>
  <si>
    <t>بيمه زندگي كاريزما50%تاديه</t>
  </si>
  <si>
    <t>شركت سرمايه گذاري مسكن تهران</t>
  </si>
  <si>
    <t>پمپ سازي ايران</t>
  </si>
  <si>
    <t>دارويي‌ رازك‌</t>
  </si>
  <si>
    <t>فولاد خوزستان</t>
  </si>
  <si>
    <t>صنعتي صبانور</t>
  </si>
  <si>
    <t>توليد مواد اوليه داروپخش</t>
  </si>
  <si>
    <t>آنتي بيوتيك سازي ايران</t>
  </si>
  <si>
    <t>كارخانجات توليدي نيروترانسفو</t>
  </si>
  <si>
    <t>شركت شيرين دارو</t>
  </si>
  <si>
    <t>1405/04/31</t>
  </si>
  <si>
    <t>1405/03/16</t>
  </si>
  <si>
    <t>1405/04/11</t>
  </si>
  <si>
    <t>1405/04/30</t>
  </si>
  <si>
    <t>1405/04/17</t>
  </si>
  <si>
    <t>1405/04/24</t>
  </si>
  <si>
    <t>1405/06/05</t>
  </si>
  <si>
    <t>1405/03/27</t>
  </si>
  <si>
    <t>1405/02/30</t>
  </si>
  <si>
    <t>1405/03/24</t>
  </si>
  <si>
    <t>1405/05/28</t>
  </si>
  <si>
    <t>1405/04/22</t>
  </si>
  <si>
    <t>1405/04/28</t>
  </si>
  <si>
    <t>1405/04/06</t>
  </si>
  <si>
    <t>بيمه ايران - معين</t>
  </si>
  <si>
    <t>1405/03/13</t>
  </si>
  <si>
    <t>بيمه زندگي كاريزما</t>
  </si>
  <si>
    <t>1405/03/05</t>
  </si>
  <si>
    <t>1405/01/30</t>
  </si>
  <si>
    <t>1405/04/29</t>
  </si>
  <si>
    <t>1405/01/26</t>
  </si>
  <si>
    <t>1405/02/05</t>
  </si>
  <si>
    <t>1405/01/16</t>
  </si>
  <si>
    <t>1405/03/03</t>
  </si>
  <si>
    <t>1405/02/02</t>
  </si>
  <si>
    <t>1405/04/07</t>
  </si>
  <si>
    <t>1405/03/17</t>
  </si>
  <si>
    <t>1405/04/25</t>
  </si>
  <si>
    <t>1405/04/10</t>
  </si>
  <si>
    <t>1405/04/08</t>
  </si>
  <si>
    <t>1405/04/01</t>
  </si>
  <si>
    <t>1405/04/27</t>
  </si>
  <si>
    <t>1405/02/23</t>
  </si>
  <si>
    <t>سرمايه گذاري البرز</t>
  </si>
  <si>
    <t>1405/06/21</t>
  </si>
  <si>
    <t>1404/12/10</t>
  </si>
  <si>
    <t>1405/02/14</t>
  </si>
  <si>
    <t>1405/04/21</t>
  </si>
  <si>
    <t>1405/03/20</t>
  </si>
  <si>
    <t>1405/05/11</t>
  </si>
  <si>
    <t>1405/02/29</t>
  </si>
  <si>
    <t>1405/02/27</t>
  </si>
  <si>
    <t>1405/03/23</t>
  </si>
  <si>
    <t>1404/12/17</t>
  </si>
  <si>
    <t>1405/03/19</t>
  </si>
  <si>
    <t>1405/03/09</t>
  </si>
  <si>
    <t>1405/03/18</t>
  </si>
  <si>
    <t>1405/03/30</t>
  </si>
  <si>
    <t>1405/03/31</t>
  </si>
  <si>
    <t>1405/03/10</t>
  </si>
  <si>
    <t>1405/03/28</t>
  </si>
  <si>
    <t>فجر انرژي خليج فارس</t>
  </si>
  <si>
    <t>1405/04/23</t>
  </si>
  <si>
    <t>1405/03/12</t>
  </si>
  <si>
    <t>1405/06/17</t>
  </si>
  <si>
    <t>1405/06/15</t>
  </si>
  <si>
    <t>1405/04/09</t>
  </si>
  <si>
    <t>1405/01/31</t>
  </si>
  <si>
    <t>1405/05/04</t>
  </si>
  <si>
    <t>1405/04/16</t>
  </si>
  <si>
    <t>1405/06/29</t>
  </si>
  <si>
    <t>1405/04/20</t>
  </si>
  <si>
    <t>1405/03/02</t>
  </si>
  <si>
    <t>1405/05/18</t>
  </si>
  <si>
    <t>1405/05/05</t>
  </si>
  <si>
    <t>نفت لاوان</t>
  </si>
  <si>
    <t>1405/05/12</t>
  </si>
  <si>
    <t>1405/04/12</t>
  </si>
  <si>
    <t>1405/04/18</t>
  </si>
  <si>
    <t>1405/01/29</t>
  </si>
  <si>
    <t>پتروشیمی تامین</t>
  </si>
  <si>
    <t>1405/06/23</t>
  </si>
  <si>
    <t>1405/02/31</t>
  </si>
  <si>
    <t>1404/12/27</t>
  </si>
  <si>
    <t>سرمايه گذاري ملي ايران (تقدم)</t>
  </si>
  <si>
    <t>سيمان شمال (تقدم)</t>
  </si>
  <si>
    <t>فولاد ارفع (تقدم)</t>
  </si>
  <si>
    <t>كاني كربن طبس (تقدم)</t>
  </si>
  <si>
    <t>كوير تاير (تقدم)</t>
  </si>
  <si>
    <t>مپنا (تقدم)</t>
  </si>
  <si>
    <t>نفت و گاز پارسیان</t>
  </si>
  <si>
    <t>گلتاش (تقدم)</t>
  </si>
  <si>
    <t>صندوق سرمایه‌گذاری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</si>
  <si>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</si>
  <si>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شهریور 1405</t>
  </si>
  <si>
    <t>2-1- سرمایه‌گذاری در  سپرده‌ بانکی</t>
  </si>
  <si>
    <t>2-2-درآمد حاصل از سرمایه­گذاری در سپرده بانکی و گواهی سپرده: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</si>
</sst>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0"/>
    <numFmt numFmtId="165" formatCode="0.00%;[Red]\(0.00%\);0%"/>
  </numFmts>
  <fonts count="16" x14ac:knownFonts="1"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sz val="16"/>
      <color rgb="FFFF0000"/>
      <name val="B Homa"/>
      <charset val="178"/>
    </font>
    <font>
      <sz val="12"/>
      <color theme="1"/>
      <name val="B Nazanin"/>
      <charset val="178"/>
    </font>
    <font>
      <sz val="12"/>
      <color indexed="8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04">
    <xf numFmtId="0" fontId="0" fillId="0" borderId="0" xfId="0"/>
    <xf numFmtId="0" fontId="2" fillId="0" borderId="1" xfId="0" applyFont="1" applyBorder="1"/>
    <xf numFmtId="0" fontId="3" fillId="0" borderId="0" xfId="0" applyFont="1" applyAlignment="1">
      <alignment vertical="center" wrapText="1" readingOrder="2"/>
    </xf>
    <xf numFmtId="0" fontId="2" fillId="0" borderId="0" xfId="0" applyFont="1"/>
    <xf numFmtId="0" fontId="3" fillId="0" borderId="3" xfId="0" applyFont="1" applyBorder="1" applyAlignment="1">
      <alignment horizontal="center" vertical="center" wrapText="1" readingOrder="2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right" vertical="center" wrapText="1" readingOrder="2"/>
    </xf>
    <xf numFmtId="0" fontId="5" fillId="0" borderId="0" xfId="0" applyFont="1"/>
    <xf numFmtId="0" fontId="3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164" fontId="9" fillId="0" borderId="0" xfId="0" applyNumberFormat="1" applyFont="1"/>
    <xf numFmtId="165" fontId="9" fillId="0" borderId="0" xfId="0" applyNumberFormat="1" applyFont="1"/>
    <xf numFmtId="0" fontId="8" fillId="0" borderId="0" xfId="0" applyFont="1" applyAlignment="1">
      <alignment vertical="center" readingOrder="2"/>
    </xf>
    <xf numFmtId="0" fontId="10" fillId="2" borderId="0" xfId="1" applyFill="1"/>
    <xf numFmtId="0" fontId="12" fillId="2" borderId="0" xfId="1" applyFont="1" applyFill="1" applyAlignment="1">
      <alignment horizontal="center"/>
    </xf>
    <xf numFmtId="0" fontId="12" fillId="2" borderId="0" xfId="1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5" fontId="9" fillId="0" borderId="4" xfId="0" applyNumberFormat="1" applyFont="1" applyBorder="1"/>
    <xf numFmtId="164" fontId="9" fillId="0" borderId="4" xfId="0" applyNumberFormat="1" applyFont="1" applyBorder="1"/>
    <xf numFmtId="164" fontId="9" fillId="0" borderId="5" xfId="0" applyNumberFormat="1" applyFont="1" applyBorder="1"/>
    <xf numFmtId="164" fontId="9" fillId="0" borderId="6" xfId="0" applyNumberFormat="1" applyFont="1" applyBorder="1"/>
    <xf numFmtId="0" fontId="2" fillId="0" borderId="7" xfId="0" applyFont="1" applyBorder="1"/>
    <xf numFmtId="0" fontId="14" fillId="0" borderId="0" xfId="0" applyFont="1"/>
    <xf numFmtId="0" fontId="14" fillId="0" borderId="1" xfId="0" applyFont="1" applyBorder="1"/>
    <xf numFmtId="0" fontId="7" fillId="0" borderId="0" xfId="0" applyFont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/>
    </xf>
    <xf numFmtId="164" fontId="15" fillId="0" borderId="0" xfId="0" applyNumberFormat="1" applyFont="1"/>
    <xf numFmtId="165" fontId="15" fillId="0" borderId="0" xfId="0" applyNumberFormat="1" applyFont="1"/>
    <xf numFmtId="164" fontId="15" fillId="0" borderId="4" xfId="0" applyNumberFormat="1" applyFont="1" applyBorder="1"/>
    <xf numFmtId="164" fontId="15" fillId="0" borderId="5" xfId="0" applyNumberFormat="1" applyFont="1" applyBorder="1"/>
    <xf numFmtId="164" fontId="15" fillId="0" borderId="6" xfId="0" applyNumberFormat="1" applyFont="1" applyBorder="1"/>
    <xf numFmtId="165" fontId="15" fillId="0" borderId="6" xfId="0" applyNumberFormat="1" applyFont="1" applyBorder="1"/>
    <xf numFmtId="0" fontId="14" fillId="0" borderId="7" xfId="0" applyFont="1" applyBorder="1"/>
    <xf numFmtId="0" fontId="8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center" vertical="center"/>
    </xf>
    <xf numFmtId="0" fontId="10" fillId="2" borderId="0" xfId="1" applyFill="1" applyAlignment="1">
      <alignment horizontal="center"/>
    </xf>
    <xf numFmtId="0" fontId="13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/>
    </xf>
    <xf numFmtId="0" fontId="14" fillId="0" borderId="2" xfId="0" applyFont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readingOrder="2"/>
    </xf>
    <xf numFmtId="0" fontId="14" fillId="0" borderId="1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wrapText="1" readingOrder="2"/>
    </xf>
    <xf numFmtId="0" fontId="14" fillId="0" borderId="0" xfId="0" applyFont="1" applyAlignment="1">
      <alignment horizontal="center" vertical="center" readingOrder="2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right" vertical="center" readingOrder="2"/>
    </xf>
    <xf numFmtId="49" fontId="14" fillId="0" borderId="0" xfId="0" applyNumberFormat="1" applyFont="1" applyAlignment="1">
      <alignment horizontal="center" vertical="center" readingOrder="2"/>
    </xf>
    <xf numFmtId="0" fontId="14" fillId="0" borderId="0" xfId="0" applyFont="1" applyAlignment="1">
      <alignment horizontal="right" vertical="center"/>
    </xf>
    <xf numFmtId="165" fontId="15" fillId="0" borderId="4" xfId="0" applyNumberFormat="1" applyFont="1" applyBorder="1"/>
    <xf numFmtId="165" fontId="9" fillId="0" borderId="6" xfId="0" applyNumberFormat="1" applyFont="1" applyBorder="1"/>
    <xf numFmtId="164" fontId="9" fillId="0" borderId="8" xfId="0" applyNumberFormat="1" applyFont="1" applyBorder="1"/>
    <xf numFmtId="0" fontId="5" fillId="0" borderId="7" xfId="0" applyFont="1" applyBorder="1"/>
    <xf numFmtId="0" fontId="2" fillId="0" borderId="4" xfId="0" applyFont="1" applyBorder="1"/>
    <xf numFmtId="3" fontId="2" fillId="0" borderId="0" xfId="0" applyNumberFormat="1" applyFont="1"/>
    <xf numFmtId="3" fontId="14" fillId="0" borderId="0" xfId="0" applyNumberFormat="1" applyFont="1"/>
  </cellXfs>
  <cellStyles count="2">
    <cellStyle name="Normal" xfId="0" builtinId="0"/>
    <cellStyle name="Normal 2" xfId="1" xr:uid="{EFC72A38-51AC-41BD-94EC-052E48B5E8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023D-82F0-4388-B31F-A670D15C03DF}">
  <sheetPr>
    <pageSetUpPr fitToPage="1"/>
  </sheetPr>
  <dimension ref="A1:K34"/>
  <sheetViews>
    <sheetView rightToLeft="1" tabSelected="1" view="pageBreakPreview" zoomScale="60" zoomScaleNormal="100" workbookViewId="0">
      <selection activeCell="P37" sqref="P36:P37"/>
    </sheetView>
  </sheetViews>
  <sheetFormatPr defaultRowHeight="18" x14ac:dyDescent="0.45"/>
  <cols>
    <col min="1" max="16384" width="9.140625" style="7"/>
  </cols>
  <sheetData>
    <row r="1" spans="1:11" x14ac:dyDescent="0.4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4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4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x14ac:dyDescent="0.45">
      <c r="A4" s="60" t="s">
        <v>403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11" x14ac:dyDescent="0.4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x14ac:dyDescent="0.4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</row>
    <row r="7" spans="1:11" x14ac:dyDescent="0.4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</row>
    <row r="8" spans="1:11" x14ac:dyDescent="0.4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</row>
    <row r="9" spans="1:11" x14ac:dyDescent="0.4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</row>
    <row r="10" spans="1:11" x14ac:dyDescent="0.4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1" spans="1:11" x14ac:dyDescent="0.4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 ht="48" customHeight="1" x14ac:dyDescent="0.4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</row>
    <row r="13" spans="1:11" x14ac:dyDescent="0.4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</row>
    <row r="14" spans="1:11" x14ac:dyDescent="0.4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</row>
    <row r="15" spans="1:11" x14ac:dyDescent="0.4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</row>
    <row r="16" spans="1:11" x14ac:dyDescent="0.4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</row>
    <row r="17" spans="1:11" x14ac:dyDescent="0.4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spans="1:11" ht="25.5" x14ac:dyDescent="0.6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45">
      <c r="A19" s="60" t="s">
        <v>405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11" x14ac:dyDescent="0.4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</row>
    <row r="21" spans="1:11" x14ac:dyDescent="0.4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</row>
    <row r="22" spans="1:11" x14ac:dyDescent="0.4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</row>
    <row r="23" spans="1:11" x14ac:dyDescent="0.4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</row>
    <row r="24" spans="1:11" ht="122.25" customHeight="1" x14ac:dyDescent="0.4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</row>
    <row r="25" spans="1:11" x14ac:dyDescent="0.4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 x14ac:dyDescent="0.4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</row>
    <row r="27" spans="1:11" ht="51.75" customHeight="1" x14ac:dyDescent="0.65">
      <c r="A27" s="32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45">
      <c r="A28" s="59" t="s">
        <v>404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1" x14ac:dyDescent="0.4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0" spans="1:11" x14ac:dyDescent="0.4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</row>
    <row r="31" spans="1:11" x14ac:dyDescent="0.4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 spans="1:11" x14ac:dyDescent="0.4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</row>
    <row r="33" spans="1:11" x14ac:dyDescent="0.4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</row>
    <row r="34" spans="1:11" x14ac:dyDescent="0.4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</row>
  </sheetData>
  <mergeCells count="5">
    <mergeCell ref="A26:K26"/>
    <mergeCell ref="A28:K34"/>
    <mergeCell ref="A4:K16"/>
    <mergeCell ref="A17:K17"/>
    <mergeCell ref="A19:K24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6"/>
  <sheetViews>
    <sheetView rightToLeft="1" tabSelected="1" view="pageBreakPreview" topLeftCell="A208" zoomScaleNormal="100" zoomScaleSheetLayoutView="100" workbookViewId="0">
      <selection activeCell="P37" sqref="P36:P37"/>
    </sheetView>
  </sheetViews>
  <sheetFormatPr defaultColWidth="9.140625" defaultRowHeight="15.75" x14ac:dyDescent="0.4"/>
  <cols>
    <col min="1" max="1" width="24.7109375" style="3" bestFit="1" customWidth="1"/>
    <col min="2" max="2" width="10.85546875" style="3" bestFit="1" customWidth="1"/>
    <col min="3" max="3" width="14" style="3" bestFit="1" customWidth="1"/>
    <col min="4" max="4" width="14.85546875" style="3" bestFit="1" customWidth="1"/>
    <col min="5" max="5" width="9.85546875" style="3" bestFit="1" customWidth="1"/>
    <col min="6" max="6" width="8.7109375" style="3" bestFit="1" customWidth="1"/>
    <col min="7" max="7" width="12.5703125" style="3" bestFit="1" customWidth="1"/>
    <col min="8" max="8" width="9.5703125" style="3" bestFit="1" customWidth="1"/>
    <col min="9" max="9" width="14" style="3" bestFit="1" customWidth="1"/>
    <col min="10" max="10" width="10.85546875" style="3" bestFit="1" customWidth="1"/>
    <col min="11" max="11" width="11.85546875" style="3" bestFit="1" customWidth="1"/>
    <col min="12" max="13" width="14" style="3" bestFit="1" customWidth="1"/>
    <col min="14" max="14" width="9.28515625" style="3" customWidth="1"/>
    <col min="15" max="16384" width="9.140625" style="3"/>
  </cols>
  <sheetData>
    <row r="1" spans="1:14" ht="21" x14ac:dyDescent="0.55000000000000004">
      <c r="A1" s="70" t="s">
        <v>61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21" x14ac:dyDescent="0.55000000000000004">
      <c r="A2" s="70" t="s">
        <v>49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1" x14ac:dyDescent="0.55000000000000004">
      <c r="A3" s="70" t="s">
        <v>62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21" x14ac:dyDescent="0.4">
      <c r="A4" s="56" t="s">
        <v>22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ht="21" x14ac:dyDescent="0.4">
      <c r="A5" s="56" t="s">
        <v>23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7" spans="1:14" ht="18.75" customHeight="1" thickBot="1" x14ac:dyDescent="0.45">
      <c r="A7" s="9"/>
      <c r="B7" s="61" t="s">
        <v>64</v>
      </c>
      <c r="C7" s="61"/>
      <c r="D7" s="61"/>
      <c r="E7" s="14"/>
      <c r="F7" s="62" t="s">
        <v>7</v>
      </c>
      <c r="G7" s="62"/>
      <c r="H7" s="62"/>
      <c r="I7" s="62"/>
      <c r="J7" s="61" t="s">
        <v>63</v>
      </c>
      <c r="K7" s="61"/>
      <c r="L7" s="61"/>
      <c r="M7" s="61"/>
      <c r="N7" s="61"/>
    </row>
    <row r="8" spans="1:14" ht="17.25" customHeight="1" x14ac:dyDescent="0.4">
      <c r="A8" s="63" t="s">
        <v>1</v>
      </c>
      <c r="B8" s="65" t="s">
        <v>3</v>
      </c>
      <c r="C8" s="65" t="s">
        <v>0</v>
      </c>
      <c r="D8" s="67" t="s">
        <v>18</v>
      </c>
      <c r="E8" s="68" t="s">
        <v>4</v>
      </c>
      <c r="F8" s="68"/>
      <c r="G8" s="68"/>
      <c r="H8" s="68" t="s">
        <v>5</v>
      </c>
      <c r="I8" s="68"/>
      <c r="J8" s="69" t="s">
        <v>3</v>
      </c>
      <c r="K8" s="67" t="s">
        <v>27</v>
      </c>
      <c r="L8" s="69" t="s">
        <v>0</v>
      </c>
      <c r="M8" s="67" t="s">
        <v>18</v>
      </c>
      <c r="N8" s="67" t="s">
        <v>20</v>
      </c>
    </row>
    <row r="9" spans="1:14" ht="20.25" customHeight="1" thickBot="1" x14ac:dyDescent="0.45">
      <c r="A9" s="64"/>
      <c r="B9" s="66"/>
      <c r="C9" s="66"/>
      <c r="D9" s="64"/>
      <c r="E9" s="25" t="s">
        <v>57</v>
      </c>
      <c r="F9" s="12" t="s">
        <v>3</v>
      </c>
      <c r="G9" s="12" t="s">
        <v>0</v>
      </c>
      <c r="H9" s="12" t="s">
        <v>3</v>
      </c>
      <c r="I9" s="12" t="s">
        <v>48</v>
      </c>
      <c r="J9" s="66"/>
      <c r="K9" s="64"/>
      <c r="L9" s="66"/>
      <c r="M9" s="64"/>
      <c r="N9" s="64"/>
    </row>
    <row r="10" spans="1:14" x14ac:dyDescent="0.4">
      <c r="A10" s="29" t="s">
        <v>144</v>
      </c>
      <c r="B10" s="29">
        <v>6027544</v>
      </c>
      <c r="C10" s="29">
        <v>26535769350</v>
      </c>
      <c r="D10" s="29">
        <v>42105895638</v>
      </c>
      <c r="E10" s="29">
        <v>0</v>
      </c>
      <c r="F10" s="29">
        <v>0</v>
      </c>
      <c r="G10" s="29">
        <v>0</v>
      </c>
      <c r="H10" s="29">
        <v>3900000</v>
      </c>
      <c r="I10" s="29">
        <v>25682846093</v>
      </c>
      <c r="J10" s="29">
        <v>2127544</v>
      </c>
      <c r="K10" s="29">
        <v>6670</v>
      </c>
      <c r="L10" s="29">
        <v>9366338407</v>
      </c>
      <c r="M10" s="29">
        <v>14081024226</v>
      </c>
      <c r="N10" s="30">
        <v>1.3667987598628289E-3</v>
      </c>
    </row>
    <row r="11" spans="1:14" x14ac:dyDescent="0.4">
      <c r="A11" s="29" t="s">
        <v>247</v>
      </c>
      <c r="B11" s="29">
        <v>3242935</v>
      </c>
      <c r="C11" s="29">
        <v>23727495957</v>
      </c>
      <c r="D11" s="29">
        <v>54607204898</v>
      </c>
      <c r="E11" s="29">
        <v>0</v>
      </c>
      <c r="F11" s="29">
        <v>0</v>
      </c>
      <c r="G11" s="29">
        <v>0</v>
      </c>
      <c r="H11" s="29">
        <v>1551524</v>
      </c>
      <c r="I11" s="29">
        <v>26727522302</v>
      </c>
      <c r="J11" s="29">
        <v>1691411</v>
      </c>
      <c r="K11" s="29">
        <v>19450</v>
      </c>
      <c r="L11" s="29">
        <v>12375501718</v>
      </c>
      <c r="M11" s="29">
        <v>32643642843</v>
      </c>
      <c r="N11" s="30">
        <v>3.1686111634431835E-3</v>
      </c>
    </row>
    <row r="12" spans="1:14" x14ac:dyDescent="0.4">
      <c r="A12" s="29" t="s">
        <v>271</v>
      </c>
      <c r="B12" s="29">
        <v>158909</v>
      </c>
      <c r="C12" s="29">
        <v>18355763158</v>
      </c>
      <c r="D12" s="29">
        <v>30511202569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158909</v>
      </c>
      <c r="K12" s="29">
        <v>221800</v>
      </c>
      <c r="L12" s="29">
        <v>18355763158</v>
      </c>
      <c r="M12" s="29">
        <v>34973564495</v>
      </c>
      <c r="N12" s="30">
        <v>3.3947690034851776E-3</v>
      </c>
    </row>
    <row r="13" spans="1:14" x14ac:dyDescent="0.4">
      <c r="A13" s="29" t="s">
        <v>163</v>
      </c>
      <c r="B13" s="29">
        <v>4862943</v>
      </c>
      <c r="C13" s="29">
        <v>35264692153</v>
      </c>
      <c r="D13" s="29">
        <v>70884427499</v>
      </c>
      <c r="E13" s="29">
        <v>0</v>
      </c>
      <c r="F13" s="29">
        <v>0</v>
      </c>
      <c r="G13" s="29">
        <v>0</v>
      </c>
      <c r="H13" s="29">
        <v>300000</v>
      </c>
      <c r="I13" s="29">
        <v>4321335904</v>
      </c>
      <c r="J13" s="29">
        <v>4562943</v>
      </c>
      <c r="K13" s="29">
        <v>14500</v>
      </c>
      <c r="L13" s="29">
        <v>33089176699</v>
      </c>
      <c r="M13" s="29">
        <v>65651236034</v>
      </c>
      <c r="N13" s="30">
        <v>6.3725497914453389E-3</v>
      </c>
    </row>
    <row r="14" spans="1:14" x14ac:dyDescent="0.4">
      <c r="A14" s="29" t="s">
        <v>318</v>
      </c>
      <c r="B14" s="29">
        <v>112243</v>
      </c>
      <c r="C14" s="29">
        <v>1024541000</v>
      </c>
      <c r="D14" s="29">
        <v>3189790357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112243</v>
      </c>
      <c r="K14" s="29">
        <v>32900</v>
      </c>
      <c r="L14" s="29">
        <v>1024541000</v>
      </c>
      <c r="M14" s="29">
        <v>3664249397</v>
      </c>
      <c r="N14" s="30">
        <v>3.5567665045275088E-4</v>
      </c>
    </row>
    <row r="15" spans="1:14" x14ac:dyDescent="0.4">
      <c r="A15" s="29" t="s">
        <v>294</v>
      </c>
      <c r="B15" s="29">
        <v>3814542</v>
      </c>
      <c r="C15" s="29">
        <v>16572695909</v>
      </c>
      <c r="D15" s="29">
        <v>16994899601</v>
      </c>
      <c r="E15" s="29">
        <v>0</v>
      </c>
      <c r="F15" s="29">
        <v>300000</v>
      </c>
      <c r="G15" s="29">
        <v>1603227751</v>
      </c>
      <c r="H15" s="29">
        <v>0</v>
      </c>
      <c r="I15" s="29">
        <v>0</v>
      </c>
      <c r="J15" s="29">
        <v>4114542</v>
      </c>
      <c r="K15" s="29">
        <v>7300</v>
      </c>
      <c r="L15" s="29">
        <v>18175923660</v>
      </c>
      <c r="M15" s="29">
        <v>29803977109</v>
      </c>
      <c r="N15" s="30">
        <v>2.8929741400731358E-3</v>
      </c>
    </row>
    <row r="16" spans="1:14" x14ac:dyDescent="0.4">
      <c r="A16" s="29" t="s">
        <v>273</v>
      </c>
      <c r="B16" s="29">
        <v>245000</v>
      </c>
      <c r="C16" s="29">
        <v>1829159370</v>
      </c>
      <c r="D16" s="29">
        <v>4378341761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245000</v>
      </c>
      <c r="K16" s="29">
        <v>16530</v>
      </c>
      <c r="L16" s="29">
        <v>1829159370</v>
      </c>
      <c r="M16" s="29">
        <v>4018544659</v>
      </c>
      <c r="N16" s="30">
        <v>3.9006692753449387E-4</v>
      </c>
    </row>
    <row r="17" spans="1:14" x14ac:dyDescent="0.4">
      <c r="A17" s="29" t="s">
        <v>199</v>
      </c>
      <c r="B17" s="29">
        <v>9524125</v>
      </c>
      <c r="C17" s="29">
        <v>50137389582</v>
      </c>
      <c r="D17" s="29">
        <v>85243541694</v>
      </c>
      <c r="E17" s="29">
        <v>0</v>
      </c>
      <c r="F17" s="29">
        <v>0</v>
      </c>
      <c r="G17" s="29">
        <v>0</v>
      </c>
      <c r="H17" s="29">
        <v>3375220</v>
      </c>
      <c r="I17" s="29">
        <v>31837379901</v>
      </c>
      <c r="J17" s="29">
        <v>6148905</v>
      </c>
      <c r="K17" s="29">
        <v>9070</v>
      </c>
      <c r="L17" s="29">
        <v>32369382540</v>
      </c>
      <c r="M17" s="29">
        <v>55339461857</v>
      </c>
      <c r="N17" s="30">
        <v>5.3716197503560718E-3</v>
      </c>
    </row>
    <row r="18" spans="1:14" x14ac:dyDescent="0.4">
      <c r="A18" s="29" t="s">
        <v>215</v>
      </c>
      <c r="B18" s="29">
        <v>2335450</v>
      </c>
      <c r="C18" s="29">
        <v>25156844678</v>
      </c>
      <c r="D18" s="29">
        <v>55826093043</v>
      </c>
      <c r="E18" s="29">
        <v>0</v>
      </c>
      <c r="F18" s="29">
        <v>0</v>
      </c>
      <c r="G18" s="29">
        <v>0</v>
      </c>
      <c r="H18" s="29">
        <v>100000</v>
      </c>
      <c r="I18" s="29">
        <v>2148264558</v>
      </c>
      <c r="J18" s="29">
        <v>2235450</v>
      </c>
      <c r="K18" s="29">
        <v>22280</v>
      </c>
      <c r="L18" s="29">
        <v>24079671342</v>
      </c>
      <c r="M18" s="29">
        <v>49420826965</v>
      </c>
      <c r="N18" s="30">
        <v>4.7971173064550524E-3</v>
      </c>
    </row>
    <row r="19" spans="1:14" x14ac:dyDescent="0.4">
      <c r="A19" s="29" t="s">
        <v>183</v>
      </c>
      <c r="B19" s="29">
        <v>9767693</v>
      </c>
      <c r="C19" s="29">
        <v>12778142492</v>
      </c>
      <c r="D19" s="29">
        <v>32856519805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9767693</v>
      </c>
      <c r="K19" s="29">
        <v>3680</v>
      </c>
      <c r="L19" s="29">
        <v>12778142492</v>
      </c>
      <c r="M19" s="29">
        <v>35667254538</v>
      </c>
      <c r="N19" s="30">
        <v>3.4621032169119895E-3</v>
      </c>
    </row>
    <row r="20" spans="1:14" x14ac:dyDescent="0.4">
      <c r="A20" s="29" t="s">
        <v>200</v>
      </c>
      <c r="B20" s="29">
        <v>11621427</v>
      </c>
      <c r="C20" s="29">
        <v>53241270073</v>
      </c>
      <c r="D20" s="29">
        <v>178970329091</v>
      </c>
      <c r="E20" s="29">
        <v>0</v>
      </c>
      <c r="F20" s="29">
        <v>0</v>
      </c>
      <c r="G20" s="29">
        <v>0</v>
      </c>
      <c r="H20" s="29">
        <v>5000000</v>
      </c>
      <c r="I20" s="29">
        <v>75123806702</v>
      </c>
      <c r="J20" s="29">
        <v>6621427</v>
      </c>
      <c r="K20" s="29">
        <v>15130</v>
      </c>
      <c r="L20" s="29">
        <v>30334758646</v>
      </c>
      <c r="M20" s="29">
        <v>99407782177</v>
      </c>
      <c r="N20" s="30">
        <v>9.6491868218903411E-3</v>
      </c>
    </row>
    <row r="21" spans="1:14" x14ac:dyDescent="0.4">
      <c r="A21" s="29" t="s">
        <v>97</v>
      </c>
      <c r="B21" s="29">
        <v>1345609</v>
      </c>
      <c r="C21" s="29">
        <v>21252768530</v>
      </c>
      <c r="D21" s="29">
        <v>46425162773</v>
      </c>
      <c r="E21" s="29">
        <v>0</v>
      </c>
      <c r="F21" s="29">
        <v>0</v>
      </c>
      <c r="G21" s="29">
        <v>0</v>
      </c>
      <c r="H21" s="29">
        <v>240000</v>
      </c>
      <c r="I21" s="29">
        <v>9268558713</v>
      </c>
      <c r="J21" s="29">
        <v>1105609</v>
      </c>
      <c r="K21" s="29">
        <v>38930</v>
      </c>
      <c r="L21" s="29">
        <v>17462169295</v>
      </c>
      <c r="M21" s="29">
        <v>42708648670</v>
      </c>
      <c r="N21" s="30">
        <v>4.1455882115299511E-3</v>
      </c>
    </row>
    <row r="22" spans="1:14" x14ac:dyDescent="0.4">
      <c r="A22" s="29" t="s">
        <v>149</v>
      </c>
      <c r="B22" s="29">
        <v>10003637</v>
      </c>
      <c r="C22" s="29">
        <v>26253752222</v>
      </c>
      <c r="D22" s="29">
        <v>38514078478</v>
      </c>
      <c r="E22" s="29">
        <v>0</v>
      </c>
      <c r="F22" s="29">
        <v>0</v>
      </c>
      <c r="G22" s="29">
        <v>0</v>
      </c>
      <c r="H22" s="29">
        <v>2100000</v>
      </c>
      <c r="I22" s="29">
        <v>8754686622</v>
      </c>
      <c r="J22" s="29">
        <v>7903637</v>
      </c>
      <c r="K22" s="29">
        <v>4150</v>
      </c>
      <c r="L22" s="29">
        <v>20742468709</v>
      </c>
      <c r="M22" s="29">
        <v>32546548827</v>
      </c>
      <c r="N22" s="30">
        <v>3.1591865663024537E-3</v>
      </c>
    </row>
    <row r="23" spans="1:14" x14ac:dyDescent="0.4">
      <c r="A23" s="29" t="s">
        <v>125</v>
      </c>
      <c r="B23" s="29">
        <v>26571939</v>
      </c>
      <c r="C23" s="29">
        <v>61668267950</v>
      </c>
      <c r="D23" s="29">
        <v>81999932905</v>
      </c>
      <c r="E23" s="29">
        <v>0</v>
      </c>
      <c r="F23" s="29">
        <v>0</v>
      </c>
      <c r="G23" s="29">
        <v>0</v>
      </c>
      <c r="H23" s="29">
        <v>2100000</v>
      </c>
      <c r="I23" s="29">
        <v>7084807858</v>
      </c>
      <c r="J23" s="29">
        <v>24471939</v>
      </c>
      <c r="K23" s="29">
        <v>3550</v>
      </c>
      <c r="L23" s="29">
        <v>56794579105</v>
      </c>
      <c r="M23" s="29">
        <v>86203836736</v>
      </c>
      <c r="N23" s="30">
        <v>8.3675232181354368E-3</v>
      </c>
    </row>
    <row r="24" spans="1:14" x14ac:dyDescent="0.4">
      <c r="A24" s="29" t="s">
        <v>196</v>
      </c>
      <c r="B24" s="29">
        <v>104507736</v>
      </c>
      <c r="C24" s="29">
        <v>57417442109</v>
      </c>
      <c r="D24" s="29">
        <v>67093829607</v>
      </c>
      <c r="E24" s="29">
        <v>0</v>
      </c>
      <c r="F24" s="29">
        <v>0</v>
      </c>
      <c r="G24" s="29">
        <v>0</v>
      </c>
      <c r="H24" s="29">
        <v>24000000</v>
      </c>
      <c r="I24" s="29">
        <v>17583154979</v>
      </c>
      <c r="J24" s="29">
        <v>80507736</v>
      </c>
      <c r="K24" s="29">
        <v>666</v>
      </c>
      <c r="L24" s="29">
        <v>44231637274</v>
      </c>
      <c r="M24" s="29">
        <v>53203683860</v>
      </c>
      <c r="N24" s="30">
        <v>5.1643067970659432E-3</v>
      </c>
    </row>
    <row r="25" spans="1:14" x14ac:dyDescent="0.4">
      <c r="A25" s="29" t="s">
        <v>253</v>
      </c>
      <c r="B25" s="29">
        <v>1750000</v>
      </c>
      <c r="C25" s="29">
        <v>4291393050</v>
      </c>
      <c r="D25" s="29">
        <v>8543444700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1750000</v>
      </c>
      <c r="K25" s="29">
        <v>4900</v>
      </c>
      <c r="L25" s="29">
        <v>4291393050</v>
      </c>
      <c r="M25" s="29">
        <v>8508715250</v>
      </c>
      <c r="N25" s="30">
        <v>8.2591303480979757E-4</v>
      </c>
    </row>
    <row r="26" spans="1:14" x14ac:dyDescent="0.4">
      <c r="A26" s="29" t="s">
        <v>77</v>
      </c>
      <c r="B26" s="29">
        <v>31353305</v>
      </c>
      <c r="C26" s="29">
        <v>41262935127</v>
      </c>
      <c r="D26" s="29">
        <v>54661928524</v>
      </c>
      <c r="E26" s="29">
        <v>0</v>
      </c>
      <c r="F26" s="29">
        <v>0</v>
      </c>
      <c r="G26" s="29">
        <v>0</v>
      </c>
      <c r="H26" s="29">
        <v>8000000</v>
      </c>
      <c r="I26" s="29">
        <v>13903933260</v>
      </c>
      <c r="J26" s="29">
        <v>23353305</v>
      </c>
      <c r="K26" s="29">
        <v>1779</v>
      </c>
      <c r="L26" s="29">
        <v>30734428450</v>
      </c>
      <c r="M26" s="29">
        <v>41224382651</v>
      </c>
      <c r="N26" s="30">
        <v>4.001515385468773E-3</v>
      </c>
    </row>
    <row r="27" spans="1:14" x14ac:dyDescent="0.4">
      <c r="A27" s="29" t="s">
        <v>80</v>
      </c>
      <c r="B27" s="29">
        <v>36217996</v>
      </c>
      <c r="C27" s="29">
        <v>17509465532</v>
      </c>
      <c r="D27" s="29">
        <v>30547326257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36217996</v>
      </c>
      <c r="K27" s="29">
        <v>866</v>
      </c>
      <c r="L27" s="29">
        <v>17509465532</v>
      </c>
      <c r="M27" s="29">
        <v>31122334752</v>
      </c>
      <c r="N27" s="30">
        <v>3.0209427851508779E-3</v>
      </c>
    </row>
    <row r="28" spans="1:14" x14ac:dyDescent="0.4">
      <c r="A28" s="29" t="s">
        <v>210</v>
      </c>
      <c r="B28" s="29">
        <v>5600000</v>
      </c>
      <c r="C28" s="29">
        <v>18852980247</v>
      </c>
      <c r="D28" s="29">
        <v>35007285600</v>
      </c>
      <c r="E28" s="29">
        <v>0</v>
      </c>
      <c r="F28" s="29">
        <v>0</v>
      </c>
      <c r="G28" s="29">
        <v>0</v>
      </c>
      <c r="H28" s="29">
        <v>1500000</v>
      </c>
      <c r="I28" s="29">
        <v>9192488539</v>
      </c>
      <c r="J28" s="29">
        <v>4100000</v>
      </c>
      <c r="K28" s="29">
        <v>6100</v>
      </c>
      <c r="L28" s="29">
        <v>13803074823</v>
      </c>
      <c r="M28" s="29">
        <v>24816672700</v>
      </c>
      <c r="N28" s="30">
        <v>2.4088728863665347E-3</v>
      </c>
    </row>
    <row r="29" spans="1:14" x14ac:dyDescent="0.4">
      <c r="A29" s="29" t="s">
        <v>95</v>
      </c>
      <c r="B29" s="29">
        <v>6075143</v>
      </c>
      <c r="C29" s="29">
        <v>15080176037</v>
      </c>
      <c r="D29" s="29">
        <v>19531310149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6075143</v>
      </c>
      <c r="K29" s="29">
        <v>3210</v>
      </c>
      <c r="L29" s="29">
        <v>15080176037</v>
      </c>
      <c r="M29" s="29">
        <v>19350464684</v>
      </c>
      <c r="N29" s="30">
        <v>1.878286032916926E-3</v>
      </c>
    </row>
    <row r="30" spans="1:14" x14ac:dyDescent="0.4">
      <c r="A30" s="29" t="s">
        <v>155</v>
      </c>
      <c r="B30" s="29">
        <v>62123085</v>
      </c>
      <c r="C30" s="29">
        <v>37500861252</v>
      </c>
      <c r="D30" s="29">
        <v>55786800565</v>
      </c>
      <c r="E30" s="29">
        <v>0</v>
      </c>
      <c r="F30" s="29">
        <v>0</v>
      </c>
      <c r="G30" s="29">
        <v>0</v>
      </c>
      <c r="H30" s="29">
        <v>14000000</v>
      </c>
      <c r="I30" s="29">
        <v>13465103988</v>
      </c>
      <c r="J30" s="29">
        <v>48123085</v>
      </c>
      <c r="K30" s="29">
        <v>941</v>
      </c>
      <c r="L30" s="29">
        <v>29049702435</v>
      </c>
      <c r="M30" s="29">
        <v>44933779033</v>
      </c>
      <c r="N30" s="30">
        <v>4.3615743054297041E-3</v>
      </c>
    </row>
    <row r="31" spans="1:14" x14ac:dyDescent="0.4">
      <c r="A31" s="29" t="s">
        <v>213</v>
      </c>
      <c r="B31" s="29">
        <v>35696139</v>
      </c>
      <c r="C31" s="29">
        <v>40136187171</v>
      </c>
      <c r="D31" s="29">
        <v>48490264541</v>
      </c>
      <c r="E31" s="29">
        <v>0</v>
      </c>
      <c r="F31" s="29">
        <v>0</v>
      </c>
      <c r="G31" s="29">
        <v>0</v>
      </c>
      <c r="H31" s="29">
        <v>6000000</v>
      </c>
      <c r="I31" s="29">
        <v>8807537410</v>
      </c>
      <c r="J31" s="29">
        <v>29696139</v>
      </c>
      <c r="K31" s="29">
        <v>1439</v>
      </c>
      <c r="L31" s="29">
        <v>33389879873</v>
      </c>
      <c r="M31" s="29">
        <v>42402419910</v>
      </c>
      <c r="N31" s="30">
        <v>4.1158635918798064E-3</v>
      </c>
    </row>
    <row r="32" spans="1:14" x14ac:dyDescent="0.4">
      <c r="A32" s="29" t="s">
        <v>128</v>
      </c>
      <c r="B32" s="29">
        <v>11403159</v>
      </c>
      <c r="C32" s="29">
        <v>40564151933</v>
      </c>
      <c r="D32" s="29">
        <v>62232569195</v>
      </c>
      <c r="E32" s="29">
        <v>0</v>
      </c>
      <c r="F32" s="29">
        <v>0</v>
      </c>
      <c r="G32" s="29">
        <v>0</v>
      </c>
      <c r="H32" s="29">
        <v>1045000</v>
      </c>
      <c r="I32" s="29">
        <v>6686113768</v>
      </c>
      <c r="J32" s="29">
        <v>10358159</v>
      </c>
      <c r="K32" s="29">
        <v>5860</v>
      </c>
      <c r="L32" s="29">
        <v>36846801437</v>
      </c>
      <c r="M32" s="29">
        <v>60229609925</v>
      </c>
      <c r="N32" s="30">
        <v>5.8462903572389559E-3</v>
      </c>
    </row>
    <row r="33" spans="1:14" x14ac:dyDescent="0.4">
      <c r="A33" s="29" t="s">
        <v>96</v>
      </c>
      <c r="B33" s="29">
        <v>16845192</v>
      </c>
      <c r="C33" s="29">
        <v>25154564634</v>
      </c>
      <c r="D33" s="29">
        <v>27362420076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16845192</v>
      </c>
      <c r="K33" s="29">
        <v>1732</v>
      </c>
      <c r="L33" s="29">
        <v>25154564634</v>
      </c>
      <c r="M33" s="29">
        <v>28950343049</v>
      </c>
      <c r="N33" s="30">
        <v>2.81011468639573E-3</v>
      </c>
    </row>
    <row r="34" spans="1:14" x14ac:dyDescent="0.4">
      <c r="A34" s="29" t="s">
        <v>305</v>
      </c>
      <c r="B34" s="29">
        <v>10526015</v>
      </c>
      <c r="C34" s="29">
        <v>15031859870</v>
      </c>
      <c r="D34" s="29">
        <v>36138485208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10526015</v>
      </c>
      <c r="K34" s="29">
        <v>3590</v>
      </c>
      <c r="L34" s="29">
        <v>15031859870</v>
      </c>
      <c r="M34" s="29">
        <v>37496289566</v>
      </c>
      <c r="N34" s="30">
        <v>3.6396416379737241E-3</v>
      </c>
    </row>
    <row r="35" spans="1:14" x14ac:dyDescent="0.4">
      <c r="A35" s="29" t="s">
        <v>161</v>
      </c>
      <c r="B35" s="29">
        <v>16851248</v>
      </c>
      <c r="C35" s="29">
        <v>34155781219</v>
      </c>
      <c r="D35" s="29">
        <v>34863259673</v>
      </c>
      <c r="E35" s="29">
        <v>0</v>
      </c>
      <c r="F35" s="29">
        <v>0</v>
      </c>
      <c r="G35" s="29">
        <v>0</v>
      </c>
      <c r="H35" s="29">
        <v>210417</v>
      </c>
      <c r="I35" s="29">
        <v>436535141</v>
      </c>
      <c r="J35" s="29">
        <v>16640831</v>
      </c>
      <c r="K35" s="29">
        <v>3082</v>
      </c>
      <c r="L35" s="29">
        <v>33729287168</v>
      </c>
      <c r="M35" s="29">
        <v>50890592314</v>
      </c>
      <c r="N35" s="30">
        <v>4.9397826001197883E-3</v>
      </c>
    </row>
    <row r="36" spans="1:14" x14ac:dyDescent="0.4">
      <c r="A36" s="29" t="s">
        <v>335</v>
      </c>
      <c r="B36" s="29">
        <v>2875000</v>
      </c>
      <c r="C36" s="29">
        <v>4907321845</v>
      </c>
      <c r="D36" s="29">
        <v>6558532599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2875000</v>
      </c>
      <c r="K36" s="29">
        <v>2968</v>
      </c>
      <c r="L36" s="29">
        <v>4907321845</v>
      </c>
      <c r="M36" s="29">
        <v>8467039910</v>
      </c>
      <c r="N36" s="30">
        <v>8.2186774647603528E-4</v>
      </c>
    </row>
    <row r="37" spans="1:14" x14ac:dyDescent="0.4">
      <c r="A37" s="29" t="s">
        <v>337</v>
      </c>
      <c r="B37" s="29">
        <v>6000000</v>
      </c>
      <c r="C37" s="29">
        <v>72340764580</v>
      </c>
      <c r="D37" s="29">
        <v>93174153000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6000000</v>
      </c>
      <c r="K37" s="29">
        <v>24450</v>
      </c>
      <c r="L37" s="29">
        <v>72340764580</v>
      </c>
      <c r="M37" s="29">
        <v>145566009000</v>
      </c>
      <c r="N37" s="30">
        <v>1.4129614251498227E-2</v>
      </c>
    </row>
    <row r="38" spans="1:14" x14ac:dyDescent="0.4">
      <c r="A38" s="29" t="s">
        <v>74</v>
      </c>
      <c r="B38" s="29">
        <v>17463245</v>
      </c>
      <c r="C38" s="29">
        <v>23932188275</v>
      </c>
      <c r="D38" s="29">
        <v>28366351988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17463245</v>
      </c>
      <c r="K38" s="29">
        <v>1839</v>
      </c>
      <c r="L38" s="29">
        <v>23932188275</v>
      </c>
      <c r="M38" s="29">
        <v>31866659320</v>
      </c>
      <c r="N38" s="30">
        <v>3.0931919255649224E-3</v>
      </c>
    </row>
    <row r="39" spans="1:14" x14ac:dyDescent="0.4">
      <c r="A39" s="29" t="s">
        <v>309</v>
      </c>
      <c r="B39" s="29">
        <v>4793305</v>
      </c>
      <c r="C39" s="29">
        <v>9224987442</v>
      </c>
      <c r="D39" s="29">
        <v>13288970190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4793305</v>
      </c>
      <c r="K39" s="29">
        <v>3380</v>
      </c>
      <c r="L39" s="29">
        <v>9224987442</v>
      </c>
      <c r="M39" s="29">
        <v>16076134303</v>
      </c>
      <c r="N39" s="30">
        <v>1.5604575403085231E-3</v>
      </c>
    </row>
    <row r="40" spans="1:14" x14ac:dyDescent="0.4">
      <c r="A40" s="29" t="s">
        <v>229</v>
      </c>
      <c r="B40" s="29">
        <v>18617878</v>
      </c>
      <c r="C40" s="29">
        <v>30626130885</v>
      </c>
      <c r="D40" s="29">
        <v>48919050855</v>
      </c>
      <c r="E40" s="29">
        <v>0</v>
      </c>
      <c r="F40" s="29">
        <v>0</v>
      </c>
      <c r="G40" s="29">
        <v>0</v>
      </c>
      <c r="H40" s="29">
        <v>5000000</v>
      </c>
      <c r="I40" s="29">
        <v>13633004243</v>
      </c>
      <c r="J40" s="29">
        <v>13617878</v>
      </c>
      <c r="K40" s="29">
        <v>2736</v>
      </c>
      <c r="L40" s="29">
        <v>22401205659</v>
      </c>
      <c r="M40" s="29">
        <v>36970505893</v>
      </c>
      <c r="N40" s="30">
        <v>3.5886055442437251E-3</v>
      </c>
    </row>
    <row r="41" spans="1:14" x14ac:dyDescent="0.4">
      <c r="A41" s="29" t="s">
        <v>116</v>
      </c>
      <c r="B41" s="29">
        <v>9892011</v>
      </c>
      <c r="C41" s="29">
        <v>26812959269</v>
      </c>
      <c r="D41" s="29">
        <v>37299073869</v>
      </c>
      <c r="E41" s="29">
        <v>0</v>
      </c>
      <c r="F41" s="29">
        <v>0</v>
      </c>
      <c r="G41" s="29">
        <v>0</v>
      </c>
      <c r="H41" s="29">
        <v>1800000</v>
      </c>
      <c r="I41" s="29">
        <v>9984220792</v>
      </c>
      <c r="J41" s="29">
        <v>8092011</v>
      </c>
      <c r="K41" s="29">
        <v>5580</v>
      </c>
      <c r="L41" s="29">
        <v>21933938544</v>
      </c>
      <c r="M41" s="29">
        <v>44804385433</v>
      </c>
      <c r="N41" s="30">
        <v>4.3490144937870512E-3</v>
      </c>
    </row>
    <row r="42" spans="1:14" x14ac:dyDescent="0.4">
      <c r="A42" s="29" t="s">
        <v>180</v>
      </c>
      <c r="B42" s="29">
        <v>5838695</v>
      </c>
      <c r="C42" s="29">
        <v>24846373825</v>
      </c>
      <c r="D42" s="29">
        <v>42640615493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5838695</v>
      </c>
      <c r="K42" s="29">
        <v>8240</v>
      </c>
      <c r="L42" s="29">
        <v>24846373825</v>
      </c>
      <c r="M42" s="29">
        <v>47738949954</v>
      </c>
      <c r="N42" s="30">
        <v>4.6338630306309971E-3</v>
      </c>
    </row>
    <row r="43" spans="1:14" x14ac:dyDescent="0.4">
      <c r="A43" s="29" t="s">
        <v>218</v>
      </c>
      <c r="B43" s="29">
        <v>9216183</v>
      </c>
      <c r="C43" s="29">
        <v>33383006874</v>
      </c>
      <c r="D43" s="29">
        <v>78280702710</v>
      </c>
      <c r="E43" s="29">
        <v>0</v>
      </c>
      <c r="F43" s="29">
        <v>0</v>
      </c>
      <c r="G43" s="29">
        <v>0</v>
      </c>
      <c r="H43" s="29">
        <v>2701930</v>
      </c>
      <c r="I43" s="29">
        <v>23553365728</v>
      </c>
      <c r="J43" s="29">
        <v>6514253</v>
      </c>
      <c r="K43" s="29">
        <v>9550</v>
      </c>
      <c r="L43" s="29">
        <v>23596032401</v>
      </c>
      <c r="M43" s="29">
        <v>61730224222</v>
      </c>
      <c r="N43" s="30">
        <v>5.9919500569350108E-3</v>
      </c>
    </row>
    <row r="44" spans="1:14" x14ac:dyDescent="0.4">
      <c r="A44" s="29" t="s">
        <v>124</v>
      </c>
      <c r="B44" s="29">
        <v>14328056</v>
      </c>
      <c r="C44" s="29">
        <v>36824471122</v>
      </c>
      <c r="D44" s="29">
        <v>40163872859</v>
      </c>
      <c r="E44" s="29">
        <v>0</v>
      </c>
      <c r="F44" s="29">
        <v>0</v>
      </c>
      <c r="G44" s="29">
        <v>0</v>
      </c>
      <c r="H44" s="29">
        <v>1800000</v>
      </c>
      <c r="I44" s="29">
        <v>5465472833</v>
      </c>
      <c r="J44" s="29">
        <v>12528056</v>
      </c>
      <c r="K44" s="29">
        <v>3070</v>
      </c>
      <c r="L44" s="29">
        <v>32198299364</v>
      </c>
      <c r="M44" s="29">
        <v>38163827370</v>
      </c>
      <c r="N44" s="30">
        <v>3.7044373394812939E-3</v>
      </c>
    </row>
    <row r="45" spans="1:14" x14ac:dyDescent="0.4">
      <c r="A45" s="29" t="s">
        <v>105</v>
      </c>
      <c r="B45" s="29">
        <v>13100000</v>
      </c>
      <c r="C45" s="29">
        <v>33305627034</v>
      </c>
      <c r="D45" s="29">
        <v>74482763010</v>
      </c>
      <c r="E45" s="29">
        <v>0</v>
      </c>
      <c r="F45" s="29">
        <v>0</v>
      </c>
      <c r="G45" s="29">
        <v>0</v>
      </c>
      <c r="H45" s="29">
        <v>600000</v>
      </c>
      <c r="I45" s="29">
        <v>3465006954</v>
      </c>
      <c r="J45" s="29">
        <v>12500000</v>
      </c>
      <c r="K45" s="29">
        <v>5860</v>
      </c>
      <c r="L45" s="29">
        <v>31780178468</v>
      </c>
      <c r="M45" s="29">
        <v>72683777500</v>
      </c>
      <c r="N45" s="30">
        <v>7.0551754868592035E-3</v>
      </c>
    </row>
    <row r="46" spans="1:14" x14ac:dyDescent="0.4">
      <c r="A46" s="29" t="s">
        <v>234</v>
      </c>
      <c r="B46" s="29">
        <v>5757161</v>
      </c>
      <c r="C46" s="29">
        <v>22851738358</v>
      </c>
      <c r="D46" s="29">
        <v>61525328227</v>
      </c>
      <c r="E46" s="29">
        <v>0</v>
      </c>
      <c r="F46" s="29">
        <v>0</v>
      </c>
      <c r="G46" s="29">
        <v>0</v>
      </c>
      <c r="H46" s="29">
        <v>2200000</v>
      </c>
      <c r="I46" s="29">
        <v>23677377709</v>
      </c>
      <c r="J46" s="29">
        <v>3557161</v>
      </c>
      <c r="K46" s="29">
        <v>11720</v>
      </c>
      <c r="L46" s="29">
        <v>14119339804</v>
      </c>
      <c r="M46" s="29">
        <v>41367663785</v>
      </c>
      <c r="N46" s="30">
        <v>4.0154232144107424E-3</v>
      </c>
    </row>
    <row r="47" spans="1:14" x14ac:dyDescent="0.4">
      <c r="A47" s="29" t="s">
        <v>227</v>
      </c>
      <c r="B47" s="29">
        <v>285750</v>
      </c>
      <c r="C47" s="29">
        <v>12123197874</v>
      </c>
      <c r="D47" s="29">
        <v>17321529006</v>
      </c>
      <c r="E47" s="29">
        <v>0</v>
      </c>
      <c r="F47" s="29">
        <v>0</v>
      </c>
      <c r="G47" s="29">
        <v>0</v>
      </c>
      <c r="H47" s="29">
        <v>210000</v>
      </c>
      <c r="I47" s="29">
        <v>12380281849</v>
      </c>
      <c r="J47" s="29">
        <v>75750</v>
      </c>
      <c r="K47" s="29">
        <v>60320</v>
      </c>
      <c r="L47" s="29">
        <v>3213761116</v>
      </c>
      <c r="M47" s="29">
        <v>4533919775</v>
      </c>
      <c r="N47" s="30">
        <v>4.4009269683274504E-4</v>
      </c>
    </row>
    <row r="48" spans="1:14" x14ac:dyDescent="0.4">
      <c r="A48" s="29" t="s">
        <v>293</v>
      </c>
      <c r="B48" s="29">
        <v>11678863</v>
      </c>
      <c r="C48" s="29">
        <v>13769132593</v>
      </c>
      <c r="D48" s="29">
        <v>19352937600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11678863</v>
      </c>
      <c r="K48" s="29">
        <v>1759</v>
      </c>
      <c r="L48" s="29">
        <v>13769132593</v>
      </c>
      <c r="M48" s="29">
        <v>20384321699</v>
      </c>
      <c r="N48" s="30">
        <v>1.9786391367322227E-3</v>
      </c>
    </row>
    <row r="49" spans="1:14" x14ac:dyDescent="0.4">
      <c r="A49" s="29" t="s">
        <v>171</v>
      </c>
      <c r="B49" s="29">
        <v>3635616</v>
      </c>
      <c r="C49" s="29">
        <v>21743227632</v>
      </c>
      <c r="D49" s="29">
        <v>26587368513</v>
      </c>
      <c r="E49" s="29">
        <v>0</v>
      </c>
      <c r="F49" s="29">
        <v>0</v>
      </c>
      <c r="G49" s="29">
        <v>0</v>
      </c>
      <c r="H49" s="29">
        <v>297837</v>
      </c>
      <c r="I49" s="29">
        <v>2058710275</v>
      </c>
      <c r="J49" s="29">
        <v>3337779</v>
      </c>
      <c r="K49" s="29">
        <v>11160</v>
      </c>
      <c r="L49" s="29">
        <v>19961978543</v>
      </c>
      <c r="M49" s="29">
        <v>36961674127</v>
      </c>
      <c r="N49" s="30">
        <v>3.587748273733963E-3</v>
      </c>
    </row>
    <row r="50" spans="1:14" x14ac:dyDescent="0.4">
      <c r="A50" s="29" t="s">
        <v>303</v>
      </c>
      <c r="B50" s="29">
        <v>250000</v>
      </c>
      <c r="C50" s="29">
        <v>800726400</v>
      </c>
      <c r="D50" s="29">
        <v>2904870425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250000</v>
      </c>
      <c r="K50" s="29">
        <v>11510</v>
      </c>
      <c r="L50" s="29">
        <v>800726400</v>
      </c>
      <c r="M50" s="29">
        <v>2855256925</v>
      </c>
      <c r="N50" s="30">
        <v>2.771504090571653E-4</v>
      </c>
    </row>
    <row r="51" spans="1:14" x14ac:dyDescent="0.4">
      <c r="A51" s="29" t="s">
        <v>154</v>
      </c>
      <c r="B51" s="29">
        <v>11060139</v>
      </c>
      <c r="C51" s="29">
        <v>53454095898</v>
      </c>
      <c r="D51" s="29">
        <v>73420369200</v>
      </c>
      <c r="E51" s="29">
        <v>0</v>
      </c>
      <c r="F51" s="29">
        <v>0</v>
      </c>
      <c r="G51" s="29">
        <v>0</v>
      </c>
      <c r="H51" s="29">
        <v>300000</v>
      </c>
      <c r="I51" s="29">
        <v>2381448005</v>
      </c>
      <c r="J51" s="29">
        <v>10760139</v>
      </c>
      <c r="K51" s="29">
        <v>8180</v>
      </c>
      <c r="L51" s="29">
        <v>52004183852</v>
      </c>
      <c r="M51" s="29">
        <v>87337558367</v>
      </c>
      <c r="N51" s="30">
        <v>8.477569852130943E-3</v>
      </c>
    </row>
    <row r="52" spans="1:14" x14ac:dyDescent="0.4">
      <c r="A52" s="29" t="s">
        <v>132</v>
      </c>
      <c r="B52" s="29">
        <v>109400</v>
      </c>
      <c r="C52" s="29">
        <v>15816671981</v>
      </c>
      <c r="D52" s="29">
        <v>20234528603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109400</v>
      </c>
      <c r="K52" s="29">
        <v>174800</v>
      </c>
      <c r="L52" s="29">
        <v>15816671981</v>
      </c>
      <c r="M52" s="29">
        <v>18975298282</v>
      </c>
      <c r="N52" s="30">
        <v>1.8418698628453641E-3</v>
      </c>
    </row>
    <row r="53" spans="1:14" x14ac:dyDescent="0.4">
      <c r="A53" s="29" t="s">
        <v>214</v>
      </c>
      <c r="B53" s="29">
        <v>3535701</v>
      </c>
      <c r="C53" s="29">
        <v>25736313740</v>
      </c>
      <c r="D53" s="29">
        <v>41398766369</v>
      </c>
      <c r="E53" s="29">
        <v>0</v>
      </c>
      <c r="F53" s="29">
        <v>0</v>
      </c>
      <c r="G53" s="29">
        <v>0</v>
      </c>
      <c r="H53" s="29">
        <v>400000</v>
      </c>
      <c r="I53" s="29">
        <v>6342589867</v>
      </c>
      <c r="J53" s="29">
        <v>3135701</v>
      </c>
      <c r="K53" s="29">
        <v>15660</v>
      </c>
      <c r="L53" s="29">
        <v>22824719831</v>
      </c>
      <c r="M53" s="29">
        <v>48725495410</v>
      </c>
      <c r="N53" s="30">
        <v>4.7296237568514189E-3</v>
      </c>
    </row>
    <row r="54" spans="1:14" x14ac:dyDescent="0.4">
      <c r="A54" s="29" t="s">
        <v>168</v>
      </c>
      <c r="B54" s="29">
        <v>6383236</v>
      </c>
      <c r="C54" s="29">
        <v>41732920972</v>
      </c>
      <c r="D54" s="29">
        <v>42690442768</v>
      </c>
      <c r="E54" s="29">
        <v>0</v>
      </c>
      <c r="F54" s="29">
        <v>0</v>
      </c>
      <c r="G54" s="29">
        <v>0</v>
      </c>
      <c r="H54" s="29">
        <v>1500000</v>
      </c>
      <c r="I54" s="29">
        <v>12588024949</v>
      </c>
      <c r="J54" s="29">
        <v>4883236</v>
      </c>
      <c r="K54" s="29">
        <v>8250</v>
      </c>
      <c r="L54" s="29">
        <v>31926079825</v>
      </c>
      <c r="M54" s="29">
        <v>39975280832</v>
      </c>
      <c r="N54" s="30">
        <v>3.8802691756938332E-3</v>
      </c>
    </row>
    <row r="55" spans="1:14" x14ac:dyDescent="0.4">
      <c r="A55" s="29" t="s">
        <v>140</v>
      </c>
      <c r="B55" s="29">
        <v>12960615</v>
      </c>
      <c r="C55" s="29">
        <v>29251419417</v>
      </c>
      <c r="D55" s="29">
        <v>32048190180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12960615</v>
      </c>
      <c r="K55" s="29">
        <v>2652</v>
      </c>
      <c r="L55" s="29">
        <v>29251419417</v>
      </c>
      <c r="M55" s="29">
        <v>34105858891</v>
      </c>
      <c r="N55" s="30">
        <v>3.3105436712623009E-3</v>
      </c>
    </row>
    <row r="56" spans="1:14" x14ac:dyDescent="0.4">
      <c r="A56" s="29" t="s">
        <v>221</v>
      </c>
      <c r="B56" s="29">
        <v>13327841</v>
      </c>
      <c r="C56" s="29">
        <v>21379706244</v>
      </c>
      <c r="D56" s="29">
        <v>38484216856</v>
      </c>
      <c r="E56" s="29">
        <v>0</v>
      </c>
      <c r="F56" s="29">
        <v>0</v>
      </c>
      <c r="G56" s="29">
        <v>0</v>
      </c>
      <c r="H56" s="29">
        <v>7200000</v>
      </c>
      <c r="I56" s="29">
        <v>30486874715</v>
      </c>
      <c r="J56" s="29">
        <v>6127841</v>
      </c>
      <c r="K56" s="29">
        <v>4210</v>
      </c>
      <c r="L56" s="29">
        <v>9829907221</v>
      </c>
      <c r="M56" s="29">
        <v>25598790442</v>
      </c>
      <c r="N56" s="30">
        <v>2.4847904860151784E-3</v>
      </c>
    </row>
    <row r="57" spans="1:14" x14ac:dyDescent="0.4">
      <c r="A57" s="29" t="s">
        <v>142</v>
      </c>
      <c r="B57" s="29">
        <v>10941112</v>
      </c>
      <c r="C57" s="29">
        <v>44034386147</v>
      </c>
      <c r="D57" s="29">
        <v>59276693135</v>
      </c>
      <c r="E57" s="29">
        <v>0</v>
      </c>
      <c r="F57" s="29">
        <v>0</v>
      </c>
      <c r="G57" s="29">
        <v>0</v>
      </c>
      <c r="H57" s="29">
        <v>2400000</v>
      </c>
      <c r="I57" s="29">
        <v>12764561323</v>
      </c>
      <c r="J57" s="29">
        <v>8541112</v>
      </c>
      <c r="K57" s="29">
        <v>5460</v>
      </c>
      <c r="L57" s="29">
        <v>34375173559</v>
      </c>
      <c r="M57" s="29">
        <v>46273987055</v>
      </c>
      <c r="N57" s="30">
        <v>4.4916638950098058E-3</v>
      </c>
    </row>
    <row r="58" spans="1:14" x14ac:dyDescent="0.4">
      <c r="A58" s="29" t="s">
        <v>129</v>
      </c>
      <c r="B58" s="29">
        <v>3907801</v>
      </c>
      <c r="C58" s="29">
        <v>28412448945</v>
      </c>
      <c r="D58" s="29">
        <v>78482496453</v>
      </c>
      <c r="E58" s="29">
        <v>0</v>
      </c>
      <c r="F58" s="29">
        <v>0</v>
      </c>
      <c r="G58" s="29">
        <v>0</v>
      </c>
      <c r="H58" s="29">
        <v>451842</v>
      </c>
      <c r="I58" s="29">
        <v>8662779576</v>
      </c>
      <c r="J58" s="29">
        <v>3455959</v>
      </c>
      <c r="K58" s="29">
        <v>20380</v>
      </c>
      <c r="L58" s="29">
        <v>25127241291</v>
      </c>
      <c r="M58" s="29">
        <v>69888001625</v>
      </c>
      <c r="N58" s="30">
        <v>6.783798707906674E-3</v>
      </c>
    </row>
    <row r="59" spans="1:14" x14ac:dyDescent="0.4">
      <c r="A59" s="29" t="s">
        <v>88</v>
      </c>
      <c r="B59" s="29">
        <v>10406369</v>
      </c>
      <c r="C59" s="29">
        <v>18694961080</v>
      </c>
      <c r="D59" s="29">
        <v>31576687113</v>
      </c>
      <c r="E59" s="29">
        <v>0</v>
      </c>
      <c r="F59" s="29">
        <v>0</v>
      </c>
      <c r="G59" s="29">
        <v>0</v>
      </c>
      <c r="H59" s="29">
        <v>3139161</v>
      </c>
      <c r="I59" s="29">
        <v>9149605119</v>
      </c>
      <c r="J59" s="29">
        <v>7267208</v>
      </c>
      <c r="K59" s="29">
        <v>2860</v>
      </c>
      <c r="L59" s="29">
        <v>13055482726</v>
      </c>
      <c r="M59" s="29">
        <v>20623552899</v>
      </c>
      <c r="N59" s="30">
        <v>2.0018605233467516E-3</v>
      </c>
    </row>
    <row r="60" spans="1:14" x14ac:dyDescent="0.4">
      <c r="A60" s="29" t="s">
        <v>93</v>
      </c>
      <c r="B60" s="29">
        <v>1380533</v>
      </c>
      <c r="C60" s="29">
        <v>38811454661</v>
      </c>
      <c r="D60" s="29">
        <v>64630064622</v>
      </c>
      <c r="E60" s="29">
        <v>0</v>
      </c>
      <c r="F60" s="29">
        <v>0</v>
      </c>
      <c r="G60" s="29">
        <v>0</v>
      </c>
      <c r="H60" s="29">
        <v>106325</v>
      </c>
      <c r="I60" s="29">
        <v>5470492456</v>
      </c>
      <c r="J60" s="29">
        <v>1274208</v>
      </c>
      <c r="K60" s="29">
        <v>58420</v>
      </c>
      <c r="L60" s="29">
        <v>35822299083</v>
      </c>
      <c r="M60" s="29">
        <v>73863816102</v>
      </c>
      <c r="N60" s="30">
        <v>7.1697179570600405E-3</v>
      </c>
    </row>
    <row r="61" spans="1:14" x14ac:dyDescent="0.4">
      <c r="A61" s="29" t="s">
        <v>225</v>
      </c>
      <c r="B61" s="29">
        <v>14061008</v>
      </c>
      <c r="C61" s="29">
        <v>39488600394</v>
      </c>
      <c r="D61" s="29">
        <v>77993448722</v>
      </c>
      <c r="E61" s="29">
        <v>0</v>
      </c>
      <c r="F61" s="29">
        <v>0</v>
      </c>
      <c r="G61" s="29">
        <v>0</v>
      </c>
      <c r="H61" s="29">
        <v>5700000</v>
      </c>
      <c r="I61" s="29">
        <v>36195032906</v>
      </c>
      <c r="J61" s="29">
        <v>8361008</v>
      </c>
      <c r="K61" s="29">
        <v>9940</v>
      </c>
      <c r="L61" s="29">
        <v>23480855981</v>
      </c>
      <c r="M61" s="29">
        <v>82465991437</v>
      </c>
      <c r="N61" s="30">
        <v>8.0047028552673039E-3</v>
      </c>
    </row>
    <row r="62" spans="1:14" x14ac:dyDescent="0.4">
      <c r="A62" s="29" t="s">
        <v>244</v>
      </c>
      <c r="B62" s="29">
        <v>1320025</v>
      </c>
      <c r="C62" s="29">
        <v>44265418137</v>
      </c>
      <c r="D62" s="29">
        <v>73192809033</v>
      </c>
      <c r="E62" s="29">
        <v>0</v>
      </c>
      <c r="F62" s="29">
        <v>0</v>
      </c>
      <c r="G62" s="29">
        <v>0</v>
      </c>
      <c r="H62" s="29">
        <v>300000</v>
      </c>
      <c r="I62" s="29">
        <v>15847014349</v>
      </c>
      <c r="J62" s="29">
        <v>1020025</v>
      </c>
      <c r="K62" s="29">
        <v>64940</v>
      </c>
      <c r="L62" s="29">
        <v>34205286366</v>
      </c>
      <c r="M62" s="29">
        <v>65728385026</v>
      </c>
      <c r="N62" s="30">
        <v>6.3800383906337105E-3</v>
      </c>
    </row>
    <row r="63" spans="1:14" x14ac:dyDescent="0.4">
      <c r="A63" s="29" t="s">
        <v>182</v>
      </c>
      <c r="B63" s="29">
        <v>700000</v>
      </c>
      <c r="C63" s="29">
        <v>26810722731</v>
      </c>
      <c r="D63" s="29">
        <v>62228228510</v>
      </c>
      <c r="E63" s="29">
        <v>0</v>
      </c>
      <c r="F63" s="29">
        <v>0</v>
      </c>
      <c r="G63" s="29">
        <v>0</v>
      </c>
      <c r="H63" s="29">
        <v>180000</v>
      </c>
      <c r="I63" s="29">
        <v>16621788066</v>
      </c>
      <c r="J63" s="29">
        <v>520000</v>
      </c>
      <c r="K63" s="29">
        <v>88470</v>
      </c>
      <c r="L63" s="29">
        <v>19916536886</v>
      </c>
      <c r="M63" s="29">
        <v>45648785988</v>
      </c>
      <c r="N63" s="30">
        <v>4.4309776814698363E-3</v>
      </c>
    </row>
    <row r="64" spans="1:14" x14ac:dyDescent="0.4">
      <c r="A64" s="29" t="s">
        <v>220</v>
      </c>
      <c r="B64" s="29">
        <v>3496837</v>
      </c>
      <c r="C64" s="29">
        <v>21381857418</v>
      </c>
      <c r="D64" s="29">
        <v>30013825792</v>
      </c>
      <c r="E64" s="29">
        <v>0</v>
      </c>
      <c r="F64" s="29">
        <v>0</v>
      </c>
      <c r="G64" s="29">
        <v>0</v>
      </c>
      <c r="H64" s="29">
        <v>300000</v>
      </c>
      <c r="I64" s="29">
        <v>3873447567</v>
      </c>
      <c r="J64" s="29">
        <v>3196837</v>
      </c>
      <c r="K64" s="29">
        <v>12770</v>
      </c>
      <c r="L64" s="29">
        <v>19547469019</v>
      </c>
      <c r="M64" s="29">
        <v>40508041996</v>
      </c>
      <c r="N64" s="30">
        <v>3.9319825515513745E-3</v>
      </c>
    </row>
    <row r="65" spans="1:14" x14ac:dyDescent="0.4">
      <c r="A65" s="29" t="s">
        <v>108</v>
      </c>
      <c r="B65" s="29">
        <v>4929408</v>
      </c>
      <c r="C65" s="29">
        <v>24000019455</v>
      </c>
      <c r="D65" s="29">
        <v>83788031973</v>
      </c>
      <c r="E65" s="29">
        <v>0</v>
      </c>
      <c r="F65" s="29">
        <v>1300000</v>
      </c>
      <c r="G65" s="29">
        <v>21702662215</v>
      </c>
      <c r="H65" s="29">
        <v>500000</v>
      </c>
      <c r="I65" s="29">
        <v>8622826340</v>
      </c>
      <c r="J65" s="29">
        <v>5729408</v>
      </c>
      <c r="K65" s="29">
        <v>17230</v>
      </c>
      <c r="L65" s="29">
        <v>43268310296</v>
      </c>
      <c r="M65" s="29">
        <v>97954612020</v>
      </c>
      <c r="N65" s="30">
        <v>9.5081323689912497E-3</v>
      </c>
    </row>
    <row r="66" spans="1:14" x14ac:dyDescent="0.4">
      <c r="A66" s="29" t="s">
        <v>87</v>
      </c>
      <c r="B66" s="29">
        <v>2212307</v>
      </c>
      <c r="C66" s="29">
        <v>15799692452</v>
      </c>
      <c r="D66" s="29">
        <v>60390113398</v>
      </c>
      <c r="E66" s="29">
        <v>0</v>
      </c>
      <c r="F66" s="29">
        <v>0</v>
      </c>
      <c r="G66" s="29">
        <v>0</v>
      </c>
      <c r="H66" s="29">
        <v>1100000</v>
      </c>
      <c r="I66" s="29">
        <v>28414643877</v>
      </c>
      <c r="J66" s="29">
        <v>1112307</v>
      </c>
      <c r="K66" s="29">
        <v>25220</v>
      </c>
      <c r="L66" s="29">
        <v>7943792843</v>
      </c>
      <c r="M66" s="29">
        <v>27835537623</v>
      </c>
      <c r="N66" s="30">
        <v>2.7019041862723315E-3</v>
      </c>
    </row>
    <row r="67" spans="1:14" x14ac:dyDescent="0.4">
      <c r="A67" s="29" t="s">
        <v>191</v>
      </c>
      <c r="B67" s="29">
        <v>4549593</v>
      </c>
      <c r="C67" s="29">
        <v>51297273030</v>
      </c>
      <c r="D67" s="29">
        <v>72591948309</v>
      </c>
      <c r="E67" s="29">
        <v>0</v>
      </c>
      <c r="F67" s="29">
        <v>0</v>
      </c>
      <c r="G67" s="29">
        <v>0</v>
      </c>
      <c r="H67" s="29">
        <v>2341158</v>
      </c>
      <c r="I67" s="29">
        <v>36411343948</v>
      </c>
      <c r="J67" s="29">
        <v>2208435</v>
      </c>
      <c r="K67" s="29">
        <v>14620</v>
      </c>
      <c r="L67" s="29">
        <v>24900401676</v>
      </c>
      <c r="M67" s="29">
        <v>32037738719</v>
      </c>
      <c r="N67" s="30">
        <v>3.1097980407621051E-3</v>
      </c>
    </row>
    <row r="68" spans="1:14" x14ac:dyDescent="0.4">
      <c r="A68" s="29" t="s">
        <v>217</v>
      </c>
      <c r="B68" s="29">
        <v>3833693</v>
      </c>
      <c r="C68" s="29">
        <v>55321403074</v>
      </c>
      <c r="D68" s="29">
        <v>99628293506</v>
      </c>
      <c r="E68" s="29">
        <v>0</v>
      </c>
      <c r="F68" s="29">
        <v>0</v>
      </c>
      <c r="G68" s="29">
        <v>0</v>
      </c>
      <c r="H68" s="29">
        <v>2400000</v>
      </c>
      <c r="I68" s="29">
        <v>58558045926</v>
      </c>
      <c r="J68" s="29">
        <v>1433693</v>
      </c>
      <c r="K68" s="29">
        <v>23380</v>
      </c>
      <c r="L68" s="29">
        <v>20688643650</v>
      </c>
      <c r="M68" s="29">
        <v>33260634732</v>
      </c>
      <c r="N68" s="30">
        <v>3.2285005390451016E-3</v>
      </c>
    </row>
    <row r="69" spans="1:14" x14ac:dyDescent="0.4">
      <c r="A69" s="29" t="s">
        <v>314</v>
      </c>
      <c r="B69" s="29">
        <v>16854222</v>
      </c>
      <c r="C69" s="29">
        <v>30516050656</v>
      </c>
      <c r="D69" s="29">
        <v>68400909954</v>
      </c>
      <c r="E69" s="29">
        <v>0</v>
      </c>
      <c r="F69" s="29">
        <v>5700000</v>
      </c>
      <c r="G69" s="29">
        <v>26404153676</v>
      </c>
      <c r="H69" s="29">
        <v>0</v>
      </c>
      <c r="I69" s="29">
        <v>0</v>
      </c>
      <c r="J69" s="29">
        <v>22554222</v>
      </c>
      <c r="K69" s="29">
        <v>4370</v>
      </c>
      <c r="L69" s="29">
        <v>56920204332</v>
      </c>
      <c r="M69" s="29">
        <v>97800066265</v>
      </c>
      <c r="N69" s="30">
        <v>9.493131120297562E-3</v>
      </c>
    </row>
    <row r="70" spans="1:14" x14ac:dyDescent="0.4">
      <c r="A70" s="29" t="s">
        <v>127</v>
      </c>
      <c r="B70" s="29">
        <v>5920363</v>
      </c>
      <c r="C70" s="29">
        <v>37280307142</v>
      </c>
      <c r="D70" s="29">
        <v>31957816351</v>
      </c>
      <c r="E70" s="29">
        <v>0</v>
      </c>
      <c r="F70" s="29">
        <v>0</v>
      </c>
      <c r="G70" s="29">
        <v>0</v>
      </c>
      <c r="H70" s="29">
        <v>600000</v>
      </c>
      <c r="I70" s="29">
        <v>3357841694</v>
      </c>
      <c r="J70" s="29">
        <v>5320363</v>
      </c>
      <c r="K70" s="29">
        <v>5800</v>
      </c>
      <c r="L70" s="29">
        <v>33502129303</v>
      </c>
      <c r="M70" s="29">
        <v>30619572245</v>
      </c>
      <c r="N70" s="30">
        <v>2.9721412803708287E-3</v>
      </c>
    </row>
    <row r="71" spans="1:14" x14ac:dyDescent="0.4">
      <c r="A71" s="29" t="s">
        <v>279</v>
      </c>
      <c r="B71" s="29">
        <v>1725246</v>
      </c>
      <c r="C71" s="29">
        <v>22999589793</v>
      </c>
      <c r="D71" s="29">
        <v>27304962082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1725246</v>
      </c>
      <c r="K71" s="29">
        <v>17880</v>
      </c>
      <c r="L71" s="29">
        <v>22999589793</v>
      </c>
      <c r="M71" s="29">
        <v>30608948090</v>
      </c>
      <c r="N71" s="30">
        <v>2.9711100285495459E-3</v>
      </c>
    </row>
    <row r="72" spans="1:14" x14ac:dyDescent="0.4">
      <c r="A72" s="29" t="s">
        <v>136</v>
      </c>
      <c r="B72" s="29">
        <v>27820136</v>
      </c>
      <c r="C72" s="29">
        <v>56837893287</v>
      </c>
      <c r="D72" s="29">
        <v>74644153487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27820136</v>
      </c>
      <c r="K72" s="29">
        <v>3810</v>
      </c>
      <c r="L72" s="29">
        <v>56837893287</v>
      </c>
      <c r="M72" s="29">
        <v>105175378989</v>
      </c>
      <c r="N72" s="30">
        <v>1.0209028495585817E-2</v>
      </c>
    </row>
    <row r="73" spans="1:14" x14ac:dyDescent="0.4">
      <c r="A73" s="29" t="s">
        <v>143</v>
      </c>
      <c r="B73" s="29">
        <v>15378584</v>
      </c>
      <c r="C73" s="29">
        <v>31460489886</v>
      </c>
      <c r="D73" s="29">
        <v>25209036865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15378584</v>
      </c>
      <c r="K73" s="29">
        <v>1607</v>
      </c>
      <c r="L73" s="29">
        <v>31460489886</v>
      </c>
      <c r="M73" s="29">
        <v>24522350026</v>
      </c>
      <c r="N73" s="30">
        <v>2.3803039513681902E-3</v>
      </c>
    </row>
    <row r="74" spans="1:14" x14ac:dyDescent="0.4">
      <c r="A74" s="29" t="s">
        <v>122</v>
      </c>
      <c r="B74" s="29">
        <v>6769674</v>
      </c>
      <c r="C74" s="29">
        <v>24521365911</v>
      </c>
      <c r="D74" s="29">
        <v>43595565286</v>
      </c>
      <c r="E74" s="29">
        <v>0</v>
      </c>
      <c r="F74" s="29">
        <v>0</v>
      </c>
      <c r="G74" s="29">
        <v>0</v>
      </c>
      <c r="H74" s="29">
        <v>300000</v>
      </c>
      <c r="I74" s="29">
        <v>2190932165</v>
      </c>
      <c r="J74" s="29">
        <v>6469674</v>
      </c>
      <c r="K74" s="29">
        <v>8090</v>
      </c>
      <c r="L74" s="29">
        <v>23434694710</v>
      </c>
      <c r="M74" s="29">
        <v>51935077068</v>
      </c>
      <c r="N74" s="30">
        <v>5.0411673036434733E-3</v>
      </c>
    </row>
    <row r="75" spans="1:14" x14ac:dyDescent="0.4">
      <c r="A75" s="29" t="s">
        <v>281</v>
      </c>
      <c r="B75" s="29">
        <v>562500</v>
      </c>
      <c r="C75" s="29">
        <v>4931974167</v>
      </c>
      <c r="D75" s="29">
        <v>4582426894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562500</v>
      </c>
      <c r="K75" s="29">
        <v>8880</v>
      </c>
      <c r="L75" s="29">
        <v>4931974167</v>
      </c>
      <c r="M75" s="29">
        <v>4956388650</v>
      </c>
      <c r="N75" s="30">
        <v>4.8110036255101328E-4</v>
      </c>
    </row>
    <row r="76" spans="1:14" x14ac:dyDescent="0.4">
      <c r="A76" s="29" t="s">
        <v>178</v>
      </c>
      <c r="B76" s="29">
        <v>4473870</v>
      </c>
      <c r="C76" s="29">
        <v>25923917359</v>
      </c>
      <c r="D76" s="29">
        <v>38533011029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4473870</v>
      </c>
      <c r="K76" s="29">
        <v>8470</v>
      </c>
      <c r="L76" s="29">
        <v>25923917359</v>
      </c>
      <c r="M76" s="29">
        <v>37600760762</v>
      </c>
      <c r="N76" s="30">
        <v>3.6497823137400884E-3</v>
      </c>
    </row>
    <row r="77" spans="1:14" x14ac:dyDescent="0.4">
      <c r="A77" s="29" t="s">
        <v>138</v>
      </c>
      <c r="B77" s="29">
        <v>73200000</v>
      </c>
      <c r="C77" s="29">
        <v>38944002565</v>
      </c>
      <c r="D77" s="29">
        <v>46776401616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73200000</v>
      </c>
      <c r="K77" s="29">
        <v>695</v>
      </c>
      <c r="L77" s="29">
        <v>38944002565</v>
      </c>
      <c r="M77" s="29">
        <v>50480743980</v>
      </c>
      <c r="N77" s="30">
        <v>4.8999999688529028E-3</v>
      </c>
    </row>
    <row r="78" spans="1:14" x14ac:dyDescent="0.4">
      <c r="A78" s="29" t="s">
        <v>115</v>
      </c>
      <c r="B78" s="29">
        <v>11440020</v>
      </c>
      <c r="C78" s="29">
        <v>31646768610</v>
      </c>
      <c r="D78" s="29">
        <v>140305635657</v>
      </c>
      <c r="E78" s="29">
        <v>0</v>
      </c>
      <c r="F78" s="29">
        <v>0</v>
      </c>
      <c r="G78" s="29">
        <v>0</v>
      </c>
      <c r="H78" s="29">
        <v>5800000</v>
      </c>
      <c r="I78" s="29">
        <v>84070395492</v>
      </c>
      <c r="J78" s="29">
        <v>5640020</v>
      </c>
      <c r="K78" s="29">
        <v>16100</v>
      </c>
      <c r="L78" s="29">
        <v>15602106281</v>
      </c>
      <c r="M78" s="29">
        <v>90102404591</v>
      </c>
      <c r="N78" s="30">
        <v>8.7459443914770854E-3</v>
      </c>
    </row>
    <row r="79" spans="1:14" x14ac:dyDescent="0.4">
      <c r="A79" s="29" t="s">
        <v>354</v>
      </c>
      <c r="B79" s="29">
        <v>6400000</v>
      </c>
      <c r="C79" s="29">
        <v>21015837329</v>
      </c>
      <c r="D79" s="29">
        <v>24576543360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6400000</v>
      </c>
      <c r="K79" s="29">
        <v>3720</v>
      </c>
      <c r="L79" s="29">
        <v>21015837329</v>
      </c>
      <c r="M79" s="29">
        <v>23623964160</v>
      </c>
      <c r="N79" s="30">
        <v>2.2931005869098143E-3</v>
      </c>
    </row>
    <row r="80" spans="1:14" x14ac:dyDescent="0.4">
      <c r="A80" s="29" t="s">
        <v>94</v>
      </c>
      <c r="B80" s="29">
        <v>9640317</v>
      </c>
      <c r="C80" s="29">
        <v>48632387810</v>
      </c>
      <c r="D80" s="29">
        <v>50411752032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9640317</v>
      </c>
      <c r="K80" s="29">
        <v>5750</v>
      </c>
      <c r="L80" s="29">
        <v>48632387810</v>
      </c>
      <c r="M80" s="29">
        <v>55003334760</v>
      </c>
      <c r="N80" s="30">
        <v>5.3389929973612438E-3</v>
      </c>
    </row>
    <row r="81" spans="1:14" x14ac:dyDescent="0.4">
      <c r="A81" s="29" t="s">
        <v>207</v>
      </c>
      <c r="B81" s="29">
        <v>22645457</v>
      </c>
      <c r="C81" s="29">
        <v>41647533940</v>
      </c>
      <c r="D81" s="29">
        <v>64782185161</v>
      </c>
      <c r="E81" s="29">
        <v>0</v>
      </c>
      <c r="F81" s="29">
        <v>0</v>
      </c>
      <c r="G81" s="29">
        <v>0</v>
      </c>
      <c r="H81" s="29">
        <v>2700000</v>
      </c>
      <c r="I81" s="29">
        <v>9627003609</v>
      </c>
      <c r="J81" s="29">
        <v>19945457</v>
      </c>
      <c r="K81" s="29">
        <v>3540</v>
      </c>
      <c r="L81" s="29">
        <v>36681931275</v>
      </c>
      <c r="M81" s="29">
        <v>70061126306</v>
      </c>
      <c r="N81" s="30">
        <v>6.8006033519080336E-3</v>
      </c>
    </row>
    <row r="82" spans="1:14" x14ac:dyDescent="0.4">
      <c r="A82" s="29" t="s">
        <v>90</v>
      </c>
      <c r="B82" s="29">
        <v>6880920</v>
      </c>
      <c r="C82" s="29">
        <v>36641928235</v>
      </c>
      <c r="D82" s="29">
        <v>40351887186</v>
      </c>
      <c r="E82" s="29">
        <v>0</v>
      </c>
      <c r="F82" s="29">
        <v>0</v>
      </c>
      <c r="G82" s="29">
        <v>0</v>
      </c>
      <c r="H82" s="29">
        <v>2100000</v>
      </c>
      <c r="I82" s="29">
        <v>12258503665</v>
      </c>
      <c r="J82" s="29">
        <v>4780920</v>
      </c>
      <c r="K82" s="29">
        <v>6920</v>
      </c>
      <c r="L82" s="29">
        <v>25459114122</v>
      </c>
      <c r="M82" s="29">
        <v>32828227340</v>
      </c>
      <c r="N82" s="30">
        <v>3.1865281741336174E-3</v>
      </c>
    </row>
    <row r="83" spans="1:14" x14ac:dyDescent="0.4">
      <c r="A83" s="29" t="s">
        <v>292</v>
      </c>
      <c r="B83" s="29">
        <v>1237383</v>
      </c>
      <c r="C83" s="29">
        <v>9215160778</v>
      </c>
      <c r="D83" s="29">
        <v>25661396815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1237383</v>
      </c>
      <c r="K83" s="29">
        <v>29940</v>
      </c>
      <c r="L83" s="29">
        <v>9215160778</v>
      </c>
      <c r="M83" s="29">
        <v>36760871801</v>
      </c>
      <c r="N83" s="30">
        <v>3.5682570516645056E-3</v>
      </c>
    </row>
    <row r="84" spans="1:14" x14ac:dyDescent="0.4">
      <c r="A84" s="29" t="s">
        <v>232</v>
      </c>
      <c r="B84" s="29">
        <v>2360136</v>
      </c>
      <c r="C84" s="29">
        <v>36485413094</v>
      </c>
      <c r="D84" s="29">
        <v>44425694061</v>
      </c>
      <c r="E84" s="29">
        <v>0</v>
      </c>
      <c r="F84" s="29">
        <v>0</v>
      </c>
      <c r="G84" s="29">
        <v>0</v>
      </c>
      <c r="H84" s="29">
        <v>100000</v>
      </c>
      <c r="I84" s="29">
        <v>2060053862</v>
      </c>
      <c r="J84" s="29">
        <v>2260136</v>
      </c>
      <c r="K84" s="29">
        <v>20420</v>
      </c>
      <c r="L84" s="29">
        <v>34939510100</v>
      </c>
      <c r="M84" s="29">
        <v>45795222337</v>
      </c>
      <c r="N84" s="30">
        <v>4.4451917767657223E-3</v>
      </c>
    </row>
    <row r="85" spans="1:14" x14ac:dyDescent="0.4">
      <c r="A85" s="29" t="s">
        <v>205</v>
      </c>
      <c r="B85" s="29">
        <v>517391</v>
      </c>
      <c r="C85" s="29">
        <v>17064920422</v>
      </c>
      <c r="D85" s="29">
        <v>41553913479</v>
      </c>
      <c r="E85" s="29">
        <v>0</v>
      </c>
      <c r="F85" s="29">
        <v>0</v>
      </c>
      <c r="G85" s="29">
        <v>0</v>
      </c>
      <c r="H85" s="29">
        <v>90000</v>
      </c>
      <c r="I85" s="29">
        <v>6926441526</v>
      </c>
      <c r="J85" s="29">
        <v>427391</v>
      </c>
      <c r="K85" s="29">
        <v>80400</v>
      </c>
      <c r="L85" s="29">
        <v>14096482939</v>
      </c>
      <c r="M85" s="29">
        <v>34096616313</v>
      </c>
      <c r="N85" s="30">
        <v>3.3096465245813791E-3</v>
      </c>
    </row>
    <row r="86" spans="1:14" x14ac:dyDescent="0.4">
      <c r="A86" s="29" t="s">
        <v>148</v>
      </c>
      <c r="B86" s="29">
        <v>5534630</v>
      </c>
      <c r="C86" s="29">
        <v>27819071164</v>
      </c>
      <c r="D86" s="29">
        <v>36356029193</v>
      </c>
      <c r="E86" s="29">
        <v>708657</v>
      </c>
      <c r="F86" s="29">
        <v>0</v>
      </c>
      <c r="G86" s="29">
        <v>0</v>
      </c>
      <c r="H86" s="29">
        <v>2700000</v>
      </c>
      <c r="I86" s="29">
        <v>17063767900</v>
      </c>
      <c r="J86" s="29">
        <v>3543287</v>
      </c>
      <c r="K86" s="29">
        <v>5570</v>
      </c>
      <c r="L86" s="29">
        <v>12463786464</v>
      </c>
      <c r="M86" s="29">
        <v>19583548471</v>
      </c>
      <c r="N86" s="30">
        <v>1.9009107103482375E-3</v>
      </c>
    </row>
    <row r="87" spans="1:14" x14ac:dyDescent="0.4">
      <c r="A87" s="29" t="s">
        <v>395</v>
      </c>
      <c r="B87" s="29">
        <v>0</v>
      </c>
      <c r="C87" s="29">
        <v>0</v>
      </c>
      <c r="D87" s="29">
        <v>0</v>
      </c>
      <c r="E87" s="29">
        <v>708657</v>
      </c>
      <c r="F87" s="29">
        <v>0</v>
      </c>
      <c r="G87" s="29">
        <v>0</v>
      </c>
      <c r="H87" s="29">
        <v>0</v>
      </c>
      <c r="I87" s="29">
        <v>0</v>
      </c>
      <c r="J87" s="29">
        <v>708657</v>
      </c>
      <c r="K87" s="29">
        <v>4440</v>
      </c>
      <c r="L87" s="29">
        <v>1784098886</v>
      </c>
      <c r="M87" s="29">
        <v>3122115121</v>
      </c>
      <c r="N87" s="30">
        <v>3.0305345740776413E-4</v>
      </c>
    </row>
    <row r="88" spans="1:14" x14ac:dyDescent="0.4">
      <c r="A88" s="29" t="s">
        <v>304</v>
      </c>
      <c r="B88" s="29">
        <v>3250000</v>
      </c>
      <c r="C88" s="29">
        <v>3939323661</v>
      </c>
      <c r="D88" s="29">
        <v>5124330347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3250000</v>
      </c>
      <c r="K88" s="29">
        <v>1829</v>
      </c>
      <c r="L88" s="29">
        <v>3939323661</v>
      </c>
      <c r="M88" s="29">
        <v>5898300947</v>
      </c>
      <c r="N88" s="30">
        <v>5.7252869466495229E-4</v>
      </c>
    </row>
    <row r="89" spans="1:14" x14ac:dyDescent="0.4">
      <c r="A89" s="29" t="s">
        <v>100</v>
      </c>
      <c r="B89" s="29">
        <v>8725017</v>
      </c>
      <c r="C89" s="29">
        <v>45839533904</v>
      </c>
      <c r="D89" s="29">
        <v>63373431568</v>
      </c>
      <c r="E89" s="29">
        <v>0</v>
      </c>
      <c r="F89" s="29">
        <v>0</v>
      </c>
      <c r="G89" s="29">
        <v>0</v>
      </c>
      <c r="H89" s="29">
        <v>154167</v>
      </c>
      <c r="I89" s="29">
        <v>1258023232</v>
      </c>
      <c r="J89" s="29">
        <v>8570850</v>
      </c>
      <c r="K89" s="29">
        <v>8250</v>
      </c>
      <c r="L89" s="29">
        <v>45029570620</v>
      </c>
      <c r="M89" s="29">
        <v>70162927968</v>
      </c>
      <c r="N89" s="30">
        <v>6.8104849047794964E-3</v>
      </c>
    </row>
    <row r="90" spans="1:14" x14ac:dyDescent="0.4">
      <c r="A90" s="29" t="s">
        <v>291</v>
      </c>
      <c r="B90" s="29">
        <v>4024513</v>
      </c>
      <c r="C90" s="29">
        <v>20209536867</v>
      </c>
      <c r="D90" s="29">
        <v>26955473723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4024513</v>
      </c>
      <c r="K90" s="29">
        <v>7300</v>
      </c>
      <c r="L90" s="29">
        <v>20209536867</v>
      </c>
      <c r="M90" s="29">
        <v>29151845656</v>
      </c>
      <c r="N90" s="30">
        <v>2.8296738824411562E-3</v>
      </c>
    </row>
    <row r="91" spans="1:14" x14ac:dyDescent="0.4">
      <c r="A91" s="29" t="s">
        <v>72</v>
      </c>
      <c r="B91" s="29">
        <v>600000</v>
      </c>
      <c r="C91" s="29">
        <v>20429257698</v>
      </c>
      <c r="D91" s="29">
        <v>15610391640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600000</v>
      </c>
      <c r="K91" s="29">
        <v>31000</v>
      </c>
      <c r="L91" s="29">
        <v>20429257698</v>
      </c>
      <c r="M91" s="29">
        <v>18456222000</v>
      </c>
      <c r="N91" s="30">
        <v>1.7914848335232926E-3</v>
      </c>
    </row>
    <row r="92" spans="1:14" x14ac:dyDescent="0.4">
      <c r="A92" s="29" t="s">
        <v>76</v>
      </c>
      <c r="B92" s="29">
        <v>74882</v>
      </c>
      <c r="C92" s="29">
        <v>7316764475</v>
      </c>
      <c r="D92" s="29">
        <v>14392522507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74882</v>
      </c>
      <c r="K92" s="29">
        <v>213400</v>
      </c>
      <c r="L92" s="29">
        <v>7316764475</v>
      </c>
      <c r="M92" s="29">
        <v>15856294801</v>
      </c>
      <c r="N92" s="30">
        <v>1.5391184421094271E-3</v>
      </c>
    </row>
    <row r="93" spans="1:14" x14ac:dyDescent="0.4">
      <c r="A93" s="29" t="s">
        <v>126</v>
      </c>
      <c r="B93" s="29">
        <v>612681</v>
      </c>
      <c r="C93" s="29">
        <v>22539494006</v>
      </c>
      <c r="D93" s="29">
        <v>27752688148</v>
      </c>
      <c r="E93" s="29">
        <v>0</v>
      </c>
      <c r="F93" s="29">
        <v>0</v>
      </c>
      <c r="G93" s="29">
        <v>0</v>
      </c>
      <c r="H93" s="29">
        <v>90000</v>
      </c>
      <c r="I93" s="29">
        <v>4776680424</v>
      </c>
      <c r="J93" s="29">
        <v>522681</v>
      </c>
      <c r="K93" s="29">
        <v>49280</v>
      </c>
      <c r="L93" s="29">
        <v>19228546775</v>
      </c>
      <c r="M93" s="29">
        <v>25558612507</v>
      </c>
      <c r="N93" s="30">
        <v>2.4808905458651958E-3</v>
      </c>
    </row>
    <row r="94" spans="1:14" x14ac:dyDescent="0.4">
      <c r="A94" s="29" t="s">
        <v>186</v>
      </c>
      <c r="B94" s="29">
        <v>3983350</v>
      </c>
      <c r="C94" s="29">
        <v>16626478656</v>
      </c>
      <c r="D94" s="29">
        <v>21304291417</v>
      </c>
      <c r="E94" s="29">
        <v>0</v>
      </c>
      <c r="F94" s="29">
        <v>0</v>
      </c>
      <c r="G94" s="29">
        <v>0</v>
      </c>
      <c r="H94" s="29">
        <v>891278</v>
      </c>
      <c r="I94" s="29">
        <v>5077243430</v>
      </c>
      <c r="J94" s="29">
        <v>3092072</v>
      </c>
      <c r="K94" s="29">
        <v>5560</v>
      </c>
      <c r="L94" s="29">
        <v>12906289709</v>
      </c>
      <c r="M94" s="29">
        <v>17059026776</v>
      </c>
      <c r="N94" s="30">
        <v>1.6558636834706341E-3</v>
      </c>
    </row>
    <row r="95" spans="1:14" x14ac:dyDescent="0.4">
      <c r="A95" s="29" t="s">
        <v>91</v>
      </c>
      <c r="B95" s="29">
        <v>2830564</v>
      </c>
      <c r="C95" s="29">
        <v>20539903713</v>
      </c>
      <c r="D95" s="29">
        <v>33619944371</v>
      </c>
      <c r="E95" s="29">
        <v>0</v>
      </c>
      <c r="F95" s="29">
        <v>0</v>
      </c>
      <c r="G95" s="29">
        <v>0</v>
      </c>
      <c r="H95" s="29">
        <v>300000</v>
      </c>
      <c r="I95" s="29">
        <v>4652460587</v>
      </c>
      <c r="J95" s="29">
        <v>2530564</v>
      </c>
      <c r="K95" s="29">
        <v>13140</v>
      </c>
      <c r="L95" s="29">
        <v>18362962611</v>
      </c>
      <c r="M95" s="29">
        <v>32994576007</v>
      </c>
      <c r="N95" s="30">
        <v>3.2026750927178931E-3</v>
      </c>
    </row>
    <row r="96" spans="1:14" x14ac:dyDescent="0.4">
      <c r="A96" s="29" t="s">
        <v>109</v>
      </c>
      <c r="B96" s="29">
        <v>2901235</v>
      </c>
      <c r="C96" s="29">
        <v>25527274450</v>
      </c>
      <c r="D96" s="29">
        <v>32674475947</v>
      </c>
      <c r="E96" s="29">
        <v>0</v>
      </c>
      <c r="F96" s="29">
        <v>0</v>
      </c>
      <c r="G96" s="29">
        <v>0</v>
      </c>
      <c r="H96" s="29">
        <v>288274</v>
      </c>
      <c r="I96" s="29">
        <v>3652866677</v>
      </c>
      <c r="J96" s="29">
        <v>2612961</v>
      </c>
      <c r="K96" s="29">
        <v>12190</v>
      </c>
      <c r="L96" s="29">
        <v>22990820314</v>
      </c>
      <c r="M96" s="29">
        <v>31605778672</v>
      </c>
      <c r="N96" s="30">
        <v>3.0678690981600651E-3</v>
      </c>
    </row>
    <row r="97" spans="1:14" x14ac:dyDescent="0.4">
      <c r="A97" s="29" t="s">
        <v>179</v>
      </c>
      <c r="B97" s="29">
        <v>12476907</v>
      </c>
      <c r="C97" s="29">
        <v>60716366276</v>
      </c>
      <c r="D97" s="29">
        <v>67349705168</v>
      </c>
      <c r="E97" s="29">
        <v>0</v>
      </c>
      <c r="F97" s="29">
        <v>0</v>
      </c>
      <c r="G97" s="29">
        <v>0</v>
      </c>
      <c r="H97" s="29">
        <v>3095500</v>
      </c>
      <c r="I97" s="29">
        <v>18890649317</v>
      </c>
      <c r="J97" s="29">
        <v>9381407</v>
      </c>
      <c r="K97" s="29">
        <v>6000</v>
      </c>
      <c r="L97" s="29">
        <v>45652736178</v>
      </c>
      <c r="M97" s="29">
        <v>55853332343</v>
      </c>
      <c r="N97" s="30">
        <v>5.4214994701635303E-3</v>
      </c>
    </row>
    <row r="98" spans="1:14" x14ac:dyDescent="0.4">
      <c r="A98" s="29" t="s">
        <v>81</v>
      </c>
      <c r="B98" s="29">
        <v>2800000</v>
      </c>
      <c r="C98" s="29">
        <v>19839248766</v>
      </c>
      <c r="D98" s="29">
        <v>28755984600</v>
      </c>
      <c r="E98" s="29">
        <v>0</v>
      </c>
      <c r="F98" s="29">
        <v>0</v>
      </c>
      <c r="G98" s="29">
        <v>0</v>
      </c>
      <c r="H98" s="29">
        <v>500000</v>
      </c>
      <c r="I98" s="29">
        <v>5308818405</v>
      </c>
      <c r="J98" s="29">
        <v>2300000</v>
      </c>
      <c r="K98" s="29">
        <v>10650</v>
      </c>
      <c r="L98" s="29">
        <v>16296525772</v>
      </c>
      <c r="M98" s="29">
        <v>24305653650</v>
      </c>
      <c r="N98" s="30">
        <v>2.3592699460834973E-3</v>
      </c>
    </row>
    <row r="99" spans="1:14" x14ac:dyDescent="0.4">
      <c r="A99" s="29" t="s">
        <v>86</v>
      </c>
      <c r="B99" s="29">
        <v>2313758</v>
      </c>
      <c r="C99" s="29">
        <v>22595272764</v>
      </c>
      <c r="D99" s="29">
        <v>41440501344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2313758</v>
      </c>
      <c r="K99" s="29">
        <v>18600</v>
      </c>
      <c r="L99" s="29">
        <v>22595272764</v>
      </c>
      <c r="M99" s="29">
        <v>42703231302</v>
      </c>
      <c r="N99" s="30">
        <v>4.1450623654163956E-3</v>
      </c>
    </row>
    <row r="100" spans="1:14" x14ac:dyDescent="0.4">
      <c r="A100" s="29" t="s">
        <v>277</v>
      </c>
      <c r="B100" s="29">
        <v>3022885</v>
      </c>
      <c r="C100" s="29">
        <v>33899225434</v>
      </c>
      <c r="D100" s="29">
        <v>49492048633</v>
      </c>
      <c r="E100" s="29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3022885</v>
      </c>
      <c r="K100" s="29">
        <v>17960</v>
      </c>
      <c r="L100" s="29">
        <v>33899225434</v>
      </c>
      <c r="M100" s="29">
        <v>53871345057</v>
      </c>
      <c r="N100" s="30">
        <v>5.229114475926628E-3</v>
      </c>
    </row>
    <row r="101" spans="1:14" x14ac:dyDescent="0.4">
      <c r="A101" s="29" t="s">
        <v>289</v>
      </c>
      <c r="B101" s="29">
        <v>104452</v>
      </c>
      <c r="C101" s="29">
        <v>12026316222</v>
      </c>
      <c r="D101" s="29">
        <v>16697142811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104452</v>
      </c>
      <c r="K101" s="29">
        <v>160900</v>
      </c>
      <c r="L101" s="29">
        <v>12026316222</v>
      </c>
      <c r="M101" s="29">
        <v>16676413894</v>
      </c>
      <c r="N101" s="30">
        <v>1.6187247080501153E-3</v>
      </c>
    </row>
    <row r="102" spans="1:14" x14ac:dyDescent="0.4">
      <c r="A102" s="29" t="s">
        <v>135</v>
      </c>
      <c r="B102" s="29">
        <v>1910762</v>
      </c>
      <c r="C102" s="29">
        <v>17934960860</v>
      </c>
      <c r="D102" s="29">
        <v>15130014642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1910762</v>
      </c>
      <c r="K102" s="29">
        <v>7870</v>
      </c>
      <c r="L102" s="29">
        <v>17934960860</v>
      </c>
      <c r="M102" s="29">
        <v>14921455543</v>
      </c>
      <c r="N102" s="30">
        <v>1.4483766666534769E-3</v>
      </c>
    </row>
    <row r="103" spans="1:14" x14ac:dyDescent="0.4">
      <c r="A103" s="29" t="s">
        <v>258</v>
      </c>
      <c r="B103" s="29">
        <v>336344</v>
      </c>
      <c r="C103" s="29">
        <v>11436721532</v>
      </c>
      <c r="D103" s="29">
        <v>17801908207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336344</v>
      </c>
      <c r="K103" s="29">
        <v>53280</v>
      </c>
      <c r="L103" s="29">
        <v>11436721532</v>
      </c>
      <c r="M103" s="29">
        <v>17781883564</v>
      </c>
      <c r="N103" s="30">
        <v>1.7260290170102589E-3</v>
      </c>
    </row>
    <row r="104" spans="1:14" x14ac:dyDescent="0.4">
      <c r="A104" s="29" t="s">
        <v>242</v>
      </c>
      <c r="B104" s="29">
        <v>2024791</v>
      </c>
      <c r="C104" s="29">
        <v>39401508580</v>
      </c>
      <c r="D104" s="29">
        <v>57702482579</v>
      </c>
      <c r="E104" s="29">
        <v>0</v>
      </c>
      <c r="F104" s="29">
        <v>0</v>
      </c>
      <c r="G104" s="29">
        <v>0</v>
      </c>
      <c r="H104" s="29">
        <v>200000</v>
      </c>
      <c r="I104" s="29">
        <v>5156243168</v>
      </c>
      <c r="J104" s="29">
        <v>1824791</v>
      </c>
      <c r="K104" s="29">
        <v>26200</v>
      </c>
      <c r="L104" s="29">
        <v>35509599876</v>
      </c>
      <c r="M104" s="29">
        <v>47439956578</v>
      </c>
      <c r="N104" s="30">
        <v>4.604840725934623E-3</v>
      </c>
    </row>
    <row r="105" spans="1:14" x14ac:dyDescent="0.4">
      <c r="A105" s="29" t="s">
        <v>118</v>
      </c>
      <c r="B105" s="29">
        <v>1504289</v>
      </c>
      <c r="C105" s="29">
        <v>9141298952</v>
      </c>
      <c r="D105" s="29">
        <v>37674759754</v>
      </c>
      <c r="E105" s="29">
        <v>0</v>
      </c>
      <c r="F105" s="29">
        <v>0</v>
      </c>
      <c r="G105" s="29">
        <v>0</v>
      </c>
      <c r="H105" s="29">
        <v>376146</v>
      </c>
      <c r="I105" s="29">
        <v>8996006765</v>
      </c>
      <c r="J105" s="29">
        <v>1128143</v>
      </c>
      <c r="K105" s="29">
        <v>30690</v>
      </c>
      <c r="L105" s="29">
        <v>6855526048</v>
      </c>
      <c r="M105" s="29">
        <v>34355075132</v>
      </c>
      <c r="N105" s="30">
        <v>3.3347342730018761E-3</v>
      </c>
    </row>
    <row r="106" spans="1:14" x14ac:dyDescent="0.4">
      <c r="A106" s="29" t="s">
        <v>188</v>
      </c>
      <c r="B106" s="29">
        <v>362506</v>
      </c>
      <c r="C106" s="29">
        <v>16440786491</v>
      </c>
      <c r="D106" s="29">
        <v>27779926684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362506</v>
      </c>
      <c r="K106" s="29">
        <v>81460</v>
      </c>
      <c r="L106" s="29">
        <v>16440786491</v>
      </c>
      <c r="M106" s="29">
        <v>29301473879</v>
      </c>
      <c r="N106" s="30">
        <v>2.8441978024596488E-3</v>
      </c>
    </row>
    <row r="107" spans="1:14" x14ac:dyDescent="0.4">
      <c r="A107" s="29" t="s">
        <v>284</v>
      </c>
      <c r="B107" s="29">
        <v>21110</v>
      </c>
      <c r="C107" s="29">
        <v>2674296095</v>
      </c>
      <c r="D107" s="29">
        <v>2792211066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21110</v>
      </c>
      <c r="K107" s="29">
        <v>136500</v>
      </c>
      <c r="L107" s="29">
        <v>2674296095</v>
      </c>
      <c r="M107" s="29">
        <v>2859240889</v>
      </c>
      <c r="N107" s="30">
        <v>2.7753711935374185E-4</v>
      </c>
    </row>
    <row r="108" spans="1:14" x14ac:dyDescent="0.4">
      <c r="A108" s="29" t="s">
        <v>263</v>
      </c>
      <c r="B108" s="29">
        <v>6761644</v>
      </c>
      <c r="C108" s="29">
        <v>10818188004</v>
      </c>
      <c r="D108" s="29">
        <v>29722537859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6761644</v>
      </c>
      <c r="K108" s="29">
        <v>5500</v>
      </c>
      <c r="L108" s="29">
        <v>10818188004</v>
      </c>
      <c r="M108" s="29">
        <v>36901570705</v>
      </c>
      <c r="N108" s="30">
        <v>3.5819142320240261E-3</v>
      </c>
    </row>
    <row r="109" spans="1:14" x14ac:dyDescent="0.4">
      <c r="A109" s="29" t="s">
        <v>235</v>
      </c>
      <c r="B109" s="29">
        <v>460570</v>
      </c>
      <c r="C109" s="29">
        <v>18125354487</v>
      </c>
      <c r="D109" s="29">
        <v>41249703997</v>
      </c>
      <c r="E109" s="29">
        <v>0</v>
      </c>
      <c r="F109" s="29">
        <v>0</v>
      </c>
      <c r="G109" s="29">
        <v>0</v>
      </c>
      <c r="H109" s="29">
        <v>90000</v>
      </c>
      <c r="I109" s="29">
        <v>8082039168</v>
      </c>
      <c r="J109" s="29">
        <v>370570</v>
      </c>
      <c r="K109" s="29">
        <v>82980</v>
      </c>
      <c r="L109" s="29">
        <v>14583478325</v>
      </c>
      <c r="M109" s="29">
        <v>30512201884</v>
      </c>
      <c r="N109" s="30">
        <v>2.9617191921828224E-3</v>
      </c>
    </row>
    <row r="110" spans="1:14" x14ac:dyDescent="0.4">
      <c r="A110" s="29" t="s">
        <v>193</v>
      </c>
      <c r="B110" s="29">
        <v>1155746</v>
      </c>
      <c r="C110" s="29">
        <v>7943307049</v>
      </c>
      <c r="D110" s="29">
        <v>49955134354</v>
      </c>
      <c r="E110" s="29">
        <v>0</v>
      </c>
      <c r="F110" s="29">
        <v>0</v>
      </c>
      <c r="G110" s="29">
        <v>0</v>
      </c>
      <c r="H110" s="29">
        <v>90000</v>
      </c>
      <c r="I110" s="29">
        <v>3883367676</v>
      </c>
      <c r="J110" s="29">
        <v>1065746</v>
      </c>
      <c r="K110" s="29">
        <v>42810</v>
      </c>
      <c r="L110" s="29">
        <v>7324747578</v>
      </c>
      <c r="M110" s="29">
        <v>45271908208</v>
      </c>
      <c r="N110" s="30">
        <v>4.3943953935583714E-3</v>
      </c>
    </row>
    <row r="111" spans="1:14" x14ac:dyDescent="0.4">
      <c r="A111" s="29" t="s">
        <v>158</v>
      </c>
      <c r="B111" s="29">
        <v>3019851</v>
      </c>
      <c r="C111" s="29">
        <v>5526073732</v>
      </c>
      <c r="D111" s="29">
        <v>22533736789</v>
      </c>
      <c r="E111" s="29">
        <v>0</v>
      </c>
      <c r="F111" s="29">
        <v>0</v>
      </c>
      <c r="G111" s="29">
        <v>0</v>
      </c>
      <c r="H111" s="29">
        <v>300000</v>
      </c>
      <c r="I111" s="29">
        <v>2235584356</v>
      </c>
      <c r="J111" s="29">
        <v>2719851</v>
      </c>
      <c r="K111" s="29">
        <v>8840</v>
      </c>
      <c r="L111" s="29">
        <v>4977098925</v>
      </c>
      <c r="M111" s="29">
        <v>23857626718</v>
      </c>
      <c r="N111" s="30">
        <v>2.3157814437406036E-3</v>
      </c>
    </row>
    <row r="112" spans="1:14" x14ac:dyDescent="0.4">
      <c r="A112" s="29" t="s">
        <v>285</v>
      </c>
      <c r="B112" s="29">
        <v>5463965</v>
      </c>
      <c r="C112" s="29">
        <v>37079341017</v>
      </c>
      <c r="D112" s="29">
        <v>43644914832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5463965</v>
      </c>
      <c r="K112" s="29">
        <v>10650</v>
      </c>
      <c r="L112" s="29">
        <v>37079341017</v>
      </c>
      <c r="M112" s="29">
        <v>57741409063</v>
      </c>
      <c r="N112" s="30">
        <v>5.6047688742923065E-3</v>
      </c>
    </row>
    <row r="113" spans="1:14" x14ac:dyDescent="0.4">
      <c r="A113" s="29" t="s">
        <v>181</v>
      </c>
      <c r="B113" s="29">
        <v>1377107</v>
      </c>
      <c r="C113" s="29">
        <v>22261657477</v>
      </c>
      <c r="D113" s="29">
        <v>44970263199</v>
      </c>
      <c r="E113" s="29">
        <v>0</v>
      </c>
      <c r="F113" s="29">
        <v>0</v>
      </c>
      <c r="G113" s="29">
        <v>0</v>
      </c>
      <c r="H113" s="29">
        <v>180000</v>
      </c>
      <c r="I113" s="29">
        <v>5614544310</v>
      </c>
      <c r="J113" s="29">
        <v>1197107</v>
      </c>
      <c r="K113" s="29">
        <v>30250</v>
      </c>
      <c r="L113" s="29">
        <v>19351862998</v>
      </c>
      <c r="M113" s="29">
        <v>35932564227</v>
      </c>
      <c r="N113" s="30">
        <v>3.4878559567755587E-3</v>
      </c>
    </row>
    <row r="114" spans="1:14" x14ac:dyDescent="0.4">
      <c r="A114" s="29" t="s">
        <v>192</v>
      </c>
      <c r="B114" s="29">
        <v>3443025</v>
      </c>
      <c r="C114" s="29">
        <v>40890795744</v>
      </c>
      <c r="D114" s="29">
        <v>68054895502</v>
      </c>
      <c r="E114" s="29">
        <v>0</v>
      </c>
      <c r="F114" s="29">
        <v>0</v>
      </c>
      <c r="G114" s="29">
        <v>0</v>
      </c>
      <c r="H114" s="29">
        <v>800000</v>
      </c>
      <c r="I114" s="29">
        <v>17126919847</v>
      </c>
      <c r="J114" s="29">
        <v>2643025</v>
      </c>
      <c r="K114" s="29">
        <v>22750</v>
      </c>
      <c r="L114" s="29">
        <v>31389663282</v>
      </c>
      <c r="M114" s="29">
        <v>59664022981</v>
      </c>
      <c r="N114" s="30">
        <v>5.7913906907625344E-3</v>
      </c>
    </row>
    <row r="115" spans="1:14" x14ac:dyDescent="0.4">
      <c r="A115" s="29" t="s">
        <v>147</v>
      </c>
      <c r="B115" s="29">
        <v>19085402</v>
      </c>
      <c r="C115" s="29">
        <v>41625674716</v>
      </c>
      <c r="D115" s="29">
        <v>92227435873</v>
      </c>
      <c r="E115" s="29">
        <v>0</v>
      </c>
      <c r="F115" s="29">
        <v>0</v>
      </c>
      <c r="G115" s="29">
        <v>0</v>
      </c>
      <c r="H115" s="29">
        <v>1200000</v>
      </c>
      <c r="I115" s="29">
        <v>6533514319</v>
      </c>
      <c r="J115" s="29">
        <v>17885402</v>
      </c>
      <c r="K115" s="29">
        <v>5370</v>
      </c>
      <c r="L115" s="29">
        <v>39008448752</v>
      </c>
      <c r="M115" s="29">
        <v>95302183914</v>
      </c>
      <c r="N115" s="30">
        <v>9.2506698870212165E-3</v>
      </c>
    </row>
    <row r="116" spans="1:14" x14ac:dyDescent="0.4">
      <c r="A116" s="29" t="s">
        <v>146</v>
      </c>
      <c r="B116" s="29">
        <v>1855696</v>
      </c>
      <c r="C116" s="29">
        <v>65551534916</v>
      </c>
      <c r="D116" s="29">
        <v>88384870556</v>
      </c>
      <c r="E116" s="29">
        <v>0</v>
      </c>
      <c r="F116" s="29">
        <v>0</v>
      </c>
      <c r="G116" s="29">
        <v>0</v>
      </c>
      <c r="H116" s="29">
        <v>510000</v>
      </c>
      <c r="I116" s="29">
        <v>24610181504</v>
      </c>
      <c r="J116" s="29">
        <v>1345696</v>
      </c>
      <c r="K116" s="29">
        <v>54630</v>
      </c>
      <c r="L116" s="29">
        <v>47536039486</v>
      </c>
      <c r="M116" s="29">
        <v>72947098651</v>
      </c>
      <c r="N116" s="30">
        <v>7.0807352058722493E-3</v>
      </c>
    </row>
    <row r="117" spans="1:14" x14ac:dyDescent="0.4">
      <c r="A117" s="29" t="s">
        <v>145</v>
      </c>
      <c r="B117" s="29">
        <v>5100000</v>
      </c>
      <c r="C117" s="29">
        <v>40196162322</v>
      </c>
      <c r="D117" s="29">
        <v>56223010470</v>
      </c>
      <c r="E117" s="29">
        <v>0</v>
      </c>
      <c r="F117" s="29">
        <v>0</v>
      </c>
      <c r="G117" s="29">
        <v>0</v>
      </c>
      <c r="H117" s="29">
        <v>1900000</v>
      </c>
      <c r="I117" s="29">
        <v>21226639970</v>
      </c>
      <c r="J117" s="29">
        <v>3200000</v>
      </c>
      <c r="K117" s="29">
        <v>10700</v>
      </c>
      <c r="L117" s="29">
        <v>25221121457</v>
      </c>
      <c r="M117" s="29">
        <v>33975324800</v>
      </c>
      <c r="N117" s="30">
        <v>3.2978731559052442E-3</v>
      </c>
    </row>
    <row r="118" spans="1:14" x14ac:dyDescent="0.4">
      <c r="A118" s="29" t="s">
        <v>92</v>
      </c>
      <c r="B118" s="29">
        <v>20996869</v>
      </c>
      <c r="C118" s="29">
        <v>53363156072</v>
      </c>
      <c r="D118" s="29">
        <v>94380571308</v>
      </c>
      <c r="E118" s="29">
        <v>0</v>
      </c>
      <c r="F118" s="29">
        <v>0</v>
      </c>
      <c r="G118" s="29">
        <v>0</v>
      </c>
      <c r="H118" s="29">
        <v>2100000</v>
      </c>
      <c r="I118" s="29">
        <v>9668678942</v>
      </c>
      <c r="J118" s="29">
        <v>18896869</v>
      </c>
      <c r="K118" s="29">
        <v>4720</v>
      </c>
      <c r="L118" s="29">
        <v>48026044727</v>
      </c>
      <c r="M118" s="29">
        <v>88503758076</v>
      </c>
      <c r="N118" s="30">
        <v>8.5907690264545276E-3</v>
      </c>
    </row>
    <row r="119" spans="1:14" x14ac:dyDescent="0.4">
      <c r="A119" s="29" t="s">
        <v>266</v>
      </c>
      <c r="B119" s="29">
        <v>0</v>
      </c>
      <c r="C119" s="29">
        <v>0</v>
      </c>
      <c r="D119" s="29">
        <v>0</v>
      </c>
      <c r="E119" s="29">
        <v>0</v>
      </c>
      <c r="F119" s="29">
        <v>1000000</v>
      </c>
      <c r="G119" s="29">
        <v>9725646795</v>
      </c>
      <c r="H119" s="29">
        <v>0</v>
      </c>
      <c r="I119" s="29">
        <v>0</v>
      </c>
      <c r="J119" s="29">
        <v>1000000</v>
      </c>
      <c r="K119" s="29">
        <v>11380</v>
      </c>
      <c r="L119" s="29">
        <v>9725646795</v>
      </c>
      <c r="M119" s="29">
        <v>11292032600</v>
      </c>
      <c r="N119" s="30">
        <v>1.096080505671778E-3</v>
      </c>
    </row>
    <row r="120" spans="1:14" x14ac:dyDescent="0.4">
      <c r="A120" s="29" t="s">
        <v>150</v>
      </c>
      <c r="B120" s="29">
        <v>12900000</v>
      </c>
      <c r="C120" s="29">
        <v>59018647822</v>
      </c>
      <c r="D120" s="29">
        <v>110594445120</v>
      </c>
      <c r="E120" s="29">
        <v>0</v>
      </c>
      <c r="F120" s="29">
        <v>0</v>
      </c>
      <c r="G120" s="29">
        <v>0</v>
      </c>
      <c r="H120" s="29">
        <v>4200000</v>
      </c>
      <c r="I120" s="29">
        <v>40322793684</v>
      </c>
      <c r="J120" s="29">
        <v>8700000</v>
      </c>
      <c r="K120" s="29">
        <v>9980</v>
      </c>
      <c r="L120" s="29">
        <v>39803274111</v>
      </c>
      <c r="M120" s="29">
        <v>86154835020</v>
      </c>
      <c r="N120" s="30">
        <v>8.3627667825534081E-3</v>
      </c>
    </row>
    <row r="121" spans="1:14" x14ac:dyDescent="0.4">
      <c r="A121" s="29" t="s">
        <v>254</v>
      </c>
      <c r="B121" s="29">
        <v>1875000</v>
      </c>
      <c r="C121" s="29">
        <v>5911612875</v>
      </c>
      <c r="D121" s="29">
        <v>11181642562</v>
      </c>
      <c r="E121" s="29">
        <v>0</v>
      </c>
      <c r="F121" s="29">
        <v>0</v>
      </c>
      <c r="G121" s="29">
        <v>0</v>
      </c>
      <c r="H121" s="29">
        <v>0</v>
      </c>
      <c r="I121" s="29">
        <v>0</v>
      </c>
      <c r="J121" s="29">
        <v>1875000</v>
      </c>
      <c r="K121" s="29">
        <v>6070</v>
      </c>
      <c r="L121" s="29">
        <v>5911612875</v>
      </c>
      <c r="M121" s="29">
        <v>11293272937</v>
      </c>
      <c r="N121" s="30">
        <v>1.0962009011093684E-3</v>
      </c>
    </row>
    <row r="122" spans="1:14" x14ac:dyDescent="0.4">
      <c r="A122" s="29" t="s">
        <v>264</v>
      </c>
      <c r="B122" s="29">
        <v>23792</v>
      </c>
      <c r="C122" s="29">
        <v>1265552380</v>
      </c>
      <c r="D122" s="29">
        <v>4173909930</v>
      </c>
      <c r="E122" s="29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23792</v>
      </c>
      <c r="K122" s="29">
        <v>181800</v>
      </c>
      <c r="L122" s="29">
        <v>1265552380</v>
      </c>
      <c r="M122" s="29">
        <v>4291950369</v>
      </c>
      <c r="N122" s="30">
        <v>4.1660552155788977E-4</v>
      </c>
    </row>
    <row r="123" spans="1:14" x14ac:dyDescent="0.4">
      <c r="A123" s="29" t="s">
        <v>98</v>
      </c>
      <c r="B123" s="29">
        <v>2843421</v>
      </c>
      <c r="C123" s="29">
        <v>42953943314</v>
      </c>
      <c r="D123" s="29">
        <v>51519519155</v>
      </c>
      <c r="E123" s="29">
        <v>0</v>
      </c>
      <c r="F123" s="29">
        <v>0</v>
      </c>
      <c r="G123" s="29">
        <v>0</v>
      </c>
      <c r="H123" s="29">
        <v>700000</v>
      </c>
      <c r="I123" s="29">
        <v>14463017634</v>
      </c>
      <c r="J123" s="29">
        <v>2143421</v>
      </c>
      <c r="K123" s="29">
        <v>23700</v>
      </c>
      <c r="L123" s="29">
        <v>32379441571</v>
      </c>
      <c r="M123" s="29">
        <v>50406400829</v>
      </c>
      <c r="N123" s="30">
        <v>4.8927837234320993E-3</v>
      </c>
    </row>
    <row r="124" spans="1:14" x14ac:dyDescent="0.4">
      <c r="A124" s="29" t="s">
        <v>243</v>
      </c>
      <c r="B124" s="29">
        <v>3333986</v>
      </c>
      <c r="C124" s="29">
        <v>12560039091</v>
      </c>
      <c r="D124" s="29">
        <v>68347707195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3333986</v>
      </c>
      <c r="K124" s="29">
        <v>24500</v>
      </c>
      <c r="L124" s="29">
        <v>12560039091</v>
      </c>
      <c r="M124" s="29">
        <v>81051250061</v>
      </c>
      <c r="N124" s="30">
        <v>7.8673785578860806E-3</v>
      </c>
    </row>
    <row r="125" spans="1:14" x14ac:dyDescent="0.4">
      <c r="A125" s="29" t="s">
        <v>231</v>
      </c>
      <c r="B125" s="29">
        <v>17048096</v>
      </c>
      <c r="C125" s="29">
        <v>59215444393</v>
      </c>
      <c r="D125" s="29">
        <v>89656465355</v>
      </c>
      <c r="E125" s="29">
        <v>0</v>
      </c>
      <c r="F125" s="29">
        <v>0</v>
      </c>
      <c r="G125" s="29">
        <v>0</v>
      </c>
      <c r="H125" s="29">
        <v>5894893</v>
      </c>
      <c r="I125" s="29">
        <v>34931024702</v>
      </c>
      <c r="J125" s="29">
        <v>11153203</v>
      </c>
      <c r="K125" s="29">
        <v>6530</v>
      </c>
      <c r="L125" s="29">
        <v>38739919816</v>
      </c>
      <c r="M125" s="29">
        <v>72267436477</v>
      </c>
      <c r="N125" s="30">
        <v>7.0147626316021481E-3</v>
      </c>
    </row>
    <row r="126" spans="1:14" x14ac:dyDescent="0.4">
      <c r="A126" s="29" t="s">
        <v>103</v>
      </c>
      <c r="B126" s="29">
        <v>6153452</v>
      </c>
      <c r="C126" s="29">
        <v>42118574306</v>
      </c>
      <c r="D126" s="29">
        <v>39382963513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6153452</v>
      </c>
      <c r="K126" s="29">
        <v>7270</v>
      </c>
      <c r="L126" s="29">
        <v>42118574306</v>
      </c>
      <c r="M126" s="29">
        <v>44389789883</v>
      </c>
      <c r="N126" s="30">
        <v>4.3087710658595351E-3</v>
      </c>
    </row>
    <row r="127" spans="1:14" x14ac:dyDescent="0.4">
      <c r="A127" s="29" t="s">
        <v>121</v>
      </c>
      <c r="B127" s="29">
        <v>6157463</v>
      </c>
      <c r="C127" s="29">
        <v>15675856896</v>
      </c>
      <c r="D127" s="29">
        <v>83338569662</v>
      </c>
      <c r="E127" s="29">
        <v>0</v>
      </c>
      <c r="F127" s="29">
        <v>0</v>
      </c>
      <c r="G127" s="29">
        <v>0</v>
      </c>
      <c r="H127" s="29">
        <v>700000</v>
      </c>
      <c r="I127" s="29">
        <v>12250230423</v>
      </c>
      <c r="J127" s="29">
        <v>5457463</v>
      </c>
      <c r="K127" s="29">
        <v>17760</v>
      </c>
      <c r="L127" s="29">
        <v>13893775570</v>
      </c>
      <c r="M127" s="29">
        <v>96175316164</v>
      </c>
      <c r="N127" s="30">
        <v>9.335421965942628E-3</v>
      </c>
    </row>
    <row r="128" spans="1:14" x14ac:dyDescent="0.4">
      <c r="A128" s="29" t="s">
        <v>201</v>
      </c>
      <c r="B128" s="29">
        <v>22239055</v>
      </c>
      <c r="C128" s="29">
        <v>50965812183</v>
      </c>
      <c r="D128" s="29">
        <v>88709931361</v>
      </c>
      <c r="E128" s="29">
        <v>0</v>
      </c>
      <c r="F128" s="29">
        <v>0</v>
      </c>
      <c r="G128" s="29">
        <v>0</v>
      </c>
      <c r="H128" s="29">
        <v>1994515</v>
      </c>
      <c r="I128" s="29">
        <v>8334684950</v>
      </c>
      <c r="J128" s="29">
        <v>20244540</v>
      </c>
      <c r="K128" s="29">
        <v>4790</v>
      </c>
      <c r="L128" s="29">
        <v>46394931051</v>
      </c>
      <c r="M128" s="29">
        <v>96221758091</v>
      </c>
      <c r="N128" s="30">
        <v>9.3399299312163491E-3</v>
      </c>
    </row>
    <row r="129" spans="1:14" x14ac:dyDescent="0.4">
      <c r="A129" s="29" t="s">
        <v>152</v>
      </c>
      <c r="B129" s="29">
        <v>6494761</v>
      </c>
      <c r="C129" s="29">
        <v>17485089878</v>
      </c>
      <c r="D129" s="29">
        <v>36605080906</v>
      </c>
      <c r="E129" s="29">
        <v>0</v>
      </c>
      <c r="F129" s="29">
        <v>0</v>
      </c>
      <c r="G129" s="29">
        <v>0</v>
      </c>
      <c r="H129" s="29">
        <v>172991</v>
      </c>
      <c r="I129" s="29">
        <v>1029922684</v>
      </c>
      <c r="J129" s="29">
        <v>6321770</v>
      </c>
      <c r="K129" s="29">
        <v>8200</v>
      </c>
      <c r="L129" s="29">
        <v>17019366323</v>
      </c>
      <c r="M129" s="29">
        <v>51437802287</v>
      </c>
      <c r="N129" s="30">
        <v>4.9928984743968854E-3</v>
      </c>
    </row>
    <row r="130" spans="1:14" x14ac:dyDescent="0.4">
      <c r="A130" s="29" t="s">
        <v>274</v>
      </c>
      <c r="B130" s="29">
        <v>0</v>
      </c>
      <c r="C130" s="29">
        <v>0</v>
      </c>
      <c r="D130" s="29">
        <v>0</v>
      </c>
      <c r="E130" s="29">
        <v>0</v>
      </c>
      <c r="F130" s="29">
        <v>937500</v>
      </c>
      <c r="G130" s="29">
        <v>21119442555</v>
      </c>
      <c r="H130" s="29">
        <v>0</v>
      </c>
      <c r="I130" s="29">
        <v>0</v>
      </c>
      <c r="J130" s="29">
        <v>937500</v>
      </c>
      <c r="K130" s="29">
        <v>26350</v>
      </c>
      <c r="L130" s="29">
        <v>21119442555</v>
      </c>
      <c r="M130" s="29">
        <v>24512169844</v>
      </c>
      <c r="N130" s="30">
        <v>2.3793157945473896E-3</v>
      </c>
    </row>
    <row r="131" spans="1:14" x14ac:dyDescent="0.4">
      <c r="A131" s="29" t="s">
        <v>177</v>
      </c>
      <c r="B131" s="29">
        <v>5612182</v>
      </c>
      <c r="C131" s="29">
        <v>17491338187</v>
      </c>
      <c r="D131" s="29">
        <v>26229047214</v>
      </c>
      <c r="E131" s="29">
        <v>0</v>
      </c>
      <c r="F131" s="29">
        <v>0</v>
      </c>
      <c r="G131" s="29">
        <v>0</v>
      </c>
      <c r="H131" s="29">
        <v>0</v>
      </c>
      <c r="I131" s="29">
        <v>0</v>
      </c>
      <c r="J131" s="29">
        <v>5612182</v>
      </c>
      <c r="K131" s="29">
        <v>5960</v>
      </c>
      <c r="L131" s="29">
        <v>17491338187</v>
      </c>
      <c r="M131" s="29">
        <v>33190047006</v>
      </c>
      <c r="N131" s="30">
        <v>3.2216488203909862E-3</v>
      </c>
    </row>
    <row r="132" spans="1:14" x14ac:dyDescent="0.4">
      <c r="A132" s="29" t="s">
        <v>197</v>
      </c>
      <c r="B132" s="29">
        <v>8119663</v>
      </c>
      <c r="C132" s="29">
        <v>20959044437</v>
      </c>
      <c r="D132" s="29">
        <v>36981161843</v>
      </c>
      <c r="E132" s="29">
        <v>11572337</v>
      </c>
      <c r="F132" s="29">
        <v>1</v>
      </c>
      <c r="G132" s="29">
        <v>1</v>
      </c>
      <c r="H132" s="29">
        <v>300000</v>
      </c>
      <c r="I132" s="29">
        <v>1294890917</v>
      </c>
      <c r="J132" s="29">
        <v>19392001</v>
      </c>
      <c r="K132" s="29">
        <v>2460</v>
      </c>
      <c r="L132" s="29">
        <v>20184663367</v>
      </c>
      <c r="M132" s="29">
        <v>47335568047</v>
      </c>
      <c r="N132" s="30">
        <v>4.5947080741882218E-3</v>
      </c>
    </row>
    <row r="133" spans="1:14" x14ac:dyDescent="0.4">
      <c r="A133" s="29" t="s">
        <v>194</v>
      </c>
      <c r="B133" s="29">
        <v>4138313</v>
      </c>
      <c r="C133" s="29">
        <v>64520148702</v>
      </c>
      <c r="D133" s="29">
        <v>58268735297</v>
      </c>
      <c r="E133" s="29">
        <v>0</v>
      </c>
      <c r="F133" s="29">
        <v>0</v>
      </c>
      <c r="G133" s="29">
        <v>0</v>
      </c>
      <c r="H133" s="29">
        <v>800000</v>
      </c>
      <c r="I133" s="29">
        <v>11724662383</v>
      </c>
      <c r="J133" s="29">
        <v>3338313</v>
      </c>
      <c r="K133" s="29">
        <v>15540</v>
      </c>
      <c r="L133" s="29">
        <v>52047404624</v>
      </c>
      <c r="M133" s="29">
        <v>51476371842</v>
      </c>
      <c r="N133" s="30">
        <v>4.9966422943844343E-3</v>
      </c>
    </row>
    <row r="134" spans="1:14" x14ac:dyDescent="0.4">
      <c r="A134" s="29" t="s">
        <v>119</v>
      </c>
      <c r="B134" s="29">
        <v>7043843</v>
      </c>
      <c r="C134" s="29">
        <v>17962732742</v>
      </c>
      <c r="D134" s="29">
        <v>56264622454</v>
      </c>
      <c r="E134" s="29">
        <v>0</v>
      </c>
      <c r="F134" s="29">
        <v>0</v>
      </c>
      <c r="G134" s="29">
        <v>0</v>
      </c>
      <c r="H134" s="29">
        <v>1167565</v>
      </c>
      <c r="I134" s="29">
        <v>10366334497</v>
      </c>
      <c r="J134" s="29">
        <v>5876278</v>
      </c>
      <c r="K134" s="29">
        <v>8680</v>
      </c>
      <c r="L134" s="29">
        <v>14985287326</v>
      </c>
      <c r="M134" s="29">
        <v>50611815941</v>
      </c>
      <c r="N134" s="30">
        <v>4.9127226934837431E-3</v>
      </c>
    </row>
    <row r="135" spans="1:14" x14ac:dyDescent="0.4">
      <c r="A135" s="29" t="s">
        <v>310</v>
      </c>
      <c r="B135" s="29">
        <v>3904663</v>
      </c>
      <c r="C135" s="29">
        <v>9704409400</v>
      </c>
      <c r="D135" s="29">
        <v>41379445920</v>
      </c>
      <c r="E135" s="29">
        <v>0</v>
      </c>
      <c r="F135" s="29">
        <v>0</v>
      </c>
      <c r="G135" s="29">
        <v>0</v>
      </c>
      <c r="H135" s="29">
        <v>0</v>
      </c>
      <c r="I135" s="29">
        <v>0</v>
      </c>
      <c r="J135" s="29">
        <v>3904663</v>
      </c>
      <c r="K135" s="29">
        <v>13650</v>
      </c>
      <c r="L135" s="29">
        <v>9704409400</v>
      </c>
      <c r="M135" s="29">
        <v>52886651386</v>
      </c>
      <c r="N135" s="30">
        <v>5.1335334963923075E-3</v>
      </c>
    </row>
    <row r="136" spans="1:14" x14ac:dyDescent="0.4">
      <c r="A136" s="29" t="s">
        <v>372</v>
      </c>
      <c r="B136" s="29">
        <v>1200163</v>
      </c>
      <c r="C136" s="29">
        <v>16198919272</v>
      </c>
      <c r="D136" s="29">
        <v>6597507000</v>
      </c>
      <c r="E136" s="29">
        <v>0</v>
      </c>
      <c r="F136" s="29">
        <v>0</v>
      </c>
      <c r="G136" s="29">
        <v>0</v>
      </c>
      <c r="H136" s="29">
        <v>0</v>
      </c>
      <c r="I136" s="29">
        <v>0</v>
      </c>
      <c r="J136" s="29">
        <v>1200163</v>
      </c>
      <c r="K136" s="29">
        <v>10700</v>
      </c>
      <c r="L136" s="29">
        <v>16198919272</v>
      </c>
      <c r="M136" s="29">
        <v>12742477418</v>
      </c>
      <c r="N136" s="30">
        <v>1.2368704188679594E-3</v>
      </c>
    </row>
    <row r="137" spans="1:14" x14ac:dyDescent="0.4">
      <c r="A137" s="29" t="s">
        <v>202</v>
      </c>
      <c r="B137" s="29">
        <v>4795060</v>
      </c>
      <c r="C137" s="29">
        <v>58011251564</v>
      </c>
      <c r="D137" s="29">
        <v>80838321224</v>
      </c>
      <c r="E137" s="29">
        <v>0</v>
      </c>
      <c r="F137" s="29">
        <v>0</v>
      </c>
      <c r="G137" s="29">
        <v>0</v>
      </c>
      <c r="H137" s="29">
        <v>1300000</v>
      </c>
      <c r="I137" s="29">
        <v>23183396383</v>
      </c>
      <c r="J137" s="29">
        <v>3495060</v>
      </c>
      <c r="K137" s="29">
        <v>19090</v>
      </c>
      <c r="L137" s="29">
        <v>42283684644</v>
      </c>
      <c r="M137" s="29">
        <v>66204944425</v>
      </c>
      <c r="N137" s="30">
        <v>6.4262964458078132E-3</v>
      </c>
    </row>
    <row r="138" spans="1:14" x14ac:dyDescent="0.4">
      <c r="A138" s="29" t="s">
        <v>164</v>
      </c>
      <c r="B138" s="29">
        <v>174021</v>
      </c>
      <c r="C138" s="29">
        <v>4444248694</v>
      </c>
      <c r="D138" s="29">
        <v>12456833487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174021</v>
      </c>
      <c r="K138" s="29">
        <v>69380</v>
      </c>
      <c r="L138" s="29">
        <v>4444248694</v>
      </c>
      <c r="M138" s="29">
        <v>11980248230</v>
      </c>
      <c r="N138" s="30">
        <v>1.1628833358143E-3</v>
      </c>
    </row>
    <row r="139" spans="1:14" x14ac:dyDescent="0.4">
      <c r="A139" s="29" t="s">
        <v>85</v>
      </c>
      <c r="B139" s="29">
        <v>4967900</v>
      </c>
      <c r="C139" s="29">
        <v>27318914165</v>
      </c>
      <c r="D139" s="29">
        <v>27900959433</v>
      </c>
      <c r="E139" s="29">
        <v>0</v>
      </c>
      <c r="F139" s="29">
        <v>0</v>
      </c>
      <c r="G139" s="29">
        <v>0</v>
      </c>
      <c r="H139" s="29">
        <v>600000</v>
      </c>
      <c r="I139" s="29">
        <v>4217543268</v>
      </c>
      <c r="J139" s="29">
        <v>4367900</v>
      </c>
      <c r="K139" s="29">
        <v>7270</v>
      </c>
      <c r="L139" s="29">
        <v>24019461982</v>
      </c>
      <c r="M139" s="29">
        <v>31509169687</v>
      </c>
      <c r="N139" s="30">
        <v>3.0584915813849861E-3</v>
      </c>
    </row>
    <row r="140" spans="1:14" x14ac:dyDescent="0.4">
      <c r="A140" s="29" t="s">
        <v>79</v>
      </c>
      <c r="B140" s="29">
        <v>25021276</v>
      </c>
      <c r="C140" s="29">
        <v>39331346955</v>
      </c>
      <c r="D140" s="29">
        <v>44963257243</v>
      </c>
      <c r="E140" s="29">
        <v>0</v>
      </c>
      <c r="F140" s="29">
        <v>0</v>
      </c>
      <c r="G140" s="29">
        <v>0</v>
      </c>
      <c r="H140" s="29">
        <v>1000000</v>
      </c>
      <c r="I140" s="29">
        <v>1815182111</v>
      </c>
      <c r="J140" s="29">
        <v>24021276</v>
      </c>
      <c r="K140" s="29">
        <v>2062</v>
      </c>
      <c r="L140" s="29">
        <v>37759430840</v>
      </c>
      <c r="M140" s="29">
        <v>49148989748</v>
      </c>
      <c r="N140" s="30">
        <v>4.770730960894044E-3</v>
      </c>
    </row>
    <row r="141" spans="1:14" x14ac:dyDescent="0.4">
      <c r="A141" s="29" t="s">
        <v>172</v>
      </c>
      <c r="B141" s="29">
        <v>9515801</v>
      </c>
      <c r="C141" s="29">
        <v>33634773041</v>
      </c>
      <c r="D141" s="29">
        <v>48627555870</v>
      </c>
      <c r="E141" s="29">
        <v>0</v>
      </c>
      <c r="F141" s="29">
        <v>0</v>
      </c>
      <c r="G141" s="29">
        <v>0</v>
      </c>
      <c r="H141" s="29">
        <v>600000</v>
      </c>
      <c r="I141" s="29">
        <v>3840188114</v>
      </c>
      <c r="J141" s="29">
        <v>8915801</v>
      </c>
      <c r="K141" s="29">
        <v>6190</v>
      </c>
      <c r="L141" s="29">
        <v>31513998991</v>
      </c>
      <c r="M141" s="29">
        <v>54762198703</v>
      </c>
      <c r="N141" s="30">
        <v>5.3155867125359363E-3</v>
      </c>
    </row>
    <row r="142" spans="1:14" x14ac:dyDescent="0.4">
      <c r="A142" s="29" t="s">
        <v>134</v>
      </c>
      <c r="B142" s="29">
        <v>5667758</v>
      </c>
      <c r="C142" s="29">
        <v>51504231678</v>
      </c>
      <c r="D142" s="29">
        <v>71705314441</v>
      </c>
      <c r="E142" s="29">
        <v>0</v>
      </c>
      <c r="F142" s="29">
        <v>0</v>
      </c>
      <c r="G142" s="29">
        <v>0</v>
      </c>
      <c r="H142" s="29">
        <v>900000</v>
      </c>
      <c r="I142" s="29">
        <v>12198967456</v>
      </c>
      <c r="J142" s="29">
        <v>4767758</v>
      </c>
      <c r="K142" s="29">
        <v>14560</v>
      </c>
      <c r="L142" s="29">
        <v>34145256554</v>
      </c>
      <c r="M142" s="29">
        <v>68881951038</v>
      </c>
      <c r="N142" s="30">
        <v>6.6861446827021819E-3</v>
      </c>
    </row>
    <row r="143" spans="1:14" x14ac:dyDescent="0.4">
      <c r="A143" s="29" t="s">
        <v>397</v>
      </c>
      <c r="B143" s="29">
        <v>0</v>
      </c>
      <c r="C143" s="29">
        <v>0</v>
      </c>
      <c r="D143" s="29">
        <v>0</v>
      </c>
      <c r="E143" s="29">
        <v>1771174</v>
      </c>
      <c r="F143" s="29">
        <v>0</v>
      </c>
      <c r="G143" s="29">
        <v>0</v>
      </c>
      <c r="H143" s="29">
        <v>0</v>
      </c>
      <c r="I143" s="29">
        <v>0</v>
      </c>
      <c r="J143" s="29">
        <v>1771174</v>
      </c>
      <c r="K143" s="29">
        <v>13000</v>
      </c>
      <c r="L143" s="29">
        <v>10913444353</v>
      </c>
      <c r="M143" s="29">
        <v>22847276725</v>
      </c>
      <c r="N143" s="30">
        <v>2.2177100893209468E-3</v>
      </c>
    </row>
    <row r="144" spans="1:14" x14ac:dyDescent="0.4">
      <c r="A144" s="29" t="s">
        <v>315</v>
      </c>
      <c r="B144" s="29">
        <v>8858150</v>
      </c>
      <c r="C144" s="29">
        <v>11344964033</v>
      </c>
      <c r="D144" s="29">
        <v>7031741200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8858150</v>
      </c>
      <c r="K144" s="29">
        <v>2890</v>
      </c>
      <c r="L144" s="29">
        <v>11344964033</v>
      </c>
      <c r="M144" s="29">
        <v>25402165086</v>
      </c>
      <c r="N144" s="30">
        <v>2.4657047087006164E-3</v>
      </c>
    </row>
    <row r="145" spans="1:14" x14ac:dyDescent="0.4">
      <c r="A145" s="29" t="s">
        <v>211</v>
      </c>
      <c r="B145" s="29">
        <v>13000000</v>
      </c>
      <c r="C145" s="29">
        <v>77636851559</v>
      </c>
      <c r="D145" s="29">
        <v>90425565100</v>
      </c>
      <c r="E145" s="29">
        <v>0</v>
      </c>
      <c r="F145" s="29">
        <v>0</v>
      </c>
      <c r="G145" s="29">
        <v>0</v>
      </c>
      <c r="H145" s="29">
        <v>2400000</v>
      </c>
      <c r="I145" s="29">
        <v>19384986779</v>
      </c>
      <c r="J145" s="29">
        <v>10600000</v>
      </c>
      <c r="K145" s="29">
        <v>8530</v>
      </c>
      <c r="L145" s="29">
        <v>63303894348</v>
      </c>
      <c r="M145" s="29">
        <v>89719068860</v>
      </c>
      <c r="N145" s="30">
        <v>8.7087352514789822E-3</v>
      </c>
    </row>
    <row r="146" spans="1:14" x14ac:dyDescent="0.4">
      <c r="A146" s="29" t="s">
        <v>301</v>
      </c>
      <c r="B146" s="29">
        <v>5800000</v>
      </c>
      <c r="C146" s="29">
        <v>21338456733</v>
      </c>
      <c r="D146" s="29">
        <v>30847689760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5800000</v>
      </c>
      <c r="K146" s="29">
        <v>7120</v>
      </c>
      <c r="L146" s="29">
        <v>21338456733</v>
      </c>
      <c r="M146" s="29">
        <v>40976781920</v>
      </c>
      <c r="N146" s="30">
        <v>3.9774815959773063E-3</v>
      </c>
    </row>
    <row r="147" spans="1:14" x14ac:dyDescent="0.4">
      <c r="A147" s="29" t="s">
        <v>156</v>
      </c>
      <c r="B147" s="29">
        <v>4729478</v>
      </c>
      <c r="C147" s="29">
        <v>9596591941</v>
      </c>
      <c r="D147" s="29">
        <v>11887164169</v>
      </c>
      <c r="E147" s="29">
        <v>0</v>
      </c>
      <c r="F147" s="29">
        <v>0</v>
      </c>
      <c r="G147" s="29">
        <v>0</v>
      </c>
      <c r="H147" s="29">
        <v>0</v>
      </c>
      <c r="I147" s="29">
        <v>0</v>
      </c>
      <c r="J147" s="29">
        <v>4729478</v>
      </c>
      <c r="K147" s="29">
        <v>3230</v>
      </c>
      <c r="L147" s="29">
        <v>9596591941</v>
      </c>
      <c r="M147" s="29">
        <v>15158128806</v>
      </c>
      <c r="N147" s="30">
        <v>1.4713497627272547E-3</v>
      </c>
    </row>
    <row r="148" spans="1:14" x14ac:dyDescent="0.4">
      <c r="A148" s="29" t="s">
        <v>153</v>
      </c>
      <c r="B148" s="29">
        <v>25300000</v>
      </c>
      <c r="C148" s="29">
        <v>68642812826</v>
      </c>
      <c r="D148" s="29">
        <v>80083134890</v>
      </c>
      <c r="E148" s="29">
        <v>0</v>
      </c>
      <c r="F148" s="29">
        <v>600000</v>
      </c>
      <c r="G148" s="29">
        <v>2075473065</v>
      </c>
      <c r="H148" s="29">
        <v>3600000</v>
      </c>
      <c r="I148" s="29">
        <v>17110703959</v>
      </c>
      <c r="J148" s="29">
        <v>22300000</v>
      </c>
      <c r="K148" s="29">
        <v>4390</v>
      </c>
      <c r="L148" s="29">
        <v>60888717196</v>
      </c>
      <c r="M148" s="29">
        <v>97140256190</v>
      </c>
      <c r="N148" s="30">
        <v>9.4290855240553636E-3</v>
      </c>
    </row>
    <row r="149" spans="1:14" x14ac:dyDescent="0.4">
      <c r="A149" s="29" t="s">
        <v>175</v>
      </c>
      <c r="B149" s="29">
        <v>24172790</v>
      </c>
      <c r="C149" s="29">
        <v>21932021019</v>
      </c>
      <c r="D149" s="29">
        <v>52361294650</v>
      </c>
      <c r="E149" s="29">
        <v>0</v>
      </c>
      <c r="F149" s="29">
        <v>0</v>
      </c>
      <c r="G149" s="29">
        <v>0</v>
      </c>
      <c r="H149" s="29">
        <v>1000000</v>
      </c>
      <c r="I149" s="29">
        <v>2310211646</v>
      </c>
      <c r="J149" s="29">
        <v>23172790</v>
      </c>
      <c r="K149" s="29">
        <v>2067</v>
      </c>
      <c r="L149" s="29">
        <v>21024719006</v>
      </c>
      <c r="M149" s="29">
        <v>47527904177</v>
      </c>
      <c r="N149" s="30">
        <v>4.6133775104267739E-3</v>
      </c>
    </row>
    <row r="150" spans="1:14" x14ac:dyDescent="0.4">
      <c r="A150" s="29" t="s">
        <v>137</v>
      </c>
      <c r="B150" s="29">
        <v>10809541</v>
      </c>
      <c r="C150" s="29">
        <v>12431259578</v>
      </c>
      <c r="D150" s="29">
        <v>22149155407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10809541</v>
      </c>
      <c r="K150" s="29">
        <v>2200</v>
      </c>
      <c r="L150" s="29">
        <v>12431259578</v>
      </c>
      <c r="M150" s="29">
        <v>23597163146</v>
      </c>
      <c r="N150" s="30">
        <v>2.2904991005328061E-3</v>
      </c>
    </row>
    <row r="151" spans="1:14" x14ac:dyDescent="0.4">
      <c r="A151" s="29" t="s">
        <v>173</v>
      </c>
      <c r="B151" s="29">
        <v>2347708</v>
      </c>
      <c r="C151" s="29">
        <v>18608420859</v>
      </c>
      <c r="D151" s="29">
        <v>27628584176</v>
      </c>
      <c r="E151" s="29">
        <v>0</v>
      </c>
      <c r="F151" s="29">
        <v>0</v>
      </c>
      <c r="G151" s="29">
        <v>0</v>
      </c>
      <c r="H151" s="29">
        <v>0</v>
      </c>
      <c r="I151" s="29">
        <v>0</v>
      </c>
      <c r="J151" s="29">
        <v>2347708</v>
      </c>
      <c r="K151" s="29">
        <v>12300</v>
      </c>
      <c r="L151" s="29">
        <v>18608420859</v>
      </c>
      <c r="M151" s="29">
        <v>28653590671</v>
      </c>
      <c r="N151" s="30">
        <v>2.7813099080126477E-3</v>
      </c>
    </row>
    <row r="152" spans="1:14" x14ac:dyDescent="0.4">
      <c r="A152" s="29" t="s">
        <v>212</v>
      </c>
      <c r="B152" s="29">
        <v>2267583</v>
      </c>
      <c r="C152" s="29">
        <v>24389728092</v>
      </c>
      <c r="D152" s="29">
        <v>57331390785</v>
      </c>
      <c r="E152" s="29">
        <v>0</v>
      </c>
      <c r="F152" s="29">
        <v>0</v>
      </c>
      <c r="G152" s="29">
        <v>0</v>
      </c>
      <c r="H152" s="29">
        <v>600000</v>
      </c>
      <c r="I152" s="29">
        <v>15926623443</v>
      </c>
      <c r="J152" s="29">
        <v>1667583</v>
      </c>
      <c r="K152" s="29">
        <v>28720</v>
      </c>
      <c r="L152" s="29">
        <v>17936232518</v>
      </c>
      <c r="M152" s="29">
        <v>47522770996</v>
      </c>
      <c r="N152" s="30">
        <v>4.6128792494116409E-3</v>
      </c>
    </row>
    <row r="153" spans="1:14" x14ac:dyDescent="0.4">
      <c r="A153" s="29" t="s">
        <v>190</v>
      </c>
      <c r="B153" s="29">
        <v>4374516</v>
      </c>
      <c r="C153" s="29">
        <v>22219858996</v>
      </c>
      <c r="D153" s="29">
        <v>42061392606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4374516</v>
      </c>
      <c r="K153" s="29">
        <v>10030</v>
      </c>
      <c r="L153" s="29">
        <v>22219858996</v>
      </c>
      <c r="M153" s="29">
        <v>43537230943</v>
      </c>
      <c r="N153" s="30">
        <v>4.2260159705483332E-3</v>
      </c>
    </row>
    <row r="154" spans="1:14" x14ac:dyDescent="0.4">
      <c r="A154" s="29" t="s">
        <v>241</v>
      </c>
      <c r="B154" s="29">
        <v>1238713</v>
      </c>
      <c r="C154" s="29">
        <v>16282990125</v>
      </c>
      <c r="D154" s="29">
        <v>20772427950</v>
      </c>
      <c r="E154" s="29">
        <v>0</v>
      </c>
      <c r="F154" s="29">
        <v>0</v>
      </c>
      <c r="G154" s="29">
        <v>0</v>
      </c>
      <c r="H154" s="29">
        <v>437074</v>
      </c>
      <c r="I154" s="29">
        <v>7923988303</v>
      </c>
      <c r="J154" s="29">
        <v>801639</v>
      </c>
      <c r="K154" s="29">
        <v>24120</v>
      </c>
      <c r="L154" s="29">
        <v>10537614380</v>
      </c>
      <c r="M154" s="29">
        <v>19186069012</v>
      </c>
      <c r="N154" s="30">
        <v>1.8623286851409363E-3</v>
      </c>
    </row>
    <row r="155" spans="1:14" x14ac:dyDescent="0.4">
      <c r="A155" s="29" t="s">
        <v>141</v>
      </c>
      <c r="B155" s="29">
        <v>7777144</v>
      </c>
      <c r="C155" s="29">
        <v>22046583092</v>
      </c>
      <c r="D155" s="29">
        <v>42057795389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7777144</v>
      </c>
      <c r="K155" s="29">
        <v>5510</v>
      </c>
      <c r="L155" s="29">
        <v>22046583092</v>
      </c>
      <c r="M155" s="29">
        <v>42520816990</v>
      </c>
      <c r="N155" s="30">
        <v>4.1273560074539927E-3</v>
      </c>
    </row>
    <row r="156" spans="1:14" x14ac:dyDescent="0.4">
      <c r="A156" s="29" t="s">
        <v>184</v>
      </c>
      <c r="B156" s="29">
        <v>9484873</v>
      </c>
      <c r="C156" s="29">
        <v>17788868170</v>
      </c>
      <c r="D156" s="29">
        <v>85927496527</v>
      </c>
      <c r="E156" s="29">
        <v>0</v>
      </c>
      <c r="F156" s="29">
        <v>0</v>
      </c>
      <c r="G156" s="29">
        <v>0</v>
      </c>
      <c r="H156" s="29">
        <v>4500000</v>
      </c>
      <c r="I156" s="29">
        <v>38058388670</v>
      </c>
      <c r="J156" s="29">
        <v>4984873</v>
      </c>
      <c r="K156" s="29">
        <v>8090</v>
      </c>
      <c r="L156" s="29">
        <v>9349123456</v>
      </c>
      <c r="M156" s="29">
        <v>40015890048</v>
      </c>
      <c r="N156" s="30">
        <v>3.8842109788735559E-3</v>
      </c>
    </row>
    <row r="157" spans="1:14" x14ac:dyDescent="0.4">
      <c r="A157" s="29" t="s">
        <v>101</v>
      </c>
      <c r="B157" s="29">
        <v>17165640</v>
      </c>
      <c r="C157" s="29">
        <v>73931390062</v>
      </c>
      <c r="D157" s="29">
        <v>106115276025</v>
      </c>
      <c r="E157" s="29">
        <v>0</v>
      </c>
      <c r="F157" s="29">
        <v>0</v>
      </c>
      <c r="G157" s="29">
        <v>0</v>
      </c>
      <c r="H157" s="29">
        <v>3072340</v>
      </c>
      <c r="I157" s="29">
        <v>22086806793</v>
      </c>
      <c r="J157" s="29">
        <v>14093300</v>
      </c>
      <c r="K157" s="29">
        <v>6830</v>
      </c>
      <c r="L157" s="29">
        <v>60699004497</v>
      </c>
      <c r="M157" s="29">
        <v>95513170543</v>
      </c>
      <c r="N157" s="30">
        <v>9.2711496659234061E-3</v>
      </c>
    </row>
    <row r="158" spans="1:14" x14ac:dyDescent="0.4">
      <c r="A158" s="29" t="s">
        <v>120</v>
      </c>
      <c r="B158" s="29">
        <v>43968644</v>
      </c>
      <c r="C158" s="29">
        <v>70857580479</v>
      </c>
      <c r="D158" s="29">
        <v>100433420211</v>
      </c>
      <c r="E158" s="29">
        <v>0</v>
      </c>
      <c r="F158" s="29">
        <v>0</v>
      </c>
      <c r="G158" s="29">
        <v>0</v>
      </c>
      <c r="H158" s="29">
        <v>4000000</v>
      </c>
      <c r="I158" s="29">
        <v>9667946697</v>
      </c>
      <c r="J158" s="29">
        <v>39968644</v>
      </c>
      <c r="K158" s="29">
        <v>2462</v>
      </c>
      <c r="L158" s="29">
        <v>64411388463</v>
      </c>
      <c r="M158" s="29">
        <v>97642147872</v>
      </c>
      <c r="N158" s="30">
        <v>9.4778025007136689E-3</v>
      </c>
    </row>
    <row r="159" spans="1:14" x14ac:dyDescent="0.4">
      <c r="A159" s="29" t="s">
        <v>209</v>
      </c>
      <c r="B159" s="29">
        <v>3240260</v>
      </c>
      <c r="C159" s="29">
        <v>26802732066</v>
      </c>
      <c r="D159" s="29">
        <v>62535888769</v>
      </c>
      <c r="E159" s="29">
        <v>0</v>
      </c>
      <c r="F159" s="29">
        <v>0</v>
      </c>
      <c r="G159" s="29">
        <v>0</v>
      </c>
      <c r="H159" s="29">
        <v>500000</v>
      </c>
      <c r="I159" s="29">
        <v>10835588444</v>
      </c>
      <c r="J159" s="29">
        <v>2740260</v>
      </c>
      <c r="K159" s="29">
        <v>27620</v>
      </c>
      <c r="L159" s="29">
        <v>22666839874</v>
      </c>
      <c r="M159" s="29">
        <v>75100928565</v>
      </c>
      <c r="N159" s="30">
        <v>7.2898003994378542E-3</v>
      </c>
    </row>
    <row r="160" spans="1:14" x14ac:dyDescent="0.4">
      <c r="A160" s="29" t="s">
        <v>130</v>
      </c>
      <c r="B160" s="29">
        <v>1362852</v>
      </c>
      <c r="C160" s="29">
        <v>21196903902</v>
      </c>
      <c r="D160" s="29">
        <v>39744601157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1362852</v>
      </c>
      <c r="K160" s="29">
        <v>30380</v>
      </c>
      <c r="L160" s="29">
        <v>21196903902</v>
      </c>
      <c r="M160" s="29">
        <v>41083395140</v>
      </c>
      <c r="N160" s="30">
        <v>3.9878301909759507E-3</v>
      </c>
    </row>
    <row r="161" spans="1:14" x14ac:dyDescent="0.4">
      <c r="A161" s="29" t="s">
        <v>268</v>
      </c>
      <c r="B161" s="29">
        <v>4684284</v>
      </c>
      <c r="C161" s="29">
        <v>39180147829</v>
      </c>
      <c r="D161" s="29">
        <v>62516601819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4684284</v>
      </c>
      <c r="K161" s="29">
        <v>17970</v>
      </c>
      <c r="L161" s="29">
        <v>39180147829</v>
      </c>
      <c r="M161" s="29">
        <v>83525898490</v>
      </c>
      <c r="N161" s="30">
        <v>8.1075845506865425E-3</v>
      </c>
    </row>
    <row r="162" spans="1:14" x14ac:dyDescent="0.4">
      <c r="A162" s="29" t="s">
        <v>272</v>
      </c>
      <c r="B162" s="29">
        <v>2202712</v>
      </c>
      <c r="C162" s="29">
        <v>11077132377</v>
      </c>
      <c r="D162" s="29">
        <v>18775034461</v>
      </c>
      <c r="E162" s="29">
        <v>0</v>
      </c>
      <c r="F162" s="29">
        <v>0</v>
      </c>
      <c r="G162" s="29">
        <v>0</v>
      </c>
      <c r="H162" s="29">
        <v>0</v>
      </c>
      <c r="I162" s="29">
        <v>0</v>
      </c>
      <c r="J162" s="29">
        <v>2202712</v>
      </c>
      <c r="K162" s="29">
        <v>9090</v>
      </c>
      <c r="L162" s="29">
        <v>11077132377</v>
      </c>
      <c r="M162" s="29">
        <v>19867876979</v>
      </c>
      <c r="N162" s="30">
        <v>1.9285095444877653E-3</v>
      </c>
    </row>
    <row r="163" spans="1:14" x14ac:dyDescent="0.4">
      <c r="A163" s="29" t="s">
        <v>195</v>
      </c>
      <c r="B163" s="29">
        <v>5768835</v>
      </c>
      <c r="C163" s="29">
        <v>37503086811</v>
      </c>
      <c r="D163" s="29">
        <v>46767056368</v>
      </c>
      <c r="E163" s="29">
        <v>0</v>
      </c>
      <c r="F163" s="29">
        <v>0</v>
      </c>
      <c r="G163" s="29">
        <v>0</v>
      </c>
      <c r="H163" s="29">
        <v>1200000</v>
      </c>
      <c r="I163" s="29">
        <v>10308726725</v>
      </c>
      <c r="J163" s="29">
        <v>4568835</v>
      </c>
      <c r="K163" s="29">
        <v>9840</v>
      </c>
      <c r="L163" s="29">
        <v>29701909594</v>
      </c>
      <c r="M163" s="29">
        <v>44609816190</v>
      </c>
      <c r="N163" s="30">
        <v>4.3301282966062516E-3</v>
      </c>
    </row>
    <row r="164" spans="1:14" x14ac:dyDescent="0.4">
      <c r="A164" s="29" t="s">
        <v>82</v>
      </c>
      <c r="B164" s="29">
        <v>1664830</v>
      </c>
      <c r="C164" s="29">
        <v>15806609157</v>
      </c>
      <c r="D164" s="29">
        <v>36491815488</v>
      </c>
      <c r="E164" s="29">
        <v>878898</v>
      </c>
      <c r="F164" s="29">
        <v>0</v>
      </c>
      <c r="G164" s="29">
        <v>0</v>
      </c>
      <c r="H164" s="29">
        <v>200000</v>
      </c>
      <c r="I164" s="29">
        <v>4335754017</v>
      </c>
      <c r="J164" s="29">
        <v>2343728</v>
      </c>
      <c r="K164" s="29">
        <v>13090</v>
      </c>
      <c r="L164" s="29">
        <v>13907723486</v>
      </c>
      <c r="M164" s="29">
        <v>30442247762</v>
      </c>
      <c r="N164" s="30">
        <v>2.9549289753873463E-3</v>
      </c>
    </row>
    <row r="165" spans="1:14" x14ac:dyDescent="0.4">
      <c r="A165" s="29" t="s">
        <v>236</v>
      </c>
      <c r="B165" s="29">
        <v>3100000</v>
      </c>
      <c r="C165" s="29">
        <v>17808956107</v>
      </c>
      <c r="D165" s="29">
        <v>42633872820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3100000</v>
      </c>
      <c r="K165" s="29">
        <v>13550</v>
      </c>
      <c r="L165" s="29">
        <v>17808956107</v>
      </c>
      <c r="M165" s="29">
        <v>41680301350</v>
      </c>
      <c r="N165" s="30">
        <v>4.0457699157067694E-3</v>
      </c>
    </row>
    <row r="166" spans="1:14" x14ac:dyDescent="0.4">
      <c r="A166" s="29" t="s">
        <v>114</v>
      </c>
      <c r="B166" s="29">
        <v>7341110</v>
      </c>
      <c r="C166" s="29">
        <v>34775342579</v>
      </c>
      <c r="D166" s="29">
        <v>86319704153</v>
      </c>
      <c r="E166" s="29">
        <v>0</v>
      </c>
      <c r="F166" s="29">
        <v>0</v>
      </c>
      <c r="G166" s="29">
        <v>0</v>
      </c>
      <c r="H166" s="29">
        <v>550862</v>
      </c>
      <c r="I166" s="29">
        <v>5825888329</v>
      </c>
      <c r="J166" s="29">
        <v>6790248</v>
      </c>
      <c r="K166" s="29">
        <v>10200</v>
      </c>
      <c r="L166" s="29">
        <v>32165871428</v>
      </c>
      <c r="M166" s="29">
        <v>68725145706</v>
      </c>
      <c r="N166" s="30">
        <v>6.6709241042927116E-3</v>
      </c>
    </row>
    <row r="167" spans="1:14" x14ac:dyDescent="0.4">
      <c r="A167" s="29" t="s">
        <v>174</v>
      </c>
      <c r="B167" s="29">
        <v>13516623</v>
      </c>
      <c r="C167" s="29">
        <v>15523896993</v>
      </c>
      <c r="D167" s="29">
        <v>29842010397</v>
      </c>
      <c r="E167" s="29">
        <v>0</v>
      </c>
      <c r="F167" s="29">
        <v>0</v>
      </c>
      <c r="G167" s="29">
        <v>0</v>
      </c>
      <c r="H167" s="29">
        <v>0</v>
      </c>
      <c r="I167" s="29">
        <v>0</v>
      </c>
      <c r="J167" s="29">
        <v>13516623</v>
      </c>
      <c r="K167" s="29">
        <v>2376</v>
      </c>
      <c r="L167" s="29">
        <v>15523896993</v>
      </c>
      <c r="M167" s="29">
        <v>31867243462</v>
      </c>
      <c r="N167" s="30">
        <v>3.093248626309724E-3</v>
      </c>
    </row>
    <row r="168" spans="1:14" x14ac:dyDescent="0.4">
      <c r="A168" s="29" t="s">
        <v>280</v>
      </c>
      <c r="B168" s="29">
        <v>2451893</v>
      </c>
      <c r="C168" s="29">
        <v>14817650768</v>
      </c>
      <c r="D168" s="29">
        <v>19658154126</v>
      </c>
      <c r="E168" s="29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2451893</v>
      </c>
      <c r="K168" s="29">
        <v>9010</v>
      </c>
      <c r="L168" s="29">
        <v>14817650768</v>
      </c>
      <c r="M168" s="29">
        <v>21920788203</v>
      </c>
      <c r="N168" s="30">
        <v>2.1277788923730334E-3</v>
      </c>
    </row>
    <row r="169" spans="1:14" x14ac:dyDescent="0.4">
      <c r="A169" s="29" t="s">
        <v>110</v>
      </c>
      <c r="B169" s="29">
        <v>15767933</v>
      </c>
      <c r="C169" s="29">
        <v>90695928930</v>
      </c>
      <c r="D169" s="29">
        <v>106236658301</v>
      </c>
      <c r="E169" s="29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15767933</v>
      </c>
      <c r="K169" s="29">
        <v>3710</v>
      </c>
      <c r="L169" s="29">
        <v>46187105753</v>
      </c>
      <c r="M169" s="29">
        <v>58046833917</v>
      </c>
      <c r="N169" s="30">
        <v>5.6344154614281815E-3</v>
      </c>
    </row>
    <row r="170" spans="1:14" x14ac:dyDescent="0.4">
      <c r="A170" s="29" t="s">
        <v>399</v>
      </c>
      <c r="B170" s="29">
        <v>0</v>
      </c>
      <c r="C170" s="29">
        <v>0</v>
      </c>
      <c r="D170" s="29">
        <v>0</v>
      </c>
      <c r="E170" s="29">
        <v>23071375</v>
      </c>
      <c r="F170" s="29">
        <v>0</v>
      </c>
      <c r="G170" s="29">
        <v>0</v>
      </c>
      <c r="H170" s="29">
        <v>0</v>
      </c>
      <c r="I170" s="29">
        <v>0</v>
      </c>
      <c r="J170" s="29">
        <v>23071375</v>
      </c>
      <c r="K170" s="29">
        <v>2710</v>
      </c>
      <c r="L170" s="29">
        <v>44508823177</v>
      </c>
      <c r="M170" s="29">
        <v>62040120165</v>
      </c>
      <c r="N170" s="30">
        <v>6.0220306379908141E-3</v>
      </c>
    </row>
    <row r="171" spans="1:14" x14ac:dyDescent="0.4">
      <c r="A171" s="29" t="s">
        <v>256</v>
      </c>
      <c r="B171" s="29">
        <v>0</v>
      </c>
      <c r="C171" s="29">
        <v>0</v>
      </c>
      <c r="D171" s="29">
        <v>0</v>
      </c>
      <c r="E171" s="29">
        <v>0</v>
      </c>
      <c r="F171" s="29">
        <v>1752500</v>
      </c>
      <c r="G171" s="29">
        <v>23591443785</v>
      </c>
      <c r="H171" s="29">
        <v>0</v>
      </c>
      <c r="I171" s="29">
        <v>0</v>
      </c>
      <c r="J171" s="29">
        <v>1752500</v>
      </c>
      <c r="K171" s="29">
        <v>19000</v>
      </c>
      <c r="L171" s="29">
        <v>23591443785</v>
      </c>
      <c r="M171" s="29">
        <v>33040110325</v>
      </c>
      <c r="N171" s="30">
        <v>3.2070949593678406E-3</v>
      </c>
    </row>
    <row r="172" spans="1:14" x14ac:dyDescent="0.4">
      <c r="A172" s="29" t="s">
        <v>99</v>
      </c>
      <c r="B172" s="29">
        <v>1852500</v>
      </c>
      <c r="C172" s="29">
        <v>24937603202</v>
      </c>
      <c r="D172" s="29">
        <v>35237913955</v>
      </c>
      <c r="E172" s="29">
        <v>0</v>
      </c>
      <c r="F172" s="29">
        <v>0</v>
      </c>
      <c r="G172" s="29">
        <v>0</v>
      </c>
      <c r="H172" s="29">
        <v>1852500</v>
      </c>
      <c r="I172" s="29">
        <v>25551607215</v>
      </c>
      <c r="J172" s="29">
        <v>0</v>
      </c>
      <c r="K172" s="29">
        <v>0</v>
      </c>
      <c r="L172" s="29">
        <v>0</v>
      </c>
      <c r="M172" s="29">
        <v>0</v>
      </c>
      <c r="N172" s="30">
        <v>0</v>
      </c>
    </row>
    <row r="173" spans="1:14" x14ac:dyDescent="0.4">
      <c r="A173" s="29" t="s">
        <v>224</v>
      </c>
      <c r="B173" s="29">
        <v>6818151</v>
      </c>
      <c r="C173" s="29">
        <v>26252077017</v>
      </c>
      <c r="D173" s="29">
        <v>52905793137</v>
      </c>
      <c r="E173" s="29">
        <v>0</v>
      </c>
      <c r="F173" s="29">
        <v>0</v>
      </c>
      <c r="G173" s="29">
        <v>0</v>
      </c>
      <c r="H173" s="29">
        <v>0</v>
      </c>
      <c r="I173" s="29">
        <v>0</v>
      </c>
      <c r="J173" s="29">
        <v>6818151</v>
      </c>
      <c r="K173" s="29">
        <v>11950</v>
      </c>
      <c r="L173" s="29">
        <v>26252077017</v>
      </c>
      <c r="M173" s="29">
        <v>80847087979</v>
      </c>
      <c r="N173" s="30">
        <v>7.8475612153398357E-3</v>
      </c>
    </row>
    <row r="174" spans="1:14" x14ac:dyDescent="0.4">
      <c r="A174" s="29" t="s">
        <v>283</v>
      </c>
      <c r="B174" s="29">
        <v>1256499</v>
      </c>
      <c r="C174" s="29">
        <v>8314819804</v>
      </c>
      <c r="D174" s="29">
        <v>9849611476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1256499</v>
      </c>
      <c r="K174" s="29">
        <v>8660</v>
      </c>
      <c r="L174" s="29">
        <v>8314819804</v>
      </c>
      <c r="M174" s="29">
        <v>10797169035</v>
      </c>
      <c r="N174" s="30">
        <v>1.0480457252405083E-3</v>
      </c>
    </row>
    <row r="175" spans="1:14" x14ac:dyDescent="0.4">
      <c r="A175" s="29" t="s">
        <v>83</v>
      </c>
      <c r="B175" s="29">
        <v>700000</v>
      </c>
      <c r="C175" s="29">
        <v>9143294580</v>
      </c>
      <c r="D175" s="29">
        <v>26470786790</v>
      </c>
      <c r="E175" s="29">
        <v>0</v>
      </c>
      <c r="F175" s="29">
        <v>0</v>
      </c>
      <c r="G175" s="29">
        <v>0</v>
      </c>
      <c r="H175" s="29">
        <v>30000</v>
      </c>
      <c r="I175" s="29">
        <v>1174649232</v>
      </c>
      <c r="J175" s="29">
        <v>670000</v>
      </c>
      <c r="K175" s="29">
        <v>41000</v>
      </c>
      <c r="L175" s="29">
        <v>8751439098</v>
      </c>
      <c r="M175" s="29">
        <v>27257656900</v>
      </c>
      <c r="N175" s="30">
        <v>2.645811203058325E-3</v>
      </c>
    </row>
    <row r="176" spans="1:14" x14ac:dyDescent="0.4">
      <c r="A176" s="29" t="s">
        <v>302</v>
      </c>
      <c r="B176" s="29">
        <v>7979362</v>
      </c>
      <c r="C176" s="29">
        <v>38034069803</v>
      </c>
      <c r="D176" s="29">
        <v>59065904227</v>
      </c>
      <c r="E176" s="29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7979362</v>
      </c>
      <c r="K176" s="29">
        <v>9750</v>
      </c>
      <c r="L176" s="29">
        <v>38034069803</v>
      </c>
      <c r="M176" s="29">
        <v>77197394934</v>
      </c>
      <c r="N176" s="30">
        <v>7.4932975021523287E-3</v>
      </c>
    </row>
    <row r="177" spans="1:14" x14ac:dyDescent="0.4">
      <c r="A177" s="29" t="s">
        <v>112</v>
      </c>
      <c r="B177" s="29">
        <v>1225533</v>
      </c>
      <c r="C177" s="29">
        <v>6257308469</v>
      </c>
      <c r="D177" s="29">
        <v>23409147876</v>
      </c>
      <c r="E177" s="29">
        <v>0</v>
      </c>
      <c r="F177" s="29">
        <v>0</v>
      </c>
      <c r="G177" s="29">
        <v>0</v>
      </c>
      <c r="H177" s="29">
        <v>800000</v>
      </c>
      <c r="I177" s="29">
        <v>16611592147</v>
      </c>
      <c r="J177" s="29">
        <v>425533</v>
      </c>
      <c r="K177" s="29">
        <v>24160</v>
      </c>
      <c r="L177" s="29">
        <v>2172680168</v>
      </c>
      <c r="M177" s="29">
        <v>10201406099</v>
      </c>
      <c r="N177" s="30">
        <v>9.9021697436076127E-4</v>
      </c>
    </row>
    <row r="178" spans="1:14" x14ac:dyDescent="0.4">
      <c r="A178" s="29" t="s">
        <v>73</v>
      </c>
      <c r="B178" s="29">
        <v>11285383</v>
      </c>
      <c r="C178" s="29">
        <v>52723208852</v>
      </c>
      <c r="D178" s="29">
        <v>96528027049</v>
      </c>
      <c r="E178" s="29">
        <v>0</v>
      </c>
      <c r="F178" s="29">
        <v>0</v>
      </c>
      <c r="G178" s="29">
        <v>0</v>
      </c>
      <c r="H178" s="29">
        <v>2254149</v>
      </c>
      <c r="I178" s="29">
        <v>19947148361</v>
      </c>
      <c r="J178" s="29">
        <v>9031234</v>
      </c>
      <c r="K178" s="29">
        <v>9270</v>
      </c>
      <c r="L178" s="29">
        <v>42192244283</v>
      </c>
      <c r="M178" s="29">
        <v>83072387142</v>
      </c>
      <c r="N178" s="30">
        <v>8.0635636941010121E-3</v>
      </c>
    </row>
    <row r="179" spans="1:14" x14ac:dyDescent="0.4">
      <c r="A179" s="29" t="s">
        <v>276</v>
      </c>
      <c r="B179" s="29">
        <v>2470314</v>
      </c>
      <c r="C179" s="29">
        <v>12048248970</v>
      </c>
      <c r="D179" s="29">
        <v>45224980823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2470314</v>
      </c>
      <c r="K179" s="29">
        <v>20600</v>
      </c>
      <c r="L179" s="29">
        <v>12048248970</v>
      </c>
      <c r="M179" s="29">
        <v>50495100539</v>
      </c>
      <c r="N179" s="30">
        <v>4.9013935128680367E-3</v>
      </c>
    </row>
    <row r="180" spans="1:14" x14ac:dyDescent="0.4">
      <c r="A180" s="29" t="s">
        <v>265</v>
      </c>
      <c r="B180" s="29">
        <v>1983335</v>
      </c>
      <c r="C180" s="29">
        <v>3588989714</v>
      </c>
      <c r="D180" s="29">
        <v>6474732569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1983335</v>
      </c>
      <c r="K180" s="29">
        <v>4260</v>
      </c>
      <c r="L180" s="29">
        <v>3588989714</v>
      </c>
      <c r="M180" s="29">
        <v>8383696275</v>
      </c>
      <c r="N180" s="30">
        <v>8.1377785364351504E-4</v>
      </c>
    </row>
    <row r="181" spans="1:14" x14ac:dyDescent="0.4">
      <c r="A181" s="29" t="s">
        <v>240</v>
      </c>
      <c r="B181" s="29">
        <v>666071</v>
      </c>
      <c r="C181" s="29">
        <v>8709674426</v>
      </c>
      <c r="D181" s="29">
        <v>33310482467</v>
      </c>
      <c r="E181" s="29">
        <v>0</v>
      </c>
      <c r="F181" s="29">
        <v>0</v>
      </c>
      <c r="G181" s="29">
        <v>0</v>
      </c>
      <c r="H181" s="29">
        <v>180000</v>
      </c>
      <c r="I181" s="29">
        <v>9271572468</v>
      </c>
      <c r="J181" s="29">
        <v>486071</v>
      </c>
      <c r="K181" s="29">
        <v>52810</v>
      </c>
      <c r="L181" s="29">
        <v>6355959287</v>
      </c>
      <c r="M181" s="29">
        <v>25470984974</v>
      </c>
      <c r="N181" s="30">
        <v>2.4723848291281214E-3</v>
      </c>
    </row>
    <row r="182" spans="1:14" x14ac:dyDescent="0.4">
      <c r="A182" s="29" t="s">
        <v>167</v>
      </c>
      <c r="B182" s="29">
        <v>14640871</v>
      </c>
      <c r="C182" s="29">
        <v>28875950074</v>
      </c>
      <c r="D182" s="29">
        <v>33108621616</v>
      </c>
      <c r="E182" s="29">
        <v>0</v>
      </c>
      <c r="F182" s="29">
        <v>0</v>
      </c>
      <c r="G182" s="29">
        <v>0</v>
      </c>
      <c r="H182" s="29">
        <v>2000000</v>
      </c>
      <c r="I182" s="29">
        <v>4365208760</v>
      </c>
      <c r="J182" s="29">
        <v>12640871</v>
      </c>
      <c r="K182" s="29">
        <v>2189</v>
      </c>
      <c r="L182" s="29">
        <v>24931382832</v>
      </c>
      <c r="M182" s="29">
        <v>27456970820</v>
      </c>
      <c r="N182" s="30">
        <v>2.6651579504473671E-3</v>
      </c>
    </row>
    <row r="183" spans="1:14" x14ac:dyDescent="0.4">
      <c r="A183" s="29" t="s">
        <v>230</v>
      </c>
      <c r="B183" s="29">
        <v>16780964</v>
      </c>
      <c r="C183" s="29">
        <v>37696455215</v>
      </c>
      <c r="D183" s="29">
        <v>49953741445</v>
      </c>
      <c r="E183" s="29">
        <v>0</v>
      </c>
      <c r="F183" s="29">
        <v>0</v>
      </c>
      <c r="G183" s="29">
        <v>0</v>
      </c>
      <c r="H183" s="29">
        <v>1500000</v>
      </c>
      <c r="I183" s="29">
        <v>4611253006</v>
      </c>
      <c r="J183" s="29">
        <v>15280964</v>
      </c>
      <c r="K183" s="29">
        <v>3280</v>
      </c>
      <c r="L183" s="29">
        <v>34326882238</v>
      </c>
      <c r="M183" s="29">
        <v>49734122246</v>
      </c>
      <c r="N183" s="30">
        <v>4.8275278500823403E-3</v>
      </c>
    </row>
    <row r="184" spans="1:14" x14ac:dyDescent="0.4">
      <c r="A184" s="29" t="s">
        <v>169</v>
      </c>
      <c r="B184" s="29">
        <v>2345414</v>
      </c>
      <c r="C184" s="29">
        <v>32133671163</v>
      </c>
      <c r="D184" s="29">
        <v>68468693803</v>
      </c>
      <c r="E184" s="29">
        <v>2345414</v>
      </c>
      <c r="F184" s="29">
        <v>0</v>
      </c>
      <c r="G184" s="29">
        <v>0</v>
      </c>
      <c r="H184" s="29">
        <v>0</v>
      </c>
      <c r="I184" s="29">
        <v>0</v>
      </c>
      <c r="J184" s="29">
        <v>4690828</v>
      </c>
      <c r="K184" s="29">
        <v>11500</v>
      </c>
      <c r="L184" s="29">
        <v>22986056775</v>
      </c>
      <c r="M184" s="29">
        <v>53527530845</v>
      </c>
      <c r="N184" s="30">
        <v>5.1957415599339744E-3</v>
      </c>
    </row>
    <row r="185" spans="1:14" x14ac:dyDescent="0.4">
      <c r="A185" s="29" t="s">
        <v>400</v>
      </c>
      <c r="B185" s="29">
        <v>0</v>
      </c>
      <c r="C185" s="29">
        <v>0</v>
      </c>
      <c r="D185" s="29">
        <v>0</v>
      </c>
      <c r="E185" s="29">
        <v>2345414</v>
      </c>
      <c r="F185" s="29">
        <v>0</v>
      </c>
      <c r="G185" s="29">
        <v>0</v>
      </c>
      <c r="H185" s="29">
        <v>0</v>
      </c>
      <c r="I185" s="29">
        <v>0</v>
      </c>
      <c r="J185" s="29">
        <v>2345414</v>
      </c>
      <c r="K185" s="29">
        <v>10500</v>
      </c>
      <c r="L185" s="29">
        <v>9147614388</v>
      </c>
      <c r="M185" s="29">
        <v>24436481473</v>
      </c>
      <c r="N185" s="30">
        <v>2.3719689730407681E-3</v>
      </c>
    </row>
    <row r="186" spans="1:14" x14ac:dyDescent="0.4">
      <c r="A186" s="29" t="s">
        <v>189</v>
      </c>
      <c r="B186" s="29">
        <v>594875</v>
      </c>
      <c r="C186" s="29">
        <v>36899261714</v>
      </c>
      <c r="D186" s="29">
        <v>54453017849</v>
      </c>
      <c r="E186" s="29">
        <v>0</v>
      </c>
      <c r="F186" s="29">
        <v>0</v>
      </c>
      <c r="G186" s="29">
        <v>0</v>
      </c>
      <c r="H186" s="29">
        <v>44433</v>
      </c>
      <c r="I186" s="29">
        <v>4031057114</v>
      </c>
      <c r="J186" s="29">
        <v>550442</v>
      </c>
      <c r="K186" s="29">
        <v>88900</v>
      </c>
      <c r="L186" s="29">
        <v>34143145058</v>
      </c>
      <c r="M186" s="29">
        <v>48556031709</v>
      </c>
      <c r="N186" s="30">
        <v>4.7131744721508866E-3</v>
      </c>
    </row>
    <row r="187" spans="1:14" x14ac:dyDescent="0.4">
      <c r="A187" s="29" t="s">
        <v>245</v>
      </c>
      <c r="B187" s="29">
        <v>2461948</v>
      </c>
      <c r="C187" s="29">
        <v>30186025634</v>
      </c>
      <c r="D187" s="29">
        <v>44851958726</v>
      </c>
      <c r="E187" s="29">
        <v>0</v>
      </c>
      <c r="F187" s="29">
        <v>0</v>
      </c>
      <c r="G187" s="29">
        <v>0</v>
      </c>
      <c r="H187" s="29">
        <v>1200000</v>
      </c>
      <c r="I187" s="29">
        <v>24445563797</v>
      </c>
      <c r="J187" s="29">
        <v>1261948</v>
      </c>
      <c r="K187" s="29">
        <v>23060</v>
      </c>
      <c r="L187" s="29">
        <v>15472786053</v>
      </c>
      <c r="M187" s="29">
        <v>28875573854</v>
      </c>
      <c r="N187" s="30">
        <v>2.8028570862835703E-3</v>
      </c>
    </row>
    <row r="188" spans="1:14" x14ac:dyDescent="0.4">
      <c r="A188" s="29" t="s">
        <v>237</v>
      </c>
      <c r="B188" s="29">
        <v>5856849</v>
      </c>
      <c r="C188" s="29">
        <v>58781846366</v>
      </c>
      <c r="D188" s="29">
        <v>75492366488</v>
      </c>
      <c r="E188" s="29">
        <v>0</v>
      </c>
      <c r="F188" s="29">
        <v>0</v>
      </c>
      <c r="G188" s="29">
        <v>0</v>
      </c>
      <c r="H188" s="29">
        <v>2300000</v>
      </c>
      <c r="I188" s="29">
        <v>31204249989</v>
      </c>
      <c r="J188" s="29">
        <v>3556849</v>
      </c>
      <c r="K188" s="29">
        <v>16200</v>
      </c>
      <c r="L188" s="29">
        <v>35698060760</v>
      </c>
      <c r="M188" s="29">
        <v>57175543827</v>
      </c>
      <c r="N188" s="30">
        <v>5.549842194925745E-3</v>
      </c>
    </row>
    <row r="189" spans="1:14" x14ac:dyDescent="0.4">
      <c r="A189" s="29" t="s">
        <v>238</v>
      </c>
      <c r="B189" s="29">
        <v>9307926</v>
      </c>
      <c r="C189" s="29">
        <v>24473506286</v>
      </c>
      <c r="D189" s="29">
        <v>38791098074</v>
      </c>
      <c r="E189" s="29">
        <v>0</v>
      </c>
      <c r="F189" s="29">
        <v>0</v>
      </c>
      <c r="G189" s="29">
        <v>0</v>
      </c>
      <c r="H189" s="29">
        <v>2100000</v>
      </c>
      <c r="I189" s="29">
        <v>10070548270</v>
      </c>
      <c r="J189" s="29">
        <v>7207926</v>
      </c>
      <c r="K189" s="29">
        <v>5040</v>
      </c>
      <c r="L189" s="29">
        <v>18951936476</v>
      </c>
      <c r="M189" s="29">
        <v>36047132009</v>
      </c>
      <c r="N189" s="30">
        <v>3.4989766749736495E-3</v>
      </c>
    </row>
    <row r="190" spans="1:14" x14ac:dyDescent="0.4">
      <c r="A190" s="29" t="s">
        <v>104</v>
      </c>
      <c r="B190" s="29">
        <v>1558695</v>
      </c>
      <c r="C190" s="29">
        <v>32227038865</v>
      </c>
      <c r="D190" s="29">
        <v>50343336663</v>
      </c>
      <c r="E190" s="29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1558695</v>
      </c>
      <c r="K190" s="29">
        <v>31600</v>
      </c>
      <c r="L190" s="29">
        <v>32227038865</v>
      </c>
      <c r="M190" s="29">
        <v>48874022690</v>
      </c>
      <c r="N190" s="30">
        <v>4.7440408119499358E-3</v>
      </c>
    </row>
    <row r="191" spans="1:14" x14ac:dyDescent="0.4">
      <c r="A191" s="29" t="s">
        <v>113</v>
      </c>
      <c r="B191" s="29">
        <v>1234887</v>
      </c>
      <c r="C191" s="29">
        <v>3185792321</v>
      </c>
      <c r="D191" s="29">
        <v>13846356955</v>
      </c>
      <c r="E191" s="29">
        <v>0</v>
      </c>
      <c r="F191" s="29">
        <v>500000</v>
      </c>
      <c r="G191" s="29">
        <v>6116250373</v>
      </c>
      <c r="H191" s="29">
        <v>0</v>
      </c>
      <c r="I191" s="29">
        <v>0</v>
      </c>
      <c r="J191" s="29">
        <v>1734887</v>
      </c>
      <c r="K191" s="29">
        <v>12380</v>
      </c>
      <c r="L191" s="29">
        <v>9302042694</v>
      </c>
      <c r="M191" s="29">
        <v>21311876885</v>
      </c>
      <c r="N191" s="30">
        <v>2.0686738712502014E-3</v>
      </c>
    </row>
    <row r="192" spans="1:14" x14ac:dyDescent="0.4">
      <c r="A192" s="29" t="s">
        <v>226</v>
      </c>
      <c r="B192" s="29">
        <v>3565617</v>
      </c>
      <c r="C192" s="29">
        <v>10994374010</v>
      </c>
      <c r="D192" s="29">
        <v>42633560106</v>
      </c>
      <c r="E192" s="29">
        <v>0</v>
      </c>
      <c r="F192" s="29">
        <v>0</v>
      </c>
      <c r="G192" s="29">
        <v>0</v>
      </c>
      <c r="H192" s="29">
        <v>0</v>
      </c>
      <c r="I192" s="29">
        <v>0</v>
      </c>
      <c r="J192" s="29">
        <v>3565617</v>
      </c>
      <c r="K192" s="29">
        <v>14690</v>
      </c>
      <c r="L192" s="29">
        <v>10994374010</v>
      </c>
      <c r="M192" s="29">
        <v>51974024727</v>
      </c>
      <c r="N192" s="30">
        <v>5.0449478249440802E-3</v>
      </c>
    </row>
    <row r="193" spans="1:14" x14ac:dyDescent="0.4">
      <c r="A193" s="29" t="s">
        <v>111</v>
      </c>
      <c r="B193" s="29">
        <v>2326440</v>
      </c>
      <c r="C193" s="29">
        <v>45066634626</v>
      </c>
      <c r="D193" s="29">
        <v>96401148401</v>
      </c>
      <c r="E193" s="29">
        <v>5647011</v>
      </c>
      <c r="F193" s="29">
        <v>0</v>
      </c>
      <c r="G193" s="29">
        <v>0</v>
      </c>
      <c r="H193" s="29">
        <v>90000</v>
      </c>
      <c r="I193" s="29">
        <v>3316017524</v>
      </c>
      <c r="J193" s="29">
        <v>7883451</v>
      </c>
      <c r="K193" s="29">
        <v>12196</v>
      </c>
      <c r="L193" s="29">
        <v>43323199542</v>
      </c>
      <c r="M193" s="29">
        <v>95403355422</v>
      </c>
      <c r="N193" s="30">
        <v>9.2604902729142066E-3</v>
      </c>
    </row>
    <row r="194" spans="1:14" x14ac:dyDescent="0.4">
      <c r="A194" s="29" t="s">
        <v>165</v>
      </c>
      <c r="B194" s="29">
        <v>635048</v>
      </c>
      <c r="C194" s="29">
        <v>11938739876</v>
      </c>
      <c r="D194" s="29">
        <v>29017904586</v>
      </c>
      <c r="E194" s="29">
        <v>0</v>
      </c>
      <c r="F194" s="29">
        <v>0</v>
      </c>
      <c r="G194" s="29">
        <v>0</v>
      </c>
      <c r="H194" s="29">
        <v>0</v>
      </c>
      <c r="I194" s="29">
        <v>0</v>
      </c>
      <c r="J194" s="29">
        <v>635048</v>
      </c>
      <c r="K194" s="29">
        <v>56530</v>
      </c>
      <c r="L194" s="29">
        <v>11938739876</v>
      </c>
      <c r="M194" s="29">
        <v>35621762134</v>
      </c>
      <c r="N194" s="30">
        <v>3.4576874187163178E-3</v>
      </c>
    </row>
    <row r="195" spans="1:14" x14ac:dyDescent="0.4">
      <c r="A195" s="29" t="s">
        <v>228</v>
      </c>
      <c r="B195" s="29">
        <v>3390646</v>
      </c>
      <c r="C195" s="29">
        <v>24617113596</v>
      </c>
      <c r="D195" s="29">
        <v>61602828771</v>
      </c>
      <c r="E195" s="29">
        <v>0</v>
      </c>
      <c r="F195" s="29">
        <v>0</v>
      </c>
      <c r="G195" s="29">
        <v>0</v>
      </c>
      <c r="H195" s="29">
        <v>200000</v>
      </c>
      <c r="I195" s="29">
        <v>3532117918</v>
      </c>
      <c r="J195" s="29">
        <v>3190646</v>
      </c>
      <c r="K195" s="29">
        <v>20670</v>
      </c>
      <c r="L195" s="29">
        <v>23165053216</v>
      </c>
      <c r="M195" s="29">
        <v>65440854274</v>
      </c>
      <c r="N195" s="30">
        <v>6.3521287251897462E-3</v>
      </c>
    </row>
    <row r="196" spans="1:14" x14ac:dyDescent="0.4">
      <c r="A196" s="29" t="s">
        <v>386</v>
      </c>
      <c r="B196" s="29">
        <v>275726</v>
      </c>
      <c r="C196" s="29">
        <v>7715656489</v>
      </c>
      <c r="D196" s="29">
        <v>8101137232</v>
      </c>
      <c r="E196" s="29">
        <v>0</v>
      </c>
      <c r="F196" s="29">
        <v>0</v>
      </c>
      <c r="G196" s="29">
        <v>0</v>
      </c>
      <c r="H196" s="29">
        <v>0</v>
      </c>
      <c r="I196" s="29">
        <v>0</v>
      </c>
      <c r="J196" s="29">
        <v>275726</v>
      </c>
      <c r="K196" s="29">
        <v>53040</v>
      </c>
      <c r="L196" s="29">
        <v>7715656489</v>
      </c>
      <c r="M196" s="29">
        <v>14511459601</v>
      </c>
      <c r="N196" s="30">
        <v>1.4085797075629818E-3</v>
      </c>
    </row>
    <row r="197" spans="1:14" x14ac:dyDescent="0.4">
      <c r="A197" s="29" t="s">
        <v>401</v>
      </c>
      <c r="B197" s="29">
        <v>487887</v>
      </c>
      <c r="C197" s="29">
        <v>9859579712</v>
      </c>
      <c r="D197" s="29">
        <v>14266887719</v>
      </c>
      <c r="E197" s="29">
        <v>0</v>
      </c>
      <c r="F197" s="29">
        <v>0</v>
      </c>
      <c r="G197" s="29">
        <v>0</v>
      </c>
      <c r="H197" s="29">
        <v>0</v>
      </c>
      <c r="I197" s="29">
        <v>0</v>
      </c>
      <c r="J197" s="29">
        <v>487887</v>
      </c>
      <c r="K197" s="29">
        <v>34050</v>
      </c>
      <c r="L197" s="29">
        <v>9859579712</v>
      </c>
      <c r="M197" s="29">
        <v>16484137320</v>
      </c>
      <c r="N197" s="30">
        <v>1.600061052716818E-3</v>
      </c>
    </row>
    <row r="198" spans="1:14" x14ac:dyDescent="0.4">
      <c r="A198" s="29" t="s">
        <v>288</v>
      </c>
      <c r="B198" s="29">
        <v>3335116</v>
      </c>
      <c r="C198" s="29">
        <v>14118247862</v>
      </c>
      <c r="D198" s="29">
        <v>31935088090</v>
      </c>
      <c r="E198" s="29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3335116</v>
      </c>
      <c r="K198" s="29">
        <v>11650</v>
      </c>
      <c r="L198" s="29">
        <v>14118247862</v>
      </c>
      <c r="M198" s="29">
        <v>38553759196</v>
      </c>
      <c r="N198" s="30">
        <v>3.7422867407502559E-3</v>
      </c>
    </row>
    <row r="199" spans="1:14" x14ac:dyDescent="0.4">
      <c r="A199" s="29" t="s">
        <v>106</v>
      </c>
      <c r="B199" s="29">
        <v>16099135</v>
      </c>
      <c r="C199" s="29">
        <v>50912482356</v>
      </c>
      <c r="D199" s="29">
        <v>58467360592</v>
      </c>
      <c r="E199" s="29">
        <v>0</v>
      </c>
      <c r="F199" s="29">
        <v>0</v>
      </c>
      <c r="G199" s="29">
        <v>0</v>
      </c>
      <c r="H199" s="29">
        <v>600000</v>
      </c>
      <c r="I199" s="29">
        <v>2012638956</v>
      </c>
      <c r="J199" s="29">
        <v>15499135</v>
      </c>
      <c r="K199" s="29">
        <v>3420</v>
      </c>
      <c r="L199" s="29">
        <v>49015020821</v>
      </c>
      <c r="M199" s="29">
        <v>52597297268</v>
      </c>
      <c r="N199" s="30">
        <v>5.1054468428012034E-3</v>
      </c>
    </row>
    <row r="200" spans="1:14" x14ac:dyDescent="0.4">
      <c r="A200" s="29" t="s">
        <v>107</v>
      </c>
      <c r="B200" s="29">
        <v>3737468</v>
      </c>
      <c r="C200" s="29">
        <v>64547121077</v>
      </c>
      <c r="D200" s="29">
        <v>64047131221</v>
      </c>
      <c r="E200" s="29">
        <v>0</v>
      </c>
      <c r="F200" s="29">
        <v>0</v>
      </c>
      <c r="G200" s="29">
        <v>0</v>
      </c>
      <c r="H200" s="29">
        <v>900000</v>
      </c>
      <c r="I200" s="29">
        <v>15265765989</v>
      </c>
      <c r="J200" s="29">
        <v>2837468</v>
      </c>
      <c r="K200" s="29">
        <v>17570</v>
      </c>
      <c r="L200" s="29">
        <v>49003868541</v>
      </c>
      <c r="M200" s="29">
        <v>49468938922</v>
      </c>
      <c r="N200" s="30">
        <v>4.8017873760541618E-3</v>
      </c>
    </row>
    <row r="201" spans="1:14" x14ac:dyDescent="0.4">
      <c r="A201" s="29" t="s">
        <v>223</v>
      </c>
      <c r="B201" s="29">
        <v>5956686</v>
      </c>
      <c r="C201" s="29">
        <v>13285890001</v>
      </c>
      <c r="D201" s="29">
        <v>20864562085</v>
      </c>
      <c r="E201" s="29">
        <v>0</v>
      </c>
      <c r="F201" s="29">
        <v>0</v>
      </c>
      <c r="G201" s="29">
        <v>0</v>
      </c>
      <c r="H201" s="29">
        <v>0</v>
      </c>
      <c r="I201" s="29">
        <v>0</v>
      </c>
      <c r="J201" s="29">
        <v>5956686</v>
      </c>
      <c r="K201" s="29">
        <v>3770</v>
      </c>
      <c r="L201" s="29">
        <v>13285890001</v>
      </c>
      <c r="M201" s="29">
        <v>22283115881</v>
      </c>
      <c r="N201" s="30">
        <v>2.1629488496862207E-3</v>
      </c>
    </row>
    <row r="202" spans="1:14" x14ac:dyDescent="0.4">
      <c r="A202" s="29" t="s">
        <v>198</v>
      </c>
      <c r="B202" s="29">
        <v>5123567</v>
      </c>
      <c r="C202" s="29">
        <v>43806535573</v>
      </c>
      <c r="D202" s="29">
        <v>73971644584</v>
      </c>
      <c r="E202" s="29">
        <v>0</v>
      </c>
      <c r="F202" s="29">
        <v>0</v>
      </c>
      <c r="G202" s="29">
        <v>0</v>
      </c>
      <c r="H202" s="29">
        <v>200000</v>
      </c>
      <c r="I202" s="29">
        <v>3836115832</v>
      </c>
      <c r="J202" s="29">
        <v>4923567</v>
      </c>
      <c r="K202" s="29">
        <v>18270</v>
      </c>
      <c r="L202" s="29">
        <v>42096534100</v>
      </c>
      <c r="M202" s="29">
        <v>89258228001</v>
      </c>
      <c r="N202" s="30">
        <v>8.664002943341036E-3</v>
      </c>
    </row>
    <row r="203" spans="1:14" x14ac:dyDescent="0.4">
      <c r="A203" s="29" t="s">
        <v>139</v>
      </c>
      <c r="B203" s="29">
        <v>16626589</v>
      </c>
      <c r="C203" s="29">
        <v>71355034995</v>
      </c>
      <c r="D203" s="29">
        <v>85130017810</v>
      </c>
      <c r="E203" s="29">
        <v>0</v>
      </c>
      <c r="F203" s="29">
        <v>0</v>
      </c>
      <c r="G203" s="29">
        <v>0</v>
      </c>
      <c r="H203" s="29">
        <v>1200000</v>
      </c>
      <c r="I203" s="29">
        <v>6894291983</v>
      </c>
      <c r="J203" s="29">
        <v>15426589</v>
      </c>
      <c r="K203" s="29">
        <v>5920</v>
      </c>
      <c r="L203" s="29">
        <v>66205088606</v>
      </c>
      <c r="M203" s="29">
        <v>90619461485</v>
      </c>
      <c r="N203" s="30">
        <v>8.7961334054404879E-3</v>
      </c>
    </row>
    <row r="204" spans="1:14" x14ac:dyDescent="0.4">
      <c r="A204" s="29" t="s">
        <v>84</v>
      </c>
      <c r="B204" s="29">
        <v>1000000</v>
      </c>
      <c r="C204" s="29">
        <v>6243533309</v>
      </c>
      <c r="D204" s="29">
        <v>7958005400</v>
      </c>
      <c r="E204" s="29">
        <v>0</v>
      </c>
      <c r="F204" s="29">
        <v>0</v>
      </c>
      <c r="G204" s="29">
        <v>0</v>
      </c>
      <c r="H204" s="29">
        <v>0</v>
      </c>
      <c r="I204" s="29">
        <v>0</v>
      </c>
      <c r="J204" s="29">
        <v>1000000</v>
      </c>
      <c r="K204" s="29">
        <v>8210</v>
      </c>
      <c r="L204" s="29">
        <v>6243533309</v>
      </c>
      <c r="M204" s="29">
        <v>8146536700</v>
      </c>
      <c r="N204" s="30">
        <v>7.9075755286162541E-4</v>
      </c>
    </row>
    <row r="205" spans="1:14" x14ac:dyDescent="0.4">
      <c r="A205" s="29" t="s">
        <v>89</v>
      </c>
      <c r="B205" s="29">
        <v>10285372</v>
      </c>
      <c r="C205" s="29">
        <v>33916279289</v>
      </c>
      <c r="D205" s="29">
        <v>44497576085</v>
      </c>
      <c r="E205" s="29">
        <v>0</v>
      </c>
      <c r="F205" s="29">
        <v>0</v>
      </c>
      <c r="G205" s="29">
        <v>0</v>
      </c>
      <c r="H205" s="29">
        <v>300000</v>
      </c>
      <c r="I205" s="29">
        <v>1539010787</v>
      </c>
      <c r="J205" s="29">
        <v>9985372</v>
      </c>
      <c r="K205" s="29">
        <v>4720</v>
      </c>
      <c r="L205" s="29">
        <v>32927021556</v>
      </c>
      <c r="M205" s="29">
        <v>46766633551</v>
      </c>
      <c r="N205" s="30">
        <v>4.5394834718371973E-3</v>
      </c>
    </row>
    <row r="206" spans="1:14" x14ac:dyDescent="0.4">
      <c r="A206" s="29" t="s">
        <v>246</v>
      </c>
      <c r="B206" s="29">
        <v>12042240</v>
      </c>
      <c r="C206" s="29">
        <v>40530525665</v>
      </c>
      <c r="D206" s="29">
        <v>47916105474</v>
      </c>
      <c r="E206" s="29">
        <v>0</v>
      </c>
      <c r="F206" s="29">
        <v>0</v>
      </c>
      <c r="G206" s="29">
        <v>0</v>
      </c>
      <c r="H206" s="29">
        <v>3300000</v>
      </c>
      <c r="I206" s="29">
        <v>15147716630</v>
      </c>
      <c r="J206" s="29">
        <v>8742240</v>
      </c>
      <c r="K206" s="29">
        <v>4990</v>
      </c>
      <c r="L206" s="29">
        <v>29423727039</v>
      </c>
      <c r="M206" s="29">
        <v>43286565799</v>
      </c>
      <c r="N206" s="30">
        <v>4.2016847285547693E-3</v>
      </c>
    </row>
    <row r="207" spans="1:14" x14ac:dyDescent="0.4">
      <c r="A207" s="29" t="s">
        <v>233</v>
      </c>
      <c r="B207" s="29">
        <v>10484854</v>
      </c>
      <c r="C207" s="29">
        <v>53169614475</v>
      </c>
      <c r="D207" s="29">
        <v>72514528368</v>
      </c>
      <c r="E207" s="29">
        <v>0</v>
      </c>
      <c r="F207" s="29">
        <v>0</v>
      </c>
      <c r="G207" s="29">
        <v>0</v>
      </c>
      <c r="H207" s="29">
        <v>569359</v>
      </c>
      <c r="I207" s="29">
        <v>4638403358</v>
      </c>
      <c r="J207" s="29">
        <v>9915495</v>
      </c>
      <c r="K207" s="29">
        <v>8190</v>
      </c>
      <c r="L207" s="29">
        <v>50282345036</v>
      </c>
      <c r="M207" s="29">
        <v>80580166952</v>
      </c>
      <c r="N207" s="30">
        <v>7.8216520681904916E-3</v>
      </c>
    </row>
    <row r="208" spans="1:14" x14ac:dyDescent="0.4">
      <c r="A208" s="29" t="s">
        <v>219</v>
      </c>
      <c r="B208" s="29">
        <v>7269322</v>
      </c>
      <c r="C208" s="29">
        <v>24009334657</v>
      </c>
      <c r="D208" s="29">
        <v>40177134885</v>
      </c>
      <c r="E208" s="29">
        <v>0</v>
      </c>
      <c r="F208" s="29">
        <v>0</v>
      </c>
      <c r="G208" s="29">
        <v>0</v>
      </c>
      <c r="H208" s="29">
        <v>0</v>
      </c>
      <c r="I208" s="29">
        <v>0</v>
      </c>
      <c r="J208" s="29">
        <v>7269322</v>
      </c>
      <c r="K208" s="29">
        <v>7050</v>
      </c>
      <c r="L208" s="29">
        <v>24009334657</v>
      </c>
      <c r="M208" s="29">
        <v>50852567494</v>
      </c>
      <c r="N208" s="30">
        <v>4.936091655769019E-3</v>
      </c>
    </row>
    <row r="209" spans="1:14" x14ac:dyDescent="0.4">
      <c r="A209" s="29" t="s">
        <v>166</v>
      </c>
      <c r="B209" s="29">
        <v>876895</v>
      </c>
      <c r="C209" s="29">
        <v>44990741986</v>
      </c>
      <c r="D209" s="29">
        <v>64345122692</v>
      </c>
      <c r="E209" s="29">
        <v>0</v>
      </c>
      <c r="F209" s="29">
        <v>0</v>
      </c>
      <c r="G209" s="29">
        <v>0</v>
      </c>
      <c r="H209" s="29">
        <v>0</v>
      </c>
      <c r="I209" s="29">
        <v>0</v>
      </c>
      <c r="J209" s="29">
        <v>876895</v>
      </c>
      <c r="K209" s="29">
        <v>73180</v>
      </c>
      <c r="L209" s="29">
        <v>44990741986</v>
      </c>
      <c r="M209" s="29">
        <v>63675132909</v>
      </c>
      <c r="N209" s="30">
        <v>6.180735953384902E-3</v>
      </c>
    </row>
    <row r="210" spans="1:14" x14ac:dyDescent="0.4">
      <c r="A210" s="29" t="s">
        <v>275</v>
      </c>
      <c r="B210" s="29">
        <v>21351892</v>
      </c>
      <c r="C210" s="29">
        <v>10573465274</v>
      </c>
      <c r="D210" s="29">
        <v>37394775909</v>
      </c>
      <c r="E210" s="29">
        <v>0</v>
      </c>
      <c r="F210" s="29">
        <v>0</v>
      </c>
      <c r="G210" s="29">
        <v>0</v>
      </c>
      <c r="H210" s="29">
        <v>0</v>
      </c>
      <c r="I210" s="29">
        <v>0</v>
      </c>
      <c r="J210" s="29">
        <v>21351892</v>
      </c>
      <c r="K210" s="29">
        <v>1994</v>
      </c>
      <c r="L210" s="29">
        <v>10573465274</v>
      </c>
      <c r="M210" s="29">
        <v>42246562698</v>
      </c>
      <c r="N210" s="30">
        <v>4.1007350443637855E-3</v>
      </c>
    </row>
    <row r="211" spans="1:14" x14ac:dyDescent="0.4">
      <c r="A211" s="29" t="s">
        <v>131</v>
      </c>
      <c r="B211" s="29">
        <v>3270922</v>
      </c>
      <c r="C211" s="29">
        <v>18435572526</v>
      </c>
      <c r="D211" s="29">
        <v>40245908384</v>
      </c>
      <c r="E211" s="29">
        <v>0</v>
      </c>
      <c r="F211" s="29">
        <v>0</v>
      </c>
      <c r="G211" s="29">
        <v>0</v>
      </c>
      <c r="H211" s="29">
        <v>200000</v>
      </c>
      <c r="I211" s="29">
        <v>2368397291</v>
      </c>
      <c r="J211" s="29">
        <v>3070922</v>
      </c>
      <c r="K211" s="29">
        <v>11660</v>
      </c>
      <c r="L211" s="29">
        <v>17308332407</v>
      </c>
      <c r="M211" s="29">
        <v>35530162792</v>
      </c>
      <c r="N211" s="30">
        <v>3.4487961715285831E-3</v>
      </c>
    </row>
    <row r="212" spans="1:14" x14ac:dyDescent="0.4">
      <c r="A212" s="29" t="s">
        <v>78</v>
      </c>
      <c r="B212" s="29">
        <v>1008593</v>
      </c>
      <c r="C212" s="29">
        <v>50168963490</v>
      </c>
      <c r="D212" s="29">
        <v>48278426832</v>
      </c>
      <c r="E212" s="29">
        <v>0</v>
      </c>
      <c r="F212" s="29">
        <v>0</v>
      </c>
      <c r="G212" s="29">
        <v>0</v>
      </c>
      <c r="H212" s="29">
        <v>210000</v>
      </c>
      <c r="I212" s="29">
        <v>11268596519</v>
      </c>
      <c r="J212" s="29">
        <v>798593</v>
      </c>
      <c r="K212" s="29">
        <v>52180</v>
      </c>
      <c r="L212" s="29">
        <v>39723241248</v>
      </c>
      <c r="M212" s="29">
        <v>41348469135</v>
      </c>
      <c r="N212" s="30">
        <v>4.0135600527972885E-3</v>
      </c>
    </row>
    <row r="213" spans="1:14" x14ac:dyDescent="0.4">
      <c r="A213" s="29" t="s">
        <v>75</v>
      </c>
      <c r="B213" s="29">
        <v>2300000</v>
      </c>
      <c r="C213" s="29">
        <v>29606552936</v>
      </c>
      <c r="D213" s="29">
        <v>44731531600</v>
      </c>
      <c r="E213" s="29">
        <v>0</v>
      </c>
      <c r="F213" s="29">
        <v>0</v>
      </c>
      <c r="G213" s="29">
        <v>0</v>
      </c>
      <c r="H213" s="29">
        <v>2300000</v>
      </c>
      <c r="I213" s="29">
        <v>43523668906</v>
      </c>
      <c r="J213" s="29">
        <v>0</v>
      </c>
      <c r="K213" s="29">
        <v>0</v>
      </c>
      <c r="L213" s="29">
        <v>0</v>
      </c>
      <c r="M213" s="29">
        <v>0</v>
      </c>
      <c r="N213" s="30">
        <v>0</v>
      </c>
    </row>
    <row r="214" spans="1:14" x14ac:dyDescent="0.4">
      <c r="A214" s="29" t="s">
        <v>102</v>
      </c>
      <c r="B214" s="29">
        <v>2429460</v>
      </c>
      <c r="C214" s="29">
        <v>51854919833</v>
      </c>
      <c r="D214" s="29">
        <v>56048316375</v>
      </c>
      <c r="E214" s="29">
        <v>0</v>
      </c>
      <c r="F214" s="29">
        <v>0</v>
      </c>
      <c r="G214" s="29">
        <v>0</v>
      </c>
      <c r="H214" s="29">
        <v>529208</v>
      </c>
      <c r="I214" s="29">
        <v>12524734971</v>
      </c>
      <c r="J214" s="29">
        <v>1900252</v>
      </c>
      <c r="K214" s="29">
        <v>29140</v>
      </c>
      <c r="L214" s="29">
        <v>40559389792</v>
      </c>
      <c r="M214" s="29">
        <v>54945307336</v>
      </c>
      <c r="N214" s="30">
        <v>5.3333604659566896E-3</v>
      </c>
    </row>
    <row r="215" spans="1:14" x14ac:dyDescent="0.4">
      <c r="A215" s="29" t="s">
        <v>252</v>
      </c>
      <c r="B215" s="29">
        <v>628673</v>
      </c>
      <c r="C215" s="29">
        <v>15618857021</v>
      </c>
      <c r="D215" s="29">
        <v>21452941372</v>
      </c>
      <c r="E215" s="29">
        <v>0</v>
      </c>
      <c r="F215" s="29">
        <v>0</v>
      </c>
      <c r="G215" s="29">
        <v>0</v>
      </c>
      <c r="H215" s="29">
        <v>0</v>
      </c>
      <c r="I215" s="29">
        <v>0</v>
      </c>
      <c r="J215" s="29">
        <v>628673</v>
      </c>
      <c r="K215" s="29">
        <v>51160</v>
      </c>
      <c r="L215" s="29">
        <v>15618857021</v>
      </c>
      <c r="M215" s="29">
        <v>31914291380</v>
      </c>
      <c r="N215" s="30">
        <v>3.0978154131388945E-3</v>
      </c>
    </row>
    <row r="216" spans="1:14" x14ac:dyDescent="0.4">
      <c r="A216" s="29" t="s">
        <v>185</v>
      </c>
      <c r="B216" s="29">
        <v>1881856</v>
      </c>
      <c r="C216" s="29">
        <v>13238121345</v>
      </c>
      <c r="D216" s="29">
        <v>19588074065</v>
      </c>
      <c r="E216" s="29">
        <v>0</v>
      </c>
      <c r="F216" s="29">
        <v>0</v>
      </c>
      <c r="G216" s="29">
        <v>0</v>
      </c>
      <c r="H216" s="29">
        <v>400000</v>
      </c>
      <c r="I216" s="29">
        <v>4087090888</v>
      </c>
      <c r="J216" s="29">
        <v>1481856</v>
      </c>
      <c r="K216" s="29">
        <v>13430</v>
      </c>
      <c r="L216" s="29">
        <v>10424277704</v>
      </c>
      <c r="M216" s="29">
        <v>19747488829</v>
      </c>
      <c r="N216" s="30">
        <v>1.9168238622901343E-3</v>
      </c>
    </row>
    <row r="217" spans="1:14" x14ac:dyDescent="0.4">
      <c r="A217" s="29" t="s">
        <v>391</v>
      </c>
      <c r="B217" s="29">
        <v>1136013</v>
      </c>
      <c r="C217" s="29">
        <v>21430044410</v>
      </c>
      <c r="D217" s="29">
        <v>42654444482</v>
      </c>
      <c r="E217" s="29">
        <v>0</v>
      </c>
      <c r="F217" s="29">
        <v>0</v>
      </c>
      <c r="G217" s="29">
        <v>0</v>
      </c>
      <c r="H217" s="29">
        <v>0</v>
      </c>
      <c r="I217" s="29">
        <v>0</v>
      </c>
      <c r="J217" s="29">
        <v>1136013</v>
      </c>
      <c r="K217" s="29">
        <v>46550</v>
      </c>
      <c r="L217" s="29">
        <v>21430044410</v>
      </c>
      <c r="M217" s="29">
        <v>52472631888</v>
      </c>
      <c r="N217" s="30">
        <v>5.0933459839398714E-3</v>
      </c>
    </row>
    <row r="218" spans="1:14" x14ac:dyDescent="0.4">
      <c r="A218" s="29" t="s">
        <v>162</v>
      </c>
      <c r="B218" s="29">
        <v>7791749</v>
      </c>
      <c r="C218" s="29">
        <v>50594668264</v>
      </c>
      <c r="D218" s="29">
        <v>98422234072</v>
      </c>
      <c r="E218" s="29">
        <v>0</v>
      </c>
      <c r="F218" s="29">
        <v>0</v>
      </c>
      <c r="G218" s="29">
        <v>0</v>
      </c>
      <c r="H218" s="29">
        <v>700000</v>
      </c>
      <c r="I218" s="29">
        <v>8960443024</v>
      </c>
      <c r="J218" s="29">
        <v>7091749</v>
      </c>
      <c r="K218" s="29">
        <v>13160</v>
      </c>
      <c r="L218" s="29">
        <v>46049312942</v>
      </c>
      <c r="M218" s="29">
        <v>92605995908</v>
      </c>
      <c r="N218" s="30">
        <v>8.98895977532683E-3</v>
      </c>
    </row>
    <row r="219" spans="1:14" x14ac:dyDescent="0.4">
      <c r="A219" s="29" t="s">
        <v>239</v>
      </c>
      <c r="B219" s="29">
        <v>13995002</v>
      </c>
      <c r="C219" s="29">
        <v>37611024620</v>
      </c>
      <c r="D219" s="29">
        <v>106789650680</v>
      </c>
      <c r="E219" s="29">
        <v>0</v>
      </c>
      <c r="F219" s="29">
        <v>0</v>
      </c>
      <c r="G219" s="29">
        <v>0</v>
      </c>
      <c r="H219" s="29">
        <v>1900708</v>
      </c>
      <c r="I219" s="29">
        <v>14990049110</v>
      </c>
      <c r="J219" s="29">
        <v>12094294</v>
      </c>
      <c r="K219" s="29">
        <v>7870</v>
      </c>
      <c r="L219" s="29">
        <v>32502945651</v>
      </c>
      <c r="M219" s="29">
        <v>94446336195</v>
      </c>
      <c r="N219" s="30">
        <v>9.1675955607374311E-3</v>
      </c>
    </row>
    <row r="220" spans="1:14" x14ac:dyDescent="0.4">
      <c r="A220" s="29" t="s">
        <v>206</v>
      </c>
      <c r="B220" s="29">
        <v>768712</v>
      </c>
      <c r="C220" s="29">
        <v>7407948811</v>
      </c>
      <c r="D220" s="29">
        <v>16796192234</v>
      </c>
      <c r="E220" s="29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768712</v>
      </c>
      <c r="K220" s="29">
        <v>22630</v>
      </c>
      <c r="L220" s="29">
        <v>7407948811</v>
      </c>
      <c r="M220" s="29">
        <v>17261481847</v>
      </c>
      <c r="N220" s="30">
        <v>1.6755153320673177E-3</v>
      </c>
    </row>
    <row r="221" spans="1:14" x14ac:dyDescent="0.4">
      <c r="A221" s="29" t="s">
        <v>255</v>
      </c>
      <c r="B221" s="29">
        <v>900000</v>
      </c>
      <c r="C221" s="29">
        <v>2252043000</v>
      </c>
      <c r="D221" s="29">
        <v>7296161310</v>
      </c>
      <c r="E221" s="29">
        <v>0</v>
      </c>
      <c r="F221" s="29">
        <v>0</v>
      </c>
      <c r="G221" s="29">
        <v>0</v>
      </c>
      <c r="H221" s="29">
        <v>0</v>
      </c>
      <c r="I221" s="29">
        <v>0</v>
      </c>
      <c r="J221" s="29">
        <v>900000</v>
      </c>
      <c r="K221" s="29">
        <v>10300</v>
      </c>
      <c r="L221" s="29">
        <v>2252043000</v>
      </c>
      <c r="M221" s="29">
        <v>9198342900</v>
      </c>
      <c r="N221" s="30">
        <v>8.9285292509467325E-4</v>
      </c>
    </row>
    <row r="222" spans="1:14" x14ac:dyDescent="0.4">
      <c r="A222" s="29" t="s">
        <v>159</v>
      </c>
      <c r="B222" s="29">
        <v>1505716</v>
      </c>
      <c r="C222" s="29">
        <v>9359477203</v>
      </c>
      <c r="D222" s="29">
        <v>29627543248</v>
      </c>
      <c r="E222" s="29">
        <v>0</v>
      </c>
      <c r="F222" s="29">
        <v>0</v>
      </c>
      <c r="G222" s="29">
        <v>0</v>
      </c>
      <c r="H222" s="29">
        <v>400000</v>
      </c>
      <c r="I222" s="29">
        <v>9303523603</v>
      </c>
      <c r="J222" s="29">
        <v>1105716</v>
      </c>
      <c r="K222" s="29">
        <v>27270</v>
      </c>
      <c r="L222" s="29">
        <v>6873091403</v>
      </c>
      <c r="M222" s="29">
        <v>29919793594</v>
      </c>
      <c r="N222" s="30">
        <v>2.9042160657689513E-3</v>
      </c>
    </row>
    <row r="223" spans="1:14" x14ac:dyDescent="0.4">
      <c r="A223" s="29" t="s">
        <v>204</v>
      </c>
      <c r="B223" s="29">
        <v>10833352</v>
      </c>
      <c r="C223" s="29">
        <v>48269839701</v>
      </c>
      <c r="D223" s="29">
        <v>74924783018</v>
      </c>
      <c r="E223" s="29">
        <v>0</v>
      </c>
      <c r="F223" s="29">
        <v>0</v>
      </c>
      <c r="G223" s="29">
        <v>0</v>
      </c>
      <c r="H223" s="29">
        <v>1321356</v>
      </c>
      <c r="I223" s="29">
        <v>9468831422</v>
      </c>
      <c r="J223" s="29">
        <v>9511996</v>
      </c>
      <c r="K223" s="29">
        <v>6980</v>
      </c>
      <c r="L223" s="29">
        <v>42382313633</v>
      </c>
      <c r="M223" s="29">
        <v>65880508531</v>
      </c>
      <c r="N223" s="30">
        <v>6.3948045194779516E-3</v>
      </c>
    </row>
    <row r="224" spans="1:14" x14ac:dyDescent="0.4">
      <c r="A224" s="29" t="s">
        <v>117</v>
      </c>
      <c r="B224" s="29">
        <v>1733590</v>
      </c>
      <c r="C224" s="29">
        <v>14543837294</v>
      </c>
      <c r="D224" s="29">
        <v>30722581778</v>
      </c>
      <c r="E224" s="29">
        <v>0</v>
      </c>
      <c r="F224" s="29">
        <v>0</v>
      </c>
      <c r="G224" s="29">
        <v>0</v>
      </c>
      <c r="H224" s="29">
        <v>100000</v>
      </c>
      <c r="I224" s="29">
        <v>1930280504</v>
      </c>
      <c r="J224" s="29">
        <v>1633590</v>
      </c>
      <c r="K224" s="29">
        <v>18270</v>
      </c>
      <c r="L224" s="29">
        <v>13704893986</v>
      </c>
      <c r="M224" s="29">
        <v>29614982122</v>
      </c>
      <c r="N224" s="30">
        <v>2.8746290176086121E-3</v>
      </c>
    </row>
    <row r="225" spans="1:14" x14ac:dyDescent="0.4">
      <c r="A225" s="29" t="s">
        <v>160</v>
      </c>
      <c r="B225" s="29">
        <v>1889175</v>
      </c>
      <c r="C225" s="29">
        <v>14083991554</v>
      </c>
      <c r="D225" s="29">
        <v>36591639140</v>
      </c>
      <c r="E225" s="29">
        <v>0</v>
      </c>
      <c r="F225" s="29">
        <v>0</v>
      </c>
      <c r="G225" s="29">
        <v>0</v>
      </c>
      <c r="H225" s="29">
        <v>0</v>
      </c>
      <c r="I225" s="29">
        <v>0</v>
      </c>
      <c r="J225" s="29">
        <v>1889175</v>
      </c>
      <c r="K225" s="29">
        <v>23980</v>
      </c>
      <c r="L225" s="29">
        <v>14083991554</v>
      </c>
      <c r="M225" s="29">
        <v>44952228820</v>
      </c>
      <c r="N225" s="30">
        <v>4.3633651656389185E-3</v>
      </c>
    </row>
    <row r="226" spans="1:14" x14ac:dyDescent="0.4">
      <c r="A226" s="29" t="s">
        <v>170</v>
      </c>
      <c r="B226" s="29">
        <v>8524905</v>
      </c>
      <c r="C226" s="29">
        <v>44414978098</v>
      </c>
      <c r="D226" s="29">
        <v>111320538494</v>
      </c>
      <c r="E226" s="29">
        <v>0</v>
      </c>
      <c r="F226" s="29">
        <v>0</v>
      </c>
      <c r="G226" s="29">
        <v>0</v>
      </c>
      <c r="H226" s="29">
        <v>2493395</v>
      </c>
      <c r="I226" s="29">
        <v>35273563078</v>
      </c>
      <c r="J226" s="29">
        <v>6031510</v>
      </c>
      <c r="K226" s="29">
        <v>17470</v>
      </c>
      <c r="L226" s="29">
        <v>31424324910</v>
      </c>
      <c r="M226" s="29">
        <v>104555965892</v>
      </c>
      <c r="N226" s="30">
        <v>1.0148904101277969E-2</v>
      </c>
    </row>
    <row r="227" spans="1:14" x14ac:dyDescent="0.4">
      <c r="A227" s="29" t="s">
        <v>216</v>
      </c>
      <c r="B227" s="29">
        <v>30273917</v>
      </c>
      <c r="C227" s="29">
        <v>75007782299</v>
      </c>
      <c r="D227" s="29">
        <v>74709230359</v>
      </c>
      <c r="E227" s="29">
        <v>0</v>
      </c>
      <c r="F227" s="29">
        <v>0</v>
      </c>
      <c r="G227" s="29">
        <v>0</v>
      </c>
      <c r="H227" s="29">
        <v>0</v>
      </c>
      <c r="I227" s="29">
        <v>0</v>
      </c>
      <c r="J227" s="29">
        <v>30273917</v>
      </c>
      <c r="K227" s="29">
        <v>2790</v>
      </c>
      <c r="L227" s="29">
        <v>75007782299</v>
      </c>
      <c r="M227" s="29">
        <v>83811319944</v>
      </c>
      <c r="N227" s="30">
        <v>8.1352894735035285E-3</v>
      </c>
    </row>
    <row r="228" spans="1:14" x14ac:dyDescent="0.4">
      <c r="A228" s="29" t="s">
        <v>222</v>
      </c>
      <c r="B228" s="29">
        <v>15752234</v>
      </c>
      <c r="C228" s="29">
        <v>23762214862</v>
      </c>
      <c r="D228" s="29">
        <v>38216497270</v>
      </c>
      <c r="E228" s="29">
        <v>0</v>
      </c>
      <c r="F228" s="29">
        <v>0</v>
      </c>
      <c r="G228" s="29">
        <v>0</v>
      </c>
      <c r="H228" s="29">
        <v>2000000</v>
      </c>
      <c r="I228" s="29">
        <v>4809562664</v>
      </c>
      <c r="J228" s="29">
        <v>13752234</v>
      </c>
      <c r="K228" s="29">
        <v>2470</v>
      </c>
      <c r="L228" s="29">
        <v>20745218688</v>
      </c>
      <c r="M228" s="29">
        <v>33705445201</v>
      </c>
      <c r="N228" s="30">
        <v>3.2716768298919436E-3</v>
      </c>
    </row>
    <row r="229" spans="1:14" x14ac:dyDescent="0.4">
      <c r="A229" s="29" t="s">
        <v>208</v>
      </c>
      <c r="B229" s="29">
        <v>30913216</v>
      </c>
      <c r="C229" s="29">
        <v>39246210446</v>
      </c>
      <c r="D229" s="29">
        <v>56992769209</v>
      </c>
      <c r="E229" s="29">
        <v>0</v>
      </c>
      <c r="F229" s="29">
        <v>0</v>
      </c>
      <c r="G229" s="29">
        <v>0</v>
      </c>
      <c r="H229" s="29">
        <v>11000000</v>
      </c>
      <c r="I229" s="29">
        <v>22146474196</v>
      </c>
      <c r="J229" s="29">
        <v>19913216</v>
      </c>
      <c r="K229" s="29">
        <v>2358</v>
      </c>
      <c r="L229" s="29">
        <v>25281040504</v>
      </c>
      <c r="M229" s="29">
        <v>46592398369</v>
      </c>
      <c r="N229" s="30">
        <v>4.5225710351522045E-3</v>
      </c>
    </row>
    <row r="230" spans="1:14" x14ac:dyDescent="0.4">
      <c r="A230" s="29" t="s">
        <v>282</v>
      </c>
      <c r="B230" s="29">
        <v>5200000</v>
      </c>
      <c r="C230" s="29">
        <v>17798536615</v>
      </c>
      <c r="D230" s="29">
        <v>18265706160</v>
      </c>
      <c r="E230" s="29">
        <v>0</v>
      </c>
      <c r="F230" s="29">
        <v>0</v>
      </c>
      <c r="G230" s="29">
        <v>0</v>
      </c>
      <c r="H230" s="29">
        <v>0</v>
      </c>
      <c r="I230" s="29">
        <v>0</v>
      </c>
      <c r="J230" s="29">
        <v>5200000</v>
      </c>
      <c r="K230" s="29">
        <v>3980</v>
      </c>
      <c r="L230" s="29">
        <v>17798536615</v>
      </c>
      <c r="M230" s="29">
        <v>20536019920</v>
      </c>
      <c r="N230" s="30">
        <v>1.9933639846558097E-3</v>
      </c>
    </row>
    <row r="231" spans="1:14" x14ac:dyDescent="0.4">
      <c r="A231" s="29" t="s">
        <v>123</v>
      </c>
      <c r="B231" s="29">
        <v>11417778</v>
      </c>
      <c r="C231" s="29">
        <v>23223851206</v>
      </c>
      <c r="D231" s="29">
        <v>31586697790</v>
      </c>
      <c r="E231" s="29">
        <v>0</v>
      </c>
      <c r="F231" s="29">
        <v>0</v>
      </c>
      <c r="G231" s="29">
        <v>0</v>
      </c>
      <c r="H231" s="29">
        <v>0</v>
      </c>
      <c r="I231" s="29">
        <v>0</v>
      </c>
      <c r="J231" s="29">
        <v>11417778</v>
      </c>
      <c r="K231" s="29">
        <v>2760</v>
      </c>
      <c r="L231" s="29">
        <v>23223851206</v>
      </c>
      <c r="M231" s="29">
        <v>31269471270</v>
      </c>
      <c r="N231" s="30">
        <v>3.0352248435512605E-3</v>
      </c>
    </row>
    <row r="232" spans="1:14" x14ac:dyDescent="0.4">
      <c r="A232" s="29" t="s">
        <v>151</v>
      </c>
      <c r="B232" s="29">
        <v>22587472</v>
      </c>
      <c r="C232" s="29">
        <v>37248319590</v>
      </c>
      <c r="D232" s="29">
        <v>59326869117</v>
      </c>
      <c r="E232" s="29">
        <v>19365078</v>
      </c>
      <c r="F232" s="29">
        <v>0</v>
      </c>
      <c r="G232" s="29">
        <v>0</v>
      </c>
      <c r="H232" s="29">
        <v>0</v>
      </c>
      <c r="I232" s="29">
        <v>0</v>
      </c>
      <c r="J232" s="29">
        <v>41952550</v>
      </c>
      <c r="K232" s="29">
        <v>3020</v>
      </c>
      <c r="L232" s="29">
        <v>69182686314</v>
      </c>
      <c r="M232" s="29">
        <v>125717335501</v>
      </c>
      <c r="N232" s="30">
        <v>1.2202968725723006E-2</v>
      </c>
    </row>
    <row r="233" spans="1:14" x14ac:dyDescent="0.4">
      <c r="A233" s="29" t="s">
        <v>402</v>
      </c>
      <c r="B233" s="29">
        <v>21654910</v>
      </c>
      <c r="C233" s="29">
        <v>14055549690</v>
      </c>
      <c r="D233" s="40">
        <v>28621373371</v>
      </c>
      <c r="E233" s="29">
        <v>-19365078</v>
      </c>
      <c r="F233" s="29">
        <v>0</v>
      </c>
      <c r="G233" s="29">
        <v>0</v>
      </c>
      <c r="H233" s="29">
        <v>2289832</v>
      </c>
      <c r="I233" s="40">
        <v>3194731714</v>
      </c>
      <c r="J233" s="29">
        <v>0</v>
      </c>
      <c r="K233" s="29">
        <v>0</v>
      </c>
      <c r="L233" s="40">
        <v>0</v>
      </c>
      <c r="M233" s="40">
        <v>0</v>
      </c>
      <c r="N233" s="39">
        <v>0</v>
      </c>
    </row>
    <row r="234" spans="1:14" ht="16.5" thickBot="1" x14ac:dyDescent="0.45">
      <c r="A234" s="29" t="s">
        <v>2</v>
      </c>
      <c r="B234" s="29"/>
      <c r="C234" s="42">
        <f t="shared" ref="C234:I234" si="0">SUM(C10:C233)</f>
        <v>6197818746650</v>
      </c>
      <c r="D234" s="29">
        <f t="shared" si="0"/>
        <v>10156499374743</v>
      </c>
      <c r="E234" s="29"/>
      <c r="F234" s="29"/>
      <c r="G234" s="41">
        <f t="shared" si="0"/>
        <v>112338300216</v>
      </c>
      <c r="H234" s="29"/>
      <c r="I234" s="42">
        <f t="shared" si="0"/>
        <v>1677002367357</v>
      </c>
      <c r="J234" s="29"/>
      <c r="L234" s="42">
        <f>SUM(L10:L233)</f>
        <v>5414284315886</v>
      </c>
      <c r="M234" s="42">
        <f>SUM(M10:M233)</f>
        <v>9884986930771</v>
      </c>
      <c r="N234" s="30">
        <f>SUM(N10:N233)</f>
        <v>0.95950320526336386</v>
      </c>
    </row>
    <row r="235" spans="1:14" ht="9" customHeight="1" thickTop="1" x14ac:dyDescent="0.4">
      <c r="D235" s="43"/>
      <c r="G235" s="43"/>
      <c r="N235" s="43"/>
    </row>
    <row r="236" spans="1:14" x14ac:dyDescent="0.4">
      <c r="M236" s="102"/>
    </row>
  </sheetData>
  <mergeCells count="19">
    <mergeCell ref="A1:N1"/>
    <mergeCell ref="A2:N2"/>
    <mergeCell ref="A3:N3"/>
    <mergeCell ref="A4:N4"/>
    <mergeCell ref="A5:N5"/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</mergeCells>
  <pageMargins left="0.70866141732283472" right="0.70866141732283472" top="0.74803149606299213" bottom="0.74803149606299213" header="0.31496062992125984" footer="0.31496062992125984"/>
  <pageSetup scale="68" fitToHeight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7"/>
  <sheetViews>
    <sheetView rightToLeft="1" tabSelected="1" view="pageBreakPreview" zoomScale="90" zoomScaleNormal="100" zoomScaleSheetLayoutView="90" workbookViewId="0">
      <selection activeCell="P37" sqref="P36:P37"/>
    </sheetView>
  </sheetViews>
  <sheetFormatPr defaultColWidth="9.140625" defaultRowHeight="18.75" x14ac:dyDescent="0.45"/>
  <cols>
    <col min="1" max="1" width="16.42578125" style="44" customWidth="1"/>
    <col min="2" max="2" width="17.85546875" style="44" customWidth="1"/>
    <col min="3" max="3" width="22.5703125" style="44" customWidth="1"/>
    <col min="4" max="4" width="20.7109375" style="44" customWidth="1"/>
    <col min="5" max="5" width="16.42578125" style="44" customWidth="1"/>
    <col min="6" max="6" width="13.85546875" style="44" customWidth="1"/>
    <col min="7" max="7" width="4.28515625" style="44" customWidth="1"/>
    <col min="8" max="8" width="0.42578125" style="44" customWidth="1"/>
    <col min="9" max="9" width="5.28515625" style="44" customWidth="1"/>
    <col min="10" max="10" width="4.28515625" style="44" customWidth="1"/>
    <col min="11" max="11" width="0.42578125" style="44" customWidth="1"/>
    <col min="12" max="12" width="10.5703125" style="44" customWidth="1"/>
    <col min="13" max="13" width="0.5703125" style="44" customWidth="1"/>
    <col min="14" max="14" width="11.5703125" style="44" customWidth="1"/>
    <col min="15" max="16384" width="9.140625" style="44"/>
  </cols>
  <sheetData>
    <row r="1" spans="1:14" ht="21" x14ac:dyDescent="0.55000000000000004">
      <c r="A1" s="70" t="s">
        <v>61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21" x14ac:dyDescent="0.55000000000000004">
      <c r="A2" s="70" t="s">
        <v>49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1" x14ac:dyDescent="0.55000000000000004">
      <c r="A3" s="70" t="s">
        <v>62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21" x14ac:dyDescent="0.5500000000000000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21" x14ac:dyDescent="0.45">
      <c r="A5" s="56" t="s">
        <v>406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 ht="19.5" thickBot="1" x14ac:dyDescent="0.5">
      <c r="B6" s="45"/>
      <c r="C6" s="45"/>
      <c r="D6" s="45"/>
      <c r="E6" s="45"/>
      <c r="F6" s="45"/>
    </row>
    <row r="7" spans="1:14" ht="51" customHeight="1" thickBot="1" x14ac:dyDescent="0.5">
      <c r="A7" s="46"/>
      <c r="B7" s="47" t="s">
        <v>64</v>
      </c>
      <c r="C7" s="78" t="s">
        <v>7</v>
      </c>
      <c r="D7" s="78"/>
      <c r="E7" s="73" t="s">
        <v>63</v>
      </c>
      <c r="F7" s="73"/>
    </row>
    <row r="8" spans="1:14" ht="24" customHeight="1" x14ac:dyDescent="0.45">
      <c r="A8" s="76" t="s">
        <v>8</v>
      </c>
      <c r="B8" s="77" t="s">
        <v>6</v>
      </c>
      <c r="C8" s="79" t="s">
        <v>29</v>
      </c>
      <c r="D8" s="79" t="s">
        <v>59</v>
      </c>
      <c r="E8" s="74" t="s">
        <v>6</v>
      </c>
      <c r="F8" s="71" t="s">
        <v>19</v>
      </c>
    </row>
    <row r="9" spans="1:14" ht="29.25" customHeight="1" thickBot="1" x14ac:dyDescent="0.5">
      <c r="A9" s="72"/>
      <c r="B9" s="75"/>
      <c r="C9" s="80"/>
      <c r="D9" s="80"/>
      <c r="E9" s="75"/>
      <c r="F9" s="72"/>
    </row>
    <row r="10" spans="1:14" ht="28.5" customHeight="1" x14ac:dyDescent="0.45">
      <c r="A10" s="49" t="s">
        <v>71</v>
      </c>
      <c r="B10" s="49">
        <v>9812</v>
      </c>
      <c r="E10" s="49">
        <v>9812</v>
      </c>
      <c r="F10" s="50">
        <v>9.5241860368446725E-10</v>
      </c>
    </row>
    <row r="11" spans="1:14" ht="28.5" customHeight="1" x14ac:dyDescent="0.45">
      <c r="A11" s="49" t="s">
        <v>66</v>
      </c>
      <c r="B11" s="49">
        <v>14991300</v>
      </c>
      <c r="C11" s="49">
        <v>63394</v>
      </c>
      <c r="D11" s="49">
        <v>0</v>
      </c>
      <c r="E11" s="49">
        <v>15054694</v>
      </c>
      <c r="F11" s="50">
        <v>1.4613096859332378E-6</v>
      </c>
    </row>
    <row r="12" spans="1:14" ht="28.5" customHeight="1" x14ac:dyDescent="0.45">
      <c r="A12" s="49" t="s">
        <v>67</v>
      </c>
      <c r="B12" s="49">
        <v>6874147</v>
      </c>
      <c r="C12" s="49">
        <v>29068</v>
      </c>
      <c r="D12" s="49">
        <v>0</v>
      </c>
      <c r="E12" s="49">
        <v>6903215</v>
      </c>
      <c r="F12" s="50">
        <v>6.7007240024802998E-7</v>
      </c>
    </row>
    <row r="13" spans="1:14" ht="28.5" customHeight="1" x14ac:dyDescent="0.45">
      <c r="A13" s="49" t="s">
        <v>68</v>
      </c>
      <c r="B13" s="49">
        <v>5449472</v>
      </c>
      <c r="C13" s="49">
        <v>973189078</v>
      </c>
      <c r="D13" s="49">
        <v>969717681</v>
      </c>
      <c r="E13" s="49">
        <v>8920869</v>
      </c>
      <c r="F13" s="50">
        <v>8.6591944523359661E-7</v>
      </c>
    </row>
    <row r="14" spans="1:14" ht="28.5" customHeight="1" x14ac:dyDescent="0.45">
      <c r="A14" s="49" t="s">
        <v>69</v>
      </c>
      <c r="B14" s="49">
        <v>76503966278</v>
      </c>
      <c r="C14" s="49">
        <v>1181679736220</v>
      </c>
      <c r="D14" s="49">
        <v>1249093513729</v>
      </c>
      <c r="E14" s="49">
        <v>9090188769</v>
      </c>
      <c r="F14" s="50">
        <v>8.8235475892776266E-4</v>
      </c>
    </row>
    <row r="15" spans="1:14" ht="28.5" customHeight="1" x14ac:dyDescent="0.45">
      <c r="A15" s="49" t="s">
        <v>70</v>
      </c>
      <c r="B15" s="51">
        <v>7417671</v>
      </c>
      <c r="C15" s="49">
        <v>728351327852</v>
      </c>
      <c r="D15" s="51">
        <v>694587353373</v>
      </c>
      <c r="E15" s="49">
        <v>33771392150</v>
      </c>
      <c r="F15" s="50">
        <v>3.2780780835694641E-3</v>
      </c>
    </row>
    <row r="16" spans="1:14" ht="28.5" customHeight="1" thickBot="1" x14ac:dyDescent="0.5">
      <c r="A16" s="49" t="s">
        <v>2</v>
      </c>
      <c r="B16" s="49">
        <f>SUM(B10:B15)</f>
        <v>76538708680</v>
      </c>
      <c r="C16" s="52">
        <f>SUM(C10:C15)</f>
        <v>1911004345612</v>
      </c>
      <c r="D16" s="49">
        <f>SUM(D10:D15)</f>
        <v>1944650584783</v>
      </c>
      <c r="E16" s="53">
        <f>SUM(E10:E15)</f>
        <v>42892469509</v>
      </c>
      <c r="F16" s="54">
        <f>SUM(F10:F15)</f>
        <v>4.1634310964472456E-3</v>
      </c>
    </row>
    <row r="17" spans="2:5" ht="28.5" customHeight="1" thickTop="1" x14ac:dyDescent="0.45">
      <c r="B17" s="55"/>
      <c r="C17" s="55"/>
      <c r="D17" s="55"/>
      <c r="E17" s="103"/>
    </row>
  </sheetData>
  <mergeCells count="12">
    <mergeCell ref="A1:N1"/>
    <mergeCell ref="A2:N2"/>
    <mergeCell ref="A3:N3"/>
    <mergeCell ref="F8:F9"/>
    <mergeCell ref="A5:N5"/>
    <mergeCell ref="E7:F7"/>
    <mergeCell ref="E8:E9"/>
    <mergeCell ref="A8:A9"/>
    <mergeCell ref="B8:B9"/>
    <mergeCell ref="C7:D7"/>
    <mergeCell ref="C8:C9"/>
    <mergeCell ref="D8:D9"/>
  </mergeCells>
  <pageMargins left="0.70866141732283472" right="0.70866141732283472" top="0.74803149606299213" bottom="0.74803149606299213" header="0.31496062992125984" footer="0.31496062992125984"/>
  <pageSetup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2"/>
  <sheetViews>
    <sheetView rightToLeft="1" tabSelected="1" view="pageBreakPreview" zoomScaleNormal="100" zoomScaleSheetLayoutView="100" workbookViewId="0">
      <selection activeCell="P37" sqref="P36:P37"/>
    </sheetView>
  </sheetViews>
  <sheetFormatPr defaultRowHeight="18.75" x14ac:dyDescent="0.45"/>
  <cols>
    <col min="1" max="1" width="50.7109375" style="96" bestFit="1" customWidth="1"/>
    <col min="2" max="2" width="9.140625" style="44"/>
    <col min="3" max="3" width="18.7109375" style="44" bestFit="1" customWidth="1"/>
    <col min="4" max="4" width="18.5703125" style="44" customWidth="1"/>
    <col min="5" max="5" width="19.140625" style="44" customWidth="1"/>
    <col min="6" max="16384" width="9.140625" style="44"/>
  </cols>
  <sheetData>
    <row r="1" spans="1:19" ht="21" x14ac:dyDescent="0.45">
      <c r="A1" s="57" t="s">
        <v>61</v>
      </c>
      <c r="B1" s="57"/>
      <c r="C1" s="57"/>
      <c r="D1" s="57"/>
      <c r="E1" s="57"/>
    </row>
    <row r="2" spans="1:19" ht="21" x14ac:dyDescent="0.45">
      <c r="A2" s="57" t="s">
        <v>52</v>
      </c>
      <c r="B2" s="57"/>
      <c r="C2" s="57"/>
      <c r="D2" s="57"/>
      <c r="E2" s="57"/>
    </row>
    <row r="3" spans="1:19" ht="21" x14ac:dyDescent="0.45">
      <c r="A3" s="57" t="s">
        <v>62</v>
      </c>
      <c r="B3" s="57"/>
      <c r="C3" s="57"/>
      <c r="D3" s="57"/>
      <c r="E3" s="57"/>
    </row>
    <row r="4" spans="1:19" ht="43.5" customHeight="1" x14ac:dyDescent="0.45">
      <c r="A4" s="37"/>
      <c r="B4" s="37"/>
      <c r="C4" s="37"/>
      <c r="D4" s="37"/>
      <c r="E4" s="37"/>
    </row>
    <row r="5" spans="1:19" ht="21" x14ac:dyDescent="0.45">
      <c r="A5" s="56" t="s">
        <v>24</v>
      </c>
      <c r="B5" s="56"/>
      <c r="C5" s="56"/>
      <c r="D5" s="56"/>
      <c r="E5" s="5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6" spans="1:19" ht="21" x14ac:dyDescent="0.45">
      <c r="A6" s="36"/>
      <c r="B6" s="36"/>
      <c r="C6" s="36"/>
      <c r="D6" s="36"/>
      <c r="E6" s="36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ht="61.5" customHeight="1" thickBot="1" x14ac:dyDescent="0.5">
      <c r="A7" s="48" t="s">
        <v>30</v>
      </c>
      <c r="B7" s="48" t="s">
        <v>31</v>
      </c>
      <c r="C7" s="48" t="s">
        <v>6</v>
      </c>
      <c r="D7" s="48" t="s">
        <v>16</v>
      </c>
      <c r="E7" s="48" t="s">
        <v>55</v>
      </c>
    </row>
    <row r="8" spans="1:19" ht="28.5" customHeight="1" x14ac:dyDescent="0.45">
      <c r="A8" s="94" t="s">
        <v>45</v>
      </c>
      <c r="B8" s="95" t="s">
        <v>50</v>
      </c>
      <c r="C8" s="49">
        <v>6390565595130</v>
      </c>
      <c r="D8" s="50">
        <f t="shared" ref="D8:D9" si="0">C8/6396433162942</f>
        <v>0.9990826812908804</v>
      </c>
      <c r="E8" s="50">
        <f t="shared" ref="E8:E9" si="1">C8/10302192714466</f>
        <v>0.62031120677412466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19" ht="28.5" customHeight="1" x14ac:dyDescent="0.45">
      <c r="A9" s="94" t="s">
        <v>46</v>
      </c>
      <c r="B9" s="95" t="s">
        <v>51</v>
      </c>
      <c r="C9" s="51">
        <v>5867567812</v>
      </c>
      <c r="D9" s="97">
        <f t="shared" si="0"/>
        <v>9.173187091196382E-4</v>
      </c>
      <c r="E9" s="50">
        <f t="shared" si="1"/>
        <v>5.6954553022105225E-4</v>
      </c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9" ht="28.5" customHeight="1" thickBot="1" x14ac:dyDescent="0.5">
      <c r="A10" s="49" t="s">
        <v>2</v>
      </c>
      <c r="C10" s="53">
        <f>SUM(C8:C9)</f>
        <v>6396433162942</v>
      </c>
      <c r="D10" s="54">
        <f>SUM(D8:D9)</f>
        <v>1</v>
      </c>
      <c r="E10" s="54">
        <f>SUM(E8:E9)</f>
        <v>0.6208807523043457</v>
      </c>
    </row>
    <row r="11" spans="1:19" ht="19.5" thickTop="1" x14ac:dyDescent="0.45"/>
    <row r="12" spans="1:19" x14ac:dyDescent="0.45">
      <c r="C12" s="103"/>
    </row>
  </sheetData>
  <mergeCells count="4">
    <mergeCell ref="A5:E5"/>
    <mergeCell ref="A3:E3"/>
    <mergeCell ref="A2:E2"/>
    <mergeCell ref="A1:E1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236"/>
  <sheetViews>
    <sheetView rightToLeft="1" tabSelected="1" view="pageBreakPreview" topLeftCell="A220" zoomScale="110" zoomScaleNormal="100" zoomScaleSheetLayoutView="110" workbookViewId="0">
      <selection activeCell="P37" sqref="P36:P37"/>
    </sheetView>
  </sheetViews>
  <sheetFormatPr defaultColWidth="9.140625" defaultRowHeight="15.75" x14ac:dyDescent="0.4"/>
  <cols>
    <col min="1" max="1" width="26.140625" style="3" bestFit="1" customWidth="1"/>
    <col min="2" max="2" width="11.85546875" style="3" bestFit="1" customWidth="1"/>
    <col min="3" max="3" width="12.85546875" style="3" bestFit="1" customWidth="1"/>
    <col min="4" max="4" width="13" style="3" bestFit="1" customWidth="1"/>
    <col min="5" max="5" width="14" style="3" bestFit="1" customWidth="1"/>
    <col min="6" max="6" width="11.5703125" style="3" customWidth="1"/>
    <col min="7" max="7" width="13" style="3" bestFit="1" customWidth="1"/>
    <col min="8" max="8" width="14" style="3" bestFit="1" customWidth="1"/>
    <col min="9" max="9" width="18.140625" style="3" customWidth="1"/>
    <col min="10" max="10" width="14" style="3" bestFit="1" customWidth="1"/>
    <col min="11" max="11" width="10.5703125" style="3" customWidth="1"/>
    <col min="12" max="16384" width="9.140625" style="3"/>
  </cols>
  <sheetData>
    <row r="1" spans="1:11" ht="21" x14ac:dyDescent="0.55000000000000004">
      <c r="A1" s="70" t="s">
        <v>61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 ht="21" x14ac:dyDescent="0.55000000000000004">
      <c r="A2" s="70" t="s">
        <v>52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ht="21" x14ac:dyDescent="0.55000000000000004">
      <c r="A3" s="70" t="s">
        <v>62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5" spans="1:11" ht="21" x14ac:dyDescent="0.4">
      <c r="A5" s="56" t="s">
        <v>25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7" spans="1:11" ht="19.5" customHeight="1" thickBot="1" x14ac:dyDescent="0.45">
      <c r="A7" s="1"/>
      <c r="B7" s="81" t="s">
        <v>58</v>
      </c>
      <c r="C7" s="81"/>
      <c r="D7" s="81"/>
      <c r="E7" s="81"/>
      <c r="F7" s="81"/>
      <c r="G7" s="81" t="s">
        <v>63</v>
      </c>
      <c r="H7" s="81"/>
      <c r="I7" s="81"/>
      <c r="J7" s="81"/>
      <c r="K7" s="81"/>
    </row>
    <row r="8" spans="1:11" ht="19.5" customHeight="1" x14ac:dyDescent="0.4">
      <c r="A8" s="82" t="s">
        <v>21</v>
      </c>
      <c r="B8" s="84" t="s">
        <v>9</v>
      </c>
      <c r="C8" s="84" t="s">
        <v>10</v>
      </c>
      <c r="D8" s="84" t="s">
        <v>11</v>
      </c>
      <c r="E8" s="84" t="s">
        <v>2</v>
      </c>
      <c r="F8" s="84"/>
      <c r="G8" s="84" t="s">
        <v>9</v>
      </c>
      <c r="H8" s="84" t="s">
        <v>10</v>
      </c>
      <c r="I8" s="84" t="s">
        <v>11</v>
      </c>
      <c r="J8" s="84" t="s">
        <v>2</v>
      </c>
      <c r="K8" s="84"/>
    </row>
    <row r="9" spans="1:11" ht="18.75" customHeight="1" thickBot="1" x14ac:dyDescent="0.45">
      <c r="A9" s="82"/>
      <c r="B9" s="85"/>
      <c r="C9" s="85"/>
      <c r="D9" s="85"/>
      <c r="E9" s="81"/>
      <c r="F9" s="81"/>
      <c r="G9" s="85"/>
      <c r="H9" s="85"/>
      <c r="I9" s="85"/>
      <c r="J9" s="81"/>
      <c r="K9" s="81"/>
    </row>
    <row r="10" spans="1:11" ht="57.75" customHeight="1" thickBot="1" x14ac:dyDescent="0.45">
      <c r="A10" s="83"/>
      <c r="B10" s="24" t="s">
        <v>54</v>
      </c>
      <c r="C10" s="24" t="s">
        <v>54</v>
      </c>
      <c r="D10" s="24" t="s">
        <v>54</v>
      </c>
      <c r="E10" s="4" t="s">
        <v>6</v>
      </c>
      <c r="F10" s="4" t="s">
        <v>12</v>
      </c>
      <c r="G10" s="24" t="s">
        <v>54</v>
      </c>
      <c r="H10" s="24" t="s">
        <v>54</v>
      </c>
      <c r="I10" s="24" t="s">
        <v>54</v>
      </c>
      <c r="J10" s="4" t="s">
        <v>6</v>
      </c>
      <c r="K10" s="4" t="s">
        <v>12</v>
      </c>
    </row>
    <row r="11" spans="1:11" x14ac:dyDescent="0.4">
      <c r="A11" s="29" t="s">
        <v>248</v>
      </c>
      <c r="B11" s="29">
        <v>0</v>
      </c>
      <c r="C11" s="29">
        <v>11051232811</v>
      </c>
      <c r="D11" s="29">
        <v>1688943163</v>
      </c>
      <c r="E11" s="29">
        <v>12740175974</v>
      </c>
      <c r="F11" s="30">
        <v>9.7629106312322102E-3</v>
      </c>
      <c r="G11" s="29">
        <v>3282166800</v>
      </c>
      <c r="H11" s="29">
        <v>28585477082</v>
      </c>
      <c r="I11" s="29">
        <v>4674622406</v>
      </c>
      <c r="J11" s="29">
        <v>36542266288</v>
      </c>
      <c r="K11" s="30">
        <v>5.712913018416128E-3</v>
      </c>
    </row>
    <row r="12" spans="1:11" x14ac:dyDescent="0.4">
      <c r="A12" s="29" t="s">
        <v>194</v>
      </c>
      <c r="B12" s="29">
        <v>0</v>
      </c>
      <c r="C12" s="29">
        <v>3805186158</v>
      </c>
      <c r="D12" s="29">
        <v>1218450387</v>
      </c>
      <c r="E12" s="29">
        <v>5023636545</v>
      </c>
      <c r="F12" s="30">
        <v>3.8496575504701229E-3</v>
      </c>
      <c r="G12" s="29">
        <v>0</v>
      </c>
      <c r="H12" s="29">
        <v>7253949793</v>
      </c>
      <c r="I12" s="29">
        <v>1138349783</v>
      </c>
      <c r="J12" s="29">
        <v>8392299576</v>
      </c>
      <c r="K12" s="30">
        <v>1.3120280259662736E-3</v>
      </c>
    </row>
    <row r="13" spans="1:11" x14ac:dyDescent="0.4">
      <c r="A13" s="29" t="s">
        <v>220</v>
      </c>
      <c r="B13" s="29">
        <v>0</v>
      </c>
      <c r="C13" s="29">
        <v>12228097554</v>
      </c>
      <c r="D13" s="29">
        <v>2169741200</v>
      </c>
      <c r="E13" s="29">
        <v>14397838754</v>
      </c>
      <c r="F13" s="30">
        <v>1.1033192424112251E-2</v>
      </c>
      <c r="G13" s="29">
        <v>6704361535</v>
      </c>
      <c r="H13" s="29">
        <v>22031588491</v>
      </c>
      <c r="I13" s="29">
        <v>6015714221</v>
      </c>
      <c r="J13" s="29">
        <v>34751664247</v>
      </c>
      <c r="K13" s="30">
        <v>5.4329754351745913E-3</v>
      </c>
    </row>
    <row r="14" spans="1:11" x14ac:dyDescent="0.4">
      <c r="A14" s="29" t="s">
        <v>216</v>
      </c>
      <c r="B14" s="29">
        <v>0</v>
      </c>
      <c r="C14" s="29">
        <v>9102089585</v>
      </c>
      <c r="D14" s="29">
        <v>0</v>
      </c>
      <c r="E14" s="29">
        <v>9102089585</v>
      </c>
      <c r="F14" s="30">
        <v>6.9750125396364077E-3</v>
      </c>
      <c r="G14" s="29">
        <v>2864396600</v>
      </c>
      <c r="H14" s="29">
        <v>11744150068</v>
      </c>
      <c r="I14" s="29">
        <v>-145896556</v>
      </c>
      <c r="J14" s="29">
        <v>14462650112</v>
      </c>
      <c r="K14" s="30">
        <v>2.2610492040767284E-3</v>
      </c>
    </row>
    <row r="15" spans="1:11" x14ac:dyDescent="0.4">
      <c r="A15" s="29" t="s">
        <v>90</v>
      </c>
      <c r="B15" s="29">
        <v>0</v>
      </c>
      <c r="C15" s="29">
        <v>3416930036</v>
      </c>
      <c r="D15" s="29">
        <v>1413410118</v>
      </c>
      <c r="E15" s="29">
        <v>4830340154</v>
      </c>
      <c r="F15" s="30">
        <v>3.701532799719116E-3</v>
      </c>
      <c r="G15" s="29">
        <v>0</v>
      </c>
      <c r="H15" s="29">
        <v>7920567828</v>
      </c>
      <c r="I15" s="29">
        <v>1330912289</v>
      </c>
      <c r="J15" s="29">
        <v>9251480117</v>
      </c>
      <c r="K15" s="30">
        <v>1.4463498455043401E-3</v>
      </c>
    </row>
    <row r="16" spans="1:11" x14ac:dyDescent="0.4">
      <c r="A16" s="29" t="s">
        <v>226</v>
      </c>
      <c r="B16" s="29">
        <v>0</v>
      </c>
      <c r="C16" s="29">
        <v>9340464621</v>
      </c>
      <c r="D16" s="29">
        <v>0</v>
      </c>
      <c r="E16" s="29">
        <v>9340464621</v>
      </c>
      <c r="F16" s="30">
        <v>7.1576814586477421E-3</v>
      </c>
      <c r="G16" s="29">
        <v>4239518613</v>
      </c>
      <c r="H16" s="29">
        <v>27419924550</v>
      </c>
      <c r="I16" s="29">
        <v>203010820</v>
      </c>
      <c r="J16" s="29">
        <v>31862453983</v>
      </c>
      <c r="K16" s="30">
        <v>4.9812845958582741E-3</v>
      </c>
    </row>
    <row r="17" spans="1:11" x14ac:dyDescent="0.4">
      <c r="A17" s="29" t="s">
        <v>249</v>
      </c>
      <c r="B17" s="29">
        <v>0</v>
      </c>
      <c r="C17" s="29">
        <v>2217249601</v>
      </c>
      <c r="D17" s="29">
        <v>0</v>
      </c>
      <c r="E17" s="29">
        <v>2217249601</v>
      </c>
      <c r="F17" s="30">
        <v>1.6990981714754042E-3</v>
      </c>
      <c r="G17" s="29">
        <v>0</v>
      </c>
      <c r="H17" s="29">
        <v>3408174059</v>
      </c>
      <c r="I17" s="29">
        <v>0</v>
      </c>
      <c r="J17" s="29">
        <v>3408174059</v>
      </c>
      <c r="K17" s="30">
        <v>5.3282414936271002E-4</v>
      </c>
    </row>
    <row r="18" spans="1:11" x14ac:dyDescent="0.4">
      <c r="A18" s="29" t="s">
        <v>250</v>
      </c>
      <c r="B18" s="29">
        <v>0</v>
      </c>
      <c r="C18" s="29">
        <v>15393567354</v>
      </c>
      <c r="D18" s="29">
        <v>923621813</v>
      </c>
      <c r="E18" s="29">
        <v>16317189167</v>
      </c>
      <c r="F18" s="30">
        <v>1.2504007787289247E-2</v>
      </c>
      <c r="G18" s="29">
        <v>926433360</v>
      </c>
      <c r="H18" s="29">
        <v>34384109991</v>
      </c>
      <c r="I18" s="29">
        <v>923621813</v>
      </c>
      <c r="J18" s="29">
        <v>36234165164</v>
      </c>
      <c r="K18" s="30">
        <v>5.6647453730813814E-3</v>
      </c>
    </row>
    <row r="19" spans="1:11" x14ac:dyDescent="0.4">
      <c r="A19" s="29" t="s">
        <v>163</v>
      </c>
      <c r="B19" s="29">
        <v>0</v>
      </c>
      <c r="C19" s="29">
        <v>-3097864236</v>
      </c>
      <c r="D19" s="29">
        <v>2219672771</v>
      </c>
      <c r="E19" s="29">
        <v>-878191465</v>
      </c>
      <c r="F19" s="30">
        <v>-6.7296596274674743E-4</v>
      </c>
      <c r="G19" s="29">
        <v>3890354400</v>
      </c>
      <c r="H19" s="29">
        <v>33173314603</v>
      </c>
      <c r="I19" s="29">
        <v>2219672771</v>
      </c>
      <c r="J19" s="29">
        <v>39283341774</v>
      </c>
      <c r="K19" s="30">
        <v>6.1414448917546209E-3</v>
      </c>
    </row>
    <row r="20" spans="1:11" x14ac:dyDescent="0.4">
      <c r="A20" s="29" t="s">
        <v>80</v>
      </c>
      <c r="B20" s="29">
        <v>0</v>
      </c>
      <c r="C20" s="29">
        <v>575008495</v>
      </c>
      <c r="D20" s="29">
        <v>0</v>
      </c>
      <c r="E20" s="29">
        <v>575008495</v>
      </c>
      <c r="F20" s="30">
        <v>4.406341451123455E-4</v>
      </c>
      <c r="G20" s="29">
        <v>325961964</v>
      </c>
      <c r="H20" s="29">
        <v>17611698769</v>
      </c>
      <c r="I20" s="29">
        <v>-372</v>
      </c>
      <c r="J20" s="29">
        <v>17937660361</v>
      </c>
      <c r="K20" s="30">
        <v>2.8043223315335456E-3</v>
      </c>
    </row>
    <row r="21" spans="1:11" x14ac:dyDescent="0.4">
      <c r="A21" s="29" t="s">
        <v>142</v>
      </c>
      <c r="B21" s="29">
        <v>0</v>
      </c>
      <c r="C21" s="29">
        <v>-4025168179</v>
      </c>
      <c r="D21" s="29">
        <v>3886462099</v>
      </c>
      <c r="E21" s="29">
        <v>-138706080</v>
      </c>
      <c r="F21" s="30">
        <v>-1.0629170788630627E-4</v>
      </c>
      <c r="G21" s="29">
        <v>4794689120</v>
      </c>
      <c r="H21" s="29">
        <v>14324755099</v>
      </c>
      <c r="I21" s="29">
        <v>9569453090</v>
      </c>
      <c r="J21" s="29">
        <v>28688897309</v>
      </c>
      <c r="K21" s="30">
        <v>4.4851398550070547E-3</v>
      </c>
    </row>
    <row r="22" spans="1:11" x14ac:dyDescent="0.4">
      <c r="A22" s="29" t="s">
        <v>251</v>
      </c>
      <c r="B22" s="29">
        <v>0</v>
      </c>
      <c r="C22" s="29">
        <v>-3508827924</v>
      </c>
      <c r="D22" s="29">
        <v>1179929932</v>
      </c>
      <c r="E22" s="29">
        <v>-2328897992</v>
      </c>
      <c r="F22" s="30">
        <v>-1.7846553306291207E-3</v>
      </c>
      <c r="G22" s="29">
        <v>5115878400</v>
      </c>
      <c r="H22" s="29">
        <v>16998412704</v>
      </c>
      <c r="I22" s="29">
        <v>7647061637</v>
      </c>
      <c r="J22" s="29">
        <v>29761352741</v>
      </c>
      <c r="K22" s="30">
        <v>4.6528044588073905E-3</v>
      </c>
    </row>
    <row r="23" spans="1:11" x14ac:dyDescent="0.4">
      <c r="A23" s="29" t="s">
        <v>252</v>
      </c>
      <c r="B23" s="29">
        <v>0</v>
      </c>
      <c r="C23" s="29">
        <v>10461350008</v>
      </c>
      <c r="D23" s="29">
        <v>0</v>
      </c>
      <c r="E23" s="29">
        <v>10461350008</v>
      </c>
      <c r="F23" s="30">
        <v>8.0166259413195426E-3</v>
      </c>
      <c r="G23" s="29">
        <v>1512745850</v>
      </c>
      <c r="H23" s="29">
        <v>14135593717</v>
      </c>
      <c r="I23" s="29">
        <v>0</v>
      </c>
      <c r="J23" s="29">
        <v>15648339567</v>
      </c>
      <c r="K23" s="30">
        <v>2.4464164899993487E-3</v>
      </c>
    </row>
    <row r="24" spans="1:11" x14ac:dyDescent="0.4">
      <c r="A24" s="29" t="s">
        <v>253</v>
      </c>
      <c r="B24" s="29">
        <v>0</v>
      </c>
      <c r="C24" s="29">
        <v>-34729450</v>
      </c>
      <c r="D24" s="29">
        <v>0</v>
      </c>
      <c r="E24" s="29">
        <v>-34729450</v>
      </c>
      <c r="F24" s="30">
        <v>-2.6613487703293753E-5</v>
      </c>
      <c r="G24" s="29">
        <v>997500000</v>
      </c>
      <c r="H24" s="29">
        <v>3953947883</v>
      </c>
      <c r="I24" s="29">
        <v>0</v>
      </c>
      <c r="J24" s="29">
        <v>4951447883</v>
      </c>
      <c r="K24" s="30">
        <v>7.7409514910378773E-4</v>
      </c>
    </row>
    <row r="25" spans="1:11" x14ac:dyDescent="0.4">
      <c r="A25" s="29" t="s">
        <v>239</v>
      </c>
      <c r="B25" s="29">
        <v>0</v>
      </c>
      <c r="C25" s="29">
        <v>-7266160686</v>
      </c>
      <c r="D25" s="29">
        <v>10029671001</v>
      </c>
      <c r="E25" s="29">
        <v>2763510315</v>
      </c>
      <c r="F25" s="30">
        <v>2.1177026352613686E-3</v>
      </c>
      <c r="G25" s="29">
        <v>6436395882</v>
      </c>
      <c r="H25" s="29">
        <v>62140168846</v>
      </c>
      <c r="I25" s="29">
        <v>12240592137</v>
      </c>
      <c r="J25" s="29">
        <v>80817156865</v>
      </c>
      <c r="K25" s="30">
        <v>1.2634722321999321E-2</v>
      </c>
    </row>
    <row r="26" spans="1:11" x14ac:dyDescent="0.4">
      <c r="A26" s="29" t="s">
        <v>78</v>
      </c>
      <c r="B26" s="29">
        <v>22302</v>
      </c>
      <c r="C26" s="29">
        <v>3192197231</v>
      </c>
      <c r="D26" s="29">
        <v>1234226342</v>
      </c>
      <c r="E26" s="29">
        <v>4426445875</v>
      </c>
      <c r="F26" s="30">
        <v>3.3920250065465436E-3</v>
      </c>
      <c r="G26" s="29">
        <v>10857198352</v>
      </c>
      <c r="H26" s="29">
        <v>2855697369</v>
      </c>
      <c r="I26" s="29">
        <v>-1317573737</v>
      </c>
      <c r="J26" s="29">
        <v>12395321984</v>
      </c>
      <c r="K26" s="30">
        <v>1.9378490587242919E-3</v>
      </c>
    </row>
    <row r="27" spans="1:11" x14ac:dyDescent="0.4">
      <c r="A27" s="29" t="s">
        <v>245</v>
      </c>
      <c r="B27" s="29">
        <v>0</v>
      </c>
      <c r="C27" s="29">
        <v>-1437734394</v>
      </c>
      <c r="D27" s="29">
        <v>10097349522</v>
      </c>
      <c r="E27" s="29">
        <v>8659615128</v>
      </c>
      <c r="F27" s="30">
        <v>6.6359404115033365E-3</v>
      </c>
      <c r="G27" s="29">
        <v>947850150</v>
      </c>
      <c r="H27" s="29">
        <v>13586389776</v>
      </c>
      <c r="I27" s="29">
        <v>9995109262</v>
      </c>
      <c r="J27" s="29">
        <v>24529349188</v>
      </c>
      <c r="K27" s="30">
        <v>3.8348480415791412E-3</v>
      </c>
    </row>
    <row r="28" spans="1:11" x14ac:dyDescent="0.4">
      <c r="A28" s="29" t="s">
        <v>254</v>
      </c>
      <c r="B28" s="29">
        <v>0</v>
      </c>
      <c r="C28" s="29">
        <v>111630375</v>
      </c>
      <c r="D28" s="29">
        <v>0</v>
      </c>
      <c r="E28" s="29">
        <v>111630375</v>
      </c>
      <c r="F28" s="30">
        <v>8.5543353332015627E-5</v>
      </c>
      <c r="G28" s="29">
        <v>900000000</v>
      </c>
      <c r="H28" s="29">
        <v>4707080812</v>
      </c>
      <c r="I28" s="29">
        <v>0</v>
      </c>
      <c r="J28" s="29">
        <v>5607080812</v>
      </c>
      <c r="K28" s="30">
        <v>8.7659491925669677E-4</v>
      </c>
    </row>
    <row r="29" spans="1:11" x14ac:dyDescent="0.4">
      <c r="A29" s="29" t="s">
        <v>255</v>
      </c>
      <c r="B29" s="29">
        <v>0</v>
      </c>
      <c r="C29" s="29">
        <v>1902181590</v>
      </c>
      <c r="D29" s="29">
        <v>0</v>
      </c>
      <c r="E29" s="29">
        <v>1902181590</v>
      </c>
      <c r="F29" s="30">
        <v>1.4576587407775464E-3</v>
      </c>
      <c r="G29" s="29">
        <v>67500000</v>
      </c>
      <c r="H29" s="29">
        <v>4469680215</v>
      </c>
      <c r="I29" s="29">
        <v>0</v>
      </c>
      <c r="J29" s="29">
        <v>4537180215</v>
      </c>
      <c r="K29" s="30">
        <v>7.0932973102671363E-4</v>
      </c>
    </row>
    <row r="30" spans="1:11" x14ac:dyDescent="0.4">
      <c r="A30" s="29" t="s">
        <v>140</v>
      </c>
      <c r="B30" s="29">
        <v>0</v>
      </c>
      <c r="C30" s="29">
        <v>2057668711</v>
      </c>
      <c r="D30" s="29">
        <v>0</v>
      </c>
      <c r="E30" s="29">
        <v>2057668711</v>
      </c>
      <c r="F30" s="30">
        <v>1.5768099102534249E-3</v>
      </c>
      <c r="G30" s="29">
        <v>2150547600</v>
      </c>
      <c r="H30" s="29">
        <v>10733097454</v>
      </c>
      <c r="I30" s="29">
        <v>25166163</v>
      </c>
      <c r="J30" s="29">
        <v>12908811217</v>
      </c>
      <c r="K30" s="30">
        <v>2.0181264914621061E-3</v>
      </c>
    </row>
    <row r="31" spans="1:11" x14ac:dyDescent="0.4">
      <c r="A31" s="29" t="s">
        <v>107</v>
      </c>
      <c r="B31" s="29">
        <v>0</v>
      </c>
      <c r="C31" s="29">
        <v>87014589</v>
      </c>
      <c r="D31" s="29">
        <v>719482542</v>
      </c>
      <c r="E31" s="29">
        <v>806497131</v>
      </c>
      <c r="F31" s="30">
        <v>6.1802595430132613E-4</v>
      </c>
      <c r="G31" s="29">
        <v>7661809400</v>
      </c>
      <c r="H31" s="29">
        <v>3233321968</v>
      </c>
      <c r="I31" s="29">
        <v>822990333</v>
      </c>
      <c r="J31" s="29">
        <v>11718121701</v>
      </c>
      <c r="K31" s="30">
        <v>1.8319775103552121E-3</v>
      </c>
    </row>
    <row r="32" spans="1:11" x14ac:dyDescent="0.4">
      <c r="A32" s="29" t="s">
        <v>256</v>
      </c>
      <c r="B32" s="29">
        <v>0</v>
      </c>
      <c r="C32" s="29">
        <v>-8001653198</v>
      </c>
      <c r="D32" s="29">
        <v>-1670105757</v>
      </c>
      <c r="E32" s="29">
        <v>-9671758955</v>
      </c>
      <c r="F32" s="30">
        <v>-7.4115552655775931E-3</v>
      </c>
      <c r="G32" s="29">
        <v>817950000</v>
      </c>
      <c r="H32" s="29">
        <v>0</v>
      </c>
      <c r="I32" s="29">
        <v>-812836244</v>
      </c>
      <c r="J32" s="29">
        <v>5113756</v>
      </c>
      <c r="K32" s="30">
        <v>7.9946993421689403E-7</v>
      </c>
    </row>
    <row r="33" spans="1:11" x14ac:dyDescent="0.4">
      <c r="A33" s="29" t="s">
        <v>103</v>
      </c>
      <c r="B33" s="29">
        <v>0</v>
      </c>
      <c r="C33" s="29">
        <v>5006826370</v>
      </c>
      <c r="D33" s="29">
        <v>0</v>
      </c>
      <c r="E33" s="29">
        <v>5006826370</v>
      </c>
      <c r="F33" s="30">
        <v>3.8367757632361554E-3</v>
      </c>
      <c r="G33" s="29">
        <v>3743002160</v>
      </c>
      <c r="H33" s="29">
        <v>1993558972</v>
      </c>
      <c r="I33" s="29">
        <v>-170838009</v>
      </c>
      <c r="J33" s="29">
        <v>5565723123</v>
      </c>
      <c r="K33" s="30">
        <v>8.7012917687395643E-4</v>
      </c>
    </row>
    <row r="34" spans="1:11" x14ac:dyDescent="0.4">
      <c r="A34" s="29" t="s">
        <v>161</v>
      </c>
      <c r="B34" s="29">
        <v>0</v>
      </c>
      <c r="C34" s="29">
        <v>16439826268</v>
      </c>
      <c r="D34" s="29">
        <v>27442188</v>
      </c>
      <c r="E34" s="29">
        <v>16467268456</v>
      </c>
      <c r="F34" s="30">
        <v>1.2619014886806244E-2</v>
      </c>
      <c r="G34" s="29">
        <v>2022149760</v>
      </c>
      <c r="H34" s="29">
        <v>18268528913</v>
      </c>
      <c r="I34" s="29">
        <v>166051625</v>
      </c>
      <c r="J34" s="29">
        <v>20456730298</v>
      </c>
      <c r="K34" s="30">
        <v>3.198146494599039E-3</v>
      </c>
    </row>
    <row r="35" spans="1:11" x14ac:dyDescent="0.4">
      <c r="A35" s="29" t="s">
        <v>257</v>
      </c>
      <c r="B35" s="29">
        <v>0</v>
      </c>
      <c r="C35" s="29">
        <v>10714154176</v>
      </c>
      <c r="D35" s="29">
        <v>805142085</v>
      </c>
      <c r="E35" s="29">
        <v>11519296261</v>
      </c>
      <c r="F35" s="30">
        <v>8.8273396034985064E-3</v>
      </c>
      <c r="G35" s="29">
        <v>4085247420</v>
      </c>
      <c r="H35" s="29">
        <v>12512864830</v>
      </c>
      <c r="I35" s="29">
        <v>3425795802</v>
      </c>
      <c r="J35" s="29">
        <v>20023908052</v>
      </c>
      <c r="K35" s="30">
        <v>3.1304803070575861E-3</v>
      </c>
    </row>
    <row r="36" spans="1:11" x14ac:dyDescent="0.4">
      <c r="A36" s="29" t="s">
        <v>76</v>
      </c>
      <c r="B36" s="29">
        <v>0</v>
      </c>
      <c r="C36" s="29">
        <v>1463772294</v>
      </c>
      <c r="D36" s="29">
        <v>0</v>
      </c>
      <c r="E36" s="29">
        <v>1463772294</v>
      </c>
      <c r="F36" s="30">
        <v>1.1217017818246787E-3</v>
      </c>
      <c r="G36" s="29">
        <v>2450882868</v>
      </c>
      <c r="H36" s="29">
        <v>6522331573</v>
      </c>
      <c r="I36" s="29">
        <v>687510426</v>
      </c>
      <c r="J36" s="29">
        <v>9660724867</v>
      </c>
      <c r="K36" s="30">
        <v>1.5103299949993708E-3</v>
      </c>
    </row>
    <row r="37" spans="1:11" x14ac:dyDescent="0.4">
      <c r="A37" s="29" t="s">
        <v>180</v>
      </c>
      <c r="B37" s="29">
        <v>0</v>
      </c>
      <c r="C37" s="29">
        <v>5098334461</v>
      </c>
      <c r="D37" s="29">
        <v>0</v>
      </c>
      <c r="E37" s="29">
        <v>5098334461</v>
      </c>
      <c r="F37" s="30">
        <v>3.9068992306270983E-3</v>
      </c>
      <c r="G37" s="29">
        <v>4962890750</v>
      </c>
      <c r="H37" s="29">
        <v>11413596877</v>
      </c>
      <c r="I37" s="29">
        <v>-6111</v>
      </c>
      <c r="J37" s="29">
        <v>16376481516</v>
      </c>
      <c r="K37" s="30">
        <v>2.5602521122049431E-3</v>
      </c>
    </row>
    <row r="38" spans="1:11" x14ac:dyDescent="0.4">
      <c r="A38" s="29" t="s">
        <v>79</v>
      </c>
      <c r="B38" s="29">
        <v>0</v>
      </c>
      <c r="C38" s="29">
        <v>5207853319</v>
      </c>
      <c r="D38" s="29">
        <v>807201949</v>
      </c>
      <c r="E38" s="29">
        <v>6015055268</v>
      </c>
      <c r="F38" s="30">
        <v>4.609390572253529E-3</v>
      </c>
      <c r="G38" s="29">
        <v>1426212732</v>
      </c>
      <c r="H38" s="29">
        <v>24596343582</v>
      </c>
      <c r="I38" s="29">
        <v>807201949</v>
      </c>
      <c r="J38" s="29">
        <v>26829758263</v>
      </c>
      <c r="K38" s="30">
        <v>4.1944873931364299E-3</v>
      </c>
    </row>
    <row r="39" spans="1:11" x14ac:dyDescent="0.4">
      <c r="A39" s="29" t="s">
        <v>152</v>
      </c>
      <c r="B39" s="29">
        <v>0</v>
      </c>
      <c r="C39" s="29">
        <v>15197571520</v>
      </c>
      <c r="D39" s="29">
        <v>673095861</v>
      </c>
      <c r="E39" s="29">
        <v>15870667381</v>
      </c>
      <c r="F39" s="30">
        <v>1.216183415479683E-2</v>
      </c>
      <c r="G39" s="29">
        <v>2597904400</v>
      </c>
      <c r="H39" s="29">
        <v>38104746455</v>
      </c>
      <c r="I39" s="29">
        <v>673095861</v>
      </c>
      <c r="J39" s="29">
        <v>41375746716</v>
      </c>
      <c r="K39" s="30">
        <v>6.4685654742258703E-3</v>
      </c>
    </row>
    <row r="40" spans="1:11" x14ac:dyDescent="0.4">
      <c r="A40" s="29" t="s">
        <v>258</v>
      </c>
      <c r="B40" s="29">
        <v>0</v>
      </c>
      <c r="C40" s="29">
        <v>-20024643</v>
      </c>
      <c r="D40" s="29">
        <v>0</v>
      </c>
      <c r="E40" s="29">
        <v>-20024643</v>
      </c>
      <c r="F40" s="30">
        <v>-1.5345062770742044E-5</v>
      </c>
      <c r="G40" s="29">
        <v>2500717640</v>
      </c>
      <c r="H40" s="29">
        <v>7118760819</v>
      </c>
      <c r="I40" s="29">
        <v>0</v>
      </c>
      <c r="J40" s="29">
        <v>9619478459</v>
      </c>
      <c r="K40" s="30">
        <v>1.503881649968743E-3</v>
      </c>
    </row>
    <row r="41" spans="1:11" x14ac:dyDescent="0.4">
      <c r="A41" s="29" t="s">
        <v>244</v>
      </c>
      <c r="B41" s="29">
        <v>0</v>
      </c>
      <c r="C41" s="29">
        <v>1313732200</v>
      </c>
      <c r="D41" s="29">
        <v>7192309633</v>
      </c>
      <c r="E41" s="29">
        <v>8506041833</v>
      </c>
      <c r="F41" s="30">
        <v>6.5182558239836146E-3</v>
      </c>
      <c r="G41" s="29">
        <v>5794283250</v>
      </c>
      <c r="H41" s="29">
        <v>35881922409</v>
      </c>
      <c r="I41" s="29">
        <v>15561286114</v>
      </c>
      <c r="J41" s="29">
        <v>57237491773</v>
      </c>
      <c r="K41" s="30">
        <v>8.9483451659602697E-3</v>
      </c>
    </row>
    <row r="42" spans="1:11" x14ac:dyDescent="0.4">
      <c r="A42" s="29" t="s">
        <v>85</v>
      </c>
      <c r="B42" s="29">
        <v>0</v>
      </c>
      <c r="C42" s="29">
        <v>6055148074</v>
      </c>
      <c r="D42" s="29">
        <v>1803461010</v>
      </c>
      <c r="E42" s="29">
        <v>7858609084</v>
      </c>
      <c r="F42" s="30">
        <v>6.0221223262109415E-3</v>
      </c>
      <c r="G42" s="29">
        <v>2409431500</v>
      </c>
      <c r="H42" s="29">
        <v>13695870180</v>
      </c>
      <c r="I42" s="29">
        <v>1803461010</v>
      </c>
      <c r="J42" s="29">
        <v>17908762690</v>
      </c>
      <c r="K42" s="30">
        <v>2.7998045525989635E-3</v>
      </c>
    </row>
    <row r="43" spans="1:11" x14ac:dyDescent="0.4">
      <c r="A43" s="29" t="s">
        <v>259</v>
      </c>
      <c r="B43" s="29">
        <v>0</v>
      </c>
      <c r="C43" s="29">
        <v>-1510506953</v>
      </c>
      <c r="D43" s="29">
        <v>1846485045</v>
      </c>
      <c r="E43" s="29">
        <v>335978092</v>
      </c>
      <c r="F43" s="30">
        <v>2.574630125158359E-4</v>
      </c>
      <c r="G43" s="29">
        <v>0</v>
      </c>
      <c r="H43" s="29">
        <v>13073345925</v>
      </c>
      <c r="I43" s="29">
        <v>1846485045</v>
      </c>
      <c r="J43" s="29">
        <v>14919830970</v>
      </c>
      <c r="K43" s="30">
        <v>2.3325235470978822E-3</v>
      </c>
    </row>
    <row r="44" spans="1:11" x14ac:dyDescent="0.4">
      <c r="A44" s="29" t="s">
        <v>74</v>
      </c>
      <c r="B44" s="29">
        <v>0</v>
      </c>
      <c r="C44" s="29">
        <v>3500307332</v>
      </c>
      <c r="D44" s="29">
        <v>0</v>
      </c>
      <c r="E44" s="29">
        <v>3500307332</v>
      </c>
      <c r="F44" s="30">
        <v>2.682316769713628E-3</v>
      </c>
      <c r="G44" s="29">
        <v>2367178800</v>
      </c>
      <c r="H44" s="29">
        <v>9496126850</v>
      </c>
      <c r="I44" s="29">
        <v>-935000</v>
      </c>
      <c r="J44" s="29">
        <v>11862370650</v>
      </c>
      <c r="K44" s="30">
        <v>1.8545289769812863E-3</v>
      </c>
    </row>
    <row r="45" spans="1:11" x14ac:dyDescent="0.4">
      <c r="A45" s="29" t="s">
        <v>148</v>
      </c>
      <c r="B45" s="29">
        <v>0</v>
      </c>
      <c r="C45" s="29">
        <v>1013790948</v>
      </c>
      <c r="D45" s="29">
        <v>2532541721</v>
      </c>
      <c r="E45" s="29">
        <v>3546332669</v>
      </c>
      <c r="F45" s="30">
        <v>2.7175863965084508E-3</v>
      </c>
      <c r="G45" s="29">
        <v>1696622400</v>
      </c>
      <c r="H45" s="29">
        <v>7310308748</v>
      </c>
      <c r="I45" s="29">
        <v>5263078724</v>
      </c>
      <c r="J45" s="29">
        <v>14270009872</v>
      </c>
      <c r="K45" s="30">
        <v>2.2309323819208948E-3</v>
      </c>
    </row>
    <row r="46" spans="1:11" x14ac:dyDescent="0.4">
      <c r="A46" s="29" t="s">
        <v>246</v>
      </c>
      <c r="B46" s="29">
        <v>0</v>
      </c>
      <c r="C46" s="29">
        <v>6825103046</v>
      </c>
      <c r="D46" s="29">
        <v>3811077839</v>
      </c>
      <c r="E46" s="29">
        <v>10636180885</v>
      </c>
      <c r="F46" s="30">
        <v>8.15060040377707E-3</v>
      </c>
      <c r="G46" s="29">
        <v>964920240</v>
      </c>
      <c r="H46" s="29">
        <v>12941342837</v>
      </c>
      <c r="I46" s="29">
        <v>3848818653</v>
      </c>
      <c r="J46" s="29">
        <v>17755081730</v>
      </c>
      <c r="K46" s="30">
        <v>2.7757785124473433E-3</v>
      </c>
    </row>
    <row r="47" spans="1:11" x14ac:dyDescent="0.4">
      <c r="A47" s="29" t="s">
        <v>175</v>
      </c>
      <c r="B47" s="29">
        <v>0</v>
      </c>
      <c r="C47" s="29">
        <v>-3870635379</v>
      </c>
      <c r="D47" s="29">
        <v>1365453556</v>
      </c>
      <c r="E47" s="29">
        <v>-2505181823</v>
      </c>
      <c r="F47" s="30">
        <v>-1.919743204713162E-3</v>
      </c>
      <c r="G47" s="29">
        <v>2638839500</v>
      </c>
      <c r="H47" s="29">
        <v>25218182559</v>
      </c>
      <c r="I47" s="29">
        <v>5339142950</v>
      </c>
      <c r="J47" s="29">
        <v>33196165009</v>
      </c>
      <c r="K47" s="30">
        <v>5.1897931493012943E-3</v>
      </c>
    </row>
    <row r="48" spans="1:11" x14ac:dyDescent="0.4">
      <c r="A48" s="29" t="s">
        <v>260</v>
      </c>
      <c r="B48" s="29">
        <v>0</v>
      </c>
      <c r="C48" s="29">
        <v>3254270842</v>
      </c>
      <c r="D48" s="29">
        <v>565786624</v>
      </c>
      <c r="E48" s="29">
        <v>3820057466</v>
      </c>
      <c r="F48" s="30">
        <v>2.9273441530823694E-3</v>
      </c>
      <c r="G48" s="29">
        <v>6171223200</v>
      </c>
      <c r="H48" s="29">
        <v>13974226692</v>
      </c>
      <c r="I48" s="29">
        <v>684270271</v>
      </c>
      <c r="J48" s="29">
        <v>20829720163</v>
      </c>
      <c r="K48" s="30">
        <v>3.256458659441303E-3</v>
      </c>
    </row>
    <row r="49" spans="1:11" x14ac:dyDescent="0.4">
      <c r="A49" s="29" t="s">
        <v>261</v>
      </c>
      <c r="B49" s="29">
        <v>0</v>
      </c>
      <c r="C49" s="29">
        <v>188531300</v>
      </c>
      <c r="D49" s="29">
        <v>0</v>
      </c>
      <c r="E49" s="29">
        <v>188531300</v>
      </c>
      <c r="F49" s="30">
        <v>1.4447321896073751E-4</v>
      </c>
      <c r="G49" s="29">
        <v>1260000000</v>
      </c>
      <c r="H49" s="29">
        <v>1903003391</v>
      </c>
      <c r="I49" s="29">
        <v>3644400072</v>
      </c>
      <c r="J49" s="29">
        <v>6807403463</v>
      </c>
      <c r="K49" s="30">
        <v>1.0642499170379787E-3</v>
      </c>
    </row>
    <row r="50" spans="1:11" x14ac:dyDescent="0.4">
      <c r="A50" s="29" t="s">
        <v>91</v>
      </c>
      <c r="B50" s="29">
        <v>0</v>
      </c>
      <c r="C50" s="29">
        <v>1744172396</v>
      </c>
      <c r="D50" s="29">
        <v>2319163480</v>
      </c>
      <c r="E50" s="29">
        <v>4063335876</v>
      </c>
      <c r="F50" s="30">
        <v>3.1137705713818777E-3</v>
      </c>
      <c r="G50" s="29">
        <v>4330762920</v>
      </c>
      <c r="H50" s="29">
        <v>13006994194</v>
      </c>
      <c r="I50" s="29">
        <v>2319163480</v>
      </c>
      <c r="J50" s="29">
        <v>19656920594</v>
      </c>
      <c r="K50" s="30">
        <v>3.0731065412960431E-3</v>
      </c>
    </row>
    <row r="51" spans="1:11" x14ac:dyDescent="0.4">
      <c r="A51" s="29" t="s">
        <v>262</v>
      </c>
      <c r="B51" s="29">
        <v>0</v>
      </c>
      <c r="C51" s="29">
        <v>6144970418</v>
      </c>
      <c r="D51" s="29">
        <v>0</v>
      </c>
      <c r="E51" s="29">
        <v>6144970418</v>
      </c>
      <c r="F51" s="30">
        <v>4.7089457119691468E-3</v>
      </c>
      <c r="G51" s="29">
        <v>2040277100</v>
      </c>
      <c r="H51" s="29">
        <v>-2477042339</v>
      </c>
      <c r="I51" s="29">
        <v>0</v>
      </c>
      <c r="J51" s="29">
        <v>-436765239</v>
      </c>
      <c r="K51" s="30">
        <v>-6.8282623748875773E-5</v>
      </c>
    </row>
    <row r="52" spans="1:11" x14ac:dyDescent="0.4">
      <c r="A52" s="29" t="s">
        <v>129</v>
      </c>
      <c r="B52" s="29">
        <v>0</v>
      </c>
      <c r="C52" s="29">
        <v>-5142205516</v>
      </c>
      <c r="D52" s="29">
        <v>5277975088</v>
      </c>
      <c r="E52" s="29">
        <v>135769572</v>
      </c>
      <c r="F52" s="30">
        <v>1.0404143557998919E-4</v>
      </c>
      <c r="G52" s="29">
        <v>0</v>
      </c>
      <c r="H52" s="29">
        <v>43482819460</v>
      </c>
      <c r="I52" s="29">
        <v>13660639788</v>
      </c>
      <c r="J52" s="29">
        <v>57143459248</v>
      </c>
      <c r="K52" s="30">
        <v>8.9336443909182068E-3</v>
      </c>
    </row>
    <row r="53" spans="1:11" x14ac:dyDescent="0.4">
      <c r="A53" s="29" t="s">
        <v>181</v>
      </c>
      <c r="B53" s="29">
        <v>0</v>
      </c>
      <c r="C53" s="29">
        <v>-6001352772</v>
      </c>
      <c r="D53" s="29">
        <v>2621936600</v>
      </c>
      <c r="E53" s="29">
        <v>-3379416172</v>
      </c>
      <c r="F53" s="30">
        <v>-2.5896767941281547E-3</v>
      </c>
      <c r="G53" s="29">
        <v>5927112280</v>
      </c>
      <c r="H53" s="29">
        <v>15739057058</v>
      </c>
      <c r="I53" s="29">
        <v>3971826320</v>
      </c>
      <c r="J53" s="29">
        <v>25637995658</v>
      </c>
      <c r="K53" s="30">
        <v>4.0081706483755331E-3</v>
      </c>
    </row>
    <row r="54" spans="1:11" x14ac:dyDescent="0.4">
      <c r="A54" s="29" t="s">
        <v>134</v>
      </c>
      <c r="B54" s="29">
        <v>0</v>
      </c>
      <c r="C54" s="29">
        <v>26620951523</v>
      </c>
      <c r="D54" s="29">
        <v>5696961799</v>
      </c>
      <c r="E54" s="29">
        <v>32317913322</v>
      </c>
      <c r="F54" s="30">
        <v>2.4765505609537736E-2</v>
      </c>
      <c r="G54" s="29">
        <v>1858116000</v>
      </c>
      <c r="H54" s="29">
        <v>45867914900</v>
      </c>
      <c r="I54" s="29">
        <v>6116404443</v>
      </c>
      <c r="J54" s="29">
        <v>53842435343</v>
      </c>
      <c r="K54" s="30">
        <v>8.4175717890618128E-3</v>
      </c>
    </row>
    <row r="55" spans="1:11" x14ac:dyDescent="0.4">
      <c r="A55" s="29" t="s">
        <v>236</v>
      </c>
      <c r="B55" s="29">
        <v>0</v>
      </c>
      <c r="C55" s="29">
        <v>-953571470</v>
      </c>
      <c r="D55" s="29">
        <v>0</v>
      </c>
      <c r="E55" s="29">
        <v>-953571470</v>
      </c>
      <c r="F55" s="30">
        <v>-7.3073033379615127E-4</v>
      </c>
      <c r="G55" s="29">
        <v>5440000000</v>
      </c>
      <c r="H55" s="29">
        <v>21368355833</v>
      </c>
      <c r="I55" s="29">
        <v>6360983559</v>
      </c>
      <c r="J55" s="29">
        <v>33169339392</v>
      </c>
      <c r="K55" s="30">
        <v>5.1855993093413277E-3</v>
      </c>
    </row>
    <row r="56" spans="1:11" x14ac:dyDescent="0.4">
      <c r="A56" s="29" t="s">
        <v>263</v>
      </c>
      <c r="B56" s="29">
        <v>0</v>
      </c>
      <c r="C56" s="29">
        <v>7179032846</v>
      </c>
      <c r="D56" s="29">
        <v>0</v>
      </c>
      <c r="E56" s="29">
        <v>7179032846</v>
      </c>
      <c r="F56" s="30">
        <v>5.5013569857444607E-3</v>
      </c>
      <c r="G56" s="29">
        <v>283989048</v>
      </c>
      <c r="H56" s="29">
        <v>23294955179</v>
      </c>
      <c r="I56" s="29">
        <v>0</v>
      </c>
      <c r="J56" s="29">
        <v>23578944227</v>
      </c>
      <c r="K56" s="30">
        <v>3.6862644580741635E-3</v>
      </c>
    </row>
    <row r="57" spans="1:11" x14ac:dyDescent="0.4">
      <c r="A57" s="29" t="s">
        <v>264</v>
      </c>
      <c r="B57" s="29">
        <v>0</v>
      </c>
      <c r="C57" s="29">
        <v>118040439</v>
      </c>
      <c r="D57" s="29">
        <v>0</v>
      </c>
      <c r="E57" s="29">
        <v>118040439</v>
      </c>
      <c r="F57" s="30">
        <v>9.0455442623418929E-5</v>
      </c>
      <c r="G57" s="29">
        <v>273608000</v>
      </c>
      <c r="H57" s="29">
        <v>2860119842</v>
      </c>
      <c r="I57" s="29">
        <v>0</v>
      </c>
      <c r="J57" s="29">
        <v>3133727842</v>
      </c>
      <c r="K57" s="30">
        <v>4.8991801558333822E-4</v>
      </c>
    </row>
    <row r="58" spans="1:11" x14ac:dyDescent="0.4">
      <c r="A58" s="29" t="s">
        <v>205</v>
      </c>
      <c r="B58" s="29">
        <v>0</v>
      </c>
      <c r="C58" s="29">
        <v>-4634388243</v>
      </c>
      <c r="D58" s="29">
        <v>4157491077</v>
      </c>
      <c r="E58" s="29">
        <v>-476897166</v>
      </c>
      <c r="F58" s="30">
        <v>-3.6545055746856455E-4</v>
      </c>
      <c r="G58" s="29">
        <v>0</v>
      </c>
      <c r="H58" s="29">
        <v>20691217785</v>
      </c>
      <c r="I58" s="29">
        <v>4157491077</v>
      </c>
      <c r="J58" s="29">
        <v>24848708862</v>
      </c>
      <c r="K58" s="30">
        <v>3.8847758163036896E-3</v>
      </c>
    </row>
    <row r="59" spans="1:11" x14ac:dyDescent="0.4">
      <c r="A59" s="29" t="s">
        <v>243</v>
      </c>
      <c r="B59" s="29">
        <v>0</v>
      </c>
      <c r="C59" s="29">
        <v>12703542866</v>
      </c>
      <c r="D59" s="29">
        <v>0</v>
      </c>
      <c r="E59" s="29">
        <v>12703542866</v>
      </c>
      <c r="F59" s="30">
        <v>9.73483835340197E-3</v>
      </c>
      <c r="G59" s="29">
        <v>5974377600</v>
      </c>
      <c r="H59" s="29">
        <v>52501360754</v>
      </c>
      <c r="I59" s="29">
        <v>3880601890</v>
      </c>
      <c r="J59" s="29">
        <v>62356340244</v>
      </c>
      <c r="K59" s="30">
        <v>9.7486112424755769E-3</v>
      </c>
    </row>
    <row r="60" spans="1:11" x14ac:dyDescent="0.4">
      <c r="A60" s="29" t="s">
        <v>234</v>
      </c>
      <c r="B60" s="29">
        <v>0</v>
      </c>
      <c r="C60" s="29">
        <v>-11340569555</v>
      </c>
      <c r="D60" s="29">
        <v>15044734503</v>
      </c>
      <c r="E60" s="29">
        <v>3704164948</v>
      </c>
      <c r="F60" s="30">
        <v>2.8385346815043067E-3</v>
      </c>
      <c r="G60" s="29">
        <v>7357161000</v>
      </c>
      <c r="H60" s="29">
        <v>27111379211</v>
      </c>
      <c r="I60" s="29">
        <v>28387873936</v>
      </c>
      <c r="J60" s="29">
        <v>62856414147</v>
      </c>
      <c r="K60" s="30">
        <v>9.8267913610293363E-3</v>
      </c>
    </row>
    <row r="61" spans="1:11" x14ac:dyDescent="0.4">
      <c r="A61" s="29" t="s">
        <v>242</v>
      </c>
      <c r="B61" s="29">
        <v>0</v>
      </c>
      <c r="C61" s="29">
        <v>-6847449043</v>
      </c>
      <c r="D61" s="29">
        <v>1781334422</v>
      </c>
      <c r="E61" s="29">
        <v>-5066114621</v>
      </c>
      <c r="F61" s="30">
        <v>-3.882208879480101E-3</v>
      </c>
      <c r="G61" s="29">
        <v>7127264320</v>
      </c>
      <c r="H61" s="29">
        <v>16280948089</v>
      </c>
      <c r="I61" s="29">
        <v>6513718984</v>
      </c>
      <c r="J61" s="29">
        <v>29921931393</v>
      </c>
      <c r="K61" s="30">
        <v>4.677908864326754E-3</v>
      </c>
    </row>
    <row r="62" spans="1:11" x14ac:dyDescent="0.4">
      <c r="A62" s="29" t="s">
        <v>219</v>
      </c>
      <c r="B62" s="29">
        <v>0</v>
      </c>
      <c r="C62" s="29">
        <v>10675432609</v>
      </c>
      <c r="D62" s="29">
        <v>0</v>
      </c>
      <c r="E62" s="29">
        <v>10675432609</v>
      </c>
      <c r="F62" s="30">
        <v>8.1806793504349377E-3</v>
      </c>
      <c r="G62" s="29">
        <v>1403091520</v>
      </c>
      <c r="H62" s="29">
        <v>31557456485</v>
      </c>
      <c r="I62" s="29">
        <v>4059840965</v>
      </c>
      <c r="J62" s="29">
        <v>37020388970</v>
      </c>
      <c r="K62" s="30">
        <v>5.7876613460888099E-3</v>
      </c>
    </row>
    <row r="63" spans="1:11" x14ac:dyDescent="0.4">
      <c r="A63" s="29" t="s">
        <v>265</v>
      </c>
      <c r="B63" s="29">
        <v>0</v>
      </c>
      <c r="C63" s="29">
        <v>1908963706</v>
      </c>
      <c r="D63" s="29">
        <v>0</v>
      </c>
      <c r="E63" s="29">
        <v>1908963706</v>
      </c>
      <c r="F63" s="30">
        <v>1.4628559368393414E-3</v>
      </c>
      <c r="G63" s="29">
        <v>74166800</v>
      </c>
      <c r="H63" s="29">
        <v>3029470633</v>
      </c>
      <c r="I63" s="29">
        <v>0</v>
      </c>
      <c r="J63" s="29">
        <v>3103637433</v>
      </c>
      <c r="K63" s="30">
        <v>4.8521376741354099E-4</v>
      </c>
    </row>
    <row r="64" spans="1:11" x14ac:dyDescent="0.4">
      <c r="A64" s="29" t="s">
        <v>266</v>
      </c>
      <c r="B64" s="29">
        <v>0</v>
      </c>
      <c r="C64" s="29">
        <v>1566385805</v>
      </c>
      <c r="D64" s="29">
        <v>0</v>
      </c>
      <c r="E64" s="29">
        <v>1566385805</v>
      </c>
      <c r="F64" s="30">
        <v>1.200335431743992E-3</v>
      </c>
      <c r="G64" s="29">
        <v>0</v>
      </c>
      <c r="H64" s="29">
        <v>1566385805</v>
      </c>
      <c r="I64" s="29">
        <v>0</v>
      </c>
      <c r="J64" s="29">
        <v>1566385805</v>
      </c>
      <c r="K64" s="30">
        <v>2.4488426050864114E-4</v>
      </c>
    </row>
    <row r="65" spans="1:11" x14ac:dyDescent="0.4">
      <c r="A65" s="29" t="s">
        <v>256</v>
      </c>
      <c r="B65" s="29">
        <v>0</v>
      </c>
      <c r="C65" s="29">
        <v>9448666540</v>
      </c>
      <c r="D65" s="29">
        <v>0</v>
      </c>
      <c r="E65" s="29">
        <v>9448666540</v>
      </c>
      <c r="F65" s="30">
        <v>7.2405975555274596E-3</v>
      </c>
      <c r="G65" s="29">
        <v>0</v>
      </c>
      <c r="H65" s="29">
        <v>9448666540</v>
      </c>
      <c r="I65" s="29">
        <v>0</v>
      </c>
      <c r="J65" s="29">
        <v>9448666540</v>
      </c>
      <c r="K65" s="30">
        <v>1.4771774048607652E-3</v>
      </c>
    </row>
    <row r="66" spans="1:11" x14ac:dyDescent="0.4">
      <c r="A66" s="29" t="s">
        <v>267</v>
      </c>
      <c r="B66" s="29">
        <v>0</v>
      </c>
      <c r="C66" s="29">
        <v>1869971380</v>
      </c>
      <c r="D66" s="29">
        <v>1638033131</v>
      </c>
      <c r="E66" s="29">
        <v>3508004511</v>
      </c>
      <c r="F66" s="30">
        <v>2.6882151867247397E-3</v>
      </c>
      <c r="G66" s="29">
        <v>3080532040</v>
      </c>
      <c r="H66" s="29">
        <v>11228389560</v>
      </c>
      <c r="I66" s="29">
        <v>1638033131</v>
      </c>
      <c r="J66" s="29">
        <v>15946954731</v>
      </c>
      <c r="K66" s="30">
        <v>2.4931011275767471E-3</v>
      </c>
    </row>
    <row r="67" spans="1:11" x14ac:dyDescent="0.4">
      <c r="A67" s="29" t="s">
        <v>97</v>
      </c>
      <c r="B67" s="29">
        <v>0</v>
      </c>
      <c r="C67" s="29">
        <v>436731208</v>
      </c>
      <c r="D67" s="29">
        <v>5187517429</v>
      </c>
      <c r="E67" s="29">
        <v>5624248637</v>
      </c>
      <c r="F67" s="30">
        <v>4.3099119606289805E-3</v>
      </c>
      <c r="G67" s="29">
        <v>2875713190</v>
      </c>
      <c r="H67" s="29">
        <v>23575876185</v>
      </c>
      <c r="I67" s="29">
        <v>7678472031</v>
      </c>
      <c r="J67" s="29">
        <v>34130061406</v>
      </c>
      <c r="K67" s="30">
        <v>5.3357958312976557E-3</v>
      </c>
    </row>
    <row r="68" spans="1:11" x14ac:dyDescent="0.4">
      <c r="A68" s="29" t="s">
        <v>165</v>
      </c>
      <c r="B68" s="29">
        <v>0</v>
      </c>
      <c r="C68" s="29">
        <v>6603857548</v>
      </c>
      <c r="D68" s="29">
        <v>0</v>
      </c>
      <c r="E68" s="29">
        <v>6603857548</v>
      </c>
      <c r="F68" s="30">
        <v>5.0605950180034991E-3</v>
      </c>
      <c r="G68" s="29">
        <v>3045055160</v>
      </c>
      <c r="H68" s="29">
        <v>19301159989</v>
      </c>
      <c r="I68" s="29">
        <v>-115958600</v>
      </c>
      <c r="J68" s="29">
        <v>22230256549</v>
      </c>
      <c r="K68" s="30">
        <v>3.4754144978473176E-3</v>
      </c>
    </row>
    <row r="69" spans="1:11" x14ac:dyDescent="0.4">
      <c r="A69" s="29" t="s">
        <v>143</v>
      </c>
      <c r="B69" s="29">
        <v>0</v>
      </c>
      <c r="C69" s="29">
        <v>-686686839</v>
      </c>
      <c r="D69" s="29">
        <v>0</v>
      </c>
      <c r="E69" s="29">
        <v>-686686839</v>
      </c>
      <c r="F69" s="30">
        <v>-5.2621425751747165E-4</v>
      </c>
      <c r="G69" s="29">
        <v>1854451144</v>
      </c>
      <c r="H69" s="29">
        <v>5313123397</v>
      </c>
      <c r="I69" s="29">
        <v>945981788</v>
      </c>
      <c r="J69" s="29">
        <v>8113556329</v>
      </c>
      <c r="K69" s="30">
        <v>1.268450106851147E-3</v>
      </c>
    </row>
    <row r="70" spans="1:11" x14ac:dyDescent="0.4">
      <c r="A70" s="29" t="s">
        <v>123</v>
      </c>
      <c r="B70" s="29">
        <v>0</v>
      </c>
      <c r="C70" s="29">
        <v>-317226520</v>
      </c>
      <c r="D70" s="29">
        <v>0</v>
      </c>
      <c r="E70" s="29">
        <v>-317226520</v>
      </c>
      <c r="F70" s="30">
        <v>-2.430935154221754E-4</v>
      </c>
      <c r="G70" s="29">
        <v>2136047450</v>
      </c>
      <c r="H70" s="29">
        <v>9725777531</v>
      </c>
      <c r="I70" s="29">
        <v>132517982</v>
      </c>
      <c r="J70" s="29">
        <v>11994342963</v>
      </c>
      <c r="K70" s="30">
        <v>1.8751611495746914E-3</v>
      </c>
    </row>
    <row r="71" spans="1:11" x14ac:dyDescent="0.4">
      <c r="A71" s="29" t="s">
        <v>93</v>
      </c>
      <c r="B71" s="29">
        <v>0</v>
      </c>
      <c r="C71" s="29">
        <v>12351332237</v>
      </c>
      <c r="D71" s="29">
        <v>2395527993</v>
      </c>
      <c r="E71" s="29">
        <v>14746860230</v>
      </c>
      <c r="F71" s="30">
        <v>1.1300650698277591E-2</v>
      </c>
      <c r="G71" s="29">
        <v>5071385800</v>
      </c>
      <c r="H71" s="29">
        <v>36502458561</v>
      </c>
      <c r="I71" s="29">
        <v>9086569483</v>
      </c>
      <c r="J71" s="29">
        <v>50660413844</v>
      </c>
      <c r="K71" s="30">
        <v>7.92010368176802E-3</v>
      </c>
    </row>
    <row r="72" spans="1:11" x14ac:dyDescent="0.4">
      <c r="A72" s="29" t="s">
        <v>268</v>
      </c>
      <c r="B72" s="29">
        <v>0</v>
      </c>
      <c r="C72" s="29">
        <v>21009296671</v>
      </c>
      <c r="D72" s="29">
        <v>0</v>
      </c>
      <c r="E72" s="29">
        <v>21009296671</v>
      </c>
      <c r="F72" s="30">
        <v>1.6099611672759254E-2</v>
      </c>
      <c r="G72" s="29">
        <v>2926798560</v>
      </c>
      <c r="H72" s="29">
        <v>43648704750</v>
      </c>
      <c r="I72" s="29">
        <v>0</v>
      </c>
      <c r="J72" s="29">
        <v>46575503310</v>
      </c>
      <c r="K72" s="30">
        <v>7.2814804944476095E-3</v>
      </c>
    </row>
    <row r="73" spans="1:11" x14ac:dyDescent="0.4">
      <c r="A73" s="29" t="s">
        <v>173</v>
      </c>
      <c r="B73" s="29">
        <v>0</v>
      </c>
      <c r="C73" s="29">
        <v>1025006495</v>
      </c>
      <c r="D73" s="29">
        <v>0</v>
      </c>
      <c r="E73" s="29">
        <v>1025006495</v>
      </c>
      <c r="F73" s="30">
        <v>7.8547163143898708E-4</v>
      </c>
      <c r="G73" s="29">
        <v>2937249600</v>
      </c>
      <c r="H73" s="29">
        <v>7349275794</v>
      </c>
      <c r="I73" s="29">
        <v>209548355</v>
      </c>
      <c r="J73" s="29">
        <v>10496073749</v>
      </c>
      <c r="K73" s="30">
        <v>1.6409260413771595E-3</v>
      </c>
    </row>
    <row r="74" spans="1:11" x14ac:dyDescent="0.4">
      <c r="A74" s="29" t="s">
        <v>214</v>
      </c>
      <c r="B74" s="29">
        <v>0</v>
      </c>
      <c r="C74" s="29">
        <v>11343834909</v>
      </c>
      <c r="D74" s="29">
        <v>2374894132</v>
      </c>
      <c r="E74" s="29">
        <v>13718729041</v>
      </c>
      <c r="F74" s="30">
        <v>1.05127845859198E-2</v>
      </c>
      <c r="G74" s="29">
        <v>5657121600</v>
      </c>
      <c r="H74" s="29">
        <v>17234388192</v>
      </c>
      <c r="I74" s="29">
        <v>2358021058</v>
      </c>
      <c r="J74" s="29">
        <v>25249530850</v>
      </c>
      <c r="K74" s="30">
        <v>3.9474391753648273E-3</v>
      </c>
    </row>
    <row r="75" spans="1:11" x14ac:dyDescent="0.4">
      <c r="A75" s="29" t="s">
        <v>269</v>
      </c>
      <c r="B75" s="29">
        <v>0</v>
      </c>
      <c r="C75" s="29">
        <v>1587922973</v>
      </c>
      <c r="D75" s="29">
        <v>0</v>
      </c>
      <c r="E75" s="29">
        <v>1587922973</v>
      </c>
      <c r="F75" s="30">
        <v>1.2168395559305765E-3</v>
      </c>
      <c r="G75" s="29">
        <v>4885105680</v>
      </c>
      <c r="H75" s="29">
        <v>1900948055</v>
      </c>
      <c r="I75" s="29">
        <v>-545523643</v>
      </c>
      <c r="J75" s="29">
        <v>6240530092</v>
      </c>
      <c r="K75" s="30">
        <v>9.7562656140218413E-4</v>
      </c>
    </row>
    <row r="76" spans="1:11" x14ac:dyDescent="0.4">
      <c r="A76" s="29" t="s">
        <v>270</v>
      </c>
      <c r="B76" s="29">
        <v>0</v>
      </c>
      <c r="C76" s="29">
        <v>24811216930</v>
      </c>
      <c r="D76" s="29">
        <v>7414431305</v>
      </c>
      <c r="E76" s="29">
        <v>32225648235</v>
      </c>
      <c r="F76" s="30">
        <v>2.4694802049351271E-2</v>
      </c>
      <c r="G76" s="29">
        <v>0</v>
      </c>
      <c r="H76" s="29">
        <v>36251538994</v>
      </c>
      <c r="I76" s="29">
        <v>7485484908</v>
      </c>
      <c r="J76" s="29">
        <v>43737023902</v>
      </c>
      <c r="K76" s="30">
        <v>6.8377207715375277E-3</v>
      </c>
    </row>
    <row r="77" spans="1:11" x14ac:dyDescent="0.4">
      <c r="A77" s="29" t="s">
        <v>221</v>
      </c>
      <c r="B77" s="29">
        <v>0</v>
      </c>
      <c r="C77" s="29">
        <v>-2416104640</v>
      </c>
      <c r="D77" s="29">
        <v>20255052206</v>
      </c>
      <c r="E77" s="29">
        <v>17838947566</v>
      </c>
      <c r="F77" s="30">
        <v>1.3670144839248621E-2</v>
      </c>
      <c r="G77" s="29">
        <v>2532289790</v>
      </c>
      <c r="H77" s="29">
        <v>16688465551</v>
      </c>
      <c r="I77" s="29">
        <v>27475834728</v>
      </c>
      <c r="J77" s="29">
        <v>46696590069</v>
      </c>
      <c r="K77" s="30">
        <v>7.3004108507751832E-3</v>
      </c>
    </row>
    <row r="78" spans="1:11" x14ac:dyDescent="0.4">
      <c r="A78" s="29" t="s">
        <v>197</v>
      </c>
      <c r="B78" s="29">
        <v>0</v>
      </c>
      <c r="C78" s="29">
        <v>11115953719</v>
      </c>
      <c r="D78" s="29">
        <v>543430864</v>
      </c>
      <c r="E78" s="29">
        <v>11659384583</v>
      </c>
      <c r="F78" s="30">
        <v>8.9346905357741997E-3</v>
      </c>
      <c r="G78" s="29">
        <v>360786520</v>
      </c>
      <c r="H78" s="29">
        <v>27485418272</v>
      </c>
      <c r="I78" s="29">
        <v>2944530330</v>
      </c>
      <c r="J78" s="29">
        <v>30790735122</v>
      </c>
      <c r="K78" s="30">
        <v>4.8137351454537814E-3</v>
      </c>
    </row>
    <row r="79" spans="1:11" x14ac:dyDescent="0.4">
      <c r="A79" s="29" t="s">
        <v>224</v>
      </c>
      <c r="B79" s="29">
        <v>0</v>
      </c>
      <c r="C79" s="29">
        <v>27941294842</v>
      </c>
      <c r="D79" s="29">
        <v>0</v>
      </c>
      <c r="E79" s="29">
        <v>27941294842</v>
      </c>
      <c r="F79" s="30">
        <v>2.141166378078755E-2</v>
      </c>
      <c r="G79" s="29">
        <v>5249976270</v>
      </c>
      <c r="H79" s="29">
        <v>53228402756</v>
      </c>
      <c r="I79" s="29">
        <v>458772357</v>
      </c>
      <c r="J79" s="29">
        <v>58937151383</v>
      </c>
      <c r="K79" s="30">
        <v>9.2140650705857165E-3</v>
      </c>
    </row>
    <row r="80" spans="1:11" x14ac:dyDescent="0.4">
      <c r="A80" s="29" t="s">
        <v>247</v>
      </c>
      <c r="B80" s="29">
        <v>0</v>
      </c>
      <c r="C80" s="29">
        <v>-10099292157</v>
      </c>
      <c r="D80" s="29">
        <v>15071465412</v>
      </c>
      <c r="E80" s="29">
        <v>4972173255</v>
      </c>
      <c r="F80" s="30">
        <v>3.8102207717251087E-3</v>
      </c>
      <c r="G80" s="29">
        <v>5542935000</v>
      </c>
      <c r="H80" s="29">
        <v>19709678166</v>
      </c>
      <c r="I80" s="29">
        <v>39767709703</v>
      </c>
      <c r="J80" s="29">
        <v>65020322869</v>
      </c>
      <c r="K80" s="30">
        <v>1.016509063921717E-2</v>
      </c>
    </row>
    <row r="81" spans="1:11" x14ac:dyDescent="0.4">
      <c r="A81" s="29" t="s">
        <v>271</v>
      </c>
      <c r="B81" s="29">
        <v>0</v>
      </c>
      <c r="C81" s="29">
        <v>4462361926</v>
      </c>
      <c r="D81" s="29">
        <v>0</v>
      </c>
      <c r="E81" s="29">
        <v>4462361926</v>
      </c>
      <c r="F81" s="30">
        <v>3.4195477971936564E-3</v>
      </c>
      <c r="G81" s="29">
        <v>260610760</v>
      </c>
      <c r="H81" s="29">
        <v>17500973505</v>
      </c>
      <c r="I81" s="29">
        <v>0</v>
      </c>
      <c r="J81" s="29">
        <v>17761584265</v>
      </c>
      <c r="K81" s="30">
        <v>2.7767951001039879E-3</v>
      </c>
    </row>
    <row r="82" spans="1:11" x14ac:dyDescent="0.4">
      <c r="A82" s="29" t="s">
        <v>217</v>
      </c>
      <c r="B82" s="29">
        <v>0</v>
      </c>
      <c r="C82" s="29">
        <v>-29610734341</v>
      </c>
      <c r="D82" s="29">
        <v>22257301017</v>
      </c>
      <c r="E82" s="29">
        <v>-7353433324</v>
      </c>
      <c r="F82" s="30">
        <v>-5.6350016296043996E-3</v>
      </c>
      <c r="G82" s="29">
        <v>1150107900</v>
      </c>
      <c r="H82" s="29">
        <v>11303074206</v>
      </c>
      <c r="I82" s="29">
        <v>22257301017</v>
      </c>
      <c r="J82" s="29">
        <v>34710483123</v>
      </c>
      <c r="K82" s="30">
        <v>5.4265372964571283E-3</v>
      </c>
    </row>
    <row r="83" spans="1:11" x14ac:dyDescent="0.4">
      <c r="A83" s="29" t="s">
        <v>272</v>
      </c>
      <c r="B83" s="29">
        <v>0</v>
      </c>
      <c r="C83" s="29">
        <v>1092842518</v>
      </c>
      <c r="D83" s="29">
        <v>0</v>
      </c>
      <c r="E83" s="29">
        <v>1092842518</v>
      </c>
      <c r="F83" s="30">
        <v>8.3745498170657991E-4</v>
      </c>
      <c r="G83" s="29">
        <v>3066175800</v>
      </c>
      <c r="H83" s="29">
        <v>10140105014</v>
      </c>
      <c r="I83" s="29">
        <v>0</v>
      </c>
      <c r="J83" s="29">
        <v>13206280814</v>
      </c>
      <c r="K83" s="30">
        <v>2.0646320343830266E-3</v>
      </c>
    </row>
    <row r="84" spans="1:11" x14ac:dyDescent="0.4">
      <c r="A84" s="29" t="s">
        <v>273</v>
      </c>
      <c r="B84" s="29">
        <v>35770000</v>
      </c>
      <c r="C84" s="29">
        <v>-359797102</v>
      </c>
      <c r="D84" s="29">
        <v>0</v>
      </c>
      <c r="E84" s="29">
        <v>-324027102</v>
      </c>
      <c r="F84" s="30">
        <v>-2.4830486214469019E-4</v>
      </c>
      <c r="G84" s="29">
        <v>35770000</v>
      </c>
      <c r="H84" s="29">
        <v>1492671761</v>
      </c>
      <c r="I84" s="29">
        <v>0</v>
      </c>
      <c r="J84" s="29">
        <v>1528441761</v>
      </c>
      <c r="K84" s="30">
        <v>2.389521975864753E-4</v>
      </c>
    </row>
    <row r="85" spans="1:11" x14ac:dyDescent="0.4">
      <c r="A85" s="29" t="s">
        <v>237</v>
      </c>
      <c r="B85" s="29">
        <v>0</v>
      </c>
      <c r="C85" s="29">
        <v>5384907328</v>
      </c>
      <c r="D85" s="29">
        <v>7745607711</v>
      </c>
      <c r="E85" s="29">
        <v>13130515039</v>
      </c>
      <c r="F85" s="30">
        <v>1.0062030942855132E-2</v>
      </c>
      <c r="G85" s="29">
        <v>1511369800</v>
      </c>
      <c r="H85" s="29">
        <v>20521859215</v>
      </c>
      <c r="I85" s="29">
        <v>10317981620</v>
      </c>
      <c r="J85" s="29">
        <v>32351210635</v>
      </c>
      <c r="K85" s="30">
        <v>5.057695407876389E-3</v>
      </c>
    </row>
    <row r="86" spans="1:11" x14ac:dyDescent="0.4">
      <c r="A86" s="29" t="s">
        <v>127</v>
      </c>
      <c r="B86" s="29">
        <v>0</v>
      </c>
      <c r="C86" s="29">
        <v>2439933733</v>
      </c>
      <c r="D86" s="29">
        <v>-394177839</v>
      </c>
      <c r="E86" s="29">
        <v>2045755894</v>
      </c>
      <c r="F86" s="30">
        <v>1.5676810121931018E-3</v>
      </c>
      <c r="G86" s="29">
        <v>5600000000</v>
      </c>
      <c r="H86" s="29">
        <v>-2882557058</v>
      </c>
      <c r="I86" s="29">
        <v>-2243946857</v>
      </c>
      <c r="J86" s="29">
        <v>473496085</v>
      </c>
      <c r="K86" s="30">
        <v>7.4025018778155799E-5</v>
      </c>
    </row>
    <row r="87" spans="1:11" x14ac:dyDescent="0.4">
      <c r="A87" s="29" t="s">
        <v>274</v>
      </c>
      <c r="B87" s="29">
        <v>0</v>
      </c>
      <c r="C87" s="29">
        <v>3392727289</v>
      </c>
      <c r="D87" s="29">
        <v>0</v>
      </c>
      <c r="E87" s="29">
        <v>3392727289</v>
      </c>
      <c r="F87" s="30">
        <v>2.5998772219666781E-3</v>
      </c>
      <c r="G87" s="29">
        <v>0</v>
      </c>
      <c r="H87" s="29">
        <v>3392727289</v>
      </c>
      <c r="I87" s="29">
        <v>0</v>
      </c>
      <c r="J87" s="29">
        <v>3392727289</v>
      </c>
      <c r="K87" s="30">
        <v>5.3040924568021849E-4</v>
      </c>
    </row>
    <row r="88" spans="1:11" x14ac:dyDescent="0.4">
      <c r="A88" s="29" t="s">
        <v>215</v>
      </c>
      <c r="B88" s="29">
        <v>0</v>
      </c>
      <c r="C88" s="29">
        <v>-5275957542</v>
      </c>
      <c r="D88" s="29">
        <v>1035691464</v>
      </c>
      <c r="E88" s="29">
        <v>-4240266078</v>
      </c>
      <c r="F88" s="30">
        <v>-3.2493537653359504E-3</v>
      </c>
      <c r="G88" s="29">
        <v>0</v>
      </c>
      <c r="H88" s="29">
        <v>24175699291</v>
      </c>
      <c r="I88" s="29">
        <v>12439010988</v>
      </c>
      <c r="J88" s="29">
        <v>36614710279</v>
      </c>
      <c r="K88" s="30">
        <v>5.7242387040216157E-3</v>
      </c>
    </row>
    <row r="89" spans="1:11" x14ac:dyDescent="0.4">
      <c r="A89" s="29" t="s">
        <v>151</v>
      </c>
      <c r="B89" s="29">
        <v>0</v>
      </c>
      <c r="C89" s="29">
        <v>19890275979</v>
      </c>
      <c r="D89" s="29">
        <v>1733358384</v>
      </c>
      <c r="E89" s="29">
        <v>21623634363</v>
      </c>
      <c r="F89" s="30">
        <v>1.6570384132781276E-2</v>
      </c>
      <c r="G89" s="29">
        <v>324518880</v>
      </c>
      <c r="H89" s="29">
        <v>60437224344</v>
      </c>
      <c r="I89" s="29">
        <v>11111890542</v>
      </c>
      <c r="J89" s="29">
        <v>71873633766</v>
      </c>
      <c r="K89" s="30">
        <v>1.1236517592711336E-2</v>
      </c>
    </row>
    <row r="90" spans="1:11" x14ac:dyDescent="0.4">
      <c r="A90" s="29" t="s">
        <v>275</v>
      </c>
      <c r="B90" s="29">
        <v>0</v>
      </c>
      <c r="C90" s="29">
        <v>4851786789</v>
      </c>
      <c r="D90" s="29">
        <v>0</v>
      </c>
      <c r="E90" s="29">
        <v>4851786789</v>
      </c>
      <c r="F90" s="30">
        <v>3.7179675476592513E-3</v>
      </c>
      <c r="G90" s="29">
        <v>1281113520</v>
      </c>
      <c r="H90" s="29">
        <v>21523316095</v>
      </c>
      <c r="I90" s="29">
        <v>0</v>
      </c>
      <c r="J90" s="29">
        <v>22804429615</v>
      </c>
      <c r="K90" s="30">
        <v>3.5651790668459423E-3</v>
      </c>
    </row>
    <row r="91" spans="1:11" x14ac:dyDescent="0.4">
      <c r="A91" s="29" t="s">
        <v>108</v>
      </c>
      <c r="B91" s="29">
        <v>0</v>
      </c>
      <c r="C91" s="29">
        <v>-4465006518</v>
      </c>
      <c r="D91" s="29">
        <v>5618924350</v>
      </c>
      <c r="E91" s="29">
        <v>1153917832</v>
      </c>
      <c r="F91" s="30">
        <v>8.842575402876633E-4</v>
      </c>
      <c r="G91" s="29">
        <v>4584349440</v>
      </c>
      <c r="H91" s="29">
        <v>49045855700</v>
      </c>
      <c r="I91" s="29">
        <v>5618924350</v>
      </c>
      <c r="J91" s="29">
        <v>59249129490</v>
      </c>
      <c r="K91" s="30">
        <v>9.2628388323139649E-3</v>
      </c>
    </row>
    <row r="92" spans="1:11" x14ac:dyDescent="0.4">
      <c r="A92" s="29" t="s">
        <v>231</v>
      </c>
      <c r="B92" s="29">
        <v>0</v>
      </c>
      <c r="C92" s="29">
        <v>1658565488</v>
      </c>
      <c r="D92" s="29">
        <v>16155550474</v>
      </c>
      <c r="E92" s="29">
        <v>17814115962</v>
      </c>
      <c r="F92" s="30">
        <v>1.3651116159332668E-2</v>
      </c>
      <c r="G92" s="29">
        <v>5064416544</v>
      </c>
      <c r="H92" s="29">
        <v>36229176474</v>
      </c>
      <c r="I92" s="29">
        <v>22624997543</v>
      </c>
      <c r="J92" s="29">
        <v>63918590561</v>
      </c>
      <c r="K92" s="30">
        <v>9.9928489726610441E-3</v>
      </c>
    </row>
    <row r="93" spans="1:11" x14ac:dyDescent="0.4">
      <c r="A93" s="29" t="s">
        <v>170</v>
      </c>
      <c r="B93" s="29">
        <v>0</v>
      </c>
      <c r="C93" s="29">
        <v>6073712721</v>
      </c>
      <c r="D93" s="29">
        <v>22710066317</v>
      </c>
      <c r="E93" s="29">
        <v>28783779038</v>
      </c>
      <c r="F93" s="30">
        <v>2.2057266944398413E-2</v>
      </c>
      <c r="G93" s="29">
        <v>0</v>
      </c>
      <c r="H93" s="29">
        <v>73500218083</v>
      </c>
      <c r="I93" s="29">
        <v>38657305072</v>
      </c>
      <c r="J93" s="29">
        <v>112157523155</v>
      </c>
      <c r="K93" s="30">
        <v>1.7534385226564898E-2</v>
      </c>
    </row>
    <row r="94" spans="1:11" x14ac:dyDescent="0.4">
      <c r="A94" s="29" t="s">
        <v>147</v>
      </c>
      <c r="B94" s="29">
        <v>0</v>
      </c>
      <c r="C94" s="29">
        <v>5407309077</v>
      </c>
      <c r="D94" s="29">
        <v>4251850754</v>
      </c>
      <c r="E94" s="29">
        <v>9659159831</v>
      </c>
      <c r="F94" s="30">
        <v>7.4019004443337706E-3</v>
      </c>
      <c r="G94" s="29">
        <v>0</v>
      </c>
      <c r="H94" s="29">
        <v>60536524050</v>
      </c>
      <c r="I94" s="29">
        <v>17949352265</v>
      </c>
      <c r="J94" s="29">
        <v>78485876315</v>
      </c>
      <c r="K94" s="30">
        <v>1.2270256612655812E-2</v>
      </c>
    </row>
    <row r="95" spans="1:11" x14ac:dyDescent="0.4">
      <c r="A95" s="29" t="s">
        <v>276</v>
      </c>
      <c r="B95" s="29">
        <v>0</v>
      </c>
      <c r="C95" s="29">
        <v>5270119716</v>
      </c>
      <c r="D95" s="29">
        <v>0</v>
      </c>
      <c r="E95" s="29">
        <v>5270119716</v>
      </c>
      <c r="F95" s="30">
        <v>4.0385398057456124E-3</v>
      </c>
      <c r="G95" s="29">
        <v>2099766900</v>
      </c>
      <c r="H95" s="29">
        <v>31130474604</v>
      </c>
      <c r="I95" s="29">
        <v>0</v>
      </c>
      <c r="J95" s="29">
        <v>33230241504</v>
      </c>
      <c r="K95" s="30">
        <v>5.1951205707144376E-3</v>
      </c>
    </row>
    <row r="96" spans="1:11" x14ac:dyDescent="0.4">
      <c r="A96" s="29" t="s">
        <v>98</v>
      </c>
      <c r="B96" s="29">
        <v>0</v>
      </c>
      <c r="C96" s="29">
        <v>10306966362</v>
      </c>
      <c r="D96" s="29">
        <v>3155602972</v>
      </c>
      <c r="E96" s="29">
        <v>13462569334</v>
      </c>
      <c r="F96" s="30">
        <v>1.0316487114686485E-2</v>
      </c>
      <c r="G96" s="29">
        <v>5231894640</v>
      </c>
      <c r="H96" s="29">
        <v>15437758911</v>
      </c>
      <c r="I96" s="29">
        <v>3155602972</v>
      </c>
      <c r="J96" s="29">
        <v>23825256523</v>
      </c>
      <c r="K96" s="30">
        <v>3.7247722154016413E-3</v>
      </c>
    </row>
    <row r="97" spans="1:11" x14ac:dyDescent="0.4">
      <c r="A97" s="29" t="s">
        <v>277</v>
      </c>
      <c r="B97" s="29">
        <v>0</v>
      </c>
      <c r="C97" s="29">
        <v>4379296424</v>
      </c>
      <c r="D97" s="29">
        <v>0</v>
      </c>
      <c r="E97" s="29">
        <v>4379296424</v>
      </c>
      <c r="F97" s="30">
        <v>3.3558939611540725E-3</v>
      </c>
      <c r="G97" s="29">
        <v>4876820845</v>
      </c>
      <c r="H97" s="29">
        <v>16573314946</v>
      </c>
      <c r="I97" s="29">
        <v>0</v>
      </c>
      <c r="J97" s="29">
        <v>21450135791</v>
      </c>
      <c r="K97" s="30">
        <v>3.3534526578456645E-3</v>
      </c>
    </row>
    <row r="98" spans="1:11" x14ac:dyDescent="0.4">
      <c r="A98" s="29" t="s">
        <v>145</v>
      </c>
      <c r="B98" s="29">
        <v>0</v>
      </c>
      <c r="C98" s="29">
        <v>-7356538806</v>
      </c>
      <c r="D98" s="29">
        <v>6500853136</v>
      </c>
      <c r="E98" s="29">
        <v>-855685670</v>
      </c>
      <c r="F98" s="30">
        <v>-6.5571957103926712E-4</v>
      </c>
      <c r="G98" s="29">
        <v>70000000</v>
      </c>
      <c r="H98" s="29">
        <v>8895498503</v>
      </c>
      <c r="I98" s="29">
        <v>10581684559</v>
      </c>
      <c r="J98" s="29">
        <v>19547183062</v>
      </c>
      <c r="K98" s="30">
        <v>3.0559504905401675E-3</v>
      </c>
    </row>
    <row r="99" spans="1:11" x14ac:dyDescent="0.4">
      <c r="A99" s="29" t="s">
        <v>120</v>
      </c>
      <c r="B99" s="29">
        <v>0</v>
      </c>
      <c r="C99" s="29">
        <v>3219850465</v>
      </c>
      <c r="D99" s="29">
        <v>3732139285</v>
      </c>
      <c r="E99" s="29">
        <v>6951989750</v>
      </c>
      <c r="F99" s="30">
        <v>5.3273718335605435E-3</v>
      </c>
      <c r="G99" s="29">
        <v>7292230155</v>
      </c>
      <c r="H99" s="29">
        <v>37578041024</v>
      </c>
      <c r="I99" s="29">
        <v>5121351431</v>
      </c>
      <c r="J99" s="29">
        <v>49991622610</v>
      </c>
      <c r="K99" s="30">
        <v>7.8155467799817767E-3</v>
      </c>
    </row>
    <row r="100" spans="1:11" x14ac:dyDescent="0.4">
      <c r="A100" s="29" t="s">
        <v>278</v>
      </c>
      <c r="B100" s="29">
        <v>0</v>
      </c>
      <c r="C100" s="29">
        <v>5331921661</v>
      </c>
      <c r="D100" s="29">
        <v>-1053576717</v>
      </c>
      <c r="E100" s="29">
        <v>4278344944</v>
      </c>
      <c r="F100" s="30">
        <v>3.2785339404336378E-3</v>
      </c>
      <c r="G100" s="29">
        <v>0</v>
      </c>
      <c r="H100" s="29">
        <v>585212879</v>
      </c>
      <c r="I100" s="29">
        <v>-1053576717</v>
      </c>
      <c r="J100" s="29">
        <v>-468363838</v>
      </c>
      <c r="K100" s="30">
        <v>-7.3222658014076547E-5</v>
      </c>
    </row>
    <row r="101" spans="1:11" x14ac:dyDescent="0.4">
      <c r="A101" s="29" t="s">
        <v>94</v>
      </c>
      <c r="B101" s="29">
        <v>0</v>
      </c>
      <c r="C101" s="29">
        <v>4591582728</v>
      </c>
      <c r="D101" s="29">
        <v>0</v>
      </c>
      <c r="E101" s="29">
        <v>4591582728</v>
      </c>
      <c r="F101" s="30">
        <v>3.5185708518356605E-3</v>
      </c>
      <c r="G101" s="29">
        <v>10536089950</v>
      </c>
      <c r="H101" s="29">
        <v>-742161019</v>
      </c>
      <c r="I101" s="29">
        <v>1435282868</v>
      </c>
      <c r="J101" s="29">
        <v>11229211799</v>
      </c>
      <c r="K101" s="30">
        <v>1.7555427396719946E-3</v>
      </c>
    </row>
    <row r="102" spans="1:11" x14ac:dyDescent="0.4">
      <c r="A102" s="29" t="s">
        <v>279</v>
      </c>
      <c r="B102" s="29">
        <v>1121409900</v>
      </c>
      <c r="C102" s="29">
        <v>3303986008</v>
      </c>
      <c r="D102" s="29">
        <v>0</v>
      </c>
      <c r="E102" s="29">
        <v>4425395908</v>
      </c>
      <c r="F102" s="30">
        <v>3.3912204074572011E-3</v>
      </c>
      <c r="G102" s="29">
        <v>1121409900</v>
      </c>
      <c r="H102" s="29">
        <v>8282965530</v>
      </c>
      <c r="I102" s="29">
        <v>0</v>
      </c>
      <c r="J102" s="29">
        <v>9404375430</v>
      </c>
      <c r="K102" s="30">
        <v>1.4702530598591475E-3</v>
      </c>
    </row>
    <row r="103" spans="1:11" x14ac:dyDescent="0.4">
      <c r="A103" s="29" t="s">
        <v>119</v>
      </c>
      <c r="B103" s="29">
        <v>0</v>
      </c>
      <c r="C103" s="29">
        <v>-1692917742</v>
      </c>
      <c r="D103" s="29">
        <v>6487201679</v>
      </c>
      <c r="E103" s="29">
        <v>4794283937</v>
      </c>
      <c r="F103" s="30">
        <v>3.6739025986143822E-3</v>
      </c>
      <c r="G103" s="29">
        <v>2183591330</v>
      </c>
      <c r="H103" s="29">
        <v>30681955700</v>
      </c>
      <c r="I103" s="29">
        <v>6487201679</v>
      </c>
      <c r="J103" s="29">
        <v>39352748709</v>
      </c>
      <c r="K103" s="30">
        <v>6.1522957727428119E-3</v>
      </c>
    </row>
    <row r="104" spans="1:11" x14ac:dyDescent="0.4">
      <c r="A104" s="29" t="s">
        <v>230</v>
      </c>
      <c r="B104" s="29">
        <v>0</v>
      </c>
      <c r="C104" s="29">
        <v>3019853976</v>
      </c>
      <c r="D104" s="29">
        <v>1407702455</v>
      </c>
      <c r="E104" s="29">
        <v>4427556431</v>
      </c>
      <c r="F104" s="30">
        <v>3.3928760355277057E-3</v>
      </c>
      <c r="G104" s="29">
        <v>0</v>
      </c>
      <c r="H104" s="29">
        <v>16732606938</v>
      </c>
      <c r="I104" s="29">
        <v>5690293864</v>
      </c>
      <c r="J104" s="29">
        <v>22422900802</v>
      </c>
      <c r="K104" s="30">
        <v>3.5055319473840519E-3</v>
      </c>
    </row>
    <row r="105" spans="1:11" x14ac:dyDescent="0.4">
      <c r="A105" s="29" t="s">
        <v>110</v>
      </c>
      <c r="B105" s="29">
        <v>0</v>
      </c>
      <c r="C105" s="29">
        <v>13850295781</v>
      </c>
      <c r="D105" s="29">
        <v>0</v>
      </c>
      <c r="E105" s="29">
        <v>13850295781</v>
      </c>
      <c r="F105" s="30">
        <v>1.0613605353802747E-2</v>
      </c>
      <c r="G105" s="29">
        <v>2127401140</v>
      </c>
      <c r="H105" s="29">
        <v>23910126205</v>
      </c>
      <c r="I105" s="29">
        <v>-419712197</v>
      </c>
      <c r="J105" s="29">
        <v>25617815148</v>
      </c>
      <c r="K105" s="30">
        <v>4.005015685369445E-3</v>
      </c>
    </row>
    <row r="106" spans="1:11" x14ac:dyDescent="0.4">
      <c r="A106" s="29" t="s">
        <v>280</v>
      </c>
      <c r="B106" s="29">
        <v>0</v>
      </c>
      <c r="C106" s="29">
        <v>2262634077</v>
      </c>
      <c r="D106" s="29">
        <v>0</v>
      </c>
      <c r="E106" s="29">
        <v>2262634077</v>
      </c>
      <c r="F106" s="30">
        <v>1.733876700762405E-3</v>
      </c>
      <c r="G106" s="29">
        <v>0</v>
      </c>
      <c r="H106" s="29">
        <v>7931383967</v>
      </c>
      <c r="I106" s="29">
        <v>0</v>
      </c>
      <c r="J106" s="29">
        <v>7931383967</v>
      </c>
      <c r="K106" s="30">
        <v>1.2399698026942267E-3</v>
      </c>
    </row>
    <row r="107" spans="1:11" x14ac:dyDescent="0.4">
      <c r="A107" s="29" t="s">
        <v>171</v>
      </c>
      <c r="B107" s="29">
        <v>0</v>
      </c>
      <c r="C107" s="29">
        <v>12261057358</v>
      </c>
      <c r="D107" s="29">
        <v>187996296</v>
      </c>
      <c r="E107" s="29">
        <v>12449053654</v>
      </c>
      <c r="F107" s="30">
        <v>9.5398209974063269E-3</v>
      </c>
      <c r="G107" s="29">
        <v>1648155000</v>
      </c>
      <c r="H107" s="29">
        <v>15817355767</v>
      </c>
      <c r="I107" s="29">
        <v>461088262</v>
      </c>
      <c r="J107" s="29">
        <v>17926599029</v>
      </c>
      <c r="K107" s="30">
        <v>2.8025930346397571E-3</v>
      </c>
    </row>
    <row r="108" spans="1:11" x14ac:dyDescent="0.4">
      <c r="A108" s="29" t="s">
        <v>149</v>
      </c>
      <c r="B108" s="29">
        <v>0</v>
      </c>
      <c r="C108" s="29">
        <v>-1283086276</v>
      </c>
      <c r="D108" s="29">
        <v>4138444095</v>
      </c>
      <c r="E108" s="29">
        <v>2855357819</v>
      </c>
      <c r="F108" s="30">
        <v>2.1880861978655053E-3</v>
      </c>
      <c r="G108" s="29">
        <v>2600945620</v>
      </c>
      <c r="H108" s="29">
        <v>14916005978</v>
      </c>
      <c r="I108" s="29">
        <v>3959414479</v>
      </c>
      <c r="J108" s="29">
        <v>21476366077</v>
      </c>
      <c r="K108" s="30">
        <v>3.3575534254659638E-3</v>
      </c>
    </row>
    <row r="109" spans="1:11" x14ac:dyDescent="0.4">
      <c r="A109" s="29" t="s">
        <v>105</v>
      </c>
      <c r="B109" s="29">
        <v>0</v>
      </c>
      <c r="C109" s="29">
        <v>-437005644</v>
      </c>
      <c r="D109" s="29">
        <v>2130020134</v>
      </c>
      <c r="E109" s="29">
        <v>1693014490</v>
      </c>
      <c r="F109" s="30">
        <v>1.2973721239787311E-3</v>
      </c>
      <c r="G109" s="29">
        <v>4422000000</v>
      </c>
      <c r="H109" s="29">
        <v>44309196968</v>
      </c>
      <c r="I109" s="29">
        <v>2895555901</v>
      </c>
      <c r="J109" s="29">
        <v>51626752869</v>
      </c>
      <c r="K109" s="30">
        <v>8.071178351100692E-3</v>
      </c>
    </row>
    <row r="110" spans="1:11" x14ac:dyDescent="0.4">
      <c r="A110" s="29" t="s">
        <v>132</v>
      </c>
      <c r="B110" s="29">
        <v>0</v>
      </c>
      <c r="C110" s="29">
        <v>-1259230321</v>
      </c>
      <c r="D110" s="29">
        <v>0</v>
      </c>
      <c r="E110" s="29">
        <v>-1259230321</v>
      </c>
      <c r="F110" s="30">
        <v>-9.6495944115291621E-4</v>
      </c>
      <c r="G110" s="29">
        <v>3144040000</v>
      </c>
      <c r="H110" s="29">
        <v>5264885393</v>
      </c>
      <c r="I110" s="29">
        <v>3061430020</v>
      </c>
      <c r="J110" s="29">
        <v>11470355413</v>
      </c>
      <c r="K110" s="30">
        <v>1.793242440092078E-3</v>
      </c>
    </row>
    <row r="111" spans="1:11" x14ac:dyDescent="0.4">
      <c r="A111" s="29" t="s">
        <v>81</v>
      </c>
      <c r="B111" s="29">
        <v>0</v>
      </c>
      <c r="C111" s="29">
        <v>-640014150</v>
      </c>
      <c r="D111" s="29">
        <v>1539858420</v>
      </c>
      <c r="E111" s="29">
        <v>899844270</v>
      </c>
      <c r="F111" s="30">
        <v>6.8955870059918441E-4</v>
      </c>
      <c r="G111" s="29">
        <v>3640000000</v>
      </c>
      <c r="H111" s="29">
        <v>6778196370</v>
      </c>
      <c r="I111" s="29">
        <v>1539858420</v>
      </c>
      <c r="J111" s="29">
        <v>11958054790</v>
      </c>
      <c r="K111" s="30">
        <v>1.8694879607715569E-3</v>
      </c>
    </row>
    <row r="112" spans="1:11" x14ac:dyDescent="0.4">
      <c r="A112" s="29" t="s">
        <v>115</v>
      </c>
      <c r="B112" s="29">
        <v>0</v>
      </c>
      <c r="C112" s="29">
        <v>-33098877714</v>
      </c>
      <c r="D112" s="29">
        <v>67620968398</v>
      </c>
      <c r="E112" s="29">
        <v>34522090684</v>
      </c>
      <c r="F112" s="30">
        <v>2.6454586407519434E-2</v>
      </c>
      <c r="G112" s="29">
        <v>1830403200</v>
      </c>
      <c r="H112" s="29">
        <v>73469836489</v>
      </c>
      <c r="I112" s="29">
        <v>67620968398</v>
      </c>
      <c r="J112" s="29">
        <v>142921208087</v>
      </c>
      <c r="K112" s="30">
        <v>2.2343891422960522E-2</v>
      </c>
    </row>
    <row r="113" spans="1:11" x14ac:dyDescent="0.4">
      <c r="A113" s="29" t="s">
        <v>106</v>
      </c>
      <c r="B113" s="29">
        <v>0</v>
      </c>
      <c r="C113" s="29">
        <v>-4361143631</v>
      </c>
      <c r="D113" s="29">
        <v>519398137</v>
      </c>
      <c r="E113" s="29">
        <v>-3841745494</v>
      </c>
      <c r="F113" s="30">
        <v>-2.9439638826342825E-3</v>
      </c>
      <c r="G113" s="29">
        <v>6842132375</v>
      </c>
      <c r="H113" s="29">
        <v>13619047221</v>
      </c>
      <c r="I113" s="29">
        <v>1410523550</v>
      </c>
      <c r="J113" s="29">
        <v>21871703146</v>
      </c>
      <c r="K113" s="30">
        <v>3.4193592880348718E-3</v>
      </c>
    </row>
    <row r="114" spans="1:11" x14ac:dyDescent="0.4">
      <c r="A114" s="29" t="s">
        <v>281</v>
      </c>
      <c r="B114" s="29">
        <v>0</v>
      </c>
      <c r="C114" s="29">
        <v>373961756</v>
      </c>
      <c r="D114" s="29">
        <v>0</v>
      </c>
      <c r="E114" s="29">
        <v>373961756</v>
      </c>
      <c r="F114" s="30">
        <v>2.8657023347067513E-4</v>
      </c>
      <c r="G114" s="29">
        <v>871875000</v>
      </c>
      <c r="H114" s="29">
        <v>323728088</v>
      </c>
      <c r="I114" s="29">
        <v>0</v>
      </c>
      <c r="J114" s="29">
        <v>1195603088</v>
      </c>
      <c r="K114" s="30">
        <v>1.8691715484917061E-4</v>
      </c>
    </row>
    <row r="115" spans="1:11" x14ac:dyDescent="0.4">
      <c r="A115" s="29" t="s">
        <v>282</v>
      </c>
      <c r="B115" s="29">
        <v>0</v>
      </c>
      <c r="C115" s="29">
        <v>2270313760</v>
      </c>
      <c r="D115" s="29">
        <v>0</v>
      </c>
      <c r="E115" s="29">
        <v>2270313760</v>
      </c>
      <c r="F115" s="30">
        <v>1.7397617104324601E-3</v>
      </c>
      <c r="G115" s="29">
        <v>0</v>
      </c>
      <c r="H115" s="29">
        <v>5500351064</v>
      </c>
      <c r="I115" s="29">
        <v>0</v>
      </c>
      <c r="J115" s="29">
        <v>5500351064</v>
      </c>
      <c r="K115" s="30">
        <v>8.5990909681766257E-4</v>
      </c>
    </row>
    <row r="116" spans="1:11" x14ac:dyDescent="0.4">
      <c r="A116" s="29" t="s">
        <v>283</v>
      </c>
      <c r="B116" s="29">
        <v>0</v>
      </c>
      <c r="C116" s="29">
        <v>947557559</v>
      </c>
      <c r="D116" s="29">
        <v>0</v>
      </c>
      <c r="E116" s="29">
        <v>947557559</v>
      </c>
      <c r="F116" s="30">
        <v>7.2612182008668566E-4</v>
      </c>
      <c r="G116" s="29">
        <v>502599600</v>
      </c>
      <c r="H116" s="29">
        <v>3166837107</v>
      </c>
      <c r="I116" s="29">
        <v>0</v>
      </c>
      <c r="J116" s="29">
        <v>3669436707</v>
      </c>
      <c r="K116" s="30">
        <v>5.7366920180750632E-4</v>
      </c>
    </row>
    <row r="117" spans="1:11" x14ac:dyDescent="0.4">
      <c r="A117" s="29" t="s">
        <v>284</v>
      </c>
      <c r="B117" s="29">
        <v>0</v>
      </c>
      <c r="C117" s="29">
        <v>67029823</v>
      </c>
      <c r="D117" s="29">
        <v>0</v>
      </c>
      <c r="E117" s="29">
        <v>67029823</v>
      </c>
      <c r="F117" s="30">
        <v>5.1365552007430488E-5</v>
      </c>
      <c r="G117" s="29">
        <v>479197000</v>
      </c>
      <c r="H117" s="29">
        <v>567868282</v>
      </c>
      <c r="I117" s="29">
        <v>0</v>
      </c>
      <c r="J117" s="29">
        <v>1047065282</v>
      </c>
      <c r="K117" s="30">
        <v>1.636951806307015E-4</v>
      </c>
    </row>
    <row r="118" spans="1:11" x14ac:dyDescent="0.4">
      <c r="A118" s="29" t="s">
        <v>285</v>
      </c>
      <c r="B118" s="29">
        <v>0</v>
      </c>
      <c r="C118" s="29">
        <v>14096494231</v>
      </c>
      <c r="D118" s="29">
        <v>0</v>
      </c>
      <c r="E118" s="29">
        <v>14096494231</v>
      </c>
      <c r="F118" s="30">
        <v>1.0802269424833097E-2</v>
      </c>
      <c r="G118" s="29">
        <v>6556758000</v>
      </c>
      <c r="H118" s="29">
        <v>18467518666</v>
      </c>
      <c r="I118" s="29">
        <v>0</v>
      </c>
      <c r="J118" s="29">
        <v>25024276666</v>
      </c>
      <c r="K118" s="30">
        <v>3.9122235828209983E-3</v>
      </c>
    </row>
    <row r="119" spans="1:11" x14ac:dyDescent="0.4">
      <c r="A119" s="29" t="s">
        <v>286</v>
      </c>
      <c r="B119" s="29">
        <v>0</v>
      </c>
      <c r="C119" s="29">
        <v>-3356408473</v>
      </c>
      <c r="D119" s="29">
        <v>10542781505</v>
      </c>
      <c r="E119" s="29">
        <v>7186373032</v>
      </c>
      <c r="F119" s="30">
        <v>5.5069818358313722E-3</v>
      </c>
      <c r="G119" s="29">
        <v>1489369410</v>
      </c>
      <c r="H119" s="29">
        <v>29919810858</v>
      </c>
      <c r="I119" s="29">
        <v>14274057277</v>
      </c>
      <c r="J119" s="29">
        <v>45683237545</v>
      </c>
      <c r="K119" s="30">
        <v>7.1419862259591372E-3</v>
      </c>
    </row>
    <row r="120" spans="1:11" x14ac:dyDescent="0.4">
      <c r="A120" s="29" t="s">
        <v>189</v>
      </c>
      <c r="B120" s="29">
        <v>0</v>
      </c>
      <c r="C120" s="29">
        <v>-3648419961</v>
      </c>
      <c r="D120" s="29">
        <v>1813893721</v>
      </c>
      <c r="E120" s="29">
        <v>-1834526240</v>
      </c>
      <c r="F120" s="30">
        <v>-1.4058138418434419E-3</v>
      </c>
      <c r="G120" s="29">
        <v>5115925000</v>
      </c>
      <c r="H120" s="29">
        <v>20700490459</v>
      </c>
      <c r="I120" s="29">
        <v>1813893721</v>
      </c>
      <c r="J120" s="29">
        <v>27630309180</v>
      </c>
      <c r="K120" s="30">
        <v>4.3196432255522251E-3</v>
      </c>
    </row>
    <row r="121" spans="1:11" x14ac:dyDescent="0.4">
      <c r="A121" s="29" t="s">
        <v>182</v>
      </c>
      <c r="B121" s="29">
        <v>0</v>
      </c>
      <c r="C121" s="29">
        <v>-9685256677</v>
      </c>
      <c r="D121" s="29">
        <v>9857089455</v>
      </c>
      <c r="E121" s="29">
        <v>171832778</v>
      </c>
      <c r="F121" s="30">
        <v>1.3167699241784149E-4</v>
      </c>
      <c r="G121" s="29">
        <v>0</v>
      </c>
      <c r="H121" s="29">
        <v>25732249102</v>
      </c>
      <c r="I121" s="29">
        <v>9857089455</v>
      </c>
      <c r="J121" s="29">
        <v>35589338557</v>
      </c>
      <c r="K121" s="30">
        <v>5.5639350322908565E-3</v>
      </c>
    </row>
    <row r="122" spans="1:11" x14ac:dyDescent="0.4">
      <c r="A122" s="29" t="s">
        <v>287</v>
      </c>
      <c r="B122" s="29">
        <v>0</v>
      </c>
      <c r="C122" s="29">
        <v>-23575435890</v>
      </c>
      <c r="D122" s="29">
        <v>19656860115</v>
      </c>
      <c r="E122" s="29">
        <v>-3918575775</v>
      </c>
      <c r="F122" s="30">
        <v>-3.0028396131348838E-3</v>
      </c>
      <c r="G122" s="29">
        <v>2491071440</v>
      </c>
      <c r="H122" s="29">
        <v>18755937487</v>
      </c>
      <c r="I122" s="29">
        <v>26727204340</v>
      </c>
      <c r="J122" s="29">
        <v>47974213267</v>
      </c>
      <c r="K122" s="30">
        <v>7.5001507941864515E-3</v>
      </c>
    </row>
    <row r="123" spans="1:11" x14ac:dyDescent="0.4">
      <c r="A123" s="29" t="s">
        <v>288</v>
      </c>
      <c r="B123" s="29">
        <v>0</v>
      </c>
      <c r="C123" s="29">
        <v>6618671106</v>
      </c>
      <c r="D123" s="29">
        <v>0</v>
      </c>
      <c r="E123" s="29">
        <v>6618671106</v>
      </c>
      <c r="F123" s="30">
        <v>5.0719467797986049E-3</v>
      </c>
      <c r="G123" s="29">
        <v>1834313800</v>
      </c>
      <c r="H123" s="29">
        <v>26772524626</v>
      </c>
      <c r="I123" s="29">
        <v>0</v>
      </c>
      <c r="J123" s="29">
        <v>28606838426</v>
      </c>
      <c r="K123" s="30">
        <v>4.472311004785433E-3</v>
      </c>
    </row>
    <row r="124" spans="1:11" x14ac:dyDescent="0.4">
      <c r="A124" s="29" t="s">
        <v>289</v>
      </c>
      <c r="B124" s="29">
        <v>0</v>
      </c>
      <c r="C124" s="29">
        <v>-20728917</v>
      </c>
      <c r="D124" s="29">
        <v>0</v>
      </c>
      <c r="E124" s="29">
        <v>-20728917</v>
      </c>
      <c r="F124" s="30">
        <v>-1.5884754226804535E-5</v>
      </c>
      <c r="G124" s="29">
        <v>2861984800</v>
      </c>
      <c r="H124" s="29">
        <v>3515624359</v>
      </c>
      <c r="I124" s="29">
        <v>0</v>
      </c>
      <c r="J124" s="29">
        <v>6377609159</v>
      </c>
      <c r="K124" s="30">
        <v>9.9705710925722521E-4</v>
      </c>
    </row>
    <row r="125" spans="1:11" x14ac:dyDescent="0.4">
      <c r="A125" s="29" t="s">
        <v>241</v>
      </c>
      <c r="B125" s="29">
        <v>0</v>
      </c>
      <c r="C125" s="29">
        <v>4303419549</v>
      </c>
      <c r="D125" s="29">
        <v>2095939353</v>
      </c>
      <c r="E125" s="29">
        <v>6399358902</v>
      </c>
      <c r="F125" s="30">
        <v>4.9038858791987895E-3</v>
      </c>
      <c r="G125" s="29">
        <v>0</v>
      </c>
      <c r="H125" s="29">
        <v>8383605040</v>
      </c>
      <c r="I125" s="29">
        <v>3828880275</v>
      </c>
      <c r="J125" s="29">
        <v>12212485315</v>
      </c>
      <c r="K125" s="30">
        <v>1.909264898717857E-3</v>
      </c>
    </row>
    <row r="126" spans="1:11" x14ac:dyDescent="0.4">
      <c r="A126" s="29" t="s">
        <v>212</v>
      </c>
      <c r="B126" s="29">
        <v>0</v>
      </c>
      <c r="C126" s="29">
        <v>-1701760207</v>
      </c>
      <c r="D126" s="29">
        <v>7943835628</v>
      </c>
      <c r="E126" s="29">
        <v>6242075421</v>
      </c>
      <c r="F126" s="30">
        <v>4.7833581430116422E-3</v>
      </c>
      <c r="G126" s="29">
        <v>0</v>
      </c>
      <c r="H126" s="29">
        <v>24991335624</v>
      </c>
      <c r="I126" s="29">
        <v>14674413076</v>
      </c>
      <c r="J126" s="29">
        <v>39665748700</v>
      </c>
      <c r="K126" s="30">
        <v>6.2012292928823451E-3</v>
      </c>
    </row>
    <row r="127" spans="1:11" x14ac:dyDescent="0.4">
      <c r="A127" s="29" t="s">
        <v>169</v>
      </c>
      <c r="B127" s="29">
        <v>2345414000</v>
      </c>
      <c r="C127" s="29">
        <v>9495318515</v>
      </c>
      <c r="D127" s="29">
        <v>0</v>
      </c>
      <c r="E127" s="29">
        <v>11840732515</v>
      </c>
      <c r="F127" s="30">
        <v>9.0736590756819654E-3</v>
      </c>
      <c r="G127" s="29">
        <v>2345414000</v>
      </c>
      <c r="H127" s="29">
        <v>46078428396</v>
      </c>
      <c r="I127" s="29">
        <v>4118568092</v>
      </c>
      <c r="J127" s="29">
        <v>52542410488</v>
      </c>
      <c r="K127" s="30">
        <v>8.2143296348981855E-3</v>
      </c>
    </row>
    <row r="128" spans="1:11" x14ac:dyDescent="0.4">
      <c r="A128" s="29" t="s">
        <v>126</v>
      </c>
      <c r="B128" s="29">
        <v>0</v>
      </c>
      <c r="C128" s="29">
        <v>527026380</v>
      </c>
      <c r="D128" s="29">
        <v>2092789729</v>
      </c>
      <c r="E128" s="29">
        <v>2619816109</v>
      </c>
      <c r="F128" s="30">
        <v>2.00758848187237E-3</v>
      </c>
      <c r="G128" s="29">
        <v>4411303200</v>
      </c>
      <c r="H128" s="29">
        <v>9755631113</v>
      </c>
      <c r="I128" s="29">
        <v>2092789729</v>
      </c>
      <c r="J128" s="29">
        <v>16259724042</v>
      </c>
      <c r="K128" s="30">
        <v>2.5419985838672377E-3</v>
      </c>
    </row>
    <row r="129" spans="1:11" x14ac:dyDescent="0.4">
      <c r="A129" s="29" t="s">
        <v>290</v>
      </c>
      <c r="B129" s="29">
        <v>0</v>
      </c>
      <c r="C129" s="29">
        <v>-3192880985</v>
      </c>
      <c r="D129" s="29">
        <v>9839781908</v>
      </c>
      <c r="E129" s="29">
        <v>6646900923</v>
      </c>
      <c r="F129" s="30">
        <v>5.0935795406858555E-3</v>
      </c>
      <c r="G129" s="29">
        <v>6023422350</v>
      </c>
      <c r="H129" s="29">
        <v>41954707120</v>
      </c>
      <c r="I129" s="29">
        <v>15810046037</v>
      </c>
      <c r="J129" s="29">
        <v>63788175507</v>
      </c>
      <c r="K129" s="30">
        <v>9.9724602574696522E-3</v>
      </c>
    </row>
    <row r="130" spans="1:11" x14ac:dyDescent="0.4">
      <c r="A130" s="29" t="s">
        <v>109</v>
      </c>
      <c r="B130" s="29">
        <v>0</v>
      </c>
      <c r="C130" s="29">
        <v>1875233168</v>
      </c>
      <c r="D130" s="29">
        <v>737392797</v>
      </c>
      <c r="E130" s="29">
        <v>2612625965</v>
      </c>
      <c r="F130" s="30">
        <v>2.002078610310082E-3</v>
      </c>
      <c r="G130" s="29">
        <v>3041877200</v>
      </c>
      <c r="H130" s="29">
        <v>4921528844</v>
      </c>
      <c r="I130" s="29">
        <v>923248113</v>
      </c>
      <c r="J130" s="29">
        <v>8886654157</v>
      </c>
      <c r="K130" s="30">
        <v>1.3893140021356274E-3</v>
      </c>
    </row>
    <row r="131" spans="1:11" x14ac:dyDescent="0.4">
      <c r="A131" s="29" t="s">
        <v>138</v>
      </c>
      <c r="B131" s="29">
        <v>0</v>
      </c>
      <c r="C131" s="29">
        <v>3704342364</v>
      </c>
      <c r="D131" s="29">
        <v>0</v>
      </c>
      <c r="E131" s="29">
        <v>3704342364</v>
      </c>
      <c r="F131" s="30">
        <v>2.8386706369696066E-3</v>
      </c>
      <c r="G131" s="29">
        <v>0</v>
      </c>
      <c r="H131" s="29">
        <v>9883006344</v>
      </c>
      <c r="I131" s="29">
        <v>-1159301927</v>
      </c>
      <c r="J131" s="29">
        <v>8723704417</v>
      </c>
      <c r="K131" s="30">
        <v>1.3638389075244532E-3</v>
      </c>
    </row>
    <row r="132" spans="1:11" x14ac:dyDescent="0.4">
      <c r="A132" s="29" t="s">
        <v>291</v>
      </c>
      <c r="B132" s="29">
        <v>5491</v>
      </c>
      <c r="C132" s="29">
        <v>2196371933</v>
      </c>
      <c r="D132" s="29">
        <v>0</v>
      </c>
      <c r="E132" s="29">
        <v>2196377424</v>
      </c>
      <c r="F132" s="30">
        <v>1.6831036358311464E-3</v>
      </c>
      <c r="G132" s="29">
        <v>2127248711</v>
      </c>
      <c r="H132" s="29">
        <v>8682994239</v>
      </c>
      <c r="I132" s="29">
        <v>0</v>
      </c>
      <c r="J132" s="29">
        <v>10810242950</v>
      </c>
      <c r="K132" s="30">
        <v>1.6900423524519243E-3</v>
      </c>
    </row>
    <row r="133" spans="1:11" x14ac:dyDescent="0.4">
      <c r="A133" s="29" t="s">
        <v>292</v>
      </c>
      <c r="B133" s="29">
        <v>419803680</v>
      </c>
      <c r="C133" s="29">
        <v>11099474986</v>
      </c>
      <c r="D133" s="29">
        <v>0</v>
      </c>
      <c r="E133" s="29">
        <v>11519278666</v>
      </c>
      <c r="F133" s="30">
        <v>8.8273261202928659E-3</v>
      </c>
      <c r="G133" s="29">
        <v>419803680</v>
      </c>
      <c r="H133" s="29">
        <v>24569308467</v>
      </c>
      <c r="I133" s="29">
        <v>0</v>
      </c>
      <c r="J133" s="29">
        <v>24989112147</v>
      </c>
      <c r="K133" s="30">
        <v>3.9067260628588216E-3</v>
      </c>
    </row>
    <row r="134" spans="1:11" x14ac:dyDescent="0.4">
      <c r="A134" s="29" t="s">
        <v>164</v>
      </c>
      <c r="B134" s="29">
        <v>0</v>
      </c>
      <c r="C134" s="29">
        <v>-476585257</v>
      </c>
      <c r="D134" s="29">
        <v>0</v>
      </c>
      <c r="E134" s="29">
        <v>-476585257</v>
      </c>
      <c r="F134" s="30">
        <v>-3.652115388162091E-4</v>
      </c>
      <c r="G134" s="29">
        <v>744676650</v>
      </c>
      <c r="H134" s="29">
        <v>6370010914</v>
      </c>
      <c r="I134" s="29">
        <v>1068634431</v>
      </c>
      <c r="J134" s="29">
        <v>8183321995</v>
      </c>
      <c r="K134" s="30">
        <v>1.2793570708141554E-3</v>
      </c>
    </row>
    <row r="135" spans="1:11" x14ac:dyDescent="0.4">
      <c r="A135" s="29" t="s">
        <v>293</v>
      </c>
      <c r="B135" s="29">
        <v>0</v>
      </c>
      <c r="C135" s="29">
        <v>1031384099</v>
      </c>
      <c r="D135" s="29">
        <v>0</v>
      </c>
      <c r="E135" s="29">
        <v>1031384099</v>
      </c>
      <c r="F135" s="30">
        <v>7.9035884634249046E-4</v>
      </c>
      <c r="G135" s="29">
        <v>1804618080</v>
      </c>
      <c r="H135" s="29">
        <v>5365398274</v>
      </c>
      <c r="I135" s="29">
        <v>0</v>
      </c>
      <c r="J135" s="29">
        <v>7170016354</v>
      </c>
      <c r="K135" s="30">
        <v>1.1209397755517537E-3</v>
      </c>
    </row>
    <row r="136" spans="1:11" x14ac:dyDescent="0.4">
      <c r="A136" s="29" t="s">
        <v>128</v>
      </c>
      <c r="B136" s="29">
        <v>0</v>
      </c>
      <c r="C136" s="29">
        <v>1569212753</v>
      </c>
      <c r="D136" s="29">
        <v>3166027977</v>
      </c>
      <c r="E136" s="29">
        <v>4735240730</v>
      </c>
      <c r="F136" s="30">
        <v>3.6286572617761216E-3</v>
      </c>
      <c r="G136" s="29">
        <v>6234139416</v>
      </c>
      <c r="H136" s="29">
        <v>24821834055</v>
      </c>
      <c r="I136" s="29">
        <v>10460095192</v>
      </c>
      <c r="J136" s="29">
        <v>41516068663</v>
      </c>
      <c r="K136" s="30">
        <v>6.4905030046315598E-3</v>
      </c>
    </row>
    <row r="137" spans="1:11" x14ac:dyDescent="0.4">
      <c r="A137" s="29" t="s">
        <v>88</v>
      </c>
      <c r="B137" s="29">
        <v>0</v>
      </c>
      <c r="C137" s="29">
        <v>-5313655860</v>
      </c>
      <c r="D137" s="29">
        <v>3581404166</v>
      </c>
      <c r="E137" s="29">
        <v>-1732251694</v>
      </c>
      <c r="F137" s="30">
        <v>-1.3274399438309209E-3</v>
      </c>
      <c r="G137" s="29">
        <v>0</v>
      </c>
      <c r="H137" s="29">
        <v>7568070173</v>
      </c>
      <c r="I137" s="29">
        <v>8088178601</v>
      </c>
      <c r="J137" s="29">
        <v>15656248774</v>
      </c>
      <c r="K137" s="30">
        <v>2.4476529927186801E-3</v>
      </c>
    </row>
    <row r="138" spans="1:11" x14ac:dyDescent="0.4">
      <c r="A138" s="29" t="s">
        <v>211</v>
      </c>
      <c r="B138" s="29">
        <v>0</v>
      </c>
      <c r="C138" s="29">
        <v>13626460971</v>
      </c>
      <c r="D138" s="29">
        <v>5203042789</v>
      </c>
      <c r="E138" s="29">
        <v>18829503760</v>
      </c>
      <c r="F138" s="30">
        <v>1.442921689735609E-2</v>
      </c>
      <c r="G138" s="29">
        <v>8450000000</v>
      </c>
      <c r="H138" s="29">
        <v>26415174512</v>
      </c>
      <c r="I138" s="29">
        <v>5203042789</v>
      </c>
      <c r="J138" s="29">
        <v>40068217301</v>
      </c>
      <c r="K138" s="30">
        <v>6.2641500786933682E-3</v>
      </c>
    </row>
    <row r="139" spans="1:11" x14ac:dyDescent="0.4">
      <c r="A139" s="29" t="s">
        <v>294</v>
      </c>
      <c r="B139" s="29">
        <v>0</v>
      </c>
      <c r="C139" s="29">
        <v>11205849757</v>
      </c>
      <c r="D139" s="29">
        <v>0</v>
      </c>
      <c r="E139" s="29">
        <v>11205849757</v>
      </c>
      <c r="F139" s="30">
        <v>8.5871427480964085E-3</v>
      </c>
      <c r="G139" s="29">
        <v>2906681004</v>
      </c>
      <c r="H139" s="29">
        <v>12348936546</v>
      </c>
      <c r="I139" s="29">
        <v>0</v>
      </c>
      <c r="J139" s="29">
        <v>15255617550</v>
      </c>
      <c r="K139" s="30">
        <v>2.3850194571537228E-3</v>
      </c>
    </row>
    <row r="140" spans="1:11" x14ac:dyDescent="0.4">
      <c r="A140" s="29" t="s">
        <v>295</v>
      </c>
      <c r="B140" s="29">
        <v>0</v>
      </c>
      <c r="C140" s="29">
        <v>1908507311</v>
      </c>
      <c r="D140" s="29">
        <v>0</v>
      </c>
      <c r="E140" s="29">
        <v>1908507311</v>
      </c>
      <c r="F140" s="30">
        <v>1.4625061972747835E-3</v>
      </c>
      <c r="G140" s="29">
        <v>333500000</v>
      </c>
      <c r="H140" s="29">
        <v>2798573501</v>
      </c>
      <c r="I140" s="29">
        <v>0</v>
      </c>
      <c r="J140" s="29">
        <v>3132073501</v>
      </c>
      <c r="K140" s="30">
        <v>4.8965938066011501E-4</v>
      </c>
    </row>
    <row r="141" spans="1:11" x14ac:dyDescent="0.4">
      <c r="A141" s="29" t="s">
        <v>296</v>
      </c>
      <c r="B141" s="29">
        <v>0</v>
      </c>
      <c r="C141" s="29">
        <v>2194606854</v>
      </c>
      <c r="D141" s="29">
        <v>1382283075</v>
      </c>
      <c r="E141" s="29">
        <v>3576889929</v>
      </c>
      <c r="F141" s="30">
        <v>2.7410026977529667E-3</v>
      </c>
      <c r="G141" s="29">
        <v>0</v>
      </c>
      <c r="H141" s="29">
        <v>15963559054</v>
      </c>
      <c r="I141" s="29">
        <v>1382283075</v>
      </c>
      <c r="J141" s="29">
        <v>17345842129</v>
      </c>
      <c r="K141" s="30">
        <v>2.7117991679321929E-3</v>
      </c>
    </row>
    <row r="142" spans="1:11" x14ac:dyDescent="0.4">
      <c r="A142" s="29" t="s">
        <v>297</v>
      </c>
      <c r="B142" s="29">
        <v>3521640300</v>
      </c>
      <c r="C142" s="29">
        <v>9818187406</v>
      </c>
      <c r="D142" s="29">
        <v>0</v>
      </c>
      <c r="E142" s="29">
        <v>13339827706</v>
      </c>
      <c r="F142" s="30">
        <v>1.0222429108946105E-2</v>
      </c>
      <c r="G142" s="29">
        <v>3521640300</v>
      </c>
      <c r="H142" s="29">
        <v>30690323661</v>
      </c>
      <c r="I142" s="29">
        <v>0</v>
      </c>
      <c r="J142" s="29">
        <v>34211963961</v>
      </c>
      <c r="K142" s="30">
        <v>5.3486002416484905E-3</v>
      </c>
    </row>
    <row r="143" spans="1:11" x14ac:dyDescent="0.4">
      <c r="A143" s="29" t="s">
        <v>156</v>
      </c>
      <c r="B143" s="29">
        <v>0</v>
      </c>
      <c r="C143" s="29">
        <v>3270964637</v>
      </c>
      <c r="D143" s="29">
        <v>0</v>
      </c>
      <c r="E143" s="29">
        <v>3270964637</v>
      </c>
      <c r="F143" s="30">
        <v>2.5065694142783206E-3</v>
      </c>
      <c r="G143" s="29">
        <v>315121290</v>
      </c>
      <c r="H143" s="29">
        <v>2909245559</v>
      </c>
      <c r="I143" s="29">
        <v>-312808591</v>
      </c>
      <c r="J143" s="29">
        <v>2911558258</v>
      </c>
      <c r="K143" s="30">
        <v>4.5518466054929378E-4</v>
      </c>
    </row>
    <row r="144" spans="1:11" x14ac:dyDescent="0.4">
      <c r="A144" s="29" t="s">
        <v>179</v>
      </c>
      <c r="B144" s="29">
        <v>0</v>
      </c>
      <c r="C144" s="29">
        <v>2991675825</v>
      </c>
      <c r="D144" s="29">
        <v>4549762840</v>
      </c>
      <c r="E144" s="29">
        <v>7541438665</v>
      </c>
      <c r="F144" s="30">
        <v>5.7790718014861034E-3</v>
      </c>
      <c r="G144" s="29">
        <v>3806450365</v>
      </c>
      <c r="H144" s="29">
        <v>11944987641</v>
      </c>
      <c r="I144" s="29">
        <v>4549762840</v>
      </c>
      <c r="J144" s="29">
        <v>20301200846</v>
      </c>
      <c r="K144" s="30">
        <v>3.1738314665141578E-3</v>
      </c>
    </row>
    <row r="145" spans="1:11" x14ac:dyDescent="0.4">
      <c r="A145" s="29" t="s">
        <v>172</v>
      </c>
      <c r="B145" s="29">
        <v>0</v>
      </c>
      <c r="C145" s="29">
        <v>8222206149</v>
      </c>
      <c r="D145" s="29">
        <v>1782540684</v>
      </c>
      <c r="E145" s="29">
        <v>10004746833</v>
      </c>
      <c r="F145" s="30">
        <v>7.6667268503996643E-3</v>
      </c>
      <c r="G145" s="29">
        <v>5138532540</v>
      </c>
      <c r="H145" s="29">
        <v>23741700206</v>
      </c>
      <c r="I145" s="29">
        <v>2852679183</v>
      </c>
      <c r="J145" s="29">
        <v>31732911929</v>
      </c>
      <c r="K145" s="30">
        <v>4.9610323629809714E-3</v>
      </c>
    </row>
    <row r="146" spans="1:11" x14ac:dyDescent="0.4">
      <c r="A146" s="29" t="s">
        <v>298</v>
      </c>
      <c r="B146" s="29">
        <v>0</v>
      </c>
      <c r="C146" s="29">
        <v>-3920285008</v>
      </c>
      <c r="D146" s="29">
        <v>4494986910</v>
      </c>
      <c r="E146" s="29">
        <v>574701902</v>
      </c>
      <c r="F146" s="30">
        <v>4.4039920015826714E-4</v>
      </c>
      <c r="G146" s="29">
        <v>1567665250</v>
      </c>
      <c r="H146" s="29">
        <v>13441945683</v>
      </c>
      <c r="I146" s="29">
        <v>4494986910</v>
      </c>
      <c r="J146" s="29">
        <v>19504597843</v>
      </c>
      <c r="K146" s="30">
        <v>3.0492928396408008E-3</v>
      </c>
    </row>
    <row r="147" spans="1:11" x14ac:dyDescent="0.4">
      <c r="A147" s="29" t="s">
        <v>200</v>
      </c>
      <c r="B147" s="29">
        <v>0</v>
      </c>
      <c r="C147" s="29">
        <v>-59781149225</v>
      </c>
      <c r="D147" s="29">
        <v>55927639491</v>
      </c>
      <c r="E147" s="29">
        <v>-3853509734</v>
      </c>
      <c r="F147" s="30">
        <v>-2.9529789248125661E-3</v>
      </c>
      <c r="G147" s="29">
        <v>1515856860</v>
      </c>
      <c r="H147" s="29">
        <v>73211566026</v>
      </c>
      <c r="I147" s="29">
        <v>77993126275</v>
      </c>
      <c r="J147" s="29">
        <v>152720549161</v>
      </c>
      <c r="K147" s="30">
        <v>2.3875892277870236E-2</v>
      </c>
    </row>
    <row r="148" spans="1:11" x14ac:dyDescent="0.4">
      <c r="A148" s="29" t="s">
        <v>238</v>
      </c>
      <c r="B148" s="29">
        <v>0</v>
      </c>
      <c r="C148" s="29">
        <v>2117983646</v>
      </c>
      <c r="D148" s="29">
        <v>5287050289</v>
      </c>
      <c r="E148" s="29">
        <v>7405033935</v>
      </c>
      <c r="F148" s="30">
        <v>5.6745436386581262E-3</v>
      </c>
      <c r="G148" s="29">
        <v>2038135050</v>
      </c>
      <c r="H148" s="29">
        <v>19359239757</v>
      </c>
      <c r="I148" s="29">
        <v>6826767996</v>
      </c>
      <c r="J148" s="29">
        <v>28224142803</v>
      </c>
      <c r="K148" s="30">
        <v>4.4124814695974219E-3</v>
      </c>
    </row>
    <row r="149" spans="1:11" x14ac:dyDescent="0.4">
      <c r="A149" s="29" t="s">
        <v>167</v>
      </c>
      <c r="B149" s="29">
        <v>0</v>
      </c>
      <c r="C149" s="29">
        <v>-2752384245</v>
      </c>
      <c r="D149" s="29">
        <v>1499948098</v>
      </c>
      <c r="E149" s="29">
        <v>-1252436147</v>
      </c>
      <c r="F149" s="30">
        <v>-9.5975300493803114E-4</v>
      </c>
      <c r="G149" s="29">
        <v>1522650584</v>
      </c>
      <c r="H149" s="29">
        <v>9132343588</v>
      </c>
      <c r="I149" s="29">
        <v>1499948098</v>
      </c>
      <c r="J149" s="29">
        <v>12154942270</v>
      </c>
      <c r="K149" s="30">
        <v>1.9002687842374654E-3</v>
      </c>
    </row>
    <row r="150" spans="1:11" x14ac:dyDescent="0.4">
      <c r="A150" s="29" t="s">
        <v>178</v>
      </c>
      <c r="B150" s="29">
        <v>0</v>
      </c>
      <c r="C150" s="29">
        <v>-932250267</v>
      </c>
      <c r="D150" s="29">
        <v>0</v>
      </c>
      <c r="E150" s="29">
        <v>-932250267</v>
      </c>
      <c r="F150" s="30">
        <v>-7.143917055178478E-4</v>
      </c>
      <c r="G150" s="29">
        <v>1670854500</v>
      </c>
      <c r="H150" s="29">
        <v>13522007969</v>
      </c>
      <c r="I150" s="29">
        <v>715336330</v>
      </c>
      <c r="J150" s="29">
        <v>15908198799</v>
      </c>
      <c r="K150" s="30">
        <v>2.4870421364151522E-3</v>
      </c>
    </row>
    <row r="151" spans="1:11" x14ac:dyDescent="0.4">
      <c r="A151" s="29" t="s">
        <v>75</v>
      </c>
      <c r="B151" s="29">
        <v>0</v>
      </c>
      <c r="C151" s="29">
        <v>-15124978664</v>
      </c>
      <c r="D151" s="29">
        <v>14256174654</v>
      </c>
      <c r="E151" s="29">
        <v>-868804010</v>
      </c>
      <c r="F151" s="30">
        <v>-6.6577227214100149E-4</v>
      </c>
      <c r="G151" s="29">
        <v>4950000000</v>
      </c>
      <c r="H151" s="29">
        <v>0</v>
      </c>
      <c r="I151" s="29">
        <v>104094891170</v>
      </c>
      <c r="J151" s="29">
        <v>109044891170</v>
      </c>
      <c r="K151" s="30">
        <v>1.7047765276710165E-2</v>
      </c>
    </row>
    <row r="152" spans="1:11" x14ac:dyDescent="0.4">
      <c r="A152" s="29" t="s">
        <v>95</v>
      </c>
      <c r="B152" s="29">
        <v>0</v>
      </c>
      <c r="C152" s="29">
        <v>-180845465</v>
      </c>
      <c r="D152" s="29">
        <v>0</v>
      </c>
      <c r="E152" s="29">
        <v>-180845465</v>
      </c>
      <c r="F152" s="30">
        <v>-1.3858349495813899E-4</v>
      </c>
      <c r="G152" s="29">
        <v>759392875</v>
      </c>
      <c r="H152" s="29">
        <v>7875994604</v>
      </c>
      <c r="I152" s="29">
        <v>1930803939</v>
      </c>
      <c r="J152" s="29">
        <v>10566191418</v>
      </c>
      <c r="K152" s="30">
        <v>1.6518880364787781E-3</v>
      </c>
    </row>
    <row r="153" spans="1:11" x14ac:dyDescent="0.4">
      <c r="A153" s="29" t="s">
        <v>235</v>
      </c>
      <c r="B153" s="29">
        <v>0</v>
      </c>
      <c r="C153" s="29">
        <v>-7109961447</v>
      </c>
      <c r="D153" s="29">
        <v>4517459334</v>
      </c>
      <c r="E153" s="29">
        <v>-2592502113</v>
      </c>
      <c r="F153" s="30">
        <v>-1.9866575227966057E-3</v>
      </c>
      <c r="G153" s="29">
        <v>2967249000</v>
      </c>
      <c r="H153" s="29">
        <v>15576004722</v>
      </c>
      <c r="I153" s="29">
        <v>6673498890</v>
      </c>
      <c r="J153" s="29">
        <v>25216752612</v>
      </c>
      <c r="K153" s="30">
        <v>3.9423147197244707E-3</v>
      </c>
    </row>
    <row r="154" spans="1:11" x14ac:dyDescent="0.4">
      <c r="A154" s="29" t="s">
        <v>183</v>
      </c>
      <c r="B154" s="29">
        <v>0</v>
      </c>
      <c r="C154" s="29">
        <v>2810734733</v>
      </c>
      <c r="D154" s="29">
        <v>0</v>
      </c>
      <c r="E154" s="29">
        <v>2810734733</v>
      </c>
      <c r="F154" s="30">
        <v>2.153891128535469E-3</v>
      </c>
      <c r="G154" s="29">
        <v>1127493108</v>
      </c>
      <c r="H154" s="29">
        <v>19662079214</v>
      </c>
      <c r="I154" s="29">
        <v>2053700446</v>
      </c>
      <c r="J154" s="29">
        <v>22843272768</v>
      </c>
      <c r="K154" s="30">
        <v>3.5712516938883132E-3</v>
      </c>
    </row>
    <row r="155" spans="1:11" x14ac:dyDescent="0.4">
      <c r="A155" s="29" t="s">
        <v>196</v>
      </c>
      <c r="B155" s="29">
        <v>0</v>
      </c>
      <c r="C155" s="29">
        <v>-1078956631</v>
      </c>
      <c r="D155" s="29">
        <v>4908942379</v>
      </c>
      <c r="E155" s="29">
        <v>3829985748</v>
      </c>
      <c r="F155" s="30">
        <v>2.9349522842483347E-3</v>
      </c>
      <c r="G155" s="29">
        <v>0</v>
      </c>
      <c r="H155" s="29">
        <v>10228690893</v>
      </c>
      <c r="I155" s="29">
        <v>4995093863</v>
      </c>
      <c r="J155" s="29">
        <v>15223784756</v>
      </c>
      <c r="K155" s="30">
        <v>2.3800428095144691E-3</v>
      </c>
    </row>
    <row r="156" spans="1:11" x14ac:dyDescent="0.4">
      <c r="A156" s="29" t="s">
        <v>190</v>
      </c>
      <c r="B156" s="29">
        <v>0</v>
      </c>
      <c r="C156" s="29">
        <v>1475838337</v>
      </c>
      <c r="D156" s="29">
        <v>0</v>
      </c>
      <c r="E156" s="29">
        <v>1475838337</v>
      </c>
      <c r="F156" s="30">
        <v>1.1309480983372614E-3</v>
      </c>
      <c r="G156" s="29">
        <v>2799690240</v>
      </c>
      <c r="H156" s="29">
        <v>21201380634</v>
      </c>
      <c r="I156" s="29">
        <v>3976941057</v>
      </c>
      <c r="J156" s="29">
        <v>27978011931</v>
      </c>
      <c r="K156" s="30">
        <v>4.3740020755773344E-3</v>
      </c>
    </row>
    <row r="157" spans="1:11" x14ac:dyDescent="0.4">
      <c r="A157" s="29" t="s">
        <v>137</v>
      </c>
      <c r="B157" s="29">
        <v>0</v>
      </c>
      <c r="C157" s="29">
        <v>1448007739</v>
      </c>
      <c r="D157" s="29">
        <v>0</v>
      </c>
      <c r="E157" s="29">
        <v>1448007739</v>
      </c>
      <c r="F157" s="30">
        <v>1.1096212625351304E-3</v>
      </c>
      <c r="G157" s="29">
        <v>1777144920</v>
      </c>
      <c r="H157" s="29">
        <v>11017412230</v>
      </c>
      <c r="I157" s="29">
        <v>6307608238</v>
      </c>
      <c r="J157" s="29">
        <v>19102165388</v>
      </c>
      <c r="K157" s="30">
        <v>2.9863777047916618E-3</v>
      </c>
    </row>
    <row r="158" spans="1:11" x14ac:dyDescent="0.4">
      <c r="A158" s="29" t="s">
        <v>117</v>
      </c>
      <c r="B158" s="29">
        <v>0</v>
      </c>
      <c r="C158" s="29">
        <v>-346528566</v>
      </c>
      <c r="D158" s="29">
        <v>1184246710</v>
      </c>
      <c r="E158" s="29">
        <v>837718144</v>
      </c>
      <c r="F158" s="30">
        <v>6.4195089539771189E-4</v>
      </c>
      <c r="G158" s="29">
        <v>0</v>
      </c>
      <c r="H158" s="29">
        <v>17182200903</v>
      </c>
      <c r="I158" s="29">
        <v>4107338677</v>
      </c>
      <c r="J158" s="29">
        <v>21289539580</v>
      </c>
      <c r="K158" s="30">
        <v>3.3283455072026435E-3</v>
      </c>
    </row>
    <row r="159" spans="1:11" x14ac:dyDescent="0.4">
      <c r="A159" s="29" t="s">
        <v>299</v>
      </c>
      <c r="B159" s="29">
        <v>0</v>
      </c>
      <c r="C159" s="29">
        <v>16286052296</v>
      </c>
      <c r="D159" s="29">
        <v>7198987500</v>
      </c>
      <c r="E159" s="29">
        <v>23485039796</v>
      </c>
      <c r="F159" s="30">
        <v>1.7996795740278362E-2</v>
      </c>
      <c r="G159" s="29">
        <v>1503117000</v>
      </c>
      <c r="H159" s="29">
        <v>54707845139</v>
      </c>
      <c r="I159" s="29">
        <v>7994785000</v>
      </c>
      <c r="J159" s="29">
        <v>64205747139</v>
      </c>
      <c r="K159" s="30">
        <v>1.0037742207794596E-2</v>
      </c>
    </row>
    <row r="160" spans="1:11" x14ac:dyDescent="0.4">
      <c r="A160" s="29" t="s">
        <v>210</v>
      </c>
      <c r="B160" s="29">
        <v>0</v>
      </c>
      <c r="C160" s="29">
        <v>-5311948235</v>
      </c>
      <c r="D160" s="29">
        <v>4385435335</v>
      </c>
      <c r="E160" s="29">
        <v>-926512900</v>
      </c>
      <c r="F160" s="30">
        <v>-7.0999510994539312E-4</v>
      </c>
      <c r="G160" s="29">
        <v>1128800000</v>
      </c>
      <c r="H160" s="29">
        <v>11481655947</v>
      </c>
      <c r="I160" s="29">
        <v>9960675738</v>
      </c>
      <c r="J160" s="29">
        <v>22571131685</v>
      </c>
      <c r="K160" s="30">
        <v>3.5287059381417106E-3</v>
      </c>
    </row>
    <row r="161" spans="1:11" x14ac:dyDescent="0.4">
      <c r="A161" s="29" t="s">
        <v>300</v>
      </c>
      <c r="B161" s="29">
        <v>0</v>
      </c>
      <c r="C161" s="29">
        <v>-952579200</v>
      </c>
      <c r="D161" s="29">
        <v>0</v>
      </c>
      <c r="E161" s="29">
        <v>-952579200</v>
      </c>
      <c r="F161" s="30">
        <v>-7.2996994843320005E-4</v>
      </c>
      <c r="G161" s="29">
        <v>236800000</v>
      </c>
      <c r="H161" s="29">
        <v>2608126831</v>
      </c>
      <c r="I161" s="29">
        <v>0</v>
      </c>
      <c r="J161" s="29">
        <v>2844926831</v>
      </c>
      <c r="K161" s="30">
        <v>4.4476769451484325E-4</v>
      </c>
    </row>
    <row r="162" spans="1:11" x14ac:dyDescent="0.4">
      <c r="A162" s="29" t="s">
        <v>301</v>
      </c>
      <c r="B162" s="29">
        <v>0</v>
      </c>
      <c r="C162" s="29">
        <v>10129092160</v>
      </c>
      <c r="D162" s="29">
        <v>0</v>
      </c>
      <c r="E162" s="29">
        <v>10129092160</v>
      </c>
      <c r="F162" s="30">
        <v>7.762013785006361E-3</v>
      </c>
      <c r="G162" s="29">
        <v>0</v>
      </c>
      <c r="H162" s="29">
        <v>16557612582</v>
      </c>
      <c r="I162" s="29">
        <v>0</v>
      </c>
      <c r="J162" s="29">
        <v>16557612582</v>
      </c>
      <c r="K162" s="30">
        <v>2.5885696231342202E-3</v>
      </c>
    </row>
    <row r="163" spans="1:11" x14ac:dyDescent="0.4">
      <c r="A163" s="29" t="s">
        <v>122</v>
      </c>
      <c r="B163" s="29">
        <v>0</v>
      </c>
      <c r="C163" s="29">
        <v>9307545285</v>
      </c>
      <c r="D163" s="29">
        <v>1239966497</v>
      </c>
      <c r="E163" s="29">
        <v>10547511782</v>
      </c>
      <c r="F163" s="30">
        <v>8.0826524782454945E-3</v>
      </c>
      <c r="G163" s="29">
        <v>725877180</v>
      </c>
      <c r="H163" s="29">
        <v>31058873119</v>
      </c>
      <c r="I163" s="29">
        <v>9503411772</v>
      </c>
      <c r="J163" s="29">
        <v>41288162071</v>
      </c>
      <c r="K163" s="30">
        <v>6.454872742234637E-3</v>
      </c>
    </row>
    <row r="164" spans="1:11" x14ac:dyDescent="0.4">
      <c r="A164" s="29" t="s">
        <v>192</v>
      </c>
      <c r="B164" s="29">
        <v>0</v>
      </c>
      <c r="C164" s="29">
        <v>855111151</v>
      </c>
      <c r="D164" s="29">
        <v>8014358488</v>
      </c>
      <c r="E164" s="29">
        <v>8869469639</v>
      </c>
      <c r="F164" s="30">
        <v>6.7967537974907115E-3</v>
      </c>
      <c r="G164" s="29">
        <v>0</v>
      </c>
      <c r="H164" s="29">
        <v>29117315491</v>
      </c>
      <c r="I164" s="29">
        <v>18556546339</v>
      </c>
      <c r="J164" s="29">
        <v>47673861830</v>
      </c>
      <c r="K164" s="30">
        <v>7.4531947126721329E-3</v>
      </c>
    </row>
    <row r="165" spans="1:11" x14ac:dyDescent="0.4">
      <c r="A165" s="29" t="s">
        <v>82</v>
      </c>
      <c r="B165" s="29">
        <v>0</v>
      </c>
      <c r="C165" s="29">
        <v>-3900310906</v>
      </c>
      <c r="D165" s="29">
        <v>2220273630</v>
      </c>
      <c r="E165" s="29">
        <v>-1680037276</v>
      </c>
      <c r="F165" s="30">
        <v>-1.2874275689911915E-3</v>
      </c>
      <c r="G165" s="29">
        <v>2117796000</v>
      </c>
      <c r="H165" s="29">
        <v>14700768424</v>
      </c>
      <c r="I165" s="29">
        <v>3411307450</v>
      </c>
      <c r="J165" s="29">
        <v>20229871874</v>
      </c>
      <c r="K165" s="30">
        <v>3.1626800997785138E-3</v>
      </c>
    </row>
    <row r="166" spans="1:11" x14ac:dyDescent="0.4">
      <c r="A166" s="29" t="s">
        <v>191</v>
      </c>
      <c r="B166" s="29">
        <v>0</v>
      </c>
      <c r="C166" s="29">
        <v>-16158462188</v>
      </c>
      <c r="D166" s="29">
        <v>12299247988</v>
      </c>
      <c r="E166" s="29">
        <v>-3859214200</v>
      </c>
      <c r="F166" s="30">
        <v>-2.9573503080548825E-3</v>
      </c>
      <c r="G166" s="29">
        <v>7076893570</v>
      </c>
      <c r="H166" s="29">
        <v>9025014927</v>
      </c>
      <c r="I166" s="29">
        <v>12551172723</v>
      </c>
      <c r="J166" s="29">
        <v>28653081220</v>
      </c>
      <c r="K166" s="30">
        <v>4.4795404704613831E-3</v>
      </c>
    </row>
    <row r="167" spans="1:11" x14ac:dyDescent="0.4">
      <c r="A167" s="29" t="s">
        <v>208</v>
      </c>
      <c r="B167" s="29">
        <v>0</v>
      </c>
      <c r="C167" s="29">
        <v>923664010</v>
      </c>
      <c r="D167" s="29">
        <v>10994965150</v>
      </c>
      <c r="E167" s="29">
        <v>11918629160</v>
      </c>
      <c r="F167" s="30">
        <v>9.1333519704394489E-3</v>
      </c>
      <c r="G167" s="29">
        <v>3902416320</v>
      </c>
      <c r="H167" s="29">
        <v>26092584551</v>
      </c>
      <c r="I167" s="29">
        <v>10994965150</v>
      </c>
      <c r="J167" s="29">
        <v>40989966021</v>
      </c>
      <c r="K167" s="30">
        <v>6.4082536277369493E-3</v>
      </c>
    </row>
    <row r="168" spans="1:11" x14ac:dyDescent="0.4">
      <c r="A168" s="29" t="s">
        <v>150</v>
      </c>
      <c r="B168" s="29">
        <v>0</v>
      </c>
      <c r="C168" s="29">
        <v>-5224236389</v>
      </c>
      <c r="D168" s="29">
        <v>21421543179</v>
      </c>
      <c r="E168" s="29">
        <v>16197306790</v>
      </c>
      <c r="F168" s="30">
        <v>1.2412140851126102E-2</v>
      </c>
      <c r="G168" s="29">
        <v>10320000000</v>
      </c>
      <c r="H168" s="29">
        <v>46351560909</v>
      </c>
      <c r="I168" s="29">
        <v>21795016485</v>
      </c>
      <c r="J168" s="29">
        <v>78466577394</v>
      </c>
      <c r="K168" s="30">
        <v>1.2267239474743417E-2</v>
      </c>
    </row>
    <row r="169" spans="1:11" x14ac:dyDescent="0.4">
      <c r="A169" s="29" t="s">
        <v>302</v>
      </c>
      <c r="B169" s="29">
        <v>0</v>
      </c>
      <c r="C169" s="29">
        <v>18131490707</v>
      </c>
      <c r="D169" s="29">
        <v>0</v>
      </c>
      <c r="E169" s="29">
        <v>18131490707</v>
      </c>
      <c r="F169" s="30">
        <v>1.389432326089614E-2</v>
      </c>
      <c r="G169" s="29">
        <v>0</v>
      </c>
      <c r="H169" s="29">
        <v>50950280656</v>
      </c>
      <c r="I169" s="29">
        <v>0</v>
      </c>
      <c r="J169" s="29">
        <v>50950280656</v>
      </c>
      <c r="K169" s="30">
        <v>7.9654206271055177E-3</v>
      </c>
    </row>
    <row r="170" spans="1:11" x14ac:dyDescent="0.4">
      <c r="A170" s="29" t="s">
        <v>303</v>
      </c>
      <c r="B170" s="29">
        <v>0</v>
      </c>
      <c r="C170" s="29">
        <v>-49613500</v>
      </c>
      <c r="D170" s="29">
        <v>0</v>
      </c>
      <c r="E170" s="29">
        <v>-49613500</v>
      </c>
      <c r="F170" s="30">
        <v>-3.8019268147562507E-5</v>
      </c>
      <c r="G170" s="29">
        <v>187500000</v>
      </c>
      <c r="H170" s="29">
        <v>1654610225</v>
      </c>
      <c r="I170" s="29">
        <v>0</v>
      </c>
      <c r="J170" s="29">
        <v>1842110225</v>
      </c>
      <c r="K170" s="30">
        <v>2.879902248760046E-4</v>
      </c>
    </row>
    <row r="171" spans="1:11" x14ac:dyDescent="0.4">
      <c r="A171" s="29" t="s">
        <v>227</v>
      </c>
      <c r="B171" s="29">
        <v>0</v>
      </c>
      <c r="C171" s="29">
        <v>-1795738306</v>
      </c>
      <c r="D171" s="29">
        <v>1484855905</v>
      </c>
      <c r="E171" s="29">
        <v>-310882401</v>
      </c>
      <c r="F171" s="30">
        <v>-2.3823196037322611E-4</v>
      </c>
      <c r="G171" s="29">
        <v>1143000000</v>
      </c>
      <c r="H171" s="29">
        <v>568994906</v>
      </c>
      <c r="I171" s="29">
        <v>1484855905</v>
      </c>
      <c r="J171" s="29">
        <v>3196850811</v>
      </c>
      <c r="K171" s="30">
        <v>4.9978647936495095E-4</v>
      </c>
    </row>
    <row r="172" spans="1:11" x14ac:dyDescent="0.4">
      <c r="A172" s="29" t="s">
        <v>304</v>
      </c>
      <c r="B172" s="29">
        <v>0</v>
      </c>
      <c r="C172" s="29">
        <v>773970600</v>
      </c>
      <c r="D172" s="29">
        <v>0</v>
      </c>
      <c r="E172" s="29">
        <v>773970600</v>
      </c>
      <c r="F172" s="30">
        <v>5.9310058310197507E-4</v>
      </c>
      <c r="G172" s="29">
        <v>0</v>
      </c>
      <c r="H172" s="29">
        <v>2360610330</v>
      </c>
      <c r="I172" s="29">
        <v>0</v>
      </c>
      <c r="J172" s="29">
        <v>2360610330</v>
      </c>
      <c r="K172" s="30">
        <v>3.6905104295879983E-4</v>
      </c>
    </row>
    <row r="173" spans="1:11" x14ac:dyDescent="0.4">
      <c r="A173" s="29" t="s">
        <v>92</v>
      </c>
      <c r="B173" s="29">
        <v>0</v>
      </c>
      <c r="C173" s="29">
        <v>-998107179</v>
      </c>
      <c r="D173" s="29">
        <v>4865293947</v>
      </c>
      <c r="E173" s="29">
        <v>3867186768</v>
      </c>
      <c r="F173" s="30">
        <v>2.9634597581161899E-3</v>
      </c>
      <c r="G173" s="29">
        <v>8243814952</v>
      </c>
      <c r="H173" s="29">
        <v>44602677516</v>
      </c>
      <c r="I173" s="29">
        <v>5299694997</v>
      </c>
      <c r="J173" s="29">
        <v>58146187465</v>
      </c>
      <c r="K173" s="30">
        <v>9.0904080420745013E-3</v>
      </c>
    </row>
    <row r="174" spans="1:11" x14ac:dyDescent="0.4">
      <c r="A174" s="29" t="s">
        <v>305</v>
      </c>
      <c r="B174" s="29">
        <v>0</v>
      </c>
      <c r="C174" s="29">
        <v>1357804358</v>
      </c>
      <c r="D174" s="29">
        <v>0</v>
      </c>
      <c r="E174" s="29">
        <v>1357804358</v>
      </c>
      <c r="F174" s="30">
        <v>1.0404976060695366E-3</v>
      </c>
      <c r="G174" s="29">
        <v>1482852504</v>
      </c>
      <c r="H174" s="29">
        <v>19958416809</v>
      </c>
      <c r="I174" s="29">
        <v>0</v>
      </c>
      <c r="J174" s="29">
        <v>21441269313</v>
      </c>
      <c r="K174" s="30">
        <v>3.3520664981259995E-3</v>
      </c>
    </row>
    <row r="175" spans="1:11" x14ac:dyDescent="0.4">
      <c r="A175" s="29" t="s">
        <v>113</v>
      </c>
      <c r="B175" s="29">
        <v>0</v>
      </c>
      <c r="C175" s="29">
        <v>1349269557</v>
      </c>
      <c r="D175" s="29">
        <v>0</v>
      </c>
      <c r="E175" s="29">
        <v>1349269557</v>
      </c>
      <c r="F175" s="30">
        <v>1.0339573118390332E-3</v>
      </c>
      <c r="G175" s="29">
        <v>913816380</v>
      </c>
      <c r="H175" s="29">
        <v>8866193410</v>
      </c>
      <c r="I175" s="29">
        <v>-293174328</v>
      </c>
      <c r="J175" s="29">
        <v>9486835462</v>
      </c>
      <c r="K175" s="30">
        <v>1.4831446245639481E-3</v>
      </c>
    </row>
    <row r="176" spans="1:11" x14ac:dyDescent="0.4">
      <c r="A176" s="29" t="s">
        <v>306</v>
      </c>
      <c r="B176" s="29">
        <v>0</v>
      </c>
      <c r="C176" s="29">
        <v>6410322369</v>
      </c>
      <c r="D176" s="29">
        <v>0</v>
      </c>
      <c r="E176" s="29">
        <v>6410322369</v>
      </c>
      <c r="F176" s="30">
        <v>4.91228728187548E-3</v>
      </c>
      <c r="G176" s="29">
        <v>391530920</v>
      </c>
      <c r="H176" s="29">
        <v>8136704535</v>
      </c>
      <c r="I176" s="29">
        <v>0</v>
      </c>
      <c r="J176" s="29">
        <v>8528235455</v>
      </c>
      <c r="K176" s="30">
        <v>1.3332798510908681E-3</v>
      </c>
    </row>
    <row r="177" spans="1:11" x14ac:dyDescent="0.4">
      <c r="A177" s="29" t="s">
        <v>213</v>
      </c>
      <c r="B177" s="29">
        <v>0</v>
      </c>
      <c r="C177" s="29">
        <v>441595511</v>
      </c>
      <c r="D177" s="29">
        <v>2346709858</v>
      </c>
      <c r="E177" s="29">
        <v>2788305369</v>
      </c>
      <c r="F177" s="30">
        <v>2.1367033065858932E-3</v>
      </c>
      <c r="G177" s="29">
        <v>2010022394</v>
      </c>
      <c r="H177" s="29">
        <v>10085892903</v>
      </c>
      <c r="I177" s="29">
        <v>7067471824</v>
      </c>
      <c r="J177" s="29">
        <v>19163387121</v>
      </c>
      <c r="K177" s="30">
        <v>2.9959489347944532E-3</v>
      </c>
    </row>
    <row r="178" spans="1:11" x14ac:dyDescent="0.4">
      <c r="A178" s="29" t="s">
        <v>141</v>
      </c>
      <c r="B178" s="29">
        <v>1788743120</v>
      </c>
      <c r="C178" s="29">
        <v>463021601</v>
      </c>
      <c r="D178" s="29">
        <v>0</v>
      </c>
      <c r="E178" s="29">
        <v>2251764721</v>
      </c>
      <c r="F178" s="30">
        <v>1.7255474161855194E-3</v>
      </c>
      <c r="G178" s="29">
        <v>1788743120</v>
      </c>
      <c r="H178" s="29">
        <v>23498778559</v>
      </c>
      <c r="I178" s="29">
        <v>3424932047</v>
      </c>
      <c r="J178" s="29">
        <v>28712453726</v>
      </c>
      <c r="K178" s="30">
        <v>4.4888225976231237E-3</v>
      </c>
    </row>
    <row r="179" spans="1:11" x14ac:dyDescent="0.4">
      <c r="A179" s="29" t="s">
        <v>307</v>
      </c>
      <c r="B179" s="29">
        <v>0</v>
      </c>
      <c r="C179" s="29">
        <v>-855900092</v>
      </c>
      <c r="D179" s="29">
        <v>4069908638</v>
      </c>
      <c r="E179" s="29">
        <v>3214008546</v>
      </c>
      <c r="F179" s="30">
        <v>2.4629234530708674E-3</v>
      </c>
      <c r="G179" s="29">
        <v>3210181763</v>
      </c>
      <c r="H179" s="29">
        <v>42352463677</v>
      </c>
      <c r="I179" s="29">
        <v>4517288913</v>
      </c>
      <c r="J179" s="29">
        <v>50079934353</v>
      </c>
      <c r="K179" s="30">
        <v>7.8293531843872249E-3</v>
      </c>
    </row>
    <row r="180" spans="1:11" x14ac:dyDescent="0.4">
      <c r="A180" s="29" t="s">
        <v>198</v>
      </c>
      <c r="B180" s="29">
        <v>0</v>
      </c>
      <c r="C180" s="29">
        <v>17112491591</v>
      </c>
      <c r="D180" s="29">
        <v>2040091826</v>
      </c>
      <c r="E180" s="29">
        <v>19152583417</v>
      </c>
      <c r="F180" s="30">
        <v>1.4676795723935661E-2</v>
      </c>
      <c r="G180" s="29">
        <v>4498853600</v>
      </c>
      <c r="H180" s="29">
        <v>44308321859</v>
      </c>
      <c r="I180" s="29">
        <v>3956755842</v>
      </c>
      <c r="J180" s="29">
        <v>52763931301</v>
      </c>
      <c r="K180" s="30">
        <v>8.2489615629363598E-3</v>
      </c>
    </row>
    <row r="181" spans="1:11" x14ac:dyDescent="0.4">
      <c r="A181" s="29" t="s">
        <v>101</v>
      </c>
      <c r="B181" s="29">
        <v>0</v>
      </c>
      <c r="C181" s="29">
        <v>1645797677</v>
      </c>
      <c r="D181" s="29">
        <v>10010964491</v>
      </c>
      <c r="E181" s="29">
        <v>11656762168</v>
      </c>
      <c r="F181" s="30">
        <v>8.932680955738943E-3</v>
      </c>
      <c r="G181" s="29">
        <v>6952974000</v>
      </c>
      <c r="H181" s="29">
        <v>39330139509</v>
      </c>
      <c r="I181" s="29">
        <v>15994765089</v>
      </c>
      <c r="J181" s="29">
        <v>62277878598</v>
      </c>
      <c r="K181" s="30">
        <v>9.7363447739608165E-3</v>
      </c>
    </row>
    <row r="182" spans="1:11" x14ac:dyDescent="0.4">
      <c r="A182" s="29" t="s">
        <v>118</v>
      </c>
      <c r="B182" s="29">
        <v>0</v>
      </c>
      <c r="C182" s="29">
        <v>718754773</v>
      </c>
      <c r="D182" s="29">
        <v>5027648175</v>
      </c>
      <c r="E182" s="29">
        <v>5746402948</v>
      </c>
      <c r="F182" s="30">
        <v>4.4035199001069402E-3</v>
      </c>
      <c r="G182" s="29">
        <v>3911151400</v>
      </c>
      <c r="H182" s="29">
        <v>22242924173</v>
      </c>
      <c r="I182" s="29">
        <v>5027648175</v>
      </c>
      <c r="J182" s="29">
        <v>31181723748</v>
      </c>
      <c r="K182" s="30">
        <v>4.8748611849260938E-3</v>
      </c>
    </row>
    <row r="183" spans="1:11" x14ac:dyDescent="0.4">
      <c r="A183" s="29" t="s">
        <v>116</v>
      </c>
      <c r="B183" s="29">
        <v>0</v>
      </c>
      <c r="C183" s="29">
        <v>11807636541</v>
      </c>
      <c r="D183" s="29">
        <v>5759675023</v>
      </c>
      <c r="E183" s="29">
        <v>17567311564</v>
      </c>
      <c r="F183" s="30">
        <v>1.3461987744938205E-2</v>
      </c>
      <c r="G183" s="29">
        <v>0</v>
      </c>
      <c r="H183" s="29">
        <v>25463018187</v>
      </c>
      <c r="I183" s="29">
        <v>8362288975</v>
      </c>
      <c r="J183" s="29">
        <v>33825307162</v>
      </c>
      <c r="K183" s="30">
        <v>5.2881514275750297E-3</v>
      </c>
    </row>
    <row r="184" spans="1:11" x14ac:dyDescent="0.4">
      <c r="A184" s="29" t="s">
        <v>136</v>
      </c>
      <c r="B184" s="29">
        <v>0</v>
      </c>
      <c r="C184" s="29">
        <v>30531225502</v>
      </c>
      <c r="D184" s="29">
        <v>0</v>
      </c>
      <c r="E184" s="29">
        <v>30531225502</v>
      </c>
      <c r="F184" s="30">
        <v>2.3396350776184641E-2</v>
      </c>
      <c r="G184" s="29">
        <v>2126589384</v>
      </c>
      <c r="H184" s="29">
        <v>61539223477</v>
      </c>
      <c r="I184" s="29">
        <v>2685532108</v>
      </c>
      <c r="J184" s="29">
        <v>66351344969</v>
      </c>
      <c r="K184" s="30">
        <v>1.03731788136878E-2</v>
      </c>
    </row>
    <row r="185" spans="1:11" x14ac:dyDescent="0.4">
      <c r="A185" s="29" t="s">
        <v>86</v>
      </c>
      <c r="B185" s="29">
        <v>0</v>
      </c>
      <c r="C185" s="29">
        <v>1262729958</v>
      </c>
      <c r="D185" s="29">
        <v>0</v>
      </c>
      <c r="E185" s="29">
        <v>1262729958</v>
      </c>
      <c r="F185" s="30">
        <v>9.676412442412315E-4</v>
      </c>
      <c r="G185" s="29">
        <v>0</v>
      </c>
      <c r="H185" s="29">
        <v>20571018950</v>
      </c>
      <c r="I185" s="29">
        <v>2014235930</v>
      </c>
      <c r="J185" s="29">
        <v>22585254880</v>
      </c>
      <c r="K185" s="30">
        <v>3.5309139179079689E-3</v>
      </c>
    </row>
    <row r="186" spans="1:11" x14ac:dyDescent="0.4">
      <c r="A186" s="29" t="s">
        <v>232</v>
      </c>
      <c r="B186" s="29">
        <v>0</v>
      </c>
      <c r="C186" s="29">
        <v>2987490821</v>
      </c>
      <c r="D186" s="29">
        <v>458139555</v>
      </c>
      <c r="E186" s="29">
        <v>3445630376</v>
      </c>
      <c r="F186" s="30">
        <v>2.6404173300116018E-3</v>
      </c>
      <c r="G186" s="29">
        <v>0</v>
      </c>
      <c r="H186" s="29">
        <v>9227068402</v>
      </c>
      <c r="I186" s="29">
        <v>-1734785878</v>
      </c>
      <c r="J186" s="29">
        <v>7492282524</v>
      </c>
      <c r="K186" s="30">
        <v>1.171321943517967E-3</v>
      </c>
    </row>
    <row r="187" spans="1:11" x14ac:dyDescent="0.4">
      <c r="A187" s="29" t="s">
        <v>308</v>
      </c>
      <c r="B187" s="29">
        <v>0</v>
      </c>
      <c r="C187" s="29">
        <v>-12411382118</v>
      </c>
      <c r="D187" s="29">
        <v>14592702081</v>
      </c>
      <c r="E187" s="29">
        <v>2181319963</v>
      </c>
      <c r="F187" s="30">
        <v>1.6715649689888461E-3</v>
      </c>
      <c r="G187" s="29">
        <v>8686541250</v>
      </c>
      <c r="H187" s="29">
        <v>23471632065</v>
      </c>
      <c r="I187" s="29">
        <v>14844237286</v>
      </c>
      <c r="J187" s="29">
        <v>47002410601</v>
      </c>
      <c r="K187" s="30">
        <v>7.3482219549029929E-3</v>
      </c>
    </row>
    <row r="188" spans="1:11" x14ac:dyDescent="0.4">
      <c r="A188" s="29" t="s">
        <v>121</v>
      </c>
      <c r="B188" s="29">
        <v>0</v>
      </c>
      <c r="C188" s="29">
        <v>15749852768</v>
      </c>
      <c r="D188" s="29">
        <v>9432556034</v>
      </c>
      <c r="E188" s="29">
        <v>25182408802</v>
      </c>
      <c r="F188" s="30">
        <v>1.9297504768758023E-2</v>
      </c>
      <c r="G188" s="29">
        <v>2770858350</v>
      </c>
      <c r="H188" s="29">
        <v>73463645219</v>
      </c>
      <c r="I188" s="29">
        <v>9432556034</v>
      </c>
      <c r="J188" s="29">
        <v>85667059603</v>
      </c>
      <c r="K188" s="30">
        <v>1.3392942194614907E-2</v>
      </c>
    </row>
    <row r="189" spans="1:11" x14ac:dyDescent="0.4">
      <c r="A189" s="29" t="s">
        <v>202</v>
      </c>
      <c r="B189" s="29">
        <v>0</v>
      </c>
      <c r="C189" s="29">
        <v>1305196040</v>
      </c>
      <c r="D189" s="29">
        <v>7425427161</v>
      </c>
      <c r="E189" s="29">
        <v>8730623201</v>
      </c>
      <c r="F189" s="30">
        <v>6.6903545320154689E-3</v>
      </c>
      <c r="G189" s="29">
        <v>5336797560</v>
      </c>
      <c r="H189" s="29">
        <v>23353968743</v>
      </c>
      <c r="I189" s="29">
        <v>16910442144</v>
      </c>
      <c r="J189" s="29">
        <v>45601208447</v>
      </c>
      <c r="K189" s="30">
        <v>7.1291620322389178E-3</v>
      </c>
    </row>
    <row r="190" spans="1:11" x14ac:dyDescent="0.4">
      <c r="A190" s="29" t="s">
        <v>174</v>
      </c>
      <c r="B190" s="29">
        <v>405498690</v>
      </c>
      <c r="C190" s="29">
        <v>2025233065</v>
      </c>
      <c r="D190" s="29">
        <v>0</v>
      </c>
      <c r="E190" s="29">
        <v>2430731755</v>
      </c>
      <c r="F190" s="30">
        <v>1.8626914526921141E-3</v>
      </c>
      <c r="G190" s="29">
        <v>405498690</v>
      </c>
      <c r="H190" s="29">
        <v>16300071375</v>
      </c>
      <c r="I190" s="29">
        <v>-1100</v>
      </c>
      <c r="J190" s="29">
        <v>16705568965</v>
      </c>
      <c r="K190" s="30">
        <v>2.6117006993498196E-3</v>
      </c>
    </row>
    <row r="191" spans="1:11" x14ac:dyDescent="0.4">
      <c r="A191" s="29" t="s">
        <v>146</v>
      </c>
      <c r="B191" s="29">
        <v>4676353920</v>
      </c>
      <c r="C191" s="29">
        <v>1257570545</v>
      </c>
      <c r="D191" s="29">
        <v>8106557550</v>
      </c>
      <c r="E191" s="29">
        <v>14040482015</v>
      </c>
      <c r="F191" s="30">
        <v>1.075934676346788E-2</v>
      </c>
      <c r="G191" s="29">
        <v>4676353920</v>
      </c>
      <c r="H191" s="29">
        <v>28894440701</v>
      </c>
      <c r="I191" s="29">
        <v>12950729224</v>
      </c>
      <c r="J191" s="29">
        <v>46521523845</v>
      </c>
      <c r="K191" s="30">
        <v>7.2730414998353103E-3</v>
      </c>
    </row>
    <row r="192" spans="1:11" x14ac:dyDescent="0.4">
      <c r="A192" s="29" t="s">
        <v>309</v>
      </c>
      <c r="B192" s="29">
        <v>0</v>
      </c>
      <c r="C192" s="29">
        <v>2787164113</v>
      </c>
      <c r="D192" s="29">
        <v>0</v>
      </c>
      <c r="E192" s="29">
        <v>2787164113</v>
      </c>
      <c r="F192" s="30">
        <v>2.1358287519205499E-3</v>
      </c>
      <c r="G192" s="29">
        <v>2254263435</v>
      </c>
      <c r="H192" s="29">
        <v>4593375173</v>
      </c>
      <c r="I192" s="29">
        <v>0</v>
      </c>
      <c r="J192" s="29">
        <v>6847638608</v>
      </c>
      <c r="K192" s="30">
        <v>1.0705401641139748E-3</v>
      </c>
    </row>
    <row r="193" spans="1:11" x14ac:dyDescent="0.4">
      <c r="A193" s="29" t="s">
        <v>310</v>
      </c>
      <c r="B193" s="29">
        <v>0</v>
      </c>
      <c r="C193" s="29">
        <v>11507205466</v>
      </c>
      <c r="D193" s="29">
        <v>0</v>
      </c>
      <c r="E193" s="29">
        <v>11507205466</v>
      </c>
      <c r="F193" s="30">
        <v>8.8180743193072633E-3</v>
      </c>
      <c r="G193" s="29">
        <v>2459937690</v>
      </c>
      <c r="H193" s="29">
        <v>37859204132</v>
      </c>
      <c r="I193" s="29">
        <v>0</v>
      </c>
      <c r="J193" s="29">
        <v>40319141822</v>
      </c>
      <c r="K193" s="30">
        <v>6.3033788980381466E-3</v>
      </c>
    </row>
    <row r="194" spans="1:11" x14ac:dyDescent="0.4">
      <c r="A194" s="29" t="s">
        <v>229</v>
      </c>
      <c r="B194" s="29">
        <v>0</v>
      </c>
      <c r="C194" s="29">
        <v>-3802474170</v>
      </c>
      <c r="D194" s="29">
        <v>5593137427</v>
      </c>
      <c r="E194" s="29">
        <v>1790663257</v>
      </c>
      <c r="F194" s="30">
        <v>1.3722012462307764E-3</v>
      </c>
      <c r="G194" s="29">
        <v>11472972420</v>
      </c>
      <c r="H194" s="29">
        <v>14784066248</v>
      </c>
      <c r="I194" s="29">
        <v>5784833166</v>
      </c>
      <c r="J194" s="29">
        <v>32041871834</v>
      </c>
      <c r="K194" s="30">
        <v>5.0093342676721629E-3</v>
      </c>
    </row>
    <row r="195" spans="1:11" x14ac:dyDescent="0.4">
      <c r="A195" s="29" t="s">
        <v>206</v>
      </c>
      <c r="B195" s="29">
        <v>0</v>
      </c>
      <c r="C195" s="29">
        <v>465289613</v>
      </c>
      <c r="D195" s="29">
        <v>0</v>
      </c>
      <c r="E195" s="29">
        <v>465289613</v>
      </c>
      <c r="F195" s="30">
        <v>3.5655558593775051E-4</v>
      </c>
      <c r="G195" s="29">
        <v>6565583200</v>
      </c>
      <c r="H195" s="29">
        <v>9282914672</v>
      </c>
      <c r="I195" s="29">
        <v>53006129464</v>
      </c>
      <c r="J195" s="29">
        <v>68854627336</v>
      </c>
      <c r="K195" s="30">
        <v>1.0764534793377054E-2</v>
      </c>
    </row>
    <row r="196" spans="1:11" x14ac:dyDescent="0.4">
      <c r="A196" s="29" t="s">
        <v>201</v>
      </c>
      <c r="B196" s="29">
        <v>0</v>
      </c>
      <c r="C196" s="29">
        <v>12795597663</v>
      </c>
      <c r="D196" s="29">
        <v>3115842957</v>
      </c>
      <c r="E196" s="29">
        <v>15911440620</v>
      </c>
      <c r="F196" s="30">
        <v>1.219307905198783E-2</v>
      </c>
      <c r="G196" s="29">
        <v>6309763750</v>
      </c>
      <c r="H196" s="29">
        <v>42590919508</v>
      </c>
      <c r="I196" s="29">
        <v>6089805110</v>
      </c>
      <c r="J196" s="29">
        <v>54990488368</v>
      </c>
      <c r="K196" s="30">
        <v>8.5970551035520343E-3</v>
      </c>
    </row>
    <row r="197" spans="1:11" x14ac:dyDescent="0.4">
      <c r="A197" s="29" t="s">
        <v>207</v>
      </c>
      <c r="B197" s="29">
        <v>0</v>
      </c>
      <c r="C197" s="29">
        <v>10243909078</v>
      </c>
      <c r="D197" s="29">
        <v>4737032067</v>
      </c>
      <c r="E197" s="29">
        <v>14980941145</v>
      </c>
      <c r="F197" s="30">
        <v>1.1480028994015883E-2</v>
      </c>
      <c r="G197" s="29">
        <v>0</v>
      </c>
      <c r="H197" s="29">
        <v>33383883935</v>
      </c>
      <c r="I197" s="29">
        <v>17662224718</v>
      </c>
      <c r="J197" s="29">
        <v>51046108653</v>
      </c>
      <c r="K197" s="30">
        <v>7.9804021010862342E-3</v>
      </c>
    </row>
    <row r="198" spans="1:11" x14ac:dyDescent="0.4">
      <c r="A198" s="29" t="s">
        <v>193</v>
      </c>
      <c r="B198" s="29">
        <v>0</v>
      </c>
      <c r="C198" s="29">
        <v>-3457078107</v>
      </c>
      <c r="D198" s="29">
        <v>2687471871</v>
      </c>
      <c r="E198" s="29">
        <v>-769606236</v>
      </c>
      <c r="F198" s="30">
        <v>-5.8975613199069353E-4</v>
      </c>
      <c r="G198" s="29">
        <v>1733619000</v>
      </c>
      <c r="H198" s="29">
        <v>30752326342</v>
      </c>
      <c r="I198" s="29">
        <v>2687471871</v>
      </c>
      <c r="J198" s="29">
        <v>35173417213</v>
      </c>
      <c r="K198" s="30">
        <v>5.4989110832547499E-3</v>
      </c>
    </row>
    <row r="199" spans="1:11" x14ac:dyDescent="0.4">
      <c r="A199" s="29" t="s">
        <v>72</v>
      </c>
      <c r="B199" s="29">
        <v>0</v>
      </c>
      <c r="C199" s="29">
        <v>2845830360</v>
      </c>
      <c r="D199" s="29">
        <v>0</v>
      </c>
      <c r="E199" s="29">
        <v>2845830360</v>
      </c>
      <c r="F199" s="30">
        <v>2.180785220944185E-3</v>
      </c>
      <c r="G199" s="29">
        <v>3680000000</v>
      </c>
      <c r="H199" s="29">
        <v>-1973035698</v>
      </c>
      <c r="I199" s="29">
        <v>-1633832026</v>
      </c>
      <c r="J199" s="29">
        <v>73132276</v>
      </c>
      <c r="K199" s="30">
        <v>1.143329010669491E-5</v>
      </c>
    </row>
    <row r="200" spans="1:11" x14ac:dyDescent="0.4">
      <c r="A200" s="29" t="s">
        <v>111</v>
      </c>
      <c r="B200" s="29">
        <v>0</v>
      </c>
      <c r="C200" s="29">
        <v>902030350</v>
      </c>
      <c r="D200" s="29">
        <v>1442026671</v>
      </c>
      <c r="E200" s="29">
        <v>2344057021</v>
      </c>
      <c r="F200" s="30">
        <v>1.7962718299369233E-3</v>
      </c>
      <c r="G200" s="29">
        <v>6979320000</v>
      </c>
      <c r="H200" s="29">
        <v>48194012255</v>
      </c>
      <c r="I200" s="29">
        <v>1442026671</v>
      </c>
      <c r="J200" s="29">
        <v>56615358926</v>
      </c>
      <c r="K200" s="30">
        <v>8.851082702466654E-3</v>
      </c>
    </row>
    <row r="201" spans="1:11" x14ac:dyDescent="0.4">
      <c r="A201" s="29" t="s">
        <v>311</v>
      </c>
      <c r="B201" s="29">
        <v>0</v>
      </c>
      <c r="C201" s="29">
        <v>52391856000</v>
      </c>
      <c r="D201" s="29">
        <v>0</v>
      </c>
      <c r="E201" s="29">
        <v>52391856000</v>
      </c>
      <c r="F201" s="30">
        <v>4.0148347163826002E-2</v>
      </c>
      <c r="G201" s="29">
        <v>660000000</v>
      </c>
      <c r="H201" s="29">
        <v>73225244420</v>
      </c>
      <c r="I201" s="29">
        <v>0</v>
      </c>
      <c r="J201" s="29">
        <v>73885244420</v>
      </c>
      <c r="K201" s="30">
        <v>1.1551007028113295E-2</v>
      </c>
    </row>
    <row r="202" spans="1:11" x14ac:dyDescent="0.4">
      <c r="A202" s="29" t="s">
        <v>168</v>
      </c>
      <c r="B202" s="29">
        <v>0</v>
      </c>
      <c r="C202" s="29">
        <v>5912724522</v>
      </c>
      <c r="D202" s="29">
        <v>4058201862</v>
      </c>
      <c r="E202" s="29">
        <v>9970926384</v>
      </c>
      <c r="F202" s="30">
        <v>7.640809938280947E-3</v>
      </c>
      <c r="G202" s="29">
        <v>2793294400</v>
      </c>
      <c r="H202" s="29">
        <v>11887276993</v>
      </c>
      <c r="I202" s="29">
        <v>4707487097</v>
      </c>
      <c r="J202" s="29">
        <v>19388058490</v>
      </c>
      <c r="K202" s="30">
        <v>3.0310734117141281E-3</v>
      </c>
    </row>
    <row r="203" spans="1:11" x14ac:dyDescent="0.4">
      <c r="A203" s="29" t="s">
        <v>104</v>
      </c>
      <c r="B203" s="29">
        <v>0</v>
      </c>
      <c r="C203" s="29">
        <v>-1469313973</v>
      </c>
      <c r="D203" s="29">
        <v>0</v>
      </c>
      <c r="E203" s="29">
        <v>-1469313973</v>
      </c>
      <c r="F203" s="30">
        <v>-1.1259484199350463E-3</v>
      </c>
      <c r="G203" s="29">
        <v>8605432500</v>
      </c>
      <c r="H203" s="29">
        <v>19734479133</v>
      </c>
      <c r="I203" s="29">
        <v>14032772612</v>
      </c>
      <c r="J203" s="29">
        <v>42372684245</v>
      </c>
      <c r="K203" s="30">
        <v>6.6244238258421741E-3</v>
      </c>
    </row>
    <row r="204" spans="1:11" x14ac:dyDescent="0.4">
      <c r="A204" s="29" t="s">
        <v>144</v>
      </c>
      <c r="B204" s="29">
        <v>0</v>
      </c>
      <c r="C204" s="29">
        <v>-12388834994</v>
      </c>
      <c r="D204" s="29">
        <v>10246884512</v>
      </c>
      <c r="E204" s="29">
        <v>-2141950482</v>
      </c>
      <c r="F204" s="30">
        <v>-1.6413957840901922E-3</v>
      </c>
      <c r="G204" s="29">
        <v>394870008</v>
      </c>
      <c r="H204" s="29">
        <v>5551189491</v>
      </c>
      <c r="I204" s="29">
        <v>14232729091</v>
      </c>
      <c r="J204" s="29">
        <v>20178788590</v>
      </c>
      <c r="K204" s="30">
        <v>3.1546938857903882E-3</v>
      </c>
    </row>
    <row r="205" spans="1:11" x14ac:dyDescent="0.4">
      <c r="A205" s="29" t="s">
        <v>312</v>
      </c>
      <c r="B205" s="29">
        <v>0</v>
      </c>
      <c r="C205" s="29">
        <v>7521138444</v>
      </c>
      <c r="D205" s="29">
        <v>536181446</v>
      </c>
      <c r="E205" s="29">
        <v>8057319890</v>
      </c>
      <c r="F205" s="30">
        <v>6.1743961915325229E-3</v>
      </c>
      <c r="G205" s="29">
        <v>0</v>
      </c>
      <c r="H205" s="29">
        <v>29487593995</v>
      </c>
      <c r="I205" s="29">
        <v>4026346756</v>
      </c>
      <c r="J205" s="29">
        <v>33513940751</v>
      </c>
      <c r="K205" s="30">
        <v>5.2394732966435731E-3</v>
      </c>
    </row>
    <row r="206" spans="1:11" x14ac:dyDescent="0.4">
      <c r="A206" s="29" t="s">
        <v>135</v>
      </c>
      <c r="B206" s="29">
        <v>0</v>
      </c>
      <c r="C206" s="29">
        <v>-208559099</v>
      </c>
      <c r="D206" s="29">
        <v>0</v>
      </c>
      <c r="E206" s="29">
        <v>-208559099</v>
      </c>
      <c r="F206" s="30">
        <v>-1.5982070020246575E-4</v>
      </c>
      <c r="G206" s="29">
        <v>142948777</v>
      </c>
      <c r="H206" s="29">
        <v>-2853205860</v>
      </c>
      <c r="I206" s="29">
        <v>-1448149251</v>
      </c>
      <c r="J206" s="29">
        <v>-4158406334</v>
      </c>
      <c r="K206" s="30">
        <v>-6.5011330972578572E-4</v>
      </c>
    </row>
    <row r="207" spans="1:11" x14ac:dyDescent="0.4">
      <c r="A207" s="29" t="s">
        <v>225</v>
      </c>
      <c r="B207" s="29">
        <v>0</v>
      </c>
      <c r="C207" s="29">
        <v>23712904601</v>
      </c>
      <c r="D207" s="29">
        <v>17236638114</v>
      </c>
      <c r="E207" s="29">
        <v>40949542715</v>
      </c>
      <c r="F207" s="30">
        <v>3.1380000302370314E-2</v>
      </c>
      <c r="G207" s="29">
        <v>7744403200</v>
      </c>
      <c r="H207" s="29">
        <v>54243391498</v>
      </c>
      <c r="I207" s="29">
        <v>20803782483</v>
      </c>
      <c r="J207" s="29">
        <v>82791577181</v>
      </c>
      <c r="K207" s="30">
        <v>1.2943397526711671E-2</v>
      </c>
    </row>
    <row r="208" spans="1:11" x14ac:dyDescent="0.4">
      <c r="A208" s="29" t="s">
        <v>223</v>
      </c>
      <c r="B208" s="29">
        <v>0</v>
      </c>
      <c r="C208" s="29">
        <v>1418553796</v>
      </c>
      <c r="D208" s="29">
        <v>0</v>
      </c>
      <c r="E208" s="29">
        <v>1418553796</v>
      </c>
      <c r="F208" s="30">
        <v>1.0870504429614253E-3</v>
      </c>
      <c r="G208" s="29">
        <v>888818310</v>
      </c>
      <c r="H208" s="29">
        <v>8784563665</v>
      </c>
      <c r="I208" s="29">
        <v>4908400519</v>
      </c>
      <c r="J208" s="29">
        <v>14581782494</v>
      </c>
      <c r="K208" s="30">
        <v>2.2796740187140795E-3</v>
      </c>
    </row>
    <row r="209" spans="1:11" x14ac:dyDescent="0.4">
      <c r="A209" s="29" t="s">
        <v>130</v>
      </c>
      <c r="B209" s="29">
        <v>2998274400</v>
      </c>
      <c r="C209" s="29">
        <v>1338793983</v>
      </c>
      <c r="D209" s="29">
        <v>0</v>
      </c>
      <c r="E209" s="29">
        <v>4337068383</v>
      </c>
      <c r="F209" s="30">
        <v>3.3235342361976543E-3</v>
      </c>
      <c r="G209" s="29">
        <v>2998274400</v>
      </c>
      <c r="H209" s="29">
        <v>17671182280</v>
      </c>
      <c r="I209" s="29">
        <v>6408938726</v>
      </c>
      <c r="J209" s="29">
        <v>27078395406</v>
      </c>
      <c r="K209" s="30">
        <v>4.2333586103705115E-3</v>
      </c>
    </row>
    <row r="210" spans="1:11" x14ac:dyDescent="0.4">
      <c r="A210" s="29" t="s">
        <v>112</v>
      </c>
      <c r="B210" s="29">
        <v>0</v>
      </c>
      <c r="C210" s="29">
        <v>-5277849030</v>
      </c>
      <c r="D210" s="29">
        <v>8811107253</v>
      </c>
      <c r="E210" s="29">
        <v>3533258223</v>
      </c>
      <c r="F210" s="30">
        <v>2.7075673317709333E-3</v>
      </c>
      <c r="G210" s="29">
        <v>402128100</v>
      </c>
      <c r="H210" s="29">
        <v>5983367286</v>
      </c>
      <c r="I210" s="29">
        <v>9013467653</v>
      </c>
      <c r="J210" s="29">
        <v>15398963039</v>
      </c>
      <c r="K210" s="30">
        <v>2.4074296794367412E-3</v>
      </c>
    </row>
    <row r="211" spans="1:11" x14ac:dyDescent="0.4">
      <c r="A211" s="29" t="s">
        <v>313</v>
      </c>
      <c r="B211" s="29">
        <v>0</v>
      </c>
      <c r="C211" s="29">
        <v>-3243227527</v>
      </c>
      <c r="D211" s="29">
        <v>3741548640</v>
      </c>
      <c r="E211" s="29">
        <v>498321113</v>
      </c>
      <c r="F211" s="30">
        <v>3.8186791939167356E-4</v>
      </c>
      <c r="G211" s="29">
        <v>0</v>
      </c>
      <c r="H211" s="29">
        <v>24120728820</v>
      </c>
      <c r="I211" s="29">
        <v>6261357042</v>
      </c>
      <c r="J211" s="29">
        <v>30382085862</v>
      </c>
      <c r="K211" s="30">
        <v>4.749848093156022E-3</v>
      </c>
    </row>
    <row r="212" spans="1:11" x14ac:dyDescent="0.4">
      <c r="A212" s="29" t="s">
        <v>160</v>
      </c>
      <c r="B212" s="29">
        <v>0</v>
      </c>
      <c r="C212" s="29">
        <v>8360589680</v>
      </c>
      <c r="D212" s="29">
        <v>0</v>
      </c>
      <c r="E212" s="29">
        <v>8360589680</v>
      </c>
      <c r="F212" s="30">
        <v>6.4067945401083126E-3</v>
      </c>
      <c r="G212" s="29">
        <v>0</v>
      </c>
      <c r="H212" s="29">
        <v>27668677956</v>
      </c>
      <c r="I212" s="29">
        <v>3079528654</v>
      </c>
      <c r="J212" s="29">
        <v>30748206610</v>
      </c>
      <c r="K212" s="30">
        <v>4.8070863599640199E-3</v>
      </c>
    </row>
    <row r="213" spans="1:11" x14ac:dyDescent="0.4">
      <c r="A213" s="29" t="s">
        <v>188</v>
      </c>
      <c r="B213" s="29">
        <v>0</v>
      </c>
      <c r="C213" s="29">
        <v>1521547195</v>
      </c>
      <c r="D213" s="29">
        <v>0</v>
      </c>
      <c r="E213" s="29">
        <v>1521547195</v>
      </c>
      <c r="F213" s="30">
        <v>1.1659752044479138E-3</v>
      </c>
      <c r="G213" s="29">
        <v>0</v>
      </c>
      <c r="H213" s="29">
        <v>16647093188</v>
      </c>
      <c r="I213" s="29">
        <v>6511636130</v>
      </c>
      <c r="J213" s="29">
        <v>23158729318</v>
      </c>
      <c r="K213" s="30">
        <v>3.6205692654104563E-3</v>
      </c>
    </row>
    <row r="214" spans="1:11" x14ac:dyDescent="0.4">
      <c r="A214" s="29" t="s">
        <v>195</v>
      </c>
      <c r="B214" s="29">
        <v>0</v>
      </c>
      <c r="C214" s="29">
        <v>5345813652</v>
      </c>
      <c r="D214" s="29">
        <v>2885980100</v>
      </c>
      <c r="E214" s="29">
        <v>8231793752</v>
      </c>
      <c r="F214" s="30">
        <v>6.3080970702070532E-3</v>
      </c>
      <c r="G214" s="29">
        <v>9028226775</v>
      </c>
      <c r="H214" s="29">
        <v>16042970402</v>
      </c>
      <c r="I214" s="29">
        <v>2885980100</v>
      </c>
      <c r="J214" s="29">
        <v>27957177277</v>
      </c>
      <c r="K214" s="30">
        <v>4.3707448455759784E-3</v>
      </c>
    </row>
    <row r="215" spans="1:11" x14ac:dyDescent="0.4">
      <c r="A215" s="29" t="s">
        <v>314</v>
      </c>
      <c r="B215" s="29">
        <v>0</v>
      </c>
      <c r="C215" s="29">
        <v>2995002635</v>
      </c>
      <c r="D215" s="29">
        <v>0</v>
      </c>
      <c r="E215" s="29">
        <v>2995002635</v>
      </c>
      <c r="F215" s="30">
        <v>2.2950972675324513E-3</v>
      </c>
      <c r="G215" s="29">
        <v>1685422200</v>
      </c>
      <c r="H215" s="29">
        <v>47062581542</v>
      </c>
      <c r="I215" s="29">
        <v>0</v>
      </c>
      <c r="J215" s="29">
        <v>48748003742</v>
      </c>
      <c r="K215" s="30">
        <v>7.6211229759146982E-3</v>
      </c>
    </row>
    <row r="216" spans="1:11" x14ac:dyDescent="0.4">
      <c r="A216" s="29" t="s">
        <v>315</v>
      </c>
      <c r="B216" s="29">
        <v>0</v>
      </c>
      <c r="C216" s="29">
        <v>18370423886</v>
      </c>
      <c r="D216" s="29">
        <v>0</v>
      </c>
      <c r="E216" s="29">
        <v>18370423886</v>
      </c>
      <c r="F216" s="30">
        <v>1.4077419889873143E-2</v>
      </c>
      <c r="G216" s="29">
        <v>726368300</v>
      </c>
      <c r="H216" s="29">
        <v>7822812085</v>
      </c>
      <c r="I216" s="29">
        <v>0</v>
      </c>
      <c r="J216" s="29">
        <v>8549180385</v>
      </c>
      <c r="K216" s="30">
        <v>1.3365543213255209E-3</v>
      </c>
    </row>
    <row r="217" spans="1:11" x14ac:dyDescent="0.4">
      <c r="A217" s="29" t="s">
        <v>125</v>
      </c>
      <c r="B217" s="29">
        <v>0</v>
      </c>
      <c r="C217" s="29">
        <v>9599021551</v>
      </c>
      <c r="D217" s="29">
        <v>1744882280</v>
      </c>
      <c r="E217" s="29">
        <v>11343903831</v>
      </c>
      <c r="F217" s="30">
        <v>8.6929348179618556E-3</v>
      </c>
      <c r="G217" s="29">
        <v>5895107190</v>
      </c>
      <c r="H217" s="29">
        <v>23332888287</v>
      </c>
      <c r="I217" s="29">
        <v>2993856470</v>
      </c>
      <c r="J217" s="29">
        <v>32221851947</v>
      </c>
      <c r="K217" s="30">
        <v>5.0374718419131824E-3</v>
      </c>
    </row>
    <row r="218" spans="1:11" x14ac:dyDescent="0.4">
      <c r="A218" s="29" t="s">
        <v>155</v>
      </c>
      <c r="B218" s="29">
        <v>0</v>
      </c>
      <c r="C218" s="29">
        <v>-3617644720</v>
      </c>
      <c r="D218" s="29">
        <v>6334623188</v>
      </c>
      <c r="E218" s="29">
        <v>2716978468</v>
      </c>
      <c r="F218" s="30">
        <v>2.0820448653299118E-3</v>
      </c>
      <c r="G218" s="29">
        <v>0</v>
      </c>
      <c r="H218" s="29">
        <v>20063160938</v>
      </c>
      <c r="I218" s="29">
        <v>6334623188</v>
      </c>
      <c r="J218" s="29">
        <v>26397784126</v>
      </c>
      <c r="K218" s="30">
        <v>4.1269537965215762E-3</v>
      </c>
    </row>
    <row r="219" spans="1:11" x14ac:dyDescent="0.4">
      <c r="A219" s="29" t="s">
        <v>228</v>
      </c>
      <c r="B219" s="29">
        <v>0</v>
      </c>
      <c r="C219" s="29">
        <v>5425657503</v>
      </c>
      <c r="D219" s="29">
        <v>1972001860</v>
      </c>
      <c r="E219" s="29">
        <v>7397659363</v>
      </c>
      <c r="F219" s="30">
        <v>5.6688924382723134E-3</v>
      </c>
      <c r="G219" s="29">
        <v>6981292000</v>
      </c>
      <c r="H219" s="29">
        <v>40112995823</v>
      </c>
      <c r="I219" s="29">
        <v>2972127130</v>
      </c>
      <c r="J219" s="29">
        <v>50066414953</v>
      </c>
      <c r="K219" s="30">
        <v>7.8272396001980993E-3</v>
      </c>
    </row>
    <row r="220" spans="1:11" x14ac:dyDescent="0.4">
      <c r="A220" s="29" t="s">
        <v>184</v>
      </c>
      <c r="B220" s="29">
        <v>0</v>
      </c>
      <c r="C220" s="29">
        <v>-35163833974</v>
      </c>
      <c r="D220" s="29">
        <v>27607098905</v>
      </c>
      <c r="E220" s="29">
        <v>-7556735069</v>
      </c>
      <c r="F220" s="30">
        <v>-5.790793572483301E-3</v>
      </c>
      <c r="G220" s="29">
        <v>2778066980</v>
      </c>
      <c r="H220" s="29">
        <v>28110049832</v>
      </c>
      <c r="I220" s="29">
        <v>32612075067</v>
      </c>
      <c r="J220" s="29">
        <v>63500191879</v>
      </c>
      <c r="K220" s="30">
        <v>9.9274377237131128E-3</v>
      </c>
    </row>
    <row r="221" spans="1:11" x14ac:dyDescent="0.4">
      <c r="A221" s="29" t="s">
        <v>159</v>
      </c>
      <c r="B221" s="29">
        <v>0</v>
      </c>
      <c r="C221" s="29">
        <v>4179502453</v>
      </c>
      <c r="D221" s="29">
        <v>5488747893</v>
      </c>
      <c r="E221" s="29">
        <v>9668250346</v>
      </c>
      <c r="F221" s="30">
        <v>7.4088665871655489E-3</v>
      </c>
      <c r="G221" s="29">
        <v>1505716000</v>
      </c>
      <c r="H221" s="29">
        <v>19174301468</v>
      </c>
      <c r="I221" s="29">
        <v>5488747893</v>
      </c>
      <c r="J221" s="29">
        <v>26168765361</v>
      </c>
      <c r="K221" s="30">
        <v>4.0911496601902797E-3</v>
      </c>
    </row>
    <row r="222" spans="1:11" x14ac:dyDescent="0.4">
      <c r="A222" s="29" t="s">
        <v>316</v>
      </c>
      <c r="B222" s="29">
        <v>0</v>
      </c>
      <c r="C222" s="29">
        <v>6960999792</v>
      </c>
      <c r="D222" s="29">
        <v>0</v>
      </c>
      <c r="E222" s="29">
        <v>6960999792</v>
      </c>
      <c r="F222" s="30">
        <v>5.3342763092137186E-3</v>
      </c>
      <c r="G222" s="29">
        <v>3535674660</v>
      </c>
      <c r="H222" s="29">
        <v>15931857745</v>
      </c>
      <c r="I222" s="29">
        <v>325752815</v>
      </c>
      <c r="J222" s="29">
        <v>19793285220</v>
      </c>
      <c r="K222" s="30">
        <v>3.0944253954959173E-3</v>
      </c>
    </row>
    <row r="223" spans="1:11" x14ac:dyDescent="0.4">
      <c r="A223" s="29" t="s">
        <v>317</v>
      </c>
      <c r="B223" s="29">
        <v>0</v>
      </c>
      <c r="C223" s="29">
        <v>-4456650609</v>
      </c>
      <c r="D223" s="29">
        <v>5960953116</v>
      </c>
      <c r="E223" s="29">
        <v>1504302507</v>
      </c>
      <c r="F223" s="30">
        <v>1.1527604460214161E-3</v>
      </c>
      <c r="G223" s="29">
        <v>2986695250</v>
      </c>
      <c r="H223" s="29">
        <v>16335964043</v>
      </c>
      <c r="I223" s="29">
        <v>16628643719</v>
      </c>
      <c r="J223" s="29">
        <v>35951303012</v>
      </c>
      <c r="K223" s="30">
        <v>5.6205235161816995E-3</v>
      </c>
    </row>
    <row r="224" spans="1:11" x14ac:dyDescent="0.4">
      <c r="A224" s="29" t="s">
        <v>186</v>
      </c>
      <c r="B224" s="29">
        <v>0</v>
      </c>
      <c r="C224" s="29">
        <v>-1013709351</v>
      </c>
      <c r="D224" s="29">
        <v>1885240940</v>
      </c>
      <c r="E224" s="29">
        <v>871531589</v>
      </c>
      <c r="F224" s="30">
        <v>6.6786244028867615E-4</v>
      </c>
      <c r="G224" s="29">
        <v>3146846500</v>
      </c>
      <c r="H224" s="29">
        <v>5847932560</v>
      </c>
      <c r="I224" s="29">
        <v>1885240940</v>
      </c>
      <c r="J224" s="29">
        <v>10880020000</v>
      </c>
      <c r="K224" s="30">
        <v>1.7009510961568154E-3</v>
      </c>
    </row>
    <row r="225" spans="1:11" x14ac:dyDescent="0.4">
      <c r="A225" s="29" t="s">
        <v>114</v>
      </c>
      <c r="B225" s="29">
        <v>0</v>
      </c>
      <c r="C225" s="29">
        <v>-14530369825</v>
      </c>
      <c r="D225" s="29">
        <v>2807084498</v>
      </c>
      <c r="E225" s="29">
        <v>-11723285327</v>
      </c>
      <c r="F225" s="30">
        <v>-8.983658246598164E-3</v>
      </c>
      <c r="G225" s="29">
        <v>7464643400</v>
      </c>
      <c r="H225" s="29">
        <v>30954160112</v>
      </c>
      <c r="I225" s="29">
        <v>6415564078</v>
      </c>
      <c r="J225" s="29">
        <v>44834367590</v>
      </c>
      <c r="K225" s="30">
        <v>7.0092763338402038E-3</v>
      </c>
    </row>
    <row r="226" spans="1:11" x14ac:dyDescent="0.4">
      <c r="A226" s="29" t="s">
        <v>139</v>
      </c>
      <c r="B226" s="29">
        <v>0</v>
      </c>
      <c r="C226" s="29">
        <v>10639390064</v>
      </c>
      <c r="D226" s="29">
        <v>1798053611</v>
      </c>
      <c r="E226" s="29">
        <v>12437443675</v>
      </c>
      <c r="F226" s="30">
        <v>9.5309241668100463E-3</v>
      </c>
      <c r="G226" s="29">
        <v>0</v>
      </c>
      <c r="H226" s="29">
        <v>24414372879</v>
      </c>
      <c r="I226" s="29">
        <v>1798053611</v>
      </c>
      <c r="J226" s="29">
        <v>26212426490</v>
      </c>
      <c r="K226" s="30">
        <v>4.097975515770692E-3</v>
      </c>
    </row>
    <row r="227" spans="1:11" x14ac:dyDescent="0.4">
      <c r="A227" s="29" t="s">
        <v>166</v>
      </c>
      <c r="B227" s="29">
        <v>0</v>
      </c>
      <c r="C227" s="29">
        <v>-669989783</v>
      </c>
      <c r="D227" s="29">
        <v>0</v>
      </c>
      <c r="E227" s="29">
        <v>-669989783</v>
      </c>
      <c r="F227" s="30">
        <v>-5.1341915438346845E-4</v>
      </c>
      <c r="G227" s="29">
        <v>1406886000</v>
      </c>
      <c r="H227" s="29">
        <v>20029162087</v>
      </c>
      <c r="I227" s="29">
        <v>533300558</v>
      </c>
      <c r="J227" s="29">
        <v>21969348645</v>
      </c>
      <c r="K227" s="30">
        <v>3.4346249050612033E-3</v>
      </c>
    </row>
    <row r="228" spans="1:11" x14ac:dyDescent="0.4">
      <c r="A228" s="29" t="s">
        <v>318</v>
      </c>
      <c r="B228" s="29">
        <v>0</v>
      </c>
      <c r="C228" s="29">
        <v>474459040</v>
      </c>
      <c r="D228" s="29">
        <v>0</v>
      </c>
      <c r="E228" s="29">
        <v>474459040</v>
      </c>
      <c r="F228" s="30">
        <v>3.6358219973989101E-4</v>
      </c>
      <c r="G228" s="29">
        <v>93500000</v>
      </c>
      <c r="H228" s="29">
        <v>2412682272</v>
      </c>
      <c r="I228" s="29">
        <v>0</v>
      </c>
      <c r="J228" s="29">
        <v>2506182272</v>
      </c>
      <c r="K228" s="30">
        <v>3.9180934251289778E-4</v>
      </c>
    </row>
    <row r="229" spans="1:11" x14ac:dyDescent="0.4">
      <c r="A229" s="29" t="s">
        <v>83</v>
      </c>
      <c r="B229" s="29">
        <v>0</v>
      </c>
      <c r="C229" s="29">
        <v>1303048964</v>
      </c>
      <c r="D229" s="29">
        <v>667621146</v>
      </c>
      <c r="E229" s="29">
        <v>1970670110</v>
      </c>
      <c r="F229" s="30">
        <v>1.510142105323682E-3</v>
      </c>
      <c r="G229" s="29">
        <v>1017800000</v>
      </c>
      <c r="H229" s="29">
        <v>15729662494</v>
      </c>
      <c r="I229" s="29">
        <v>667621146</v>
      </c>
      <c r="J229" s="29">
        <v>17415083640</v>
      </c>
      <c r="K229" s="30">
        <v>2.7226241870070664E-3</v>
      </c>
    </row>
    <row r="230" spans="1:11" x14ac:dyDescent="0.4">
      <c r="A230" s="29" t="s">
        <v>176</v>
      </c>
      <c r="B230" s="29">
        <v>0</v>
      </c>
      <c r="C230" s="29">
        <v>0</v>
      </c>
      <c r="D230" s="29">
        <v>0</v>
      </c>
      <c r="E230" s="29">
        <v>0</v>
      </c>
      <c r="F230" s="30">
        <v>0</v>
      </c>
      <c r="G230" s="29">
        <v>1392086800</v>
      </c>
      <c r="H230" s="29">
        <v>0</v>
      </c>
      <c r="I230" s="29">
        <v>5507051674</v>
      </c>
      <c r="J230" s="29">
        <v>6899138474</v>
      </c>
      <c r="K230" s="30">
        <v>1.0785915053361996E-3</v>
      </c>
    </row>
    <row r="231" spans="1:11" x14ac:dyDescent="0.4">
      <c r="A231" s="29" t="s">
        <v>319</v>
      </c>
      <c r="B231" s="29">
        <v>0</v>
      </c>
      <c r="C231" s="29">
        <v>0</v>
      </c>
      <c r="D231" s="29">
        <v>0</v>
      </c>
      <c r="E231" s="29">
        <v>0</v>
      </c>
      <c r="F231" s="30">
        <v>0</v>
      </c>
      <c r="G231" s="29">
        <v>0</v>
      </c>
      <c r="H231" s="29">
        <v>0</v>
      </c>
      <c r="I231" s="29">
        <v>21842145310</v>
      </c>
      <c r="J231" s="29">
        <v>21842145310</v>
      </c>
      <c r="K231" s="30">
        <v>3.414738300799166E-3</v>
      </c>
    </row>
    <row r="232" spans="1:11" x14ac:dyDescent="0.4">
      <c r="A232" s="29" t="s">
        <v>157</v>
      </c>
      <c r="B232" s="29">
        <v>0</v>
      </c>
      <c r="C232" s="29">
        <v>0</v>
      </c>
      <c r="D232" s="29">
        <v>0</v>
      </c>
      <c r="E232" s="29">
        <v>0</v>
      </c>
      <c r="F232" s="30">
        <v>0</v>
      </c>
      <c r="G232" s="29">
        <v>46399232</v>
      </c>
      <c r="H232" s="29">
        <v>0</v>
      </c>
      <c r="I232" s="29">
        <v>192263743</v>
      </c>
      <c r="J232" s="29">
        <v>238662975</v>
      </c>
      <c r="K232" s="30">
        <v>3.73118844393941E-5</v>
      </c>
    </row>
    <row r="233" spans="1:11" x14ac:dyDescent="0.4">
      <c r="A233" s="29" t="s">
        <v>320</v>
      </c>
      <c r="B233" s="29">
        <v>0</v>
      </c>
      <c r="C233" s="29">
        <v>0</v>
      </c>
      <c r="D233" s="29">
        <v>0</v>
      </c>
      <c r="E233" s="29">
        <v>0</v>
      </c>
      <c r="F233" s="30">
        <v>0</v>
      </c>
      <c r="G233" s="29">
        <v>0</v>
      </c>
      <c r="H233" s="29">
        <v>0</v>
      </c>
      <c r="I233" s="29">
        <v>32508649</v>
      </c>
      <c r="J233" s="29">
        <v>32508649</v>
      </c>
      <c r="K233" s="30">
        <v>5.0823088699402349E-6</v>
      </c>
    </row>
    <row r="234" spans="1:11" x14ac:dyDescent="0.4">
      <c r="A234" s="29" t="s">
        <v>187</v>
      </c>
      <c r="B234" s="29">
        <v>0</v>
      </c>
      <c r="C234" s="29">
        <v>0</v>
      </c>
      <c r="D234" s="40">
        <v>0</v>
      </c>
      <c r="E234" s="29">
        <v>0</v>
      </c>
      <c r="F234" s="39">
        <v>0</v>
      </c>
      <c r="G234" s="40">
        <v>0</v>
      </c>
      <c r="H234" s="40">
        <v>0</v>
      </c>
      <c r="I234" s="40">
        <v>925749213</v>
      </c>
      <c r="J234" s="40">
        <v>925749213</v>
      </c>
      <c r="K234" s="30">
        <v>1.4472897463595278E-4</v>
      </c>
    </row>
    <row r="235" spans="1:11" ht="16.5" thickBot="1" x14ac:dyDescent="0.45">
      <c r="A235" s="29" t="s">
        <v>2</v>
      </c>
      <c r="B235" s="42">
        <f t="shared" ref="B235:K235" si="0">SUM(B11:B234)</f>
        <v>17312935803</v>
      </c>
      <c r="C235" s="41">
        <f t="shared" si="0"/>
        <v>519789118366</v>
      </c>
      <c r="D235" s="29">
        <f t="shared" si="0"/>
        <v>766877124982</v>
      </c>
      <c r="E235" s="42">
        <f t="shared" si="0"/>
        <v>1303979179151</v>
      </c>
      <c r="F235" s="30">
        <f t="shared" si="0"/>
        <v>0.99925089080553264</v>
      </c>
      <c r="G235" s="29">
        <f t="shared" si="0"/>
        <v>582424248694</v>
      </c>
      <c r="H235" s="42">
        <f t="shared" si="0"/>
        <v>4434149821925</v>
      </c>
      <c r="I235" s="29">
        <f t="shared" si="0"/>
        <v>1373991524511</v>
      </c>
      <c r="J235" s="42">
        <f t="shared" si="0"/>
        <v>6390565595130</v>
      </c>
      <c r="K235" s="98">
        <f t="shared" si="0"/>
        <v>0.99908268129088074</v>
      </c>
    </row>
    <row r="236" spans="1:11" ht="16.5" thickTop="1" x14ac:dyDescent="0.4">
      <c r="C236" s="43"/>
      <c r="D236" s="43"/>
      <c r="F236" s="43"/>
      <c r="G236" s="43"/>
      <c r="I236" s="43"/>
    </row>
  </sheetData>
  <mergeCells count="15">
    <mergeCell ref="G7:K7"/>
    <mergeCell ref="B7:F7"/>
    <mergeCell ref="A8:A10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</mergeCells>
  <pageMargins left="0.70866141732283472" right="0.70866141732283472" top="0.74803149606299213" bottom="0.74803149606299213" header="0.31496062992125984" footer="0.31496062992125984"/>
  <pageSetup scale="77" fitToHeight="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G17"/>
  <sheetViews>
    <sheetView rightToLeft="1" tabSelected="1" view="pageBreakPreview" zoomScaleNormal="100" zoomScaleSheetLayoutView="100" workbookViewId="0">
      <selection activeCell="P37" sqref="P36:P37"/>
    </sheetView>
  </sheetViews>
  <sheetFormatPr defaultColWidth="9.140625" defaultRowHeight="15.75" x14ac:dyDescent="0.4"/>
  <cols>
    <col min="1" max="1" width="3.5703125" style="3" customWidth="1"/>
    <col min="2" max="2" width="11.28515625" style="3" bestFit="1" customWidth="1"/>
    <col min="3" max="3" width="13.140625" style="3" customWidth="1"/>
    <col min="4" max="4" width="12.5703125" style="3" customWidth="1"/>
    <col min="5" max="5" width="13.42578125" style="3" customWidth="1"/>
    <col min="6" max="6" width="10.28515625" style="3" customWidth="1"/>
    <col min="7" max="16384" width="9.140625" style="3"/>
  </cols>
  <sheetData>
    <row r="1" spans="2:7" ht="21" x14ac:dyDescent="0.55000000000000004">
      <c r="B1" s="70" t="s">
        <v>61</v>
      </c>
      <c r="C1" s="70"/>
      <c r="D1" s="70"/>
      <c r="E1" s="70"/>
      <c r="F1" s="70"/>
    </row>
    <row r="2" spans="2:7" ht="21" x14ac:dyDescent="0.55000000000000004">
      <c r="B2" s="70" t="s">
        <v>52</v>
      </c>
      <c r="C2" s="70"/>
      <c r="D2" s="70"/>
      <c r="E2" s="70"/>
      <c r="F2" s="70"/>
    </row>
    <row r="3" spans="2:7" ht="21" x14ac:dyDescent="0.55000000000000004">
      <c r="B3" s="70" t="s">
        <v>62</v>
      </c>
      <c r="C3" s="70"/>
      <c r="D3" s="70"/>
      <c r="E3" s="70"/>
      <c r="F3" s="70"/>
    </row>
    <row r="4" spans="2:7" ht="21" x14ac:dyDescent="0.55000000000000004">
      <c r="B4" s="35"/>
      <c r="C4" s="35"/>
      <c r="D4" s="35"/>
      <c r="E4" s="35"/>
      <c r="F4" s="35"/>
    </row>
    <row r="5" spans="2:7" ht="21" x14ac:dyDescent="0.4">
      <c r="B5" s="56" t="s">
        <v>407</v>
      </c>
      <c r="C5" s="56"/>
      <c r="D5" s="56"/>
      <c r="E5" s="56"/>
      <c r="F5" s="56"/>
    </row>
    <row r="6" spans="2:7" ht="16.5" thickBot="1" x14ac:dyDescent="0.45">
      <c r="B6" s="1"/>
      <c r="C6" s="1"/>
      <c r="D6" s="1"/>
      <c r="E6" s="1"/>
      <c r="F6" s="1"/>
    </row>
    <row r="7" spans="2:7" ht="37.5" customHeight="1" thickBot="1" x14ac:dyDescent="0.45">
      <c r="B7" s="4" t="s">
        <v>17</v>
      </c>
      <c r="C7" s="86" t="s">
        <v>58</v>
      </c>
      <c r="D7" s="86"/>
      <c r="E7" s="87" t="s">
        <v>63</v>
      </c>
      <c r="F7" s="87"/>
      <c r="G7" s="2"/>
    </row>
    <row r="8" spans="2:7" ht="59.25" customHeight="1" x14ac:dyDescent="0.4">
      <c r="B8" s="13" t="s">
        <v>13</v>
      </c>
      <c r="C8" s="8" t="s">
        <v>14</v>
      </c>
      <c r="D8" s="8" t="s">
        <v>15</v>
      </c>
      <c r="E8" s="8" t="s">
        <v>14</v>
      </c>
      <c r="F8" s="8" t="s">
        <v>15</v>
      </c>
      <c r="G8" s="5"/>
    </row>
    <row r="9" spans="2:7" ht="22.5" customHeight="1" thickBot="1" x14ac:dyDescent="0.45">
      <c r="B9" s="11"/>
      <c r="C9" s="23" t="s">
        <v>54</v>
      </c>
      <c r="D9" s="11"/>
      <c r="E9" s="23" t="s">
        <v>54</v>
      </c>
      <c r="F9" s="11"/>
      <c r="G9" s="5"/>
    </row>
    <row r="10" spans="2:7" ht="24.75" customHeight="1" x14ac:dyDescent="0.4">
      <c r="B10" s="29" t="s">
        <v>66</v>
      </c>
      <c r="C10" s="29">
        <v>63394</v>
      </c>
      <c r="D10" s="30">
        <f>C10/C16</f>
        <v>6.4849772398566305E-5</v>
      </c>
      <c r="E10" s="29">
        <v>445924</v>
      </c>
      <c r="F10" s="30">
        <f>E10/E16</f>
        <v>7.5998099091078726E-5</v>
      </c>
    </row>
    <row r="11" spans="2:7" ht="24.75" customHeight="1" x14ac:dyDescent="0.4">
      <c r="B11" s="29" t="s">
        <v>67</v>
      </c>
      <c r="C11" s="29">
        <v>29068</v>
      </c>
      <c r="D11" s="30">
        <f>C11/C16</f>
        <v>2.9735514150890072E-5</v>
      </c>
      <c r="E11" s="29">
        <v>152526</v>
      </c>
      <c r="F11" s="30">
        <f>E11/E16</f>
        <v>2.599475709306042E-5</v>
      </c>
    </row>
    <row r="12" spans="2:7" ht="24.75" customHeight="1" x14ac:dyDescent="0.4">
      <c r="B12" s="29" t="s">
        <v>68</v>
      </c>
      <c r="C12" s="29">
        <v>9078</v>
      </c>
      <c r="D12" s="30">
        <f>C12/C16</f>
        <v>9.2864661298259276E-6</v>
      </c>
      <c r="E12" s="29">
        <v>6838092</v>
      </c>
      <c r="F12" s="30">
        <f>E12/E16</f>
        <v>1.1654048524186022E-3</v>
      </c>
    </row>
    <row r="13" spans="2:7" ht="24.75" customHeight="1" x14ac:dyDescent="0.4">
      <c r="B13" s="29" t="s">
        <v>69</v>
      </c>
      <c r="C13" s="29">
        <v>977428699</v>
      </c>
      <c r="D13" s="30">
        <f>C13/C16</f>
        <v>0.9998742572795023</v>
      </c>
      <c r="E13" s="29">
        <v>5856762702</v>
      </c>
      <c r="F13" s="30">
        <f>E13/E16</f>
        <v>0.99815850274829343</v>
      </c>
    </row>
    <row r="14" spans="2:7" ht="24.75" customHeight="1" x14ac:dyDescent="0.4">
      <c r="B14" s="29" t="s">
        <v>70</v>
      </c>
      <c r="C14" s="29">
        <v>21380</v>
      </c>
      <c r="D14" s="30">
        <f>C14/C16</f>
        <v>2.1870967818426782E-5</v>
      </c>
      <c r="E14" s="29">
        <v>3365467</v>
      </c>
      <c r="F14" s="30">
        <f>E14/E16</f>
        <v>5.7357104473801694E-4</v>
      </c>
    </row>
    <row r="15" spans="2:7" ht="24.75" customHeight="1" x14ac:dyDescent="0.4">
      <c r="B15" s="40" t="s">
        <v>71</v>
      </c>
      <c r="E15" s="40">
        <v>3101</v>
      </c>
      <c r="F15" s="39">
        <f>E15/E16</f>
        <v>5.2849836582340295E-7</v>
      </c>
    </row>
    <row r="16" spans="2:7" ht="24.75" customHeight="1" thickBot="1" x14ac:dyDescent="0.45">
      <c r="B16" s="29" t="s">
        <v>2</v>
      </c>
      <c r="C16" s="42">
        <f>SUM(C10:C15)</f>
        <v>977551619</v>
      </c>
      <c r="D16" s="98">
        <f>SUM(D10:D15)</f>
        <v>1</v>
      </c>
      <c r="E16" s="42">
        <f>SUM(E10:E15)</f>
        <v>5867567812</v>
      </c>
      <c r="F16" s="98">
        <f>SUM(F10:F15)</f>
        <v>1</v>
      </c>
    </row>
    <row r="17" ht="16.5" thickTop="1" x14ac:dyDescent="0.4"/>
  </sheetData>
  <mergeCells count="6">
    <mergeCell ref="C7:D7"/>
    <mergeCell ref="B5:F5"/>
    <mergeCell ref="E7:F7"/>
    <mergeCell ref="B1:F1"/>
    <mergeCell ref="B2:F2"/>
    <mergeCell ref="B3:F3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rightToLeft="1" tabSelected="1" view="pageBreakPreview" zoomScaleNormal="100" zoomScaleSheetLayoutView="100" workbookViewId="0">
      <selection activeCell="P37" sqref="P36:P37"/>
    </sheetView>
  </sheetViews>
  <sheetFormatPr defaultRowHeight="18" x14ac:dyDescent="0.45"/>
  <cols>
    <col min="1" max="1" width="27.28515625" style="7" customWidth="1"/>
    <col min="2" max="2" width="13.28515625" style="7" customWidth="1"/>
    <col min="3" max="3" width="13.7109375" style="7" customWidth="1"/>
    <col min="4" max="16384" width="9.140625" style="7"/>
  </cols>
  <sheetData>
    <row r="1" spans="1:3" x14ac:dyDescent="0.45">
      <c r="A1" s="88" t="s">
        <v>61</v>
      </c>
      <c r="B1" s="88"/>
      <c r="C1" s="88"/>
    </row>
    <row r="2" spans="1:3" x14ac:dyDescent="0.45">
      <c r="A2" s="88" t="s">
        <v>52</v>
      </c>
      <c r="B2" s="88"/>
      <c r="C2" s="88"/>
    </row>
    <row r="3" spans="1:3" x14ac:dyDescent="0.45">
      <c r="A3" s="88" t="s">
        <v>62</v>
      </c>
      <c r="B3" s="88"/>
      <c r="C3" s="88"/>
    </row>
    <row r="4" spans="1:3" x14ac:dyDescent="0.45">
      <c r="A4" s="15"/>
      <c r="B4" s="15"/>
      <c r="C4" s="15"/>
    </row>
    <row r="5" spans="1:3" ht="21" x14ac:dyDescent="0.45">
      <c r="A5" s="56" t="s">
        <v>60</v>
      </c>
      <c r="B5" s="56"/>
      <c r="C5" s="56"/>
    </row>
    <row r="6" spans="1:3" ht="18.75" thickBot="1" x14ac:dyDescent="0.5">
      <c r="A6" s="6"/>
      <c r="B6" s="11" t="s">
        <v>58</v>
      </c>
      <c r="C6" s="11" t="s">
        <v>63</v>
      </c>
    </row>
    <row r="7" spans="1:3" ht="16.5" customHeight="1" x14ac:dyDescent="0.45">
      <c r="A7" s="89" t="s">
        <v>26</v>
      </c>
      <c r="B7" s="84" t="s">
        <v>6</v>
      </c>
      <c r="C7" s="84" t="s">
        <v>6</v>
      </c>
    </row>
    <row r="8" spans="1:3" ht="18.75" thickBot="1" x14ac:dyDescent="0.5">
      <c r="A8" s="90"/>
      <c r="B8" s="81"/>
      <c r="C8" s="81"/>
    </row>
    <row r="9" spans="1:3" x14ac:dyDescent="0.45">
      <c r="A9" s="40" t="s">
        <v>65</v>
      </c>
      <c r="B9" s="29">
        <v>3469</v>
      </c>
      <c r="C9" s="99">
        <v>0</v>
      </c>
    </row>
    <row r="10" spans="1:3" ht="18.75" thickBot="1" x14ac:dyDescent="0.5">
      <c r="A10" s="29" t="s">
        <v>2</v>
      </c>
      <c r="B10" s="42">
        <f>SUM(B9:B9)</f>
        <v>3469</v>
      </c>
      <c r="C10" s="29">
        <f>SUM(C9:C9)</f>
        <v>0</v>
      </c>
    </row>
    <row r="11" spans="1:3" ht="18.75" thickTop="1" x14ac:dyDescent="0.45">
      <c r="A11" s="100"/>
      <c r="C11" s="100"/>
    </row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191"/>
  <sheetViews>
    <sheetView rightToLeft="1" tabSelected="1" view="pageBreakPreview" topLeftCell="A167" zoomScale="98" zoomScaleNormal="100" zoomScaleSheetLayoutView="98" workbookViewId="0">
      <selection activeCell="P37" sqref="P36:P37"/>
    </sheetView>
  </sheetViews>
  <sheetFormatPr defaultColWidth="9.140625" defaultRowHeight="15.75" x14ac:dyDescent="0.4"/>
  <cols>
    <col min="1" max="1" width="23.28515625" style="3" customWidth="1"/>
    <col min="2" max="2" width="14.28515625" style="3" customWidth="1"/>
    <col min="3" max="3" width="21.140625" style="3" customWidth="1"/>
    <col min="4" max="4" width="8.140625" style="3" customWidth="1"/>
    <col min="5" max="5" width="17.5703125" style="3" customWidth="1"/>
    <col min="6" max="6" width="10.7109375" style="3" bestFit="1" customWidth="1"/>
    <col min="7" max="7" width="14.28515625" style="3" bestFit="1" customWidth="1"/>
    <col min="8" max="8" width="13.7109375" style="3" bestFit="1" customWidth="1"/>
    <col min="9" max="9" width="12" style="3" bestFit="1" customWidth="1"/>
    <col min="10" max="10" width="14.28515625" style="3" bestFit="1" customWidth="1"/>
    <col min="11" max="16384" width="9.140625" style="3"/>
  </cols>
  <sheetData>
    <row r="1" spans="1:13" ht="21" x14ac:dyDescent="0.55000000000000004">
      <c r="A1" s="70" t="s">
        <v>61</v>
      </c>
      <c r="B1" s="70"/>
      <c r="C1" s="70"/>
      <c r="D1" s="70"/>
      <c r="E1" s="70"/>
      <c r="F1" s="70"/>
      <c r="G1" s="70"/>
      <c r="H1" s="70"/>
      <c r="I1" s="70"/>
      <c r="J1" s="70"/>
    </row>
    <row r="2" spans="1:13" ht="21" x14ac:dyDescent="0.55000000000000004">
      <c r="A2" s="70" t="s">
        <v>52</v>
      </c>
      <c r="B2" s="70"/>
      <c r="C2" s="70"/>
      <c r="D2" s="70"/>
      <c r="E2" s="70"/>
      <c r="F2" s="70"/>
      <c r="G2" s="70"/>
      <c r="H2" s="70"/>
      <c r="I2" s="70"/>
      <c r="J2" s="70"/>
    </row>
    <row r="3" spans="1:13" ht="21" x14ac:dyDescent="0.55000000000000004">
      <c r="A3" s="70" t="s">
        <v>62</v>
      </c>
      <c r="B3" s="70"/>
      <c r="C3" s="70"/>
      <c r="D3" s="70"/>
      <c r="E3" s="70"/>
      <c r="F3" s="70"/>
      <c r="G3" s="70"/>
      <c r="H3" s="70"/>
      <c r="I3" s="70"/>
      <c r="J3" s="70"/>
    </row>
    <row r="4" spans="1:13" ht="21" x14ac:dyDescent="0.4">
      <c r="A4" s="56" t="s">
        <v>9</v>
      </c>
      <c r="B4" s="56"/>
      <c r="C4" s="56"/>
      <c r="D4" s="56"/>
      <c r="E4" s="56"/>
      <c r="F4" s="56"/>
      <c r="G4" s="56"/>
      <c r="H4" s="56"/>
      <c r="I4" s="56"/>
      <c r="J4" s="56"/>
      <c r="K4" s="31"/>
      <c r="L4" s="31"/>
      <c r="M4" s="31"/>
    </row>
    <row r="5" spans="1:13" ht="16.5" customHeight="1" thickBot="1" x14ac:dyDescent="0.45">
      <c r="B5" s="91" t="s">
        <v>38</v>
      </c>
      <c r="C5" s="91"/>
      <c r="D5" s="91"/>
      <c r="E5" s="81" t="s">
        <v>58</v>
      </c>
      <c r="F5" s="81"/>
      <c r="G5" s="81"/>
      <c r="H5" s="81" t="s">
        <v>63</v>
      </c>
      <c r="I5" s="81"/>
      <c r="J5" s="81"/>
      <c r="K5" s="2"/>
      <c r="L5" s="2"/>
      <c r="M5" s="2"/>
    </row>
    <row r="6" spans="1:13" ht="47.25" customHeight="1" thickBot="1" x14ac:dyDescent="0.45">
      <c r="A6" s="28" t="s">
        <v>28</v>
      </c>
      <c r="B6" s="19" t="s">
        <v>32</v>
      </c>
      <c r="C6" s="18" t="s">
        <v>37</v>
      </c>
      <c r="D6" s="18" t="s">
        <v>33</v>
      </c>
      <c r="E6" s="18" t="s">
        <v>34</v>
      </c>
      <c r="F6" s="10" t="s">
        <v>35</v>
      </c>
      <c r="G6" s="18" t="s">
        <v>36</v>
      </c>
      <c r="H6" s="18" t="s">
        <v>34</v>
      </c>
      <c r="I6" s="20" t="s">
        <v>35</v>
      </c>
      <c r="J6" s="18" t="s">
        <v>36</v>
      </c>
    </row>
    <row r="7" spans="1:13" x14ac:dyDescent="0.4">
      <c r="A7" s="29" t="s">
        <v>144</v>
      </c>
      <c r="B7" s="29" t="s">
        <v>321</v>
      </c>
      <c r="C7" s="29">
        <v>6927544</v>
      </c>
      <c r="D7" s="29">
        <v>57</v>
      </c>
      <c r="H7" s="29">
        <v>394870008</v>
      </c>
      <c r="I7" s="29">
        <v>-14836909</v>
      </c>
      <c r="J7" s="29">
        <v>380033099</v>
      </c>
    </row>
    <row r="8" spans="1:13" x14ac:dyDescent="0.4">
      <c r="A8" s="29" t="s">
        <v>247</v>
      </c>
      <c r="B8" s="29" t="s">
        <v>322</v>
      </c>
      <c r="C8" s="29">
        <v>5542935</v>
      </c>
      <c r="D8" s="29">
        <v>1000</v>
      </c>
      <c r="H8" s="29">
        <v>5542935000</v>
      </c>
      <c r="I8" s="29">
        <v>0</v>
      </c>
      <c r="J8" s="29">
        <v>5542935000</v>
      </c>
    </row>
    <row r="9" spans="1:13" x14ac:dyDescent="0.4">
      <c r="A9" s="29" t="s">
        <v>271</v>
      </c>
      <c r="B9" s="29" t="s">
        <v>323</v>
      </c>
      <c r="C9" s="29">
        <v>158909</v>
      </c>
      <c r="D9" s="29">
        <v>1640</v>
      </c>
      <c r="H9" s="29">
        <v>260610760</v>
      </c>
      <c r="I9" s="29">
        <v>-5589507</v>
      </c>
      <c r="J9" s="29">
        <v>255021253</v>
      </c>
    </row>
    <row r="10" spans="1:13" x14ac:dyDescent="0.4">
      <c r="A10" s="29" t="s">
        <v>163</v>
      </c>
      <c r="B10" s="29" t="s">
        <v>324</v>
      </c>
      <c r="C10" s="29">
        <v>4862943</v>
      </c>
      <c r="D10" s="29">
        <v>800</v>
      </c>
      <c r="H10" s="29">
        <v>3890354400</v>
      </c>
      <c r="I10" s="29">
        <v>-2662802</v>
      </c>
      <c r="J10" s="29">
        <v>3887691598</v>
      </c>
    </row>
    <row r="11" spans="1:13" x14ac:dyDescent="0.4">
      <c r="A11" s="29" t="s">
        <v>318</v>
      </c>
      <c r="B11" s="29" t="s">
        <v>325</v>
      </c>
      <c r="C11" s="29">
        <v>50000</v>
      </c>
      <c r="D11" s="29">
        <v>1870</v>
      </c>
      <c r="H11" s="29">
        <v>93500000</v>
      </c>
      <c r="I11" s="29">
        <v>-2614514</v>
      </c>
      <c r="J11" s="29">
        <v>90885486</v>
      </c>
    </row>
    <row r="12" spans="1:13" x14ac:dyDescent="0.4">
      <c r="A12" s="29" t="s">
        <v>294</v>
      </c>
      <c r="B12" s="29" t="s">
        <v>326</v>
      </c>
      <c r="C12" s="29">
        <v>3814542</v>
      </c>
      <c r="D12" s="29">
        <v>762</v>
      </c>
      <c r="H12" s="29">
        <v>2906681004</v>
      </c>
      <c r="I12" s="29">
        <v>-81278697</v>
      </c>
      <c r="J12" s="29">
        <v>2825402307</v>
      </c>
    </row>
    <row r="13" spans="1:13" x14ac:dyDescent="0.4">
      <c r="A13" s="29" t="s">
        <v>273</v>
      </c>
      <c r="B13" s="29" t="s">
        <v>327</v>
      </c>
      <c r="C13" s="29">
        <v>245000</v>
      </c>
      <c r="D13" s="29">
        <v>146</v>
      </c>
      <c r="E13" s="29">
        <v>35770000</v>
      </c>
      <c r="F13" s="29">
        <v>-1411974</v>
      </c>
      <c r="G13" s="29">
        <v>34358026</v>
      </c>
      <c r="H13" s="29">
        <v>35770000</v>
      </c>
      <c r="I13" s="29">
        <v>-1411974</v>
      </c>
      <c r="J13" s="29">
        <v>34358026</v>
      </c>
    </row>
    <row r="14" spans="1:13" x14ac:dyDescent="0.4">
      <c r="A14" s="29" t="s">
        <v>199</v>
      </c>
      <c r="B14" s="29" t="s">
        <v>328</v>
      </c>
      <c r="C14" s="29">
        <v>10724125</v>
      </c>
      <c r="D14" s="29">
        <v>810</v>
      </c>
      <c r="H14" s="29">
        <v>8686541250</v>
      </c>
      <c r="I14" s="29">
        <v>0</v>
      </c>
      <c r="J14" s="29">
        <v>8686541250</v>
      </c>
    </row>
    <row r="15" spans="1:13" x14ac:dyDescent="0.4">
      <c r="A15" s="29" t="s">
        <v>183</v>
      </c>
      <c r="B15" s="29" t="s">
        <v>324</v>
      </c>
      <c r="C15" s="29">
        <v>8948358</v>
      </c>
      <c r="D15" s="29">
        <v>126</v>
      </c>
      <c r="H15" s="29">
        <v>1127493108</v>
      </c>
      <c r="I15" s="29">
        <v>0</v>
      </c>
      <c r="J15" s="29">
        <v>1127493108</v>
      </c>
    </row>
    <row r="16" spans="1:13" x14ac:dyDescent="0.4">
      <c r="A16" s="29" t="s">
        <v>200</v>
      </c>
      <c r="B16" s="29" t="s">
        <v>329</v>
      </c>
      <c r="C16" s="29">
        <v>8421427</v>
      </c>
      <c r="D16" s="29">
        <v>180</v>
      </c>
      <c r="H16" s="29">
        <v>1515856860</v>
      </c>
      <c r="I16" s="29">
        <v>0</v>
      </c>
      <c r="J16" s="29">
        <v>1515856860</v>
      </c>
    </row>
    <row r="17" spans="1:10" x14ac:dyDescent="0.4">
      <c r="A17" s="29" t="s">
        <v>97</v>
      </c>
      <c r="B17" s="29" t="s">
        <v>330</v>
      </c>
      <c r="C17" s="29">
        <v>1505609</v>
      </c>
      <c r="D17" s="29">
        <v>1910</v>
      </c>
      <c r="H17" s="29">
        <v>2875713190</v>
      </c>
      <c r="I17" s="29">
        <v>-46507491</v>
      </c>
      <c r="J17" s="29">
        <v>2829205699</v>
      </c>
    </row>
    <row r="18" spans="1:10" x14ac:dyDescent="0.4">
      <c r="A18" s="29" t="s">
        <v>149</v>
      </c>
      <c r="B18" s="29" t="s">
        <v>331</v>
      </c>
      <c r="C18" s="29">
        <v>10003637</v>
      </c>
      <c r="D18" s="29">
        <v>260</v>
      </c>
      <c r="H18" s="29">
        <v>2600945620</v>
      </c>
      <c r="I18" s="29">
        <v>-147857374</v>
      </c>
      <c r="J18" s="29">
        <v>2453088246</v>
      </c>
    </row>
    <row r="19" spans="1:10" x14ac:dyDescent="0.4">
      <c r="A19" s="29" t="s">
        <v>125</v>
      </c>
      <c r="B19" s="29" t="s">
        <v>332</v>
      </c>
      <c r="C19" s="29">
        <v>28071939</v>
      </c>
      <c r="D19" s="29">
        <v>210</v>
      </c>
      <c r="H19" s="29">
        <v>5895107190</v>
      </c>
      <c r="I19" s="29">
        <v>-198974498</v>
      </c>
      <c r="J19" s="29">
        <v>5696132692</v>
      </c>
    </row>
    <row r="20" spans="1:10" x14ac:dyDescent="0.4">
      <c r="A20" s="29" t="s">
        <v>253</v>
      </c>
      <c r="B20" s="29" t="s">
        <v>328</v>
      </c>
      <c r="C20" s="29">
        <v>1750000</v>
      </c>
      <c r="D20" s="29">
        <v>570</v>
      </c>
      <c r="H20" s="29">
        <v>997500000</v>
      </c>
      <c r="I20" s="29">
        <v>-18111970</v>
      </c>
      <c r="J20" s="29">
        <v>979388030</v>
      </c>
    </row>
    <row r="21" spans="1:10" x14ac:dyDescent="0.4">
      <c r="A21" s="29" t="s">
        <v>77</v>
      </c>
      <c r="B21" s="29" t="s">
        <v>321</v>
      </c>
      <c r="C21" s="29">
        <v>31353305</v>
      </c>
      <c r="D21" s="29">
        <v>50</v>
      </c>
      <c r="H21" s="29">
        <v>1567665250</v>
      </c>
      <c r="I21" s="29">
        <v>0</v>
      </c>
      <c r="J21" s="29">
        <v>1567665250</v>
      </c>
    </row>
    <row r="22" spans="1:10" x14ac:dyDescent="0.4">
      <c r="A22" s="29" t="s">
        <v>80</v>
      </c>
      <c r="B22" s="29" t="s">
        <v>321</v>
      </c>
      <c r="C22" s="29">
        <v>36217996</v>
      </c>
      <c r="D22" s="29">
        <v>9</v>
      </c>
      <c r="H22" s="29">
        <v>325961964</v>
      </c>
      <c r="I22" s="29">
        <v>0</v>
      </c>
      <c r="J22" s="29">
        <v>325961964</v>
      </c>
    </row>
    <row r="23" spans="1:10" x14ac:dyDescent="0.4">
      <c r="A23" s="29" t="s">
        <v>210</v>
      </c>
      <c r="B23" s="29" t="s">
        <v>321</v>
      </c>
      <c r="C23" s="29">
        <v>6800000</v>
      </c>
      <c r="D23" s="29">
        <v>166</v>
      </c>
      <c r="H23" s="29">
        <v>1128800000</v>
      </c>
      <c r="I23" s="29">
        <v>0</v>
      </c>
      <c r="J23" s="29">
        <v>1128800000</v>
      </c>
    </row>
    <row r="24" spans="1:10" x14ac:dyDescent="0.4">
      <c r="A24" s="29" t="s">
        <v>95</v>
      </c>
      <c r="B24" s="29" t="s">
        <v>321</v>
      </c>
      <c r="C24" s="29">
        <v>6075143</v>
      </c>
      <c r="D24" s="29">
        <v>125</v>
      </c>
      <c r="H24" s="29">
        <v>759392875</v>
      </c>
      <c r="I24" s="29">
        <v>0</v>
      </c>
      <c r="J24" s="29">
        <v>759392875</v>
      </c>
    </row>
    <row r="25" spans="1:10" x14ac:dyDescent="0.4">
      <c r="A25" s="29" t="s">
        <v>213</v>
      </c>
      <c r="B25" s="29" t="s">
        <v>321</v>
      </c>
      <c r="C25" s="29">
        <v>43696139</v>
      </c>
      <c r="D25" s="29">
        <v>46</v>
      </c>
      <c r="H25" s="29">
        <v>2010022394</v>
      </c>
      <c r="I25" s="29">
        <v>0</v>
      </c>
      <c r="J25" s="29">
        <v>2010022394</v>
      </c>
    </row>
    <row r="26" spans="1:10" x14ac:dyDescent="0.4">
      <c r="A26" s="29" t="s">
        <v>128</v>
      </c>
      <c r="B26" s="29" t="s">
        <v>333</v>
      </c>
      <c r="C26" s="29">
        <v>14703159</v>
      </c>
      <c r="D26" s="29">
        <v>424</v>
      </c>
      <c r="H26" s="29">
        <v>6234139416</v>
      </c>
      <c r="I26" s="29">
        <v>-246084451</v>
      </c>
      <c r="J26" s="29">
        <v>5988054965</v>
      </c>
    </row>
    <row r="27" spans="1:10" x14ac:dyDescent="0.4">
      <c r="A27" s="29" t="s">
        <v>96</v>
      </c>
      <c r="B27" s="29" t="s">
        <v>334</v>
      </c>
      <c r="C27" s="29">
        <v>16845192</v>
      </c>
      <c r="D27" s="29">
        <v>290</v>
      </c>
      <c r="H27" s="29">
        <v>4885105680</v>
      </c>
      <c r="I27" s="29">
        <v>-104774385</v>
      </c>
      <c r="J27" s="29">
        <v>4780331295</v>
      </c>
    </row>
    <row r="28" spans="1:10" x14ac:dyDescent="0.4">
      <c r="A28" s="29" t="s">
        <v>305</v>
      </c>
      <c r="B28" s="29" t="s">
        <v>333</v>
      </c>
      <c r="C28" s="29">
        <v>9210264</v>
      </c>
      <c r="D28" s="29">
        <v>161</v>
      </c>
      <c r="H28" s="29">
        <v>1482852504</v>
      </c>
      <c r="I28" s="29">
        <v>0</v>
      </c>
      <c r="J28" s="29">
        <v>1482852504</v>
      </c>
    </row>
    <row r="29" spans="1:10" x14ac:dyDescent="0.4">
      <c r="A29" s="29" t="s">
        <v>161</v>
      </c>
      <c r="B29" s="29" t="s">
        <v>321</v>
      </c>
      <c r="C29" s="29">
        <v>16851248</v>
      </c>
      <c r="D29" s="29">
        <v>120</v>
      </c>
      <c r="H29" s="29">
        <v>2022149760</v>
      </c>
      <c r="I29" s="29">
        <v>0</v>
      </c>
      <c r="J29" s="29">
        <v>2022149760</v>
      </c>
    </row>
    <row r="30" spans="1:10" x14ac:dyDescent="0.4">
      <c r="A30" s="29" t="s">
        <v>335</v>
      </c>
      <c r="B30" s="29" t="s">
        <v>336</v>
      </c>
      <c r="C30" s="29">
        <v>2875000</v>
      </c>
      <c r="D30" s="29">
        <v>116</v>
      </c>
      <c r="H30" s="29">
        <v>333500000</v>
      </c>
      <c r="I30" s="29">
        <v>0</v>
      </c>
      <c r="J30" s="29">
        <v>333500000</v>
      </c>
    </row>
    <row r="31" spans="1:10" x14ac:dyDescent="0.4">
      <c r="A31" s="29" t="s">
        <v>337</v>
      </c>
      <c r="B31" s="29" t="s">
        <v>324</v>
      </c>
      <c r="C31" s="29">
        <v>6000000</v>
      </c>
      <c r="D31" s="29">
        <v>110</v>
      </c>
      <c r="H31" s="29">
        <v>660000000</v>
      </c>
      <c r="I31" s="29">
        <v>0</v>
      </c>
      <c r="J31" s="29">
        <v>660000000</v>
      </c>
    </row>
    <row r="32" spans="1:10" x14ac:dyDescent="0.4">
      <c r="A32" s="29" t="s">
        <v>74</v>
      </c>
      <c r="B32" s="29" t="s">
        <v>338</v>
      </c>
      <c r="C32" s="29">
        <v>9863245</v>
      </c>
      <c r="D32" s="29">
        <v>240</v>
      </c>
      <c r="H32" s="29">
        <v>2367178800</v>
      </c>
      <c r="I32" s="29">
        <v>0</v>
      </c>
      <c r="J32" s="29">
        <v>2367178800</v>
      </c>
    </row>
    <row r="33" spans="1:10" x14ac:dyDescent="0.4">
      <c r="A33" s="29" t="s">
        <v>309</v>
      </c>
      <c r="B33" s="29" t="s">
        <v>339</v>
      </c>
      <c r="C33" s="29">
        <v>3665469</v>
      </c>
      <c r="D33" s="29">
        <v>615</v>
      </c>
      <c r="H33" s="29">
        <v>2254263435</v>
      </c>
      <c r="I33" s="29">
        <v>0</v>
      </c>
      <c r="J33" s="29">
        <v>2254263435</v>
      </c>
    </row>
    <row r="34" spans="1:10" x14ac:dyDescent="0.4">
      <c r="A34" s="29" t="s">
        <v>229</v>
      </c>
      <c r="B34" s="29" t="s">
        <v>338</v>
      </c>
      <c r="C34" s="29">
        <v>29417878</v>
      </c>
      <c r="D34" s="29">
        <v>390</v>
      </c>
      <c r="H34" s="29">
        <v>11472972420</v>
      </c>
      <c r="I34" s="29">
        <v>0</v>
      </c>
      <c r="J34" s="29">
        <v>11472972420</v>
      </c>
    </row>
    <row r="35" spans="1:10" x14ac:dyDescent="0.4">
      <c r="A35" s="29" t="s">
        <v>180</v>
      </c>
      <c r="B35" s="29" t="s">
        <v>340</v>
      </c>
      <c r="C35" s="29">
        <v>5838695</v>
      </c>
      <c r="D35" s="29">
        <v>850</v>
      </c>
      <c r="H35" s="29">
        <v>4962890750</v>
      </c>
      <c r="I35" s="29">
        <v>0</v>
      </c>
      <c r="J35" s="29">
        <v>4962890750</v>
      </c>
    </row>
    <row r="36" spans="1:10" x14ac:dyDescent="0.4">
      <c r="A36" s="29" t="s">
        <v>218</v>
      </c>
      <c r="B36" s="29" t="s">
        <v>341</v>
      </c>
      <c r="C36" s="29">
        <v>5516183</v>
      </c>
      <c r="D36" s="29">
        <v>270</v>
      </c>
      <c r="H36" s="29">
        <v>1489369410</v>
      </c>
      <c r="I36" s="29">
        <v>0</v>
      </c>
      <c r="J36" s="29">
        <v>1489369410</v>
      </c>
    </row>
    <row r="37" spans="1:10" x14ac:dyDescent="0.4">
      <c r="A37" s="29" t="s">
        <v>124</v>
      </c>
      <c r="B37" s="29" t="s">
        <v>325</v>
      </c>
      <c r="C37" s="29">
        <v>14328056</v>
      </c>
      <c r="D37" s="29">
        <v>215</v>
      </c>
      <c r="H37" s="29">
        <v>3080532040</v>
      </c>
      <c r="I37" s="29">
        <v>-64048621</v>
      </c>
      <c r="J37" s="29">
        <v>3016483419</v>
      </c>
    </row>
    <row r="38" spans="1:10" x14ac:dyDescent="0.4">
      <c r="A38" s="29" t="s">
        <v>105</v>
      </c>
      <c r="B38" s="29" t="s">
        <v>340</v>
      </c>
      <c r="C38" s="29">
        <v>13400000</v>
      </c>
      <c r="D38" s="29">
        <v>330</v>
      </c>
      <c r="H38" s="29">
        <v>4422000000</v>
      </c>
      <c r="I38" s="29">
        <v>-174552632</v>
      </c>
      <c r="J38" s="29">
        <v>4247447368</v>
      </c>
    </row>
    <row r="39" spans="1:10" x14ac:dyDescent="0.4">
      <c r="A39" s="29" t="s">
        <v>234</v>
      </c>
      <c r="B39" s="29" t="s">
        <v>342</v>
      </c>
      <c r="C39" s="29">
        <v>7357161</v>
      </c>
      <c r="D39" s="29">
        <v>1000</v>
      </c>
      <c r="H39" s="29">
        <v>7357161000</v>
      </c>
      <c r="I39" s="29">
        <v>0</v>
      </c>
      <c r="J39" s="29">
        <v>7357161000</v>
      </c>
    </row>
    <row r="40" spans="1:10" x14ac:dyDescent="0.4">
      <c r="A40" s="29" t="s">
        <v>227</v>
      </c>
      <c r="B40" s="29" t="s">
        <v>343</v>
      </c>
      <c r="C40" s="29">
        <v>285750</v>
      </c>
      <c r="D40" s="29">
        <v>4000</v>
      </c>
      <c r="H40" s="29">
        <v>1143000000</v>
      </c>
      <c r="I40" s="29">
        <v>0</v>
      </c>
      <c r="J40" s="29">
        <v>1143000000</v>
      </c>
    </row>
    <row r="41" spans="1:10" x14ac:dyDescent="0.4">
      <c r="A41" s="29" t="s">
        <v>293</v>
      </c>
      <c r="B41" s="29" t="s">
        <v>339</v>
      </c>
      <c r="C41" s="29">
        <v>11278863</v>
      </c>
      <c r="D41" s="29">
        <v>160</v>
      </c>
      <c r="H41" s="29">
        <v>1804618080</v>
      </c>
      <c r="I41" s="29">
        <v>0</v>
      </c>
      <c r="J41" s="29">
        <v>1804618080</v>
      </c>
    </row>
    <row r="42" spans="1:10" x14ac:dyDescent="0.4">
      <c r="A42" s="29" t="s">
        <v>171</v>
      </c>
      <c r="B42" s="29" t="s">
        <v>344</v>
      </c>
      <c r="C42" s="29">
        <v>1648155</v>
      </c>
      <c r="D42" s="29">
        <v>1000</v>
      </c>
      <c r="H42" s="29">
        <v>1648155000</v>
      </c>
      <c r="I42" s="29">
        <v>0</v>
      </c>
      <c r="J42" s="29">
        <v>1648155000</v>
      </c>
    </row>
    <row r="43" spans="1:10" x14ac:dyDescent="0.4">
      <c r="A43" s="29" t="s">
        <v>303</v>
      </c>
      <c r="B43" s="29" t="s">
        <v>345</v>
      </c>
      <c r="C43" s="29">
        <v>250000</v>
      </c>
      <c r="D43" s="29">
        <v>750</v>
      </c>
      <c r="H43" s="29">
        <v>187500000</v>
      </c>
      <c r="I43" s="29">
        <v>0</v>
      </c>
      <c r="J43" s="29">
        <v>187500000</v>
      </c>
    </row>
    <row r="44" spans="1:10" x14ac:dyDescent="0.4">
      <c r="A44" s="29" t="s">
        <v>154</v>
      </c>
      <c r="B44" s="29" t="s">
        <v>329</v>
      </c>
      <c r="C44" s="29">
        <v>3860139</v>
      </c>
      <c r="D44" s="29">
        <v>240</v>
      </c>
      <c r="H44" s="29">
        <v>926433360</v>
      </c>
      <c r="I44" s="29">
        <v>0</v>
      </c>
      <c r="J44" s="29">
        <v>926433360</v>
      </c>
    </row>
    <row r="45" spans="1:10" x14ac:dyDescent="0.4">
      <c r="A45" s="29" t="s">
        <v>132</v>
      </c>
      <c r="B45" s="29" t="s">
        <v>346</v>
      </c>
      <c r="C45" s="29">
        <v>189400</v>
      </c>
      <c r="D45" s="29">
        <v>16600</v>
      </c>
      <c r="H45" s="29">
        <v>3144040000</v>
      </c>
      <c r="I45" s="29">
        <v>-124106842</v>
      </c>
      <c r="J45" s="29">
        <v>3019933158</v>
      </c>
    </row>
    <row r="46" spans="1:10" x14ac:dyDescent="0.4">
      <c r="A46" s="29" t="s">
        <v>214</v>
      </c>
      <c r="B46" s="29" t="s">
        <v>346</v>
      </c>
      <c r="C46" s="29">
        <v>3535701</v>
      </c>
      <c r="D46" s="29">
        <v>1600</v>
      </c>
      <c r="H46" s="29">
        <v>5657121600</v>
      </c>
      <c r="I46" s="29">
        <v>0</v>
      </c>
      <c r="J46" s="29">
        <v>5657121600</v>
      </c>
    </row>
    <row r="47" spans="1:10" x14ac:dyDescent="0.4">
      <c r="A47" s="29" t="s">
        <v>168</v>
      </c>
      <c r="B47" s="29" t="s">
        <v>332</v>
      </c>
      <c r="C47" s="29">
        <v>6983236</v>
      </c>
      <c r="D47" s="29">
        <v>400</v>
      </c>
      <c r="H47" s="29">
        <v>2793294400</v>
      </c>
      <c r="I47" s="29">
        <v>0</v>
      </c>
      <c r="J47" s="29">
        <v>2793294400</v>
      </c>
    </row>
    <row r="48" spans="1:10" x14ac:dyDescent="0.4">
      <c r="A48" s="29" t="s">
        <v>140</v>
      </c>
      <c r="B48" s="29" t="s">
        <v>347</v>
      </c>
      <c r="C48" s="29">
        <v>8960615</v>
      </c>
      <c r="D48" s="29">
        <v>240</v>
      </c>
      <c r="H48" s="29">
        <v>2150547600</v>
      </c>
      <c r="I48" s="29">
        <v>-7339753</v>
      </c>
      <c r="J48" s="29">
        <v>2143207847</v>
      </c>
    </row>
    <row r="49" spans="1:10" x14ac:dyDescent="0.4">
      <c r="A49" s="29" t="s">
        <v>221</v>
      </c>
      <c r="B49" s="29" t="s">
        <v>348</v>
      </c>
      <c r="C49" s="29">
        <v>13327841</v>
      </c>
      <c r="D49" s="29">
        <v>190</v>
      </c>
      <c r="H49" s="29">
        <v>2532289790</v>
      </c>
      <c r="I49" s="29">
        <v>-91931313</v>
      </c>
      <c r="J49" s="29">
        <v>2440358477</v>
      </c>
    </row>
    <row r="50" spans="1:10" x14ac:dyDescent="0.4">
      <c r="A50" s="29" t="s">
        <v>142</v>
      </c>
      <c r="B50" s="29" t="s">
        <v>349</v>
      </c>
      <c r="C50" s="29">
        <v>18441112</v>
      </c>
      <c r="D50" s="29">
        <v>260</v>
      </c>
      <c r="H50" s="29">
        <v>4794689120</v>
      </c>
      <c r="I50" s="29">
        <v>-115380219</v>
      </c>
      <c r="J50" s="29">
        <v>4679308901</v>
      </c>
    </row>
    <row r="51" spans="1:10" x14ac:dyDescent="0.4">
      <c r="A51" s="29" t="s">
        <v>93</v>
      </c>
      <c r="B51" s="29" t="s">
        <v>349</v>
      </c>
      <c r="C51" s="29">
        <v>1950533</v>
      </c>
      <c r="D51" s="29">
        <v>2600</v>
      </c>
      <c r="H51" s="29">
        <v>5071385800</v>
      </c>
      <c r="I51" s="29">
        <v>-122038696</v>
      </c>
      <c r="J51" s="29">
        <v>4949347104</v>
      </c>
    </row>
    <row r="52" spans="1:10" x14ac:dyDescent="0.4">
      <c r="A52" s="29" t="s">
        <v>225</v>
      </c>
      <c r="B52" s="29" t="s">
        <v>324</v>
      </c>
      <c r="C52" s="29">
        <v>9680504</v>
      </c>
      <c r="D52" s="29">
        <v>800</v>
      </c>
      <c r="H52" s="29">
        <v>7744403200</v>
      </c>
      <c r="I52" s="29">
        <v>-221563099</v>
      </c>
      <c r="J52" s="29">
        <v>7522840101</v>
      </c>
    </row>
    <row r="53" spans="1:10" x14ac:dyDescent="0.4">
      <c r="A53" s="29" t="s">
        <v>244</v>
      </c>
      <c r="B53" s="29" t="s">
        <v>350</v>
      </c>
      <c r="C53" s="29">
        <v>1740025</v>
      </c>
      <c r="D53" s="29">
        <v>3330</v>
      </c>
      <c r="H53" s="29">
        <v>5794283250</v>
      </c>
      <c r="I53" s="29">
        <v>-116663421</v>
      </c>
      <c r="J53" s="29">
        <v>5677619829</v>
      </c>
    </row>
    <row r="54" spans="1:10" x14ac:dyDescent="0.4">
      <c r="A54" s="29" t="s">
        <v>220</v>
      </c>
      <c r="B54" s="29" t="s">
        <v>351</v>
      </c>
      <c r="C54" s="29">
        <v>8999143</v>
      </c>
      <c r="D54" s="29">
        <v>745</v>
      </c>
      <c r="H54" s="29">
        <v>6704361535</v>
      </c>
      <c r="I54" s="29">
        <v>-139393164</v>
      </c>
      <c r="J54" s="29">
        <v>6564968371</v>
      </c>
    </row>
    <row r="55" spans="1:10" x14ac:dyDescent="0.4">
      <c r="A55" s="29" t="s">
        <v>108</v>
      </c>
      <c r="B55" s="29" t="s">
        <v>324</v>
      </c>
      <c r="C55" s="29">
        <v>4929408</v>
      </c>
      <c r="D55" s="29">
        <v>930</v>
      </c>
      <c r="H55" s="29">
        <v>4584349440</v>
      </c>
      <c r="I55" s="29">
        <v>-180961162</v>
      </c>
      <c r="J55" s="29">
        <v>4403388278</v>
      </c>
    </row>
    <row r="56" spans="1:10" x14ac:dyDescent="0.4">
      <c r="A56" s="29" t="s">
        <v>87</v>
      </c>
      <c r="B56" s="29" t="s">
        <v>346</v>
      </c>
      <c r="C56" s="29">
        <v>2650076</v>
      </c>
      <c r="D56" s="29">
        <v>940</v>
      </c>
      <c r="H56" s="29">
        <v>2491071440</v>
      </c>
      <c r="I56" s="29">
        <v>-98331767</v>
      </c>
      <c r="J56" s="29">
        <v>2392739673</v>
      </c>
    </row>
    <row r="57" spans="1:10" x14ac:dyDescent="0.4">
      <c r="A57" s="29" t="s">
        <v>191</v>
      </c>
      <c r="B57" s="29" t="s">
        <v>328</v>
      </c>
      <c r="C57" s="29">
        <v>4749593</v>
      </c>
      <c r="D57" s="29">
        <v>1490</v>
      </c>
      <c r="H57" s="29">
        <v>7076893570</v>
      </c>
      <c r="I57" s="29">
        <v>-142487790</v>
      </c>
      <c r="J57" s="29">
        <v>6934405780</v>
      </c>
    </row>
    <row r="58" spans="1:10" x14ac:dyDescent="0.4">
      <c r="A58" s="29" t="s">
        <v>217</v>
      </c>
      <c r="B58" s="29" t="s">
        <v>324</v>
      </c>
      <c r="C58" s="29">
        <v>3833693</v>
      </c>
      <c r="D58" s="29">
        <v>300</v>
      </c>
      <c r="H58" s="29">
        <v>1150107900</v>
      </c>
      <c r="I58" s="29">
        <v>-9375880</v>
      </c>
      <c r="J58" s="29">
        <v>1140732020</v>
      </c>
    </row>
    <row r="59" spans="1:10" x14ac:dyDescent="0.4">
      <c r="A59" s="29" t="s">
        <v>314</v>
      </c>
      <c r="B59" s="29" t="s">
        <v>333</v>
      </c>
      <c r="C59" s="29">
        <v>16854222</v>
      </c>
      <c r="D59" s="29">
        <v>100</v>
      </c>
      <c r="H59" s="29">
        <v>1685422200</v>
      </c>
      <c r="I59" s="29">
        <v>-64396896</v>
      </c>
      <c r="J59" s="29">
        <v>1621025304</v>
      </c>
    </row>
    <row r="60" spans="1:10" x14ac:dyDescent="0.4">
      <c r="A60" s="29" t="s">
        <v>127</v>
      </c>
      <c r="B60" s="29" t="s">
        <v>321</v>
      </c>
      <c r="C60" s="29">
        <v>8000000</v>
      </c>
      <c r="D60" s="29">
        <v>700</v>
      </c>
      <c r="H60" s="29">
        <v>5600000000</v>
      </c>
      <c r="I60" s="29">
        <v>-221052632</v>
      </c>
      <c r="J60" s="29">
        <v>5378947368</v>
      </c>
    </row>
    <row r="61" spans="1:10" x14ac:dyDescent="0.4">
      <c r="A61" s="29" t="s">
        <v>279</v>
      </c>
      <c r="B61" s="29" t="s">
        <v>64</v>
      </c>
      <c r="C61" s="29">
        <v>1725246</v>
      </c>
      <c r="D61" s="29">
        <v>650</v>
      </c>
      <c r="E61" s="29">
        <v>1121409900</v>
      </c>
      <c r="F61" s="29">
        <v>0</v>
      </c>
      <c r="G61" s="29">
        <v>1121409900</v>
      </c>
      <c r="H61" s="29">
        <v>1121409900</v>
      </c>
      <c r="I61" s="29">
        <v>0</v>
      </c>
      <c r="J61" s="29">
        <v>1121409900</v>
      </c>
    </row>
    <row r="62" spans="1:10" x14ac:dyDescent="0.4">
      <c r="A62" s="29" t="s">
        <v>136</v>
      </c>
      <c r="B62" s="29" t="s">
        <v>332</v>
      </c>
      <c r="C62" s="29">
        <v>30820136</v>
      </c>
      <c r="D62" s="29">
        <v>69</v>
      </c>
      <c r="H62" s="29">
        <v>2126589384</v>
      </c>
      <c r="I62" s="29">
        <v>-73136672</v>
      </c>
      <c r="J62" s="29">
        <v>2053452712</v>
      </c>
    </row>
    <row r="63" spans="1:10" x14ac:dyDescent="0.4">
      <c r="A63" s="29" t="s">
        <v>143</v>
      </c>
      <c r="B63" s="29" t="s">
        <v>328</v>
      </c>
      <c r="C63" s="29">
        <v>20378584</v>
      </c>
      <c r="D63" s="29">
        <v>91</v>
      </c>
      <c r="H63" s="29">
        <v>1854451144</v>
      </c>
      <c r="I63" s="29">
        <v>0</v>
      </c>
      <c r="J63" s="29">
        <v>1854451144</v>
      </c>
    </row>
    <row r="64" spans="1:10" x14ac:dyDescent="0.4">
      <c r="A64" s="29" t="s">
        <v>122</v>
      </c>
      <c r="B64" s="29" t="s">
        <v>321</v>
      </c>
      <c r="C64" s="29">
        <v>10369674</v>
      </c>
      <c r="D64" s="29">
        <v>70</v>
      </c>
      <c r="H64" s="29">
        <v>725877180</v>
      </c>
      <c r="I64" s="29">
        <v>-22638505</v>
      </c>
      <c r="J64" s="29">
        <v>703238675</v>
      </c>
    </row>
    <row r="65" spans="1:10" x14ac:dyDescent="0.4">
      <c r="A65" s="29" t="s">
        <v>281</v>
      </c>
      <c r="B65" s="29" t="s">
        <v>352</v>
      </c>
      <c r="C65" s="29">
        <v>562500</v>
      </c>
      <c r="D65" s="29">
        <v>1550</v>
      </c>
      <c r="H65" s="29">
        <v>871875000</v>
      </c>
      <c r="I65" s="29">
        <v>-28870033</v>
      </c>
      <c r="J65" s="29">
        <v>843004967</v>
      </c>
    </row>
    <row r="66" spans="1:10" x14ac:dyDescent="0.4">
      <c r="A66" s="29" t="s">
        <v>178</v>
      </c>
      <c r="B66" s="29" t="s">
        <v>352</v>
      </c>
      <c r="C66" s="29">
        <v>4773870</v>
      </c>
      <c r="D66" s="29">
        <v>350</v>
      </c>
      <c r="H66" s="29">
        <v>1670854500</v>
      </c>
      <c r="I66" s="29">
        <v>-12494493</v>
      </c>
      <c r="J66" s="29">
        <v>1658360007</v>
      </c>
    </row>
    <row r="67" spans="1:10" x14ac:dyDescent="0.4">
      <c r="A67" s="29" t="s">
        <v>115</v>
      </c>
      <c r="B67" s="29" t="s">
        <v>353</v>
      </c>
      <c r="C67" s="29">
        <v>11440020</v>
      </c>
      <c r="D67" s="29">
        <v>160</v>
      </c>
      <c r="H67" s="29">
        <v>1830403200</v>
      </c>
      <c r="I67" s="29">
        <v>0</v>
      </c>
      <c r="J67" s="29">
        <v>1830403200</v>
      </c>
    </row>
    <row r="68" spans="1:10" x14ac:dyDescent="0.4">
      <c r="A68" s="29" t="s">
        <v>354</v>
      </c>
      <c r="B68" s="29" t="s">
        <v>350</v>
      </c>
      <c r="C68" s="29">
        <v>6400000</v>
      </c>
      <c r="D68" s="29">
        <v>37</v>
      </c>
      <c r="H68" s="29">
        <v>236800000</v>
      </c>
      <c r="I68" s="29">
        <v>-5698396</v>
      </c>
      <c r="J68" s="29">
        <v>231101604</v>
      </c>
    </row>
    <row r="69" spans="1:10" x14ac:dyDescent="0.4">
      <c r="A69" s="29" t="s">
        <v>94</v>
      </c>
      <c r="B69" s="29" t="s">
        <v>332</v>
      </c>
      <c r="C69" s="29">
        <v>3975883</v>
      </c>
      <c r="D69" s="29">
        <v>2650</v>
      </c>
      <c r="H69" s="29">
        <v>10536089950</v>
      </c>
      <c r="I69" s="29">
        <v>0</v>
      </c>
      <c r="J69" s="29">
        <v>10536089950</v>
      </c>
    </row>
    <row r="70" spans="1:10" x14ac:dyDescent="0.4">
      <c r="A70" s="29" t="s">
        <v>292</v>
      </c>
      <c r="B70" s="29" t="s">
        <v>355</v>
      </c>
      <c r="C70" s="29">
        <v>874591</v>
      </c>
      <c r="D70" s="29">
        <v>480</v>
      </c>
      <c r="E70" s="29">
        <v>419803680</v>
      </c>
      <c r="F70" s="29">
        <v>-29661495</v>
      </c>
      <c r="G70" s="29">
        <v>390142185</v>
      </c>
      <c r="H70" s="29">
        <v>419803680</v>
      </c>
      <c r="I70" s="29">
        <v>-29661495</v>
      </c>
      <c r="J70" s="29">
        <v>390142185</v>
      </c>
    </row>
    <row r="71" spans="1:10" x14ac:dyDescent="0.4">
      <c r="A71" s="29" t="s">
        <v>232</v>
      </c>
      <c r="B71" s="29" t="s">
        <v>356</v>
      </c>
      <c r="C71" s="29">
        <v>860136</v>
      </c>
      <c r="D71" s="29">
        <v>1500</v>
      </c>
      <c r="H71" s="29">
        <v>0</v>
      </c>
      <c r="I71" s="29">
        <v>0</v>
      </c>
      <c r="J71" s="29">
        <v>0</v>
      </c>
    </row>
    <row r="72" spans="1:10" x14ac:dyDescent="0.4">
      <c r="A72" s="29" t="s">
        <v>148</v>
      </c>
      <c r="B72" s="29" t="s">
        <v>339</v>
      </c>
      <c r="C72" s="29">
        <v>3534630</v>
      </c>
      <c r="D72" s="29">
        <v>480</v>
      </c>
      <c r="H72" s="29">
        <v>1696622400</v>
      </c>
      <c r="I72" s="29">
        <v>0</v>
      </c>
      <c r="J72" s="29">
        <v>1696622400</v>
      </c>
    </row>
    <row r="73" spans="1:10" x14ac:dyDescent="0.4">
      <c r="A73" s="29" t="s">
        <v>291</v>
      </c>
      <c r="B73" s="29" t="s">
        <v>357</v>
      </c>
      <c r="C73" s="29">
        <v>2874653</v>
      </c>
      <c r="D73" s="29">
        <v>740</v>
      </c>
      <c r="H73" s="29">
        <v>2127248711</v>
      </c>
      <c r="I73" s="29">
        <v>0</v>
      </c>
      <c r="J73" s="29">
        <v>2127248711</v>
      </c>
    </row>
    <row r="74" spans="1:10" x14ac:dyDescent="0.4">
      <c r="A74" s="29" t="s">
        <v>72</v>
      </c>
      <c r="B74" s="29" t="s">
        <v>358</v>
      </c>
      <c r="C74" s="29">
        <v>800000</v>
      </c>
      <c r="D74" s="29">
        <v>4600</v>
      </c>
      <c r="H74" s="29">
        <v>3680000000</v>
      </c>
      <c r="I74" s="29">
        <v>0</v>
      </c>
      <c r="J74" s="29">
        <v>3680000000</v>
      </c>
    </row>
    <row r="75" spans="1:10" x14ac:dyDescent="0.4">
      <c r="A75" s="29" t="s">
        <v>76</v>
      </c>
      <c r="B75" s="29" t="s">
        <v>359</v>
      </c>
      <c r="C75" s="29">
        <v>84882</v>
      </c>
      <c r="D75" s="29">
        <v>28874</v>
      </c>
      <c r="H75" s="29">
        <v>2450882868</v>
      </c>
      <c r="I75" s="29">
        <v>0</v>
      </c>
      <c r="J75" s="29">
        <v>2450882868</v>
      </c>
    </row>
    <row r="76" spans="1:10" x14ac:dyDescent="0.4">
      <c r="A76" s="29" t="s">
        <v>126</v>
      </c>
      <c r="B76" s="29" t="s">
        <v>359</v>
      </c>
      <c r="C76" s="29">
        <v>612681</v>
      </c>
      <c r="D76" s="29">
        <v>7200</v>
      </c>
      <c r="H76" s="29">
        <v>4411303200</v>
      </c>
      <c r="I76" s="29">
        <v>0</v>
      </c>
      <c r="J76" s="29">
        <v>4411303200</v>
      </c>
    </row>
    <row r="77" spans="1:10" x14ac:dyDescent="0.4">
      <c r="A77" s="29" t="s">
        <v>186</v>
      </c>
      <c r="B77" s="29" t="s">
        <v>330</v>
      </c>
      <c r="C77" s="29">
        <v>3983350</v>
      </c>
      <c r="D77" s="29">
        <v>790</v>
      </c>
      <c r="H77" s="29">
        <v>3146846500</v>
      </c>
      <c r="I77" s="29">
        <v>0</v>
      </c>
      <c r="J77" s="29">
        <v>3146846500</v>
      </c>
    </row>
    <row r="78" spans="1:10" x14ac:dyDescent="0.4">
      <c r="A78" s="29" t="s">
        <v>91</v>
      </c>
      <c r="B78" s="29" t="s">
        <v>360</v>
      </c>
      <c r="C78" s="29">
        <v>2830564</v>
      </c>
      <c r="D78" s="29">
        <v>1530</v>
      </c>
      <c r="H78" s="29">
        <v>4330762920</v>
      </c>
      <c r="I78" s="29">
        <v>-143402746</v>
      </c>
      <c r="J78" s="29">
        <v>4187360174</v>
      </c>
    </row>
    <row r="79" spans="1:10" x14ac:dyDescent="0.4">
      <c r="A79" s="29" t="s">
        <v>109</v>
      </c>
      <c r="B79" s="29" t="s">
        <v>361</v>
      </c>
      <c r="C79" s="29">
        <v>2001235</v>
      </c>
      <c r="D79" s="29">
        <v>1520</v>
      </c>
      <c r="H79" s="29">
        <v>3041877200</v>
      </c>
      <c r="I79" s="29">
        <v>0</v>
      </c>
      <c r="J79" s="29">
        <v>3041877200</v>
      </c>
    </row>
    <row r="80" spans="1:10" x14ac:dyDescent="0.4">
      <c r="A80" s="29" t="s">
        <v>179</v>
      </c>
      <c r="B80" s="29" t="s">
        <v>362</v>
      </c>
      <c r="C80" s="29">
        <v>5476907</v>
      </c>
      <c r="D80" s="29">
        <v>695</v>
      </c>
      <c r="H80" s="29">
        <v>3806450365</v>
      </c>
      <c r="I80" s="29">
        <v>0</v>
      </c>
      <c r="J80" s="29">
        <v>3806450365</v>
      </c>
    </row>
    <row r="81" spans="1:10" x14ac:dyDescent="0.4">
      <c r="A81" s="29" t="s">
        <v>81</v>
      </c>
      <c r="B81" s="29" t="s">
        <v>363</v>
      </c>
      <c r="C81" s="29">
        <v>2800000</v>
      </c>
      <c r="D81" s="29">
        <v>1300</v>
      </c>
      <c r="H81" s="29">
        <v>3640000000</v>
      </c>
      <c r="I81" s="29">
        <v>-14897681</v>
      </c>
      <c r="J81" s="29">
        <v>3625102319</v>
      </c>
    </row>
    <row r="82" spans="1:10" x14ac:dyDescent="0.4">
      <c r="A82" s="29" t="s">
        <v>277</v>
      </c>
      <c r="B82" s="29" t="s">
        <v>364</v>
      </c>
      <c r="C82" s="29">
        <v>1027781</v>
      </c>
      <c r="D82" s="29">
        <v>4745</v>
      </c>
      <c r="H82" s="29">
        <v>4876820845</v>
      </c>
      <c r="I82" s="29">
        <v>0</v>
      </c>
      <c r="J82" s="29">
        <v>4876820845</v>
      </c>
    </row>
    <row r="83" spans="1:10" x14ac:dyDescent="0.4">
      <c r="A83" s="29" t="s">
        <v>289</v>
      </c>
      <c r="B83" s="29" t="s">
        <v>365</v>
      </c>
      <c r="C83" s="29">
        <v>104452</v>
      </c>
      <c r="D83" s="29">
        <v>27400</v>
      </c>
      <c r="H83" s="29">
        <v>2861984800</v>
      </c>
      <c r="I83" s="29">
        <v>0</v>
      </c>
      <c r="J83" s="29">
        <v>2861984800</v>
      </c>
    </row>
    <row r="84" spans="1:10" x14ac:dyDescent="0.4">
      <c r="A84" s="29" t="s">
        <v>135</v>
      </c>
      <c r="B84" s="29" t="s">
        <v>366</v>
      </c>
      <c r="C84" s="29">
        <v>144247</v>
      </c>
      <c r="D84" s="29">
        <v>991</v>
      </c>
      <c r="H84" s="29">
        <v>142948777</v>
      </c>
      <c r="I84" s="29">
        <v>0</v>
      </c>
      <c r="J84" s="29">
        <v>142948777</v>
      </c>
    </row>
    <row r="85" spans="1:10" x14ac:dyDescent="0.4">
      <c r="A85" s="29" t="s">
        <v>258</v>
      </c>
      <c r="B85" s="29" t="s">
        <v>367</v>
      </c>
      <c r="C85" s="29">
        <v>336344</v>
      </c>
      <c r="D85" s="29">
        <v>7435</v>
      </c>
      <c r="H85" s="29">
        <v>2500717640</v>
      </c>
      <c r="I85" s="29">
        <v>0</v>
      </c>
      <c r="J85" s="29">
        <v>2500717640</v>
      </c>
    </row>
    <row r="86" spans="1:10" x14ac:dyDescent="0.4">
      <c r="A86" s="29" t="s">
        <v>242</v>
      </c>
      <c r="B86" s="29" t="s">
        <v>331</v>
      </c>
      <c r="C86" s="29">
        <v>2024791</v>
      </c>
      <c r="D86" s="29">
        <v>3520</v>
      </c>
      <c r="H86" s="29">
        <v>7127264320</v>
      </c>
      <c r="I86" s="29">
        <v>0</v>
      </c>
      <c r="J86" s="29">
        <v>7127264320</v>
      </c>
    </row>
    <row r="87" spans="1:10" x14ac:dyDescent="0.4">
      <c r="A87" s="29" t="s">
        <v>118</v>
      </c>
      <c r="B87" s="29" t="s">
        <v>368</v>
      </c>
      <c r="C87" s="29">
        <v>1504289</v>
      </c>
      <c r="D87" s="29">
        <v>2600</v>
      </c>
      <c r="H87" s="29">
        <v>3911151400</v>
      </c>
      <c r="I87" s="29">
        <v>0</v>
      </c>
      <c r="J87" s="29">
        <v>3911151400</v>
      </c>
    </row>
    <row r="88" spans="1:10" x14ac:dyDescent="0.4">
      <c r="A88" s="29" t="s">
        <v>284</v>
      </c>
      <c r="B88" s="29" t="s">
        <v>369</v>
      </c>
      <c r="C88" s="29">
        <v>21110</v>
      </c>
      <c r="D88" s="29">
        <v>22700</v>
      </c>
      <c r="H88" s="29">
        <v>479197000</v>
      </c>
      <c r="I88" s="29">
        <v>0</v>
      </c>
      <c r="J88" s="29">
        <v>479197000</v>
      </c>
    </row>
    <row r="89" spans="1:10" x14ac:dyDescent="0.4">
      <c r="A89" s="29" t="s">
        <v>263</v>
      </c>
      <c r="B89" s="29" t="s">
        <v>323</v>
      </c>
      <c r="C89" s="29">
        <v>6761644</v>
      </c>
      <c r="D89" s="29">
        <v>42</v>
      </c>
      <c r="H89" s="29">
        <v>283989048</v>
      </c>
      <c r="I89" s="29">
        <v>-969246</v>
      </c>
      <c r="J89" s="29">
        <v>283019802</v>
      </c>
    </row>
    <row r="90" spans="1:10" x14ac:dyDescent="0.4">
      <c r="A90" s="29" t="s">
        <v>235</v>
      </c>
      <c r="B90" s="29" t="s">
        <v>369</v>
      </c>
      <c r="C90" s="29">
        <v>520570</v>
      </c>
      <c r="D90" s="29">
        <v>5700</v>
      </c>
      <c r="H90" s="29">
        <v>2967249000</v>
      </c>
      <c r="I90" s="29">
        <v>0</v>
      </c>
      <c r="J90" s="29">
        <v>2967249000</v>
      </c>
    </row>
    <row r="91" spans="1:10" x14ac:dyDescent="0.4">
      <c r="A91" s="29" t="s">
        <v>193</v>
      </c>
      <c r="B91" s="29" t="s">
        <v>328</v>
      </c>
      <c r="C91" s="29">
        <v>1155746</v>
      </c>
      <c r="D91" s="29">
        <v>1500</v>
      </c>
      <c r="H91" s="29">
        <v>1733619000</v>
      </c>
      <c r="I91" s="29">
        <v>0</v>
      </c>
      <c r="J91" s="29">
        <v>1733619000</v>
      </c>
    </row>
    <row r="92" spans="1:10" x14ac:dyDescent="0.4">
      <c r="A92" s="29" t="s">
        <v>285</v>
      </c>
      <c r="B92" s="29" t="s">
        <v>324</v>
      </c>
      <c r="C92" s="29">
        <v>5463965</v>
      </c>
      <c r="D92" s="29">
        <v>1200</v>
      </c>
      <c r="H92" s="29">
        <v>6556758000</v>
      </c>
      <c r="I92" s="29">
        <v>0</v>
      </c>
      <c r="J92" s="29">
        <v>6556758000</v>
      </c>
    </row>
    <row r="93" spans="1:10" x14ac:dyDescent="0.4">
      <c r="A93" s="29" t="s">
        <v>181</v>
      </c>
      <c r="B93" s="29" t="s">
        <v>326</v>
      </c>
      <c r="C93" s="29">
        <v>1467107</v>
      </c>
      <c r="D93" s="29">
        <v>4040</v>
      </c>
      <c r="H93" s="29">
        <v>5927112280</v>
      </c>
      <c r="I93" s="29">
        <v>-60275718</v>
      </c>
      <c r="J93" s="29">
        <v>5866836562</v>
      </c>
    </row>
    <row r="94" spans="1:10" x14ac:dyDescent="0.4">
      <c r="A94" s="29" t="s">
        <v>146</v>
      </c>
      <c r="B94" s="29" t="s">
        <v>64</v>
      </c>
      <c r="C94" s="29">
        <v>1855696</v>
      </c>
      <c r="D94" s="29">
        <v>2520</v>
      </c>
      <c r="E94" s="29">
        <v>4676353920</v>
      </c>
      <c r="F94" s="29">
        <v>-265839241</v>
      </c>
      <c r="G94" s="29">
        <v>4410514679</v>
      </c>
      <c r="H94" s="29">
        <v>4676353920</v>
      </c>
      <c r="I94" s="29">
        <v>-265839241</v>
      </c>
      <c r="J94" s="29">
        <v>4410514679</v>
      </c>
    </row>
    <row r="95" spans="1:10" x14ac:dyDescent="0.4">
      <c r="A95" s="29" t="s">
        <v>145</v>
      </c>
      <c r="B95" s="29" t="s">
        <v>329</v>
      </c>
      <c r="C95" s="29">
        <v>200000</v>
      </c>
      <c r="D95" s="29">
        <v>350</v>
      </c>
      <c r="H95" s="29">
        <v>70000000</v>
      </c>
      <c r="I95" s="29">
        <v>0</v>
      </c>
      <c r="J95" s="29">
        <v>70000000</v>
      </c>
    </row>
    <row r="96" spans="1:10" x14ac:dyDescent="0.4">
      <c r="A96" s="29" t="s">
        <v>157</v>
      </c>
      <c r="B96" s="29" t="s">
        <v>324</v>
      </c>
      <c r="C96" s="29">
        <v>724988</v>
      </c>
      <c r="D96" s="29">
        <v>64</v>
      </c>
      <c r="H96" s="29">
        <v>46399232</v>
      </c>
      <c r="I96" s="29">
        <v>0</v>
      </c>
      <c r="J96" s="29">
        <v>46399232</v>
      </c>
    </row>
    <row r="97" spans="1:10" x14ac:dyDescent="0.4">
      <c r="A97" s="29" t="s">
        <v>92</v>
      </c>
      <c r="B97" s="29" t="s">
        <v>321</v>
      </c>
      <c r="C97" s="29">
        <v>15672652</v>
      </c>
      <c r="D97" s="29">
        <v>526</v>
      </c>
      <c r="H97" s="29">
        <v>8243814952</v>
      </c>
      <c r="I97" s="29">
        <v>-83835406</v>
      </c>
      <c r="J97" s="29">
        <v>8159979546</v>
      </c>
    </row>
    <row r="98" spans="1:10" x14ac:dyDescent="0.4">
      <c r="A98" s="29" t="s">
        <v>150</v>
      </c>
      <c r="B98" s="29" t="s">
        <v>324</v>
      </c>
      <c r="C98" s="29">
        <v>12900000</v>
      </c>
      <c r="D98" s="29">
        <v>800</v>
      </c>
      <c r="H98" s="29">
        <v>10320000000</v>
      </c>
      <c r="I98" s="29">
        <v>-407368421</v>
      </c>
      <c r="J98" s="29">
        <v>9912631579</v>
      </c>
    </row>
    <row r="99" spans="1:10" x14ac:dyDescent="0.4">
      <c r="A99" s="29" t="s">
        <v>254</v>
      </c>
      <c r="B99" s="29" t="s">
        <v>321</v>
      </c>
      <c r="C99" s="29">
        <v>1875000</v>
      </c>
      <c r="D99" s="29">
        <v>480</v>
      </c>
      <c r="H99" s="29">
        <v>900000000</v>
      </c>
      <c r="I99" s="29">
        <v>-35526316</v>
      </c>
      <c r="J99" s="29">
        <v>864473684</v>
      </c>
    </row>
    <row r="100" spans="1:10" x14ac:dyDescent="0.4">
      <c r="A100" s="29" t="s">
        <v>264</v>
      </c>
      <c r="B100" s="29" t="s">
        <v>370</v>
      </c>
      <c r="C100" s="29">
        <v>23792</v>
      </c>
      <c r="D100" s="29">
        <v>11500</v>
      </c>
      <c r="H100" s="29">
        <v>273608000</v>
      </c>
      <c r="I100" s="29">
        <v>-5508886</v>
      </c>
      <c r="J100" s="29">
        <v>268099114</v>
      </c>
    </row>
    <row r="101" spans="1:10" x14ac:dyDescent="0.4">
      <c r="A101" s="29" t="s">
        <v>98</v>
      </c>
      <c r="B101" s="29" t="s">
        <v>324</v>
      </c>
      <c r="C101" s="29">
        <v>2843421</v>
      </c>
      <c r="D101" s="29">
        <v>1840</v>
      </c>
      <c r="H101" s="29">
        <v>5231894640</v>
      </c>
      <c r="I101" s="29">
        <v>0</v>
      </c>
      <c r="J101" s="29">
        <v>5231894640</v>
      </c>
    </row>
    <row r="102" spans="1:10" x14ac:dyDescent="0.4">
      <c r="A102" s="29" t="s">
        <v>243</v>
      </c>
      <c r="B102" s="29" t="s">
        <v>358</v>
      </c>
      <c r="C102" s="29">
        <v>3733986</v>
      </c>
      <c r="D102" s="29">
        <v>1600</v>
      </c>
      <c r="H102" s="29">
        <v>5974377600</v>
      </c>
      <c r="I102" s="29">
        <v>0</v>
      </c>
      <c r="J102" s="29">
        <v>5974377600</v>
      </c>
    </row>
    <row r="103" spans="1:10" x14ac:dyDescent="0.4">
      <c r="A103" s="29" t="s">
        <v>231</v>
      </c>
      <c r="B103" s="29" t="s">
        <v>358</v>
      </c>
      <c r="C103" s="29">
        <v>19183396</v>
      </c>
      <c r="D103" s="29">
        <v>264</v>
      </c>
      <c r="H103" s="29">
        <v>5064416544</v>
      </c>
      <c r="I103" s="29">
        <v>0</v>
      </c>
      <c r="J103" s="29">
        <v>5064416544</v>
      </c>
    </row>
    <row r="104" spans="1:10" x14ac:dyDescent="0.4">
      <c r="A104" s="29" t="s">
        <v>103</v>
      </c>
      <c r="B104" s="29" t="s">
        <v>323</v>
      </c>
      <c r="C104" s="29">
        <v>6453452</v>
      </c>
      <c r="D104" s="29">
        <v>580</v>
      </c>
      <c r="H104" s="29">
        <v>3743002160</v>
      </c>
      <c r="I104" s="29">
        <v>-147750085</v>
      </c>
      <c r="J104" s="29">
        <v>3595252075</v>
      </c>
    </row>
    <row r="105" spans="1:10" x14ac:dyDescent="0.4">
      <c r="A105" s="29" t="s">
        <v>121</v>
      </c>
      <c r="B105" s="29" t="s">
        <v>362</v>
      </c>
      <c r="C105" s="29">
        <v>6157463</v>
      </c>
      <c r="D105" s="29">
        <v>450</v>
      </c>
      <c r="H105" s="29">
        <v>2770858350</v>
      </c>
      <c r="I105" s="29">
        <v>0</v>
      </c>
      <c r="J105" s="29">
        <v>2770858350</v>
      </c>
    </row>
    <row r="106" spans="1:10" x14ac:dyDescent="0.4">
      <c r="A106" s="29" t="s">
        <v>201</v>
      </c>
      <c r="B106" s="29" t="s">
        <v>321</v>
      </c>
      <c r="C106" s="29">
        <v>25239055</v>
      </c>
      <c r="D106" s="29">
        <v>250</v>
      </c>
      <c r="H106" s="29">
        <v>6309763750</v>
      </c>
      <c r="I106" s="29">
        <v>-208932575</v>
      </c>
      <c r="J106" s="29">
        <v>6100831175</v>
      </c>
    </row>
    <row r="107" spans="1:10" x14ac:dyDescent="0.4">
      <c r="A107" s="29" t="s">
        <v>152</v>
      </c>
      <c r="B107" s="29" t="s">
        <v>340</v>
      </c>
      <c r="C107" s="29">
        <v>8329531</v>
      </c>
      <c r="D107" s="29">
        <v>400</v>
      </c>
      <c r="H107" s="29">
        <v>2597904400</v>
      </c>
      <c r="I107" s="29">
        <v>-131518910</v>
      </c>
      <c r="J107" s="29">
        <v>2466385490</v>
      </c>
    </row>
    <row r="108" spans="1:10" x14ac:dyDescent="0.4">
      <c r="A108" s="29" t="s">
        <v>177</v>
      </c>
      <c r="B108" s="29" t="s">
        <v>371</v>
      </c>
      <c r="C108" s="29">
        <v>5612182</v>
      </c>
      <c r="D108" s="29">
        <v>630</v>
      </c>
      <c r="H108" s="29">
        <v>3535674660</v>
      </c>
      <c r="I108" s="29">
        <v>0</v>
      </c>
      <c r="J108" s="29">
        <v>3535674660</v>
      </c>
    </row>
    <row r="109" spans="1:10" x14ac:dyDescent="0.4">
      <c r="A109" s="29" t="s">
        <v>197</v>
      </c>
      <c r="B109" s="29" t="s">
        <v>321</v>
      </c>
      <c r="C109" s="29">
        <v>9019663</v>
      </c>
      <c r="D109" s="29">
        <v>40</v>
      </c>
      <c r="H109" s="29">
        <v>360786520</v>
      </c>
      <c r="I109" s="29">
        <v>-13556250</v>
      </c>
      <c r="J109" s="29">
        <v>347230270</v>
      </c>
    </row>
    <row r="110" spans="1:10" x14ac:dyDescent="0.4">
      <c r="A110" s="29" t="s">
        <v>119</v>
      </c>
      <c r="B110" s="29" t="s">
        <v>344</v>
      </c>
      <c r="C110" s="29">
        <v>7043843</v>
      </c>
      <c r="D110" s="29">
        <v>310</v>
      </c>
      <c r="H110" s="29">
        <v>2183591330</v>
      </c>
      <c r="I110" s="29">
        <v>-2987129</v>
      </c>
      <c r="J110" s="29">
        <v>2180604201</v>
      </c>
    </row>
    <row r="111" spans="1:10" x14ac:dyDescent="0.4">
      <c r="A111" s="29" t="s">
        <v>310</v>
      </c>
      <c r="B111" s="29" t="s">
        <v>368</v>
      </c>
      <c r="C111" s="29">
        <v>3904663</v>
      </c>
      <c r="D111" s="29">
        <v>630</v>
      </c>
      <c r="H111" s="29">
        <v>2459937690</v>
      </c>
      <c r="I111" s="29">
        <v>-25016315</v>
      </c>
      <c r="J111" s="29">
        <v>2434921375</v>
      </c>
    </row>
    <row r="112" spans="1:10" x14ac:dyDescent="0.4">
      <c r="A112" s="29" t="s">
        <v>372</v>
      </c>
      <c r="B112" s="29" t="s">
        <v>321</v>
      </c>
      <c r="C112" s="29">
        <v>1200163</v>
      </c>
      <c r="D112" s="29">
        <v>1700</v>
      </c>
      <c r="H112" s="29">
        <v>2040277100</v>
      </c>
      <c r="I112" s="29">
        <v>-62319221</v>
      </c>
      <c r="J112" s="29">
        <v>1977957879</v>
      </c>
    </row>
    <row r="113" spans="1:10" x14ac:dyDescent="0.4">
      <c r="A113" s="29" t="s">
        <v>202</v>
      </c>
      <c r="B113" s="29" t="s">
        <v>321</v>
      </c>
      <c r="C113" s="29">
        <v>5738492</v>
      </c>
      <c r="D113" s="29">
        <v>930</v>
      </c>
      <c r="H113" s="29">
        <v>5336797560</v>
      </c>
      <c r="I113" s="29">
        <v>-193745126</v>
      </c>
      <c r="J113" s="29">
        <v>5143052434</v>
      </c>
    </row>
    <row r="114" spans="1:10" x14ac:dyDescent="0.4">
      <c r="A114" s="29" t="s">
        <v>164</v>
      </c>
      <c r="B114" s="29" t="s">
        <v>349</v>
      </c>
      <c r="C114" s="29">
        <v>204021</v>
      </c>
      <c r="D114" s="29">
        <v>3650</v>
      </c>
      <c r="H114" s="29">
        <v>744676650</v>
      </c>
      <c r="I114" s="29">
        <v>0</v>
      </c>
      <c r="J114" s="29">
        <v>744676650</v>
      </c>
    </row>
    <row r="115" spans="1:10" x14ac:dyDescent="0.4">
      <c r="A115" s="29" t="s">
        <v>85</v>
      </c>
      <c r="B115" s="29" t="s">
        <v>321</v>
      </c>
      <c r="C115" s="29">
        <v>4967900</v>
      </c>
      <c r="D115" s="29">
        <v>485</v>
      </c>
      <c r="H115" s="29">
        <v>2409431500</v>
      </c>
      <c r="I115" s="29">
        <v>0</v>
      </c>
      <c r="J115" s="29">
        <v>2409431500</v>
      </c>
    </row>
    <row r="116" spans="1:10" x14ac:dyDescent="0.4">
      <c r="A116" s="29" t="s">
        <v>79</v>
      </c>
      <c r="B116" s="29" t="s">
        <v>373</v>
      </c>
      <c r="C116" s="29">
        <v>25021276</v>
      </c>
      <c r="D116" s="29">
        <v>57</v>
      </c>
      <c r="H116" s="29">
        <v>1426212732</v>
      </c>
      <c r="I116" s="29">
        <v>-46311745</v>
      </c>
      <c r="J116" s="29">
        <v>1379900987</v>
      </c>
    </row>
    <row r="117" spans="1:10" x14ac:dyDescent="0.4">
      <c r="A117" s="29" t="s">
        <v>172</v>
      </c>
      <c r="B117" s="29" t="s">
        <v>321</v>
      </c>
      <c r="C117" s="29">
        <v>9515801</v>
      </c>
      <c r="D117" s="29">
        <v>540</v>
      </c>
      <c r="H117" s="29">
        <v>5138532540</v>
      </c>
      <c r="I117" s="29">
        <v>0</v>
      </c>
      <c r="J117" s="29">
        <v>5138532540</v>
      </c>
    </row>
    <row r="118" spans="1:10" x14ac:dyDescent="0.4">
      <c r="A118" s="29" t="s">
        <v>134</v>
      </c>
      <c r="B118" s="29" t="s">
        <v>374</v>
      </c>
      <c r="C118" s="29">
        <v>1440400</v>
      </c>
      <c r="D118" s="29">
        <v>1290</v>
      </c>
      <c r="H118" s="29">
        <v>1858116000</v>
      </c>
      <c r="I118" s="29">
        <v>-15147685</v>
      </c>
      <c r="J118" s="29">
        <v>1842968315</v>
      </c>
    </row>
    <row r="119" spans="1:10" x14ac:dyDescent="0.4">
      <c r="A119" s="29" t="s">
        <v>315</v>
      </c>
      <c r="B119" s="29" t="s">
        <v>331</v>
      </c>
      <c r="C119" s="29">
        <v>8858150</v>
      </c>
      <c r="D119" s="29">
        <v>82</v>
      </c>
      <c r="H119" s="29">
        <v>726368300</v>
      </c>
      <c r="I119" s="29">
        <v>0</v>
      </c>
      <c r="J119" s="29">
        <v>726368300</v>
      </c>
    </row>
    <row r="120" spans="1:10" x14ac:dyDescent="0.4">
      <c r="A120" s="29" t="s">
        <v>211</v>
      </c>
      <c r="B120" s="29" t="s">
        <v>368</v>
      </c>
      <c r="C120" s="29">
        <v>13000000</v>
      </c>
      <c r="D120" s="29">
        <v>650</v>
      </c>
      <c r="H120" s="29">
        <v>8450000000</v>
      </c>
      <c r="I120" s="29">
        <v>-147846568</v>
      </c>
      <c r="J120" s="29">
        <v>8302153432</v>
      </c>
    </row>
    <row r="121" spans="1:10" x14ac:dyDescent="0.4">
      <c r="A121" s="29" t="s">
        <v>156</v>
      </c>
      <c r="B121" s="29" t="s">
        <v>360</v>
      </c>
      <c r="C121" s="29">
        <v>5729478</v>
      </c>
      <c r="D121" s="29">
        <v>55</v>
      </c>
      <c r="H121" s="29">
        <v>315121290</v>
      </c>
      <c r="I121" s="29">
        <v>0</v>
      </c>
      <c r="J121" s="29">
        <v>315121290</v>
      </c>
    </row>
    <row r="122" spans="1:10" x14ac:dyDescent="0.4">
      <c r="A122" s="29" t="s">
        <v>175</v>
      </c>
      <c r="B122" s="29" t="s">
        <v>344</v>
      </c>
      <c r="C122" s="29">
        <v>23989450</v>
      </c>
      <c r="D122" s="29">
        <v>110</v>
      </c>
      <c r="H122" s="29">
        <v>2638839500</v>
      </c>
      <c r="I122" s="29">
        <v>0</v>
      </c>
      <c r="J122" s="29">
        <v>2638839500</v>
      </c>
    </row>
    <row r="123" spans="1:10" x14ac:dyDescent="0.4">
      <c r="A123" s="29" t="s">
        <v>137</v>
      </c>
      <c r="B123" s="29" t="s">
        <v>321</v>
      </c>
      <c r="C123" s="29">
        <v>14809541</v>
      </c>
      <c r="D123" s="29">
        <v>120</v>
      </c>
      <c r="H123" s="29">
        <v>1777144920</v>
      </c>
      <c r="I123" s="29">
        <v>0</v>
      </c>
      <c r="J123" s="29">
        <v>1777144920</v>
      </c>
    </row>
    <row r="124" spans="1:10" x14ac:dyDescent="0.4">
      <c r="A124" s="29" t="s">
        <v>173</v>
      </c>
      <c r="B124" s="29" t="s">
        <v>368</v>
      </c>
      <c r="C124" s="29">
        <v>2447708</v>
      </c>
      <c r="D124" s="29">
        <v>1200</v>
      </c>
      <c r="H124" s="29">
        <v>2937249600</v>
      </c>
      <c r="I124" s="29">
        <v>0</v>
      </c>
      <c r="J124" s="29">
        <v>2937249600</v>
      </c>
    </row>
    <row r="125" spans="1:10" x14ac:dyDescent="0.4">
      <c r="A125" s="29" t="s">
        <v>190</v>
      </c>
      <c r="B125" s="29" t="s">
        <v>326</v>
      </c>
      <c r="C125" s="29">
        <v>4374516</v>
      </c>
      <c r="D125" s="29">
        <v>640</v>
      </c>
      <c r="H125" s="29">
        <v>2799690240</v>
      </c>
      <c r="I125" s="29">
        <v>0</v>
      </c>
      <c r="J125" s="29">
        <v>2799690240</v>
      </c>
    </row>
    <row r="126" spans="1:10" x14ac:dyDescent="0.4">
      <c r="A126" s="29" t="s">
        <v>141</v>
      </c>
      <c r="B126" s="29" t="s">
        <v>375</v>
      </c>
      <c r="C126" s="29">
        <v>7777144</v>
      </c>
      <c r="D126" s="29">
        <v>230</v>
      </c>
      <c r="E126" s="29">
        <v>1788743120</v>
      </c>
      <c r="F126" s="29">
        <v>-78484472</v>
      </c>
      <c r="G126" s="29">
        <v>1710258648</v>
      </c>
      <c r="H126" s="29">
        <v>1788743120</v>
      </c>
      <c r="I126" s="29">
        <v>-78484472</v>
      </c>
      <c r="J126" s="29">
        <v>1710258648</v>
      </c>
    </row>
    <row r="127" spans="1:10" x14ac:dyDescent="0.4">
      <c r="A127" s="29" t="s">
        <v>184</v>
      </c>
      <c r="B127" s="29" t="s">
        <v>328</v>
      </c>
      <c r="C127" s="29">
        <v>10684873</v>
      </c>
      <c r="D127" s="29">
        <v>260</v>
      </c>
      <c r="H127" s="29">
        <v>2778066980</v>
      </c>
      <c r="I127" s="29">
        <v>-55934234</v>
      </c>
      <c r="J127" s="29">
        <v>2722132746</v>
      </c>
    </row>
    <row r="128" spans="1:10" x14ac:dyDescent="0.4">
      <c r="A128" s="29" t="s">
        <v>101</v>
      </c>
      <c r="B128" s="29" t="s">
        <v>321</v>
      </c>
      <c r="C128" s="29">
        <v>19865640</v>
      </c>
      <c r="D128" s="29">
        <v>350</v>
      </c>
      <c r="H128" s="29">
        <v>6952974000</v>
      </c>
      <c r="I128" s="29">
        <v>-755573487</v>
      </c>
      <c r="J128" s="29">
        <v>6197400513</v>
      </c>
    </row>
    <row r="129" spans="1:10" x14ac:dyDescent="0.4">
      <c r="A129" s="29" t="s">
        <v>120</v>
      </c>
      <c r="B129" s="29" t="s">
        <v>321</v>
      </c>
      <c r="C129" s="29">
        <v>45293355</v>
      </c>
      <c r="D129" s="29">
        <v>161</v>
      </c>
      <c r="H129" s="29">
        <v>7292230155</v>
      </c>
      <c r="I129" s="29">
        <v>-255444943</v>
      </c>
      <c r="J129" s="29">
        <v>7036785212</v>
      </c>
    </row>
    <row r="130" spans="1:10" x14ac:dyDescent="0.4">
      <c r="A130" s="29" t="s">
        <v>209</v>
      </c>
      <c r="B130" s="29" t="s">
        <v>374</v>
      </c>
      <c r="C130" s="29">
        <v>3340260</v>
      </c>
      <c r="D130" s="29">
        <v>450</v>
      </c>
      <c r="H130" s="29">
        <v>1503117000</v>
      </c>
      <c r="I130" s="29">
        <v>-12253671</v>
      </c>
      <c r="J130" s="29">
        <v>1490863329</v>
      </c>
    </row>
    <row r="131" spans="1:10" x14ac:dyDescent="0.4">
      <c r="A131" s="29" t="s">
        <v>130</v>
      </c>
      <c r="B131" s="29" t="s">
        <v>376</v>
      </c>
      <c r="C131" s="29">
        <v>1362852</v>
      </c>
      <c r="D131" s="29">
        <v>2200</v>
      </c>
      <c r="E131" s="29">
        <v>2998274400</v>
      </c>
      <c r="F131" s="29">
        <v>-199373745</v>
      </c>
      <c r="G131" s="29">
        <v>2798900655</v>
      </c>
      <c r="H131" s="29">
        <v>2998274400</v>
      </c>
      <c r="I131" s="29">
        <v>-199373745</v>
      </c>
      <c r="J131" s="29">
        <v>2798900655</v>
      </c>
    </row>
    <row r="132" spans="1:10" x14ac:dyDescent="0.4">
      <c r="A132" s="29" t="s">
        <v>268</v>
      </c>
      <c r="B132" s="29" t="s">
        <v>374</v>
      </c>
      <c r="C132" s="29">
        <v>3484284</v>
      </c>
      <c r="D132" s="29">
        <v>840</v>
      </c>
      <c r="H132" s="29">
        <v>2926798560</v>
      </c>
      <c r="I132" s="29">
        <v>-13965637</v>
      </c>
      <c r="J132" s="29">
        <v>2912832923</v>
      </c>
    </row>
    <row r="133" spans="1:10" x14ac:dyDescent="0.4">
      <c r="A133" s="29" t="s">
        <v>272</v>
      </c>
      <c r="B133" s="29" t="s">
        <v>330</v>
      </c>
      <c r="C133" s="29">
        <v>881085</v>
      </c>
      <c r="D133" s="29">
        <v>3480</v>
      </c>
      <c r="H133" s="29">
        <v>3066175800</v>
      </c>
      <c r="I133" s="29">
        <v>0</v>
      </c>
      <c r="J133" s="29">
        <v>3066175800</v>
      </c>
    </row>
    <row r="134" spans="1:10" x14ac:dyDescent="0.4">
      <c r="A134" s="29" t="s">
        <v>195</v>
      </c>
      <c r="B134" s="29" t="s">
        <v>358</v>
      </c>
      <c r="C134" s="29">
        <v>5768835</v>
      </c>
      <c r="D134" s="29">
        <v>1565</v>
      </c>
      <c r="H134" s="29">
        <v>9028226775</v>
      </c>
      <c r="I134" s="29">
        <v>-298947906</v>
      </c>
      <c r="J134" s="29">
        <v>8729278869</v>
      </c>
    </row>
    <row r="135" spans="1:10" x14ac:dyDescent="0.4">
      <c r="A135" s="29" t="s">
        <v>82</v>
      </c>
      <c r="B135" s="29" t="s">
        <v>324</v>
      </c>
      <c r="C135" s="29">
        <v>1764830</v>
      </c>
      <c r="D135" s="29">
        <v>1200</v>
      </c>
      <c r="H135" s="29">
        <v>2117796000</v>
      </c>
      <c r="I135" s="29">
        <v>-78229931</v>
      </c>
      <c r="J135" s="29">
        <v>2039566069</v>
      </c>
    </row>
    <row r="136" spans="1:10" x14ac:dyDescent="0.4">
      <c r="A136" s="29" t="s">
        <v>236</v>
      </c>
      <c r="B136" s="29" t="s">
        <v>377</v>
      </c>
      <c r="C136" s="29">
        <v>4000000</v>
      </c>
      <c r="D136" s="29">
        <v>1360</v>
      </c>
      <c r="H136" s="29">
        <v>5440000000</v>
      </c>
      <c r="I136" s="29">
        <v>-55322034</v>
      </c>
      <c r="J136" s="29">
        <v>5384677966</v>
      </c>
    </row>
    <row r="137" spans="1:10" x14ac:dyDescent="0.4">
      <c r="A137" s="29" t="s">
        <v>114</v>
      </c>
      <c r="B137" s="29" t="s">
        <v>348</v>
      </c>
      <c r="C137" s="29">
        <v>7941110</v>
      </c>
      <c r="D137" s="29">
        <v>940</v>
      </c>
      <c r="H137" s="29">
        <v>7464643400</v>
      </c>
      <c r="I137" s="29">
        <v>-145382578</v>
      </c>
      <c r="J137" s="29">
        <v>7319260822</v>
      </c>
    </row>
    <row r="138" spans="1:10" x14ac:dyDescent="0.4">
      <c r="A138" s="29" t="s">
        <v>176</v>
      </c>
      <c r="B138" s="29" t="s">
        <v>326</v>
      </c>
      <c r="C138" s="29">
        <v>2141672</v>
      </c>
      <c r="D138" s="29">
        <v>650</v>
      </c>
      <c r="H138" s="29">
        <v>1392086800</v>
      </c>
      <c r="I138" s="29">
        <v>-46095589</v>
      </c>
      <c r="J138" s="29">
        <v>1345991211</v>
      </c>
    </row>
    <row r="139" spans="1:10" x14ac:dyDescent="0.4">
      <c r="A139" s="29" t="s">
        <v>174</v>
      </c>
      <c r="B139" s="29" t="s">
        <v>327</v>
      </c>
      <c r="C139" s="29">
        <v>13516623</v>
      </c>
      <c r="D139" s="29">
        <v>30</v>
      </c>
      <c r="E139" s="29">
        <v>405498690</v>
      </c>
      <c r="F139" s="29">
        <v>-16006527</v>
      </c>
      <c r="G139" s="29">
        <v>389492163</v>
      </c>
      <c r="H139" s="29">
        <v>405498690</v>
      </c>
      <c r="I139" s="29">
        <v>-16006527</v>
      </c>
      <c r="J139" s="29">
        <v>389492163</v>
      </c>
    </row>
    <row r="140" spans="1:10" x14ac:dyDescent="0.4">
      <c r="A140" s="29" t="s">
        <v>110</v>
      </c>
      <c r="B140" s="29" t="s">
        <v>378</v>
      </c>
      <c r="C140" s="29">
        <v>3667933</v>
      </c>
      <c r="D140" s="29">
        <v>580</v>
      </c>
      <c r="H140" s="29">
        <v>2127401140</v>
      </c>
      <c r="I140" s="29">
        <v>0</v>
      </c>
      <c r="J140" s="29">
        <v>2127401140</v>
      </c>
    </row>
    <row r="141" spans="1:10" x14ac:dyDescent="0.4">
      <c r="A141" s="29" t="s">
        <v>99</v>
      </c>
      <c r="B141" s="29" t="s">
        <v>321</v>
      </c>
      <c r="C141" s="29">
        <v>2152500</v>
      </c>
      <c r="D141" s="29">
        <v>380</v>
      </c>
      <c r="H141" s="29">
        <v>817950000</v>
      </c>
      <c r="I141" s="29">
        <v>0</v>
      </c>
      <c r="J141" s="29">
        <v>817950000</v>
      </c>
    </row>
    <row r="142" spans="1:10" x14ac:dyDescent="0.4">
      <c r="A142" s="29" t="s">
        <v>224</v>
      </c>
      <c r="B142" s="29" t="s">
        <v>321</v>
      </c>
      <c r="C142" s="29">
        <v>6818151</v>
      </c>
      <c r="D142" s="29">
        <v>770</v>
      </c>
      <c r="H142" s="29">
        <v>5249976270</v>
      </c>
      <c r="I142" s="29">
        <v>-193930522</v>
      </c>
      <c r="J142" s="29">
        <v>5056045748</v>
      </c>
    </row>
    <row r="143" spans="1:10" x14ac:dyDescent="0.4">
      <c r="A143" s="29" t="s">
        <v>283</v>
      </c>
      <c r="B143" s="29" t="s">
        <v>358</v>
      </c>
      <c r="C143" s="29">
        <v>1256499</v>
      </c>
      <c r="D143" s="29">
        <v>400</v>
      </c>
      <c r="H143" s="29">
        <v>502599600</v>
      </c>
      <c r="I143" s="29">
        <v>0</v>
      </c>
      <c r="J143" s="29">
        <v>502599600</v>
      </c>
    </row>
    <row r="144" spans="1:10" x14ac:dyDescent="0.4">
      <c r="A144" s="29" t="s">
        <v>83</v>
      </c>
      <c r="B144" s="29" t="s">
        <v>379</v>
      </c>
      <c r="C144" s="29">
        <v>700000</v>
      </c>
      <c r="D144" s="29">
        <v>1454</v>
      </c>
      <c r="H144" s="29">
        <v>1017800000</v>
      </c>
      <c r="I144" s="29">
        <v>-42742257</v>
      </c>
      <c r="J144" s="29">
        <v>975057743</v>
      </c>
    </row>
    <row r="145" spans="1:10" x14ac:dyDescent="0.4">
      <c r="A145" s="29" t="s">
        <v>112</v>
      </c>
      <c r="B145" s="29" t="s">
        <v>321</v>
      </c>
      <c r="C145" s="29">
        <v>893618</v>
      </c>
      <c r="D145" s="29">
        <v>450</v>
      </c>
      <c r="H145" s="29">
        <v>402128100</v>
      </c>
      <c r="I145" s="29">
        <v>0</v>
      </c>
      <c r="J145" s="29">
        <v>402128100</v>
      </c>
    </row>
    <row r="146" spans="1:10" x14ac:dyDescent="0.4">
      <c r="A146" s="29" t="s">
        <v>73</v>
      </c>
      <c r="B146" s="29" t="s">
        <v>321</v>
      </c>
      <c r="C146" s="29">
        <v>13385383</v>
      </c>
      <c r="D146" s="29">
        <v>450</v>
      </c>
      <c r="H146" s="29">
        <v>6023422350</v>
      </c>
      <c r="I146" s="29">
        <v>-237766672</v>
      </c>
      <c r="J146" s="29">
        <v>5785655678</v>
      </c>
    </row>
    <row r="147" spans="1:10" x14ac:dyDescent="0.4">
      <c r="A147" s="29" t="s">
        <v>276</v>
      </c>
      <c r="B147" s="29" t="s">
        <v>340</v>
      </c>
      <c r="C147" s="29">
        <v>2470314</v>
      </c>
      <c r="D147" s="29">
        <v>850</v>
      </c>
      <c r="H147" s="29">
        <v>2099766900</v>
      </c>
      <c r="I147" s="29">
        <v>-78896976</v>
      </c>
      <c r="J147" s="29">
        <v>2020869924</v>
      </c>
    </row>
    <row r="148" spans="1:10" x14ac:dyDescent="0.4">
      <c r="A148" s="29" t="s">
        <v>265</v>
      </c>
      <c r="B148" s="29" t="s">
        <v>321</v>
      </c>
      <c r="C148" s="29">
        <v>1483336</v>
      </c>
      <c r="D148" s="29">
        <v>50</v>
      </c>
      <c r="H148" s="29">
        <v>74166800</v>
      </c>
      <c r="I148" s="29">
        <v>-2786755</v>
      </c>
      <c r="J148" s="29">
        <v>71380045</v>
      </c>
    </row>
    <row r="149" spans="1:10" x14ac:dyDescent="0.4">
      <c r="A149" s="29" t="s">
        <v>240</v>
      </c>
      <c r="B149" s="29" t="s">
        <v>380</v>
      </c>
      <c r="C149" s="29">
        <v>1086071</v>
      </c>
      <c r="D149" s="29">
        <v>2750</v>
      </c>
      <c r="H149" s="29">
        <v>2986695250</v>
      </c>
      <c r="I149" s="29">
        <v>-91227079</v>
      </c>
      <c r="J149" s="29">
        <v>2895468171</v>
      </c>
    </row>
    <row r="150" spans="1:10" x14ac:dyDescent="0.4">
      <c r="A150" s="29" t="s">
        <v>167</v>
      </c>
      <c r="B150" s="29" t="s">
        <v>328</v>
      </c>
      <c r="C150" s="29">
        <v>14640871</v>
      </c>
      <c r="D150" s="29">
        <v>104</v>
      </c>
      <c r="H150" s="29">
        <v>1522650584</v>
      </c>
      <c r="I150" s="29">
        <v>0</v>
      </c>
      <c r="J150" s="29">
        <v>1522650584</v>
      </c>
    </row>
    <row r="151" spans="1:10" x14ac:dyDescent="0.4">
      <c r="A151" s="29" t="s">
        <v>169</v>
      </c>
      <c r="B151" s="29" t="s">
        <v>381</v>
      </c>
      <c r="C151" s="29">
        <v>2345414</v>
      </c>
      <c r="D151" s="29">
        <v>1000</v>
      </c>
      <c r="E151" s="29">
        <v>2345414000</v>
      </c>
      <c r="F151" s="29">
        <v>-157360045</v>
      </c>
      <c r="G151" s="29">
        <v>2188053955</v>
      </c>
      <c r="H151" s="29">
        <v>2345414000</v>
      </c>
      <c r="I151" s="29">
        <v>-157360045</v>
      </c>
      <c r="J151" s="29">
        <v>2188053955</v>
      </c>
    </row>
    <row r="152" spans="1:10" x14ac:dyDescent="0.4">
      <c r="A152" s="29" t="s">
        <v>189</v>
      </c>
      <c r="B152" s="29" t="s">
        <v>323</v>
      </c>
      <c r="C152" s="29">
        <v>594875</v>
      </c>
      <c r="D152" s="29">
        <v>8600</v>
      </c>
      <c r="H152" s="29">
        <v>5115925000</v>
      </c>
      <c r="I152" s="29">
        <v>0</v>
      </c>
      <c r="J152" s="29">
        <v>5115925000</v>
      </c>
    </row>
    <row r="153" spans="1:10" x14ac:dyDescent="0.4">
      <c r="A153" s="29" t="s">
        <v>245</v>
      </c>
      <c r="B153" s="29" t="s">
        <v>382</v>
      </c>
      <c r="C153" s="29">
        <v>1458231</v>
      </c>
      <c r="D153" s="29">
        <v>650</v>
      </c>
      <c r="H153" s="29">
        <v>947850150</v>
      </c>
      <c r="I153" s="29">
        <v>-22190472</v>
      </c>
      <c r="J153" s="29">
        <v>925659678</v>
      </c>
    </row>
    <row r="154" spans="1:10" x14ac:dyDescent="0.4">
      <c r="A154" s="29" t="s">
        <v>237</v>
      </c>
      <c r="B154" s="29" t="s">
        <v>321</v>
      </c>
      <c r="C154" s="29">
        <v>7556849</v>
      </c>
      <c r="D154" s="29">
        <v>200</v>
      </c>
      <c r="H154" s="29">
        <v>1511369800</v>
      </c>
      <c r="I154" s="29">
        <v>-50045358</v>
      </c>
      <c r="J154" s="29">
        <v>1461324442</v>
      </c>
    </row>
    <row r="155" spans="1:10" x14ac:dyDescent="0.4">
      <c r="A155" s="29" t="s">
        <v>238</v>
      </c>
      <c r="B155" s="29" t="s">
        <v>383</v>
      </c>
      <c r="C155" s="29">
        <v>13587567</v>
      </c>
      <c r="D155" s="29">
        <v>150</v>
      </c>
      <c r="H155" s="29">
        <v>2038135050</v>
      </c>
      <c r="I155" s="29">
        <v>0</v>
      </c>
      <c r="J155" s="29">
        <v>2038135050</v>
      </c>
    </row>
    <row r="156" spans="1:10" x14ac:dyDescent="0.4">
      <c r="A156" s="29" t="s">
        <v>104</v>
      </c>
      <c r="B156" s="29" t="s">
        <v>321</v>
      </c>
      <c r="C156" s="29">
        <v>2458695</v>
      </c>
      <c r="D156" s="29">
        <v>3500</v>
      </c>
      <c r="H156" s="29">
        <v>8605432500</v>
      </c>
      <c r="I156" s="29">
        <v>0</v>
      </c>
      <c r="J156" s="29">
        <v>8605432500</v>
      </c>
    </row>
    <row r="157" spans="1:10" x14ac:dyDescent="0.4">
      <c r="A157" s="29" t="s">
        <v>113</v>
      </c>
      <c r="B157" s="29" t="s">
        <v>324</v>
      </c>
      <c r="C157" s="29">
        <v>1234887</v>
      </c>
      <c r="D157" s="29">
        <v>740</v>
      </c>
      <c r="H157" s="29">
        <v>913816380</v>
      </c>
      <c r="I157" s="29">
        <v>0</v>
      </c>
      <c r="J157" s="29">
        <v>913816380</v>
      </c>
    </row>
    <row r="158" spans="1:10" x14ac:dyDescent="0.4">
      <c r="A158" s="29" t="s">
        <v>226</v>
      </c>
      <c r="B158" s="29" t="s">
        <v>384</v>
      </c>
      <c r="C158" s="29">
        <v>3565617</v>
      </c>
      <c r="D158" s="29">
        <v>1189</v>
      </c>
      <c r="H158" s="29">
        <v>4239518613</v>
      </c>
      <c r="I158" s="29">
        <v>-161984242</v>
      </c>
      <c r="J158" s="29">
        <v>4077534371</v>
      </c>
    </row>
    <row r="159" spans="1:10" x14ac:dyDescent="0.4">
      <c r="A159" s="29" t="s">
        <v>111</v>
      </c>
      <c r="B159" s="29" t="s">
        <v>385</v>
      </c>
      <c r="C159" s="29">
        <v>2326440</v>
      </c>
      <c r="D159" s="29">
        <v>3000</v>
      </c>
      <c r="H159" s="29">
        <v>6979320000</v>
      </c>
      <c r="I159" s="29">
        <v>0</v>
      </c>
      <c r="J159" s="29">
        <v>6979320000</v>
      </c>
    </row>
    <row r="160" spans="1:10" x14ac:dyDescent="0.4">
      <c r="A160" s="29" t="s">
        <v>165</v>
      </c>
      <c r="B160" s="29" t="s">
        <v>332</v>
      </c>
      <c r="C160" s="29">
        <v>635048</v>
      </c>
      <c r="D160" s="29">
        <v>4795</v>
      </c>
      <c r="H160" s="29">
        <v>3045055160</v>
      </c>
      <c r="I160" s="29">
        <v>-77244390</v>
      </c>
      <c r="J160" s="29">
        <v>2967810770</v>
      </c>
    </row>
    <row r="161" spans="1:10" x14ac:dyDescent="0.4">
      <c r="A161" s="29" t="s">
        <v>228</v>
      </c>
      <c r="B161" s="29" t="s">
        <v>321</v>
      </c>
      <c r="C161" s="29">
        <v>3490646</v>
      </c>
      <c r="D161" s="29">
        <v>2000</v>
      </c>
      <c r="H161" s="29">
        <v>6981292000</v>
      </c>
      <c r="I161" s="29">
        <v>0</v>
      </c>
      <c r="J161" s="29">
        <v>6981292000</v>
      </c>
    </row>
    <row r="162" spans="1:10" x14ac:dyDescent="0.4">
      <c r="A162" s="29" t="s">
        <v>386</v>
      </c>
      <c r="B162" s="29" t="s">
        <v>321</v>
      </c>
      <c r="C162" s="29">
        <v>275726</v>
      </c>
      <c r="D162" s="29">
        <v>1420</v>
      </c>
      <c r="H162" s="29">
        <v>391530920</v>
      </c>
      <c r="I162" s="29">
        <v>0</v>
      </c>
      <c r="J162" s="29">
        <v>391530920</v>
      </c>
    </row>
    <row r="163" spans="1:10" x14ac:dyDescent="0.4">
      <c r="A163" s="29" t="s">
        <v>288</v>
      </c>
      <c r="B163" s="29" t="s">
        <v>358</v>
      </c>
      <c r="C163" s="29">
        <v>3335116</v>
      </c>
      <c r="D163" s="29">
        <v>550</v>
      </c>
      <c r="H163" s="29">
        <v>1834313800</v>
      </c>
      <c r="I163" s="29">
        <v>-61912643</v>
      </c>
      <c r="J163" s="29">
        <v>1772401157</v>
      </c>
    </row>
    <row r="164" spans="1:10" x14ac:dyDescent="0.4">
      <c r="A164" s="29" t="s">
        <v>106</v>
      </c>
      <c r="B164" s="29" t="s">
        <v>324</v>
      </c>
      <c r="C164" s="29">
        <v>16099135</v>
      </c>
      <c r="D164" s="29">
        <v>425</v>
      </c>
      <c r="H164" s="29">
        <v>6842132375</v>
      </c>
      <c r="I164" s="29">
        <v>-265757610</v>
      </c>
      <c r="J164" s="29">
        <v>6576374765</v>
      </c>
    </row>
    <row r="165" spans="1:10" x14ac:dyDescent="0.4">
      <c r="A165" s="29" t="s">
        <v>107</v>
      </c>
      <c r="B165" s="29" t="s">
        <v>380</v>
      </c>
      <c r="C165" s="29">
        <v>3737468</v>
      </c>
      <c r="D165" s="29">
        <v>2050</v>
      </c>
      <c r="H165" s="29">
        <v>7661809400</v>
      </c>
      <c r="I165" s="29">
        <v>-184375093</v>
      </c>
      <c r="J165" s="29">
        <v>7477434307</v>
      </c>
    </row>
    <row r="166" spans="1:10" x14ac:dyDescent="0.4">
      <c r="A166" s="29" t="s">
        <v>223</v>
      </c>
      <c r="B166" s="29" t="s">
        <v>352</v>
      </c>
      <c r="C166" s="29">
        <v>10456686</v>
      </c>
      <c r="D166" s="29">
        <v>85</v>
      </c>
      <c r="H166" s="29">
        <v>888818310</v>
      </c>
      <c r="I166" s="29">
        <v>0</v>
      </c>
      <c r="J166" s="29">
        <v>888818310</v>
      </c>
    </row>
    <row r="167" spans="1:10" x14ac:dyDescent="0.4">
      <c r="A167" s="29" t="s">
        <v>198</v>
      </c>
      <c r="B167" s="29" t="s">
        <v>340</v>
      </c>
      <c r="C167" s="29">
        <v>5623567</v>
      </c>
      <c r="D167" s="29">
        <v>800</v>
      </c>
      <c r="H167" s="29">
        <v>4498853600</v>
      </c>
      <c r="I167" s="29">
        <v>-166184566</v>
      </c>
      <c r="J167" s="29">
        <v>4332669034</v>
      </c>
    </row>
    <row r="168" spans="1:10" x14ac:dyDescent="0.4">
      <c r="A168" s="29" t="s">
        <v>84</v>
      </c>
      <c r="B168" s="29" t="s">
        <v>387</v>
      </c>
      <c r="C168" s="29">
        <v>2800000</v>
      </c>
      <c r="D168" s="29">
        <v>450</v>
      </c>
      <c r="H168" s="29">
        <v>1260000000</v>
      </c>
      <c r="I168" s="29">
        <v>-41721854</v>
      </c>
      <c r="J168" s="29">
        <v>1218278146</v>
      </c>
    </row>
    <row r="169" spans="1:10" x14ac:dyDescent="0.4">
      <c r="A169" s="29" t="s">
        <v>89</v>
      </c>
      <c r="B169" s="29" t="s">
        <v>340</v>
      </c>
      <c r="C169" s="29">
        <v>10285372</v>
      </c>
      <c r="D169" s="29">
        <v>600</v>
      </c>
      <c r="H169" s="29">
        <v>6171223200</v>
      </c>
      <c r="I169" s="29">
        <v>-164565952</v>
      </c>
      <c r="J169" s="29">
        <v>6006657248</v>
      </c>
    </row>
    <row r="170" spans="1:10" x14ac:dyDescent="0.4">
      <c r="A170" s="29" t="s">
        <v>246</v>
      </c>
      <c r="B170" s="29" t="s">
        <v>388</v>
      </c>
      <c r="C170" s="29">
        <v>12061503</v>
      </c>
      <c r="D170" s="29">
        <v>80</v>
      </c>
      <c r="H170" s="29">
        <v>964920240</v>
      </c>
      <c r="I170" s="29">
        <v>-26981791</v>
      </c>
      <c r="J170" s="29">
        <v>937938449</v>
      </c>
    </row>
    <row r="171" spans="1:10" x14ac:dyDescent="0.4">
      <c r="A171" s="29" t="s">
        <v>233</v>
      </c>
      <c r="B171" s="29" t="s">
        <v>389</v>
      </c>
      <c r="C171" s="29">
        <v>8205417</v>
      </c>
      <c r="D171" s="29">
        <v>400</v>
      </c>
      <c r="H171" s="29">
        <v>3282166800</v>
      </c>
      <c r="I171" s="29">
        <v>-102363530</v>
      </c>
      <c r="J171" s="29">
        <v>3179803270</v>
      </c>
    </row>
    <row r="172" spans="1:10" x14ac:dyDescent="0.4">
      <c r="A172" s="29" t="s">
        <v>219</v>
      </c>
      <c r="B172" s="29" t="s">
        <v>321</v>
      </c>
      <c r="C172" s="29">
        <v>8769322</v>
      </c>
      <c r="D172" s="29">
        <v>160</v>
      </c>
      <c r="H172" s="29">
        <v>1403091520</v>
      </c>
      <c r="I172" s="29">
        <v>-52719985</v>
      </c>
      <c r="J172" s="29">
        <v>1350371535</v>
      </c>
    </row>
    <row r="173" spans="1:10" x14ac:dyDescent="0.4">
      <c r="A173" s="29" t="s">
        <v>166</v>
      </c>
      <c r="B173" s="29" t="s">
        <v>390</v>
      </c>
      <c r="C173" s="29">
        <v>206895</v>
      </c>
      <c r="D173" s="29">
        <v>6800</v>
      </c>
      <c r="H173" s="29">
        <v>1406886000</v>
      </c>
      <c r="I173" s="29">
        <v>0</v>
      </c>
      <c r="J173" s="29">
        <v>1406886000</v>
      </c>
    </row>
    <row r="174" spans="1:10" x14ac:dyDescent="0.4">
      <c r="A174" s="29" t="s">
        <v>275</v>
      </c>
      <c r="B174" s="29" t="s">
        <v>344</v>
      </c>
      <c r="C174" s="29">
        <v>21351892</v>
      </c>
      <c r="D174" s="29">
        <v>60</v>
      </c>
      <c r="H174" s="29">
        <v>1281113520</v>
      </c>
      <c r="I174" s="29">
        <v>0</v>
      </c>
      <c r="J174" s="29">
        <v>1281113520</v>
      </c>
    </row>
    <row r="175" spans="1:10" x14ac:dyDescent="0.4">
      <c r="A175" s="29" t="s">
        <v>131</v>
      </c>
      <c r="B175" s="29" t="s">
        <v>349</v>
      </c>
      <c r="C175" s="29">
        <v>882048</v>
      </c>
      <c r="D175" s="29">
        <v>5800</v>
      </c>
      <c r="H175" s="29">
        <v>5115878400</v>
      </c>
      <c r="I175" s="29">
        <v>-119769728</v>
      </c>
      <c r="J175" s="29">
        <v>4996108672</v>
      </c>
    </row>
    <row r="176" spans="1:10" x14ac:dyDescent="0.4">
      <c r="A176" s="29" t="s">
        <v>78</v>
      </c>
      <c r="B176" s="29" t="s">
        <v>368</v>
      </c>
      <c r="C176" s="29">
        <v>2238593</v>
      </c>
      <c r="D176" s="29">
        <v>4850</v>
      </c>
      <c r="H176" s="29">
        <v>10857198352</v>
      </c>
      <c r="I176" s="29">
        <v>0</v>
      </c>
      <c r="J176" s="29">
        <v>10857198352</v>
      </c>
    </row>
    <row r="177" spans="1:10" x14ac:dyDescent="0.4">
      <c r="A177" s="29" t="s">
        <v>75</v>
      </c>
      <c r="B177" s="29" t="s">
        <v>348</v>
      </c>
      <c r="C177" s="29">
        <v>4500000</v>
      </c>
      <c r="D177" s="29">
        <v>1100</v>
      </c>
      <c r="H177" s="29">
        <v>4950000000</v>
      </c>
      <c r="I177" s="29">
        <v>0</v>
      </c>
      <c r="J177" s="29">
        <v>4950000000</v>
      </c>
    </row>
    <row r="178" spans="1:10" x14ac:dyDescent="0.4">
      <c r="A178" s="29" t="s">
        <v>102</v>
      </c>
      <c r="B178" s="29" t="s">
        <v>325</v>
      </c>
      <c r="C178" s="29">
        <v>3329460</v>
      </c>
      <c r="D178" s="29">
        <v>1227</v>
      </c>
      <c r="H178" s="29">
        <v>4085247420</v>
      </c>
      <c r="I178" s="29">
        <v>-98308093</v>
      </c>
      <c r="J178" s="29">
        <v>3986939327</v>
      </c>
    </row>
    <row r="179" spans="1:10" x14ac:dyDescent="0.4">
      <c r="A179" s="29" t="s">
        <v>252</v>
      </c>
      <c r="B179" s="29" t="s">
        <v>384</v>
      </c>
      <c r="C179" s="29">
        <v>392921</v>
      </c>
      <c r="D179" s="29">
        <v>3850</v>
      </c>
      <c r="H179" s="29">
        <v>1512745850</v>
      </c>
      <c r="I179" s="29">
        <v>0</v>
      </c>
      <c r="J179" s="29">
        <v>1512745850</v>
      </c>
    </row>
    <row r="180" spans="1:10" x14ac:dyDescent="0.4">
      <c r="A180" s="29" t="s">
        <v>391</v>
      </c>
      <c r="B180" s="29" t="s">
        <v>392</v>
      </c>
      <c r="C180" s="29">
        <v>1136013</v>
      </c>
      <c r="D180" s="29">
        <v>3100</v>
      </c>
      <c r="E180" s="29">
        <v>3521640300</v>
      </c>
      <c r="F180" s="29">
        <v>-59286874</v>
      </c>
      <c r="G180" s="29">
        <v>3462353426</v>
      </c>
      <c r="H180" s="29">
        <v>3521640300</v>
      </c>
      <c r="I180" s="29">
        <v>-59286874</v>
      </c>
      <c r="J180" s="29">
        <v>3462353426</v>
      </c>
    </row>
    <row r="181" spans="1:10" x14ac:dyDescent="0.4">
      <c r="A181" s="29" t="s">
        <v>162</v>
      </c>
      <c r="B181" s="29" t="s">
        <v>369</v>
      </c>
      <c r="C181" s="29">
        <v>6591749</v>
      </c>
      <c r="D181" s="29">
        <v>487</v>
      </c>
      <c r="H181" s="29">
        <v>3210181763</v>
      </c>
      <c r="I181" s="29">
        <v>-43380835</v>
      </c>
      <c r="J181" s="29">
        <v>3166800928</v>
      </c>
    </row>
    <row r="182" spans="1:10" x14ac:dyDescent="0.4">
      <c r="A182" s="29" t="s">
        <v>239</v>
      </c>
      <c r="B182" s="29" t="s">
        <v>334</v>
      </c>
      <c r="C182" s="29">
        <v>14595002</v>
      </c>
      <c r="D182" s="29">
        <v>441</v>
      </c>
      <c r="H182" s="29">
        <v>6436395882</v>
      </c>
      <c r="I182" s="29">
        <v>-254068259</v>
      </c>
      <c r="J182" s="29">
        <v>6182327623</v>
      </c>
    </row>
    <row r="183" spans="1:10" x14ac:dyDescent="0.4">
      <c r="A183" s="29" t="s">
        <v>206</v>
      </c>
      <c r="B183" s="29" t="s">
        <v>346</v>
      </c>
      <c r="C183" s="29">
        <v>5968712</v>
      </c>
      <c r="D183" s="29">
        <v>1100</v>
      </c>
      <c r="H183" s="29">
        <v>6565583200</v>
      </c>
      <c r="I183" s="29">
        <v>-53523776</v>
      </c>
      <c r="J183" s="29">
        <v>6512059424</v>
      </c>
    </row>
    <row r="184" spans="1:10" x14ac:dyDescent="0.4">
      <c r="A184" s="29" t="s">
        <v>255</v>
      </c>
      <c r="B184" s="29" t="s">
        <v>379</v>
      </c>
      <c r="C184" s="29">
        <v>450000</v>
      </c>
      <c r="D184" s="29">
        <v>150</v>
      </c>
      <c r="H184" s="29">
        <v>67500000</v>
      </c>
      <c r="I184" s="29">
        <v>-1800000</v>
      </c>
      <c r="J184" s="29">
        <v>65700000</v>
      </c>
    </row>
    <row r="185" spans="1:10" x14ac:dyDescent="0.4">
      <c r="A185" s="29" t="s">
        <v>159</v>
      </c>
      <c r="B185" s="29" t="s">
        <v>326</v>
      </c>
      <c r="C185" s="29">
        <v>1505716</v>
      </c>
      <c r="D185" s="29">
        <v>1000</v>
      </c>
      <c r="H185" s="29">
        <v>1505716000</v>
      </c>
      <c r="I185" s="29">
        <v>-49858146</v>
      </c>
      <c r="J185" s="29">
        <v>1455857854</v>
      </c>
    </row>
    <row r="186" spans="1:10" x14ac:dyDescent="0.4">
      <c r="A186" s="29" t="s">
        <v>216</v>
      </c>
      <c r="B186" s="29" t="s">
        <v>393</v>
      </c>
      <c r="C186" s="29">
        <v>14321983</v>
      </c>
      <c r="D186" s="29">
        <v>200</v>
      </c>
      <c r="H186" s="29">
        <v>2864396600</v>
      </c>
      <c r="I186" s="29">
        <v>0</v>
      </c>
      <c r="J186" s="29">
        <v>2864396600</v>
      </c>
    </row>
    <row r="187" spans="1:10" x14ac:dyDescent="0.4">
      <c r="A187" s="29" t="s">
        <v>208</v>
      </c>
      <c r="B187" s="29" t="s">
        <v>393</v>
      </c>
      <c r="C187" s="29">
        <v>26913216</v>
      </c>
      <c r="D187" s="29">
        <v>145</v>
      </c>
      <c r="H187" s="29">
        <v>3902416320</v>
      </c>
      <c r="I187" s="29">
        <v>0</v>
      </c>
      <c r="J187" s="29">
        <v>3902416320</v>
      </c>
    </row>
    <row r="188" spans="1:10" x14ac:dyDescent="0.4">
      <c r="A188" s="29" t="s">
        <v>123</v>
      </c>
      <c r="B188" s="29" t="s">
        <v>329</v>
      </c>
      <c r="C188" s="29">
        <v>11242355</v>
      </c>
      <c r="D188" s="29">
        <v>190</v>
      </c>
      <c r="H188" s="29">
        <v>2136047450</v>
      </c>
      <c r="I188" s="29">
        <v>0</v>
      </c>
      <c r="J188" s="29">
        <v>2136047450</v>
      </c>
    </row>
    <row r="189" spans="1:10" x14ac:dyDescent="0.4">
      <c r="A189" s="29" t="s">
        <v>151</v>
      </c>
      <c r="B189" s="40" t="s">
        <v>394</v>
      </c>
      <c r="C189" s="29">
        <v>8112972</v>
      </c>
      <c r="D189" s="29">
        <v>40</v>
      </c>
      <c r="G189" s="101"/>
      <c r="H189" s="40">
        <v>324518880</v>
      </c>
      <c r="I189" s="40">
        <v>0</v>
      </c>
      <c r="J189" s="40">
        <v>324518880</v>
      </c>
    </row>
    <row r="190" spans="1:10" ht="16.5" thickBot="1" x14ac:dyDescent="0.45">
      <c r="A190" s="29" t="s">
        <v>2</v>
      </c>
      <c r="B190" s="29">
        <f t="shared" ref="B190:J190" si="0">SUM(B7:B189)</f>
        <v>0</v>
      </c>
      <c r="C190" s="41">
        <f t="shared" si="0"/>
        <v>1313990724</v>
      </c>
      <c r="D190" s="41">
        <f t="shared" si="0"/>
        <v>310533</v>
      </c>
      <c r="E190" s="42">
        <f t="shared" si="0"/>
        <v>17312908010</v>
      </c>
      <c r="F190" s="41">
        <f t="shared" si="0"/>
        <v>-807424373</v>
      </c>
      <c r="G190" s="42">
        <f t="shared" si="0"/>
        <v>16505483637</v>
      </c>
      <c r="H190" s="29">
        <f t="shared" si="0"/>
        <v>582424248694</v>
      </c>
      <c r="I190" s="29">
        <f t="shared" si="0"/>
        <v>-9823351580</v>
      </c>
      <c r="J190" s="29">
        <f t="shared" si="0"/>
        <v>572600897114</v>
      </c>
    </row>
    <row r="191" spans="1:10" ht="16.5" thickTop="1" x14ac:dyDescent="0.4">
      <c r="B191" s="43"/>
      <c r="C191" s="43"/>
      <c r="D191" s="43"/>
      <c r="F191" s="43"/>
      <c r="H191" s="43"/>
      <c r="I191" s="43"/>
      <c r="J191" s="43"/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0866141732283472" right="0.70866141732283472" top="0.74803149606299213" bottom="0.74803149606299213" header="0.31496062992125984" footer="0.31496062992125984"/>
  <pageSetup scale="82" fitToHeight="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H15"/>
  <sheetViews>
    <sheetView rightToLeft="1" tabSelected="1" view="pageBreakPreview" zoomScale="84" zoomScaleNormal="100" zoomScaleSheetLayoutView="84" workbookViewId="0">
      <selection activeCell="P37" sqref="P36:P37"/>
    </sheetView>
  </sheetViews>
  <sheetFormatPr defaultRowHeight="18" x14ac:dyDescent="0.45"/>
  <cols>
    <col min="1" max="1" width="1.5703125" style="7" customWidth="1"/>
    <col min="2" max="2" width="6.140625" style="7" bestFit="1" customWidth="1"/>
    <col min="3" max="3" width="12.42578125" style="7" customWidth="1"/>
    <col min="4" max="4" width="9" style="7" bestFit="1" customWidth="1"/>
    <col min="5" max="5" width="12" style="7" customWidth="1"/>
    <col min="6" max="6" width="12.42578125" style="7" customWidth="1"/>
    <col min="7" max="7" width="9" style="7" bestFit="1" customWidth="1"/>
    <col min="8" max="8" width="12.85546875" style="7" customWidth="1"/>
    <col min="9" max="16384" width="9.140625" style="7"/>
  </cols>
  <sheetData>
    <row r="1" spans="2:8" ht="19.5" x14ac:dyDescent="0.5">
      <c r="B1" s="92" t="s">
        <v>61</v>
      </c>
      <c r="C1" s="92"/>
      <c r="D1" s="92"/>
      <c r="E1" s="92"/>
      <c r="F1" s="92"/>
      <c r="G1" s="92"/>
      <c r="H1" s="92"/>
    </row>
    <row r="2" spans="2:8" ht="19.5" x14ac:dyDescent="0.5">
      <c r="B2" s="92" t="s">
        <v>52</v>
      </c>
      <c r="C2" s="92"/>
      <c r="D2" s="92"/>
      <c r="E2" s="92"/>
      <c r="F2" s="92"/>
      <c r="G2" s="92"/>
      <c r="H2" s="92"/>
    </row>
    <row r="3" spans="2:8" ht="19.5" x14ac:dyDescent="0.5">
      <c r="B3" s="92" t="s">
        <v>62</v>
      </c>
      <c r="C3" s="92"/>
      <c r="D3" s="92"/>
      <c r="E3" s="92"/>
      <c r="F3" s="92"/>
      <c r="G3" s="92"/>
      <c r="H3" s="92"/>
    </row>
    <row r="4" spans="2:8" ht="19.5" x14ac:dyDescent="0.5">
      <c r="B4" s="38"/>
      <c r="C4" s="38"/>
      <c r="D4" s="38"/>
      <c r="E4" s="38"/>
      <c r="F4" s="38"/>
      <c r="G4" s="38"/>
      <c r="H4" s="38"/>
    </row>
    <row r="5" spans="2:8" ht="21" x14ac:dyDescent="0.45">
      <c r="B5" s="56" t="s">
        <v>56</v>
      </c>
      <c r="C5" s="56"/>
      <c r="D5" s="56"/>
      <c r="E5" s="56"/>
      <c r="F5" s="56"/>
      <c r="G5" s="56"/>
      <c r="H5" s="56"/>
    </row>
    <row r="6" spans="2:8" ht="36" customHeight="1" thickBot="1" x14ac:dyDescent="0.5">
      <c r="B6" s="15"/>
      <c r="C6" s="81" t="s">
        <v>58</v>
      </c>
      <c r="D6" s="81"/>
      <c r="E6" s="81"/>
      <c r="F6" s="81" t="s">
        <v>63</v>
      </c>
      <c r="G6" s="81"/>
      <c r="H6" s="81"/>
    </row>
    <row r="7" spans="2:8" ht="72.75" customHeight="1" thickBot="1" x14ac:dyDescent="0.5">
      <c r="B7" s="26" t="s">
        <v>30</v>
      </c>
      <c r="C7" s="21" t="s">
        <v>53</v>
      </c>
      <c r="D7" s="21" t="s">
        <v>35</v>
      </c>
      <c r="E7" s="21" t="s">
        <v>39</v>
      </c>
      <c r="F7" s="21" t="s">
        <v>53</v>
      </c>
      <c r="G7" s="21" t="s">
        <v>35</v>
      </c>
      <c r="H7" s="21" t="s">
        <v>39</v>
      </c>
    </row>
    <row r="8" spans="2:8" ht="26.25" customHeight="1" x14ac:dyDescent="0.45">
      <c r="B8" s="29" t="s">
        <v>68</v>
      </c>
      <c r="C8" s="29">
        <v>9078</v>
      </c>
      <c r="D8" s="29">
        <v>0</v>
      </c>
      <c r="E8" s="29">
        <v>9078</v>
      </c>
      <c r="F8" s="29">
        <v>6838092</v>
      </c>
      <c r="G8" s="29">
        <v>0</v>
      </c>
      <c r="H8" s="29">
        <v>6838092</v>
      </c>
    </row>
    <row r="9" spans="2:8" ht="26.25" customHeight="1" x14ac:dyDescent="0.45">
      <c r="B9" s="29" t="s">
        <v>66</v>
      </c>
      <c r="C9" s="29">
        <v>63394</v>
      </c>
      <c r="D9" s="29">
        <v>0</v>
      </c>
      <c r="E9" s="29">
        <v>63394</v>
      </c>
      <c r="F9" s="29">
        <v>445924</v>
      </c>
      <c r="G9" s="29">
        <v>0</v>
      </c>
      <c r="H9" s="29">
        <v>445924</v>
      </c>
    </row>
    <row r="10" spans="2:8" ht="26.25" customHeight="1" x14ac:dyDescent="0.45">
      <c r="B10" s="29" t="s">
        <v>67</v>
      </c>
      <c r="C10" s="29">
        <v>29068</v>
      </c>
      <c r="D10" s="29">
        <v>0</v>
      </c>
      <c r="E10" s="29">
        <v>29068</v>
      </c>
      <c r="F10" s="29">
        <v>152526</v>
      </c>
      <c r="G10" s="29">
        <v>0</v>
      </c>
      <c r="H10" s="29">
        <v>152526</v>
      </c>
    </row>
    <row r="11" spans="2:8" ht="26.25" customHeight="1" x14ac:dyDescent="0.45">
      <c r="B11" s="29" t="s">
        <v>70</v>
      </c>
      <c r="C11" s="29">
        <v>21380</v>
      </c>
      <c r="D11" s="29">
        <v>0</v>
      </c>
      <c r="E11" s="29">
        <v>21380</v>
      </c>
      <c r="F11" s="29">
        <v>3365467</v>
      </c>
      <c r="G11" s="29">
        <v>0</v>
      </c>
      <c r="H11" s="29">
        <v>3365467</v>
      </c>
    </row>
    <row r="12" spans="2:8" ht="26.25" customHeight="1" x14ac:dyDescent="0.45">
      <c r="B12" s="29" t="s">
        <v>69</v>
      </c>
      <c r="C12" s="29">
        <v>977428699</v>
      </c>
      <c r="D12" s="29">
        <v>0</v>
      </c>
      <c r="E12" s="29">
        <v>977428699</v>
      </c>
      <c r="F12" s="29">
        <v>5856762702</v>
      </c>
      <c r="G12" s="29">
        <v>0</v>
      </c>
      <c r="H12" s="29">
        <v>5856762702</v>
      </c>
    </row>
    <row r="13" spans="2:8" ht="26.25" customHeight="1" x14ac:dyDescent="0.45">
      <c r="B13" s="29" t="s">
        <v>71</v>
      </c>
      <c r="F13" s="40">
        <v>3101</v>
      </c>
      <c r="G13" s="40">
        <v>0</v>
      </c>
      <c r="H13" s="29">
        <v>3101</v>
      </c>
    </row>
    <row r="14" spans="2:8" ht="26.25" customHeight="1" thickBot="1" x14ac:dyDescent="0.5">
      <c r="B14" s="41" t="s">
        <v>2</v>
      </c>
      <c r="C14" s="41">
        <f t="shared" ref="C14:H14" si="0">SUM(C8:C13)</f>
        <v>977551619</v>
      </c>
      <c r="D14" s="41">
        <f t="shared" si="0"/>
        <v>0</v>
      </c>
      <c r="E14" s="42">
        <f t="shared" si="0"/>
        <v>977551619</v>
      </c>
      <c r="F14" s="42">
        <f t="shared" si="0"/>
        <v>5867567812</v>
      </c>
      <c r="G14" s="42">
        <f t="shared" si="0"/>
        <v>0</v>
      </c>
      <c r="H14" s="42">
        <f t="shared" si="0"/>
        <v>5867567812</v>
      </c>
    </row>
    <row r="15" spans="2:8" ht="18.75" thickTop="1" x14ac:dyDescent="0.45">
      <c r="C15" s="100"/>
      <c r="D15" s="100"/>
    </row>
  </sheetData>
  <mergeCells count="6">
    <mergeCell ref="B1:H1"/>
    <mergeCell ref="B2:H2"/>
    <mergeCell ref="B3:H3"/>
    <mergeCell ref="B5:H5"/>
    <mergeCell ref="C6:E6"/>
    <mergeCell ref="F6:H6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184"/>
  <sheetViews>
    <sheetView rightToLeft="1" tabSelected="1" view="pageBreakPreview" topLeftCell="A88" zoomScale="60" zoomScaleNormal="100" workbookViewId="0">
      <selection activeCell="P37" sqref="P36:P37"/>
    </sheetView>
  </sheetViews>
  <sheetFormatPr defaultRowHeight="18" x14ac:dyDescent="0.45"/>
  <cols>
    <col min="1" max="1" width="24.7109375" style="7" bestFit="1" customWidth="1"/>
    <col min="2" max="2" width="10.140625" style="7" bestFit="1" customWidth="1"/>
    <col min="3" max="3" width="15.140625" style="7" bestFit="1" customWidth="1"/>
    <col min="4" max="4" width="14" style="7" bestFit="1" customWidth="1"/>
    <col min="5" max="5" width="18.85546875" style="7" bestFit="1" customWidth="1"/>
    <col min="6" max="6" width="10.42578125" style="7" bestFit="1" customWidth="1"/>
    <col min="7" max="8" width="15.140625" style="7" bestFit="1" customWidth="1"/>
    <col min="9" max="9" width="18.85546875" style="7" bestFit="1" customWidth="1"/>
    <col min="10" max="16384" width="9.140625" style="7"/>
  </cols>
  <sheetData>
    <row r="1" spans="1:9" ht="21" x14ac:dyDescent="0.55000000000000004">
      <c r="A1" s="70" t="s">
        <v>61</v>
      </c>
      <c r="B1" s="70"/>
      <c r="C1" s="70"/>
      <c r="D1" s="70"/>
      <c r="E1" s="70"/>
      <c r="F1" s="70"/>
      <c r="G1" s="70"/>
      <c r="H1" s="70"/>
      <c r="I1" s="70"/>
    </row>
    <row r="2" spans="1:9" ht="21" x14ac:dyDescent="0.55000000000000004">
      <c r="A2" s="70" t="s">
        <v>52</v>
      </c>
      <c r="B2" s="70"/>
      <c r="C2" s="70"/>
      <c r="D2" s="70"/>
      <c r="E2" s="70"/>
      <c r="F2" s="70"/>
      <c r="G2" s="70"/>
      <c r="H2" s="70"/>
      <c r="I2" s="70"/>
    </row>
    <row r="3" spans="1:9" ht="21" x14ac:dyDescent="0.55000000000000004">
      <c r="A3" s="70" t="s">
        <v>62</v>
      </c>
      <c r="B3" s="70"/>
      <c r="C3" s="70"/>
      <c r="D3" s="70"/>
      <c r="E3" s="70"/>
      <c r="F3" s="70"/>
      <c r="G3" s="70"/>
      <c r="H3" s="70"/>
      <c r="I3" s="70"/>
    </row>
    <row r="4" spans="1:9" ht="21" x14ac:dyDescent="0.45">
      <c r="A4" s="56" t="s">
        <v>47</v>
      </c>
      <c r="B4" s="56"/>
      <c r="C4" s="56"/>
      <c r="D4" s="56"/>
      <c r="E4" s="56"/>
      <c r="F4" s="56"/>
      <c r="G4" s="56"/>
      <c r="H4" s="56"/>
      <c r="I4" s="56"/>
    </row>
    <row r="5" spans="1:9" ht="16.5" customHeight="1" thickBot="1" x14ac:dyDescent="0.5">
      <c r="B5" s="81" t="s">
        <v>58</v>
      </c>
      <c r="C5" s="81"/>
      <c r="D5" s="81"/>
      <c r="E5" s="81"/>
      <c r="F5" s="81" t="s">
        <v>63</v>
      </c>
      <c r="G5" s="81"/>
      <c r="H5" s="81"/>
      <c r="I5" s="81"/>
    </row>
    <row r="6" spans="1:9" ht="18.75" thickBot="1" x14ac:dyDescent="0.5">
      <c r="A6" s="27" t="s">
        <v>30</v>
      </c>
      <c r="B6" s="16" t="s">
        <v>3</v>
      </c>
      <c r="C6" s="17" t="s">
        <v>43</v>
      </c>
      <c r="D6" s="16" t="s">
        <v>41</v>
      </c>
      <c r="E6" s="22" t="s">
        <v>44</v>
      </c>
      <c r="F6" s="16" t="s">
        <v>3</v>
      </c>
      <c r="G6" s="17" t="s">
        <v>18</v>
      </c>
      <c r="H6" s="16" t="s">
        <v>41</v>
      </c>
      <c r="I6" s="22" t="s">
        <v>44</v>
      </c>
    </row>
    <row r="7" spans="1:9" x14ac:dyDescent="0.45">
      <c r="A7" s="29" t="s">
        <v>72</v>
      </c>
      <c r="B7" s="29">
        <v>0</v>
      </c>
      <c r="C7" s="29">
        <v>0</v>
      </c>
      <c r="D7" s="29">
        <v>0</v>
      </c>
      <c r="E7" s="29">
        <v>0</v>
      </c>
      <c r="F7" s="29">
        <v>200000</v>
      </c>
      <c r="G7" s="29">
        <v>5135910694</v>
      </c>
      <c r="H7" s="29">
        <v>6769742720</v>
      </c>
      <c r="I7" s="29">
        <v>-1633832026</v>
      </c>
    </row>
    <row r="8" spans="1:9" x14ac:dyDescent="0.45">
      <c r="A8" s="29" t="s">
        <v>73</v>
      </c>
      <c r="B8" s="29">
        <v>2254149</v>
      </c>
      <c r="C8" s="29">
        <v>19947148361</v>
      </c>
      <c r="D8" s="29">
        <v>10107366453</v>
      </c>
      <c r="E8" s="29">
        <v>9839781908</v>
      </c>
      <c r="F8" s="29">
        <v>4354149</v>
      </c>
      <c r="G8" s="29">
        <v>35358300941</v>
      </c>
      <c r="H8" s="29">
        <v>19548254904</v>
      </c>
      <c r="I8" s="29">
        <v>15810046037</v>
      </c>
    </row>
    <row r="9" spans="1:9" x14ac:dyDescent="0.45">
      <c r="A9" s="29" t="s">
        <v>74</v>
      </c>
      <c r="B9" s="29">
        <v>0</v>
      </c>
      <c r="C9" s="29">
        <v>0</v>
      </c>
      <c r="D9" s="29">
        <v>0</v>
      </c>
      <c r="E9" s="29">
        <v>0</v>
      </c>
      <c r="F9" s="29">
        <v>400000</v>
      </c>
      <c r="G9" s="29">
        <v>491372117</v>
      </c>
      <c r="H9" s="29">
        <v>492307117</v>
      </c>
      <c r="I9" s="29">
        <v>-935000</v>
      </c>
    </row>
    <row r="10" spans="1:9" x14ac:dyDescent="0.45">
      <c r="A10" s="29" t="s">
        <v>75</v>
      </c>
      <c r="B10" s="29">
        <v>2300000</v>
      </c>
      <c r="C10" s="29">
        <v>43523668906</v>
      </c>
      <c r="D10" s="29">
        <v>29267494252</v>
      </c>
      <c r="E10" s="29">
        <v>14256174654</v>
      </c>
      <c r="F10" s="29">
        <v>40000000</v>
      </c>
      <c r="G10" s="29">
        <v>614206663415</v>
      </c>
      <c r="H10" s="29">
        <v>510111772245</v>
      </c>
      <c r="I10" s="29">
        <v>104094891170</v>
      </c>
    </row>
    <row r="11" spans="1:9" x14ac:dyDescent="0.45">
      <c r="A11" s="29" t="s">
        <v>76</v>
      </c>
      <c r="B11" s="29">
        <v>0</v>
      </c>
      <c r="C11" s="29">
        <v>0</v>
      </c>
      <c r="D11" s="29">
        <v>0</v>
      </c>
      <c r="E11" s="29">
        <v>0</v>
      </c>
      <c r="F11" s="29">
        <v>10000</v>
      </c>
      <c r="G11" s="29">
        <v>1919050196</v>
      </c>
      <c r="H11" s="29">
        <v>1231539770</v>
      </c>
      <c r="I11" s="29">
        <v>687510426</v>
      </c>
    </row>
    <row r="12" spans="1:9" x14ac:dyDescent="0.45">
      <c r="A12" s="29" t="s">
        <v>77</v>
      </c>
      <c r="B12" s="29">
        <v>8000000</v>
      </c>
      <c r="C12" s="29">
        <v>13903933260</v>
      </c>
      <c r="D12" s="29">
        <v>9408946350</v>
      </c>
      <c r="E12" s="29">
        <v>4494986910</v>
      </c>
      <c r="F12" s="29">
        <v>8000000</v>
      </c>
      <c r="G12" s="29">
        <v>13903933260</v>
      </c>
      <c r="H12" s="29">
        <v>9408946350</v>
      </c>
      <c r="I12" s="29">
        <v>4494986910</v>
      </c>
    </row>
    <row r="13" spans="1:9" x14ac:dyDescent="0.45">
      <c r="A13" s="29" t="s">
        <v>78</v>
      </c>
      <c r="B13" s="29">
        <v>210000</v>
      </c>
      <c r="C13" s="29">
        <v>11268596519</v>
      </c>
      <c r="D13" s="29">
        <v>10034370177</v>
      </c>
      <c r="E13" s="29">
        <v>1234226342</v>
      </c>
      <c r="F13" s="29">
        <v>1440000</v>
      </c>
      <c r="G13" s="29">
        <v>67565142433</v>
      </c>
      <c r="H13" s="29">
        <v>68882716170</v>
      </c>
      <c r="I13" s="29">
        <v>-1317573737</v>
      </c>
    </row>
    <row r="14" spans="1:9" x14ac:dyDescent="0.45">
      <c r="A14" s="29" t="s">
        <v>79</v>
      </c>
      <c r="B14" s="29">
        <v>1000000</v>
      </c>
      <c r="C14" s="29">
        <v>1815182111</v>
      </c>
      <c r="D14" s="29">
        <v>1007980162</v>
      </c>
      <c r="E14" s="29">
        <v>807201949</v>
      </c>
      <c r="F14" s="29">
        <v>1000000</v>
      </c>
      <c r="G14" s="29">
        <v>1815182111</v>
      </c>
      <c r="H14" s="29">
        <v>1007980162</v>
      </c>
      <c r="I14" s="29">
        <v>807201949</v>
      </c>
    </row>
    <row r="15" spans="1:9" x14ac:dyDescent="0.45">
      <c r="A15" s="29" t="s">
        <v>80</v>
      </c>
      <c r="B15" s="29">
        <v>0</v>
      </c>
      <c r="C15" s="29">
        <v>0</v>
      </c>
      <c r="D15" s="29">
        <v>0</v>
      </c>
      <c r="E15" s="29">
        <v>0</v>
      </c>
      <c r="F15" s="29">
        <v>1</v>
      </c>
      <c r="G15" s="29">
        <v>1</v>
      </c>
      <c r="H15" s="29">
        <v>373</v>
      </c>
      <c r="I15" s="29">
        <v>-372</v>
      </c>
    </row>
    <row r="16" spans="1:9" x14ac:dyDescent="0.45">
      <c r="A16" s="29" t="s">
        <v>81</v>
      </c>
      <c r="B16" s="29">
        <v>500000</v>
      </c>
      <c r="C16" s="29">
        <v>5308818405</v>
      </c>
      <c r="D16" s="29">
        <v>3768959985</v>
      </c>
      <c r="E16" s="29">
        <v>1539858420</v>
      </c>
      <c r="F16" s="29">
        <v>500000</v>
      </c>
      <c r="G16" s="29">
        <v>5308818405</v>
      </c>
      <c r="H16" s="29">
        <v>3768959985</v>
      </c>
      <c r="I16" s="29">
        <v>1539858420</v>
      </c>
    </row>
    <row r="17" spans="1:9" x14ac:dyDescent="0.45">
      <c r="A17" s="29" t="s">
        <v>82</v>
      </c>
      <c r="B17" s="29">
        <v>200000</v>
      </c>
      <c r="C17" s="29">
        <v>4335754017</v>
      </c>
      <c r="D17" s="29">
        <v>2115480387</v>
      </c>
      <c r="E17" s="29">
        <v>2220273630</v>
      </c>
      <c r="F17" s="29">
        <v>300000</v>
      </c>
      <c r="G17" s="29">
        <v>6583902692</v>
      </c>
      <c r="H17" s="29">
        <v>3172595242</v>
      </c>
      <c r="I17" s="29">
        <v>3411307450</v>
      </c>
    </row>
    <row r="18" spans="1:9" x14ac:dyDescent="0.45">
      <c r="A18" s="29" t="s">
        <v>83</v>
      </c>
      <c r="B18" s="29">
        <v>30000</v>
      </c>
      <c r="C18" s="29">
        <v>1174649232</v>
      </c>
      <c r="D18" s="29">
        <v>507028086</v>
      </c>
      <c r="E18" s="29">
        <v>667621146</v>
      </c>
      <c r="F18" s="29">
        <v>30000</v>
      </c>
      <c r="G18" s="29">
        <v>1174649232</v>
      </c>
      <c r="H18" s="29">
        <v>507028086</v>
      </c>
      <c r="I18" s="29">
        <v>667621146</v>
      </c>
    </row>
    <row r="19" spans="1:9" x14ac:dyDescent="0.45">
      <c r="A19" s="29" t="s">
        <v>84</v>
      </c>
      <c r="B19" s="29">
        <v>0</v>
      </c>
      <c r="C19" s="29">
        <v>0</v>
      </c>
      <c r="D19" s="29">
        <v>0</v>
      </c>
      <c r="E19" s="29">
        <v>0</v>
      </c>
      <c r="F19" s="29">
        <v>3000000</v>
      </c>
      <c r="G19" s="29">
        <v>22202041324</v>
      </c>
      <c r="H19" s="29">
        <v>18557641252</v>
      </c>
      <c r="I19" s="29">
        <v>3644400072</v>
      </c>
    </row>
    <row r="20" spans="1:9" x14ac:dyDescent="0.45">
      <c r="A20" s="29" t="s">
        <v>85</v>
      </c>
      <c r="B20" s="29">
        <v>600000</v>
      </c>
      <c r="C20" s="29">
        <v>4217543268</v>
      </c>
      <c r="D20" s="29">
        <v>2414082258</v>
      </c>
      <c r="E20" s="29">
        <v>1803461010</v>
      </c>
      <c r="F20" s="29">
        <v>600000</v>
      </c>
      <c r="G20" s="29">
        <v>4217543268</v>
      </c>
      <c r="H20" s="29">
        <v>2414082258</v>
      </c>
      <c r="I20" s="29">
        <v>1803461010</v>
      </c>
    </row>
    <row r="21" spans="1:9" x14ac:dyDescent="0.45">
      <c r="A21" s="29" t="s">
        <v>86</v>
      </c>
      <c r="B21" s="29">
        <v>0</v>
      </c>
      <c r="C21" s="29">
        <v>0</v>
      </c>
      <c r="D21" s="29">
        <v>0</v>
      </c>
      <c r="E21" s="29">
        <v>0</v>
      </c>
      <c r="F21" s="29">
        <v>600000</v>
      </c>
      <c r="G21" s="29">
        <v>7693591019</v>
      </c>
      <c r="H21" s="29">
        <v>5679355089</v>
      </c>
      <c r="I21" s="29">
        <v>2014235930</v>
      </c>
    </row>
    <row r="22" spans="1:9" x14ac:dyDescent="0.45">
      <c r="A22" s="29" t="s">
        <v>87</v>
      </c>
      <c r="B22" s="29">
        <v>1100000</v>
      </c>
      <c r="C22" s="29">
        <v>28414643877</v>
      </c>
      <c r="D22" s="29">
        <v>8757783762</v>
      </c>
      <c r="E22" s="29">
        <v>19656860115</v>
      </c>
      <c r="F22" s="29">
        <v>1537769</v>
      </c>
      <c r="G22" s="29">
        <v>38976156284</v>
      </c>
      <c r="H22" s="29">
        <v>12248951944</v>
      </c>
      <c r="I22" s="29">
        <v>26727204340</v>
      </c>
    </row>
    <row r="23" spans="1:9" x14ac:dyDescent="0.45">
      <c r="A23" s="29" t="s">
        <v>88</v>
      </c>
      <c r="B23" s="29">
        <v>3139161</v>
      </c>
      <c r="C23" s="29">
        <v>9149605119</v>
      </c>
      <c r="D23" s="29">
        <v>5568200953</v>
      </c>
      <c r="E23" s="29">
        <v>3581404166</v>
      </c>
      <c r="F23" s="29">
        <v>7598055</v>
      </c>
      <c r="G23" s="29">
        <v>21569990540</v>
      </c>
      <c r="H23" s="29">
        <v>13481811939</v>
      </c>
      <c r="I23" s="29">
        <v>8088178601</v>
      </c>
    </row>
    <row r="24" spans="1:9" x14ac:dyDescent="0.45">
      <c r="A24" s="29" t="s">
        <v>89</v>
      </c>
      <c r="B24" s="29">
        <v>300000</v>
      </c>
      <c r="C24" s="29">
        <v>1539010787</v>
      </c>
      <c r="D24" s="29">
        <v>973224163</v>
      </c>
      <c r="E24" s="29">
        <v>565786624</v>
      </c>
      <c r="F24" s="29">
        <v>2700000</v>
      </c>
      <c r="G24" s="29">
        <v>14195909736</v>
      </c>
      <c r="H24" s="29">
        <v>13511639465</v>
      </c>
      <c r="I24" s="29">
        <v>684270271</v>
      </c>
    </row>
    <row r="25" spans="1:9" x14ac:dyDescent="0.45">
      <c r="A25" s="29" t="s">
        <v>90</v>
      </c>
      <c r="B25" s="29">
        <v>2100000</v>
      </c>
      <c r="C25" s="29">
        <v>12258503665</v>
      </c>
      <c r="D25" s="29">
        <v>10845093547</v>
      </c>
      <c r="E25" s="29">
        <v>1413410118</v>
      </c>
      <c r="F25" s="29">
        <v>3600000</v>
      </c>
      <c r="G25" s="29">
        <v>19930943051</v>
      </c>
      <c r="H25" s="29">
        <v>18600030762</v>
      </c>
      <c r="I25" s="29">
        <v>1330912289</v>
      </c>
    </row>
    <row r="26" spans="1:9" x14ac:dyDescent="0.45">
      <c r="A26" s="29" t="s">
        <v>91</v>
      </c>
      <c r="B26" s="29">
        <v>300000</v>
      </c>
      <c r="C26" s="29">
        <v>4652460587</v>
      </c>
      <c r="D26" s="29">
        <v>2333297107</v>
      </c>
      <c r="E26" s="29">
        <v>2319163480</v>
      </c>
      <c r="F26" s="29">
        <v>300000</v>
      </c>
      <c r="G26" s="29">
        <v>4652460587</v>
      </c>
      <c r="H26" s="29">
        <v>2333297107</v>
      </c>
      <c r="I26" s="29">
        <v>2319163480</v>
      </c>
    </row>
    <row r="27" spans="1:9" x14ac:dyDescent="0.45">
      <c r="A27" s="29" t="s">
        <v>92</v>
      </c>
      <c r="B27" s="29">
        <v>2100000</v>
      </c>
      <c r="C27" s="29">
        <v>9668678942</v>
      </c>
      <c r="D27" s="29">
        <v>4803384995</v>
      </c>
      <c r="E27" s="29">
        <v>4865293947</v>
      </c>
      <c r="F27" s="29">
        <v>3600000</v>
      </c>
      <c r="G27" s="29">
        <v>13865981080</v>
      </c>
      <c r="H27" s="29">
        <v>8566286083</v>
      </c>
      <c r="I27" s="29">
        <v>5299694997</v>
      </c>
    </row>
    <row r="28" spans="1:9" x14ac:dyDescent="0.45">
      <c r="A28" s="29" t="s">
        <v>93</v>
      </c>
      <c r="B28" s="29">
        <v>106325</v>
      </c>
      <c r="C28" s="29">
        <v>5470492456</v>
      </c>
      <c r="D28" s="29">
        <v>3074964463</v>
      </c>
      <c r="E28" s="29">
        <v>2395527993</v>
      </c>
      <c r="F28" s="29">
        <v>837070</v>
      </c>
      <c r="G28" s="29">
        <v>33370535686</v>
      </c>
      <c r="H28" s="29">
        <v>24283966203</v>
      </c>
      <c r="I28" s="29">
        <v>9086569483</v>
      </c>
    </row>
    <row r="29" spans="1:9" x14ac:dyDescent="0.45">
      <c r="A29" s="29" t="s">
        <v>94</v>
      </c>
      <c r="B29" s="29">
        <v>0</v>
      </c>
      <c r="C29" s="29">
        <v>0</v>
      </c>
      <c r="D29" s="29">
        <v>0</v>
      </c>
      <c r="E29" s="29">
        <v>0</v>
      </c>
      <c r="F29" s="29">
        <v>6600000</v>
      </c>
      <c r="G29" s="29">
        <v>39293922978</v>
      </c>
      <c r="H29" s="29">
        <v>37858640110</v>
      </c>
      <c r="I29" s="29">
        <v>1435282868</v>
      </c>
    </row>
    <row r="30" spans="1:9" x14ac:dyDescent="0.45">
      <c r="A30" s="29" t="s">
        <v>95</v>
      </c>
      <c r="B30" s="29">
        <v>0</v>
      </c>
      <c r="C30" s="29">
        <v>0</v>
      </c>
      <c r="D30" s="29">
        <v>0</v>
      </c>
      <c r="E30" s="29">
        <v>0</v>
      </c>
      <c r="F30" s="29">
        <v>3000000</v>
      </c>
      <c r="G30" s="29">
        <v>7538350190</v>
      </c>
      <c r="H30" s="29">
        <v>5607546251</v>
      </c>
      <c r="I30" s="29">
        <v>1930803939</v>
      </c>
    </row>
    <row r="31" spans="1:9" x14ac:dyDescent="0.45">
      <c r="A31" s="29" t="s">
        <v>96</v>
      </c>
      <c r="B31" s="29">
        <v>0</v>
      </c>
      <c r="C31" s="29">
        <v>0</v>
      </c>
      <c r="D31" s="29">
        <v>0</v>
      </c>
      <c r="E31" s="29">
        <v>0</v>
      </c>
      <c r="F31" s="29">
        <v>11200000</v>
      </c>
      <c r="G31" s="29">
        <v>16330794757</v>
      </c>
      <c r="H31" s="29">
        <v>16876318400</v>
      </c>
      <c r="I31" s="29">
        <v>-545523643</v>
      </c>
    </row>
    <row r="32" spans="1:9" x14ac:dyDescent="0.45">
      <c r="A32" s="29" t="s">
        <v>97</v>
      </c>
      <c r="B32" s="29">
        <v>240000</v>
      </c>
      <c r="C32" s="29">
        <v>9268558713</v>
      </c>
      <c r="D32" s="29">
        <v>4081041284</v>
      </c>
      <c r="E32" s="29">
        <v>5187517429</v>
      </c>
      <c r="F32" s="29">
        <v>600000</v>
      </c>
      <c r="G32" s="29">
        <v>17921969375</v>
      </c>
      <c r="H32" s="29">
        <v>10243497344</v>
      </c>
      <c r="I32" s="29">
        <v>7678472031</v>
      </c>
    </row>
    <row r="33" spans="1:9" x14ac:dyDescent="0.45">
      <c r="A33" s="29" t="s">
        <v>98</v>
      </c>
      <c r="B33" s="29">
        <v>700000</v>
      </c>
      <c r="C33" s="29">
        <v>14463017634</v>
      </c>
      <c r="D33" s="29">
        <v>11307414662</v>
      </c>
      <c r="E33" s="29">
        <v>3155602972</v>
      </c>
      <c r="F33" s="29">
        <v>700000</v>
      </c>
      <c r="G33" s="29">
        <v>14463017634</v>
      </c>
      <c r="H33" s="29">
        <v>11307414662</v>
      </c>
      <c r="I33" s="29">
        <v>3155602972</v>
      </c>
    </row>
    <row r="34" spans="1:9" x14ac:dyDescent="0.45">
      <c r="A34" s="29" t="s">
        <v>99</v>
      </c>
      <c r="B34" s="29">
        <v>1852500</v>
      </c>
      <c r="C34" s="29">
        <v>25550184785</v>
      </c>
      <c r="D34" s="29">
        <v>27220290542</v>
      </c>
      <c r="E34" s="29">
        <v>-1670105757</v>
      </c>
      <c r="F34" s="29">
        <v>2152500</v>
      </c>
      <c r="G34" s="29">
        <v>30777463182</v>
      </c>
      <c r="H34" s="29">
        <v>31590299426</v>
      </c>
      <c r="I34" s="29">
        <v>-812836244</v>
      </c>
    </row>
    <row r="35" spans="1:9" x14ac:dyDescent="0.45">
      <c r="A35" s="29" t="s">
        <v>100</v>
      </c>
      <c r="B35" s="29">
        <v>154167</v>
      </c>
      <c r="C35" s="29">
        <v>1258023232</v>
      </c>
      <c r="D35" s="29">
        <v>721841786</v>
      </c>
      <c r="E35" s="29">
        <v>536181446</v>
      </c>
      <c r="F35" s="29">
        <v>3619637</v>
      </c>
      <c r="G35" s="29">
        <v>21040423743</v>
      </c>
      <c r="H35" s="29">
        <v>17014076987</v>
      </c>
      <c r="I35" s="29">
        <v>4026346756</v>
      </c>
    </row>
    <row r="36" spans="1:9" x14ac:dyDescent="0.45">
      <c r="A36" s="29" t="s">
        <v>101</v>
      </c>
      <c r="B36" s="29">
        <v>3072340</v>
      </c>
      <c r="C36" s="29">
        <v>22086806793</v>
      </c>
      <c r="D36" s="29">
        <v>12075842302</v>
      </c>
      <c r="E36" s="29">
        <v>10010964491</v>
      </c>
      <c r="F36" s="29">
        <v>6172340</v>
      </c>
      <c r="G36" s="29">
        <v>40099698648</v>
      </c>
      <c r="H36" s="29">
        <v>24104933559</v>
      </c>
      <c r="I36" s="29">
        <v>15994765089</v>
      </c>
    </row>
    <row r="37" spans="1:9" x14ac:dyDescent="0.45">
      <c r="A37" s="29" t="s">
        <v>102</v>
      </c>
      <c r="B37" s="29">
        <v>529208</v>
      </c>
      <c r="C37" s="29">
        <v>12524734971</v>
      </c>
      <c r="D37" s="29">
        <v>11719592886</v>
      </c>
      <c r="E37" s="29">
        <v>805142085</v>
      </c>
      <c r="F37" s="29">
        <v>1829208</v>
      </c>
      <c r="G37" s="29">
        <v>43929611833</v>
      </c>
      <c r="H37" s="29">
        <v>40503816031</v>
      </c>
      <c r="I37" s="29">
        <v>3425795802</v>
      </c>
    </row>
    <row r="38" spans="1:9" x14ac:dyDescent="0.45">
      <c r="A38" s="29" t="s">
        <v>103</v>
      </c>
      <c r="B38" s="29">
        <v>0</v>
      </c>
      <c r="C38" s="29">
        <v>0</v>
      </c>
      <c r="D38" s="29">
        <v>0</v>
      </c>
      <c r="E38" s="29">
        <v>0</v>
      </c>
      <c r="F38" s="29">
        <v>476343</v>
      </c>
      <c r="G38" s="29">
        <v>3051791423</v>
      </c>
      <c r="H38" s="29">
        <v>3222629432</v>
      </c>
      <c r="I38" s="29">
        <v>-170838009</v>
      </c>
    </row>
    <row r="39" spans="1:9" x14ac:dyDescent="0.45">
      <c r="A39" s="29" t="s">
        <v>104</v>
      </c>
      <c r="B39" s="29">
        <v>0</v>
      </c>
      <c r="C39" s="29">
        <v>0</v>
      </c>
      <c r="D39" s="29">
        <v>0</v>
      </c>
      <c r="E39" s="29">
        <v>0</v>
      </c>
      <c r="F39" s="29">
        <v>1100000</v>
      </c>
      <c r="G39" s="29">
        <v>34329654104</v>
      </c>
      <c r="H39" s="29">
        <v>20296881492</v>
      </c>
      <c r="I39" s="29">
        <v>14032772612</v>
      </c>
    </row>
    <row r="40" spans="1:9" x14ac:dyDescent="0.45">
      <c r="A40" s="29" t="s">
        <v>105</v>
      </c>
      <c r="B40" s="29">
        <v>600000</v>
      </c>
      <c r="C40" s="29">
        <v>3465006954</v>
      </c>
      <c r="D40" s="29">
        <v>1334986820</v>
      </c>
      <c r="E40" s="29">
        <v>2130020134</v>
      </c>
      <c r="F40" s="29">
        <v>900000</v>
      </c>
      <c r="G40" s="29">
        <v>4900351015</v>
      </c>
      <c r="H40" s="29">
        <v>2004795114</v>
      </c>
      <c r="I40" s="29">
        <v>2895555901</v>
      </c>
    </row>
    <row r="41" spans="1:9" x14ac:dyDescent="0.45">
      <c r="A41" s="29" t="s">
        <v>106</v>
      </c>
      <c r="B41" s="29">
        <v>600000</v>
      </c>
      <c r="C41" s="29">
        <v>2012638956</v>
      </c>
      <c r="D41" s="29">
        <v>1493240819</v>
      </c>
      <c r="E41" s="29">
        <v>519398137</v>
      </c>
      <c r="F41" s="29">
        <v>2500000</v>
      </c>
      <c r="G41" s="29">
        <v>11773668457</v>
      </c>
      <c r="H41" s="29">
        <v>10363144907</v>
      </c>
      <c r="I41" s="29">
        <v>1410523550</v>
      </c>
    </row>
    <row r="42" spans="1:9" x14ac:dyDescent="0.45">
      <c r="A42" s="29" t="s">
        <v>107</v>
      </c>
      <c r="B42" s="29">
        <v>900000</v>
      </c>
      <c r="C42" s="29">
        <v>15265765989</v>
      </c>
      <c r="D42" s="29">
        <v>14546283447</v>
      </c>
      <c r="E42" s="29">
        <v>719482542</v>
      </c>
      <c r="F42" s="29">
        <v>1191304</v>
      </c>
      <c r="G42" s="29">
        <v>20078485543</v>
      </c>
      <c r="H42" s="29">
        <v>19255495210</v>
      </c>
      <c r="I42" s="29">
        <v>822990333</v>
      </c>
    </row>
    <row r="43" spans="1:9" x14ac:dyDescent="0.45">
      <c r="A43" s="29" t="s">
        <v>108</v>
      </c>
      <c r="B43" s="29">
        <v>500000</v>
      </c>
      <c r="C43" s="29">
        <v>8622826340</v>
      </c>
      <c r="D43" s="29">
        <v>3003901990</v>
      </c>
      <c r="E43" s="29">
        <v>5618924350</v>
      </c>
      <c r="F43" s="29">
        <v>500000</v>
      </c>
      <c r="G43" s="29">
        <v>8622826340</v>
      </c>
      <c r="H43" s="29">
        <v>3003901990</v>
      </c>
      <c r="I43" s="29">
        <v>5618924350</v>
      </c>
    </row>
    <row r="44" spans="1:9" x14ac:dyDescent="0.45">
      <c r="A44" s="29" t="s">
        <v>109</v>
      </c>
      <c r="B44" s="29">
        <v>288274</v>
      </c>
      <c r="C44" s="29">
        <v>3652866677</v>
      </c>
      <c r="D44" s="29">
        <v>2915473880</v>
      </c>
      <c r="E44" s="29">
        <v>737392797</v>
      </c>
      <c r="F44" s="29">
        <v>488274</v>
      </c>
      <c r="G44" s="29">
        <v>5863950166</v>
      </c>
      <c r="H44" s="29">
        <v>4940702053</v>
      </c>
      <c r="I44" s="29">
        <v>923248113</v>
      </c>
    </row>
    <row r="45" spans="1:9" x14ac:dyDescent="0.45">
      <c r="A45" s="29" t="s">
        <v>110</v>
      </c>
      <c r="B45" s="29">
        <v>0</v>
      </c>
      <c r="C45" s="29">
        <v>0</v>
      </c>
      <c r="D45" s="29">
        <v>0</v>
      </c>
      <c r="E45" s="29">
        <v>0</v>
      </c>
      <c r="F45" s="29">
        <v>600000</v>
      </c>
      <c r="G45" s="29">
        <v>3214954810</v>
      </c>
      <c r="H45" s="29">
        <v>3634667007</v>
      </c>
      <c r="I45" s="29">
        <v>-419712197</v>
      </c>
    </row>
    <row r="46" spans="1:9" x14ac:dyDescent="0.45">
      <c r="A46" s="29" t="s">
        <v>111</v>
      </c>
      <c r="B46" s="29">
        <v>90000</v>
      </c>
      <c r="C46" s="29">
        <v>3316017524</v>
      </c>
      <c r="D46" s="29">
        <v>1873990853</v>
      </c>
      <c r="E46" s="29">
        <v>1442026671</v>
      </c>
      <c r="F46" s="29">
        <v>90000</v>
      </c>
      <c r="G46" s="29">
        <v>3316017524</v>
      </c>
      <c r="H46" s="29">
        <v>1873990853</v>
      </c>
      <c r="I46" s="29">
        <v>1442026671</v>
      </c>
    </row>
    <row r="47" spans="1:9" x14ac:dyDescent="0.45">
      <c r="A47" s="29" t="s">
        <v>112</v>
      </c>
      <c r="B47" s="29">
        <v>800000</v>
      </c>
      <c r="C47" s="29">
        <v>16611592147</v>
      </c>
      <c r="D47" s="29">
        <v>7800484894</v>
      </c>
      <c r="E47" s="29">
        <v>8811107253</v>
      </c>
      <c r="F47" s="29">
        <v>1200000</v>
      </c>
      <c r="G47" s="29">
        <v>22207994987</v>
      </c>
      <c r="H47" s="29">
        <v>13194527334</v>
      </c>
      <c r="I47" s="29">
        <v>9013467653</v>
      </c>
    </row>
    <row r="48" spans="1:9" x14ac:dyDescent="0.45">
      <c r="A48" s="29" t="s">
        <v>113</v>
      </c>
      <c r="B48" s="29">
        <v>0</v>
      </c>
      <c r="C48" s="29">
        <v>0</v>
      </c>
      <c r="D48" s="29">
        <v>0</v>
      </c>
      <c r="E48" s="29">
        <v>0</v>
      </c>
      <c r="F48" s="29">
        <v>2400000</v>
      </c>
      <c r="G48" s="29">
        <v>11915241864</v>
      </c>
      <c r="H48" s="29">
        <v>12208416192</v>
      </c>
      <c r="I48" s="29">
        <v>-293174328</v>
      </c>
    </row>
    <row r="49" spans="1:9" x14ac:dyDescent="0.45">
      <c r="A49" s="29" t="s">
        <v>114</v>
      </c>
      <c r="B49" s="29">
        <v>550862</v>
      </c>
      <c r="C49" s="29">
        <v>5825888329</v>
      </c>
      <c r="D49" s="29">
        <v>3018803831</v>
      </c>
      <c r="E49" s="29">
        <v>2807084498</v>
      </c>
      <c r="F49" s="29">
        <v>1150862</v>
      </c>
      <c r="G49" s="29">
        <v>12718195785</v>
      </c>
      <c r="H49" s="29">
        <v>6302631707</v>
      </c>
      <c r="I49" s="29">
        <v>6415564078</v>
      </c>
    </row>
    <row r="50" spans="1:9" x14ac:dyDescent="0.45">
      <c r="A50" s="29" t="s">
        <v>115</v>
      </c>
      <c r="B50" s="29">
        <v>5800000</v>
      </c>
      <c r="C50" s="29">
        <v>84070395492</v>
      </c>
      <c r="D50" s="29">
        <v>16449427094</v>
      </c>
      <c r="E50" s="29">
        <v>67620968398</v>
      </c>
      <c r="F50" s="29">
        <v>5800000</v>
      </c>
      <c r="G50" s="29">
        <v>84070395492</v>
      </c>
      <c r="H50" s="29">
        <v>16449427094</v>
      </c>
      <c r="I50" s="29">
        <v>67620968398</v>
      </c>
    </row>
    <row r="51" spans="1:9" x14ac:dyDescent="0.45">
      <c r="A51" s="29" t="s">
        <v>116</v>
      </c>
      <c r="B51" s="29">
        <v>1800000</v>
      </c>
      <c r="C51" s="29">
        <v>9984220792</v>
      </c>
      <c r="D51" s="29">
        <v>4224545769</v>
      </c>
      <c r="E51" s="29">
        <v>5759675023</v>
      </c>
      <c r="F51" s="29">
        <v>6000000</v>
      </c>
      <c r="G51" s="29">
        <v>22527875278</v>
      </c>
      <c r="H51" s="29">
        <v>14165586303</v>
      </c>
      <c r="I51" s="29">
        <v>8362288975</v>
      </c>
    </row>
    <row r="52" spans="1:9" x14ac:dyDescent="0.45">
      <c r="A52" s="29" t="s">
        <v>117</v>
      </c>
      <c r="B52" s="29">
        <v>100000</v>
      </c>
      <c r="C52" s="29">
        <v>1930280504</v>
      </c>
      <c r="D52" s="29">
        <v>746033794</v>
      </c>
      <c r="E52" s="29">
        <v>1184246710</v>
      </c>
      <c r="F52" s="29">
        <v>390875</v>
      </c>
      <c r="G52" s="29">
        <v>7027430168</v>
      </c>
      <c r="H52" s="29">
        <v>2920091491</v>
      </c>
      <c r="I52" s="29">
        <v>4107338677</v>
      </c>
    </row>
    <row r="53" spans="1:9" x14ac:dyDescent="0.45">
      <c r="A53" s="29" t="s">
        <v>118</v>
      </c>
      <c r="B53" s="29">
        <v>376146</v>
      </c>
      <c r="C53" s="29">
        <v>8996006765</v>
      </c>
      <c r="D53" s="29">
        <v>3968358590</v>
      </c>
      <c r="E53" s="29">
        <v>5027648175</v>
      </c>
      <c r="F53" s="29">
        <v>376146</v>
      </c>
      <c r="G53" s="29">
        <v>8996006765</v>
      </c>
      <c r="H53" s="29">
        <v>3968358590</v>
      </c>
      <c r="I53" s="29">
        <v>5027648175</v>
      </c>
    </row>
    <row r="54" spans="1:9" x14ac:dyDescent="0.45">
      <c r="A54" s="29" t="s">
        <v>119</v>
      </c>
      <c r="B54" s="29">
        <v>1167565</v>
      </c>
      <c r="C54" s="29">
        <v>10366334497</v>
      </c>
      <c r="D54" s="29">
        <v>3879132818</v>
      </c>
      <c r="E54" s="29">
        <v>6487201679</v>
      </c>
      <c r="F54" s="29">
        <v>1167565</v>
      </c>
      <c r="G54" s="29">
        <v>10366334497</v>
      </c>
      <c r="H54" s="29">
        <v>3879132818</v>
      </c>
      <c r="I54" s="29">
        <v>6487201679</v>
      </c>
    </row>
    <row r="55" spans="1:9" x14ac:dyDescent="0.45">
      <c r="A55" s="29" t="s">
        <v>120</v>
      </c>
      <c r="B55" s="29">
        <v>4000000</v>
      </c>
      <c r="C55" s="29">
        <v>9667946697</v>
      </c>
      <c r="D55" s="29">
        <v>5935807412</v>
      </c>
      <c r="E55" s="29">
        <v>3732139285</v>
      </c>
      <c r="F55" s="29">
        <v>6324711</v>
      </c>
      <c r="G55" s="29">
        <v>14512946169</v>
      </c>
      <c r="H55" s="29">
        <v>9391594738</v>
      </c>
      <c r="I55" s="29">
        <v>5121351431</v>
      </c>
    </row>
    <row r="56" spans="1:9" x14ac:dyDescent="0.45">
      <c r="A56" s="29" t="s">
        <v>121</v>
      </c>
      <c r="B56" s="29">
        <v>700000</v>
      </c>
      <c r="C56" s="29">
        <v>12250230423</v>
      </c>
      <c r="D56" s="29">
        <v>2817674389</v>
      </c>
      <c r="E56" s="29">
        <v>9432556034</v>
      </c>
      <c r="F56" s="29">
        <v>700000</v>
      </c>
      <c r="G56" s="29">
        <v>12250230423</v>
      </c>
      <c r="H56" s="29">
        <v>2817674389</v>
      </c>
      <c r="I56" s="29">
        <v>9432556034</v>
      </c>
    </row>
    <row r="57" spans="1:9" x14ac:dyDescent="0.45">
      <c r="A57" s="29" t="s">
        <v>122</v>
      </c>
      <c r="B57" s="29">
        <v>300000</v>
      </c>
      <c r="C57" s="29">
        <v>2190932165</v>
      </c>
      <c r="D57" s="29">
        <v>950965668</v>
      </c>
      <c r="E57" s="29">
        <v>1239966497</v>
      </c>
      <c r="F57" s="29">
        <v>3900000</v>
      </c>
      <c r="G57" s="29">
        <v>21917108427</v>
      </c>
      <c r="H57" s="29">
        <v>12413696655</v>
      </c>
      <c r="I57" s="29">
        <v>9503411772</v>
      </c>
    </row>
    <row r="58" spans="1:9" x14ac:dyDescent="0.45">
      <c r="A58" s="29" t="s">
        <v>123</v>
      </c>
      <c r="B58" s="29">
        <v>0</v>
      </c>
      <c r="C58" s="29">
        <v>0</v>
      </c>
      <c r="D58" s="29">
        <v>0</v>
      </c>
      <c r="E58" s="29">
        <v>0</v>
      </c>
      <c r="F58" s="29">
        <v>1000000</v>
      </c>
      <c r="G58" s="29">
        <v>2003763433</v>
      </c>
      <c r="H58" s="29">
        <v>1871245451</v>
      </c>
      <c r="I58" s="29">
        <v>132517982</v>
      </c>
    </row>
    <row r="59" spans="1:9" x14ac:dyDescent="0.45">
      <c r="A59" s="29" t="s">
        <v>124</v>
      </c>
      <c r="B59" s="29">
        <v>1800000</v>
      </c>
      <c r="C59" s="29">
        <v>5465472833</v>
      </c>
      <c r="D59" s="29">
        <v>3827439702</v>
      </c>
      <c r="E59" s="29">
        <v>1638033131</v>
      </c>
      <c r="F59" s="29">
        <v>1800000</v>
      </c>
      <c r="G59" s="29">
        <v>5465472833</v>
      </c>
      <c r="H59" s="29">
        <v>3827439702</v>
      </c>
      <c r="I59" s="29">
        <v>1638033131</v>
      </c>
    </row>
    <row r="60" spans="1:9" x14ac:dyDescent="0.45">
      <c r="A60" s="29" t="s">
        <v>125</v>
      </c>
      <c r="B60" s="29">
        <v>2100000</v>
      </c>
      <c r="C60" s="29">
        <v>7084807858</v>
      </c>
      <c r="D60" s="29">
        <v>5339925578</v>
      </c>
      <c r="E60" s="29">
        <v>1744882280</v>
      </c>
      <c r="F60" s="29">
        <v>8000000</v>
      </c>
      <c r="G60" s="29">
        <v>22151134039</v>
      </c>
      <c r="H60" s="29">
        <v>19157277569</v>
      </c>
      <c r="I60" s="29">
        <v>2993856470</v>
      </c>
    </row>
    <row r="61" spans="1:9" x14ac:dyDescent="0.45">
      <c r="A61" s="29" t="s">
        <v>126</v>
      </c>
      <c r="B61" s="29">
        <v>90000</v>
      </c>
      <c r="C61" s="29">
        <v>4776680424</v>
      </c>
      <c r="D61" s="29">
        <v>2683890695</v>
      </c>
      <c r="E61" s="29">
        <v>2092789729</v>
      </c>
      <c r="F61" s="29">
        <v>90000</v>
      </c>
      <c r="G61" s="29">
        <v>4776680424</v>
      </c>
      <c r="H61" s="29">
        <v>2683890695</v>
      </c>
      <c r="I61" s="29">
        <v>2092789729</v>
      </c>
    </row>
    <row r="62" spans="1:9" x14ac:dyDescent="0.45">
      <c r="A62" s="29" t="s">
        <v>127</v>
      </c>
      <c r="B62" s="29">
        <v>600000</v>
      </c>
      <c r="C62" s="29">
        <v>3357841694</v>
      </c>
      <c r="D62" s="29">
        <v>3752019533</v>
      </c>
      <c r="E62" s="29">
        <v>-394177839</v>
      </c>
      <c r="F62" s="29">
        <v>3679637</v>
      </c>
      <c r="G62" s="29">
        <v>20764597714</v>
      </c>
      <c r="H62" s="29">
        <v>23008544571</v>
      </c>
      <c r="I62" s="29">
        <v>-2243946857</v>
      </c>
    </row>
    <row r="63" spans="1:9" x14ac:dyDescent="0.45">
      <c r="A63" s="29" t="s">
        <v>128</v>
      </c>
      <c r="B63" s="29">
        <v>1045000</v>
      </c>
      <c r="C63" s="29">
        <v>6686113768</v>
      </c>
      <c r="D63" s="29">
        <v>3520085791</v>
      </c>
      <c r="E63" s="29">
        <v>3166027977</v>
      </c>
      <c r="F63" s="29">
        <v>4945001</v>
      </c>
      <c r="G63" s="29">
        <v>27152299105</v>
      </c>
      <c r="H63" s="29">
        <v>16692203913</v>
      </c>
      <c r="I63" s="29">
        <v>10460095192</v>
      </c>
    </row>
    <row r="64" spans="1:9" x14ac:dyDescent="0.45">
      <c r="A64" s="29" t="s">
        <v>129</v>
      </c>
      <c r="B64" s="29">
        <v>451842</v>
      </c>
      <c r="C64" s="29">
        <v>8662779576</v>
      </c>
      <c r="D64" s="29">
        <v>3384804488</v>
      </c>
      <c r="E64" s="29">
        <v>5277975088</v>
      </c>
      <c r="F64" s="29">
        <v>1151842</v>
      </c>
      <c r="G64" s="29">
        <v>22287638989</v>
      </c>
      <c r="H64" s="29">
        <v>8626999201</v>
      </c>
      <c r="I64" s="29">
        <v>13660639788</v>
      </c>
    </row>
    <row r="65" spans="1:9" x14ac:dyDescent="0.45">
      <c r="A65" s="29" t="s">
        <v>130</v>
      </c>
      <c r="B65" s="29">
        <v>0</v>
      </c>
      <c r="C65" s="29">
        <v>0</v>
      </c>
      <c r="D65" s="29">
        <v>0</v>
      </c>
      <c r="E65" s="29">
        <v>0</v>
      </c>
      <c r="F65" s="29">
        <v>700000</v>
      </c>
      <c r="G65" s="29">
        <v>18291629144</v>
      </c>
      <c r="H65" s="29">
        <v>11882690418</v>
      </c>
      <c r="I65" s="29">
        <v>6408938726</v>
      </c>
    </row>
    <row r="66" spans="1:9" x14ac:dyDescent="0.45">
      <c r="A66" s="29" t="s">
        <v>131</v>
      </c>
      <c r="B66" s="29">
        <v>200000</v>
      </c>
      <c r="C66" s="29">
        <v>2368397291</v>
      </c>
      <c r="D66" s="29">
        <v>1188467359</v>
      </c>
      <c r="E66" s="29">
        <v>1179929932</v>
      </c>
      <c r="F66" s="29">
        <v>850002</v>
      </c>
      <c r="G66" s="29">
        <v>15619459621</v>
      </c>
      <c r="H66" s="29">
        <v>7972397984</v>
      </c>
      <c r="I66" s="29">
        <v>7647061637</v>
      </c>
    </row>
    <row r="67" spans="1:9" x14ac:dyDescent="0.45">
      <c r="A67" s="29" t="s">
        <v>132</v>
      </c>
      <c r="B67" s="29">
        <v>0</v>
      </c>
      <c r="C67" s="29">
        <v>0</v>
      </c>
      <c r="D67" s="29">
        <v>0</v>
      </c>
      <c r="E67" s="29">
        <v>0</v>
      </c>
      <c r="F67" s="29">
        <v>80000</v>
      </c>
      <c r="G67" s="29">
        <v>12986161167</v>
      </c>
      <c r="H67" s="29">
        <v>9924731147</v>
      </c>
      <c r="I67" s="29">
        <v>3061430020</v>
      </c>
    </row>
    <row r="68" spans="1:9" x14ac:dyDescent="0.45">
      <c r="A68" s="29" t="s">
        <v>133</v>
      </c>
      <c r="B68" s="29">
        <v>0</v>
      </c>
      <c r="C68" s="29">
        <v>0</v>
      </c>
      <c r="D68" s="29">
        <v>0</v>
      </c>
      <c r="E68" s="29">
        <v>0</v>
      </c>
      <c r="F68" s="29">
        <v>1500000</v>
      </c>
      <c r="G68" s="29">
        <v>34684791466</v>
      </c>
      <c r="H68" s="29">
        <v>12842646156</v>
      </c>
      <c r="I68" s="29">
        <v>21842145310</v>
      </c>
    </row>
    <row r="69" spans="1:9" x14ac:dyDescent="0.45">
      <c r="A69" s="29" t="s">
        <v>134</v>
      </c>
      <c r="B69" s="29">
        <v>900000</v>
      </c>
      <c r="C69" s="29">
        <v>12198967456</v>
      </c>
      <c r="D69" s="29">
        <v>6502005657</v>
      </c>
      <c r="E69" s="29">
        <v>5696961799</v>
      </c>
      <c r="F69" s="29">
        <v>1000000</v>
      </c>
      <c r="G69" s="29">
        <v>13533570619</v>
      </c>
      <c r="H69" s="29">
        <v>7417166176</v>
      </c>
      <c r="I69" s="29">
        <v>6116404443</v>
      </c>
    </row>
    <row r="70" spans="1:9" x14ac:dyDescent="0.45">
      <c r="A70" s="29" t="s">
        <v>135</v>
      </c>
      <c r="B70" s="29">
        <v>0</v>
      </c>
      <c r="C70" s="29">
        <v>0</v>
      </c>
      <c r="D70" s="29">
        <v>0</v>
      </c>
      <c r="E70" s="29">
        <v>0</v>
      </c>
      <c r="F70" s="29">
        <v>946004</v>
      </c>
      <c r="G70" s="29">
        <v>7295122379</v>
      </c>
      <c r="H70" s="29">
        <v>8743271630</v>
      </c>
      <c r="I70" s="29">
        <v>-1448149251</v>
      </c>
    </row>
    <row r="71" spans="1:9" x14ac:dyDescent="0.45">
      <c r="A71" s="29" t="s">
        <v>136</v>
      </c>
      <c r="B71" s="29">
        <v>0</v>
      </c>
      <c r="C71" s="29">
        <v>0</v>
      </c>
      <c r="D71" s="29">
        <v>0</v>
      </c>
      <c r="E71" s="29">
        <v>0</v>
      </c>
      <c r="F71" s="29">
        <v>5400000</v>
      </c>
      <c r="G71" s="29">
        <v>10968283319</v>
      </c>
      <c r="H71" s="29">
        <v>8282751211</v>
      </c>
      <c r="I71" s="29">
        <v>2685532108</v>
      </c>
    </row>
    <row r="72" spans="1:9" x14ac:dyDescent="0.45">
      <c r="A72" s="29" t="s">
        <v>137</v>
      </c>
      <c r="B72" s="29">
        <v>0</v>
      </c>
      <c r="C72" s="29">
        <v>0</v>
      </c>
      <c r="D72" s="29">
        <v>0</v>
      </c>
      <c r="E72" s="29">
        <v>0</v>
      </c>
      <c r="F72" s="29">
        <v>10000000</v>
      </c>
      <c r="G72" s="29">
        <v>17806528202</v>
      </c>
      <c r="H72" s="29">
        <v>11498919964</v>
      </c>
      <c r="I72" s="29">
        <v>6307608238</v>
      </c>
    </row>
    <row r="73" spans="1:9" x14ac:dyDescent="0.45">
      <c r="A73" s="29" t="s">
        <v>138</v>
      </c>
      <c r="B73" s="29">
        <v>0</v>
      </c>
      <c r="C73" s="29">
        <v>0</v>
      </c>
      <c r="D73" s="29">
        <v>0</v>
      </c>
      <c r="E73" s="29">
        <v>0</v>
      </c>
      <c r="F73" s="29">
        <v>49600000</v>
      </c>
      <c r="G73" s="29">
        <v>26145865814</v>
      </c>
      <c r="H73" s="29">
        <v>27305167741</v>
      </c>
      <c r="I73" s="29">
        <v>-1159301927</v>
      </c>
    </row>
    <row r="74" spans="1:9" x14ac:dyDescent="0.45">
      <c r="A74" s="29" t="s">
        <v>139</v>
      </c>
      <c r="B74" s="29">
        <v>1200000</v>
      </c>
      <c r="C74" s="29">
        <v>6894291983</v>
      </c>
      <c r="D74" s="29">
        <v>5096238372</v>
      </c>
      <c r="E74" s="29">
        <v>1798053611</v>
      </c>
      <c r="F74" s="29">
        <v>1200000</v>
      </c>
      <c r="G74" s="29">
        <v>6894291983</v>
      </c>
      <c r="H74" s="29">
        <v>5096238372</v>
      </c>
      <c r="I74" s="29">
        <v>1798053611</v>
      </c>
    </row>
    <row r="75" spans="1:9" x14ac:dyDescent="0.45">
      <c r="A75" s="29" t="s">
        <v>140</v>
      </c>
      <c r="B75" s="29">
        <v>0</v>
      </c>
      <c r="C75" s="29">
        <v>0</v>
      </c>
      <c r="D75" s="29">
        <v>0</v>
      </c>
      <c r="E75" s="29">
        <v>0</v>
      </c>
      <c r="F75" s="29">
        <v>2400000</v>
      </c>
      <c r="G75" s="29">
        <v>3942891022</v>
      </c>
      <c r="H75" s="29">
        <v>3917724859</v>
      </c>
      <c r="I75" s="29">
        <v>25166163</v>
      </c>
    </row>
    <row r="76" spans="1:9" x14ac:dyDescent="0.45">
      <c r="A76" s="29" t="s">
        <v>141</v>
      </c>
      <c r="B76" s="29">
        <v>0</v>
      </c>
      <c r="C76" s="29">
        <v>0</v>
      </c>
      <c r="D76" s="29">
        <v>0</v>
      </c>
      <c r="E76" s="29">
        <v>0</v>
      </c>
      <c r="F76" s="29">
        <v>1200000</v>
      </c>
      <c r="G76" s="29">
        <v>6310837232</v>
      </c>
      <c r="H76" s="29">
        <v>2885905185</v>
      </c>
      <c r="I76" s="29">
        <v>3424932047</v>
      </c>
    </row>
    <row r="77" spans="1:9" x14ac:dyDescent="0.45">
      <c r="A77" s="29" t="s">
        <v>142</v>
      </c>
      <c r="B77" s="29">
        <v>2400000</v>
      </c>
      <c r="C77" s="29">
        <v>12764561323</v>
      </c>
      <c r="D77" s="29">
        <v>8878099224</v>
      </c>
      <c r="E77" s="29">
        <v>3886462099</v>
      </c>
      <c r="F77" s="29">
        <v>9900000</v>
      </c>
      <c r="G77" s="29">
        <v>46241565325</v>
      </c>
      <c r="H77" s="29">
        <v>36672112235</v>
      </c>
      <c r="I77" s="29">
        <v>9569453090</v>
      </c>
    </row>
    <row r="78" spans="1:9" x14ac:dyDescent="0.45">
      <c r="A78" s="29" t="s">
        <v>143</v>
      </c>
      <c r="B78" s="29">
        <v>0</v>
      </c>
      <c r="C78" s="29">
        <v>0</v>
      </c>
      <c r="D78" s="29">
        <v>0</v>
      </c>
      <c r="E78" s="29">
        <v>0</v>
      </c>
      <c r="F78" s="29">
        <v>5000001</v>
      </c>
      <c r="G78" s="29">
        <v>7135840568</v>
      </c>
      <c r="H78" s="29">
        <v>6189858780</v>
      </c>
      <c r="I78" s="29">
        <v>945981788</v>
      </c>
    </row>
    <row r="79" spans="1:9" x14ac:dyDescent="0.45">
      <c r="A79" s="29" t="s">
        <v>144</v>
      </c>
      <c r="B79" s="29">
        <v>3900000</v>
      </c>
      <c r="C79" s="29">
        <v>25682846093</v>
      </c>
      <c r="D79" s="29">
        <v>15435961581</v>
      </c>
      <c r="E79" s="29">
        <v>10246884512</v>
      </c>
      <c r="F79" s="29">
        <v>8500000</v>
      </c>
      <c r="G79" s="29">
        <v>47937824128</v>
      </c>
      <c r="H79" s="29">
        <v>33705095037</v>
      </c>
      <c r="I79" s="29">
        <v>14232729091</v>
      </c>
    </row>
    <row r="80" spans="1:9" x14ac:dyDescent="0.45">
      <c r="A80" s="29" t="s">
        <v>145</v>
      </c>
      <c r="B80" s="29">
        <v>1900000</v>
      </c>
      <c r="C80" s="29">
        <v>21226639970</v>
      </c>
      <c r="D80" s="29">
        <v>14725786834</v>
      </c>
      <c r="E80" s="29">
        <v>6500853136</v>
      </c>
      <c r="F80" s="29">
        <v>3400000</v>
      </c>
      <c r="G80" s="29">
        <v>36941220074</v>
      </c>
      <c r="H80" s="29">
        <v>26359535515</v>
      </c>
      <c r="I80" s="29">
        <v>10581684559</v>
      </c>
    </row>
    <row r="81" spans="1:9" x14ac:dyDescent="0.45">
      <c r="A81" s="29" t="s">
        <v>146</v>
      </c>
      <c r="B81" s="29">
        <v>510000</v>
      </c>
      <c r="C81" s="29">
        <v>24610181504</v>
      </c>
      <c r="D81" s="29">
        <v>16503623954</v>
      </c>
      <c r="E81" s="29">
        <v>8106557550</v>
      </c>
      <c r="F81" s="29">
        <v>920000</v>
      </c>
      <c r="G81" s="29">
        <v>42710504654</v>
      </c>
      <c r="H81" s="29">
        <v>29759775430</v>
      </c>
      <c r="I81" s="29">
        <v>12950729224</v>
      </c>
    </row>
    <row r="82" spans="1:9" x14ac:dyDescent="0.45">
      <c r="A82" s="29" t="s">
        <v>147</v>
      </c>
      <c r="B82" s="29">
        <v>1200000</v>
      </c>
      <c r="C82" s="29">
        <v>6533514319</v>
      </c>
      <c r="D82" s="29">
        <v>2281663565</v>
      </c>
      <c r="E82" s="29">
        <v>4251850754</v>
      </c>
      <c r="F82" s="29">
        <v>7100000</v>
      </c>
      <c r="G82" s="29">
        <v>31452178475</v>
      </c>
      <c r="H82" s="29">
        <v>13502826210</v>
      </c>
      <c r="I82" s="29">
        <v>17949352265</v>
      </c>
    </row>
    <row r="83" spans="1:9" x14ac:dyDescent="0.45">
      <c r="A83" s="29" t="s">
        <v>148</v>
      </c>
      <c r="B83" s="29">
        <v>2700000</v>
      </c>
      <c r="C83" s="29">
        <v>17063767900</v>
      </c>
      <c r="D83" s="29">
        <v>14531226179</v>
      </c>
      <c r="E83" s="29">
        <v>2532541721</v>
      </c>
      <c r="F83" s="29">
        <v>8100000</v>
      </c>
      <c r="G83" s="29">
        <v>48874803219</v>
      </c>
      <c r="H83" s="29">
        <v>43611724495</v>
      </c>
      <c r="I83" s="29">
        <v>5263078724</v>
      </c>
    </row>
    <row r="84" spans="1:9" x14ac:dyDescent="0.45">
      <c r="A84" s="29" t="s">
        <v>149</v>
      </c>
      <c r="B84" s="29">
        <v>2100000</v>
      </c>
      <c r="C84" s="29">
        <v>8754686622</v>
      </c>
      <c r="D84" s="29">
        <v>4616242527</v>
      </c>
      <c r="E84" s="29">
        <v>4138444095</v>
      </c>
      <c r="F84" s="29">
        <v>3700000</v>
      </c>
      <c r="G84" s="29">
        <v>12063311735</v>
      </c>
      <c r="H84" s="29">
        <v>8103897256</v>
      </c>
      <c r="I84" s="29">
        <v>3959414479</v>
      </c>
    </row>
    <row r="85" spans="1:9" x14ac:dyDescent="0.45">
      <c r="A85" s="29" t="s">
        <v>150</v>
      </c>
      <c r="B85" s="29">
        <v>4200000</v>
      </c>
      <c r="C85" s="29">
        <v>40322793684</v>
      </c>
      <c r="D85" s="29">
        <v>18901250505</v>
      </c>
      <c r="E85" s="29">
        <v>21421543179</v>
      </c>
      <c r="F85" s="29">
        <v>4500000</v>
      </c>
      <c r="G85" s="29">
        <v>42055297110</v>
      </c>
      <c r="H85" s="29">
        <v>20260280625</v>
      </c>
      <c r="I85" s="29">
        <v>21795016485</v>
      </c>
    </row>
    <row r="86" spans="1:9" x14ac:dyDescent="0.45">
      <c r="A86" s="29" t="s">
        <v>151</v>
      </c>
      <c r="B86" s="29">
        <v>2289832</v>
      </c>
      <c r="C86" s="29">
        <v>3194731714</v>
      </c>
      <c r="D86" s="29">
        <v>1461373330</v>
      </c>
      <c r="E86" s="29">
        <v>1733358384</v>
      </c>
      <c r="F86" s="29">
        <v>12589832</v>
      </c>
      <c r="G86" s="29">
        <v>32625071732</v>
      </c>
      <c r="H86" s="29">
        <v>21513181190</v>
      </c>
      <c r="I86" s="29">
        <v>11111890542</v>
      </c>
    </row>
    <row r="87" spans="1:9" x14ac:dyDescent="0.45">
      <c r="A87" s="29" t="s">
        <v>152</v>
      </c>
      <c r="B87" s="29">
        <v>172991</v>
      </c>
      <c r="C87" s="29">
        <v>1029922684</v>
      </c>
      <c r="D87" s="29">
        <v>356826823</v>
      </c>
      <c r="E87" s="29">
        <v>673095861</v>
      </c>
      <c r="F87" s="29">
        <v>172991</v>
      </c>
      <c r="G87" s="29">
        <v>1029922684</v>
      </c>
      <c r="H87" s="29">
        <v>356826823</v>
      </c>
      <c r="I87" s="29">
        <v>673095861</v>
      </c>
    </row>
    <row r="88" spans="1:9" x14ac:dyDescent="0.45">
      <c r="A88" s="29" t="s">
        <v>153</v>
      </c>
      <c r="B88" s="29">
        <v>3600000</v>
      </c>
      <c r="C88" s="29">
        <v>17110703959</v>
      </c>
      <c r="D88" s="29">
        <v>9696272654</v>
      </c>
      <c r="E88" s="29">
        <v>7414431305</v>
      </c>
      <c r="F88" s="29">
        <v>3900000</v>
      </c>
      <c r="G88" s="29">
        <v>17988862919</v>
      </c>
      <c r="H88" s="29">
        <v>10503378011</v>
      </c>
      <c r="I88" s="29">
        <v>7485484908</v>
      </c>
    </row>
    <row r="89" spans="1:9" x14ac:dyDescent="0.45">
      <c r="A89" s="29" t="s">
        <v>154</v>
      </c>
      <c r="B89" s="29">
        <v>300000</v>
      </c>
      <c r="C89" s="29">
        <v>2381448005</v>
      </c>
      <c r="D89" s="29">
        <v>1457826192</v>
      </c>
      <c r="E89" s="29">
        <v>923621813</v>
      </c>
      <c r="F89" s="29">
        <v>300000</v>
      </c>
      <c r="G89" s="29">
        <v>2381448005</v>
      </c>
      <c r="H89" s="29">
        <v>1457826192</v>
      </c>
      <c r="I89" s="29">
        <v>923621813</v>
      </c>
    </row>
    <row r="90" spans="1:9" x14ac:dyDescent="0.45">
      <c r="A90" s="29" t="s">
        <v>155</v>
      </c>
      <c r="B90" s="29">
        <v>14000000</v>
      </c>
      <c r="C90" s="29">
        <v>13465103988</v>
      </c>
      <c r="D90" s="29">
        <v>7130480800</v>
      </c>
      <c r="E90" s="29">
        <v>6334623188</v>
      </c>
      <c r="F90" s="29">
        <v>14000000</v>
      </c>
      <c r="G90" s="29">
        <v>13465103988</v>
      </c>
      <c r="H90" s="29">
        <v>7130480800</v>
      </c>
      <c r="I90" s="29">
        <v>6334623188</v>
      </c>
    </row>
    <row r="91" spans="1:9" x14ac:dyDescent="0.45">
      <c r="A91" s="29" t="s">
        <v>156</v>
      </c>
      <c r="B91" s="29">
        <v>0</v>
      </c>
      <c r="C91" s="29">
        <v>0</v>
      </c>
      <c r="D91" s="29">
        <v>0</v>
      </c>
      <c r="E91" s="29">
        <v>0</v>
      </c>
      <c r="F91" s="29">
        <v>1000000</v>
      </c>
      <c r="G91" s="29">
        <v>2259491241</v>
      </c>
      <c r="H91" s="29">
        <v>2572299832</v>
      </c>
      <c r="I91" s="29">
        <v>-312808591</v>
      </c>
    </row>
    <row r="92" spans="1:9" x14ac:dyDescent="0.45">
      <c r="A92" s="29" t="s">
        <v>157</v>
      </c>
      <c r="B92" s="29">
        <v>0</v>
      </c>
      <c r="C92" s="29">
        <v>0</v>
      </c>
      <c r="D92" s="29">
        <v>0</v>
      </c>
      <c r="E92" s="29">
        <v>0</v>
      </c>
      <c r="F92" s="29">
        <v>724988</v>
      </c>
      <c r="G92" s="29">
        <v>1657807764</v>
      </c>
      <c r="H92" s="29">
        <v>1465544021</v>
      </c>
      <c r="I92" s="29">
        <v>192263743</v>
      </c>
    </row>
    <row r="93" spans="1:9" x14ac:dyDescent="0.45">
      <c r="A93" s="29" t="s">
        <v>158</v>
      </c>
      <c r="B93" s="29">
        <v>300000</v>
      </c>
      <c r="C93" s="29">
        <v>2235584356</v>
      </c>
      <c r="D93" s="29">
        <v>853301281</v>
      </c>
      <c r="E93" s="29">
        <v>1382283075</v>
      </c>
      <c r="F93" s="29">
        <v>300000</v>
      </c>
      <c r="G93" s="29">
        <v>2235584356</v>
      </c>
      <c r="H93" s="29">
        <v>853301281</v>
      </c>
      <c r="I93" s="29">
        <v>1382283075</v>
      </c>
    </row>
    <row r="94" spans="1:9" x14ac:dyDescent="0.45">
      <c r="A94" s="29" t="s">
        <v>159</v>
      </c>
      <c r="B94" s="29">
        <v>400000</v>
      </c>
      <c r="C94" s="29">
        <v>9303523603</v>
      </c>
      <c r="D94" s="29">
        <v>3814775710</v>
      </c>
      <c r="E94" s="29">
        <v>5488747893</v>
      </c>
      <c r="F94" s="29">
        <v>400000</v>
      </c>
      <c r="G94" s="29">
        <v>9303523603</v>
      </c>
      <c r="H94" s="29">
        <v>3814775710</v>
      </c>
      <c r="I94" s="29">
        <v>5488747893</v>
      </c>
    </row>
    <row r="95" spans="1:9" x14ac:dyDescent="0.45">
      <c r="A95" s="29" t="s">
        <v>160</v>
      </c>
      <c r="B95" s="29">
        <v>0</v>
      </c>
      <c r="C95" s="29">
        <v>0</v>
      </c>
      <c r="D95" s="29">
        <v>0</v>
      </c>
      <c r="E95" s="29">
        <v>0</v>
      </c>
      <c r="F95" s="29">
        <v>303663</v>
      </c>
      <c r="G95" s="29">
        <v>5812379646</v>
      </c>
      <c r="H95" s="29">
        <v>2732850992</v>
      </c>
      <c r="I95" s="29">
        <v>3079528654</v>
      </c>
    </row>
    <row r="96" spans="1:9" x14ac:dyDescent="0.45">
      <c r="A96" s="29" t="s">
        <v>161</v>
      </c>
      <c r="B96" s="29">
        <v>210417</v>
      </c>
      <c r="C96" s="29">
        <v>436535141</v>
      </c>
      <c r="D96" s="29">
        <v>409092953</v>
      </c>
      <c r="E96" s="29">
        <v>27442188</v>
      </c>
      <c r="F96" s="29">
        <v>4210417</v>
      </c>
      <c r="G96" s="29">
        <v>8354909321</v>
      </c>
      <c r="H96" s="29">
        <v>8188857696</v>
      </c>
      <c r="I96" s="29">
        <v>166051625</v>
      </c>
    </row>
    <row r="97" spans="1:9" x14ac:dyDescent="0.45">
      <c r="A97" s="29" t="s">
        <v>162</v>
      </c>
      <c r="B97" s="29">
        <v>700000</v>
      </c>
      <c r="C97" s="29">
        <v>8960443024</v>
      </c>
      <c r="D97" s="29">
        <v>4890534386</v>
      </c>
      <c r="E97" s="29">
        <v>4069908638</v>
      </c>
      <c r="F97" s="29">
        <v>800000</v>
      </c>
      <c r="G97" s="29">
        <v>10107507151</v>
      </c>
      <c r="H97" s="29">
        <v>5590218238</v>
      </c>
      <c r="I97" s="29">
        <v>4517288913</v>
      </c>
    </row>
    <row r="98" spans="1:9" x14ac:dyDescent="0.45">
      <c r="A98" s="29" t="s">
        <v>163</v>
      </c>
      <c r="B98" s="29">
        <v>300000</v>
      </c>
      <c r="C98" s="29">
        <v>4321335904</v>
      </c>
      <c r="D98" s="29">
        <v>2101663133</v>
      </c>
      <c r="E98" s="29">
        <v>2219672771</v>
      </c>
      <c r="F98" s="29">
        <v>300000</v>
      </c>
      <c r="G98" s="29">
        <v>4321335904</v>
      </c>
      <c r="H98" s="29">
        <v>2101663133</v>
      </c>
      <c r="I98" s="29">
        <v>2219672771</v>
      </c>
    </row>
    <row r="99" spans="1:9" x14ac:dyDescent="0.45">
      <c r="A99" s="29" t="s">
        <v>164</v>
      </c>
      <c r="B99" s="29">
        <v>0</v>
      </c>
      <c r="C99" s="29">
        <v>0</v>
      </c>
      <c r="D99" s="29">
        <v>0</v>
      </c>
      <c r="E99" s="29">
        <v>0</v>
      </c>
      <c r="F99" s="29">
        <v>30000</v>
      </c>
      <c r="G99" s="29">
        <v>2020063267</v>
      </c>
      <c r="H99" s="29">
        <v>951428836</v>
      </c>
      <c r="I99" s="29">
        <v>1068634431</v>
      </c>
    </row>
    <row r="100" spans="1:9" x14ac:dyDescent="0.45">
      <c r="A100" s="29" t="s">
        <v>165</v>
      </c>
      <c r="B100" s="29">
        <v>0</v>
      </c>
      <c r="C100" s="29">
        <v>0</v>
      </c>
      <c r="D100" s="29">
        <v>0</v>
      </c>
      <c r="E100" s="29">
        <v>0</v>
      </c>
      <c r="F100" s="29">
        <v>200000</v>
      </c>
      <c r="G100" s="29">
        <v>4985164492</v>
      </c>
      <c r="H100" s="29">
        <v>5101123092</v>
      </c>
      <c r="I100" s="29">
        <v>-115958600</v>
      </c>
    </row>
    <row r="101" spans="1:9" x14ac:dyDescent="0.45">
      <c r="A101" s="29" t="s">
        <v>166</v>
      </c>
      <c r="B101" s="29">
        <v>0</v>
      </c>
      <c r="C101" s="29">
        <v>0</v>
      </c>
      <c r="D101" s="29">
        <v>0</v>
      </c>
      <c r="E101" s="29">
        <v>0</v>
      </c>
      <c r="F101" s="29">
        <v>30000</v>
      </c>
      <c r="G101" s="29">
        <v>2010835166</v>
      </c>
      <c r="H101" s="29">
        <v>1477534608</v>
      </c>
      <c r="I101" s="29">
        <v>533300558</v>
      </c>
    </row>
    <row r="102" spans="1:9" x14ac:dyDescent="0.45">
      <c r="A102" s="29" t="s">
        <v>167</v>
      </c>
      <c r="B102" s="29">
        <v>2000000</v>
      </c>
      <c r="C102" s="29">
        <v>4365208760</v>
      </c>
      <c r="D102" s="29">
        <v>2865260662</v>
      </c>
      <c r="E102" s="29">
        <v>1499948098</v>
      </c>
      <c r="F102" s="29">
        <v>2000000</v>
      </c>
      <c r="G102" s="29">
        <v>4365208760</v>
      </c>
      <c r="H102" s="29">
        <v>2865260662</v>
      </c>
      <c r="I102" s="29">
        <v>1499948098</v>
      </c>
    </row>
    <row r="103" spans="1:9" x14ac:dyDescent="0.45">
      <c r="A103" s="29" t="s">
        <v>168</v>
      </c>
      <c r="B103" s="29">
        <v>1500000</v>
      </c>
      <c r="C103" s="29">
        <v>12588024949</v>
      </c>
      <c r="D103" s="29">
        <v>8529823087</v>
      </c>
      <c r="E103" s="29">
        <v>4058201862</v>
      </c>
      <c r="F103" s="29">
        <v>2400000</v>
      </c>
      <c r="G103" s="29">
        <v>18369006999</v>
      </c>
      <c r="H103" s="29">
        <v>13661519902</v>
      </c>
      <c r="I103" s="29">
        <v>4707487097</v>
      </c>
    </row>
    <row r="104" spans="1:9" x14ac:dyDescent="0.45">
      <c r="A104" s="29" t="s">
        <v>169</v>
      </c>
      <c r="B104" s="29">
        <v>0</v>
      </c>
      <c r="C104" s="29">
        <v>0</v>
      </c>
      <c r="D104" s="29">
        <v>0</v>
      </c>
      <c r="E104" s="29">
        <v>0</v>
      </c>
      <c r="F104" s="29">
        <v>500000</v>
      </c>
      <c r="G104" s="29">
        <v>10831619411</v>
      </c>
      <c r="H104" s="29">
        <v>6713051319</v>
      </c>
      <c r="I104" s="29">
        <v>4118568092</v>
      </c>
    </row>
    <row r="105" spans="1:9" x14ac:dyDescent="0.45">
      <c r="A105" s="29" t="s">
        <v>170</v>
      </c>
      <c r="B105" s="29">
        <v>2493395</v>
      </c>
      <c r="C105" s="29">
        <v>35273563078</v>
      </c>
      <c r="D105" s="29">
        <v>12563496761</v>
      </c>
      <c r="E105" s="29">
        <v>22710066317</v>
      </c>
      <c r="F105" s="29">
        <v>5079533</v>
      </c>
      <c r="G105" s="29">
        <v>64310410066</v>
      </c>
      <c r="H105" s="29">
        <v>25653104994</v>
      </c>
      <c r="I105" s="29">
        <v>38657305072</v>
      </c>
    </row>
    <row r="106" spans="1:9" x14ac:dyDescent="0.45">
      <c r="A106" s="29" t="s">
        <v>171</v>
      </c>
      <c r="B106" s="29">
        <v>297837</v>
      </c>
      <c r="C106" s="29">
        <v>2058710275</v>
      </c>
      <c r="D106" s="29">
        <v>1870713979</v>
      </c>
      <c r="E106" s="29">
        <v>187996296</v>
      </c>
      <c r="F106" s="29">
        <v>897837</v>
      </c>
      <c r="G106" s="29">
        <v>6101218269</v>
      </c>
      <c r="H106" s="29">
        <v>5640130007</v>
      </c>
      <c r="I106" s="29">
        <v>461088262</v>
      </c>
    </row>
    <row r="107" spans="1:9" x14ac:dyDescent="0.45">
      <c r="A107" s="29" t="s">
        <v>172</v>
      </c>
      <c r="B107" s="29">
        <v>600000</v>
      </c>
      <c r="C107" s="29">
        <v>3840188114</v>
      </c>
      <c r="D107" s="29">
        <v>2057647430</v>
      </c>
      <c r="E107" s="29">
        <v>1782540684</v>
      </c>
      <c r="F107" s="29">
        <v>1800000</v>
      </c>
      <c r="G107" s="29">
        <v>9044907391</v>
      </c>
      <c r="H107" s="29">
        <v>6192228208</v>
      </c>
      <c r="I107" s="29">
        <v>2852679183</v>
      </c>
    </row>
    <row r="108" spans="1:9" x14ac:dyDescent="0.45">
      <c r="A108" s="29" t="s">
        <v>173</v>
      </c>
      <c r="B108" s="29">
        <v>0</v>
      </c>
      <c r="C108" s="29">
        <v>0</v>
      </c>
      <c r="D108" s="29">
        <v>0</v>
      </c>
      <c r="E108" s="29">
        <v>0</v>
      </c>
      <c r="F108" s="29">
        <v>100000</v>
      </c>
      <c r="G108" s="29">
        <v>1108365593</v>
      </c>
      <c r="H108" s="29">
        <v>898817238</v>
      </c>
      <c r="I108" s="29">
        <v>209548355</v>
      </c>
    </row>
    <row r="109" spans="1:9" x14ac:dyDescent="0.45">
      <c r="A109" s="29" t="s">
        <v>174</v>
      </c>
      <c r="B109" s="29">
        <v>0</v>
      </c>
      <c r="C109" s="29">
        <v>0</v>
      </c>
      <c r="D109" s="29">
        <v>0</v>
      </c>
      <c r="E109" s="29">
        <v>0</v>
      </c>
      <c r="F109" s="29">
        <v>1</v>
      </c>
      <c r="G109" s="29">
        <v>1</v>
      </c>
      <c r="H109" s="29">
        <v>1101</v>
      </c>
      <c r="I109" s="29">
        <v>-1100</v>
      </c>
    </row>
    <row r="110" spans="1:9" x14ac:dyDescent="0.45">
      <c r="A110" s="29" t="s">
        <v>175</v>
      </c>
      <c r="B110" s="29">
        <v>1000000</v>
      </c>
      <c r="C110" s="29">
        <v>2310211646</v>
      </c>
      <c r="D110" s="29">
        <v>944758090</v>
      </c>
      <c r="E110" s="29">
        <v>1365453556</v>
      </c>
      <c r="F110" s="29">
        <v>4000000</v>
      </c>
      <c r="G110" s="29">
        <v>9553782721</v>
      </c>
      <c r="H110" s="29">
        <v>4214639771</v>
      </c>
      <c r="I110" s="29">
        <v>5339142950</v>
      </c>
    </row>
    <row r="111" spans="1:9" x14ac:dyDescent="0.45">
      <c r="A111" s="29" t="s">
        <v>176</v>
      </c>
      <c r="B111" s="29">
        <v>0</v>
      </c>
      <c r="C111" s="29">
        <v>0</v>
      </c>
      <c r="D111" s="29">
        <v>0</v>
      </c>
      <c r="E111" s="29">
        <v>0</v>
      </c>
      <c r="F111" s="29">
        <v>2141672</v>
      </c>
      <c r="G111" s="29">
        <v>16703798577</v>
      </c>
      <c r="H111" s="29">
        <v>11196746903</v>
      </c>
      <c r="I111" s="29">
        <v>5507051674</v>
      </c>
    </row>
    <row r="112" spans="1:9" x14ac:dyDescent="0.45">
      <c r="A112" s="29" t="s">
        <v>177</v>
      </c>
      <c r="B112" s="29">
        <v>0</v>
      </c>
      <c r="C112" s="29">
        <v>0</v>
      </c>
      <c r="D112" s="29">
        <v>0</v>
      </c>
      <c r="E112" s="29">
        <v>0</v>
      </c>
      <c r="F112" s="29">
        <v>3768107</v>
      </c>
      <c r="G112" s="29">
        <v>11445156839</v>
      </c>
      <c r="H112" s="29">
        <v>11119404024</v>
      </c>
      <c r="I112" s="29">
        <v>325752815</v>
      </c>
    </row>
    <row r="113" spans="1:9" x14ac:dyDescent="0.45">
      <c r="A113" s="29" t="s">
        <v>178</v>
      </c>
      <c r="B113" s="29">
        <v>0</v>
      </c>
      <c r="C113" s="29">
        <v>0</v>
      </c>
      <c r="D113" s="29">
        <v>0</v>
      </c>
      <c r="E113" s="29">
        <v>0</v>
      </c>
      <c r="F113" s="29">
        <v>300000</v>
      </c>
      <c r="G113" s="29">
        <v>2311951537</v>
      </c>
      <c r="H113" s="29">
        <v>1596615207</v>
      </c>
      <c r="I113" s="29">
        <v>715336330</v>
      </c>
    </row>
    <row r="114" spans="1:9" x14ac:dyDescent="0.45">
      <c r="A114" s="29" t="s">
        <v>179</v>
      </c>
      <c r="B114" s="29">
        <v>3095500</v>
      </c>
      <c r="C114" s="29">
        <v>18890649317</v>
      </c>
      <c r="D114" s="29">
        <v>14340886477</v>
      </c>
      <c r="E114" s="29">
        <v>4549762840</v>
      </c>
      <c r="F114" s="29">
        <v>3095500</v>
      </c>
      <c r="G114" s="29">
        <v>18890649317</v>
      </c>
      <c r="H114" s="29">
        <v>14340886477</v>
      </c>
      <c r="I114" s="29">
        <v>4549762840</v>
      </c>
    </row>
    <row r="115" spans="1:9" x14ac:dyDescent="0.45">
      <c r="A115" s="29" t="s">
        <v>180</v>
      </c>
      <c r="B115" s="29">
        <v>0</v>
      </c>
      <c r="C115" s="29">
        <v>0</v>
      </c>
      <c r="D115" s="29">
        <v>0</v>
      </c>
      <c r="E115" s="29">
        <v>0</v>
      </c>
      <c r="F115" s="29">
        <v>1</v>
      </c>
      <c r="G115" s="29">
        <v>1</v>
      </c>
      <c r="H115" s="29">
        <v>6112</v>
      </c>
      <c r="I115" s="29">
        <v>-6111</v>
      </c>
    </row>
    <row r="116" spans="1:9" x14ac:dyDescent="0.45">
      <c r="A116" s="29" t="s">
        <v>181</v>
      </c>
      <c r="B116" s="29">
        <v>180000</v>
      </c>
      <c r="C116" s="29">
        <v>5614544310</v>
      </c>
      <c r="D116" s="29">
        <v>2992607710</v>
      </c>
      <c r="E116" s="29">
        <v>2621936600</v>
      </c>
      <c r="F116" s="29">
        <v>270000</v>
      </c>
      <c r="G116" s="29">
        <v>8460437084</v>
      </c>
      <c r="H116" s="29">
        <v>4488610764</v>
      </c>
      <c r="I116" s="29">
        <v>3971826320</v>
      </c>
    </row>
    <row r="117" spans="1:9" x14ac:dyDescent="0.45">
      <c r="A117" s="29" t="s">
        <v>182</v>
      </c>
      <c r="B117" s="29">
        <v>180000</v>
      </c>
      <c r="C117" s="29">
        <v>16621788066</v>
      </c>
      <c r="D117" s="29">
        <v>6764698611</v>
      </c>
      <c r="E117" s="29">
        <v>9857089455</v>
      </c>
      <c r="F117" s="29">
        <v>180000</v>
      </c>
      <c r="G117" s="29">
        <v>16621788066</v>
      </c>
      <c r="H117" s="29">
        <v>6764698611</v>
      </c>
      <c r="I117" s="29">
        <v>9857089455</v>
      </c>
    </row>
    <row r="118" spans="1:9" x14ac:dyDescent="0.45">
      <c r="A118" s="29" t="s">
        <v>183</v>
      </c>
      <c r="B118" s="29">
        <v>0</v>
      </c>
      <c r="C118" s="29">
        <v>0</v>
      </c>
      <c r="D118" s="29">
        <v>0</v>
      </c>
      <c r="E118" s="29">
        <v>0</v>
      </c>
      <c r="F118" s="29">
        <v>1200000</v>
      </c>
      <c r="G118" s="29">
        <v>3988925420</v>
      </c>
      <c r="H118" s="29">
        <v>1935224974</v>
      </c>
      <c r="I118" s="29">
        <v>2053700446</v>
      </c>
    </row>
    <row r="119" spans="1:9" x14ac:dyDescent="0.45">
      <c r="A119" s="29" t="s">
        <v>184</v>
      </c>
      <c r="B119" s="29">
        <v>4500000</v>
      </c>
      <c r="C119" s="29">
        <v>38058388670</v>
      </c>
      <c r="D119" s="29">
        <v>10451289765</v>
      </c>
      <c r="E119" s="29">
        <v>27607098905</v>
      </c>
      <c r="F119" s="29">
        <v>5700000</v>
      </c>
      <c r="G119" s="29">
        <v>45868594385</v>
      </c>
      <c r="H119" s="29">
        <v>13256519318</v>
      </c>
      <c r="I119" s="29">
        <v>32612075067</v>
      </c>
    </row>
    <row r="120" spans="1:9" x14ac:dyDescent="0.45">
      <c r="A120" s="29" t="s">
        <v>185</v>
      </c>
      <c r="B120" s="29">
        <v>400000</v>
      </c>
      <c r="C120" s="29">
        <v>4087090888</v>
      </c>
      <c r="D120" s="29">
        <v>5140667605</v>
      </c>
      <c r="E120" s="29">
        <v>-1053576717</v>
      </c>
      <c r="F120" s="29">
        <v>400000</v>
      </c>
      <c r="G120" s="29">
        <v>4087090888</v>
      </c>
      <c r="H120" s="29">
        <v>5140667605</v>
      </c>
      <c r="I120" s="29">
        <v>-1053576717</v>
      </c>
    </row>
    <row r="121" spans="1:9" x14ac:dyDescent="0.45">
      <c r="A121" s="29" t="s">
        <v>186</v>
      </c>
      <c r="B121" s="29">
        <v>891278</v>
      </c>
      <c r="C121" s="29">
        <v>5077243430</v>
      </c>
      <c r="D121" s="29">
        <v>3192002490</v>
      </c>
      <c r="E121" s="29">
        <v>1885240940</v>
      </c>
      <c r="F121" s="29">
        <v>891278</v>
      </c>
      <c r="G121" s="29">
        <v>5077243430</v>
      </c>
      <c r="H121" s="29">
        <v>3192002490</v>
      </c>
      <c r="I121" s="29">
        <v>1885240940</v>
      </c>
    </row>
    <row r="122" spans="1:9" x14ac:dyDescent="0.45">
      <c r="A122" s="29" t="s">
        <v>187</v>
      </c>
      <c r="B122" s="29">
        <v>0</v>
      </c>
      <c r="C122" s="29">
        <v>0</v>
      </c>
      <c r="D122" s="29">
        <v>0</v>
      </c>
      <c r="E122" s="29">
        <v>0</v>
      </c>
      <c r="F122" s="29">
        <v>842177</v>
      </c>
      <c r="G122" s="29">
        <v>3518157979</v>
      </c>
      <c r="H122" s="29">
        <v>2592408766</v>
      </c>
      <c r="I122" s="29">
        <v>925749213</v>
      </c>
    </row>
    <row r="123" spans="1:9" x14ac:dyDescent="0.45">
      <c r="A123" s="29" t="s">
        <v>188</v>
      </c>
      <c r="B123" s="29">
        <v>0</v>
      </c>
      <c r="C123" s="29">
        <v>0</v>
      </c>
      <c r="D123" s="29">
        <v>0</v>
      </c>
      <c r="E123" s="29">
        <v>0</v>
      </c>
      <c r="F123" s="29">
        <v>150000</v>
      </c>
      <c r="G123" s="29">
        <v>11657034150</v>
      </c>
      <c r="H123" s="29">
        <v>5145398020</v>
      </c>
      <c r="I123" s="29">
        <v>6511636130</v>
      </c>
    </row>
    <row r="124" spans="1:9" x14ac:dyDescent="0.45">
      <c r="A124" s="29" t="s">
        <v>189</v>
      </c>
      <c r="B124" s="29">
        <v>44433</v>
      </c>
      <c r="C124" s="29">
        <v>4031057114</v>
      </c>
      <c r="D124" s="29">
        <v>2217163393</v>
      </c>
      <c r="E124" s="29">
        <v>1813893721</v>
      </c>
      <c r="F124" s="29">
        <v>44433</v>
      </c>
      <c r="G124" s="29">
        <v>4031057114</v>
      </c>
      <c r="H124" s="29">
        <v>2217163393</v>
      </c>
      <c r="I124" s="29">
        <v>1813893721</v>
      </c>
    </row>
    <row r="125" spans="1:9" x14ac:dyDescent="0.45">
      <c r="A125" s="29" t="s">
        <v>190</v>
      </c>
      <c r="B125" s="29">
        <v>0</v>
      </c>
      <c r="C125" s="29">
        <v>0</v>
      </c>
      <c r="D125" s="29">
        <v>0</v>
      </c>
      <c r="E125" s="29">
        <v>0</v>
      </c>
      <c r="F125" s="29">
        <v>1600000</v>
      </c>
      <c r="G125" s="29">
        <v>11964701522</v>
      </c>
      <c r="H125" s="29">
        <v>7987760465</v>
      </c>
      <c r="I125" s="29">
        <v>3976941057</v>
      </c>
    </row>
    <row r="126" spans="1:9" x14ac:dyDescent="0.45">
      <c r="A126" s="29" t="s">
        <v>191</v>
      </c>
      <c r="B126" s="29">
        <v>2341158</v>
      </c>
      <c r="C126" s="29">
        <v>36411343948</v>
      </c>
      <c r="D126" s="29">
        <v>24112095960</v>
      </c>
      <c r="E126" s="29">
        <v>12299247988</v>
      </c>
      <c r="F126" s="29">
        <v>2541158</v>
      </c>
      <c r="G126" s="29">
        <v>38729286678</v>
      </c>
      <c r="H126" s="29">
        <v>26178113955</v>
      </c>
      <c r="I126" s="29">
        <v>12551172723</v>
      </c>
    </row>
    <row r="127" spans="1:9" x14ac:dyDescent="0.45">
      <c r="A127" s="29" t="s">
        <v>192</v>
      </c>
      <c r="B127" s="29">
        <v>800000</v>
      </c>
      <c r="C127" s="29">
        <v>17126919847</v>
      </c>
      <c r="D127" s="29">
        <v>9112561359</v>
      </c>
      <c r="E127" s="29">
        <v>8014358488</v>
      </c>
      <c r="F127" s="29">
        <v>2134886</v>
      </c>
      <c r="G127" s="29">
        <v>42896276592</v>
      </c>
      <c r="H127" s="29">
        <v>24339730253</v>
      </c>
      <c r="I127" s="29">
        <v>18556546339</v>
      </c>
    </row>
    <row r="128" spans="1:9" x14ac:dyDescent="0.45">
      <c r="A128" s="29" t="s">
        <v>193</v>
      </c>
      <c r="B128" s="29">
        <v>90000</v>
      </c>
      <c r="C128" s="29">
        <v>3883367676</v>
      </c>
      <c r="D128" s="29">
        <v>1195895805</v>
      </c>
      <c r="E128" s="29">
        <v>2687471871</v>
      </c>
      <c r="F128" s="29">
        <v>90000</v>
      </c>
      <c r="G128" s="29">
        <v>3883367676</v>
      </c>
      <c r="H128" s="29">
        <v>1195895805</v>
      </c>
      <c r="I128" s="29">
        <v>2687471871</v>
      </c>
    </row>
    <row r="129" spans="1:9" x14ac:dyDescent="0.45">
      <c r="A129" s="29" t="s">
        <v>194</v>
      </c>
      <c r="B129" s="29">
        <v>800000</v>
      </c>
      <c r="C129" s="29">
        <v>11724662383</v>
      </c>
      <c r="D129" s="29">
        <v>10506211996</v>
      </c>
      <c r="E129" s="29">
        <v>1218450387</v>
      </c>
      <c r="F129" s="29">
        <v>1000000</v>
      </c>
      <c r="G129" s="29">
        <v>14274088611</v>
      </c>
      <c r="H129" s="29">
        <v>13135738828</v>
      </c>
      <c r="I129" s="29">
        <v>1138349783</v>
      </c>
    </row>
    <row r="130" spans="1:9" x14ac:dyDescent="0.45">
      <c r="A130" s="29" t="s">
        <v>195</v>
      </c>
      <c r="B130" s="29">
        <v>1200000</v>
      </c>
      <c r="C130" s="29">
        <v>10308726725</v>
      </c>
      <c r="D130" s="29">
        <v>7422746625</v>
      </c>
      <c r="E130" s="29">
        <v>2885980100</v>
      </c>
      <c r="F130" s="29">
        <v>1200000</v>
      </c>
      <c r="G130" s="29">
        <v>10308726725</v>
      </c>
      <c r="H130" s="29">
        <v>7422746625</v>
      </c>
      <c r="I130" s="29">
        <v>2885980100</v>
      </c>
    </row>
    <row r="131" spans="1:9" x14ac:dyDescent="0.45">
      <c r="A131" s="29" t="s">
        <v>196</v>
      </c>
      <c r="B131" s="29">
        <v>24000000</v>
      </c>
      <c r="C131" s="29">
        <v>17583154979</v>
      </c>
      <c r="D131" s="29">
        <v>12674212600</v>
      </c>
      <c r="E131" s="29">
        <v>4908942379</v>
      </c>
      <c r="F131" s="29">
        <v>80200000</v>
      </c>
      <c r="G131" s="29">
        <v>45617229256</v>
      </c>
      <c r="H131" s="29">
        <v>40622135393</v>
      </c>
      <c r="I131" s="29">
        <v>4995093863</v>
      </c>
    </row>
    <row r="132" spans="1:9" x14ac:dyDescent="0.45">
      <c r="A132" s="29" t="s">
        <v>197</v>
      </c>
      <c r="B132" s="29">
        <v>300000</v>
      </c>
      <c r="C132" s="29">
        <v>1294890917</v>
      </c>
      <c r="D132" s="29">
        <v>751460053</v>
      </c>
      <c r="E132" s="29">
        <v>543430864</v>
      </c>
      <c r="F132" s="29">
        <v>1498800</v>
      </c>
      <c r="G132" s="29">
        <v>6697050295</v>
      </c>
      <c r="H132" s="29">
        <v>3752519965</v>
      </c>
      <c r="I132" s="29">
        <v>2944530330</v>
      </c>
    </row>
    <row r="133" spans="1:9" x14ac:dyDescent="0.45">
      <c r="A133" s="29" t="s">
        <v>198</v>
      </c>
      <c r="B133" s="29">
        <v>200000</v>
      </c>
      <c r="C133" s="29">
        <v>3836115832</v>
      </c>
      <c r="D133" s="29">
        <v>1796024006</v>
      </c>
      <c r="E133" s="29">
        <v>2040091826</v>
      </c>
      <c r="F133" s="29">
        <v>700000</v>
      </c>
      <c r="G133" s="29">
        <v>10267448836</v>
      </c>
      <c r="H133" s="29">
        <v>6310692994</v>
      </c>
      <c r="I133" s="29">
        <v>3956755842</v>
      </c>
    </row>
    <row r="134" spans="1:9" x14ac:dyDescent="0.45">
      <c r="A134" s="29" t="s">
        <v>199</v>
      </c>
      <c r="B134" s="29">
        <v>3375220</v>
      </c>
      <c r="C134" s="29">
        <v>31837379901</v>
      </c>
      <c r="D134" s="29">
        <v>17244677820</v>
      </c>
      <c r="E134" s="29">
        <v>14592702081</v>
      </c>
      <c r="F134" s="29">
        <v>4575220</v>
      </c>
      <c r="G134" s="29">
        <v>38258116790</v>
      </c>
      <c r="H134" s="29">
        <v>23413879504</v>
      </c>
      <c r="I134" s="29">
        <v>14844237286</v>
      </c>
    </row>
    <row r="135" spans="1:9" x14ac:dyDescent="0.45">
      <c r="A135" s="29" t="s">
        <v>200</v>
      </c>
      <c r="B135" s="29">
        <v>5000000</v>
      </c>
      <c r="C135" s="29">
        <v>75123806702</v>
      </c>
      <c r="D135" s="29">
        <v>19196167211</v>
      </c>
      <c r="E135" s="29">
        <v>55927639491</v>
      </c>
      <c r="F135" s="29">
        <v>8600000</v>
      </c>
      <c r="G135" s="29">
        <v>111151238507</v>
      </c>
      <c r="H135" s="29">
        <v>33158112232</v>
      </c>
      <c r="I135" s="29">
        <v>77993126275</v>
      </c>
    </row>
    <row r="136" spans="1:9" x14ac:dyDescent="0.45">
      <c r="A136" s="29" t="s">
        <v>201</v>
      </c>
      <c r="B136" s="29">
        <v>1994515</v>
      </c>
      <c r="C136" s="29">
        <v>8334684950</v>
      </c>
      <c r="D136" s="29">
        <v>5218841993</v>
      </c>
      <c r="E136" s="29">
        <v>3115842957</v>
      </c>
      <c r="F136" s="29">
        <v>4994515</v>
      </c>
      <c r="G136" s="29">
        <v>19171676944</v>
      </c>
      <c r="H136" s="29">
        <v>13081871834</v>
      </c>
      <c r="I136" s="29">
        <v>6089805110</v>
      </c>
    </row>
    <row r="137" spans="1:9" x14ac:dyDescent="0.45">
      <c r="A137" s="29" t="s">
        <v>202</v>
      </c>
      <c r="B137" s="29">
        <v>1300000</v>
      </c>
      <c r="C137" s="29">
        <v>23183396383</v>
      </c>
      <c r="D137" s="29">
        <v>15757969222</v>
      </c>
      <c r="E137" s="29">
        <v>7425427161</v>
      </c>
      <c r="F137" s="29">
        <v>5043432</v>
      </c>
      <c r="G137" s="29">
        <v>78136441484</v>
      </c>
      <c r="H137" s="29">
        <v>61225999340</v>
      </c>
      <c r="I137" s="29">
        <v>16910442144</v>
      </c>
    </row>
    <row r="138" spans="1:9" x14ac:dyDescent="0.45">
      <c r="A138" s="29" t="s">
        <v>203</v>
      </c>
      <c r="B138" s="29">
        <v>0</v>
      </c>
      <c r="C138" s="29">
        <v>0</v>
      </c>
      <c r="D138" s="29">
        <v>0</v>
      </c>
      <c r="E138" s="29">
        <v>0</v>
      </c>
      <c r="F138" s="29">
        <v>2478</v>
      </c>
      <c r="G138" s="29">
        <v>691257663</v>
      </c>
      <c r="H138" s="29">
        <v>658749014</v>
      </c>
      <c r="I138" s="29">
        <v>32508649</v>
      </c>
    </row>
    <row r="139" spans="1:9" x14ac:dyDescent="0.45">
      <c r="A139" s="29" t="s">
        <v>204</v>
      </c>
      <c r="B139" s="29">
        <v>1321356</v>
      </c>
      <c r="C139" s="29">
        <v>9468831422</v>
      </c>
      <c r="D139" s="29">
        <v>5727282782</v>
      </c>
      <c r="E139" s="29">
        <v>3741548640</v>
      </c>
      <c r="F139" s="29">
        <v>3021356</v>
      </c>
      <c r="G139" s="29">
        <v>19227081670</v>
      </c>
      <c r="H139" s="29">
        <v>12965724628</v>
      </c>
      <c r="I139" s="29">
        <v>6261357042</v>
      </c>
    </row>
    <row r="140" spans="1:9" x14ac:dyDescent="0.45">
      <c r="A140" s="29" t="s">
        <v>205</v>
      </c>
      <c r="B140" s="29">
        <v>90000</v>
      </c>
      <c r="C140" s="29">
        <v>6926441526</v>
      </c>
      <c r="D140" s="29">
        <v>2768950449</v>
      </c>
      <c r="E140" s="29">
        <v>4157491077</v>
      </c>
      <c r="F140" s="29">
        <v>90000</v>
      </c>
      <c r="G140" s="29">
        <v>6926441526</v>
      </c>
      <c r="H140" s="29">
        <v>2768950449</v>
      </c>
      <c r="I140" s="29">
        <v>4157491077</v>
      </c>
    </row>
    <row r="141" spans="1:9" x14ac:dyDescent="0.45">
      <c r="A141" s="29" t="s">
        <v>206</v>
      </c>
      <c r="B141" s="29">
        <v>0</v>
      </c>
      <c r="C141" s="29">
        <v>0</v>
      </c>
      <c r="D141" s="29">
        <v>0</v>
      </c>
      <c r="E141" s="29">
        <v>0</v>
      </c>
      <c r="F141" s="29">
        <v>5400000</v>
      </c>
      <c r="G141" s="29">
        <v>108143510322</v>
      </c>
      <c r="H141" s="29">
        <v>55137380858</v>
      </c>
      <c r="I141" s="29">
        <v>53006129464</v>
      </c>
    </row>
    <row r="142" spans="1:9" x14ac:dyDescent="0.45">
      <c r="A142" s="29" t="s">
        <v>207</v>
      </c>
      <c r="B142" s="29">
        <v>2700000</v>
      </c>
      <c r="C142" s="29">
        <v>9627003609</v>
      </c>
      <c r="D142" s="29">
        <v>4889971542</v>
      </c>
      <c r="E142" s="29">
        <v>4737032067</v>
      </c>
      <c r="F142" s="29">
        <v>40100000</v>
      </c>
      <c r="G142" s="29">
        <v>89766686861</v>
      </c>
      <c r="H142" s="29">
        <v>72104462143</v>
      </c>
      <c r="I142" s="29">
        <v>17662224718</v>
      </c>
    </row>
    <row r="143" spans="1:9" x14ac:dyDescent="0.45">
      <c r="A143" s="29" t="s">
        <v>208</v>
      </c>
      <c r="B143" s="29">
        <v>11000000</v>
      </c>
      <c r="C143" s="29">
        <v>22146474196</v>
      </c>
      <c r="D143" s="29">
        <v>11151509046</v>
      </c>
      <c r="E143" s="29">
        <v>10994965150</v>
      </c>
      <c r="F143" s="29">
        <v>11000000</v>
      </c>
      <c r="G143" s="29">
        <v>22146474196</v>
      </c>
      <c r="H143" s="29">
        <v>11151509046</v>
      </c>
      <c r="I143" s="29">
        <v>10994965150</v>
      </c>
    </row>
    <row r="144" spans="1:9" x14ac:dyDescent="0.45">
      <c r="A144" s="29" t="s">
        <v>209</v>
      </c>
      <c r="B144" s="29">
        <v>500000</v>
      </c>
      <c r="C144" s="29">
        <v>10835588444</v>
      </c>
      <c r="D144" s="29">
        <v>3636600944</v>
      </c>
      <c r="E144" s="29">
        <v>7198987500</v>
      </c>
      <c r="F144" s="29">
        <v>600000</v>
      </c>
      <c r="G144" s="29">
        <v>12363684249</v>
      </c>
      <c r="H144" s="29">
        <v>4368899249</v>
      </c>
      <c r="I144" s="29">
        <v>7994785000</v>
      </c>
    </row>
    <row r="145" spans="1:9" x14ac:dyDescent="0.45">
      <c r="A145" s="29" t="s">
        <v>210</v>
      </c>
      <c r="B145" s="29">
        <v>1500000</v>
      </c>
      <c r="C145" s="29">
        <v>9192488539</v>
      </c>
      <c r="D145" s="29">
        <v>4807053204</v>
      </c>
      <c r="E145" s="29">
        <v>4385435335</v>
      </c>
      <c r="F145" s="29">
        <v>4700000</v>
      </c>
      <c r="G145" s="29">
        <v>23776389198</v>
      </c>
      <c r="H145" s="29">
        <v>13815713460</v>
      </c>
      <c r="I145" s="29">
        <v>9960675738</v>
      </c>
    </row>
    <row r="146" spans="1:9" x14ac:dyDescent="0.45">
      <c r="A146" s="29" t="s">
        <v>211</v>
      </c>
      <c r="B146" s="29">
        <v>2400000</v>
      </c>
      <c r="C146" s="29">
        <v>19384986779</v>
      </c>
      <c r="D146" s="29">
        <v>14181943990</v>
      </c>
      <c r="E146" s="29">
        <v>5203042789</v>
      </c>
      <c r="F146" s="29">
        <v>2400000</v>
      </c>
      <c r="G146" s="29">
        <v>19384986779</v>
      </c>
      <c r="H146" s="29">
        <v>14181943990</v>
      </c>
      <c r="I146" s="29">
        <v>5203042789</v>
      </c>
    </row>
    <row r="147" spans="1:9" x14ac:dyDescent="0.45">
      <c r="A147" s="29" t="s">
        <v>212</v>
      </c>
      <c r="B147" s="29">
        <v>600000</v>
      </c>
      <c r="C147" s="29">
        <v>15926623443</v>
      </c>
      <c r="D147" s="29">
        <v>7982787815</v>
      </c>
      <c r="E147" s="29">
        <v>7943835628</v>
      </c>
      <c r="F147" s="29">
        <v>1700000</v>
      </c>
      <c r="G147" s="29">
        <v>37352861805</v>
      </c>
      <c r="H147" s="29">
        <v>22678448729</v>
      </c>
      <c r="I147" s="29">
        <v>14674413076</v>
      </c>
    </row>
    <row r="148" spans="1:9" x14ac:dyDescent="0.45">
      <c r="A148" s="29" t="s">
        <v>213</v>
      </c>
      <c r="B148" s="29">
        <v>6000000</v>
      </c>
      <c r="C148" s="29">
        <v>8807537410</v>
      </c>
      <c r="D148" s="29">
        <v>6460827552</v>
      </c>
      <c r="E148" s="29">
        <v>2346709858</v>
      </c>
      <c r="F148" s="29">
        <v>30400000</v>
      </c>
      <c r="G148" s="29">
        <v>39310368189</v>
      </c>
      <c r="H148" s="29">
        <v>32242896365</v>
      </c>
      <c r="I148" s="29">
        <v>7067471824</v>
      </c>
    </row>
    <row r="149" spans="1:9" x14ac:dyDescent="0.45">
      <c r="A149" s="29" t="s">
        <v>214</v>
      </c>
      <c r="B149" s="29">
        <v>400000</v>
      </c>
      <c r="C149" s="29">
        <v>6342589867</v>
      </c>
      <c r="D149" s="29">
        <v>3967695735</v>
      </c>
      <c r="E149" s="29">
        <v>2374894132</v>
      </c>
      <c r="F149" s="29">
        <v>600000</v>
      </c>
      <c r="G149" s="29">
        <v>8318874059</v>
      </c>
      <c r="H149" s="29">
        <v>5960853001</v>
      </c>
      <c r="I149" s="29">
        <v>2358021058</v>
      </c>
    </row>
    <row r="150" spans="1:9" x14ac:dyDescent="0.45">
      <c r="A150" s="29" t="s">
        <v>215</v>
      </c>
      <c r="B150" s="29">
        <v>100000</v>
      </c>
      <c r="C150" s="29">
        <v>2148264558</v>
      </c>
      <c r="D150" s="29">
        <v>1112573094</v>
      </c>
      <c r="E150" s="29">
        <v>1035691464</v>
      </c>
      <c r="F150" s="29">
        <v>1762720</v>
      </c>
      <c r="G150" s="29">
        <v>31850697357</v>
      </c>
      <c r="H150" s="29">
        <v>19411686369</v>
      </c>
      <c r="I150" s="29">
        <v>12439010988</v>
      </c>
    </row>
    <row r="151" spans="1:9" x14ac:dyDescent="0.45">
      <c r="A151" s="29" t="s">
        <v>216</v>
      </c>
      <c r="B151" s="29">
        <v>0</v>
      </c>
      <c r="C151" s="29">
        <v>0</v>
      </c>
      <c r="D151" s="29">
        <v>0</v>
      </c>
      <c r="E151" s="29">
        <v>0</v>
      </c>
      <c r="F151" s="29">
        <v>1619312</v>
      </c>
      <c r="G151" s="29">
        <v>3680211925</v>
      </c>
      <c r="H151" s="29">
        <v>3826108481</v>
      </c>
      <c r="I151" s="29">
        <v>-145896556</v>
      </c>
    </row>
    <row r="152" spans="1:9" x14ac:dyDescent="0.45">
      <c r="A152" s="29" t="s">
        <v>217</v>
      </c>
      <c r="B152" s="29">
        <v>2400000</v>
      </c>
      <c r="C152" s="29">
        <v>58558045926</v>
      </c>
      <c r="D152" s="29">
        <v>36300744909</v>
      </c>
      <c r="E152" s="29">
        <v>22257301017</v>
      </c>
      <c r="F152" s="29">
        <v>2400000</v>
      </c>
      <c r="G152" s="29">
        <v>58558045926</v>
      </c>
      <c r="H152" s="29">
        <v>36300744909</v>
      </c>
      <c r="I152" s="29">
        <v>22257301017</v>
      </c>
    </row>
    <row r="153" spans="1:9" x14ac:dyDescent="0.45">
      <c r="A153" s="29" t="s">
        <v>218</v>
      </c>
      <c r="B153" s="29">
        <v>2701930</v>
      </c>
      <c r="C153" s="29">
        <v>23553365728</v>
      </c>
      <c r="D153" s="29">
        <v>13010584223</v>
      </c>
      <c r="E153" s="29">
        <v>10542781505</v>
      </c>
      <c r="F153" s="29">
        <v>4801930</v>
      </c>
      <c r="G153" s="29">
        <v>37431253992</v>
      </c>
      <c r="H153" s="29">
        <v>23157196715</v>
      </c>
      <c r="I153" s="29">
        <v>14274057277</v>
      </c>
    </row>
    <row r="154" spans="1:9" x14ac:dyDescent="0.45">
      <c r="A154" s="29" t="s">
        <v>219</v>
      </c>
      <c r="B154" s="29">
        <v>0</v>
      </c>
      <c r="C154" s="29">
        <v>0</v>
      </c>
      <c r="D154" s="29">
        <v>0</v>
      </c>
      <c r="E154" s="29">
        <v>0</v>
      </c>
      <c r="F154" s="29">
        <v>2300000</v>
      </c>
      <c r="G154" s="29">
        <v>9956238797</v>
      </c>
      <c r="H154" s="29">
        <v>5896397832</v>
      </c>
      <c r="I154" s="29">
        <v>4059840965</v>
      </c>
    </row>
    <row r="155" spans="1:9" x14ac:dyDescent="0.45">
      <c r="A155" s="29" t="s">
        <v>220</v>
      </c>
      <c r="B155" s="29">
        <v>300000</v>
      </c>
      <c r="C155" s="29">
        <v>3873447567</v>
      </c>
      <c r="D155" s="29">
        <v>1703706367</v>
      </c>
      <c r="E155" s="29">
        <v>2169741200</v>
      </c>
      <c r="F155" s="29">
        <v>5802306</v>
      </c>
      <c r="G155" s="29">
        <v>39245021073</v>
      </c>
      <c r="H155" s="29">
        <v>33229306852</v>
      </c>
      <c r="I155" s="29">
        <v>6015714221</v>
      </c>
    </row>
    <row r="156" spans="1:9" x14ac:dyDescent="0.45">
      <c r="A156" s="29" t="s">
        <v>221</v>
      </c>
      <c r="B156" s="29">
        <v>7200000</v>
      </c>
      <c r="C156" s="29">
        <v>30486874715</v>
      </c>
      <c r="D156" s="29">
        <v>10231822509</v>
      </c>
      <c r="E156" s="29">
        <v>20255052206</v>
      </c>
      <c r="F156" s="29">
        <v>18000000</v>
      </c>
      <c r="G156" s="29">
        <v>53234431957</v>
      </c>
      <c r="H156" s="29">
        <v>25758597229</v>
      </c>
      <c r="I156" s="29">
        <v>27475834728</v>
      </c>
    </row>
    <row r="157" spans="1:9" x14ac:dyDescent="0.45">
      <c r="A157" s="29" t="s">
        <v>222</v>
      </c>
      <c r="B157" s="29">
        <v>2000000</v>
      </c>
      <c r="C157" s="29">
        <v>4809562664</v>
      </c>
      <c r="D157" s="29">
        <v>2963077619</v>
      </c>
      <c r="E157" s="29">
        <v>1846485045</v>
      </c>
      <c r="F157" s="29">
        <v>2000000</v>
      </c>
      <c r="G157" s="29">
        <v>4809562664</v>
      </c>
      <c r="H157" s="29">
        <v>2963077619</v>
      </c>
      <c r="I157" s="29">
        <v>1846485045</v>
      </c>
    </row>
    <row r="158" spans="1:9" x14ac:dyDescent="0.45">
      <c r="A158" s="29" t="s">
        <v>223</v>
      </c>
      <c r="B158" s="29">
        <v>0</v>
      </c>
      <c r="C158" s="29">
        <v>0</v>
      </c>
      <c r="D158" s="29">
        <v>0</v>
      </c>
      <c r="E158" s="29">
        <v>0</v>
      </c>
      <c r="F158" s="29">
        <v>4500000</v>
      </c>
      <c r="G158" s="29">
        <v>14989161986</v>
      </c>
      <c r="H158" s="29">
        <v>10080761467</v>
      </c>
      <c r="I158" s="29">
        <v>4908400519</v>
      </c>
    </row>
    <row r="159" spans="1:9" x14ac:dyDescent="0.45">
      <c r="A159" s="29" t="s">
        <v>224</v>
      </c>
      <c r="B159" s="29">
        <v>0</v>
      </c>
      <c r="C159" s="29">
        <v>0</v>
      </c>
      <c r="D159" s="29">
        <v>0</v>
      </c>
      <c r="E159" s="29">
        <v>0</v>
      </c>
      <c r="F159" s="29">
        <v>300000</v>
      </c>
      <c r="G159" s="29">
        <v>1661060037</v>
      </c>
      <c r="H159" s="29">
        <v>1202287680</v>
      </c>
      <c r="I159" s="29">
        <v>458772357</v>
      </c>
    </row>
    <row r="160" spans="1:9" x14ac:dyDescent="0.45">
      <c r="A160" s="29" t="s">
        <v>225</v>
      </c>
      <c r="B160" s="29">
        <v>5700000</v>
      </c>
      <c r="C160" s="29">
        <v>36195032906</v>
      </c>
      <c r="D160" s="29">
        <v>18958394792</v>
      </c>
      <c r="E160" s="29">
        <v>17236638114</v>
      </c>
      <c r="F160" s="29">
        <v>8400000</v>
      </c>
      <c r="G160" s="29">
        <v>48778008837</v>
      </c>
      <c r="H160" s="29">
        <v>27974226354</v>
      </c>
      <c r="I160" s="29">
        <v>20803782483</v>
      </c>
    </row>
    <row r="161" spans="1:9" x14ac:dyDescent="0.45">
      <c r="A161" s="29" t="s">
        <v>226</v>
      </c>
      <c r="B161" s="29">
        <v>0</v>
      </c>
      <c r="C161" s="29">
        <v>0</v>
      </c>
      <c r="D161" s="29">
        <v>0</v>
      </c>
      <c r="E161" s="29">
        <v>0</v>
      </c>
      <c r="F161" s="29">
        <v>1100000</v>
      </c>
      <c r="G161" s="29">
        <v>7717876167</v>
      </c>
      <c r="H161" s="29">
        <v>7514865347</v>
      </c>
      <c r="I161" s="29">
        <v>203010820</v>
      </c>
    </row>
    <row r="162" spans="1:9" x14ac:dyDescent="0.45">
      <c r="A162" s="29" t="s">
        <v>227</v>
      </c>
      <c r="B162" s="29">
        <v>210000</v>
      </c>
      <c r="C162" s="29">
        <v>12380281849</v>
      </c>
      <c r="D162" s="29">
        <v>10895425944</v>
      </c>
      <c r="E162" s="29">
        <v>1484855905</v>
      </c>
      <c r="F162" s="29">
        <v>210000</v>
      </c>
      <c r="G162" s="29">
        <v>12380281849</v>
      </c>
      <c r="H162" s="29">
        <v>10895425944</v>
      </c>
      <c r="I162" s="29">
        <v>1484855905</v>
      </c>
    </row>
    <row r="163" spans="1:9" x14ac:dyDescent="0.45">
      <c r="A163" s="29" t="s">
        <v>228</v>
      </c>
      <c r="B163" s="29">
        <v>200000</v>
      </c>
      <c r="C163" s="29">
        <v>3532117918</v>
      </c>
      <c r="D163" s="29">
        <v>1560116058</v>
      </c>
      <c r="E163" s="29">
        <v>1972001860</v>
      </c>
      <c r="F163" s="29">
        <v>300000</v>
      </c>
      <c r="G163" s="29">
        <v>5312192053</v>
      </c>
      <c r="H163" s="29">
        <v>2340064923</v>
      </c>
      <c r="I163" s="29">
        <v>2972127130</v>
      </c>
    </row>
    <row r="164" spans="1:9" x14ac:dyDescent="0.45">
      <c r="A164" s="29" t="s">
        <v>229</v>
      </c>
      <c r="B164" s="29">
        <v>5000000</v>
      </c>
      <c r="C164" s="29">
        <v>13633004243</v>
      </c>
      <c r="D164" s="29">
        <v>8039866816</v>
      </c>
      <c r="E164" s="29">
        <v>5593137427</v>
      </c>
      <c r="F164" s="29">
        <v>15800000</v>
      </c>
      <c r="G164" s="29">
        <v>31282718492</v>
      </c>
      <c r="H164" s="29">
        <v>25497885326</v>
      </c>
      <c r="I164" s="29">
        <v>5784833166</v>
      </c>
    </row>
    <row r="165" spans="1:9" x14ac:dyDescent="0.45">
      <c r="A165" s="29" t="s">
        <v>230</v>
      </c>
      <c r="B165" s="29">
        <v>1500000</v>
      </c>
      <c r="C165" s="29">
        <v>4611253006</v>
      </c>
      <c r="D165" s="29">
        <v>3203550551</v>
      </c>
      <c r="E165" s="29">
        <v>1407702455</v>
      </c>
      <c r="F165" s="29">
        <v>10320608</v>
      </c>
      <c r="G165" s="29">
        <v>27411416507</v>
      </c>
      <c r="H165" s="29">
        <v>21721122643</v>
      </c>
      <c r="I165" s="29">
        <v>5690293864</v>
      </c>
    </row>
    <row r="166" spans="1:9" x14ac:dyDescent="0.45">
      <c r="A166" s="29" t="s">
        <v>231</v>
      </c>
      <c r="B166" s="29">
        <v>5894893</v>
      </c>
      <c r="C166" s="29">
        <v>34931024702</v>
      </c>
      <c r="D166" s="29">
        <v>18775474228</v>
      </c>
      <c r="E166" s="29">
        <v>16155550474</v>
      </c>
      <c r="F166" s="29">
        <v>10130193</v>
      </c>
      <c r="G166" s="29">
        <v>54929790088</v>
      </c>
      <c r="H166" s="29">
        <v>32304792545</v>
      </c>
      <c r="I166" s="29">
        <v>22624997543</v>
      </c>
    </row>
    <row r="167" spans="1:9" x14ac:dyDescent="0.45">
      <c r="A167" s="29" t="s">
        <v>232</v>
      </c>
      <c r="B167" s="29">
        <v>100000</v>
      </c>
      <c r="C167" s="29">
        <v>2060053862</v>
      </c>
      <c r="D167" s="29">
        <v>1601914307</v>
      </c>
      <c r="E167" s="29">
        <v>458139555</v>
      </c>
      <c r="F167" s="29">
        <v>2400000</v>
      </c>
      <c r="G167" s="29">
        <v>36809560852</v>
      </c>
      <c r="H167" s="29">
        <v>38544346730</v>
      </c>
      <c r="I167" s="29">
        <v>-1734785878</v>
      </c>
    </row>
    <row r="168" spans="1:9" x14ac:dyDescent="0.45">
      <c r="A168" s="29" t="s">
        <v>233</v>
      </c>
      <c r="B168" s="29">
        <v>569359</v>
      </c>
      <c r="C168" s="29">
        <v>4638403358</v>
      </c>
      <c r="D168" s="29">
        <v>2949460195</v>
      </c>
      <c r="E168" s="29">
        <v>1688943163</v>
      </c>
      <c r="F168" s="29">
        <v>2485680</v>
      </c>
      <c r="G168" s="29">
        <v>17814176210</v>
      </c>
      <c r="H168" s="29">
        <v>13139553804</v>
      </c>
      <c r="I168" s="29">
        <v>4674622406</v>
      </c>
    </row>
    <row r="169" spans="1:9" x14ac:dyDescent="0.45">
      <c r="A169" s="29" t="s">
        <v>234</v>
      </c>
      <c r="B169" s="29">
        <v>2200000</v>
      </c>
      <c r="C169" s="29">
        <v>23677377709</v>
      </c>
      <c r="D169" s="29">
        <v>8632643206</v>
      </c>
      <c r="E169" s="29">
        <v>15044734503</v>
      </c>
      <c r="F169" s="29">
        <v>4600000</v>
      </c>
      <c r="G169" s="29">
        <v>46461671606</v>
      </c>
      <c r="H169" s="29">
        <v>18073797670</v>
      </c>
      <c r="I169" s="29">
        <v>28387873936</v>
      </c>
    </row>
    <row r="170" spans="1:9" x14ac:dyDescent="0.45">
      <c r="A170" s="29" t="s">
        <v>235</v>
      </c>
      <c r="B170" s="29">
        <v>90000</v>
      </c>
      <c r="C170" s="29">
        <v>8082039168</v>
      </c>
      <c r="D170" s="29">
        <v>3564579834</v>
      </c>
      <c r="E170" s="29">
        <v>4517459334</v>
      </c>
      <c r="F170" s="29">
        <v>150000</v>
      </c>
      <c r="G170" s="29">
        <v>12621079066</v>
      </c>
      <c r="H170" s="29">
        <v>5947580176</v>
      </c>
      <c r="I170" s="29">
        <v>6673498890</v>
      </c>
    </row>
    <row r="171" spans="1:9" x14ac:dyDescent="0.45">
      <c r="A171" s="29" t="s">
        <v>236</v>
      </c>
      <c r="B171" s="29">
        <v>0</v>
      </c>
      <c r="C171" s="29">
        <v>0</v>
      </c>
      <c r="D171" s="29">
        <v>0</v>
      </c>
      <c r="E171" s="29">
        <v>0</v>
      </c>
      <c r="F171" s="29">
        <v>900000</v>
      </c>
      <c r="G171" s="29">
        <v>12163245718</v>
      </c>
      <c r="H171" s="29">
        <v>5802262159</v>
      </c>
      <c r="I171" s="29">
        <v>6360983559</v>
      </c>
    </row>
    <row r="172" spans="1:9" x14ac:dyDescent="0.45">
      <c r="A172" s="29" t="s">
        <v>237</v>
      </c>
      <c r="B172" s="29">
        <v>2300000</v>
      </c>
      <c r="C172" s="29">
        <v>31204249989</v>
      </c>
      <c r="D172" s="29">
        <v>23458642278</v>
      </c>
      <c r="E172" s="29">
        <v>7745607711</v>
      </c>
      <c r="F172" s="29">
        <v>4100759</v>
      </c>
      <c r="G172" s="29">
        <v>52170295525</v>
      </c>
      <c r="H172" s="29">
        <v>41852313905</v>
      </c>
      <c r="I172" s="29">
        <v>10317981620</v>
      </c>
    </row>
    <row r="173" spans="1:9" x14ac:dyDescent="0.45">
      <c r="A173" s="29" t="s">
        <v>238</v>
      </c>
      <c r="B173" s="29">
        <v>2100000</v>
      </c>
      <c r="C173" s="29">
        <v>10070548270</v>
      </c>
      <c r="D173" s="29">
        <v>4783497981</v>
      </c>
      <c r="E173" s="29">
        <v>5287050289</v>
      </c>
      <c r="F173" s="29">
        <v>6379641</v>
      </c>
      <c r="G173" s="29">
        <v>21430058494</v>
      </c>
      <c r="H173" s="29">
        <v>14603290498</v>
      </c>
      <c r="I173" s="29">
        <v>6826767996</v>
      </c>
    </row>
    <row r="174" spans="1:9" x14ac:dyDescent="0.45">
      <c r="A174" s="29" t="s">
        <v>239</v>
      </c>
      <c r="B174" s="29">
        <v>1900708</v>
      </c>
      <c r="C174" s="29">
        <v>14990049110</v>
      </c>
      <c r="D174" s="29">
        <v>4960378109</v>
      </c>
      <c r="E174" s="29">
        <v>10029671001</v>
      </c>
      <c r="F174" s="29">
        <v>2500708</v>
      </c>
      <c r="G174" s="29">
        <v>18774205368</v>
      </c>
      <c r="H174" s="29">
        <v>6533613231</v>
      </c>
      <c r="I174" s="29">
        <v>12240592137</v>
      </c>
    </row>
    <row r="175" spans="1:9" x14ac:dyDescent="0.45">
      <c r="A175" s="29" t="s">
        <v>240</v>
      </c>
      <c r="B175" s="29">
        <v>180000</v>
      </c>
      <c r="C175" s="29">
        <v>9271572468</v>
      </c>
      <c r="D175" s="29">
        <v>3310619352</v>
      </c>
      <c r="E175" s="29">
        <v>5960953116</v>
      </c>
      <c r="F175" s="29">
        <v>600000</v>
      </c>
      <c r="G175" s="29">
        <v>27689096052</v>
      </c>
      <c r="H175" s="29">
        <v>11060452333</v>
      </c>
      <c r="I175" s="29">
        <v>16628643719</v>
      </c>
    </row>
    <row r="176" spans="1:9" x14ac:dyDescent="0.45">
      <c r="A176" s="29" t="s">
        <v>241</v>
      </c>
      <c r="B176" s="29">
        <v>437074</v>
      </c>
      <c r="C176" s="29">
        <v>7923988303</v>
      </c>
      <c r="D176" s="29">
        <v>5828048950</v>
      </c>
      <c r="E176" s="29">
        <v>2095939353</v>
      </c>
      <c r="F176" s="29">
        <v>951444</v>
      </c>
      <c r="G176" s="29">
        <v>16521332653</v>
      </c>
      <c r="H176" s="29">
        <v>12692452378</v>
      </c>
      <c r="I176" s="29">
        <v>3828880275</v>
      </c>
    </row>
    <row r="177" spans="1:9" x14ac:dyDescent="0.45">
      <c r="A177" s="29" t="s">
        <v>242</v>
      </c>
      <c r="B177" s="29">
        <v>200000</v>
      </c>
      <c r="C177" s="29">
        <v>5156243168</v>
      </c>
      <c r="D177" s="29">
        <v>3374908746</v>
      </c>
      <c r="E177" s="29">
        <v>1781334422</v>
      </c>
      <c r="F177" s="29">
        <v>500000</v>
      </c>
      <c r="G177" s="29">
        <v>14935064036</v>
      </c>
      <c r="H177" s="29">
        <v>8421345052</v>
      </c>
      <c r="I177" s="29">
        <v>6513718984</v>
      </c>
    </row>
    <row r="178" spans="1:9" x14ac:dyDescent="0.45">
      <c r="A178" s="29" t="s">
        <v>243</v>
      </c>
      <c r="B178" s="29">
        <v>0</v>
      </c>
      <c r="C178" s="29">
        <v>0</v>
      </c>
      <c r="D178" s="29">
        <v>0</v>
      </c>
      <c r="E178" s="29">
        <v>0</v>
      </c>
      <c r="F178" s="29">
        <v>400000</v>
      </c>
      <c r="G178" s="29">
        <v>7249443287</v>
      </c>
      <c r="H178" s="29">
        <v>3368841397</v>
      </c>
      <c r="I178" s="29">
        <v>3880601890</v>
      </c>
    </row>
    <row r="179" spans="1:9" x14ac:dyDescent="0.45">
      <c r="A179" s="29" t="s">
        <v>244</v>
      </c>
      <c r="B179" s="29">
        <v>300000</v>
      </c>
      <c r="C179" s="29">
        <v>15847014349</v>
      </c>
      <c r="D179" s="29">
        <v>8654704716</v>
      </c>
      <c r="E179" s="29">
        <v>7192309633</v>
      </c>
      <c r="F179" s="29">
        <v>720000</v>
      </c>
      <c r="G179" s="29">
        <v>36345720262</v>
      </c>
      <c r="H179" s="29">
        <v>20784434148</v>
      </c>
      <c r="I179" s="29">
        <v>15561286114</v>
      </c>
    </row>
    <row r="180" spans="1:9" x14ac:dyDescent="0.45">
      <c r="A180" s="29" t="s">
        <v>245</v>
      </c>
      <c r="B180" s="29">
        <v>1200000</v>
      </c>
      <c r="C180" s="29">
        <v>24445563797</v>
      </c>
      <c r="D180" s="29">
        <v>14348214275</v>
      </c>
      <c r="E180" s="29">
        <v>10097349522</v>
      </c>
      <c r="F180" s="29">
        <v>2187610</v>
      </c>
      <c r="G180" s="29">
        <v>43757318545</v>
      </c>
      <c r="H180" s="29">
        <v>33762209283</v>
      </c>
      <c r="I180" s="29">
        <v>9995109262</v>
      </c>
    </row>
    <row r="181" spans="1:9" x14ac:dyDescent="0.45">
      <c r="A181" s="29" t="s">
        <v>246</v>
      </c>
      <c r="B181" s="29">
        <v>3300000</v>
      </c>
      <c r="C181" s="29">
        <v>15147716630</v>
      </c>
      <c r="D181" s="29">
        <v>11336638791</v>
      </c>
      <c r="E181" s="29">
        <v>3811077839</v>
      </c>
      <c r="F181" s="29">
        <v>3431090</v>
      </c>
      <c r="G181" s="29">
        <v>15636675372</v>
      </c>
      <c r="H181" s="29">
        <v>11787856719</v>
      </c>
      <c r="I181" s="29">
        <v>3848818653</v>
      </c>
    </row>
    <row r="182" spans="1:9" x14ac:dyDescent="0.45">
      <c r="A182" s="29" t="s">
        <v>247</v>
      </c>
      <c r="B182" s="40">
        <v>1551524</v>
      </c>
      <c r="C182" s="29">
        <v>26727522302</v>
      </c>
      <c r="D182" s="40">
        <v>11656056890</v>
      </c>
      <c r="E182" s="40">
        <v>15071465412</v>
      </c>
      <c r="F182" s="29">
        <v>5851524</v>
      </c>
      <c r="G182" s="40">
        <v>83217210967</v>
      </c>
      <c r="H182" s="40">
        <v>43449501264</v>
      </c>
      <c r="I182" s="29">
        <v>39767709703</v>
      </c>
    </row>
    <row r="183" spans="1:9" ht="18.75" thickBot="1" x14ac:dyDescent="0.5">
      <c r="A183" s="29" t="s">
        <v>2</v>
      </c>
      <c r="B183" s="42">
        <f t="shared" ref="B183:I183" si="0">SUM(B7:B182)</f>
        <v>233660959</v>
      </c>
      <c r="C183" s="42">
        <f t="shared" si="0"/>
        <v>1677000944927</v>
      </c>
      <c r="D183" s="42">
        <f t="shared" si="0"/>
        <v>910123819945</v>
      </c>
      <c r="E183" s="42">
        <f t="shared" si="0"/>
        <v>766877124982</v>
      </c>
      <c r="F183" s="42">
        <f t="shared" si="0"/>
        <v>717519096</v>
      </c>
      <c r="G183" s="42">
        <f t="shared" si="0"/>
        <v>4206182158832</v>
      </c>
      <c r="H183" s="42">
        <f t="shared" si="0"/>
        <v>2832190634321</v>
      </c>
      <c r="I183" s="42">
        <f t="shared" si="0"/>
        <v>1373991524511</v>
      </c>
    </row>
    <row r="184" spans="1:9" ht="18.75" thickTop="1" x14ac:dyDescent="0.45"/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0866141732283472" right="0.70866141732283472" top="0.74803149606299213" bottom="0.74803149606299213" header="0.31496062992125984" footer="0.31496062992125984"/>
  <pageSetup scale="86" fitToHeight="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234"/>
  <sheetViews>
    <sheetView rightToLeft="1" tabSelected="1" view="pageBreakPreview" topLeftCell="A225" zoomScaleNormal="100" zoomScaleSheetLayoutView="100" workbookViewId="0">
      <selection activeCell="P37" sqref="P36:P37"/>
    </sheetView>
  </sheetViews>
  <sheetFormatPr defaultRowHeight="18" x14ac:dyDescent="0.45"/>
  <cols>
    <col min="1" max="1" width="24.7109375" style="7" bestFit="1" customWidth="1"/>
    <col min="2" max="2" width="10.85546875" style="7" bestFit="1" customWidth="1"/>
    <col min="3" max="4" width="14" style="7" bestFit="1" customWidth="1"/>
    <col min="5" max="5" width="14.7109375" style="7" bestFit="1" customWidth="1"/>
    <col min="6" max="6" width="10.85546875" style="7" bestFit="1" customWidth="1"/>
    <col min="7" max="8" width="14" style="7" bestFit="1" customWidth="1"/>
    <col min="9" max="9" width="15.140625" style="7" customWidth="1"/>
    <col min="10" max="16384" width="9.140625" style="7"/>
  </cols>
  <sheetData>
    <row r="1" spans="1:9" ht="21" x14ac:dyDescent="0.55000000000000004">
      <c r="A1" s="70" t="s">
        <v>61</v>
      </c>
      <c r="B1" s="70"/>
      <c r="C1" s="70"/>
      <c r="D1" s="70"/>
      <c r="E1" s="70"/>
      <c r="F1" s="70"/>
      <c r="G1" s="70"/>
      <c r="H1" s="70"/>
      <c r="I1" s="70"/>
    </row>
    <row r="2" spans="1:9" ht="21" x14ac:dyDescent="0.55000000000000004">
      <c r="A2" s="70" t="s">
        <v>52</v>
      </c>
      <c r="B2" s="70"/>
      <c r="C2" s="70"/>
      <c r="D2" s="70"/>
      <c r="E2" s="70"/>
      <c r="F2" s="70"/>
      <c r="G2" s="70"/>
      <c r="H2" s="70"/>
      <c r="I2" s="70"/>
    </row>
    <row r="3" spans="1:9" ht="21" x14ac:dyDescent="0.55000000000000004">
      <c r="A3" s="70" t="s">
        <v>62</v>
      </c>
      <c r="B3" s="70"/>
      <c r="C3" s="70"/>
      <c r="D3" s="70"/>
      <c r="E3" s="70"/>
      <c r="F3" s="70"/>
      <c r="G3" s="70"/>
      <c r="H3" s="70"/>
      <c r="I3" s="70"/>
    </row>
    <row r="4" spans="1:9" ht="21" x14ac:dyDescent="0.45">
      <c r="A4" s="56" t="s">
        <v>40</v>
      </c>
      <c r="B4" s="56"/>
      <c r="C4" s="56"/>
      <c r="D4" s="56"/>
    </row>
    <row r="5" spans="1:9" ht="16.5" customHeight="1" thickBot="1" x14ac:dyDescent="0.5">
      <c r="B5" s="93" t="s">
        <v>58</v>
      </c>
      <c r="C5" s="93"/>
      <c r="D5" s="93"/>
      <c r="E5" s="93"/>
      <c r="F5" s="81" t="s">
        <v>63</v>
      </c>
      <c r="G5" s="81"/>
      <c r="H5" s="81"/>
      <c r="I5" s="81"/>
    </row>
    <row r="6" spans="1:9" ht="53.25" customHeight="1" thickBot="1" x14ac:dyDescent="0.5">
      <c r="A6" s="27" t="s">
        <v>30</v>
      </c>
      <c r="B6" s="16" t="s">
        <v>3</v>
      </c>
      <c r="C6" s="17" t="s">
        <v>18</v>
      </c>
      <c r="D6" s="16" t="s">
        <v>41</v>
      </c>
      <c r="E6" s="22" t="s">
        <v>42</v>
      </c>
      <c r="F6" s="16" t="s">
        <v>3</v>
      </c>
      <c r="G6" s="17" t="s">
        <v>18</v>
      </c>
      <c r="H6" s="16" t="s">
        <v>41</v>
      </c>
      <c r="I6" s="22" t="s">
        <v>42</v>
      </c>
    </row>
    <row r="7" spans="1:9" x14ac:dyDescent="0.45">
      <c r="A7" s="29" t="s">
        <v>144</v>
      </c>
      <c r="B7" s="29">
        <v>2127544</v>
      </c>
      <c r="C7" s="29">
        <v>14081024226</v>
      </c>
      <c r="D7" s="29">
        <v>26469859220</v>
      </c>
      <c r="E7" s="29">
        <v>-12388834994</v>
      </c>
      <c r="F7" s="29">
        <v>2127544</v>
      </c>
      <c r="G7" s="29">
        <v>14081024226</v>
      </c>
      <c r="H7" s="29">
        <v>8529834735</v>
      </c>
      <c r="I7" s="29">
        <v>5551189491</v>
      </c>
    </row>
    <row r="8" spans="1:9" x14ac:dyDescent="0.45">
      <c r="A8" s="29" t="s">
        <v>247</v>
      </c>
      <c r="B8" s="29">
        <v>1691411</v>
      </c>
      <c r="C8" s="29">
        <v>32643642843</v>
      </c>
      <c r="D8" s="29">
        <v>42742935000</v>
      </c>
      <c r="E8" s="29">
        <v>-10099292157</v>
      </c>
      <c r="F8" s="29">
        <v>1691411</v>
      </c>
      <c r="G8" s="29">
        <v>32643642843</v>
      </c>
      <c r="H8" s="29">
        <v>12933964677</v>
      </c>
      <c r="I8" s="29">
        <v>19709678166</v>
      </c>
    </row>
    <row r="9" spans="1:9" x14ac:dyDescent="0.45">
      <c r="A9" s="29" t="s">
        <v>271</v>
      </c>
      <c r="B9" s="29">
        <v>158909</v>
      </c>
      <c r="C9" s="29">
        <v>34973564495</v>
      </c>
      <c r="D9" s="29">
        <v>30511202569</v>
      </c>
      <c r="E9" s="29">
        <v>4462361926</v>
      </c>
      <c r="F9" s="29">
        <v>158909</v>
      </c>
      <c r="G9" s="29">
        <v>34973564495</v>
      </c>
      <c r="H9" s="29">
        <v>17472590990</v>
      </c>
      <c r="I9" s="29">
        <v>17500973505</v>
      </c>
    </row>
    <row r="10" spans="1:9" x14ac:dyDescent="0.45">
      <c r="A10" s="29" t="s">
        <v>163</v>
      </c>
      <c r="B10" s="29">
        <v>4562943</v>
      </c>
      <c r="C10" s="29">
        <v>65651236034</v>
      </c>
      <c r="D10" s="29">
        <v>68749100270</v>
      </c>
      <c r="E10" s="29">
        <v>-3097864236</v>
      </c>
      <c r="F10" s="29">
        <v>4562943</v>
      </c>
      <c r="G10" s="29">
        <v>65651236034</v>
      </c>
      <c r="H10" s="29">
        <v>32477921431</v>
      </c>
      <c r="I10" s="29">
        <v>33173314603</v>
      </c>
    </row>
    <row r="11" spans="1:9" x14ac:dyDescent="0.45">
      <c r="A11" s="29" t="s">
        <v>318</v>
      </c>
      <c r="B11" s="29">
        <v>112243</v>
      </c>
      <c r="C11" s="29">
        <v>3664249397</v>
      </c>
      <c r="D11" s="29">
        <v>3189790357</v>
      </c>
      <c r="E11" s="29">
        <v>474459040</v>
      </c>
      <c r="F11" s="29">
        <v>112243</v>
      </c>
      <c r="G11" s="29">
        <v>3664249397</v>
      </c>
      <c r="H11" s="29">
        <v>1251567125</v>
      </c>
      <c r="I11" s="29">
        <v>2412682272</v>
      </c>
    </row>
    <row r="12" spans="1:9" x14ac:dyDescent="0.45">
      <c r="A12" s="29" t="s">
        <v>294</v>
      </c>
      <c r="B12" s="29">
        <v>4114542</v>
      </c>
      <c r="C12" s="29">
        <v>29803977109</v>
      </c>
      <c r="D12" s="29">
        <v>18598127352</v>
      </c>
      <c r="E12" s="29">
        <v>11205849757</v>
      </c>
      <c r="F12" s="29">
        <v>4114542</v>
      </c>
      <c r="G12" s="29">
        <v>29803977109</v>
      </c>
      <c r="H12" s="29">
        <v>17455040563</v>
      </c>
      <c r="I12" s="29">
        <v>12348936546</v>
      </c>
    </row>
    <row r="13" spans="1:9" x14ac:dyDescent="0.45">
      <c r="A13" s="29" t="s">
        <v>273</v>
      </c>
      <c r="B13" s="29">
        <v>245000</v>
      </c>
      <c r="C13" s="29">
        <v>4018544659</v>
      </c>
      <c r="D13" s="29">
        <v>4378341761</v>
      </c>
      <c r="E13" s="29">
        <v>-359797102</v>
      </c>
      <c r="F13" s="29">
        <v>245000</v>
      </c>
      <c r="G13" s="29">
        <v>4018544659</v>
      </c>
      <c r="H13" s="29">
        <v>2525872898</v>
      </c>
      <c r="I13" s="29">
        <v>1492671761</v>
      </c>
    </row>
    <row r="14" spans="1:9" x14ac:dyDescent="0.45">
      <c r="A14" s="29" t="s">
        <v>199</v>
      </c>
      <c r="B14" s="29">
        <v>6148905</v>
      </c>
      <c r="C14" s="29">
        <v>55339461857</v>
      </c>
      <c r="D14" s="29">
        <v>67750843975</v>
      </c>
      <c r="E14" s="29">
        <v>-12411382118</v>
      </c>
      <c r="F14" s="29">
        <v>6148905</v>
      </c>
      <c r="G14" s="29">
        <v>55339461857</v>
      </c>
      <c r="H14" s="29">
        <v>31867829792</v>
      </c>
      <c r="I14" s="29">
        <v>23471632065</v>
      </c>
    </row>
    <row r="15" spans="1:9" x14ac:dyDescent="0.45">
      <c r="A15" s="29" t="s">
        <v>215</v>
      </c>
      <c r="B15" s="29">
        <v>2235450</v>
      </c>
      <c r="C15" s="29">
        <v>49420826965</v>
      </c>
      <c r="D15" s="29">
        <v>54696784507</v>
      </c>
      <c r="E15" s="29">
        <v>-5275957542</v>
      </c>
      <c r="F15" s="29">
        <v>2235450</v>
      </c>
      <c r="G15" s="29">
        <v>49420826965</v>
      </c>
      <c r="H15" s="29">
        <v>25245127674</v>
      </c>
      <c r="I15" s="29">
        <v>24175699291</v>
      </c>
    </row>
    <row r="16" spans="1:9" x14ac:dyDescent="0.45">
      <c r="A16" s="29" t="s">
        <v>183</v>
      </c>
      <c r="B16" s="29">
        <v>9767693</v>
      </c>
      <c r="C16" s="29">
        <v>35667254538</v>
      </c>
      <c r="D16" s="29">
        <v>32856519805</v>
      </c>
      <c r="E16" s="29">
        <v>2810734733</v>
      </c>
      <c r="F16" s="29">
        <v>9767693</v>
      </c>
      <c r="G16" s="29">
        <v>35667254538</v>
      </c>
      <c r="H16" s="29">
        <v>16005175324</v>
      </c>
      <c r="I16" s="29">
        <v>19662079214</v>
      </c>
    </row>
    <row r="17" spans="1:9" x14ac:dyDescent="0.45">
      <c r="A17" s="29" t="s">
        <v>200</v>
      </c>
      <c r="B17" s="29">
        <v>6621427</v>
      </c>
      <c r="C17" s="29">
        <v>99407782177</v>
      </c>
      <c r="D17" s="29">
        <v>159188931402</v>
      </c>
      <c r="E17" s="29">
        <v>-59781149225</v>
      </c>
      <c r="F17" s="29">
        <v>6621427</v>
      </c>
      <c r="G17" s="29">
        <v>99407782177</v>
      </c>
      <c r="H17" s="29">
        <v>26196216151</v>
      </c>
      <c r="I17" s="29">
        <v>73211566026</v>
      </c>
    </row>
    <row r="18" spans="1:9" x14ac:dyDescent="0.45">
      <c r="A18" s="29" t="s">
        <v>97</v>
      </c>
      <c r="B18" s="29">
        <v>1105609</v>
      </c>
      <c r="C18" s="29">
        <v>42708648670</v>
      </c>
      <c r="D18" s="29">
        <v>42271917462</v>
      </c>
      <c r="E18" s="29">
        <v>436731208</v>
      </c>
      <c r="F18" s="29">
        <v>1105609</v>
      </c>
      <c r="G18" s="29">
        <v>42708648670</v>
      </c>
      <c r="H18" s="29">
        <v>19132772485</v>
      </c>
      <c r="I18" s="29">
        <v>23575876185</v>
      </c>
    </row>
    <row r="19" spans="1:9" x14ac:dyDescent="0.45">
      <c r="A19" s="29" t="s">
        <v>149</v>
      </c>
      <c r="B19" s="29">
        <v>7903637</v>
      </c>
      <c r="C19" s="29">
        <v>32546548827</v>
      </c>
      <c r="D19" s="29">
        <v>33829635103</v>
      </c>
      <c r="E19" s="29">
        <v>-1283086276</v>
      </c>
      <c r="F19" s="29">
        <v>7903637</v>
      </c>
      <c r="G19" s="29">
        <v>32546548827</v>
      </c>
      <c r="H19" s="29">
        <v>17630542849</v>
      </c>
      <c r="I19" s="29">
        <v>14916005978</v>
      </c>
    </row>
    <row r="20" spans="1:9" x14ac:dyDescent="0.45">
      <c r="A20" s="29" t="s">
        <v>125</v>
      </c>
      <c r="B20" s="29">
        <v>24471939</v>
      </c>
      <c r="C20" s="29">
        <v>86203836736</v>
      </c>
      <c r="D20" s="29">
        <v>76604815185</v>
      </c>
      <c r="E20" s="29">
        <v>9599021551</v>
      </c>
      <c r="F20" s="29">
        <v>24471939</v>
      </c>
      <c r="G20" s="29">
        <v>86203836736</v>
      </c>
      <c r="H20" s="29">
        <v>62870948449</v>
      </c>
      <c r="I20" s="29">
        <v>23332888287</v>
      </c>
    </row>
    <row r="21" spans="1:9" x14ac:dyDescent="0.45">
      <c r="A21" s="29" t="s">
        <v>196</v>
      </c>
      <c r="B21" s="29">
        <v>80507736</v>
      </c>
      <c r="C21" s="29">
        <v>53203683860</v>
      </c>
      <c r="D21" s="29">
        <v>54282640491</v>
      </c>
      <c r="E21" s="29">
        <v>-1078956631</v>
      </c>
      <c r="F21" s="29">
        <v>80507736</v>
      </c>
      <c r="G21" s="29">
        <v>53203683860</v>
      </c>
      <c r="H21" s="29">
        <v>42974992967</v>
      </c>
      <c r="I21" s="29">
        <v>10228690893</v>
      </c>
    </row>
    <row r="22" spans="1:9" x14ac:dyDescent="0.45">
      <c r="A22" s="29" t="s">
        <v>253</v>
      </c>
      <c r="B22" s="29">
        <v>1750000</v>
      </c>
      <c r="C22" s="29">
        <v>8508715250</v>
      </c>
      <c r="D22" s="29">
        <v>8543444700</v>
      </c>
      <c r="E22" s="29">
        <v>-34729450</v>
      </c>
      <c r="F22" s="29">
        <v>1750000</v>
      </c>
      <c r="G22" s="29">
        <v>8508715250</v>
      </c>
      <c r="H22" s="29">
        <v>4554767367</v>
      </c>
      <c r="I22" s="29">
        <v>3953947883</v>
      </c>
    </row>
    <row r="23" spans="1:9" x14ac:dyDescent="0.45">
      <c r="A23" s="29" t="s">
        <v>77</v>
      </c>
      <c r="B23" s="29">
        <v>23353305</v>
      </c>
      <c r="C23" s="29">
        <v>41224382651</v>
      </c>
      <c r="D23" s="29">
        <v>45144667659</v>
      </c>
      <c r="E23" s="29">
        <v>-3920285008</v>
      </c>
      <c r="F23" s="29">
        <v>23353305</v>
      </c>
      <c r="G23" s="29">
        <v>41224382651</v>
      </c>
      <c r="H23" s="29">
        <v>27782436968</v>
      </c>
      <c r="I23" s="29">
        <v>13441945683</v>
      </c>
    </row>
    <row r="24" spans="1:9" x14ac:dyDescent="0.45">
      <c r="A24" s="29" t="s">
        <v>80</v>
      </c>
      <c r="B24" s="29">
        <v>36217996</v>
      </c>
      <c r="C24" s="29">
        <v>31122334752</v>
      </c>
      <c r="D24" s="29">
        <v>30547326257</v>
      </c>
      <c r="E24" s="29">
        <v>575008495</v>
      </c>
      <c r="F24" s="29">
        <v>36217996</v>
      </c>
      <c r="G24" s="29">
        <v>31122334752</v>
      </c>
      <c r="H24" s="29">
        <v>13510635983</v>
      </c>
      <c r="I24" s="29">
        <v>17611698769</v>
      </c>
    </row>
    <row r="25" spans="1:9" x14ac:dyDescent="0.45">
      <c r="A25" s="29" t="s">
        <v>210</v>
      </c>
      <c r="B25" s="29">
        <v>4100000</v>
      </c>
      <c r="C25" s="29">
        <v>24816672700</v>
      </c>
      <c r="D25" s="29">
        <v>30128620935</v>
      </c>
      <c r="E25" s="29">
        <v>-5311948235</v>
      </c>
      <c r="F25" s="29">
        <v>4100000</v>
      </c>
      <c r="G25" s="29">
        <v>24816672700</v>
      </c>
      <c r="H25" s="29">
        <v>13335016753</v>
      </c>
      <c r="I25" s="29">
        <v>11481655947</v>
      </c>
    </row>
    <row r="26" spans="1:9" x14ac:dyDescent="0.45">
      <c r="A26" s="29" t="s">
        <v>95</v>
      </c>
      <c r="B26" s="29">
        <v>6075143</v>
      </c>
      <c r="C26" s="29">
        <v>19350464684</v>
      </c>
      <c r="D26" s="29">
        <v>19531310149</v>
      </c>
      <c r="E26" s="29">
        <v>-180845465</v>
      </c>
      <c r="F26" s="29">
        <v>6075143</v>
      </c>
      <c r="G26" s="29">
        <v>19350464684</v>
      </c>
      <c r="H26" s="29">
        <v>11474470080</v>
      </c>
      <c r="I26" s="29">
        <v>7875994604</v>
      </c>
    </row>
    <row r="27" spans="1:9" x14ac:dyDescent="0.45">
      <c r="A27" s="29" t="s">
        <v>155</v>
      </c>
      <c r="B27" s="29">
        <v>48123085</v>
      </c>
      <c r="C27" s="29">
        <v>44933779033</v>
      </c>
      <c r="D27" s="29">
        <v>48551423753</v>
      </c>
      <c r="E27" s="29">
        <v>-3617644720</v>
      </c>
      <c r="F27" s="29">
        <v>48123085</v>
      </c>
      <c r="G27" s="29">
        <v>44933779033</v>
      </c>
      <c r="H27" s="29">
        <v>24870618095</v>
      </c>
      <c r="I27" s="29">
        <v>20063160938</v>
      </c>
    </row>
    <row r="28" spans="1:9" x14ac:dyDescent="0.45">
      <c r="A28" s="29" t="s">
        <v>213</v>
      </c>
      <c r="B28" s="29">
        <v>29696139</v>
      </c>
      <c r="C28" s="29">
        <v>42402419910</v>
      </c>
      <c r="D28" s="29">
        <v>41960824399</v>
      </c>
      <c r="E28" s="29">
        <v>441595511</v>
      </c>
      <c r="F28" s="29">
        <v>29696139</v>
      </c>
      <c r="G28" s="29">
        <v>42402419910</v>
      </c>
      <c r="H28" s="29">
        <v>32316527007</v>
      </c>
      <c r="I28" s="29">
        <v>10085892903</v>
      </c>
    </row>
    <row r="29" spans="1:9" x14ac:dyDescent="0.45">
      <c r="A29" s="29" t="s">
        <v>128</v>
      </c>
      <c r="B29" s="29">
        <v>10358159</v>
      </c>
      <c r="C29" s="29">
        <v>60229609925</v>
      </c>
      <c r="D29" s="29">
        <v>58660397172</v>
      </c>
      <c r="E29" s="29">
        <v>1569212753</v>
      </c>
      <c r="F29" s="29">
        <v>10358159</v>
      </c>
      <c r="G29" s="29">
        <v>60229609925</v>
      </c>
      <c r="H29" s="29">
        <v>35407775870</v>
      </c>
      <c r="I29" s="29">
        <v>24821834055</v>
      </c>
    </row>
    <row r="30" spans="1:9" x14ac:dyDescent="0.45">
      <c r="A30" s="29" t="s">
        <v>96</v>
      </c>
      <c r="B30" s="29">
        <v>16845192</v>
      </c>
      <c r="C30" s="29">
        <v>28950343049</v>
      </c>
      <c r="D30" s="29">
        <v>27362420076</v>
      </c>
      <c r="E30" s="29">
        <v>1587922973</v>
      </c>
      <c r="F30" s="29">
        <v>16845192</v>
      </c>
      <c r="G30" s="29">
        <v>28950343049</v>
      </c>
      <c r="H30" s="29">
        <v>27049394994</v>
      </c>
      <c r="I30" s="29">
        <v>1900948055</v>
      </c>
    </row>
    <row r="31" spans="1:9" x14ac:dyDescent="0.45">
      <c r="A31" s="29" t="s">
        <v>305</v>
      </c>
      <c r="B31" s="29">
        <v>10526015</v>
      </c>
      <c r="C31" s="29">
        <v>37496289566</v>
      </c>
      <c r="D31" s="29">
        <v>36138485208</v>
      </c>
      <c r="E31" s="29">
        <v>1357804358</v>
      </c>
      <c r="F31" s="29">
        <v>10526015</v>
      </c>
      <c r="G31" s="29">
        <v>37496289566</v>
      </c>
      <c r="H31" s="29">
        <v>17537872757</v>
      </c>
      <c r="I31" s="29">
        <v>19958416809</v>
      </c>
    </row>
    <row r="32" spans="1:9" x14ac:dyDescent="0.45">
      <c r="A32" s="29" t="s">
        <v>161</v>
      </c>
      <c r="B32" s="29">
        <v>16640831</v>
      </c>
      <c r="C32" s="29">
        <v>50890592314</v>
      </c>
      <c r="D32" s="29">
        <v>34450766046</v>
      </c>
      <c r="E32" s="29">
        <v>16439826268</v>
      </c>
      <c r="F32" s="29">
        <v>16640831</v>
      </c>
      <c r="G32" s="29">
        <v>50890592314</v>
      </c>
      <c r="H32" s="29">
        <v>32622063401</v>
      </c>
      <c r="I32" s="29">
        <v>18268528913</v>
      </c>
    </row>
    <row r="33" spans="1:9" x14ac:dyDescent="0.45">
      <c r="A33" s="29" t="s">
        <v>335</v>
      </c>
      <c r="B33" s="29">
        <v>2875000</v>
      </c>
      <c r="C33" s="29">
        <v>8467039910</v>
      </c>
      <c r="D33" s="29">
        <v>6558532599</v>
      </c>
      <c r="E33" s="29">
        <v>1908507311</v>
      </c>
      <c r="F33" s="29">
        <v>2875000</v>
      </c>
      <c r="G33" s="29">
        <v>8467039910</v>
      </c>
      <c r="H33" s="29">
        <v>5668466409</v>
      </c>
      <c r="I33" s="29">
        <v>2798573501</v>
      </c>
    </row>
    <row r="34" spans="1:9" x14ac:dyDescent="0.45">
      <c r="A34" s="29" t="s">
        <v>337</v>
      </c>
      <c r="B34" s="29">
        <v>6000000</v>
      </c>
      <c r="C34" s="29">
        <v>145566009000</v>
      </c>
      <c r="D34" s="29">
        <v>93174153000</v>
      </c>
      <c r="E34" s="29">
        <v>52391856000</v>
      </c>
      <c r="F34" s="29">
        <v>6000000</v>
      </c>
      <c r="G34" s="29">
        <v>145566009000</v>
      </c>
      <c r="H34" s="29">
        <v>72340764580</v>
      </c>
      <c r="I34" s="29">
        <v>73225244420</v>
      </c>
    </row>
    <row r="35" spans="1:9" x14ac:dyDescent="0.45">
      <c r="A35" s="29" t="s">
        <v>74</v>
      </c>
      <c r="B35" s="29">
        <v>17463245</v>
      </c>
      <c r="C35" s="29">
        <v>31866659320</v>
      </c>
      <c r="D35" s="29">
        <v>28366351988</v>
      </c>
      <c r="E35" s="29">
        <v>3500307332</v>
      </c>
      <c r="F35" s="29">
        <v>17463245</v>
      </c>
      <c r="G35" s="29">
        <v>31866659320</v>
      </c>
      <c r="H35" s="29">
        <v>22370532470</v>
      </c>
      <c r="I35" s="29">
        <v>9496126850</v>
      </c>
    </row>
    <row r="36" spans="1:9" x14ac:dyDescent="0.45">
      <c r="A36" s="29" t="s">
        <v>309</v>
      </c>
      <c r="B36" s="29">
        <v>4793305</v>
      </c>
      <c r="C36" s="29">
        <v>16076134303</v>
      </c>
      <c r="D36" s="29">
        <v>13288970190</v>
      </c>
      <c r="E36" s="29">
        <v>2787164113</v>
      </c>
      <c r="F36" s="29">
        <v>4793305</v>
      </c>
      <c r="G36" s="29">
        <v>16076134303</v>
      </c>
      <c r="H36" s="29">
        <v>11482759130</v>
      </c>
      <c r="I36" s="29">
        <v>4593375173</v>
      </c>
    </row>
    <row r="37" spans="1:9" x14ac:dyDescent="0.45">
      <c r="A37" s="29" t="s">
        <v>229</v>
      </c>
      <c r="B37" s="29">
        <v>13617878</v>
      </c>
      <c r="C37" s="29">
        <v>36970505893</v>
      </c>
      <c r="D37" s="29">
        <v>40772980063</v>
      </c>
      <c r="E37" s="29">
        <v>-3802474170</v>
      </c>
      <c r="F37" s="29">
        <v>13617878</v>
      </c>
      <c r="G37" s="29">
        <v>36970505893</v>
      </c>
      <c r="H37" s="29">
        <v>22186439645</v>
      </c>
      <c r="I37" s="29">
        <v>14784066248</v>
      </c>
    </row>
    <row r="38" spans="1:9" x14ac:dyDescent="0.45">
      <c r="A38" s="29" t="s">
        <v>116</v>
      </c>
      <c r="B38" s="29">
        <v>8092011</v>
      </c>
      <c r="C38" s="29">
        <v>44804385433</v>
      </c>
      <c r="D38" s="29">
        <v>32996748892</v>
      </c>
      <c r="E38" s="29">
        <v>11807636541</v>
      </c>
      <c r="F38" s="29">
        <v>8092011</v>
      </c>
      <c r="G38" s="29">
        <v>44804385433</v>
      </c>
      <c r="H38" s="29">
        <v>19341367246</v>
      </c>
      <c r="I38" s="29">
        <v>25463018187</v>
      </c>
    </row>
    <row r="39" spans="1:9" x14ac:dyDescent="0.45">
      <c r="A39" s="29" t="s">
        <v>180</v>
      </c>
      <c r="B39" s="29">
        <v>5838695</v>
      </c>
      <c r="C39" s="29">
        <v>47738949954</v>
      </c>
      <c r="D39" s="29">
        <v>42640615493</v>
      </c>
      <c r="E39" s="29">
        <v>5098334461</v>
      </c>
      <c r="F39" s="29">
        <v>5838695</v>
      </c>
      <c r="G39" s="29">
        <v>47738949954</v>
      </c>
      <c r="H39" s="29">
        <v>36325353077</v>
      </c>
      <c r="I39" s="29">
        <v>11413596877</v>
      </c>
    </row>
    <row r="40" spans="1:9" x14ac:dyDescent="0.45">
      <c r="A40" s="29" t="s">
        <v>218</v>
      </c>
      <c r="B40" s="29">
        <v>6514253</v>
      </c>
      <c r="C40" s="29">
        <v>61730224222</v>
      </c>
      <c r="D40" s="29">
        <v>65086632695</v>
      </c>
      <c r="E40" s="29">
        <v>-3356408473</v>
      </c>
      <c r="F40" s="29">
        <v>6514253</v>
      </c>
      <c r="G40" s="29">
        <v>61730224222</v>
      </c>
      <c r="H40" s="29">
        <v>31810413364</v>
      </c>
      <c r="I40" s="29">
        <v>29919810858</v>
      </c>
    </row>
    <row r="41" spans="1:9" x14ac:dyDescent="0.45">
      <c r="A41" s="29" t="s">
        <v>124</v>
      </c>
      <c r="B41" s="29">
        <v>12528056</v>
      </c>
      <c r="C41" s="29">
        <v>38163827370</v>
      </c>
      <c r="D41" s="29">
        <v>36293855990</v>
      </c>
      <c r="E41" s="29">
        <v>1869971380</v>
      </c>
      <c r="F41" s="29">
        <v>12528056</v>
      </c>
      <c r="G41" s="29">
        <v>38163827370</v>
      </c>
      <c r="H41" s="29">
        <v>26935437810</v>
      </c>
      <c r="I41" s="29">
        <v>11228389560</v>
      </c>
    </row>
    <row r="42" spans="1:9" x14ac:dyDescent="0.45">
      <c r="A42" s="29" t="s">
        <v>105</v>
      </c>
      <c r="B42" s="29">
        <v>12500000</v>
      </c>
      <c r="C42" s="29">
        <v>72683777500</v>
      </c>
      <c r="D42" s="29">
        <v>73120783144</v>
      </c>
      <c r="E42" s="29">
        <v>-437005644</v>
      </c>
      <c r="F42" s="29">
        <v>12500000</v>
      </c>
      <c r="G42" s="29">
        <v>72683777500</v>
      </c>
      <c r="H42" s="29">
        <v>28374580532</v>
      </c>
      <c r="I42" s="29">
        <v>44309196968</v>
      </c>
    </row>
    <row r="43" spans="1:9" x14ac:dyDescent="0.45">
      <c r="A43" s="29" t="s">
        <v>234</v>
      </c>
      <c r="B43" s="29">
        <v>3557161</v>
      </c>
      <c r="C43" s="29">
        <v>41367663785</v>
      </c>
      <c r="D43" s="29">
        <v>52708233340</v>
      </c>
      <c r="E43" s="29">
        <v>-11340569555</v>
      </c>
      <c r="F43" s="29">
        <v>3557161</v>
      </c>
      <c r="G43" s="29">
        <v>41367663785</v>
      </c>
      <c r="H43" s="29">
        <v>14256284574</v>
      </c>
      <c r="I43" s="29">
        <v>27111379211</v>
      </c>
    </row>
    <row r="44" spans="1:9" x14ac:dyDescent="0.45">
      <c r="A44" s="29" t="s">
        <v>227</v>
      </c>
      <c r="B44" s="29">
        <v>75750</v>
      </c>
      <c r="C44" s="29">
        <v>4533919775</v>
      </c>
      <c r="D44" s="29">
        <v>6329658081</v>
      </c>
      <c r="E44" s="29">
        <v>-1795738306</v>
      </c>
      <c r="F44" s="29">
        <v>75750</v>
      </c>
      <c r="G44" s="29">
        <v>4533919775</v>
      </c>
      <c r="H44" s="29">
        <v>3964924869</v>
      </c>
      <c r="I44" s="29">
        <v>568994906</v>
      </c>
    </row>
    <row r="45" spans="1:9" x14ac:dyDescent="0.45">
      <c r="A45" s="29" t="s">
        <v>293</v>
      </c>
      <c r="B45" s="29">
        <v>11678863</v>
      </c>
      <c r="C45" s="29">
        <v>20384321699</v>
      </c>
      <c r="D45" s="29">
        <v>19352937600</v>
      </c>
      <c r="E45" s="29">
        <v>1031384099</v>
      </c>
      <c r="F45" s="29">
        <v>11678863</v>
      </c>
      <c r="G45" s="29">
        <v>20384321699</v>
      </c>
      <c r="H45" s="29">
        <v>15018923425</v>
      </c>
      <c r="I45" s="29">
        <v>5365398274</v>
      </c>
    </row>
    <row r="46" spans="1:9" x14ac:dyDescent="0.45">
      <c r="A46" s="29" t="s">
        <v>171</v>
      </c>
      <c r="B46" s="29">
        <v>3337779</v>
      </c>
      <c r="C46" s="29">
        <v>36961674127</v>
      </c>
      <c r="D46" s="29">
        <v>24700616769</v>
      </c>
      <c r="E46" s="29">
        <v>12261057358</v>
      </c>
      <c r="F46" s="29">
        <v>3337779</v>
      </c>
      <c r="G46" s="29">
        <v>36961674127</v>
      </c>
      <c r="H46" s="29">
        <v>21144318360</v>
      </c>
      <c r="I46" s="29">
        <v>15817355767</v>
      </c>
    </row>
    <row r="47" spans="1:9" x14ac:dyDescent="0.45">
      <c r="A47" s="29" t="s">
        <v>303</v>
      </c>
      <c r="B47" s="29">
        <v>250000</v>
      </c>
      <c r="C47" s="29">
        <v>2855256925</v>
      </c>
      <c r="D47" s="29">
        <v>2904870425</v>
      </c>
      <c r="E47" s="29">
        <v>-49613500</v>
      </c>
      <c r="F47" s="29">
        <v>250000</v>
      </c>
      <c r="G47" s="29">
        <v>2855256925</v>
      </c>
      <c r="H47" s="29">
        <v>1200646700</v>
      </c>
      <c r="I47" s="29">
        <v>1654610225</v>
      </c>
    </row>
    <row r="48" spans="1:9" x14ac:dyDescent="0.45">
      <c r="A48" s="29" t="s">
        <v>154</v>
      </c>
      <c r="B48" s="29">
        <v>10760139</v>
      </c>
      <c r="C48" s="29">
        <v>87337558367</v>
      </c>
      <c r="D48" s="29">
        <v>71943991013</v>
      </c>
      <c r="E48" s="29">
        <v>15393567354</v>
      </c>
      <c r="F48" s="29">
        <v>10760139</v>
      </c>
      <c r="G48" s="29">
        <v>87337558367</v>
      </c>
      <c r="H48" s="29">
        <v>52953448376</v>
      </c>
      <c r="I48" s="29">
        <v>34384109991</v>
      </c>
    </row>
    <row r="49" spans="1:9" x14ac:dyDescent="0.45">
      <c r="A49" s="29" t="s">
        <v>132</v>
      </c>
      <c r="B49" s="29">
        <v>109400</v>
      </c>
      <c r="C49" s="29">
        <v>18975298282</v>
      </c>
      <c r="D49" s="29">
        <v>20234528603</v>
      </c>
      <c r="E49" s="29">
        <v>-1259230321</v>
      </c>
      <c r="F49" s="29">
        <v>109400</v>
      </c>
      <c r="G49" s="29">
        <v>18975298282</v>
      </c>
      <c r="H49" s="29">
        <v>13710412889</v>
      </c>
      <c r="I49" s="29">
        <v>5264885393</v>
      </c>
    </row>
    <row r="50" spans="1:9" x14ac:dyDescent="0.45">
      <c r="A50" s="29" t="s">
        <v>214</v>
      </c>
      <c r="B50" s="29">
        <v>3135701</v>
      </c>
      <c r="C50" s="29">
        <v>48725495410</v>
      </c>
      <c r="D50" s="29">
        <v>37381660501</v>
      </c>
      <c r="E50" s="29">
        <v>11343834909</v>
      </c>
      <c r="F50" s="29">
        <v>3135701</v>
      </c>
      <c r="G50" s="29">
        <v>48725495410</v>
      </c>
      <c r="H50" s="29">
        <v>31491107218</v>
      </c>
      <c r="I50" s="29">
        <v>17234388192</v>
      </c>
    </row>
    <row r="51" spans="1:9" x14ac:dyDescent="0.45">
      <c r="A51" s="29" t="s">
        <v>168</v>
      </c>
      <c r="B51" s="29">
        <v>4883236</v>
      </c>
      <c r="C51" s="29">
        <v>39975280832</v>
      </c>
      <c r="D51" s="29">
        <v>34062556310</v>
      </c>
      <c r="E51" s="29">
        <v>5912724522</v>
      </c>
      <c r="F51" s="29">
        <v>4883236</v>
      </c>
      <c r="G51" s="29">
        <v>39975280832</v>
      </c>
      <c r="H51" s="29">
        <v>28088003839</v>
      </c>
      <c r="I51" s="29">
        <v>11887276993</v>
      </c>
    </row>
    <row r="52" spans="1:9" x14ac:dyDescent="0.45">
      <c r="A52" s="29" t="s">
        <v>140</v>
      </c>
      <c r="B52" s="29">
        <v>12960615</v>
      </c>
      <c r="C52" s="29">
        <v>34105858891</v>
      </c>
      <c r="D52" s="29">
        <v>32048190180</v>
      </c>
      <c r="E52" s="29">
        <v>2057668711</v>
      </c>
      <c r="F52" s="29">
        <v>12960615</v>
      </c>
      <c r="G52" s="29">
        <v>34105858891</v>
      </c>
      <c r="H52" s="29">
        <v>23372761437</v>
      </c>
      <c r="I52" s="29">
        <v>10733097454</v>
      </c>
    </row>
    <row r="53" spans="1:9" x14ac:dyDescent="0.45">
      <c r="A53" s="29" t="s">
        <v>221</v>
      </c>
      <c r="B53" s="29">
        <v>6127841</v>
      </c>
      <c r="C53" s="29">
        <v>25598790442</v>
      </c>
      <c r="D53" s="29">
        <v>28014895082</v>
      </c>
      <c r="E53" s="29">
        <v>-2416104640</v>
      </c>
      <c r="F53" s="29">
        <v>6127841</v>
      </c>
      <c r="G53" s="29">
        <v>25598790442</v>
      </c>
      <c r="H53" s="29">
        <v>8910324891</v>
      </c>
      <c r="I53" s="29">
        <v>16688465551</v>
      </c>
    </row>
    <row r="54" spans="1:9" x14ac:dyDescent="0.45">
      <c r="A54" s="29" t="s">
        <v>142</v>
      </c>
      <c r="B54" s="29">
        <v>8541112</v>
      </c>
      <c r="C54" s="29">
        <v>46273987055</v>
      </c>
      <c r="D54" s="29">
        <v>50299155234</v>
      </c>
      <c r="E54" s="29">
        <v>-4025168179</v>
      </c>
      <c r="F54" s="29">
        <v>8541112</v>
      </c>
      <c r="G54" s="29">
        <v>46273987055</v>
      </c>
      <c r="H54" s="29">
        <v>31949231956</v>
      </c>
      <c r="I54" s="29">
        <v>14324755099</v>
      </c>
    </row>
    <row r="55" spans="1:9" x14ac:dyDescent="0.45">
      <c r="A55" s="29" t="s">
        <v>129</v>
      </c>
      <c r="B55" s="29">
        <v>3455959</v>
      </c>
      <c r="C55" s="29">
        <v>69888001625</v>
      </c>
      <c r="D55" s="29">
        <v>75030207141</v>
      </c>
      <c r="E55" s="29">
        <v>-5142205516</v>
      </c>
      <c r="F55" s="29">
        <v>3455959</v>
      </c>
      <c r="G55" s="29">
        <v>69888001625</v>
      </c>
      <c r="H55" s="29">
        <v>26405182165</v>
      </c>
      <c r="I55" s="29">
        <v>43482819460</v>
      </c>
    </row>
    <row r="56" spans="1:9" x14ac:dyDescent="0.45">
      <c r="A56" s="29" t="s">
        <v>88</v>
      </c>
      <c r="B56" s="29">
        <v>7267208</v>
      </c>
      <c r="C56" s="29">
        <v>20623552899</v>
      </c>
      <c r="D56" s="29">
        <v>25937208759</v>
      </c>
      <c r="E56" s="29">
        <v>-5313655860</v>
      </c>
      <c r="F56" s="29">
        <v>7267208</v>
      </c>
      <c r="G56" s="29">
        <v>20623552899</v>
      </c>
      <c r="H56" s="29">
        <v>13055482726</v>
      </c>
      <c r="I56" s="29">
        <v>7568070173</v>
      </c>
    </row>
    <row r="57" spans="1:9" x14ac:dyDescent="0.45">
      <c r="A57" s="29" t="s">
        <v>93</v>
      </c>
      <c r="B57" s="29">
        <v>1274208</v>
      </c>
      <c r="C57" s="29">
        <v>73863816102</v>
      </c>
      <c r="D57" s="29">
        <v>61512483865</v>
      </c>
      <c r="E57" s="29">
        <v>12351332237</v>
      </c>
      <c r="F57" s="29">
        <v>1274208</v>
      </c>
      <c r="G57" s="29">
        <v>73863816102</v>
      </c>
      <c r="H57" s="29">
        <v>37361357541</v>
      </c>
      <c r="I57" s="29">
        <v>36502458561</v>
      </c>
    </row>
    <row r="58" spans="1:9" x14ac:dyDescent="0.45">
      <c r="A58" s="29" t="s">
        <v>225</v>
      </c>
      <c r="B58" s="29">
        <v>8361008</v>
      </c>
      <c r="C58" s="29">
        <v>82465991437</v>
      </c>
      <c r="D58" s="29">
        <v>58753086836</v>
      </c>
      <c r="E58" s="29">
        <v>23712904601</v>
      </c>
      <c r="F58" s="29">
        <v>8361008</v>
      </c>
      <c r="G58" s="29">
        <v>82465991437</v>
      </c>
      <c r="H58" s="29">
        <v>28222599939</v>
      </c>
      <c r="I58" s="29">
        <v>54243391498</v>
      </c>
    </row>
    <row r="59" spans="1:9" x14ac:dyDescent="0.45">
      <c r="A59" s="29" t="s">
        <v>244</v>
      </c>
      <c r="B59" s="29">
        <v>1020025</v>
      </c>
      <c r="C59" s="29">
        <v>65728385026</v>
      </c>
      <c r="D59" s="29">
        <v>64414652826</v>
      </c>
      <c r="E59" s="29">
        <v>1313732200</v>
      </c>
      <c r="F59" s="29">
        <v>1020025</v>
      </c>
      <c r="G59" s="29">
        <v>65728385026</v>
      </c>
      <c r="H59" s="29">
        <v>29846462617</v>
      </c>
      <c r="I59" s="29">
        <v>35881922409</v>
      </c>
    </row>
    <row r="60" spans="1:9" x14ac:dyDescent="0.45">
      <c r="A60" s="29" t="s">
        <v>182</v>
      </c>
      <c r="B60" s="29">
        <v>520000</v>
      </c>
      <c r="C60" s="29">
        <v>45648785988</v>
      </c>
      <c r="D60" s="29">
        <v>55334042665</v>
      </c>
      <c r="E60" s="29">
        <v>-9685256677</v>
      </c>
      <c r="F60" s="29">
        <v>520000</v>
      </c>
      <c r="G60" s="29">
        <v>45648785988</v>
      </c>
      <c r="H60" s="29">
        <v>19916536886</v>
      </c>
      <c r="I60" s="29">
        <v>25732249102</v>
      </c>
    </row>
    <row r="61" spans="1:9" x14ac:dyDescent="0.45">
      <c r="A61" s="29" t="s">
        <v>220</v>
      </c>
      <c r="B61" s="29">
        <v>3196837</v>
      </c>
      <c r="C61" s="29">
        <v>40508041996</v>
      </c>
      <c r="D61" s="29">
        <v>28279944442</v>
      </c>
      <c r="E61" s="29">
        <v>12228097554</v>
      </c>
      <c r="F61" s="29">
        <v>3196837</v>
      </c>
      <c r="G61" s="29">
        <v>40508041996</v>
      </c>
      <c r="H61" s="29">
        <v>18476453505</v>
      </c>
      <c r="I61" s="29">
        <v>22031588491</v>
      </c>
    </row>
    <row r="62" spans="1:9" x14ac:dyDescent="0.45">
      <c r="A62" s="29" t="s">
        <v>108</v>
      </c>
      <c r="B62" s="29">
        <v>5729408</v>
      </c>
      <c r="C62" s="29">
        <v>97954612020</v>
      </c>
      <c r="D62" s="29">
        <v>102419618538</v>
      </c>
      <c r="E62" s="29">
        <v>-4465006518</v>
      </c>
      <c r="F62" s="29">
        <v>5729408</v>
      </c>
      <c r="G62" s="29">
        <v>97954612020</v>
      </c>
      <c r="H62" s="29">
        <v>48908756320</v>
      </c>
      <c r="I62" s="29">
        <v>49045855700</v>
      </c>
    </row>
    <row r="63" spans="1:9" x14ac:dyDescent="0.45">
      <c r="A63" s="29" t="s">
        <v>87</v>
      </c>
      <c r="B63" s="29">
        <v>1112307</v>
      </c>
      <c r="C63" s="29">
        <v>27835537623</v>
      </c>
      <c r="D63" s="29">
        <v>51410973513</v>
      </c>
      <c r="E63" s="29">
        <v>-23575435890</v>
      </c>
      <c r="F63" s="29">
        <v>1112307</v>
      </c>
      <c r="G63" s="29">
        <v>27835537623</v>
      </c>
      <c r="H63" s="29">
        <v>9079600136</v>
      </c>
      <c r="I63" s="29">
        <v>18755937487</v>
      </c>
    </row>
    <row r="64" spans="1:9" x14ac:dyDescent="0.45">
      <c r="A64" s="29" t="s">
        <v>191</v>
      </c>
      <c r="B64" s="29">
        <v>2208435</v>
      </c>
      <c r="C64" s="29">
        <v>32037738719</v>
      </c>
      <c r="D64" s="29">
        <v>48196200907</v>
      </c>
      <c r="E64" s="29">
        <v>-16158462188</v>
      </c>
      <c r="F64" s="29">
        <v>2208435</v>
      </c>
      <c r="G64" s="29">
        <v>32037738719</v>
      </c>
      <c r="H64" s="29">
        <v>23012723792</v>
      </c>
      <c r="I64" s="29">
        <v>9025014927</v>
      </c>
    </row>
    <row r="65" spans="1:9" x14ac:dyDescent="0.45">
      <c r="A65" s="29" t="s">
        <v>217</v>
      </c>
      <c r="B65" s="29">
        <v>1433693</v>
      </c>
      <c r="C65" s="29">
        <v>33260634732</v>
      </c>
      <c r="D65" s="29">
        <v>62871369073</v>
      </c>
      <c r="E65" s="29">
        <v>-29610734341</v>
      </c>
      <c r="F65" s="29">
        <v>1433693</v>
      </c>
      <c r="G65" s="29">
        <v>33260634732</v>
      </c>
      <c r="H65" s="29">
        <v>21957560526</v>
      </c>
      <c r="I65" s="29">
        <v>11303074206</v>
      </c>
    </row>
    <row r="66" spans="1:9" x14ac:dyDescent="0.45">
      <c r="A66" s="29" t="s">
        <v>314</v>
      </c>
      <c r="B66" s="29">
        <v>22554222</v>
      </c>
      <c r="C66" s="29">
        <v>97800066265</v>
      </c>
      <c r="D66" s="29">
        <v>94805063630</v>
      </c>
      <c r="E66" s="29">
        <v>2995002635</v>
      </c>
      <c r="F66" s="29">
        <v>22554222</v>
      </c>
      <c r="G66" s="29">
        <v>97800066265</v>
      </c>
      <c r="H66" s="29">
        <v>50737484723</v>
      </c>
      <c r="I66" s="29">
        <v>47062581542</v>
      </c>
    </row>
    <row r="67" spans="1:9" x14ac:dyDescent="0.45">
      <c r="A67" s="29" t="s">
        <v>127</v>
      </c>
      <c r="B67" s="29">
        <v>5320363</v>
      </c>
      <c r="C67" s="29">
        <v>30619572245</v>
      </c>
      <c r="D67" s="29">
        <v>28179638512</v>
      </c>
      <c r="E67" s="29">
        <v>2439933733</v>
      </c>
      <c r="F67" s="29">
        <v>5320363</v>
      </c>
      <c r="G67" s="29">
        <v>30619572245</v>
      </c>
      <c r="H67" s="29">
        <v>33502129303</v>
      </c>
      <c r="I67" s="29">
        <v>-2882557058</v>
      </c>
    </row>
    <row r="68" spans="1:9" x14ac:dyDescent="0.45">
      <c r="A68" s="29" t="s">
        <v>279</v>
      </c>
      <c r="B68" s="29">
        <v>1725246</v>
      </c>
      <c r="C68" s="29">
        <v>30608948090</v>
      </c>
      <c r="D68" s="29">
        <v>27304962082</v>
      </c>
      <c r="E68" s="29">
        <v>3303986008</v>
      </c>
      <c r="F68" s="29">
        <v>1725246</v>
      </c>
      <c r="G68" s="29">
        <v>30608948090</v>
      </c>
      <c r="H68" s="29">
        <v>22325982560</v>
      </c>
      <c r="I68" s="29">
        <v>8282965530</v>
      </c>
    </row>
    <row r="69" spans="1:9" x14ac:dyDescent="0.45">
      <c r="A69" s="29" t="s">
        <v>136</v>
      </c>
      <c r="B69" s="29">
        <v>27820136</v>
      </c>
      <c r="C69" s="29">
        <v>105175378989</v>
      </c>
      <c r="D69" s="29">
        <v>74644153487</v>
      </c>
      <c r="E69" s="29">
        <v>30531225502</v>
      </c>
      <c r="F69" s="29">
        <v>27820136</v>
      </c>
      <c r="G69" s="29">
        <v>105175378989</v>
      </c>
      <c r="H69" s="29">
        <v>43636155512</v>
      </c>
      <c r="I69" s="29">
        <v>61539223477</v>
      </c>
    </row>
    <row r="70" spans="1:9" x14ac:dyDescent="0.45">
      <c r="A70" s="29" t="s">
        <v>143</v>
      </c>
      <c r="B70" s="29">
        <v>15378584</v>
      </c>
      <c r="C70" s="29">
        <v>24522350026</v>
      </c>
      <c r="D70" s="29">
        <v>25209036865</v>
      </c>
      <c r="E70" s="29">
        <v>-686686839</v>
      </c>
      <c r="F70" s="29">
        <v>15378584</v>
      </c>
      <c r="G70" s="29">
        <v>24522350026</v>
      </c>
      <c r="H70" s="29">
        <v>19209226629</v>
      </c>
      <c r="I70" s="29">
        <v>5313123397</v>
      </c>
    </row>
    <row r="71" spans="1:9" x14ac:dyDescent="0.45">
      <c r="A71" s="29" t="s">
        <v>122</v>
      </c>
      <c r="B71" s="29">
        <v>6469674</v>
      </c>
      <c r="C71" s="29">
        <v>51935077068</v>
      </c>
      <c r="D71" s="29">
        <v>42627531783</v>
      </c>
      <c r="E71" s="29">
        <v>9307545285</v>
      </c>
      <c r="F71" s="29">
        <v>6469674</v>
      </c>
      <c r="G71" s="29">
        <v>51935077068</v>
      </c>
      <c r="H71" s="29">
        <v>20876203949</v>
      </c>
      <c r="I71" s="29">
        <v>31058873119</v>
      </c>
    </row>
    <row r="72" spans="1:9" x14ac:dyDescent="0.45">
      <c r="A72" s="29" t="s">
        <v>281</v>
      </c>
      <c r="B72" s="29">
        <v>562500</v>
      </c>
      <c r="C72" s="29">
        <v>4956388650</v>
      </c>
      <c r="D72" s="29">
        <v>4582426894</v>
      </c>
      <c r="E72" s="29">
        <v>373961756</v>
      </c>
      <c r="F72" s="29">
        <v>562500</v>
      </c>
      <c r="G72" s="29">
        <v>4956388650</v>
      </c>
      <c r="H72" s="29">
        <v>4632660562</v>
      </c>
      <c r="I72" s="29">
        <v>323728088</v>
      </c>
    </row>
    <row r="73" spans="1:9" x14ac:dyDescent="0.45">
      <c r="A73" s="29" t="s">
        <v>178</v>
      </c>
      <c r="B73" s="29">
        <v>4473870</v>
      </c>
      <c r="C73" s="29">
        <v>37600760762</v>
      </c>
      <c r="D73" s="29">
        <v>38533011029</v>
      </c>
      <c r="E73" s="29">
        <v>-932250267</v>
      </c>
      <c r="F73" s="29">
        <v>4473870</v>
      </c>
      <c r="G73" s="29">
        <v>37600760762</v>
      </c>
      <c r="H73" s="29">
        <v>24078752793</v>
      </c>
      <c r="I73" s="29">
        <v>13522007969</v>
      </c>
    </row>
    <row r="74" spans="1:9" x14ac:dyDescent="0.45">
      <c r="A74" s="29" t="s">
        <v>138</v>
      </c>
      <c r="B74" s="29">
        <v>73200000</v>
      </c>
      <c r="C74" s="29">
        <v>50480743980</v>
      </c>
      <c r="D74" s="29">
        <v>46776401616</v>
      </c>
      <c r="E74" s="29">
        <v>3704342364</v>
      </c>
      <c r="F74" s="29">
        <v>73200000</v>
      </c>
      <c r="G74" s="29">
        <v>50480743980</v>
      </c>
      <c r="H74" s="29">
        <v>40597737636</v>
      </c>
      <c r="I74" s="29">
        <v>9883006344</v>
      </c>
    </row>
    <row r="75" spans="1:9" x14ac:dyDescent="0.45">
      <c r="A75" s="29" t="s">
        <v>115</v>
      </c>
      <c r="B75" s="29">
        <v>5640020</v>
      </c>
      <c r="C75" s="29">
        <v>90102404591</v>
      </c>
      <c r="D75" s="29">
        <v>123201282305</v>
      </c>
      <c r="E75" s="29">
        <v>-33098877714</v>
      </c>
      <c r="F75" s="29">
        <v>5640020</v>
      </c>
      <c r="G75" s="29">
        <v>90102404591</v>
      </c>
      <c r="H75" s="29">
        <v>16632568102</v>
      </c>
      <c r="I75" s="29">
        <v>73469836489</v>
      </c>
    </row>
    <row r="76" spans="1:9" x14ac:dyDescent="0.45">
      <c r="A76" s="29" t="s">
        <v>354</v>
      </c>
      <c r="B76" s="29">
        <v>6400000</v>
      </c>
      <c r="C76" s="29">
        <v>23623964160</v>
      </c>
      <c r="D76" s="29">
        <v>24576543360</v>
      </c>
      <c r="E76" s="29">
        <v>-952579200</v>
      </c>
      <c r="F76" s="29">
        <v>6400000</v>
      </c>
      <c r="G76" s="29">
        <v>23623964160</v>
      </c>
      <c r="H76" s="29">
        <v>21015837329</v>
      </c>
      <c r="I76" s="29">
        <v>2608126831</v>
      </c>
    </row>
    <row r="77" spans="1:9" x14ac:dyDescent="0.45">
      <c r="A77" s="29" t="s">
        <v>94</v>
      </c>
      <c r="B77" s="29">
        <v>9640317</v>
      </c>
      <c r="C77" s="29">
        <v>55003334760</v>
      </c>
      <c r="D77" s="29">
        <v>50411752032</v>
      </c>
      <c r="E77" s="29">
        <v>4591582728</v>
      </c>
      <c r="F77" s="29">
        <v>9640317</v>
      </c>
      <c r="G77" s="29">
        <v>55003334760</v>
      </c>
      <c r="H77" s="29">
        <v>55745495779</v>
      </c>
      <c r="I77" s="29">
        <v>-742161019</v>
      </c>
    </row>
    <row r="78" spans="1:9" x14ac:dyDescent="0.45">
      <c r="A78" s="29" t="s">
        <v>207</v>
      </c>
      <c r="B78" s="29">
        <v>19945457</v>
      </c>
      <c r="C78" s="29">
        <v>70061126306</v>
      </c>
      <c r="D78" s="29">
        <v>59817217228</v>
      </c>
      <c r="E78" s="29">
        <v>10243909078</v>
      </c>
      <c r="F78" s="29">
        <v>19945457</v>
      </c>
      <c r="G78" s="29">
        <v>70061126306</v>
      </c>
      <c r="H78" s="29">
        <v>36677242371</v>
      </c>
      <c r="I78" s="29">
        <v>33383883935</v>
      </c>
    </row>
    <row r="79" spans="1:9" x14ac:dyDescent="0.45">
      <c r="A79" s="29" t="s">
        <v>90</v>
      </c>
      <c r="B79" s="29">
        <v>4780920</v>
      </c>
      <c r="C79" s="29">
        <v>32828227340</v>
      </c>
      <c r="D79" s="29">
        <v>29411297304</v>
      </c>
      <c r="E79" s="29">
        <v>3416930036</v>
      </c>
      <c r="F79" s="29">
        <v>4780920</v>
      </c>
      <c r="G79" s="29">
        <v>32828227340</v>
      </c>
      <c r="H79" s="29">
        <v>24907659512</v>
      </c>
      <c r="I79" s="29">
        <v>7920567828</v>
      </c>
    </row>
    <row r="80" spans="1:9" x14ac:dyDescent="0.45">
      <c r="A80" s="29" t="s">
        <v>292</v>
      </c>
      <c r="B80" s="29">
        <v>1237383</v>
      </c>
      <c r="C80" s="29">
        <v>36760871801</v>
      </c>
      <c r="D80" s="29">
        <v>25661396815</v>
      </c>
      <c r="E80" s="29">
        <v>11099474986</v>
      </c>
      <c r="F80" s="29">
        <v>1237383</v>
      </c>
      <c r="G80" s="29">
        <v>36760871801</v>
      </c>
      <c r="H80" s="29">
        <v>12191563334</v>
      </c>
      <c r="I80" s="29">
        <v>24569308467</v>
      </c>
    </row>
    <row r="81" spans="1:9" x14ac:dyDescent="0.45">
      <c r="A81" s="29" t="s">
        <v>232</v>
      </c>
      <c r="B81" s="29">
        <v>2260136</v>
      </c>
      <c r="C81" s="29">
        <v>45795222337</v>
      </c>
      <c r="D81" s="29">
        <v>42807731516</v>
      </c>
      <c r="E81" s="29">
        <v>2987490821</v>
      </c>
      <c r="F81" s="29">
        <v>2260136</v>
      </c>
      <c r="G81" s="29">
        <v>45795222337</v>
      </c>
      <c r="H81" s="29">
        <v>36568153935</v>
      </c>
      <c r="I81" s="29">
        <v>9227068402</v>
      </c>
    </row>
    <row r="82" spans="1:9" x14ac:dyDescent="0.45">
      <c r="A82" s="29" t="s">
        <v>205</v>
      </c>
      <c r="B82" s="29">
        <v>427391</v>
      </c>
      <c r="C82" s="29">
        <v>34096616313</v>
      </c>
      <c r="D82" s="29">
        <v>38731004556</v>
      </c>
      <c r="E82" s="29">
        <v>-4634388243</v>
      </c>
      <c r="F82" s="29">
        <v>427391</v>
      </c>
      <c r="G82" s="29">
        <v>34096616313</v>
      </c>
      <c r="H82" s="29">
        <v>13405398528</v>
      </c>
      <c r="I82" s="29">
        <v>20691217785</v>
      </c>
    </row>
    <row r="83" spans="1:9" x14ac:dyDescent="0.45">
      <c r="A83" s="29" t="s">
        <v>148</v>
      </c>
      <c r="B83" s="29">
        <v>3543287</v>
      </c>
      <c r="C83" s="29">
        <v>19583548471</v>
      </c>
      <c r="D83" s="29">
        <v>19907773758</v>
      </c>
      <c r="E83" s="29">
        <v>-324225287</v>
      </c>
      <c r="F83" s="29">
        <v>3543287</v>
      </c>
      <c r="G83" s="29">
        <v>19583548471</v>
      </c>
      <c r="H83" s="29">
        <v>13611255958</v>
      </c>
      <c r="I83" s="29">
        <v>5972292513</v>
      </c>
    </row>
    <row r="84" spans="1:9" x14ac:dyDescent="0.45">
      <c r="A84" s="29" t="s">
        <v>395</v>
      </c>
      <c r="B84" s="29">
        <v>708657</v>
      </c>
      <c r="C84" s="29">
        <v>3122115121</v>
      </c>
      <c r="D84" s="29">
        <v>1784098886</v>
      </c>
      <c r="E84" s="29">
        <v>1338016235</v>
      </c>
      <c r="F84" s="29">
        <v>708657</v>
      </c>
      <c r="G84" s="29">
        <v>3122115121</v>
      </c>
      <c r="H84" s="29">
        <v>1784098886</v>
      </c>
      <c r="I84" s="29">
        <v>1338016235</v>
      </c>
    </row>
    <row r="85" spans="1:9" x14ac:dyDescent="0.45">
      <c r="A85" s="29" t="s">
        <v>304</v>
      </c>
      <c r="B85" s="29">
        <v>3250000</v>
      </c>
      <c r="C85" s="29">
        <v>5898300947</v>
      </c>
      <c r="D85" s="29">
        <v>5124330347</v>
      </c>
      <c r="E85" s="29">
        <v>773970600</v>
      </c>
      <c r="F85" s="29">
        <v>3250000</v>
      </c>
      <c r="G85" s="29">
        <v>5898300947</v>
      </c>
      <c r="H85" s="29">
        <v>3537690617</v>
      </c>
      <c r="I85" s="29">
        <v>2360610330</v>
      </c>
    </row>
    <row r="86" spans="1:9" x14ac:dyDescent="0.45">
      <c r="A86" s="29" t="s">
        <v>100</v>
      </c>
      <c r="B86" s="29">
        <v>8570850</v>
      </c>
      <c r="C86" s="29">
        <v>70162927968</v>
      </c>
      <c r="D86" s="29">
        <v>62641789524</v>
      </c>
      <c r="E86" s="29">
        <v>7521138444</v>
      </c>
      <c r="F86" s="29">
        <v>8570850</v>
      </c>
      <c r="G86" s="29">
        <v>70162927968</v>
      </c>
      <c r="H86" s="29">
        <v>40675333973</v>
      </c>
      <c r="I86" s="29">
        <v>29487593995</v>
      </c>
    </row>
    <row r="87" spans="1:9" x14ac:dyDescent="0.45">
      <c r="A87" s="29" t="s">
        <v>291</v>
      </c>
      <c r="B87" s="29">
        <v>4024513</v>
      </c>
      <c r="C87" s="29">
        <v>29151845656</v>
      </c>
      <c r="D87" s="29">
        <v>26955473723</v>
      </c>
      <c r="E87" s="29">
        <v>2196371933</v>
      </c>
      <c r="F87" s="29">
        <v>4024513</v>
      </c>
      <c r="G87" s="29">
        <v>29151845656</v>
      </c>
      <c r="H87" s="29">
        <v>20468851417</v>
      </c>
      <c r="I87" s="29">
        <v>8682994239</v>
      </c>
    </row>
    <row r="88" spans="1:9" x14ac:dyDescent="0.45">
      <c r="A88" s="29" t="s">
        <v>72</v>
      </c>
      <c r="B88" s="29">
        <v>600000</v>
      </c>
      <c r="C88" s="29">
        <v>18456222000</v>
      </c>
      <c r="D88" s="29">
        <v>15610391640</v>
      </c>
      <c r="E88" s="29">
        <v>2845830360</v>
      </c>
      <c r="F88" s="29">
        <v>600000</v>
      </c>
      <c r="G88" s="29">
        <v>18456222000</v>
      </c>
      <c r="H88" s="29">
        <v>20429257698</v>
      </c>
      <c r="I88" s="29">
        <v>-1973035698</v>
      </c>
    </row>
    <row r="89" spans="1:9" x14ac:dyDescent="0.45">
      <c r="A89" s="29" t="s">
        <v>76</v>
      </c>
      <c r="B89" s="29">
        <v>74882</v>
      </c>
      <c r="C89" s="29">
        <v>15856294801</v>
      </c>
      <c r="D89" s="29">
        <v>14392522507</v>
      </c>
      <c r="E89" s="29">
        <v>1463772294</v>
      </c>
      <c r="F89" s="29">
        <v>74882</v>
      </c>
      <c r="G89" s="29">
        <v>15856294801</v>
      </c>
      <c r="H89" s="29">
        <v>9333963228</v>
      </c>
      <c r="I89" s="29">
        <v>6522331573</v>
      </c>
    </row>
    <row r="90" spans="1:9" x14ac:dyDescent="0.45">
      <c r="A90" s="29" t="s">
        <v>126</v>
      </c>
      <c r="B90" s="29">
        <v>522681</v>
      </c>
      <c r="C90" s="29">
        <v>25558612507</v>
      </c>
      <c r="D90" s="29">
        <v>25031586127</v>
      </c>
      <c r="E90" s="29">
        <v>527026380</v>
      </c>
      <c r="F90" s="29">
        <v>522681</v>
      </c>
      <c r="G90" s="29">
        <v>25558612507</v>
      </c>
      <c r="H90" s="29">
        <v>15802981394</v>
      </c>
      <c r="I90" s="29">
        <v>9755631113</v>
      </c>
    </row>
    <row r="91" spans="1:9" x14ac:dyDescent="0.45">
      <c r="A91" s="29" t="s">
        <v>186</v>
      </c>
      <c r="B91" s="29">
        <v>3092072</v>
      </c>
      <c r="C91" s="29">
        <v>17059026776</v>
      </c>
      <c r="D91" s="29">
        <v>18072736127</v>
      </c>
      <c r="E91" s="29">
        <v>-1013709351</v>
      </c>
      <c r="F91" s="29">
        <v>3092072</v>
      </c>
      <c r="G91" s="29">
        <v>17059026776</v>
      </c>
      <c r="H91" s="29">
        <v>11211094216</v>
      </c>
      <c r="I91" s="29">
        <v>5847932560</v>
      </c>
    </row>
    <row r="92" spans="1:9" x14ac:dyDescent="0.45">
      <c r="A92" s="29" t="s">
        <v>91</v>
      </c>
      <c r="B92" s="29">
        <v>2530564</v>
      </c>
      <c r="C92" s="29">
        <v>32994576007</v>
      </c>
      <c r="D92" s="29">
        <v>31250403611</v>
      </c>
      <c r="E92" s="29">
        <v>1744172396</v>
      </c>
      <c r="F92" s="29">
        <v>2530564</v>
      </c>
      <c r="G92" s="29">
        <v>32994576007</v>
      </c>
      <c r="H92" s="29">
        <v>19987581813</v>
      </c>
      <c r="I92" s="29">
        <v>13006994194</v>
      </c>
    </row>
    <row r="93" spans="1:9" x14ac:dyDescent="0.45">
      <c r="A93" s="29" t="s">
        <v>109</v>
      </c>
      <c r="B93" s="29">
        <v>2612961</v>
      </c>
      <c r="C93" s="29">
        <v>31605778672</v>
      </c>
      <c r="D93" s="29">
        <v>29730545504</v>
      </c>
      <c r="E93" s="29">
        <v>1875233168</v>
      </c>
      <c r="F93" s="29">
        <v>2612961</v>
      </c>
      <c r="G93" s="29">
        <v>31605778672</v>
      </c>
      <c r="H93" s="29">
        <v>26684249828</v>
      </c>
      <c r="I93" s="29">
        <v>4921528844</v>
      </c>
    </row>
    <row r="94" spans="1:9" x14ac:dyDescent="0.45">
      <c r="A94" s="29" t="s">
        <v>179</v>
      </c>
      <c r="B94" s="29">
        <v>9381407</v>
      </c>
      <c r="C94" s="29">
        <v>55853332343</v>
      </c>
      <c r="D94" s="29">
        <v>52861656518</v>
      </c>
      <c r="E94" s="29">
        <v>2991675825</v>
      </c>
      <c r="F94" s="29">
        <v>9381407</v>
      </c>
      <c r="G94" s="29">
        <v>55853332343</v>
      </c>
      <c r="H94" s="29">
        <v>43908344702</v>
      </c>
      <c r="I94" s="29">
        <v>11944987641</v>
      </c>
    </row>
    <row r="95" spans="1:9" x14ac:dyDescent="0.45">
      <c r="A95" s="29" t="s">
        <v>81</v>
      </c>
      <c r="B95" s="29">
        <v>2300000</v>
      </c>
      <c r="C95" s="29">
        <v>24305653650</v>
      </c>
      <c r="D95" s="29">
        <v>24945667800</v>
      </c>
      <c r="E95" s="29">
        <v>-640014150</v>
      </c>
      <c r="F95" s="29">
        <v>2300000</v>
      </c>
      <c r="G95" s="29">
        <v>24305653650</v>
      </c>
      <c r="H95" s="29">
        <v>17527457280</v>
      </c>
      <c r="I95" s="29">
        <v>6778196370</v>
      </c>
    </row>
    <row r="96" spans="1:9" x14ac:dyDescent="0.45">
      <c r="A96" s="29" t="s">
        <v>86</v>
      </c>
      <c r="B96" s="29">
        <v>2313758</v>
      </c>
      <c r="C96" s="29">
        <v>42703231302</v>
      </c>
      <c r="D96" s="29">
        <v>41440501344</v>
      </c>
      <c r="E96" s="29">
        <v>1262729958</v>
      </c>
      <c r="F96" s="29">
        <v>2313758</v>
      </c>
      <c r="G96" s="29">
        <v>42703231302</v>
      </c>
      <c r="H96" s="29">
        <v>22132212352</v>
      </c>
      <c r="I96" s="29">
        <v>20571018950</v>
      </c>
    </row>
    <row r="97" spans="1:9" x14ac:dyDescent="0.45">
      <c r="A97" s="29" t="s">
        <v>277</v>
      </c>
      <c r="B97" s="29">
        <v>3022885</v>
      </c>
      <c r="C97" s="29">
        <v>53871345057</v>
      </c>
      <c r="D97" s="29">
        <v>49492048633</v>
      </c>
      <c r="E97" s="29">
        <v>4379296424</v>
      </c>
      <c r="F97" s="29">
        <v>3022885</v>
      </c>
      <c r="G97" s="29">
        <v>53871345057</v>
      </c>
      <c r="H97" s="29">
        <v>35253139248</v>
      </c>
      <c r="I97" s="29">
        <v>18618205809</v>
      </c>
    </row>
    <row r="98" spans="1:9" x14ac:dyDescent="0.45">
      <c r="A98" s="29" t="s">
        <v>396</v>
      </c>
      <c r="B98" s="29">
        <v>0</v>
      </c>
      <c r="C98" s="29">
        <v>0</v>
      </c>
      <c r="D98" s="29">
        <v>0</v>
      </c>
      <c r="E98" s="29">
        <v>0</v>
      </c>
      <c r="F98" s="29">
        <v>0</v>
      </c>
      <c r="G98" s="29">
        <v>0</v>
      </c>
      <c r="H98" s="29">
        <v>2044890863</v>
      </c>
      <c r="I98" s="29">
        <v>-2044890863</v>
      </c>
    </row>
    <row r="99" spans="1:9" x14ac:dyDescent="0.45">
      <c r="A99" s="29" t="s">
        <v>289</v>
      </c>
      <c r="B99" s="29">
        <v>104452</v>
      </c>
      <c r="C99" s="29">
        <v>16676413894</v>
      </c>
      <c r="D99" s="29">
        <v>16697142811</v>
      </c>
      <c r="E99" s="29">
        <v>-20728917</v>
      </c>
      <c r="F99" s="29">
        <v>104452</v>
      </c>
      <c r="G99" s="29">
        <v>16676413894</v>
      </c>
      <c r="H99" s="29">
        <v>13160789535</v>
      </c>
      <c r="I99" s="29">
        <v>3515624359</v>
      </c>
    </row>
    <row r="100" spans="1:9" x14ac:dyDescent="0.45">
      <c r="A100" s="29" t="s">
        <v>135</v>
      </c>
      <c r="B100" s="29">
        <v>1910762</v>
      </c>
      <c r="C100" s="29">
        <v>14921455543</v>
      </c>
      <c r="D100" s="29">
        <v>15130014642</v>
      </c>
      <c r="E100" s="29">
        <v>-208559099</v>
      </c>
      <c r="F100" s="29">
        <v>1910762</v>
      </c>
      <c r="G100" s="29">
        <v>14921455543</v>
      </c>
      <c r="H100" s="29">
        <v>17774661403</v>
      </c>
      <c r="I100" s="29">
        <v>-2853205860</v>
      </c>
    </row>
    <row r="101" spans="1:9" x14ac:dyDescent="0.45">
      <c r="A101" s="29" t="s">
        <v>258</v>
      </c>
      <c r="B101" s="29">
        <v>336344</v>
      </c>
      <c r="C101" s="29">
        <v>17781883564</v>
      </c>
      <c r="D101" s="29">
        <v>17801908207</v>
      </c>
      <c r="E101" s="29">
        <v>-20024643</v>
      </c>
      <c r="F101" s="29">
        <v>336344</v>
      </c>
      <c r="G101" s="29">
        <v>17781883564</v>
      </c>
      <c r="H101" s="29">
        <v>10663122745</v>
      </c>
      <c r="I101" s="29">
        <v>7118760819</v>
      </c>
    </row>
    <row r="102" spans="1:9" x14ac:dyDescent="0.45">
      <c r="A102" s="29" t="s">
        <v>242</v>
      </c>
      <c r="B102" s="29">
        <v>1824791</v>
      </c>
      <c r="C102" s="29">
        <v>47439956578</v>
      </c>
      <c r="D102" s="29">
        <v>54287405621</v>
      </c>
      <c r="E102" s="29">
        <v>-6847449043</v>
      </c>
      <c r="F102" s="29">
        <v>1824791</v>
      </c>
      <c r="G102" s="29">
        <v>47439956578</v>
      </c>
      <c r="H102" s="29">
        <v>31159008489</v>
      </c>
      <c r="I102" s="29">
        <v>16280948089</v>
      </c>
    </row>
    <row r="103" spans="1:9" x14ac:dyDescent="0.45">
      <c r="A103" s="29" t="s">
        <v>118</v>
      </c>
      <c r="B103" s="29">
        <v>1128143</v>
      </c>
      <c r="C103" s="29">
        <v>34355075132</v>
      </c>
      <c r="D103" s="29">
        <v>33636320359</v>
      </c>
      <c r="E103" s="29">
        <v>718754773</v>
      </c>
      <c r="F103" s="29">
        <v>1128143</v>
      </c>
      <c r="G103" s="29">
        <v>34355075132</v>
      </c>
      <c r="H103" s="29">
        <v>12112150959</v>
      </c>
      <c r="I103" s="29">
        <v>22242924173</v>
      </c>
    </row>
    <row r="104" spans="1:9" x14ac:dyDescent="0.45">
      <c r="A104" s="29" t="s">
        <v>188</v>
      </c>
      <c r="B104" s="29">
        <v>362506</v>
      </c>
      <c r="C104" s="29">
        <v>29301473879</v>
      </c>
      <c r="D104" s="29">
        <v>27779926684</v>
      </c>
      <c r="E104" s="29">
        <v>1521547195</v>
      </c>
      <c r="F104" s="29">
        <v>362506</v>
      </c>
      <c r="G104" s="29">
        <v>29301473879</v>
      </c>
      <c r="H104" s="29">
        <v>12654380691</v>
      </c>
      <c r="I104" s="29">
        <v>16647093188</v>
      </c>
    </row>
    <row r="105" spans="1:9" x14ac:dyDescent="0.45">
      <c r="A105" s="29" t="s">
        <v>284</v>
      </c>
      <c r="B105" s="29">
        <v>21110</v>
      </c>
      <c r="C105" s="29">
        <v>2859240889</v>
      </c>
      <c r="D105" s="29">
        <v>2792211066</v>
      </c>
      <c r="E105" s="29">
        <v>67029823</v>
      </c>
      <c r="F105" s="29">
        <v>21110</v>
      </c>
      <c r="G105" s="29">
        <v>2859240889</v>
      </c>
      <c r="H105" s="29">
        <v>2291372607</v>
      </c>
      <c r="I105" s="29">
        <v>567868282</v>
      </c>
    </row>
    <row r="106" spans="1:9" x14ac:dyDescent="0.45">
      <c r="A106" s="29" t="s">
        <v>263</v>
      </c>
      <c r="B106" s="29">
        <v>6761644</v>
      </c>
      <c r="C106" s="29">
        <v>36901570705</v>
      </c>
      <c r="D106" s="29">
        <v>29722537859</v>
      </c>
      <c r="E106" s="29">
        <v>7179032846</v>
      </c>
      <c r="F106" s="29">
        <v>6761644</v>
      </c>
      <c r="G106" s="29">
        <v>36901570705</v>
      </c>
      <c r="H106" s="29">
        <v>13606615526</v>
      </c>
      <c r="I106" s="29">
        <v>23294955179</v>
      </c>
    </row>
    <row r="107" spans="1:9" x14ac:dyDescent="0.45">
      <c r="A107" s="29" t="s">
        <v>235</v>
      </c>
      <c r="B107" s="29">
        <v>370570</v>
      </c>
      <c r="C107" s="29">
        <v>30512201884</v>
      </c>
      <c r="D107" s="29">
        <v>37622163331</v>
      </c>
      <c r="E107" s="29">
        <v>-7109961447</v>
      </c>
      <c r="F107" s="29">
        <v>370570</v>
      </c>
      <c r="G107" s="29">
        <v>30512201884</v>
      </c>
      <c r="H107" s="29">
        <v>14936197162</v>
      </c>
      <c r="I107" s="29">
        <v>15576004722</v>
      </c>
    </row>
    <row r="108" spans="1:9" x14ac:dyDescent="0.45">
      <c r="A108" s="29" t="s">
        <v>193</v>
      </c>
      <c r="B108" s="29">
        <v>1065746</v>
      </c>
      <c r="C108" s="29">
        <v>45271908208</v>
      </c>
      <c r="D108" s="29">
        <v>48728986315</v>
      </c>
      <c r="E108" s="29">
        <v>-3457078107</v>
      </c>
      <c r="F108" s="29">
        <v>1065746</v>
      </c>
      <c r="G108" s="29">
        <v>45271908208</v>
      </c>
      <c r="H108" s="29">
        <v>14519581866</v>
      </c>
      <c r="I108" s="29">
        <v>30752326342</v>
      </c>
    </row>
    <row r="109" spans="1:9" x14ac:dyDescent="0.45">
      <c r="A109" s="29" t="s">
        <v>158</v>
      </c>
      <c r="B109" s="29">
        <v>2719851</v>
      </c>
      <c r="C109" s="29">
        <v>23857626718</v>
      </c>
      <c r="D109" s="29">
        <v>21663019864</v>
      </c>
      <c r="E109" s="29">
        <v>2194606854</v>
      </c>
      <c r="F109" s="29">
        <v>2719851</v>
      </c>
      <c r="G109" s="29">
        <v>23857626718</v>
      </c>
      <c r="H109" s="29">
        <v>7894067664</v>
      </c>
      <c r="I109" s="29">
        <v>15963559054</v>
      </c>
    </row>
    <row r="110" spans="1:9" x14ac:dyDescent="0.45">
      <c r="A110" s="29" t="s">
        <v>285</v>
      </c>
      <c r="B110" s="29">
        <v>5463965</v>
      </c>
      <c r="C110" s="29">
        <v>57741409063</v>
      </c>
      <c r="D110" s="29">
        <v>43644914832</v>
      </c>
      <c r="E110" s="29">
        <v>14096494231</v>
      </c>
      <c r="F110" s="29">
        <v>5463965</v>
      </c>
      <c r="G110" s="29">
        <v>57741409063</v>
      </c>
      <c r="H110" s="29">
        <v>39273890397</v>
      </c>
      <c r="I110" s="29">
        <v>18467518666</v>
      </c>
    </row>
    <row r="111" spans="1:9" x14ac:dyDescent="0.45">
      <c r="A111" s="29" t="s">
        <v>181</v>
      </c>
      <c r="B111" s="29">
        <v>1197107</v>
      </c>
      <c r="C111" s="29">
        <v>35932564227</v>
      </c>
      <c r="D111" s="29">
        <v>41933916999</v>
      </c>
      <c r="E111" s="29">
        <v>-6001352772</v>
      </c>
      <c r="F111" s="29">
        <v>1197107</v>
      </c>
      <c r="G111" s="29">
        <v>35932564227</v>
      </c>
      <c r="H111" s="29">
        <v>20193507169</v>
      </c>
      <c r="I111" s="29">
        <v>15739057058</v>
      </c>
    </row>
    <row r="112" spans="1:9" x14ac:dyDescent="0.45">
      <c r="A112" s="29" t="s">
        <v>192</v>
      </c>
      <c r="B112" s="29">
        <v>2643025</v>
      </c>
      <c r="C112" s="29">
        <v>59664022981</v>
      </c>
      <c r="D112" s="29">
        <v>58808911830</v>
      </c>
      <c r="E112" s="29">
        <v>855111151</v>
      </c>
      <c r="F112" s="29">
        <v>2643025</v>
      </c>
      <c r="G112" s="29">
        <v>59664022981</v>
      </c>
      <c r="H112" s="29">
        <v>30546707490</v>
      </c>
      <c r="I112" s="29">
        <v>29117315491</v>
      </c>
    </row>
    <row r="113" spans="1:9" x14ac:dyDescent="0.45">
      <c r="A113" s="29" t="s">
        <v>147</v>
      </c>
      <c r="B113" s="29">
        <v>17885402</v>
      </c>
      <c r="C113" s="29">
        <v>95302183914</v>
      </c>
      <c r="D113" s="29">
        <v>89894874837</v>
      </c>
      <c r="E113" s="29">
        <v>5407309077</v>
      </c>
      <c r="F113" s="29">
        <v>17885402</v>
      </c>
      <c r="G113" s="29">
        <v>95302183914</v>
      </c>
      <c r="H113" s="29">
        <v>34765659864</v>
      </c>
      <c r="I113" s="29">
        <v>60536524050</v>
      </c>
    </row>
    <row r="114" spans="1:9" x14ac:dyDescent="0.45">
      <c r="A114" s="29" t="s">
        <v>146</v>
      </c>
      <c r="B114" s="29">
        <v>1345696</v>
      </c>
      <c r="C114" s="29">
        <v>72947098651</v>
      </c>
      <c r="D114" s="29">
        <v>71689528106</v>
      </c>
      <c r="E114" s="29">
        <v>1257570545</v>
      </c>
      <c r="F114" s="29">
        <v>1345696</v>
      </c>
      <c r="G114" s="29">
        <v>72947098651</v>
      </c>
      <c r="H114" s="29">
        <v>44052657950</v>
      </c>
      <c r="I114" s="29">
        <v>28894440701</v>
      </c>
    </row>
    <row r="115" spans="1:9" x14ac:dyDescent="0.45">
      <c r="A115" s="29" t="s">
        <v>145</v>
      </c>
      <c r="B115" s="29">
        <v>3200000</v>
      </c>
      <c r="C115" s="29">
        <v>33975324800</v>
      </c>
      <c r="D115" s="29">
        <v>41331863606</v>
      </c>
      <c r="E115" s="29">
        <v>-7356538806</v>
      </c>
      <c r="F115" s="29">
        <v>3200000</v>
      </c>
      <c r="G115" s="29">
        <v>33975324800</v>
      </c>
      <c r="H115" s="29">
        <v>25079826297</v>
      </c>
      <c r="I115" s="29">
        <v>8895498503</v>
      </c>
    </row>
    <row r="116" spans="1:9" x14ac:dyDescent="0.45">
      <c r="A116" s="29" t="s">
        <v>92</v>
      </c>
      <c r="B116" s="29">
        <v>18896869</v>
      </c>
      <c r="C116" s="29">
        <v>88503758076</v>
      </c>
      <c r="D116" s="29">
        <v>89501865255</v>
      </c>
      <c r="E116" s="29">
        <v>-998107179</v>
      </c>
      <c r="F116" s="29">
        <v>18896869</v>
      </c>
      <c r="G116" s="29">
        <v>88503758076</v>
      </c>
      <c r="H116" s="29">
        <v>43901080560</v>
      </c>
      <c r="I116" s="29">
        <v>44602677516</v>
      </c>
    </row>
    <row r="117" spans="1:9" x14ac:dyDescent="0.45">
      <c r="A117" s="29" t="s">
        <v>266</v>
      </c>
      <c r="B117" s="29">
        <v>1000000</v>
      </c>
      <c r="C117" s="29">
        <v>11292032600</v>
      </c>
      <c r="D117" s="29">
        <v>9725646795</v>
      </c>
      <c r="E117" s="29">
        <v>1566385805</v>
      </c>
      <c r="F117" s="29">
        <v>1000000</v>
      </c>
      <c r="G117" s="29">
        <v>11292032600</v>
      </c>
      <c r="H117" s="29">
        <v>9725646795</v>
      </c>
      <c r="I117" s="29">
        <v>1566385805</v>
      </c>
    </row>
    <row r="118" spans="1:9" x14ac:dyDescent="0.45">
      <c r="A118" s="29" t="s">
        <v>150</v>
      </c>
      <c r="B118" s="29">
        <v>8700000</v>
      </c>
      <c r="C118" s="29">
        <v>86154835020</v>
      </c>
      <c r="D118" s="29">
        <v>91379071409</v>
      </c>
      <c r="E118" s="29">
        <v>-5224236389</v>
      </c>
      <c r="F118" s="29">
        <v>8700000</v>
      </c>
      <c r="G118" s="29">
        <v>86154835020</v>
      </c>
      <c r="H118" s="29">
        <v>39803274111</v>
      </c>
      <c r="I118" s="29">
        <v>46351560909</v>
      </c>
    </row>
    <row r="119" spans="1:9" x14ac:dyDescent="0.45">
      <c r="A119" s="29" t="s">
        <v>254</v>
      </c>
      <c r="B119" s="29">
        <v>1875000</v>
      </c>
      <c r="C119" s="29">
        <v>11293272937</v>
      </c>
      <c r="D119" s="29">
        <v>11181642562</v>
      </c>
      <c r="E119" s="29">
        <v>111630375</v>
      </c>
      <c r="F119" s="29">
        <v>1875000</v>
      </c>
      <c r="G119" s="29">
        <v>11293272937</v>
      </c>
      <c r="H119" s="29">
        <v>6586192125</v>
      </c>
      <c r="I119" s="29">
        <v>4707080812</v>
      </c>
    </row>
    <row r="120" spans="1:9" x14ac:dyDescent="0.45">
      <c r="A120" s="29" t="s">
        <v>264</v>
      </c>
      <c r="B120" s="29">
        <v>23792</v>
      </c>
      <c r="C120" s="29">
        <v>4291950369</v>
      </c>
      <c r="D120" s="29">
        <v>4173909930</v>
      </c>
      <c r="E120" s="29">
        <v>118040439</v>
      </c>
      <c r="F120" s="29">
        <v>23792</v>
      </c>
      <c r="G120" s="29">
        <v>4291950369</v>
      </c>
      <c r="H120" s="29">
        <v>1431830527</v>
      </c>
      <c r="I120" s="29">
        <v>2860119842</v>
      </c>
    </row>
    <row r="121" spans="1:9" x14ac:dyDescent="0.45">
      <c r="A121" s="29" t="s">
        <v>98</v>
      </c>
      <c r="B121" s="29">
        <v>2143421</v>
      </c>
      <c r="C121" s="29">
        <v>50406400829</v>
      </c>
      <c r="D121" s="29">
        <v>40099434467</v>
      </c>
      <c r="E121" s="29">
        <v>10306966362</v>
      </c>
      <c r="F121" s="29">
        <v>2143421</v>
      </c>
      <c r="G121" s="29">
        <v>50406400829</v>
      </c>
      <c r="H121" s="29">
        <v>34968641918</v>
      </c>
      <c r="I121" s="29">
        <v>15437758911</v>
      </c>
    </row>
    <row r="122" spans="1:9" x14ac:dyDescent="0.45">
      <c r="A122" s="29" t="s">
        <v>243</v>
      </c>
      <c r="B122" s="29">
        <v>3333986</v>
      </c>
      <c r="C122" s="29">
        <v>81051250061</v>
      </c>
      <c r="D122" s="29">
        <v>68347707195</v>
      </c>
      <c r="E122" s="29">
        <v>12703542866</v>
      </c>
      <c r="F122" s="29">
        <v>3333986</v>
      </c>
      <c r="G122" s="29">
        <v>81051250061</v>
      </c>
      <c r="H122" s="29">
        <v>28549889307</v>
      </c>
      <c r="I122" s="29">
        <v>52501360754</v>
      </c>
    </row>
    <row r="123" spans="1:9" x14ac:dyDescent="0.45">
      <c r="A123" s="29" t="s">
        <v>231</v>
      </c>
      <c r="B123" s="29">
        <v>11153203</v>
      </c>
      <c r="C123" s="29">
        <v>72267436477</v>
      </c>
      <c r="D123" s="29">
        <v>70608870989</v>
      </c>
      <c r="E123" s="29">
        <v>1658565488</v>
      </c>
      <c r="F123" s="29">
        <v>11153203</v>
      </c>
      <c r="G123" s="29">
        <v>72267436477</v>
      </c>
      <c r="H123" s="29">
        <v>36038260003</v>
      </c>
      <c r="I123" s="29">
        <v>36229176474</v>
      </c>
    </row>
    <row r="124" spans="1:9" x14ac:dyDescent="0.45">
      <c r="A124" s="29" t="s">
        <v>103</v>
      </c>
      <c r="B124" s="29">
        <v>6153452</v>
      </c>
      <c r="C124" s="29">
        <v>44389789883</v>
      </c>
      <c r="D124" s="29">
        <v>39382963513</v>
      </c>
      <c r="E124" s="29">
        <v>5006826370</v>
      </c>
      <c r="F124" s="29">
        <v>6153452</v>
      </c>
      <c r="G124" s="29">
        <v>44389789883</v>
      </c>
      <c r="H124" s="29">
        <v>42396230911</v>
      </c>
      <c r="I124" s="29">
        <v>1993558972</v>
      </c>
    </row>
    <row r="125" spans="1:9" x14ac:dyDescent="0.45">
      <c r="A125" s="29" t="s">
        <v>121</v>
      </c>
      <c r="B125" s="29">
        <v>5457463</v>
      </c>
      <c r="C125" s="29">
        <v>96175316164</v>
      </c>
      <c r="D125" s="29">
        <v>80425463396</v>
      </c>
      <c r="E125" s="29">
        <v>15749852768</v>
      </c>
      <c r="F125" s="29">
        <v>5457463</v>
      </c>
      <c r="G125" s="29">
        <v>96175316164</v>
      </c>
      <c r="H125" s="29">
        <v>22711670945</v>
      </c>
      <c r="I125" s="29">
        <v>73463645219</v>
      </c>
    </row>
    <row r="126" spans="1:9" x14ac:dyDescent="0.45">
      <c r="A126" s="29" t="s">
        <v>201</v>
      </c>
      <c r="B126" s="29">
        <v>20244540</v>
      </c>
      <c r="C126" s="29">
        <v>96221758091</v>
      </c>
      <c r="D126" s="29">
        <v>83426160428</v>
      </c>
      <c r="E126" s="29">
        <v>12795597663</v>
      </c>
      <c r="F126" s="29">
        <v>20244540</v>
      </c>
      <c r="G126" s="29">
        <v>96221758091</v>
      </c>
      <c r="H126" s="29">
        <v>53630838583</v>
      </c>
      <c r="I126" s="29">
        <v>42590919508</v>
      </c>
    </row>
    <row r="127" spans="1:9" x14ac:dyDescent="0.45">
      <c r="A127" s="29" t="s">
        <v>152</v>
      </c>
      <c r="B127" s="29">
        <v>6321770</v>
      </c>
      <c r="C127" s="29">
        <v>51437802287</v>
      </c>
      <c r="D127" s="29">
        <v>36240230767</v>
      </c>
      <c r="E127" s="29">
        <v>15197571520</v>
      </c>
      <c r="F127" s="29">
        <v>6321770</v>
      </c>
      <c r="G127" s="29">
        <v>51437802287</v>
      </c>
      <c r="H127" s="29">
        <v>13333055832</v>
      </c>
      <c r="I127" s="29">
        <v>38104746455</v>
      </c>
    </row>
    <row r="128" spans="1:9" x14ac:dyDescent="0.45">
      <c r="A128" s="29" t="s">
        <v>274</v>
      </c>
      <c r="B128" s="29">
        <v>937500</v>
      </c>
      <c r="C128" s="29">
        <v>24512169844</v>
      </c>
      <c r="D128" s="29">
        <v>21119442555</v>
      </c>
      <c r="E128" s="29">
        <v>3392727289</v>
      </c>
      <c r="F128" s="29">
        <v>937500</v>
      </c>
      <c r="G128" s="29">
        <v>24512169844</v>
      </c>
      <c r="H128" s="29">
        <v>21119442555</v>
      </c>
      <c r="I128" s="29">
        <v>3392727289</v>
      </c>
    </row>
    <row r="129" spans="1:9" x14ac:dyDescent="0.45">
      <c r="A129" s="29" t="s">
        <v>177</v>
      </c>
      <c r="B129" s="29">
        <v>5612182</v>
      </c>
      <c r="C129" s="29">
        <v>33190047006</v>
      </c>
      <c r="D129" s="29">
        <v>26229047214</v>
      </c>
      <c r="E129" s="29">
        <v>6960999792</v>
      </c>
      <c r="F129" s="29">
        <v>5612182</v>
      </c>
      <c r="G129" s="29">
        <v>33190047006</v>
      </c>
      <c r="H129" s="29">
        <v>17258189261</v>
      </c>
      <c r="I129" s="29">
        <v>15931857745</v>
      </c>
    </row>
    <row r="130" spans="1:9" x14ac:dyDescent="0.45">
      <c r="A130" s="29" t="s">
        <v>197</v>
      </c>
      <c r="B130" s="29">
        <v>19392001</v>
      </c>
      <c r="C130" s="29">
        <v>47335568047</v>
      </c>
      <c r="D130" s="29">
        <v>36219614328</v>
      </c>
      <c r="E130" s="29">
        <v>11115953719</v>
      </c>
      <c r="F130" s="29">
        <v>19392001</v>
      </c>
      <c r="G130" s="29">
        <v>47335568047</v>
      </c>
      <c r="H130" s="29">
        <v>19850149775</v>
      </c>
      <c r="I130" s="29">
        <v>27485418272</v>
      </c>
    </row>
    <row r="131" spans="1:9" x14ac:dyDescent="0.45">
      <c r="A131" s="29" t="s">
        <v>194</v>
      </c>
      <c r="B131" s="29">
        <v>3338313</v>
      </c>
      <c r="C131" s="29">
        <v>51476371842</v>
      </c>
      <c r="D131" s="29">
        <v>47671185684</v>
      </c>
      <c r="E131" s="29">
        <v>3805186158</v>
      </c>
      <c r="F131" s="29">
        <v>3338313</v>
      </c>
      <c r="G131" s="29">
        <v>51476371842</v>
      </c>
      <c r="H131" s="29">
        <v>44222422049</v>
      </c>
      <c r="I131" s="29">
        <v>7253949793</v>
      </c>
    </row>
    <row r="132" spans="1:9" x14ac:dyDescent="0.45">
      <c r="A132" s="29" t="s">
        <v>119</v>
      </c>
      <c r="B132" s="29">
        <v>5876278</v>
      </c>
      <c r="C132" s="29">
        <v>50611815941</v>
      </c>
      <c r="D132" s="29">
        <v>52304733683</v>
      </c>
      <c r="E132" s="29">
        <v>-1692917742</v>
      </c>
      <c r="F132" s="29">
        <v>5876278</v>
      </c>
      <c r="G132" s="29">
        <v>50611815941</v>
      </c>
      <c r="H132" s="29">
        <v>19929860241</v>
      </c>
      <c r="I132" s="29">
        <v>30681955700</v>
      </c>
    </row>
    <row r="133" spans="1:9" x14ac:dyDescent="0.45">
      <c r="A133" s="29" t="s">
        <v>310</v>
      </c>
      <c r="B133" s="29">
        <v>3904663</v>
      </c>
      <c r="C133" s="29">
        <v>52886651386</v>
      </c>
      <c r="D133" s="29">
        <v>41379445920</v>
      </c>
      <c r="E133" s="29">
        <v>11507205466</v>
      </c>
      <c r="F133" s="29">
        <v>3904663</v>
      </c>
      <c r="G133" s="29">
        <v>52886651386</v>
      </c>
      <c r="H133" s="29">
        <v>15027447254</v>
      </c>
      <c r="I133" s="29">
        <v>37859204132</v>
      </c>
    </row>
    <row r="134" spans="1:9" x14ac:dyDescent="0.45">
      <c r="A134" s="29" t="s">
        <v>372</v>
      </c>
      <c r="B134" s="29">
        <v>1200163</v>
      </c>
      <c r="C134" s="29">
        <v>12742477418</v>
      </c>
      <c r="D134" s="29">
        <v>6597507000</v>
      </c>
      <c r="E134" s="29">
        <v>6144970418</v>
      </c>
      <c r="F134" s="29">
        <v>1200163</v>
      </c>
      <c r="G134" s="29">
        <v>12742477418</v>
      </c>
      <c r="H134" s="29">
        <v>15219519757</v>
      </c>
      <c r="I134" s="29">
        <v>-2477042339</v>
      </c>
    </row>
    <row r="135" spans="1:9" x14ac:dyDescent="0.45">
      <c r="A135" s="29" t="s">
        <v>202</v>
      </c>
      <c r="B135" s="29">
        <v>3495060</v>
      </c>
      <c r="C135" s="29">
        <v>66204944425</v>
      </c>
      <c r="D135" s="29">
        <v>64899748385</v>
      </c>
      <c r="E135" s="29">
        <v>1305196040</v>
      </c>
      <c r="F135" s="29">
        <v>3495060</v>
      </c>
      <c r="G135" s="29">
        <v>66204944425</v>
      </c>
      <c r="H135" s="29">
        <v>42850975682</v>
      </c>
      <c r="I135" s="29">
        <v>23353968743</v>
      </c>
    </row>
    <row r="136" spans="1:9" x14ac:dyDescent="0.45">
      <c r="A136" s="29" t="s">
        <v>164</v>
      </c>
      <c r="B136" s="29">
        <v>174021</v>
      </c>
      <c r="C136" s="29">
        <v>11980248230</v>
      </c>
      <c r="D136" s="29">
        <v>12456833487</v>
      </c>
      <c r="E136" s="29">
        <v>-476585257</v>
      </c>
      <c r="F136" s="29">
        <v>174021</v>
      </c>
      <c r="G136" s="29">
        <v>11980248230</v>
      </c>
      <c r="H136" s="29">
        <v>5610237316</v>
      </c>
      <c r="I136" s="29">
        <v>6370010914</v>
      </c>
    </row>
    <row r="137" spans="1:9" x14ac:dyDescent="0.45">
      <c r="A137" s="29" t="s">
        <v>85</v>
      </c>
      <c r="B137" s="29">
        <v>4367900</v>
      </c>
      <c r="C137" s="29">
        <v>31509169687</v>
      </c>
      <c r="D137" s="29">
        <v>25454021613</v>
      </c>
      <c r="E137" s="29">
        <v>6055148074</v>
      </c>
      <c r="F137" s="29">
        <v>4367900</v>
      </c>
      <c r="G137" s="29">
        <v>31509169687</v>
      </c>
      <c r="H137" s="29">
        <v>17813299507</v>
      </c>
      <c r="I137" s="29">
        <v>13695870180</v>
      </c>
    </row>
    <row r="138" spans="1:9" x14ac:dyDescent="0.45">
      <c r="A138" s="29" t="s">
        <v>79</v>
      </c>
      <c r="B138" s="29">
        <v>24021276</v>
      </c>
      <c r="C138" s="29">
        <v>49148989748</v>
      </c>
      <c r="D138" s="29">
        <v>43941136429</v>
      </c>
      <c r="E138" s="29">
        <v>5207853319</v>
      </c>
      <c r="F138" s="29">
        <v>24021276</v>
      </c>
      <c r="G138" s="29">
        <v>49148989748</v>
      </c>
      <c r="H138" s="29">
        <v>24552646166</v>
      </c>
      <c r="I138" s="29">
        <v>24596343582</v>
      </c>
    </row>
    <row r="139" spans="1:9" x14ac:dyDescent="0.45">
      <c r="A139" s="29" t="s">
        <v>172</v>
      </c>
      <c r="B139" s="29">
        <v>8915801</v>
      </c>
      <c r="C139" s="29">
        <v>54762198703</v>
      </c>
      <c r="D139" s="29">
        <v>46539992554</v>
      </c>
      <c r="E139" s="29">
        <v>8222206149</v>
      </c>
      <c r="F139" s="29">
        <v>8915801</v>
      </c>
      <c r="G139" s="29">
        <v>54762198703</v>
      </c>
      <c r="H139" s="29">
        <v>31020498497</v>
      </c>
      <c r="I139" s="29">
        <v>23741700206</v>
      </c>
    </row>
    <row r="140" spans="1:9" x14ac:dyDescent="0.45">
      <c r="A140" s="29" t="s">
        <v>134</v>
      </c>
      <c r="B140" s="29">
        <v>4767758</v>
      </c>
      <c r="C140" s="29">
        <v>68881951038</v>
      </c>
      <c r="D140" s="29">
        <v>54194831887</v>
      </c>
      <c r="E140" s="29">
        <v>14687119151</v>
      </c>
      <c r="F140" s="29">
        <v>4767758</v>
      </c>
      <c r="G140" s="29">
        <v>68881951038</v>
      </c>
      <c r="H140" s="29">
        <v>34947868510</v>
      </c>
      <c r="I140" s="29">
        <v>33934082528</v>
      </c>
    </row>
    <row r="141" spans="1:9" x14ac:dyDescent="0.45">
      <c r="A141" s="29" t="s">
        <v>397</v>
      </c>
      <c r="B141" s="29">
        <v>1771174</v>
      </c>
      <c r="C141" s="29">
        <v>22847276725</v>
      </c>
      <c r="D141" s="29">
        <v>10913444353</v>
      </c>
      <c r="E141" s="29">
        <v>11933832372</v>
      </c>
      <c r="F141" s="29">
        <v>1771174</v>
      </c>
      <c r="G141" s="29">
        <v>22847276725</v>
      </c>
      <c r="H141" s="29">
        <v>10913444353</v>
      </c>
      <c r="I141" s="29">
        <v>11933832372</v>
      </c>
    </row>
    <row r="142" spans="1:9" x14ac:dyDescent="0.45">
      <c r="A142" s="29" t="s">
        <v>315</v>
      </c>
      <c r="B142" s="29">
        <v>8858150</v>
      </c>
      <c r="C142" s="29">
        <v>25402165086</v>
      </c>
      <c r="D142" s="29">
        <v>7031741200</v>
      </c>
      <c r="E142" s="29">
        <v>18370423886</v>
      </c>
      <c r="F142" s="29">
        <v>8858150</v>
      </c>
      <c r="G142" s="29">
        <v>25402165086</v>
      </c>
      <c r="H142" s="29">
        <v>17579353001</v>
      </c>
      <c r="I142" s="29">
        <v>7822812085</v>
      </c>
    </row>
    <row r="143" spans="1:9" x14ac:dyDescent="0.45">
      <c r="A143" s="29" t="s">
        <v>211</v>
      </c>
      <c r="B143" s="29">
        <v>10600000</v>
      </c>
      <c r="C143" s="29">
        <v>89719068860</v>
      </c>
      <c r="D143" s="29">
        <v>76092607889</v>
      </c>
      <c r="E143" s="29">
        <v>13626460971</v>
      </c>
      <c r="F143" s="29">
        <v>10600000</v>
      </c>
      <c r="G143" s="29">
        <v>89719068860</v>
      </c>
      <c r="H143" s="29">
        <v>63303894348</v>
      </c>
      <c r="I143" s="29">
        <v>26415174512</v>
      </c>
    </row>
    <row r="144" spans="1:9" x14ac:dyDescent="0.45">
      <c r="A144" s="29" t="s">
        <v>301</v>
      </c>
      <c r="B144" s="29">
        <v>5800000</v>
      </c>
      <c r="C144" s="29">
        <v>40976781920</v>
      </c>
      <c r="D144" s="29">
        <v>30847689760</v>
      </c>
      <c r="E144" s="29">
        <v>10129092160</v>
      </c>
      <c r="F144" s="29">
        <v>5800000</v>
      </c>
      <c r="G144" s="29">
        <v>40976781920</v>
      </c>
      <c r="H144" s="29">
        <v>24419169338</v>
      </c>
      <c r="I144" s="29">
        <v>16557612582</v>
      </c>
    </row>
    <row r="145" spans="1:9" x14ac:dyDescent="0.45">
      <c r="A145" s="29" t="s">
        <v>156</v>
      </c>
      <c r="B145" s="29">
        <v>4729478</v>
      </c>
      <c r="C145" s="29">
        <v>15158128806</v>
      </c>
      <c r="D145" s="29">
        <v>11887164169</v>
      </c>
      <c r="E145" s="29">
        <v>3270964637</v>
      </c>
      <c r="F145" s="29">
        <v>4729478</v>
      </c>
      <c r="G145" s="29">
        <v>15158128806</v>
      </c>
      <c r="H145" s="29">
        <v>12248883247</v>
      </c>
      <c r="I145" s="29">
        <v>2909245559</v>
      </c>
    </row>
    <row r="146" spans="1:9" x14ac:dyDescent="0.45">
      <c r="A146" s="29" t="s">
        <v>153</v>
      </c>
      <c r="B146" s="29">
        <v>22300000</v>
      </c>
      <c r="C146" s="29">
        <v>97140256190</v>
      </c>
      <c r="D146" s="29">
        <v>72329039260</v>
      </c>
      <c r="E146" s="29">
        <v>24811216930</v>
      </c>
      <c r="F146" s="29">
        <v>22300000</v>
      </c>
      <c r="G146" s="29">
        <v>97140256190</v>
      </c>
      <c r="H146" s="29">
        <v>60888717196</v>
      </c>
      <c r="I146" s="29">
        <v>36251538994</v>
      </c>
    </row>
    <row r="147" spans="1:9" x14ac:dyDescent="0.45">
      <c r="A147" s="29" t="s">
        <v>175</v>
      </c>
      <c r="B147" s="29">
        <v>23172790</v>
      </c>
      <c r="C147" s="29">
        <v>47527904177</v>
      </c>
      <c r="D147" s="29">
        <v>51398539556</v>
      </c>
      <c r="E147" s="29">
        <v>-3870635379</v>
      </c>
      <c r="F147" s="29">
        <v>23172790</v>
      </c>
      <c r="G147" s="29">
        <v>47527904177</v>
      </c>
      <c r="H147" s="29">
        <v>22309721618</v>
      </c>
      <c r="I147" s="29">
        <v>25218182559</v>
      </c>
    </row>
    <row r="148" spans="1:9" x14ac:dyDescent="0.45">
      <c r="A148" s="29" t="s">
        <v>137</v>
      </c>
      <c r="B148" s="29">
        <v>10809541</v>
      </c>
      <c r="C148" s="29">
        <v>23597163146</v>
      </c>
      <c r="D148" s="29">
        <v>22149155407</v>
      </c>
      <c r="E148" s="29">
        <v>1448007739</v>
      </c>
      <c r="F148" s="29">
        <v>10809541</v>
      </c>
      <c r="G148" s="29">
        <v>23597163146</v>
      </c>
      <c r="H148" s="29">
        <v>12579750916</v>
      </c>
      <c r="I148" s="29">
        <v>11017412230</v>
      </c>
    </row>
    <row r="149" spans="1:9" x14ac:dyDescent="0.45">
      <c r="A149" s="29" t="s">
        <v>173</v>
      </c>
      <c r="B149" s="29">
        <v>2347708</v>
      </c>
      <c r="C149" s="29">
        <v>28653590671</v>
      </c>
      <c r="D149" s="29">
        <v>27628584176</v>
      </c>
      <c r="E149" s="29">
        <v>1025006495</v>
      </c>
      <c r="F149" s="29">
        <v>2347708</v>
      </c>
      <c r="G149" s="29">
        <v>28653590671</v>
      </c>
      <c r="H149" s="29">
        <v>21304314877</v>
      </c>
      <c r="I149" s="29">
        <v>7349275794</v>
      </c>
    </row>
    <row r="150" spans="1:9" x14ac:dyDescent="0.45">
      <c r="A150" s="29" t="s">
        <v>212</v>
      </c>
      <c r="B150" s="29">
        <v>1667583</v>
      </c>
      <c r="C150" s="29">
        <v>47522770996</v>
      </c>
      <c r="D150" s="29">
        <v>49224531203</v>
      </c>
      <c r="E150" s="29">
        <v>-1701760207</v>
      </c>
      <c r="F150" s="29">
        <v>1667583</v>
      </c>
      <c r="G150" s="29">
        <v>47522770996</v>
      </c>
      <c r="H150" s="29">
        <v>22531435372</v>
      </c>
      <c r="I150" s="29">
        <v>24991335624</v>
      </c>
    </row>
    <row r="151" spans="1:9" x14ac:dyDescent="0.45">
      <c r="A151" s="29" t="s">
        <v>190</v>
      </c>
      <c r="B151" s="29">
        <v>4374516</v>
      </c>
      <c r="C151" s="29">
        <v>43537230943</v>
      </c>
      <c r="D151" s="29">
        <v>42061392606</v>
      </c>
      <c r="E151" s="29">
        <v>1475838337</v>
      </c>
      <c r="F151" s="29">
        <v>4374516</v>
      </c>
      <c r="G151" s="29">
        <v>43537230943</v>
      </c>
      <c r="H151" s="29">
        <v>22335850309</v>
      </c>
      <c r="I151" s="29">
        <v>21201380634</v>
      </c>
    </row>
    <row r="152" spans="1:9" x14ac:dyDescent="0.45">
      <c r="A152" s="29" t="s">
        <v>241</v>
      </c>
      <c r="B152" s="29">
        <v>801639</v>
      </c>
      <c r="C152" s="29">
        <v>19186069012</v>
      </c>
      <c r="D152" s="29">
        <v>14882649463</v>
      </c>
      <c r="E152" s="29">
        <v>4303419549</v>
      </c>
      <c r="F152" s="29">
        <v>801639</v>
      </c>
      <c r="G152" s="29">
        <v>19186069012</v>
      </c>
      <c r="H152" s="29">
        <v>10802463972</v>
      </c>
      <c r="I152" s="29">
        <v>8383605040</v>
      </c>
    </row>
    <row r="153" spans="1:9" x14ac:dyDescent="0.45">
      <c r="A153" s="29" t="s">
        <v>141</v>
      </c>
      <c r="B153" s="29">
        <v>7777144</v>
      </c>
      <c r="C153" s="29">
        <v>42520816990</v>
      </c>
      <c r="D153" s="29">
        <v>42057795389</v>
      </c>
      <c r="E153" s="29">
        <v>463021601</v>
      </c>
      <c r="F153" s="29">
        <v>7777144</v>
      </c>
      <c r="G153" s="29">
        <v>42520816990</v>
      </c>
      <c r="H153" s="29">
        <v>19022038431</v>
      </c>
      <c r="I153" s="29">
        <v>23498778559</v>
      </c>
    </row>
    <row r="154" spans="1:9" x14ac:dyDescent="0.45">
      <c r="A154" s="29" t="s">
        <v>184</v>
      </c>
      <c r="B154" s="29">
        <v>4984873</v>
      </c>
      <c r="C154" s="29">
        <v>40015890048</v>
      </c>
      <c r="D154" s="29">
        <v>75179724022</v>
      </c>
      <c r="E154" s="29">
        <v>-35163833974</v>
      </c>
      <c r="F154" s="29">
        <v>4984873</v>
      </c>
      <c r="G154" s="29">
        <v>40015890048</v>
      </c>
      <c r="H154" s="29">
        <v>11905840216</v>
      </c>
      <c r="I154" s="29">
        <v>28110049832</v>
      </c>
    </row>
    <row r="155" spans="1:9" x14ac:dyDescent="0.45">
      <c r="A155" s="29" t="s">
        <v>101</v>
      </c>
      <c r="B155" s="29">
        <v>14093300</v>
      </c>
      <c r="C155" s="29">
        <v>95513170543</v>
      </c>
      <c r="D155" s="29">
        <v>93867372866</v>
      </c>
      <c r="E155" s="29">
        <v>1645797677</v>
      </c>
      <c r="F155" s="29">
        <v>14093300</v>
      </c>
      <c r="G155" s="29">
        <v>95513170543</v>
      </c>
      <c r="H155" s="29">
        <v>56183031034</v>
      </c>
      <c r="I155" s="29">
        <v>39330139509</v>
      </c>
    </row>
    <row r="156" spans="1:9" x14ac:dyDescent="0.45">
      <c r="A156" s="29" t="s">
        <v>120</v>
      </c>
      <c r="B156" s="29">
        <v>39968644</v>
      </c>
      <c r="C156" s="29">
        <v>97642147872</v>
      </c>
      <c r="D156" s="29">
        <v>94422297407</v>
      </c>
      <c r="E156" s="29">
        <v>3219850465</v>
      </c>
      <c r="F156" s="29">
        <v>39968644</v>
      </c>
      <c r="G156" s="29">
        <v>97642147872</v>
      </c>
      <c r="H156" s="29">
        <v>60064106848</v>
      </c>
      <c r="I156" s="29">
        <v>37578041024</v>
      </c>
    </row>
    <row r="157" spans="1:9" x14ac:dyDescent="0.45">
      <c r="A157" s="29" t="s">
        <v>209</v>
      </c>
      <c r="B157" s="29">
        <v>2740260</v>
      </c>
      <c r="C157" s="29">
        <v>75100928565</v>
      </c>
      <c r="D157" s="29">
        <v>58814876269</v>
      </c>
      <c r="E157" s="29">
        <v>16286052296</v>
      </c>
      <c r="F157" s="29">
        <v>2740260</v>
      </c>
      <c r="G157" s="29">
        <v>75100928565</v>
      </c>
      <c r="H157" s="29">
        <v>20393083426</v>
      </c>
      <c r="I157" s="29">
        <v>54707845139</v>
      </c>
    </row>
    <row r="158" spans="1:9" x14ac:dyDescent="0.45">
      <c r="A158" s="29" t="s">
        <v>130</v>
      </c>
      <c r="B158" s="29">
        <v>1362852</v>
      </c>
      <c r="C158" s="29">
        <v>41083395140</v>
      </c>
      <c r="D158" s="29">
        <v>39744601157</v>
      </c>
      <c r="E158" s="29">
        <v>1338793983</v>
      </c>
      <c r="F158" s="29">
        <v>1362852</v>
      </c>
      <c r="G158" s="29">
        <v>41083395140</v>
      </c>
      <c r="H158" s="29">
        <v>23412212860</v>
      </c>
      <c r="I158" s="29">
        <v>17671182280</v>
      </c>
    </row>
    <row r="159" spans="1:9" x14ac:dyDescent="0.45">
      <c r="A159" s="29" t="s">
        <v>268</v>
      </c>
      <c r="B159" s="29">
        <v>4684284</v>
      </c>
      <c r="C159" s="29">
        <v>83525898490</v>
      </c>
      <c r="D159" s="29">
        <v>62516601819</v>
      </c>
      <c r="E159" s="29">
        <v>21009296671</v>
      </c>
      <c r="F159" s="29">
        <v>4684284</v>
      </c>
      <c r="G159" s="29">
        <v>83525898490</v>
      </c>
      <c r="H159" s="29">
        <v>39877193740</v>
      </c>
      <c r="I159" s="29">
        <v>43648704750</v>
      </c>
    </row>
    <row r="160" spans="1:9" x14ac:dyDescent="0.45">
      <c r="A160" s="29" t="s">
        <v>272</v>
      </c>
      <c r="B160" s="29">
        <v>2202712</v>
      </c>
      <c r="C160" s="29">
        <v>19867876979</v>
      </c>
      <c r="D160" s="29">
        <v>18775034461</v>
      </c>
      <c r="E160" s="29">
        <v>1092842518</v>
      </c>
      <c r="F160" s="29">
        <v>2202712</v>
      </c>
      <c r="G160" s="29">
        <v>19867876979</v>
      </c>
      <c r="H160" s="29">
        <v>10842794642</v>
      </c>
      <c r="I160" s="29">
        <v>9025082337</v>
      </c>
    </row>
    <row r="161" spans="1:9" x14ac:dyDescent="0.45">
      <c r="A161" s="29" t="s">
        <v>398</v>
      </c>
      <c r="B161" s="29">
        <v>0</v>
      </c>
      <c r="C161" s="29">
        <v>0</v>
      </c>
      <c r="D161" s="29">
        <v>0</v>
      </c>
      <c r="E161" s="29">
        <v>0</v>
      </c>
      <c r="F161" s="29">
        <v>0</v>
      </c>
      <c r="G161" s="29">
        <v>0</v>
      </c>
      <c r="H161" s="29">
        <v>-1115022677</v>
      </c>
      <c r="I161" s="29">
        <v>1115022677</v>
      </c>
    </row>
    <row r="162" spans="1:9" x14ac:dyDescent="0.45">
      <c r="A162" s="29" t="s">
        <v>195</v>
      </c>
      <c r="B162" s="29">
        <v>4568835</v>
      </c>
      <c r="C162" s="29">
        <v>44609816190</v>
      </c>
      <c r="D162" s="29">
        <v>39264002538</v>
      </c>
      <c r="E162" s="29">
        <v>5345813652</v>
      </c>
      <c r="F162" s="29">
        <v>4568835</v>
      </c>
      <c r="G162" s="29">
        <v>44609816190</v>
      </c>
      <c r="H162" s="29">
        <v>28566845788</v>
      </c>
      <c r="I162" s="29">
        <v>16042970402</v>
      </c>
    </row>
    <row r="163" spans="1:9" x14ac:dyDescent="0.45">
      <c r="A163" s="29" t="s">
        <v>82</v>
      </c>
      <c r="B163" s="29">
        <v>2343728</v>
      </c>
      <c r="C163" s="29">
        <v>30442247762</v>
      </c>
      <c r="D163" s="29">
        <v>34342558668</v>
      </c>
      <c r="E163" s="29">
        <v>-3900310906</v>
      </c>
      <c r="F163" s="29">
        <v>2343728</v>
      </c>
      <c r="G163" s="29">
        <v>30442247762</v>
      </c>
      <c r="H163" s="29">
        <v>15741479338</v>
      </c>
      <c r="I163" s="29">
        <v>14700768424</v>
      </c>
    </row>
    <row r="164" spans="1:9" x14ac:dyDescent="0.45">
      <c r="A164" s="29" t="s">
        <v>236</v>
      </c>
      <c r="B164" s="29">
        <v>3100000</v>
      </c>
      <c r="C164" s="29">
        <v>41680301350</v>
      </c>
      <c r="D164" s="29">
        <v>42633872820</v>
      </c>
      <c r="E164" s="29">
        <v>-953571470</v>
      </c>
      <c r="F164" s="29">
        <v>3100000</v>
      </c>
      <c r="G164" s="29">
        <v>41680301350</v>
      </c>
      <c r="H164" s="29">
        <v>20311945517</v>
      </c>
      <c r="I164" s="29">
        <v>21368355833</v>
      </c>
    </row>
    <row r="165" spans="1:9" x14ac:dyDescent="0.45">
      <c r="A165" s="29" t="s">
        <v>114</v>
      </c>
      <c r="B165" s="29">
        <v>6790248</v>
      </c>
      <c r="C165" s="29">
        <v>68725145706</v>
      </c>
      <c r="D165" s="29">
        <v>83255515531</v>
      </c>
      <c r="E165" s="29">
        <v>-14530369825</v>
      </c>
      <c r="F165" s="29">
        <v>6790248</v>
      </c>
      <c r="G165" s="29">
        <v>68725145706</v>
      </c>
      <c r="H165" s="29">
        <v>37770985594</v>
      </c>
      <c r="I165" s="29">
        <v>30954160112</v>
      </c>
    </row>
    <row r="166" spans="1:9" x14ac:dyDescent="0.45">
      <c r="A166" s="29" t="s">
        <v>174</v>
      </c>
      <c r="B166" s="29">
        <v>13516623</v>
      </c>
      <c r="C166" s="29">
        <v>31867243462</v>
      </c>
      <c r="D166" s="29">
        <v>29842010397</v>
      </c>
      <c r="E166" s="29">
        <v>2025233065</v>
      </c>
      <c r="F166" s="29">
        <v>13516623</v>
      </c>
      <c r="G166" s="29">
        <v>31867243462</v>
      </c>
      <c r="H166" s="29">
        <v>15567172087</v>
      </c>
      <c r="I166" s="29">
        <v>16300071375</v>
      </c>
    </row>
    <row r="167" spans="1:9" x14ac:dyDescent="0.45">
      <c r="A167" s="29" t="s">
        <v>280</v>
      </c>
      <c r="B167" s="29">
        <v>2451893</v>
      </c>
      <c r="C167" s="29">
        <v>21920788203</v>
      </c>
      <c r="D167" s="29">
        <v>19658154126</v>
      </c>
      <c r="E167" s="29">
        <v>2262634077</v>
      </c>
      <c r="F167" s="29">
        <v>2451893</v>
      </c>
      <c r="G167" s="29">
        <v>21920788203</v>
      </c>
      <c r="H167" s="29">
        <v>13989404236</v>
      </c>
      <c r="I167" s="29">
        <v>7931383967</v>
      </c>
    </row>
    <row r="168" spans="1:9" x14ac:dyDescent="0.45">
      <c r="A168" s="29" t="s">
        <v>110</v>
      </c>
      <c r="B168" s="29">
        <v>15767933</v>
      </c>
      <c r="C168" s="29">
        <v>58046833917</v>
      </c>
      <c r="D168" s="29">
        <v>61727835124</v>
      </c>
      <c r="E168" s="29">
        <v>-3681001207</v>
      </c>
      <c r="F168" s="29">
        <v>15767933</v>
      </c>
      <c r="G168" s="29">
        <v>58046833917</v>
      </c>
      <c r="H168" s="29">
        <v>51668004700</v>
      </c>
      <c r="I168" s="29">
        <v>6378829217</v>
      </c>
    </row>
    <row r="169" spans="1:9" x14ac:dyDescent="0.45">
      <c r="A169" s="29" t="s">
        <v>399</v>
      </c>
      <c r="B169" s="29">
        <v>23071375</v>
      </c>
      <c r="C169" s="29">
        <v>62040120165</v>
      </c>
      <c r="D169" s="29">
        <v>44508823177</v>
      </c>
      <c r="E169" s="29">
        <v>17531296988</v>
      </c>
      <c r="F169" s="29">
        <v>23071375</v>
      </c>
      <c r="G169" s="29">
        <v>62040120165</v>
      </c>
      <c r="H169" s="29">
        <v>44508823177</v>
      </c>
      <c r="I169" s="29">
        <v>17531296988</v>
      </c>
    </row>
    <row r="170" spans="1:9" x14ac:dyDescent="0.45">
      <c r="A170" s="29" t="s">
        <v>256</v>
      </c>
      <c r="B170" s="29">
        <v>1752500</v>
      </c>
      <c r="C170" s="29">
        <v>33040110325</v>
      </c>
      <c r="D170" s="29">
        <v>23591443785</v>
      </c>
      <c r="E170" s="29">
        <v>9448666540</v>
      </c>
      <c r="F170" s="29">
        <v>1752500</v>
      </c>
      <c r="G170" s="29">
        <v>33040110325</v>
      </c>
      <c r="H170" s="29">
        <v>23591443785</v>
      </c>
      <c r="I170" s="29">
        <v>9448666540</v>
      </c>
    </row>
    <row r="171" spans="1:9" x14ac:dyDescent="0.45">
      <c r="A171" s="29" t="s">
        <v>99</v>
      </c>
      <c r="B171" s="29">
        <v>0</v>
      </c>
      <c r="C171" s="29">
        <v>0</v>
      </c>
      <c r="D171" s="29">
        <v>8001653198</v>
      </c>
      <c r="E171" s="29">
        <v>-8001653198</v>
      </c>
      <c r="F171" s="29">
        <v>0</v>
      </c>
      <c r="G171" s="29">
        <v>0</v>
      </c>
      <c r="H171" s="29">
        <v>0</v>
      </c>
      <c r="I171" s="29">
        <v>0</v>
      </c>
    </row>
    <row r="172" spans="1:9" x14ac:dyDescent="0.45">
      <c r="A172" s="29" t="s">
        <v>224</v>
      </c>
      <c r="B172" s="29">
        <v>6818151</v>
      </c>
      <c r="C172" s="29">
        <v>80847087979</v>
      </c>
      <c r="D172" s="29">
        <v>52905793137</v>
      </c>
      <c r="E172" s="29">
        <v>27941294842</v>
      </c>
      <c r="F172" s="29">
        <v>6818151</v>
      </c>
      <c r="G172" s="29">
        <v>80847087979</v>
      </c>
      <c r="H172" s="29">
        <v>27618685223</v>
      </c>
      <c r="I172" s="29">
        <v>53228402756</v>
      </c>
    </row>
    <row r="173" spans="1:9" x14ac:dyDescent="0.45">
      <c r="A173" s="29" t="s">
        <v>283</v>
      </c>
      <c r="B173" s="29">
        <v>1256499</v>
      </c>
      <c r="C173" s="29">
        <v>10797169035</v>
      </c>
      <c r="D173" s="29">
        <v>9849611476</v>
      </c>
      <c r="E173" s="29">
        <v>947557559</v>
      </c>
      <c r="F173" s="29">
        <v>1256499</v>
      </c>
      <c r="G173" s="29">
        <v>10797169035</v>
      </c>
      <c r="H173" s="29">
        <v>7630331928</v>
      </c>
      <c r="I173" s="29">
        <v>3166837107</v>
      </c>
    </row>
    <row r="174" spans="1:9" x14ac:dyDescent="0.45">
      <c r="A174" s="29" t="s">
        <v>83</v>
      </c>
      <c r="B174" s="29">
        <v>670000</v>
      </c>
      <c r="C174" s="29">
        <v>27257656900</v>
      </c>
      <c r="D174" s="29">
        <v>25954607936</v>
      </c>
      <c r="E174" s="29">
        <v>1303048964</v>
      </c>
      <c r="F174" s="29">
        <v>670000</v>
      </c>
      <c r="G174" s="29">
        <v>27257656900</v>
      </c>
      <c r="H174" s="29">
        <v>11527994406</v>
      </c>
      <c r="I174" s="29">
        <v>15729662494</v>
      </c>
    </row>
    <row r="175" spans="1:9" x14ac:dyDescent="0.45">
      <c r="A175" s="29" t="s">
        <v>302</v>
      </c>
      <c r="B175" s="29">
        <v>7979362</v>
      </c>
      <c r="C175" s="29">
        <v>77197394934</v>
      </c>
      <c r="D175" s="29">
        <v>59065904227</v>
      </c>
      <c r="E175" s="29">
        <v>18131490707</v>
      </c>
      <c r="F175" s="29">
        <v>7979362</v>
      </c>
      <c r="G175" s="29">
        <v>77197394934</v>
      </c>
      <c r="H175" s="29">
        <v>26247114278</v>
      </c>
      <c r="I175" s="29">
        <v>50950280656</v>
      </c>
    </row>
    <row r="176" spans="1:9" x14ac:dyDescent="0.45">
      <c r="A176" s="29" t="s">
        <v>112</v>
      </c>
      <c r="B176" s="29">
        <v>425533</v>
      </c>
      <c r="C176" s="29">
        <v>10201406099</v>
      </c>
      <c r="D176" s="29">
        <v>15479255129</v>
      </c>
      <c r="E176" s="29">
        <v>-5277849030</v>
      </c>
      <c r="F176" s="29">
        <v>425533</v>
      </c>
      <c r="G176" s="29">
        <v>10201406099</v>
      </c>
      <c r="H176" s="29">
        <v>4218038813</v>
      </c>
      <c r="I176" s="29">
        <v>5983367286</v>
      </c>
    </row>
    <row r="177" spans="1:9" x14ac:dyDescent="0.45">
      <c r="A177" s="29" t="s">
        <v>73</v>
      </c>
      <c r="B177" s="29">
        <v>9031234</v>
      </c>
      <c r="C177" s="29">
        <v>83072387142</v>
      </c>
      <c r="D177" s="29">
        <v>86265268127</v>
      </c>
      <c r="E177" s="29">
        <v>-3192880985</v>
      </c>
      <c r="F177" s="29">
        <v>9031234</v>
      </c>
      <c r="G177" s="29">
        <v>83072387142</v>
      </c>
      <c r="H177" s="29">
        <v>41117680022</v>
      </c>
      <c r="I177" s="29">
        <v>41954707120</v>
      </c>
    </row>
    <row r="178" spans="1:9" x14ac:dyDescent="0.45">
      <c r="A178" s="29" t="s">
        <v>276</v>
      </c>
      <c r="B178" s="29">
        <v>2470314</v>
      </c>
      <c r="C178" s="29">
        <v>50495100539</v>
      </c>
      <c r="D178" s="29">
        <v>45224980823</v>
      </c>
      <c r="E178" s="29">
        <v>5270119716</v>
      </c>
      <c r="F178" s="29">
        <v>2470314</v>
      </c>
      <c r="G178" s="29">
        <v>50495100539</v>
      </c>
      <c r="H178" s="29">
        <v>19364625935</v>
      </c>
      <c r="I178" s="29">
        <v>31130474604</v>
      </c>
    </row>
    <row r="179" spans="1:9" x14ac:dyDescent="0.45">
      <c r="A179" s="29" t="s">
        <v>265</v>
      </c>
      <c r="B179" s="29">
        <v>1983335</v>
      </c>
      <c r="C179" s="29">
        <v>8383696275</v>
      </c>
      <c r="D179" s="29">
        <v>6474732569</v>
      </c>
      <c r="E179" s="29">
        <v>1908963706</v>
      </c>
      <c r="F179" s="29">
        <v>1983335</v>
      </c>
      <c r="G179" s="29">
        <v>8383696275</v>
      </c>
      <c r="H179" s="29">
        <v>5354225642</v>
      </c>
      <c r="I179" s="29">
        <v>3029470633</v>
      </c>
    </row>
    <row r="180" spans="1:9" x14ac:dyDescent="0.45">
      <c r="A180" s="29" t="s">
        <v>240</v>
      </c>
      <c r="B180" s="29">
        <v>486071</v>
      </c>
      <c r="C180" s="29">
        <v>25470984974</v>
      </c>
      <c r="D180" s="29">
        <v>29927635583</v>
      </c>
      <c r="E180" s="29">
        <v>-4456650609</v>
      </c>
      <c r="F180" s="29">
        <v>486071</v>
      </c>
      <c r="G180" s="29">
        <v>25470984974</v>
      </c>
      <c r="H180" s="29">
        <v>9135020931</v>
      </c>
      <c r="I180" s="29">
        <v>16335964043</v>
      </c>
    </row>
    <row r="181" spans="1:9" x14ac:dyDescent="0.45">
      <c r="A181" s="29" t="s">
        <v>167</v>
      </c>
      <c r="B181" s="29">
        <v>12640871</v>
      </c>
      <c r="C181" s="29">
        <v>27456970820</v>
      </c>
      <c r="D181" s="29">
        <v>30209355065</v>
      </c>
      <c r="E181" s="29">
        <v>-2752384245</v>
      </c>
      <c r="F181" s="29">
        <v>12640871</v>
      </c>
      <c r="G181" s="29">
        <v>27456970820</v>
      </c>
      <c r="H181" s="29">
        <v>18324627232</v>
      </c>
      <c r="I181" s="29">
        <v>9132343588</v>
      </c>
    </row>
    <row r="182" spans="1:9" x14ac:dyDescent="0.45">
      <c r="A182" s="29" t="s">
        <v>230</v>
      </c>
      <c r="B182" s="29">
        <v>15280964</v>
      </c>
      <c r="C182" s="29">
        <v>49734122246</v>
      </c>
      <c r="D182" s="29">
        <v>46714268270</v>
      </c>
      <c r="E182" s="29">
        <v>3019853976</v>
      </c>
      <c r="F182" s="29">
        <v>15280964</v>
      </c>
      <c r="G182" s="29">
        <v>49734122246</v>
      </c>
      <c r="H182" s="29">
        <v>33001515308</v>
      </c>
      <c r="I182" s="29">
        <v>16732606938</v>
      </c>
    </row>
    <row r="183" spans="1:9" x14ac:dyDescent="0.45">
      <c r="A183" s="29" t="s">
        <v>169</v>
      </c>
      <c r="B183" s="29">
        <v>4690828</v>
      </c>
      <c r="C183" s="29">
        <v>53527530845</v>
      </c>
      <c r="D183" s="29">
        <v>59321079415</v>
      </c>
      <c r="E183" s="29">
        <v>-5793548570</v>
      </c>
      <c r="F183" s="29">
        <v>4690828</v>
      </c>
      <c r="G183" s="29">
        <v>53527530845</v>
      </c>
      <c r="H183" s="29">
        <v>22737969534</v>
      </c>
      <c r="I183" s="29">
        <v>30789561311</v>
      </c>
    </row>
    <row r="184" spans="1:9" x14ac:dyDescent="0.45">
      <c r="A184" s="29" t="s">
        <v>400</v>
      </c>
      <c r="B184" s="29">
        <v>2345414</v>
      </c>
      <c r="C184" s="29">
        <v>24436481473</v>
      </c>
      <c r="D184" s="29">
        <v>9147614388</v>
      </c>
      <c r="E184" s="29">
        <v>15288867085</v>
      </c>
      <c r="F184" s="29">
        <v>2345414</v>
      </c>
      <c r="G184" s="29">
        <v>24436481473</v>
      </c>
      <c r="H184" s="29">
        <v>9147614388</v>
      </c>
      <c r="I184" s="29">
        <v>15288867085</v>
      </c>
    </row>
    <row r="185" spans="1:9" x14ac:dyDescent="0.45">
      <c r="A185" s="29" t="s">
        <v>189</v>
      </c>
      <c r="B185" s="29">
        <v>550442</v>
      </c>
      <c r="C185" s="29">
        <v>48556031709</v>
      </c>
      <c r="D185" s="29">
        <v>52204451670</v>
      </c>
      <c r="E185" s="29">
        <v>-3648419961</v>
      </c>
      <c r="F185" s="29">
        <v>550442</v>
      </c>
      <c r="G185" s="29">
        <v>48556031709</v>
      </c>
      <c r="H185" s="29">
        <v>27855541250</v>
      </c>
      <c r="I185" s="29">
        <v>20700490459</v>
      </c>
    </row>
    <row r="186" spans="1:9" x14ac:dyDescent="0.45">
      <c r="A186" s="29" t="s">
        <v>245</v>
      </c>
      <c r="B186" s="29">
        <v>1261948</v>
      </c>
      <c r="C186" s="29">
        <v>28875573854</v>
      </c>
      <c r="D186" s="29">
        <v>30313308248</v>
      </c>
      <c r="E186" s="29">
        <v>-1437734394</v>
      </c>
      <c r="F186" s="29">
        <v>1261948</v>
      </c>
      <c r="G186" s="29">
        <v>28875573854</v>
      </c>
      <c r="H186" s="29">
        <v>15289184078</v>
      </c>
      <c r="I186" s="29">
        <v>13586389776</v>
      </c>
    </row>
    <row r="187" spans="1:9" x14ac:dyDescent="0.45">
      <c r="A187" s="29" t="s">
        <v>237</v>
      </c>
      <c r="B187" s="29">
        <v>3556849</v>
      </c>
      <c r="C187" s="29">
        <v>57175543827</v>
      </c>
      <c r="D187" s="29">
        <v>51790636499</v>
      </c>
      <c r="E187" s="29">
        <v>5384907328</v>
      </c>
      <c r="F187" s="29">
        <v>3556849</v>
      </c>
      <c r="G187" s="29">
        <v>57175543827</v>
      </c>
      <c r="H187" s="29">
        <v>36653684612</v>
      </c>
      <c r="I187" s="29">
        <v>20521859215</v>
      </c>
    </row>
    <row r="188" spans="1:9" x14ac:dyDescent="0.45">
      <c r="A188" s="29" t="s">
        <v>238</v>
      </c>
      <c r="B188" s="29">
        <v>7207926</v>
      </c>
      <c r="C188" s="29">
        <v>36047132009</v>
      </c>
      <c r="D188" s="29">
        <v>33929148363</v>
      </c>
      <c r="E188" s="29">
        <v>2117983646</v>
      </c>
      <c r="F188" s="29">
        <v>7207926</v>
      </c>
      <c r="G188" s="29">
        <v>36047132009</v>
      </c>
      <c r="H188" s="29">
        <v>16687892252</v>
      </c>
      <c r="I188" s="29">
        <v>19359239757</v>
      </c>
    </row>
    <row r="189" spans="1:9" x14ac:dyDescent="0.45">
      <c r="A189" s="29" t="s">
        <v>104</v>
      </c>
      <c r="B189" s="29">
        <v>1558695</v>
      </c>
      <c r="C189" s="29">
        <v>48874022690</v>
      </c>
      <c r="D189" s="29">
        <v>50343336663</v>
      </c>
      <c r="E189" s="29">
        <v>-1469313973</v>
      </c>
      <c r="F189" s="29">
        <v>1558695</v>
      </c>
      <c r="G189" s="29">
        <v>48874022690</v>
      </c>
      <c r="H189" s="29">
        <v>29139543557</v>
      </c>
      <c r="I189" s="29">
        <v>19734479133</v>
      </c>
    </row>
    <row r="190" spans="1:9" x14ac:dyDescent="0.45">
      <c r="A190" s="29" t="s">
        <v>113</v>
      </c>
      <c r="B190" s="29">
        <v>1734887</v>
      </c>
      <c r="C190" s="29">
        <v>21311876885</v>
      </c>
      <c r="D190" s="29">
        <v>19962607328</v>
      </c>
      <c r="E190" s="29">
        <v>1349269557</v>
      </c>
      <c r="F190" s="29">
        <v>1734887</v>
      </c>
      <c r="G190" s="29">
        <v>21311876885</v>
      </c>
      <c r="H190" s="29">
        <v>12445683475</v>
      </c>
      <c r="I190" s="29">
        <v>8866193410</v>
      </c>
    </row>
    <row r="191" spans="1:9" x14ac:dyDescent="0.45">
      <c r="A191" s="29" t="s">
        <v>226</v>
      </c>
      <c r="B191" s="29">
        <v>3565617</v>
      </c>
      <c r="C191" s="29">
        <v>51974024727</v>
      </c>
      <c r="D191" s="29">
        <v>42633560106</v>
      </c>
      <c r="E191" s="29">
        <v>9340464621</v>
      </c>
      <c r="F191" s="29">
        <v>3565617</v>
      </c>
      <c r="G191" s="29">
        <v>51974024727</v>
      </c>
      <c r="H191" s="29">
        <v>24554100177</v>
      </c>
      <c r="I191" s="29">
        <v>27419924550</v>
      </c>
    </row>
    <row r="192" spans="1:9" x14ac:dyDescent="0.45">
      <c r="A192" s="29" t="s">
        <v>111</v>
      </c>
      <c r="B192" s="29">
        <v>7883451</v>
      </c>
      <c r="C192" s="29">
        <v>95403355422</v>
      </c>
      <c r="D192" s="29">
        <v>94501325072</v>
      </c>
      <c r="E192" s="29">
        <v>902030350</v>
      </c>
      <c r="F192" s="29">
        <v>7883451</v>
      </c>
      <c r="G192" s="29">
        <v>95403355422</v>
      </c>
      <c r="H192" s="29">
        <v>47209343167</v>
      </c>
      <c r="I192" s="29">
        <v>48194012255</v>
      </c>
    </row>
    <row r="193" spans="1:9" x14ac:dyDescent="0.45">
      <c r="A193" s="29" t="s">
        <v>165</v>
      </c>
      <c r="B193" s="29">
        <v>635048</v>
      </c>
      <c r="C193" s="29">
        <v>35621762134</v>
      </c>
      <c r="D193" s="29">
        <v>29017904586</v>
      </c>
      <c r="E193" s="29">
        <v>6603857548</v>
      </c>
      <c r="F193" s="29">
        <v>635048</v>
      </c>
      <c r="G193" s="29">
        <v>35621762134</v>
      </c>
      <c r="H193" s="29">
        <v>16320602145</v>
      </c>
      <c r="I193" s="29">
        <v>19301159989</v>
      </c>
    </row>
    <row r="194" spans="1:9" x14ac:dyDescent="0.45">
      <c r="A194" s="29" t="s">
        <v>228</v>
      </c>
      <c r="B194" s="29">
        <v>3190646</v>
      </c>
      <c r="C194" s="29">
        <v>65440854274</v>
      </c>
      <c r="D194" s="29">
        <v>60015196771</v>
      </c>
      <c r="E194" s="29">
        <v>5425657503</v>
      </c>
      <c r="F194" s="29">
        <v>3190646</v>
      </c>
      <c r="G194" s="29">
        <v>65440854274</v>
      </c>
      <c r="H194" s="29">
        <v>25327858451</v>
      </c>
      <c r="I194" s="29">
        <v>40112995823</v>
      </c>
    </row>
    <row r="195" spans="1:9" x14ac:dyDescent="0.45">
      <c r="A195" s="29" t="s">
        <v>386</v>
      </c>
      <c r="B195" s="29">
        <v>275726</v>
      </c>
      <c r="C195" s="29">
        <v>14511459601</v>
      </c>
      <c r="D195" s="29">
        <v>8101137232</v>
      </c>
      <c r="E195" s="29">
        <v>6410322369</v>
      </c>
      <c r="F195" s="29">
        <v>275726</v>
      </c>
      <c r="G195" s="29">
        <v>14511459601</v>
      </c>
      <c r="H195" s="29">
        <v>6374755066</v>
      </c>
      <c r="I195" s="29">
        <v>8136704535</v>
      </c>
    </row>
    <row r="196" spans="1:9" x14ac:dyDescent="0.45">
      <c r="A196" s="29" t="s">
        <v>401</v>
      </c>
      <c r="B196" s="29">
        <v>487887</v>
      </c>
      <c r="C196" s="29">
        <v>16484137320</v>
      </c>
      <c r="D196" s="29">
        <v>14266887719</v>
      </c>
      <c r="E196" s="29">
        <v>2217249601</v>
      </c>
      <c r="F196" s="29">
        <v>487887</v>
      </c>
      <c r="G196" s="29">
        <v>16484137320</v>
      </c>
      <c r="H196" s="29">
        <v>13075963261</v>
      </c>
      <c r="I196" s="29">
        <v>3408174059</v>
      </c>
    </row>
    <row r="197" spans="1:9" x14ac:dyDescent="0.45">
      <c r="A197" s="29" t="s">
        <v>288</v>
      </c>
      <c r="B197" s="29">
        <v>3335116</v>
      </c>
      <c r="C197" s="29">
        <v>38553759196</v>
      </c>
      <c r="D197" s="29">
        <v>31935088090</v>
      </c>
      <c r="E197" s="29">
        <v>6618671106</v>
      </c>
      <c r="F197" s="29">
        <v>3335116</v>
      </c>
      <c r="G197" s="29">
        <v>38553759196</v>
      </c>
      <c r="H197" s="29">
        <v>11781234570</v>
      </c>
      <c r="I197" s="29">
        <v>26772524626</v>
      </c>
    </row>
    <row r="198" spans="1:9" x14ac:dyDescent="0.45">
      <c r="A198" s="29" t="s">
        <v>106</v>
      </c>
      <c r="B198" s="29">
        <v>15499135</v>
      </c>
      <c r="C198" s="29">
        <v>52597297268</v>
      </c>
      <c r="D198" s="29">
        <v>56958440899</v>
      </c>
      <c r="E198" s="29">
        <v>-4361143631</v>
      </c>
      <c r="F198" s="29">
        <v>15499135</v>
      </c>
      <c r="G198" s="29">
        <v>52597297268</v>
      </c>
      <c r="H198" s="29">
        <v>38978250047</v>
      </c>
      <c r="I198" s="29">
        <v>13619047221</v>
      </c>
    </row>
    <row r="199" spans="1:9" x14ac:dyDescent="0.45">
      <c r="A199" s="29" t="s">
        <v>107</v>
      </c>
      <c r="B199" s="29">
        <v>2837468</v>
      </c>
      <c r="C199" s="29">
        <v>49468938922</v>
      </c>
      <c r="D199" s="29">
        <v>49381924333</v>
      </c>
      <c r="E199" s="29">
        <v>87014589</v>
      </c>
      <c r="F199" s="29">
        <v>2837468</v>
      </c>
      <c r="G199" s="29">
        <v>49468938922</v>
      </c>
      <c r="H199" s="29">
        <v>46235616954</v>
      </c>
      <c r="I199" s="29">
        <v>3233321968</v>
      </c>
    </row>
    <row r="200" spans="1:9" x14ac:dyDescent="0.45">
      <c r="A200" s="29" t="s">
        <v>223</v>
      </c>
      <c r="B200" s="29">
        <v>5956686</v>
      </c>
      <c r="C200" s="29">
        <v>22283115881</v>
      </c>
      <c r="D200" s="29">
        <v>20864562085</v>
      </c>
      <c r="E200" s="29">
        <v>1418553796</v>
      </c>
      <c r="F200" s="29">
        <v>5956686</v>
      </c>
      <c r="G200" s="29">
        <v>22283115881</v>
      </c>
      <c r="H200" s="29">
        <v>13498552216</v>
      </c>
      <c r="I200" s="29">
        <v>8784563665</v>
      </c>
    </row>
    <row r="201" spans="1:9" x14ac:dyDescent="0.45">
      <c r="A201" s="29" t="s">
        <v>198</v>
      </c>
      <c r="B201" s="29">
        <v>4923567</v>
      </c>
      <c r="C201" s="29">
        <v>89258228001</v>
      </c>
      <c r="D201" s="29">
        <v>72145736410</v>
      </c>
      <c r="E201" s="29">
        <v>17112491591</v>
      </c>
      <c r="F201" s="29">
        <v>4923567</v>
      </c>
      <c r="G201" s="29">
        <v>89258228001</v>
      </c>
      <c r="H201" s="29">
        <v>44949906142</v>
      </c>
      <c r="I201" s="29">
        <v>44308321859</v>
      </c>
    </row>
    <row r="202" spans="1:9" x14ac:dyDescent="0.45">
      <c r="A202" s="29" t="s">
        <v>139</v>
      </c>
      <c r="B202" s="29">
        <v>15426589</v>
      </c>
      <c r="C202" s="29">
        <v>90619461485</v>
      </c>
      <c r="D202" s="29">
        <v>79980071421</v>
      </c>
      <c r="E202" s="29">
        <v>10639390064</v>
      </c>
      <c r="F202" s="29">
        <v>15426589</v>
      </c>
      <c r="G202" s="29">
        <v>90619461485</v>
      </c>
      <c r="H202" s="29">
        <v>66205088606</v>
      </c>
      <c r="I202" s="29">
        <v>24414372879</v>
      </c>
    </row>
    <row r="203" spans="1:9" x14ac:dyDescent="0.45">
      <c r="A203" s="29" t="s">
        <v>84</v>
      </c>
      <c r="B203" s="29">
        <v>1000000</v>
      </c>
      <c r="C203" s="29">
        <v>8146536700</v>
      </c>
      <c r="D203" s="29">
        <v>7958005400</v>
      </c>
      <c r="E203" s="29">
        <v>188531300</v>
      </c>
      <c r="F203" s="29">
        <v>1000000</v>
      </c>
      <c r="G203" s="29">
        <v>8146536700</v>
      </c>
      <c r="H203" s="29">
        <v>6243533309</v>
      </c>
      <c r="I203" s="29">
        <v>1903003391</v>
      </c>
    </row>
    <row r="204" spans="1:9" x14ac:dyDescent="0.45">
      <c r="A204" s="29" t="s">
        <v>89</v>
      </c>
      <c r="B204" s="29">
        <v>9985372</v>
      </c>
      <c r="C204" s="29">
        <v>46766633551</v>
      </c>
      <c r="D204" s="29">
        <v>43512362709</v>
      </c>
      <c r="E204" s="29">
        <v>3254270842</v>
      </c>
      <c r="F204" s="29">
        <v>9985372</v>
      </c>
      <c r="G204" s="29">
        <v>46766633551</v>
      </c>
      <c r="H204" s="29">
        <v>32792406859</v>
      </c>
      <c r="I204" s="29">
        <v>13974226692</v>
      </c>
    </row>
    <row r="205" spans="1:9" x14ac:dyDescent="0.45">
      <c r="A205" s="29" t="s">
        <v>246</v>
      </c>
      <c r="B205" s="29">
        <v>8742240</v>
      </c>
      <c r="C205" s="29">
        <v>43286565799</v>
      </c>
      <c r="D205" s="29">
        <v>36461462753</v>
      </c>
      <c r="E205" s="29">
        <v>6825103046</v>
      </c>
      <c r="F205" s="29">
        <v>8742240</v>
      </c>
      <c r="G205" s="29">
        <v>43286565799</v>
      </c>
      <c r="H205" s="29">
        <v>30345222962</v>
      </c>
      <c r="I205" s="29">
        <v>12941342837</v>
      </c>
    </row>
    <row r="206" spans="1:9" x14ac:dyDescent="0.45">
      <c r="A206" s="29" t="s">
        <v>233</v>
      </c>
      <c r="B206" s="29">
        <v>9915495</v>
      </c>
      <c r="C206" s="29">
        <v>80580166952</v>
      </c>
      <c r="D206" s="29">
        <v>69528934141</v>
      </c>
      <c r="E206" s="29">
        <v>11051232811</v>
      </c>
      <c r="F206" s="29">
        <v>9915495</v>
      </c>
      <c r="G206" s="29">
        <v>80580166952</v>
      </c>
      <c r="H206" s="29">
        <v>51994689870</v>
      </c>
      <c r="I206" s="29">
        <v>28585477082</v>
      </c>
    </row>
    <row r="207" spans="1:9" x14ac:dyDescent="0.45">
      <c r="A207" s="29" t="s">
        <v>219</v>
      </c>
      <c r="B207" s="29">
        <v>7269322</v>
      </c>
      <c r="C207" s="29">
        <v>50852567494</v>
      </c>
      <c r="D207" s="29">
        <v>40177134885</v>
      </c>
      <c r="E207" s="29">
        <v>10675432609</v>
      </c>
      <c r="F207" s="29">
        <v>7269322</v>
      </c>
      <c r="G207" s="29">
        <v>50852567494</v>
      </c>
      <c r="H207" s="29">
        <v>19295111009</v>
      </c>
      <c r="I207" s="29">
        <v>31557456485</v>
      </c>
    </row>
    <row r="208" spans="1:9" x14ac:dyDescent="0.45">
      <c r="A208" s="29" t="s">
        <v>166</v>
      </c>
      <c r="B208" s="29">
        <v>876895</v>
      </c>
      <c r="C208" s="29">
        <v>63675132909</v>
      </c>
      <c r="D208" s="29">
        <v>64345122692</v>
      </c>
      <c r="E208" s="29">
        <v>-669989783</v>
      </c>
      <c r="F208" s="29">
        <v>876895</v>
      </c>
      <c r="G208" s="29">
        <v>63675132909</v>
      </c>
      <c r="H208" s="29">
        <v>43645970822</v>
      </c>
      <c r="I208" s="29">
        <v>20029162087</v>
      </c>
    </row>
    <row r="209" spans="1:9" x14ac:dyDescent="0.45">
      <c r="A209" s="29" t="s">
        <v>275</v>
      </c>
      <c r="B209" s="29">
        <v>21351892</v>
      </c>
      <c r="C209" s="29">
        <v>42246562698</v>
      </c>
      <c r="D209" s="29">
        <v>37394775909</v>
      </c>
      <c r="E209" s="29">
        <v>4851786789</v>
      </c>
      <c r="F209" s="29">
        <v>21351892</v>
      </c>
      <c r="G209" s="29">
        <v>42246562698</v>
      </c>
      <c r="H209" s="29">
        <v>20723246603</v>
      </c>
      <c r="I209" s="29">
        <v>21523316095</v>
      </c>
    </row>
    <row r="210" spans="1:9" x14ac:dyDescent="0.45">
      <c r="A210" s="29" t="s">
        <v>131</v>
      </c>
      <c r="B210" s="29">
        <v>3070922</v>
      </c>
      <c r="C210" s="29">
        <v>35530162792</v>
      </c>
      <c r="D210" s="29">
        <v>39038990716</v>
      </c>
      <c r="E210" s="29">
        <v>-3508827924</v>
      </c>
      <c r="F210" s="29">
        <v>3070922</v>
      </c>
      <c r="G210" s="29">
        <v>35530162792</v>
      </c>
      <c r="H210" s="29">
        <v>18531750088</v>
      </c>
      <c r="I210" s="29">
        <v>16998412704</v>
      </c>
    </row>
    <row r="211" spans="1:9" x14ac:dyDescent="0.45">
      <c r="A211" s="29" t="s">
        <v>78</v>
      </c>
      <c r="B211" s="29">
        <v>798593</v>
      </c>
      <c r="C211" s="29">
        <v>41348469135</v>
      </c>
      <c r="D211" s="29">
        <v>38156271904</v>
      </c>
      <c r="E211" s="29">
        <v>3192197231</v>
      </c>
      <c r="F211" s="29">
        <v>798593</v>
      </c>
      <c r="G211" s="29">
        <v>41348469135</v>
      </c>
      <c r="H211" s="29">
        <v>38492771766</v>
      </c>
      <c r="I211" s="29">
        <v>2855697369</v>
      </c>
    </row>
    <row r="212" spans="1:9" x14ac:dyDescent="0.45">
      <c r="A212" s="29" t="s">
        <v>75</v>
      </c>
      <c r="B212" s="29">
        <v>0</v>
      </c>
      <c r="C212" s="29">
        <v>0</v>
      </c>
      <c r="D212" s="29">
        <v>15124978664</v>
      </c>
      <c r="E212" s="29">
        <v>-15124978664</v>
      </c>
      <c r="F212" s="29">
        <v>0</v>
      </c>
      <c r="G212" s="29">
        <v>0</v>
      </c>
      <c r="H212" s="29">
        <v>0</v>
      </c>
      <c r="I212" s="29">
        <v>0</v>
      </c>
    </row>
    <row r="213" spans="1:9" x14ac:dyDescent="0.45">
      <c r="A213" s="29" t="s">
        <v>102</v>
      </c>
      <c r="B213" s="29">
        <v>1900252</v>
      </c>
      <c r="C213" s="29">
        <v>54945307336</v>
      </c>
      <c r="D213" s="29">
        <v>44231153160</v>
      </c>
      <c r="E213" s="29">
        <v>10714154176</v>
      </c>
      <c r="F213" s="29">
        <v>1900252</v>
      </c>
      <c r="G213" s="29">
        <v>54945307336</v>
      </c>
      <c r="H213" s="29">
        <v>42432442506</v>
      </c>
      <c r="I213" s="29">
        <v>12512864830</v>
      </c>
    </row>
    <row r="214" spans="1:9" x14ac:dyDescent="0.45">
      <c r="A214" s="29" t="s">
        <v>252</v>
      </c>
      <c r="B214" s="29">
        <v>628673</v>
      </c>
      <c r="C214" s="29">
        <v>31914291380</v>
      </c>
      <c r="D214" s="29">
        <v>21452941372</v>
      </c>
      <c r="E214" s="29">
        <v>10461350008</v>
      </c>
      <c r="F214" s="29">
        <v>628673</v>
      </c>
      <c r="G214" s="29">
        <v>31914291380</v>
      </c>
      <c r="H214" s="29">
        <v>17778697663</v>
      </c>
      <c r="I214" s="29">
        <v>14135593717</v>
      </c>
    </row>
    <row r="215" spans="1:9" x14ac:dyDescent="0.45">
      <c r="A215" s="29" t="s">
        <v>185</v>
      </c>
      <c r="B215" s="29">
        <v>1481856</v>
      </c>
      <c r="C215" s="29">
        <v>19747488829</v>
      </c>
      <c r="D215" s="29">
        <v>14415567168</v>
      </c>
      <c r="E215" s="29">
        <v>5331921661</v>
      </c>
      <c r="F215" s="29">
        <v>1481856</v>
      </c>
      <c r="G215" s="29">
        <v>19747488829</v>
      </c>
      <c r="H215" s="29">
        <v>19162275950</v>
      </c>
      <c r="I215" s="29">
        <v>585212879</v>
      </c>
    </row>
    <row r="216" spans="1:9" x14ac:dyDescent="0.45">
      <c r="A216" s="29" t="s">
        <v>391</v>
      </c>
      <c r="B216" s="29">
        <v>1136013</v>
      </c>
      <c r="C216" s="29">
        <v>52472631888</v>
      </c>
      <c r="D216" s="29">
        <v>42654444482</v>
      </c>
      <c r="E216" s="29">
        <v>9818187406</v>
      </c>
      <c r="F216" s="29">
        <v>1136013</v>
      </c>
      <c r="G216" s="29">
        <v>52472631888</v>
      </c>
      <c r="H216" s="29">
        <v>21782308227</v>
      </c>
      <c r="I216" s="29">
        <v>30690323661</v>
      </c>
    </row>
    <row r="217" spans="1:9" x14ac:dyDescent="0.45">
      <c r="A217" s="29" t="s">
        <v>162</v>
      </c>
      <c r="B217" s="29">
        <v>7091749</v>
      </c>
      <c r="C217" s="29">
        <v>92605995908</v>
      </c>
      <c r="D217" s="29">
        <v>93461896000</v>
      </c>
      <c r="E217" s="29">
        <v>-855900092</v>
      </c>
      <c r="F217" s="29">
        <v>7091749</v>
      </c>
      <c r="G217" s="29">
        <v>92605995908</v>
      </c>
      <c r="H217" s="29">
        <v>50253532231</v>
      </c>
      <c r="I217" s="29">
        <v>42352463677</v>
      </c>
    </row>
    <row r="218" spans="1:9" x14ac:dyDescent="0.45">
      <c r="A218" s="29" t="s">
        <v>239</v>
      </c>
      <c r="B218" s="29">
        <v>12094294</v>
      </c>
      <c r="C218" s="29">
        <v>94446336195</v>
      </c>
      <c r="D218" s="29">
        <v>101712496881</v>
      </c>
      <c r="E218" s="29">
        <v>-7266160686</v>
      </c>
      <c r="F218" s="29">
        <v>12094294</v>
      </c>
      <c r="G218" s="29">
        <v>94446336195</v>
      </c>
      <c r="H218" s="29">
        <v>32306167349</v>
      </c>
      <c r="I218" s="29">
        <v>62140168846</v>
      </c>
    </row>
    <row r="219" spans="1:9" x14ac:dyDescent="0.45">
      <c r="A219" s="29" t="s">
        <v>206</v>
      </c>
      <c r="B219" s="29">
        <v>768712</v>
      </c>
      <c r="C219" s="29">
        <v>17261481847</v>
      </c>
      <c r="D219" s="29">
        <v>16796192234</v>
      </c>
      <c r="E219" s="29">
        <v>465289613</v>
      </c>
      <c r="F219" s="29">
        <v>768712</v>
      </c>
      <c r="G219" s="29">
        <v>17261481847</v>
      </c>
      <c r="H219" s="29">
        <v>7978567175</v>
      </c>
      <c r="I219" s="29">
        <v>9282914672</v>
      </c>
    </row>
    <row r="220" spans="1:9" x14ac:dyDescent="0.45">
      <c r="A220" s="29" t="s">
        <v>255</v>
      </c>
      <c r="B220" s="29">
        <v>900000</v>
      </c>
      <c r="C220" s="29">
        <v>9198342900</v>
      </c>
      <c r="D220" s="29">
        <v>7296161310</v>
      </c>
      <c r="E220" s="29">
        <v>1902181590</v>
      </c>
      <c r="F220" s="29">
        <v>900000</v>
      </c>
      <c r="G220" s="29">
        <v>9198342900</v>
      </c>
      <c r="H220" s="29">
        <v>4728662685</v>
      </c>
      <c r="I220" s="29">
        <v>4469680215</v>
      </c>
    </row>
    <row r="221" spans="1:9" x14ac:dyDescent="0.45">
      <c r="A221" s="29" t="s">
        <v>159</v>
      </c>
      <c r="B221" s="29">
        <v>1105716</v>
      </c>
      <c r="C221" s="29">
        <v>29919793594</v>
      </c>
      <c r="D221" s="29">
        <v>25740291141</v>
      </c>
      <c r="E221" s="29">
        <v>4179502453</v>
      </c>
      <c r="F221" s="29">
        <v>1105716</v>
      </c>
      <c r="G221" s="29">
        <v>29919793594</v>
      </c>
      <c r="H221" s="29">
        <v>10745492126</v>
      </c>
      <c r="I221" s="29">
        <v>19174301468</v>
      </c>
    </row>
    <row r="222" spans="1:9" x14ac:dyDescent="0.45">
      <c r="A222" s="29" t="s">
        <v>204</v>
      </c>
      <c r="B222" s="29">
        <v>9511996</v>
      </c>
      <c r="C222" s="29">
        <v>65880508531</v>
      </c>
      <c r="D222" s="29">
        <v>69123736058</v>
      </c>
      <c r="E222" s="29">
        <v>-3243227527</v>
      </c>
      <c r="F222" s="29">
        <v>9511996</v>
      </c>
      <c r="G222" s="29">
        <v>65880508531</v>
      </c>
      <c r="H222" s="29">
        <v>41759779711</v>
      </c>
      <c r="I222" s="29">
        <v>24120728820</v>
      </c>
    </row>
    <row r="223" spans="1:9" x14ac:dyDescent="0.45">
      <c r="A223" s="29" t="s">
        <v>117</v>
      </c>
      <c r="B223" s="29">
        <v>1633590</v>
      </c>
      <c r="C223" s="29">
        <v>29614982122</v>
      </c>
      <c r="D223" s="29">
        <v>29961510688</v>
      </c>
      <c r="E223" s="29">
        <v>-346528566</v>
      </c>
      <c r="F223" s="29">
        <v>1633590</v>
      </c>
      <c r="G223" s="29">
        <v>29614982122</v>
      </c>
      <c r="H223" s="29">
        <v>12432781219</v>
      </c>
      <c r="I223" s="29">
        <v>17182200903</v>
      </c>
    </row>
    <row r="224" spans="1:9" x14ac:dyDescent="0.45">
      <c r="A224" s="29" t="s">
        <v>160</v>
      </c>
      <c r="B224" s="29">
        <v>1889175</v>
      </c>
      <c r="C224" s="29">
        <v>44952228820</v>
      </c>
      <c r="D224" s="29">
        <v>36591639140</v>
      </c>
      <c r="E224" s="29">
        <v>8360589680</v>
      </c>
      <c r="F224" s="29">
        <v>1889175</v>
      </c>
      <c r="G224" s="29">
        <v>44952228820</v>
      </c>
      <c r="H224" s="29">
        <v>17283550864</v>
      </c>
      <c r="I224" s="29">
        <v>27668677956</v>
      </c>
    </row>
    <row r="225" spans="1:9" x14ac:dyDescent="0.45">
      <c r="A225" s="29" t="s">
        <v>170</v>
      </c>
      <c r="B225" s="29">
        <v>6031510</v>
      </c>
      <c r="C225" s="29">
        <v>104555965892</v>
      </c>
      <c r="D225" s="29">
        <v>98482253171</v>
      </c>
      <c r="E225" s="29">
        <v>6073712721</v>
      </c>
      <c r="F225" s="29">
        <v>6031510</v>
      </c>
      <c r="G225" s="29">
        <v>104555965892</v>
      </c>
      <c r="H225" s="29">
        <v>31055747809</v>
      </c>
      <c r="I225" s="29">
        <v>73500218083</v>
      </c>
    </row>
    <row r="226" spans="1:9" x14ac:dyDescent="0.45">
      <c r="A226" s="29" t="s">
        <v>216</v>
      </c>
      <c r="B226" s="29">
        <v>30273917</v>
      </c>
      <c r="C226" s="29">
        <v>83811319944</v>
      </c>
      <c r="D226" s="29">
        <v>74709230359</v>
      </c>
      <c r="E226" s="29">
        <v>9102089585</v>
      </c>
      <c r="F226" s="29">
        <v>30273917</v>
      </c>
      <c r="G226" s="29">
        <v>83811319944</v>
      </c>
      <c r="H226" s="29">
        <v>72067169876</v>
      </c>
      <c r="I226" s="29">
        <v>11744150068</v>
      </c>
    </row>
    <row r="227" spans="1:9" x14ac:dyDescent="0.45">
      <c r="A227" s="29" t="s">
        <v>222</v>
      </c>
      <c r="B227" s="29">
        <v>13752234</v>
      </c>
      <c r="C227" s="29">
        <v>33705445201</v>
      </c>
      <c r="D227" s="29">
        <v>35215952154</v>
      </c>
      <c r="E227" s="29">
        <v>-1510506953</v>
      </c>
      <c r="F227" s="29">
        <v>13752234</v>
      </c>
      <c r="G227" s="29">
        <v>33705445201</v>
      </c>
      <c r="H227" s="29">
        <v>20632099276</v>
      </c>
      <c r="I227" s="29">
        <v>13073345925</v>
      </c>
    </row>
    <row r="228" spans="1:9" x14ac:dyDescent="0.45">
      <c r="A228" s="29" t="s">
        <v>208</v>
      </c>
      <c r="B228" s="29">
        <v>19913216</v>
      </c>
      <c r="C228" s="29">
        <v>46592398369</v>
      </c>
      <c r="D228" s="29">
        <v>45668734359</v>
      </c>
      <c r="E228" s="29">
        <v>923664010</v>
      </c>
      <c r="F228" s="29">
        <v>19913216</v>
      </c>
      <c r="G228" s="29">
        <v>46592398369</v>
      </c>
      <c r="H228" s="29">
        <v>20499813818</v>
      </c>
      <c r="I228" s="29">
        <v>26092584551</v>
      </c>
    </row>
    <row r="229" spans="1:9" x14ac:dyDescent="0.45">
      <c r="A229" s="29" t="s">
        <v>282</v>
      </c>
      <c r="B229" s="29">
        <v>5200000</v>
      </c>
      <c r="C229" s="29">
        <v>20536019920</v>
      </c>
      <c r="D229" s="29">
        <v>18265706160</v>
      </c>
      <c r="E229" s="29">
        <v>2270313760</v>
      </c>
      <c r="F229" s="29">
        <v>5200000</v>
      </c>
      <c r="G229" s="29">
        <v>20536019920</v>
      </c>
      <c r="H229" s="29">
        <v>15035668856</v>
      </c>
      <c r="I229" s="29">
        <v>5500351064</v>
      </c>
    </row>
    <row r="230" spans="1:9" x14ac:dyDescent="0.45">
      <c r="A230" s="29" t="s">
        <v>123</v>
      </c>
      <c r="B230" s="29">
        <v>11417778</v>
      </c>
      <c r="C230" s="29">
        <v>31269471270</v>
      </c>
      <c r="D230" s="29">
        <v>31586697790</v>
      </c>
      <c r="E230" s="29">
        <v>-317226520</v>
      </c>
      <c r="F230" s="29">
        <v>11417778</v>
      </c>
      <c r="G230" s="29">
        <v>31269471270</v>
      </c>
      <c r="H230" s="29">
        <v>21543693739</v>
      </c>
      <c r="I230" s="29">
        <v>9725777531</v>
      </c>
    </row>
    <row r="231" spans="1:9" x14ac:dyDescent="0.45">
      <c r="A231" s="29" t="s">
        <v>151</v>
      </c>
      <c r="B231" s="29">
        <v>41952550</v>
      </c>
      <c r="C231" s="29">
        <v>125717335501</v>
      </c>
      <c r="D231" s="29">
        <v>91261235841</v>
      </c>
      <c r="E231" s="29">
        <v>34456099660</v>
      </c>
      <c r="F231" s="29">
        <v>41952550</v>
      </c>
      <c r="G231" s="29">
        <v>125717335501</v>
      </c>
      <c r="H231" s="29">
        <v>65280111157</v>
      </c>
      <c r="I231" s="29">
        <v>60437224344</v>
      </c>
    </row>
    <row r="232" spans="1:9" x14ac:dyDescent="0.45">
      <c r="A232" s="29" t="s">
        <v>402</v>
      </c>
      <c r="B232" s="40">
        <v>0</v>
      </c>
      <c r="C232" s="40">
        <v>0</v>
      </c>
      <c r="D232" s="40">
        <v>14565823681</v>
      </c>
      <c r="E232" s="40">
        <v>-14565823681</v>
      </c>
      <c r="F232" s="40">
        <v>0</v>
      </c>
      <c r="G232" s="40">
        <v>0</v>
      </c>
      <c r="H232" s="40">
        <v>0</v>
      </c>
      <c r="I232" s="40">
        <v>0</v>
      </c>
    </row>
    <row r="233" spans="1:9" ht="23.25" customHeight="1" thickBot="1" x14ac:dyDescent="0.5">
      <c r="A233" s="29" t="s">
        <v>2</v>
      </c>
      <c r="B233" s="42">
        <f t="shared" ref="B233:I233" si="0">SUM(B7:B232)</f>
        <v>1646782247</v>
      </c>
      <c r="C233" s="42">
        <f t="shared" si="0"/>
        <v>9884986930771</v>
      </c>
      <c r="D233" s="42">
        <f t="shared" si="0"/>
        <v>9365197812405</v>
      </c>
      <c r="E233" s="42">
        <f t="shared" si="0"/>
        <v>519789118366</v>
      </c>
      <c r="F233" s="42">
        <f t="shared" si="0"/>
        <v>1646782247</v>
      </c>
      <c r="G233" s="42">
        <f t="shared" si="0"/>
        <v>9884986930771</v>
      </c>
      <c r="H233" s="42">
        <f t="shared" si="0"/>
        <v>5450837108846</v>
      </c>
      <c r="I233" s="42">
        <f t="shared" si="0"/>
        <v>4434149821925</v>
      </c>
    </row>
    <row r="234" spans="1:9" ht="18.75" thickTop="1" x14ac:dyDescent="0.45"/>
  </sheetData>
  <mergeCells count="6">
    <mergeCell ref="B5:E5"/>
    <mergeCell ref="F5:I5"/>
    <mergeCell ref="A4:D4"/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scale="92" fitToHeight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1</vt:lpstr>
      <vt:lpstr> سهام</vt:lpstr>
      <vt:lpstr>سپرده</vt:lpstr>
      <vt:lpstr>درآمدها</vt:lpstr>
      <vt:lpstr>درآمد سرمایه گذاری در سهام </vt:lpstr>
      <vt:lpstr>درآمد سپرده بانکی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'درآمد ناشی از تغییر قیمت اوراق '!Print_Area</vt:lpstr>
      <vt:lpstr>درآمدها!Print_Area</vt:lpstr>
      <vt:lpstr>سپرده!Print_Area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Mostafa Langari</cp:lastModifiedBy>
  <cp:lastPrinted>2026-09-26T07:08:06Z</cp:lastPrinted>
  <dcterms:created xsi:type="dcterms:W3CDTF">2017-11-22T14:26:20Z</dcterms:created>
  <dcterms:modified xsi:type="dcterms:W3CDTF">2026-09-26T07:09:10Z</dcterms:modified>
</cp:coreProperties>
</file>