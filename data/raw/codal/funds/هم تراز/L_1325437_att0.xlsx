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zaei\پرتفو\پرتفوی1403.12.30\مشترک\"/>
    </mc:Choice>
  </mc:AlternateContent>
  <xr:revisionPtr revIDLastSave="0" documentId="13_ncr:1_{8C1B9B37-9F00-4743-844C-1A205D906EEA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9 (2)" sheetId="17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</sheets>
  <definedNames>
    <definedName name="_xlnm.Print_Titles" localSheetId="1">'1'!$1:$10</definedName>
    <definedName name="_xlnm.Print_Titles" localSheetId="10">'10'!$1:$8</definedName>
    <definedName name="_xlnm.Print_Titles" localSheetId="11">'11'!$1:$8</definedName>
    <definedName name="_xlnm.Print_Titles" localSheetId="12">'12'!$1:$8</definedName>
    <definedName name="_xlnm.Print_Titles" localSheetId="7">'8'!$1:$8</definedName>
  </definedNames>
  <calcPr calcId="191029"/>
</workbook>
</file>

<file path=xl/calcChain.xml><?xml version="1.0" encoding="utf-8"?>
<calcChain xmlns="http://schemas.openxmlformats.org/spreadsheetml/2006/main">
  <c r="M16" i="17" l="1"/>
  <c r="K16" i="17"/>
  <c r="I16" i="17"/>
  <c r="G16" i="17"/>
  <c r="E16" i="17"/>
  <c r="C16" i="17"/>
  <c r="K16" i="6"/>
  <c r="E10" i="16" l="1"/>
  <c r="C10" i="16"/>
  <c r="G16" i="15"/>
  <c r="I14" i="15" s="1"/>
  <c r="C16" i="15"/>
  <c r="E14" i="15" s="1"/>
  <c r="Q10" i="14"/>
  <c r="O10" i="14"/>
  <c r="M10" i="14"/>
  <c r="K10" i="14"/>
  <c r="I10" i="14"/>
  <c r="G10" i="14"/>
  <c r="E10" i="14"/>
  <c r="C10" i="14"/>
  <c r="U123" i="13"/>
  <c r="S123" i="13"/>
  <c r="Q123" i="13"/>
  <c r="O123" i="13"/>
  <c r="M123" i="13"/>
  <c r="K123" i="13"/>
  <c r="I123" i="13"/>
  <c r="G123" i="13"/>
  <c r="E123" i="13"/>
  <c r="C123" i="13"/>
  <c r="Q91" i="12"/>
  <c r="O91" i="12"/>
  <c r="M91" i="12"/>
  <c r="K91" i="12"/>
  <c r="I91" i="12"/>
  <c r="G91" i="12"/>
  <c r="E91" i="12"/>
  <c r="C91" i="12"/>
  <c r="Q102" i="11"/>
  <c r="O102" i="11"/>
  <c r="M102" i="11"/>
  <c r="K102" i="11"/>
  <c r="I102" i="11"/>
  <c r="G102" i="11"/>
  <c r="E102" i="11"/>
  <c r="C102" i="11"/>
  <c r="S10" i="10"/>
  <c r="Q10" i="10"/>
  <c r="O10" i="10"/>
  <c r="M10" i="10"/>
  <c r="K10" i="10"/>
  <c r="I10" i="10"/>
  <c r="S80" i="9"/>
  <c r="Q80" i="9"/>
  <c r="O80" i="9"/>
  <c r="M80" i="9"/>
  <c r="K80" i="9"/>
  <c r="I80" i="9"/>
  <c r="E13" i="8"/>
  <c r="G12" i="8"/>
  <c r="G11" i="8"/>
  <c r="G10" i="8"/>
  <c r="G8" i="8"/>
  <c r="I16" i="6"/>
  <c r="G16" i="6"/>
  <c r="E16" i="6"/>
  <c r="C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W93" i="2"/>
  <c r="U93" i="2"/>
  <c r="S93" i="2"/>
  <c r="Q93" i="2"/>
  <c r="O93" i="2"/>
  <c r="M93" i="2"/>
  <c r="L93" i="2"/>
  <c r="J93" i="2"/>
  <c r="I93" i="2"/>
  <c r="G93" i="2"/>
  <c r="E93" i="2"/>
  <c r="C93" i="2"/>
  <c r="E15" i="15" l="1"/>
  <c r="E11" i="15"/>
  <c r="E12" i="15"/>
  <c r="I12" i="15"/>
  <c r="E9" i="15"/>
  <c r="E13" i="15"/>
  <c r="E10" i="15"/>
  <c r="I13" i="8"/>
  <c r="G13" i="8"/>
  <c r="I11" i="15"/>
  <c r="I15" i="15"/>
  <c r="I9" i="15"/>
  <c r="I13" i="15"/>
  <c r="I10" i="15"/>
  <c r="E16" i="15" l="1"/>
  <c r="I16" i="15"/>
</calcChain>
</file>

<file path=xl/sharedStrings.xml><?xml version="1.0" encoding="utf-8"?>
<sst xmlns="http://schemas.openxmlformats.org/spreadsheetml/2006/main" count="830" uniqueCount="293">
  <si>
    <t>‫مشترک کاریزما</t>
  </si>
  <si>
    <t>‫صورت وضعیت پورتفوی</t>
  </si>
  <si>
    <t>‫برای ماه منتهی به 1403/12/30</t>
  </si>
  <si>
    <t>‫1- سرمایه گذاری ها</t>
  </si>
  <si>
    <t>‫1-1- سرمایه گذاری در سهام و حق تقدم سهام</t>
  </si>
  <si>
    <t>‫1403/11/30</t>
  </si>
  <si>
    <t>‫تغییرات طی دوره</t>
  </si>
  <si>
    <t>‫1403/12/30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</si>
  <si>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</si>
  <si>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</si>
  <si>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</si>
  <si>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</si>
  <si>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</si>
  <si>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</si>
  <si>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</si>
  <si>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</si>
  <si>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</si>
  <si>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‫آلوميناي ايران</t>
  </si>
  <si>
    <t>‫آنتي بيوتيك سازي ايران</t>
  </si>
  <si>
    <t>‫اخشان خراسان</t>
  </si>
  <si>
    <t>‫ارتباطات سیار</t>
  </si>
  <si>
    <t>‫افست</t>
  </si>
  <si>
    <t>‫الكتريك خودرو</t>
  </si>
  <si>
    <t>‫املاح ايران</t>
  </si>
  <si>
    <t>‫ايران ترانسفو</t>
  </si>
  <si>
    <t>‫ايران ياسا</t>
  </si>
  <si>
    <t>‫ايمن خودرو شرق</t>
  </si>
  <si>
    <t>‫ایرکا پارت صنعت</t>
  </si>
  <si>
    <t>‫بيمه اتكايي ايران معين</t>
  </si>
  <si>
    <t>‫تامين ماسه</t>
  </si>
  <si>
    <t>‫تايدواتر</t>
  </si>
  <si>
    <t xml:space="preserve">‫تراكتور سازي </t>
  </si>
  <si>
    <t>‫توزيع دارو پخش</t>
  </si>
  <si>
    <t>‫توسعه معادن كروميت كاوندگان</t>
  </si>
  <si>
    <t>‫توسعه نيشكر و صنايع جانبي</t>
  </si>
  <si>
    <t>‫توليد انرژي برق شمس پاسارگاد</t>
  </si>
  <si>
    <t>‫توليدات پتروشيمي قائد بصير</t>
  </si>
  <si>
    <t>‫توليدي برنا باطري</t>
  </si>
  <si>
    <t>‫توليدي چدن سازان</t>
  </si>
  <si>
    <t>‫حمل و نقل ريلي پارسيان</t>
  </si>
  <si>
    <t>‫خاك چيني</t>
  </si>
  <si>
    <t>‫داروسازي فارابي</t>
  </si>
  <si>
    <t>‫دارويي و نهاده هاي زاگرس دارو</t>
  </si>
  <si>
    <t>‫دريايي سينا</t>
  </si>
  <si>
    <t>‫رادياتور</t>
  </si>
  <si>
    <t>‫ريخته گري تراكتورسازي</t>
  </si>
  <si>
    <t>‫زامياد</t>
  </si>
  <si>
    <t>‫سبحان_دارو</t>
  </si>
  <si>
    <t>‫سبحان_دارو (تقدم)</t>
  </si>
  <si>
    <t>‫سيمان آبيك</t>
  </si>
  <si>
    <t>‫سيمان اروميه</t>
  </si>
  <si>
    <t>‫سيمان تهران</t>
  </si>
  <si>
    <t>‫سيمان ساوه</t>
  </si>
  <si>
    <t>‫سيمان سپاهان</t>
  </si>
  <si>
    <t>‫سيمان شمال</t>
  </si>
  <si>
    <t>‫شيشه همدان</t>
  </si>
  <si>
    <t>‫شيشه و گاز</t>
  </si>
  <si>
    <t>‫شیشه قزوین</t>
  </si>
  <si>
    <t>‫صبا فولاد خليج فارس</t>
  </si>
  <si>
    <t>‫صنايع ارتباطي آوا</t>
  </si>
  <si>
    <t>‫صنعتي آما</t>
  </si>
  <si>
    <t>‫صنعتي بارز</t>
  </si>
  <si>
    <t>‫صنعتي سپاهان</t>
  </si>
  <si>
    <t>‫فرآورده هاي دامي ولبني دالاهو</t>
  </si>
  <si>
    <t>‫فن آوران</t>
  </si>
  <si>
    <t>‫قاسم ايران</t>
  </si>
  <si>
    <t>‫قند هكمتان</t>
  </si>
  <si>
    <t>‫قند چهار محال</t>
  </si>
  <si>
    <t>‫كاشي الوند</t>
  </si>
  <si>
    <t>‫كاشي وسراميك سينا</t>
  </si>
  <si>
    <t>‫كاشي پارس</t>
  </si>
  <si>
    <t>‫كاني كربن طبس</t>
  </si>
  <si>
    <t>‫كربن</t>
  </si>
  <si>
    <t>‫كشت و دام قيام اصفهان</t>
  </si>
  <si>
    <t>‫كشت و دامداري فكا</t>
  </si>
  <si>
    <t>‫كوير تاير</t>
  </si>
  <si>
    <t>‫لاستيك سهند</t>
  </si>
  <si>
    <t>‫مجتمع صنايع لاستيك يزد</t>
  </si>
  <si>
    <t>‫مديريت نيروگاهي ايرانيان مپنا</t>
  </si>
  <si>
    <t>‫ملي شيمي كشاورز</t>
  </si>
  <si>
    <t>‫مهرام</t>
  </si>
  <si>
    <t>‫مهرمام ميهن</t>
  </si>
  <si>
    <t>‫موتورسازان</t>
  </si>
  <si>
    <t>‫موتوژن</t>
  </si>
  <si>
    <t>‫مگسال</t>
  </si>
  <si>
    <t>‫نساجي بابكان</t>
  </si>
  <si>
    <t>‫نساجي هديه البرز مشهد</t>
  </si>
  <si>
    <t>‫نفت اصفهان</t>
  </si>
  <si>
    <t>‫نفت بندر عباس</t>
  </si>
  <si>
    <t>‫نورد قطعات</t>
  </si>
  <si>
    <t>‫نيروترانس</t>
  </si>
  <si>
    <t>‫نگين طبس</t>
  </si>
  <si>
    <t>‫پارس فولاد سبزوار</t>
  </si>
  <si>
    <t>‫پاکدیس</t>
  </si>
  <si>
    <t>‫پتروشيمی پردیس</t>
  </si>
  <si>
    <t>‫پخش هجرت</t>
  </si>
  <si>
    <t>‫پرتو بار فرابر خليج فارس</t>
  </si>
  <si>
    <t>‫چادرملو</t>
  </si>
  <si>
    <t>‫گروه انتخاب الكترونيك آرمان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</si>
  <si>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</si>
  <si>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</si>
  <si>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</si>
  <si>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</si>
  <si>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</si>
  <si>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</si>
  <si>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</si>
  <si>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محتشم-17550-4/11/08</t>
  </si>
  <si>
    <t>‫1404/11/08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</si>
  <si>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</si>
  <si>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</si>
  <si>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</si>
  <si>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</si>
  <si>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</si>
  <si>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</si>
  <si>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</si>
  <si>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</si>
  <si>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</si>
  <si>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</si>
  <si>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</si>
  <si>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</si>
  <si>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</si>
  <si>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</si>
  <si>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</si>
  <si>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</si>
  <si>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</si>
  <si>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</si>
  <si>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</si>
  <si>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</si>
  <si>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</si>
  <si>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</si>
  <si>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</si>
  <si>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</si>
  <si>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‫نرخ سود علی الحساب</t>
  </si>
  <si>
    <t>‫مبلغ</t>
  </si>
  <si>
    <t>‫افزایش</t>
  </si>
  <si>
    <t>‫کاهش</t>
  </si>
  <si>
    <t>‫سپرده بانکی نزد بانک آينده</t>
  </si>
  <si>
    <t>‫سپرده بانکی نزد بانک خاورميانه</t>
  </si>
  <si>
    <t>‫سپرده بانکی نزد بانک دي</t>
  </si>
  <si>
    <t>‫سپرده بانکی نزد بانک سامان</t>
  </si>
  <si>
    <t>‫سپرده بانکی نزد بانک سپه</t>
  </si>
  <si>
    <t>‫سپرده بانکی نزد بانک ملت</t>
  </si>
  <si>
    <t>‫سپرده بانکی نزد بانک پاسارگاد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</si>
  <si>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</si>
  <si>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</si>
  <si>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</si>
  <si>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</si>
  <si>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</si>
  <si>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</si>
  <si>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</si>
  <si>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</si>
  <si>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</si>
  <si>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</si>
  <si>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</si>
  <si>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</si>
  <si>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</si>
  <si>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</si>
  <si>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</si>
  <si>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</si>
  <si>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</si>
  <si>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</si>
  <si>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</si>
  <si>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‫1403/02/24</t>
  </si>
  <si>
    <t>‫1403/10/27</t>
  </si>
  <si>
    <t>‫1403/05/23</t>
  </si>
  <si>
    <t>‫بهمن دیزل</t>
  </si>
  <si>
    <t>‫1403/03/30</t>
  </si>
  <si>
    <t>‫1403/04/23</t>
  </si>
  <si>
    <t>‫بيمه زندگي كاريزما50%تاديه</t>
  </si>
  <si>
    <t>‫1403/04/11</t>
  </si>
  <si>
    <t>‫1403/04/16</t>
  </si>
  <si>
    <t>‫تراكتور سازي</t>
  </si>
  <si>
    <t>‫1403/04/17</t>
  </si>
  <si>
    <t>‫1403/03/19</t>
  </si>
  <si>
    <t>‫1403/04/27</t>
  </si>
  <si>
    <t>‫1403/12/20</t>
  </si>
  <si>
    <t>‫1403/12/22</t>
  </si>
  <si>
    <t>‫توليدي و صنعتي گوهرفام</t>
  </si>
  <si>
    <t>‫1403/03/01</t>
  </si>
  <si>
    <t>‫1403/04/28</t>
  </si>
  <si>
    <t>‫1403/09/28</t>
  </si>
  <si>
    <t>‫1403/03/22</t>
  </si>
  <si>
    <t>‫1403/03/07</t>
  </si>
  <si>
    <t>‫دارويي ره آورد تامين</t>
  </si>
  <si>
    <t>‫1403/02/18</t>
  </si>
  <si>
    <t>‫دانش بنيان پويا نيرو</t>
  </si>
  <si>
    <t>‫1403/10/08</t>
  </si>
  <si>
    <t>‫دوده صنعتي پارس</t>
  </si>
  <si>
    <t>‫1403/04/13</t>
  </si>
  <si>
    <t>‫1403/03/09</t>
  </si>
  <si>
    <t>‫1403/12/25</t>
  </si>
  <si>
    <t>‫1403/03/13</t>
  </si>
  <si>
    <t>‫1403/04/31</t>
  </si>
  <si>
    <t>‫1403/02/30</t>
  </si>
  <si>
    <t>‫1403/12/23</t>
  </si>
  <si>
    <t>‫سيمان هگمتان</t>
  </si>
  <si>
    <t>‫1403/02/26</t>
  </si>
  <si>
    <t>‫شركت خميرمايه رضوي</t>
  </si>
  <si>
    <t>‫1403/07/28</t>
  </si>
  <si>
    <t>‫شيميايي ايران</t>
  </si>
  <si>
    <t>‫1402/12/28</t>
  </si>
  <si>
    <t>‫ص. معدني كيمياي زنجان گستران</t>
  </si>
  <si>
    <t>‫1403/01/29</t>
  </si>
  <si>
    <t>‫1403/04/30</t>
  </si>
  <si>
    <t>‫صنعتي زر ماكارون</t>
  </si>
  <si>
    <t>‫صنعتي مينو</t>
  </si>
  <si>
    <t>‫1403/03/23</t>
  </si>
  <si>
    <t>‫فرآوري زغال سنگ پروده طبس</t>
  </si>
  <si>
    <t>‫1403/04/03</t>
  </si>
  <si>
    <t>‫فنر خاور</t>
  </si>
  <si>
    <t>‫1403/02/31</t>
  </si>
  <si>
    <t>‫فولاد ارفع</t>
  </si>
  <si>
    <t>‫1403/03/12</t>
  </si>
  <si>
    <t>‫فولاد اميركبير</t>
  </si>
  <si>
    <t>‫1403/03/06</t>
  </si>
  <si>
    <t>‫فولاد شاهرود</t>
  </si>
  <si>
    <t>‫فولاد كاوه</t>
  </si>
  <si>
    <t>‫1403/03/31</t>
  </si>
  <si>
    <t>‫1403/03/02</t>
  </si>
  <si>
    <t>‫1403/03/26</t>
  </si>
  <si>
    <t>‫1403/04/24</t>
  </si>
  <si>
    <t>‫1403/04/02</t>
  </si>
  <si>
    <t>‫1403/12/05</t>
  </si>
  <si>
    <t>‫1403/04/19</t>
  </si>
  <si>
    <t>‫1403/04/12</t>
  </si>
  <si>
    <t>‫محصولات كاغذي لطيف</t>
  </si>
  <si>
    <t>‫1403/10/30</t>
  </si>
  <si>
    <t>‫1403/09/25</t>
  </si>
  <si>
    <t>‫نشاسته و گلوكز آردينه</t>
  </si>
  <si>
    <t>‫1403/04/04</t>
  </si>
  <si>
    <t>‫1403/12/06</t>
  </si>
  <si>
    <t>‫1403/02/17</t>
  </si>
  <si>
    <t>‫1403/12/27</t>
  </si>
  <si>
    <t>‫سود اوراق بهادار با درآمد ثابت و سپرده بانکی</t>
  </si>
  <si>
    <t>‫تاریخ دریافت سود</t>
  </si>
  <si>
    <t>‫درآمد سود</t>
  </si>
  <si>
    <t>‫خالص درآمد</t>
  </si>
  <si>
    <t>‫صكوك مرابحه پتاير703-بدون ضامن</t>
  </si>
  <si>
    <t>‫1404/03/06</t>
  </si>
  <si>
    <t>‫1407/03/06</t>
  </si>
  <si>
    <t>‫26</t>
  </si>
  <si>
    <t>‫سود(زیان) حاصل از فروش اوراق بهادار</t>
  </si>
  <si>
    <t>‫ارزش دفتری</t>
  </si>
  <si>
    <t>‫سود و زیان ناشی از فروش</t>
  </si>
  <si>
    <t>‫ايران خودرو ديزل</t>
  </si>
  <si>
    <t>‫تجهيزات ‌هپكو</t>
  </si>
  <si>
    <t>‫جنرال مكانيك</t>
  </si>
  <si>
    <t>‫ريل سير كوثر</t>
  </si>
  <si>
    <t>‫فروسيليس</t>
  </si>
  <si>
    <t>‫فنرسازي زر</t>
  </si>
  <si>
    <t>‫فولاد سيرجان ايرانيان</t>
  </si>
  <si>
    <t>‫كالسيمين</t>
  </si>
  <si>
    <t>‫كشتيراني ايران</t>
  </si>
  <si>
    <t>‫مس شهيد باهنر</t>
  </si>
  <si>
    <t>‫پشم شيشه</t>
  </si>
  <si>
    <t>‫پويا زركان آق دره</t>
  </si>
  <si>
    <t>‫گلتاش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</si>
  <si>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</si>
  <si>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</si>
  <si>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</si>
  <si>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</si>
  <si>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</si>
  <si>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</si>
  <si>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</si>
  <si>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</si>
  <si>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</si>
  <si>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</si>
  <si>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</si>
  <si>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‫بهمن ديزل</t>
  </si>
  <si>
    <t>‫شيشه قزوين</t>
  </si>
  <si>
    <t>‫پاكديس</t>
  </si>
  <si>
    <t>‫پتروشيمي پرديس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</si>
  <si>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</si>
  <si>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</si>
  <si>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</si>
  <si>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</si>
  <si>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</si>
  <si>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</si>
  <si>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</si>
  <si>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</si>
  <si>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‫كاريزما</t>
  </si>
  <si>
    <t>صندوق سرمایه گذاری  مشترک کاریزما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</si>
  <si>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</si>
  <si>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30 اسفند 1403</t>
  </si>
  <si>
    <t>‫%22</t>
  </si>
  <si>
    <t>‫3-1- سرمایه گذاری در 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</si>
  <si>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</si>
  <si>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</si>
  <si>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</si>
  <si>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</si>
  <si>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</si>
  <si>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</si>
  <si>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 xml:space="preserve">‫سود اوراق بهادار با درآمد ثابت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</si>
</sst>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b/>
      <sz val="14"/>
      <name val="B Nazanin"/>
      <charset val="178"/>
    </font>
    <font>
      <sz val="22"/>
      <color rgb="FFFF0000"/>
      <name val="B Nazanin"/>
      <charset val="178"/>
    </font>
    <font>
      <b/>
      <sz val="22"/>
      <color rgb="FFFF0000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1"/>
      <color indexed="8"/>
      <name val="B Nazanin"/>
      <charset val="178"/>
    </font>
    <font>
      <b/>
      <sz val="12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46">
    <xf numFmtId="0" fontId="0" fillId="0" borderId="0" xfId="0"/>
    <xf numFmtId="0" fontId="2" fillId="3" borderId="6" xfId="1" applyFont="1" applyFill="1"/>
    <xf numFmtId="0" fontId="7" fillId="3" borderId="6" xfId="1" applyFont="1" applyFill="1" applyAlignment="1">
      <alignment horizontal="center"/>
    </xf>
    <xf numFmtId="0" fontId="7" fillId="3" borderId="6" xfId="1" applyFont="1" applyFill="1"/>
    <xf numFmtId="0" fontId="12" fillId="0" borderId="0" xfId="0" applyFont="1"/>
    <xf numFmtId="37" fontId="13" fillId="0" borderId="0" xfId="0" applyNumberFormat="1" applyFont="1" applyAlignment="1">
      <alignment horizontal="right" vertical="center"/>
    </xf>
    <xf numFmtId="37" fontId="13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7" fontId="14" fillId="0" borderId="0" xfId="0" applyNumberFormat="1" applyFont="1" applyAlignment="1">
      <alignment horizontal="center" vertical="center" wrapText="1"/>
    </xf>
    <xf numFmtId="37" fontId="14" fillId="0" borderId="1" xfId="0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right" vertical="center" wrapText="1"/>
    </xf>
    <xf numFmtId="37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37" fontId="14" fillId="0" borderId="3" xfId="0" applyNumberFormat="1" applyFont="1" applyBorder="1" applyAlignment="1">
      <alignment horizontal="center" vertical="center"/>
    </xf>
    <xf numFmtId="10" fontId="14" fillId="0" borderId="3" xfId="0" applyNumberFormat="1" applyFont="1" applyBorder="1" applyAlignment="1">
      <alignment horizontal="center" vertical="center"/>
    </xf>
    <xf numFmtId="37" fontId="14" fillId="0" borderId="4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/>
    </xf>
    <xf numFmtId="3" fontId="12" fillId="0" borderId="0" xfId="0" applyNumberFormat="1" applyFont="1"/>
    <xf numFmtId="37" fontId="0" fillId="0" borderId="0" xfId="0" applyNumberFormat="1" applyAlignment="1">
      <alignment horizontal="right" vertical="center" wrapText="1"/>
    </xf>
    <xf numFmtId="37" fontId="12" fillId="0" borderId="0" xfId="0" applyNumberFormat="1" applyFont="1" applyAlignment="1">
      <alignment horizontal="center" vertical="center" wrapText="1"/>
    </xf>
    <xf numFmtId="0" fontId="9" fillId="3" borderId="6" xfId="1" applyFont="1" applyFill="1" applyAlignment="1">
      <alignment horizontal="center" vertical="center" wrapText="1"/>
    </xf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10" fillId="3" borderId="6" xfId="1" applyFont="1" applyFill="1" applyAlignment="1">
      <alignment horizontal="center" vertical="center" wrapText="1"/>
    </xf>
    <xf numFmtId="0" fontId="8" fillId="3" borderId="6" xfId="1" applyFont="1" applyFill="1" applyAlignment="1">
      <alignment horizontal="center"/>
    </xf>
    <xf numFmtId="37" fontId="13" fillId="0" borderId="1" xfId="0" applyNumberFormat="1" applyFont="1" applyBorder="1" applyAlignment="1">
      <alignment horizontal="center" vertical="center"/>
    </xf>
    <xf numFmtId="0" fontId="12" fillId="2" borderId="2" xfId="0" applyFont="1" applyFill="1" applyBorder="1"/>
    <xf numFmtId="0" fontId="14" fillId="0" borderId="0" xfId="0" applyFont="1" applyAlignment="1">
      <alignment horizontal="center" vertical="center"/>
    </xf>
    <xf numFmtId="37" fontId="14" fillId="0" borderId="1" xfId="0" applyNumberFormat="1" applyFont="1" applyBorder="1" applyAlignment="1">
      <alignment horizontal="center" vertical="center"/>
    </xf>
    <xf numFmtId="0" fontId="12" fillId="0" borderId="0" xfId="0" applyFont="1"/>
    <xf numFmtId="37" fontId="14" fillId="0" borderId="0" xfId="0" applyNumberFormat="1" applyFont="1" applyAlignment="1">
      <alignment horizontal="center" vertical="center" wrapText="1"/>
    </xf>
    <xf numFmtId="37" fontId="11" fillId="0" borderId="0" xfId="0" applyNumberFormat="1" applyFont="1" applyAlignment="1">
      <alignment horizontal="center" vertical="center"/>
    </xf>
    <xf numFmtId="37" fontId="13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2" fillId="0" borderId="4" xfId="0" applyNumberFormat="1" applyFont="1" applyBorder="1" applyAlignment="1">
      <alignment horizontal="center" vertical="center"/>
    </xf>
    <xf numFmtId="37" fontId="16" fillId="0" borderId="0" xfId="0" applyNumberFormat="1" applyFont="1" applyAlignment="1">
      <alignment horizontal="right" vertical="center"/>
    </xf>
    <xf numFmtId="0" fontId="16" fillId="0" borderId="0" xfId="0" applyFont="1"/>
    <xf numFmtId="37" fontId="15" fillId="0" borderId="0" xfId="0" applyNumberFormat="1" applyFont="1" applyAlignment="1">
      <alignment horizontal="right" vertical="center"/>
    </xf>
    <xf numFmtId="0" fontId="15" fillId="0" borderId="0" xfId="0" applyFont="1"/>
    <xf numFmtId="37" fontId="14" fillId="0" borderId="5" xfId="0" applyNumberFormat="1" applyFont="1" applyBorder="1" applyAlignment="1">
      <alignment horizontal="center" vertical="center"/>
    </xf>
    <xf numFmtId="0" fontId="12" fillId="2" borderId="7" xfId="0" applyFont="1" applyFill="1" applyBorder="1"/>
    <xf numFmtId="0" fontId="12" fillId="2" borderId="8" xfId="0" applyFont="1" applyFill="1" applyBorder="1"/>
    <xf numFmtId="37" fontId="12" fillId="0" borderId="0" xfId="0" applyNumberFormat="1" applyFont="1"/>
  </cellXfs>
  <cellStyles count="2">
    <cellStyle name="Normal" xfId="0" builtinId="0"/>
    <cellStyle name="Normal 2" xfId="1" xr:uid="{8C0157FE-CBC9-43F8-A4C6-A37265EFD8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view="pageBreakPreview" zoomScale="60" zoomScaleNormal="100" workbookViewId="0">
      <selection sqref="A1:W1"/>
    </sheetView>
  </sheetViews>
  <sheetFormatPr defaultRowHeight="15" x14ac:dyDescent="0.25"/>
  <sheetData>
    <row r="1" spans="1:11" ht="18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2" t="s">
        <v>281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</row>
    <row r="9" spans="1:11" ht="43.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11" x14ac:dyDescent="0.25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3"/>
    </row>
    <row r="11" spans="1:1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30" x14ac:dyDescent="0.75">
      <c r="A13" s="1"/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11" ht="25.5" x14ac:dyDescent="0.6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" customHeight="1" x14ac:dyDescent="0.25">
      <c r="A15" s="26" t="s">
        <v>283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 ht="1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ht="1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1:11" ht="1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ht="1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spans="1:11" ht="4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spans="1:11" ht="18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9.950000000000003" customHeight="1" x14ac:dyDescent="0.65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39.950000000000003" customHeight="1" x14ac:dyDescent="0.6">
      <c r="A23" s="1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39.950000000000003" customHeight="1" x14ac:dyDescent="0.65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21" t="s">
        <v>282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8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"/>
  <sheetViews>
    <sheetView rightToLeft="1" view="pageBreakPreview" topLeftCell="A79" zoomScale="89" zoomScaleNormal="100" zoomScaleSheetLayoutView="89" workbookViewId="0">
      <selection activeCell="Q98" sqref="Q98:U101"/>
    </sheetView>
  </sheetViews>
  <sheetFormatPr defaultRowHeight="18" x14ac:dyDescent="0.45"/>
  <cols>
    <col min="1" max="1" width="17.5703125" style="4" bestFit="1" customWidth="1"/>
    <col min="2" max="2" width="1.42578125" style="4" customWidth="1"/>
    <col min="3" max="3" width="14" style="4" bestFit="1" customWidth="1"/>
    <col min="4" max="4" width="1.42578125" style="4" customWidth="1"/>
    <col min="5" max="5" width="19.7109375" style="4" bestFit="1" customWidth="1"/>
    <col min="6" max="6" width="1.42578125" style="4" customWidth="1"/>
    <col min="7" max="7" width="19.42578125" style="4" bestFit="1" customWidth="1"/>
    <col min="8" max="8" width="1.42578125" style="4" customWidth="1"/>
    <col min="9" max="9" width="11.28515625" style="4" bestFit="1" customWidth="1"/>
    <col min="10" max="10" width="15.42578125" style="4" bestFit="1" customWidth="1"/>
    <col min="11" max="11" width="1.42578125" style="4" customWidth="1"/>
    <col min="12" max="12" width="11.5703125" style="4" bestFit="1" customWidth="1"/>
    <col min="13" max="13" width="18" style="4" bestFit="1" customWidth="1"/>
    <col min="14" max="14" width="1.42578125" style="4" customWidth="1"/>
    <col min="15" max="15" width="13.7109375" style="4" bestFit="1" customWidth="1"/>
    <col min="16" max="16" width="1.42578125" style="4" customWidth="1"/>
    <col min="17" max="17" width="14.85546875" style="4" bestFit="1" customWidth="1"/>
    <col min="18" max="18" width="1.42578125" style="4" customWidth="1"/>
    <col min="19" max="19" width="19.7109375" style="4" bestFit="1" customWidth="1"/>
    <col min="20" max="20" width="1.42578125" style="4" customWidth="1"/>
    <col min="21" max="21" width="19.7109375" style="4" bestFit="1" customWidth="1"/>
    <col min="22" max="22" width="1.42578125" style="4" customWidth="1"/>
    <col min="23" max="23" width="17.28515625" style="4" bestFit="1" customWidth="1"/>
    <col min="24" max="16384" width="9.140625" style="4"/>
  </cols>
  <sheetData>
    <row r="1" spans="1:26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6" ht="20.100000000000001" customHeight="1" x14ac:dyDescent="0.4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6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5" spans="1:26" ht="21" x14ac:dyDescent="0.45">
      <c r="A5" s="35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6" ht="21" x14ac:dyDescent="0.45">
      <c r="A6" s="35" t="s">
        <v>4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6" x14ac:dyDescent="0.45">
      <c r="Z7" s="18"/>
    </row>
    <row r="8" spans="1:26" ht="21" x14ac:dyDescent="0.45">
      <c r="C8" s="28" t="s">
        <v>5</v>
      </c>
      <c r="D8" s="29"/>
      <c r="E8" s="29"/>
      <c r="F8" s="29"/>
      <c r="G8" s="29"/>
      <c r="I8" s="28" t="s">
        <v>6</v>
      </c>
      <c r="J8" s="29"/>
      <c r="K8" s="29"/>
      <c r="L8" s="29"/>
      <c r="M8" s="29"/>
      <c r="O8" s="28" t="s">
        <v>7</v>
      </c>
      <c r="P8" s="29"/>
      <c r="Q8" s="29"/>
      <c r="R8" s="29"/>
      <c r="S8" s="29"/>
      <c r="T8" s="29"/>
      <c r="U8" s="29"/>
      <c r="V8" s="29"/>
      <c r="W8" s="29"/>
    </row>
    <row r="9" spans="1:26" ht="18.75" x14ac:dyDescent="0.45">
      <c r="A9" s="30" t="s">
        <v>8</v>
      </c>
      <c r="C9" s="30" t="s">
        <v>9</v>
      </c>
      <c r="E9" s="30" t="s">
        <v>10</v>
      </c>
      <c r="G9" s="30" t="s">
        <v>11</v>
      </c>
      <c r="I9" s="30" t="s">
        <v>12</v>
      </c>
      <c r="J9" s="32"/>
      <c r="L9" s="30" t="s">
        <v>13</v>
      </c>
      <c r="M9" s="32"/>
      <c r="O9" s="30" t="s">
        <v>9</v>
      </c>
      <c r="Q9" s="33" t="s">
        <v>14</v>
      </c>
      <c r="S9" s="30" t="s">
        <v>10</v>
      </c>
      <c r="U9" s="30" t="s">
        <v>11</v>
      </c>
      <c r="W9" s="33" t="s">
        <v>15</v>
      </c>
    </row>
    <row r="10" spans="1:26" ht="18.75" x14ac:dyDescent="0.45">
      <c r="A10" s="31"/>
      <c r="C10" s="31"/>
      <c r="E10" s="31"/>
      <c r="G10" s="31"/>
      <c r="I10" s="9" t="s">
        <v>9</v>
      </c>
      <c r="J10" s="9" t="s">
        <v>10</v>
      </c>
      <c r="L10" s="9" t="s">
        <v>9</v>
      </c>
      <c r="M10" s="9" t="s">
        <v>16</v>
      </c>
      <c r="O10" s="31"/>
      <c r="Q10" s="31"/>
      <c r="S10" s="31"/>
      <c r="U10" s="31"/>
      <c r="W10" s="31"/>
    </row>
    <row r="11" spans="1:26" ht="18.75" x14ac:dyDescent="0.45">
      <c r="A11" s="10" t="s">
        <v>17</v>
      </c>
      <c r="H11" s="7"/>
      <c r="I11" s="11">
        <v>75</v>
      </c>
      <c r="J11" s="11">
        <v>4112010</v>
      </c>
      <c r="L11" s="11">
        <v>0</v>
      </c>
      <c r="M11" s="11">
        <v>0</v>
      </c>
      <c r="O11" s="11">
        <v>75</v>
      </c>
      <c r="Q11" s="11">
        <v>64170</v>
      </c>
      <c r="S11" s="11">
        <v>4112010</v>
      </c>
      <c r="U11" s="11">
        <v>4784114</v>
      </c>
      <c r="W11" s="12">
        <v>1.7021684876266823E-6</v>
      </c>
    </row>
    <row r="12" spans="1:26" ht="37.5" x14ac:dyDescent="0.45">
      <c r="A12" s="10" t="s">
        <v>18</v>
      </c>
      <c r="C12" s="11">
        <v>50000</v>
      </c>
      <c r="E12" s="11">
        <v>1000908000</v>
      </c>
      <c r="G12" s="11">
        <v>1458768375</v>
      </c>
      <c r="N12" s="7"/>
      <c r="O12" s="11">
        <v>50000</v>
      </c>
      <c r="Q12" s="11">
        <v>26250</v>
      </c>
      <c r="S12" s="11">
        <v>1000908000</v>
      </c>
      <c r="U12" s="11">
        <v>1304690625</v>
      </c>
      <c r="W12" s="12">
        <v>4.6420366821880933E-4</v>
      </c>
    </row>
    <row r="13" spans="1:26" ht="18.75" x14ac:dyDescent="0.45">
      <c r="A13" s="10" t="s">
        <v>19</v>
      </c>
      <c r="C13" s="11">
        <v>490000</v>
      </c>
      <c r="E13" s="11">
        <v>3658318740</v>
      </c>
      <c r="G13" s="11">
        <v>4505531625</v>
      </c>
      <c r="I13" s="11">
        <v>0</v>
      </c>
      <c r="J13" s="11">
        <v>0</v>
      </c>
      <c r="L13" s="11">
        <v>245000</v>
      </c>
      <c r="M13" s="11">
        <v>2026385896</v>
      </c>
      <c r="O13" s="11">
        <v>245000</v>
      </c>
      <c r="Q13" s="11">
        <v>7130</v>
      </c>
      <c r="S13" s="11">
        <v>1829159370</v>
      </c>
      <c r="U13" s="11">
        <v>1736456242</v>
      </c>
      <c r="W13" s="12">
        <v>6.178241353101227E-4</v>
      </c>
    </row>
    <row r="14" spans="1:26" ht="18.75" x14ac:dyDescent="0.45">
      <c r="A14" s="10" t="s">
        <v>20</v>
      </c>
      <c r="C14" s="11">
        <v>7200000</v>
      </c>
      <c r="E14" s="11">
        <v>26880852400</v>
      </c>
      <c r="G14" s="11">
        <v>32529292200</v>
      </c>
      <c r="I14" s="11">
        <v>0</v>
      </c>
      <c r="J14" s="11">
        <v>0</v>
      </c>
      <c r="L14" s="11">
        <v>352913</v>
      </c>
      <c r="M14" s="11">
        <v>1568252307</v>
      </c>
      <c r="O14" s="11">
        <v>6847087</v>
      </c>
      <c r="Q14" s="11">
        <v>4304</v>
      </c>
      <c r="S14" s="11">
        <v>25563268752</v>
      </c>
      <c r="U14" s="11">
        <v>29294516766</v>
      </c>
      <c r="W14" s="12">
        <v>1.0422871047666654E-2</v>
      </c>
    </row>
    <row r="15" spans="1:26" ht="18.75" x14ac:dyDescent="0.45">
      <c r="A15" s="10" t="s">
        <v>21</v>
      </c>
      <c r="C15" s="11">
        <v>1895580</v>
      </c>
      <c r="E15" s="11">
        <v>18383781995</v>
      </c>
      <c r="G15" s="11">
        <v>16204991171</v>
      </c>
      <c r="N15" s="7"/>
      <c r="O15" s="11">
        <v>1895580</v>
      </c>
      <c r="Q15" s="11">
        <v>8340</v>
      </c>
      <c r="S15" s="11">
        <v>18383781995</v>
      </c>
      <c r="U15" s="11">
        <v>15715072834</v>
      </c>
      <c r="W15" s="12">
        <v>5.5913596036367315E-3</v>
      </c>
    </row>
    <row r="16" spans="1:26" ht="18.75" x14ac:dyDescent="0.45">
      <c r="A16" s="10" t="s">
        <v>22</v>
      </c>
      <c r="C16" s="11">
        <v>9122038</v>
      </c>
      <c r="E16" s="11">
        <v>59852415985</v>
      </c>
      <c r="G16" s="11">
        <v>54225216006</v>
      </c>
      <c r="N16" s="7"/>
      <c r="O16" s="11">
        <v>15134677</v>
      </c>
      <c r="Q16" s="11">
        <v>3176</v>
      </c>
      <c r="S16" s="11">
        <v>59852415985</v>
      </c>
      <c r="U16" s="11">
        <v>47781731134</v>
      </c>
      <c r="W16" s="12">
        <v>1.7000547441082203E-2</v>
      </c>
    </row>
    <row r="17" spans="1:23" ht="18.75" x14ac:dyDescent="0.45">
      <c r="A17" s="10" t="s">
        <v>23</v>
      </c>
      <c r="C17" s="11">
        <v>2391471</v>
      </c>
      <c r="E17" s="11">
        <v>33153448591</v>
      </c>
      <c r="G17" s="11">
        <v>39937661359</v>
      </c>
      <c r="N17" s="7"/>
      <c r="O17" s="11">
        <v>2391471</v>
      </c>
      <c r="Q17" s="11">
        <v>15790</v>
      </c>
      <c r="S17" s="11">
        <v>33153448591</v>
      </c>
      <c r="U17" s="11">
        <v>37536647194</v>
      </c>
      <c r="W17" s="12">
        <v>1.3355387849199941E-2</v>
      </c>
    </row>
    <row r="18" spans="1:23" ht="18.75" x14ac:dyDescent="0.45">
      <c r="A18" s="10" t="s">
        <v>24</v>
      </c>
      <c r="C18" s="11">
        <v>14800000</v>
      </c>
      <c r="E18" s="11">
        <v>26960996608</v>
      </c>
      <c r="G18" s="11">
        <v>37397751480</v>
      </c>
      <c r="N18" s="7"/>
      <c r="O18" s="11">
        <v>14800000</v>
      </c>
      <c r="Q18" s="11">
        <v>2433</v>
      </c>
      <c r="S18" s="11">
        <v>26960996608</v>
      </c>
      <c r="U18" s="11">
        <v>35794150020</v>
      </c>
      <c r="W18" s="12">
        <v>1.2735414374621085E-2</v>
      </c>
    </row>
    <row r="19" spans="1:23" ht="18.75" x14ac:dyDescent="0.45">
      <c r="A19" s="10" t="s">
        <v>25</v>
      </c>
      <c r="C19" s="11">
        <v>500000</v>
      </c>
      <c r="E19" s="11">
        <v>7186663004</v>
      </c>
      <c r="G19" s="11">
        <v>9189992250</v>
      </c>
      <c r="N19" s="7"/>
      <c r="O19" s="11">
        <v>500000</v>
      </c>
      <c r="Q19" s="11">
        <v>17760</v>
      </c>
      <c r="S19" s="11">
        <v>7186663004</v>
      </c>
      <c r="U19" s="11">
        <v>8827164000</v>
      </c>
      <c r="W19" s="12">
        <v>3.140669389548973E-3</v>
      </c>
    </row>
    <row r="20" spans="1:23" ht="18.75" x14ac:dyDescent="0.45">
      <c r="A20" s="10" t="s">
        <v>26</v>
      </c>
      <c r="C20" s="11">
        <v>3500000</v>
      </c>
      <c r="E20" s="11">
        <v>8582786100</v>
      </c>
      <c r="G20" s="11">
        <v>9543377025</v>
      </c>
      <c r="I20" s="11">
        <v>0</v>
      </c>
      <c r="J20" s="11">
        <v>0</v>
      </c>
      <c r="L20" s="11">
        <v>1750000</v>
      </c>
      <c r="M20" s="11">
        <v>5210064626</v>
      </c>
      <c r="O20" s="11">
        <v>1750000</v>
      </c>
      <c r="Q20" s="11">
        <v>2699</v>
      </c>
      <c r="S20" s="11">
        <v>4291393050</v>
      </c>
      <c r="U20" s="11">
        <v>4695146662</v>
      </c>
      <c r="W20" s="12">
        <v>1.6705142671855238E-3</v>
      </c>
    </row>
    <row r="21" spans="1:23" ht="18.75" x14ac:dyDescent="0.45">
      <c r="A21" s="10" t="s">
        <v>27</v>
      </c>
      <c r="C21" s="11">
        <v>23109504</v>
      </c>
      <c r="E21" s="11">
        <v>47166686292</v>
      </c>
      <c r="G21" s="11">
        <v>35399855777</v>
      </c>
      <c r="N21" s="7"/>
      <c r="O21" s="11">
        <v>23109504</v>
      </c>
      <c r="Q21" s="11">
        <v>1288</v>
      </c>
      <c r="S21" s="11">
        <v>47166686292</v>
      </c>
      <c r="U21" s="11">
        <v>29587939157</v>
      </c>
      <c r="W21" s="12">
        <v>1.0527269552285121E-2</v>
      </c>
    </row>
    <row r="22" spans="1:23" ht="18.75" x14ac:dyDescent="0.45">
      <c r="A22" s="10" t="s">
        <v>28</v>
      </c>
      <c r="C22" s="11">
        <v>1562500</v>
      </c>
      <c r="E22" s="11">
        <v>3937321845</v>
      </c>
      <c r="G22" s="11">
        <v>4886377031</v>
      </c>
      <c r="N22" s="7"/>
      <c r="O22" s="11">
        <v>1562500</v>
      </c>
      <c r="Q22" s="11">
        <v>3170</v>
      </c>
      <c r="S22" s="11">
        <v>3937321845</v>
      </c>
      <c r="U22" s="11">
        <v>4923653906</v>
      </c>
      <c r="W22" s="12">
        <v>1.75181622402251E-3</v>
      </c>
    </row>
    <row r="23" spans="1:23" ht="18.75" x14ac:dyDescent="0.45">
      <c r="A23" s="10" t="s">
        <v>29</v>
      </c>
      <c r="C23" s="11">
        <v>17649580</v>
      </c>
      <c r="E23" s="11">
        <v>86727088578</v>
      </c>
      <c r="G23" s="11">
        <v>87722824995</v>
      </c>
      <c r="I23" s="11">
        <v>0</v>
      </c>
      <c r="J23" s="11">
        <v>0</v>
      </c>
      <c r="L23" s="11">
        <v>1422319</v>
      </c>
      <c r="M23" s="11">
        <v>7022684680</v>
      </c>
      <c r="O23" s="11">
        <v>22718165</v>
      </c>
      <c r="Q23" s="11">
        <v>3538</v>
      </c>
      <c r="S23" s="11">
        <v>79738050544</v>
      </c>
      <c r="U23" s="11">
        <v>79898625407</v>
      </c>
      <c r="W23" s="12">
        <v>2.8427609035337368E-2</v>
      </c>
    </row>
    <row r="24" spans="1:23" ht="18.75" x14ac:dyDescent="0.45">
      <c r="A24" s="10" t="s">
        <v>30</v>
      </c>
      <c r="C24" s="11">
        <v>22541064</v>
      </c>
      <c r="E24" s="11">
        <v>85773902385</v>
      </c>
      <c r="G24" s="11">
        <v>152591293197</v>
      </c>
      <c r="N24" s="7"/>
      <c r="O24" s="11">
        <v>22541064</v>
      </c>
      <c r="Q24" s="11">
        <v>6250</v>
      </c>
      <c r="S24" s="11">
        <v>85773902385</v>
      </c>
      <c r="U24" s="11">
        <v>140043404182</v>
      </c>
      <c r="W24" s="12">
        <v>4.9826879020559947E-2</v>
      </c>
    </row>
    <row r="25" spans="1:23" ht="18.75" x14ac:dyDescent="0.45">
      <c r="A25" s="10" t="s">
        <v>31</v>
      </c>
      <c r="C25" s="11">
        <v>1700000</v>
      </c>
      <c r="E25" s="11">
        <v>17193606879</v>
      </c>
      <c r="G25" s="11">
        <v>23371109550</v>
      </c>
      <c r="N25" s="7"/>
      <c r="O25" s="11">
        <v>4754687</v>
      </c>
      <c r="Q25" s="11">
        <v>4624</v>
      </c>
      <c r="S25" s="11">
        <v>17193606879</v>
      </c>
      <c r="U25" s="11">
        <v>21854857936</v>
      </c>
      <c r="W25" s="12">
        <v>7.7758704078157654E-3</v>
      </c>
    </row>
    <row r="26" spans="1:23" ht="18.75" x14ac:dyDescent="0.45">
      <c r="A26" s="10" t="s">
        <v>32</v>
      </c>
      <c r="C26" s="11">
        <v>739629</v>
      </c>
      <c r="E26" s="11">
        <v>28093812443</v>
      </c>
      <c r="G26" s="11">
        <v>19115933394</v>
      </c>
      <c r="N26" s="7"/>
      <c r="O26" s="11">
        <v>739629</v>
      </c>
      <c r="Q26" s="11">
        <v>24550</v>
      </c>
      <c r="S26" s="11">
        <v>28093812443</v>
      </c>
      <c r="U26" s="11">
        <v>18049852493</v>
      </c>
      <c r="W26" s="12">
        <v>6.4220648002732608E-3</v>
      </c>
    </row>
    <row r="27" spans="1:23" ht="37.5" x14ac:dyDescent="0.45">
      <c r="A27" s="10" t="s">
        <v>33</v>
      </c>
      <c r="C27" s="11">
        <v>842177</v>
      </c>
      <c r="E27" s="11">
        <v>2001916090</v>
      </c>
      <c r="G27" s="11">
        <v>5985737235</v>
      </c>
      <c r="N27" s="7"/>
      <c r="O27" s="11">
        <v>842177</v>
      </c>
      <c r="Q27" s="11">
        <v>6360</v>
      </c>
      <c r="S27" s="11">
        <v>2001916090</v>
      </c>
      <c r="U27" s="11">
        <v>5324376058</v>
      </c>
      <c r="W27" s="12">
        <v>1.8943915513304191E-3</v>
      </c>
    </row>
    <row r="28" spans="1:23" ht="37.5" x14ac:dyDescent="0.45">
      <c r="A28" s="10" t="s">
        <v>34</v>
      </c>
      <c r="C28" s="11">
        <v>571500</v>
      </c>
      <c r="E28" s="11">
        <v>24246395748</v>
      </c>
      <c r="G28" s="11">
        <v>29683202794</v>
      </c>
      <c r="I28" s="11">
        <v>0</v>
      </c>
      <c r="J28" s="11">
        <v>0</v>
      </c>
      <c r="L28" s="11">
        <v>285000</v>
      </c>
      <c r="M28" s="11">
        <v>13584438845</v>
      </c>
      <c r="O28" s="11">
        <v>286500</v>
      </c>
      <c r="Q28" s="11">
        <v>48050</v>
      </c>
      <c r="S28" s="11">
        <v>12155017291</v>
      </c>
      <c r="U28" s="11">
        <v>13684415366</v>
      </c>
      <c r="W28" s="12">
        <v>4.8688598573528039E-3</v>
      </c>
    </row>
    <row r="29" spans="1:23" ht="37.5" x14ac:dyDescent="0.45">
      <c r="A29" s="10" t="s">
        <v>35</v>
      </c>
      <c r="C29" s="11">
        <v>250000</v>
      </c>
      <c r="E29" s="11">
        <v>800726400</v>
      </c>
      <c r="G29" s="11">
        <v>976902637</v>
      </c>
      <c r="N29" s="7"/>
      <c r="O29" s="11">
        <v>250000</v>
      </c>
      <c r="Q29" s="11">
        <v>3261</v>
      </c>
      <c r="S29" s="11">
        <v>800726400</v>
      </c>
      <c r="U29" s="11">
        <v>810399262</v>
      </c>
      <c r="W29" s="12">
        <v>2.8833679259572813E-4</v>
      </c>
    </row>
    <row r="30" spans="1:23" ht="37.5" x14ac:dyDescent="0.45">
      <c r="A30" s="10" t="s">
        <v>36</v>
      </c>
      <c r="C30" s="11">
        <v>6645110</v>
      </c>
      <c r="E30" s="11">
        <v>67281885372</v>
      </c>
      <c r="G30" s="11">
        <v>85476096446</v>
      </c>
      <c r="N30" s="7"/>
      <c r="O30" s="11">
        <v>6645110</v>
      </c>
      <c r="Q30" s="11">
        <v>11480</v>
      </c>
      <c r="S30" s="11">
        <v>67281885372</v>
      </c>
      <c r="U30" s="11">
        <v>75831961916</v>
      </c>
      <c r="W30" s="12">
        <v>2.6980706548448027E-2</v>
      </c>
    </row>
    <row r="31" spans="1:23" ht="18.75" x14ac:dyDescent="0.45">
      <c r="A31" s="10" t="s">
        <v>37</v>
      </c>
      <c r="C31" s="11">
        <v>1000000</v>
      </c>
      <c r="E31" s="11">
        <v>6555947400</v>
      </c>
      <c r="G31" s="11">
        <v>6401682000</v>
      </c>
      <c r="N31" s="7"/>
      <c r="O31" s="11">
        <v>1000000</v>
      </c>
      <c r="Q31" s="11">
        <v>6430</v>
      </c>
      <c r="S31" s="11">
        <v>6555947400</v>
      </c>
      <c r="U31" s="11">
        <v>6391741500</v>
      </c>
      <c r="W31" s="12">
        <v>2.2741558755405289E-3</v>
      </c>
    </row>
    <row r="32" spans="1:23" ht="18.75" x14ac:dyDescent="0.45">
      <c r="A32" s="10" t="s">
        <v>38</v>
      </c>
      <c r="C32" s="11">
        <v>31806527</v>
      </c>
      <c r="E32" s="11">
        <v>59228648705</v>
      </c>
      <c r="G32" s="11">
        <v>62475741653</v>
      </c>
      <c r="N32" s="7"/>
      <c r="O32" s="11">
        <v>31806527</v>
      </c>
      <c r="Q32" s="11">
        <v>1750</v>
      </c>
      <c r="S32" s="11">
        <v>59228648705</v>
      </c>
      <c r="U32" s="11">
        <v>55330236788</v>
      </c>
      <c r="W32" s="12">
        <v>1.968627534240534E-2</v>
      </c>
    </row>
    <row r="33" spans="1:23" ht="37.5" x14ac:dyDescent="0.45">
      <c r="A33" s="10" t="s">
        <v>39</v>
      </c>
      <c r="C33" s="11">
        <v>7329302</v>
      </c>
      <c r="E33" s="11">
        <v>54397299345</v>
      </c>
      <c r="G33" s="11">
        <v>54715551825</v>
      </c>
      <c r="N33" s="7"/>
      <c r="O33" s="11">
        <v>7329302</v>
      </c>
      <c r="Q33" s="11">
        <v>6620</v>
      </c>
      <c r="S33" s="11">
        <v>54397299345</v>
      </c>
      <c r="U33" s="11">
        <v>48231285364</v>
      </c>
      <c r="W33" s="12">
        <v>1.7160497025014623E-2</v>
      </c>
    </row>
    <row r="34" spans="1:23" ht="18.75" x14ac:dyDescent="0.45">
      <c r="A34" s="10" t="s">
        <v>40</v>
      </c>
      <c r="C34" s="11">
        <v>3929304</v>
      </c>
      <c r="E34" s="11">
        <v>65268475220</v>
      </c>
      <c r="G34" s="11">
        <v>87844245181</v>
      </c>
      <c r="I34" s="11">
        <v>0</v>
      </c>
      <c r="J34" s="11">
        <v>0</v>
      </c>
      <c r="L34" s="11">
        <v>893065</v>
      </c>
      <c r="M34" s="11">
        <v>18868003786</v>
      </c>
      <c r="O34" s="11">
        <v>3036239</v>
      </c>
      <c r="Q34" s="11">
        <v>21620</v>
      </c>
      <c r="S34" s="11">
        <v>50434043773</v>
      </c>
      <c r="U34" s="11">
        <v>65252908431</v>
      </c>
      <c r="W34" s="12">
        <v>2.3216721937904836E-2</v>
      </c>
    </row>
    <row r="35" spans="1:23" ht="18.75" x14ac:dyDescent="0.45">
      <c r="A35" s="10" t="s">
        <v>41</v>
      </c>
      <c r="C35" s="11">
        <v>2773715</v>
      </c>
      <c r="E35" s="11">
        <v>77701541135</v>
      </c>
      <c r="G35" s="11">
        <v>85390836926</v>
      </c>
      <c r="N35" s="7"/>
      <c r="O35" s="11">
        <v>2773715</v>
      </c>
      <c r="Q35" s="11">
        <v>23910</v>
      </c>
      <c r="S35" s="11">
        <v>77701541135</v>
      </c>
      <c r="U35" s="11">
        <v>65924924472</v>
      </c>
      <c r="W35" s="12">
        <v>2.3455822537967845E-2</v>
      </c>
    </row>
    <row r="36" spans="1:23" ht="37.5" x14ac:dyDescent="0.45">
      <c r="A36" s="10" t="s">
        <v>42</v>
      </c>
      <c r="C36" s="11">
        <v>272500</v>
      </c>
      <c r="E36" s="11">
        <v>5103379665</v>
      </c>
      <c r="G36" s="11">
        <v>8966082487</v>
      </c>
      <c r="N36" s="7"/>
      <c r="O36" s="11">
        <v>272500</v>
      </c>
      <c r="Q36" s="11">
        <v>27200</v>
      </c>
      <c r="S36" s="11">
        <v>5103379665</v>
      </c>
      <c r="U36" s="11">
        <v>7367898600</v>
      </c>
      <c r="W36" s="12">
        <v>2.6214686391145257E-3</v>
      </c>
    </row>
    <row r="37" spans="1:23" ht="18.75" x14ac:dyDescent="0.45">
      <c r="A37" s="10" t="s">
        <v>43</v>
      </c>
      <c r="C37" s="11">
        <v>741342</v>
      </c>
      <c r="E37" s="11">
        <v>35385653732</v>
      </c>
      <c r="G37" s="11">
        <v>43184157485</v>
      </c>
      <c r="N37" s="7"/>
      <c r="O37" s="11">
        <v>741342</v>
      </c>
      <c r="Q37" s="11">
        <v>54600</v>
      </c>
      <c r="S37" s="11">
        <v>35385653732</v>
      </c>
      <c r="U37" s="11">
        <v>40236433424</v>
      </c>
      <c r="W37" s="12">
        <v>1.4315960913310546E-2</v>
      </c>
    </row>
    <row r="38" spans="1:23" ht="18.75" x14ac:dyDescent="0.45">
      <c r="A38" s="10" t="s">
        <v>44</v>
      </c>
      <c r="C38" s="11">
        <v>19448964</v>
      </c>
      <c r="E38" s="11">
        <v>73147788635</v>
      </c>
      <c r="G38" s="11">
        <v>71223665975</v>
      </c>
      <c r="N38" s="7"/>
      <c r="O38" s="11">
        <v>27844387</v>
      </c>
      <c r="Q38" s="11">
        <v>2341</v>
      </c>
      <c r="S38" s="11">
        <v>73147788635</v>
      </c>
      <c r="U38" s="11">
        <v>64795866893</v>
      </c>
      <c r="W38" s="12">
        <v>2.3054108399949837E-2</v>
      </c>
    </row>
    <row r="39" spans="1:23" ht="37.5" x14ac:dyDescent="0.45">
      <c r="A39" s="10" t="s">
        <v>45</v>
      </c>
      <c r="C39" s="11">
        <v>6986817</v>
      </c>
      <c r="E39" s="11">
        <v>36649310457</v>
      </c>
      <c r="G39" s="11">
        <v>40421328454</v>
      </c>
      <c r="N39" s="7"/>
      <c r="O39" s="11">
        <v>13167887</v>
      </c>
      <c r="Q39" s="11">
        <v>2780</v>
      </c>
      <c r="S39" s="11">
        <v>36649310457</v>
      </c>
      <c r="U39" s="11">
        <v>36388915841</v>
      </c>
      <c r="W39" s="12">
        <v>1.294702965762304E-2</v>
      </c>
    </row>
    <row r="40" spans="1:23" ht="18.75" x14ac:dyDescent="0.45">
      <c r="A40" s="10" t="s">
        <v>46</v>
      </c>
      <c r="C40" s="11">
        <v>5641064</v>
      </c>
      <c r="E40" s="11">
        <v>27693957457</v>
      </c>
      <c r="G40" s="11">
        <v>21330928742</v>
      </c>
      <c r="N40" s="7"/>
      <c r="O40" s="11">
        <v>10258397</v>
      </c>
      <c r="Q40" s="11">
        <v>2004</v>
      </c>
      <c r="S40" s="11">
        <v>27693957457</v>
      </c>
      <c r="U40" s="11">
        <v>20435508514</v>
      </c>
      <c r="W40" s="12">
        <v>7.2708716015457758E-3</v>
      </c>
    </row>
    <row r="41" spans="1:23" ht="18.75" x14ac:dyDescent="0.45">
      <c r="A41" s="10" t="s">
        <v>47</v>
      </c>
      <c r="C41" s="11">
        <v>5568010</v>
      </c>
      <c r="E41" s="11">
        <v>18501364309</v>
      </c>
      <c r="G41" s="11">
        <v>14551200415</v>
      </c>
      <c r="I41" s="11">
        <v>0</v>
      </c>
      <c r="J41" s="11">
        <v>0</v>
      </c>
      <c r="L41" s="11">
        <v>205918</v>
      </c>
      <c r="M41" s="11">
        <v>507655266</v>
      </c>
      <c r="O41" s="11">
        <v>5362092</v>
      </c>
      <c r="Q41" s="11">
        <v>1983</v>
      </c>
      <c r="S41" s="11">
        <v>17817140693</v>
      </c>
      <c r="U41" s="11">
        <v>10569761917</v>
      </c>
      <c r="W41" s="12">
        <v>3.7606787080813691E-3</v>
      </c>
    </row>
    <row r="42" spans="1:23" ht="18.75" x14ac:dyDescent="0.45">
      <c r="A42" s="10" t="s">
        <v>48</v>
      </c>
      <c r="C42" s="11">
        <v>2596227</v>
      </c>
      <c r="E42" s="11">
        <v>6030507067</v>
      </c>
      <c r="G42" s="11">
        <v>4204089723</v>
      </c>
      <c r="N42" s="7"/>
      <c r="O42" s="11">
        <v>2596227</v>
      </c>
      <c r="Q42" s="11">
        <v>794</v>
      </c>
      <c r="S42" s="11">
        <v>6030507067</v>
      </c>
      <c r="U42" s="11">
        <v>2049138883</v>
      </c>
      <c r="W42" s="12">
        <v>7.2907535928557279E-4</v>
      </c>
    </row>
    <row r="43" spans="1:23" ht="18.75" x14ac:dyDescent="0.45">
      <c r="A43" s="10" t="s">
        <v>49</v>
      </c>
      <c r="C43" s="11">
        <v>1200000</v>
      </c>
      <c r="E43" s="11">
        <v>26312350343</v>
      </c>
      <c r="G43" s="11">
        <v>62744436000</v>
      </c>
      <c r="I43" s="11">
        <v>0</v>
      </c>
      <c r="J43" s="11">
        <v>0</v>
      </c>
      <c r="L43" s="11">
        <v>13647</v>
      </c>
      <c r="M43" s="11">
        <v>695925578</v>
      </c>
      <c r="O43" s="11">
        <v>1186353</v>
      </c>
      <c r="Q43" s="11">
        <v>48200</v>
      </c>
      <c r="S43" s="11">
        <v>26013113139</v>
      </c>
      <c r="U43" s="11">
        <v>56841980423</v>
      </c>
      <c r="W43" s="12">
        <v>2.0224147637435769E-2</v>
      </c>
    </row>
    <row r="44" spans="1:23" ht="18.75" x14ac:dyDescent="0.45">
      <c r="A44" s="10" t="s">
        <v>50</v>
      </c>
      <c r="C44" s="11">
        <v>100000</v>
      </c>
      <c r="E44" s="11">
        <v>9771059100</v>
      </c>
      <c r="G44" s="11">
        <v>9759582900</v>
      </c>
      <c r="N44" s="7"/>
      <c r="O44" s="11">
        <v>100000</v>
      </c>
      <c r="Q44" s="11">
        <v>91090</v>
      </c>
      <c r="S44" s="11">
        <v>9771059100</v>
      </c>
      <c r="U44" s="11">
        <v>9054801450</v>
      </c>
      <c r="W44" s="12">
        <v>3.221661877184864E-3</v>
      </c>
    </row>
    <row r="45" spans="1:23" ht="18.75" x14ac:dyDescent="0.45">
      <c r="A45" s="10" t="s">
        <v>51</v>
      </c>
      <c r="C45" s="11">
        <v>8299459</v>
      </c>
      <c r="E45" s="11">
        <v>52061073072</v>
      </c>
      <c r="G45" s="11">
        <v>71528169488</v>
      </c>
      <c r="I45" s="11">
        <v>0</v>
      </c>
      <c r="J45" s="11">
        <v>0</v>
      </c>
      <c r="L45" s="11">
        <v>135469</v>
      </c>
      <c r="M45" s="11">
        <v>1189073959</v>
      </c>
      <c r="O45" s="11">
        <v>8163990</v>
      </c>
      <c r="Q45" s="11">
        <v>8150</v>
      </c>
      <c r="S45" s="11">
        <v>51211299429</v>
      </c>
      <c r="U45" s="11">
        <v>66140626215</v>
      </c>
      <c r="W45" s="12">
        <v>2.3532568349138052E-2</v>
      </c>
    </row>
    <row r="46" spans="1:23" ht="18.75" x14ac:dyDescent="0.45">
      <c r="A46" s="10" t="s">
        <v>52</v>
      </c>
      <c r="C46" s="11">
        <v>6132226</v>
      </c>
      <c r="E46" s="11">
        <v>33634689923</v>
      </c>
      <c r="G46" s="11">
        <v>47912510547</v>
      </c>
      <c r="I46" s="11">
        <v>0</v>
      </c>
      <c r="J46" s="11">
        <v>0</v>
      </c>
      <c r="L46" s="11">
        <v>128275</v>
      </c>
      <c r="M46" s="11">
        <v>1076845428</v>
      </c>
      <c r="O46" s="11">
        <v>6003951</v>
      </c>
      <c r="Q46" s="11">
        <v>8350</v>
      </c>
      <c r="S46" s="11">
        <v>32931113465</v>
      </c>
      <c r="U46" s="11">
        <v>49834699554</v>
      </c>
      <c r="W46" s="12">
        <v>1.7730985334204467E-2</v>
      </c>
    </row>
    <row r="47" spans="1:23" ht="18.75" x14ac:dyDescent="0.45">
      <c r="A47" s="10" t="s">
        <v>53</v>
      </c>
      <c r="C47" s="11">
        <v>5400000</v>
      </c>
      <c r="E47" s="11">
        <v>47083833086</v>
      </c>
      <c r="G47" s="11">
        <v>64736512200</v>
      </c>
      <c r="N47" s="7"/>
      <c r="O47" s="11">
        <v>5400000</v>
      </c>
      <c r="Q47" s="11">
        <v>12200</v>
      </c>
      <c r="S47" s="11">
        <v>47083833086</v>
      </c>
      <c r="U47" s="11">
        <v>65488014000</v>
      </c>
      <c r="W47" s="12">
        <v>2.3300371552194409E-2</v>
      </c>
    </row>
    <row r="48" spans="1:23" ht="18.75" x14ac:dyDescent="0.45">
      <c r="A48" s="10" t="s">
        <v>54</v>
      </c>
      <c r="C48" s="11">
        <v>200000</v>
      </c>
      <c r="E48" s="11">
        <v>5506104881</v>
      </c>
      <c r="G48" s="11">
        <v>5286357900</v>
      </c>
      <c r="N48" s="7"/>
      <c r="O48" s="11">
        <v>200000</v>
      </c>
      <c r="Q48" s="11">
        <v>23620</v>
      </c>
      <c r="S48" s="11">
        <v>5506104881</v>
      </c>
      <c r="U48" s="11">
        <v>4695892200</v>
      </c>
      <c r="W48" s="12">
        <v>1.6707795266024041E-3</v>
      </c>
    </row>
    <row r="49" spans="1:23" ht="18.75" x14ac:dyDescent="0.45">
      <c r="A49" s="10" t="s">
        <v>55</v>
      </c>
      <c r="C49" s="11">
        <v>23250016</v>
      </c>
      <c r="E49" s="11">
        <v>76055816573</v>
      </c>
      <c r="G49" s="11">
        <v>53896434040</v>
      </c>
      <c r="N49" s="7"/>
      <c r="O49" s="11">
        <v>31189045</v>
      </c>
      <c r="Q49" s="11">
        <v>1581</v>
      </c>
      <c r="S49" s="11">
        <v>76055816573</v>
      </c>
      <c r="U49" s="11">
        <v>49016486358</v>
      </c>
      <c r="W49" s="12">
        <v>1.7439868375371231E-2</v>
      </c>
    </row>
    <row r="50" spans="1:23" ht="18.75" x14ac:dyDescent="0.45">
      <c r="A50" s="10" t="s">
        <v>56</v>
      </c>
      <c r="C50" s="11">
        <v>330974</v>
      </c>
      <c r="E50" s="11">
        <v>10705350134</v>
      </c>
      <c r="G50" s="11">
        <v>10228756269</v>
      </c>
      <c r="N50" s="7"/>
      <c r="O50" s="11">
        <v>330974</v>
      </c>
      <c r="Q50" s="11">
        <v>29000</v>
      </c>
      <c r="S50" s="11">
        <v>10705350134</v>
      </c>
      <c r="U50" s="11">
        <v>9541136436</v>
      </c>
      <c r="W50" s="12">
        <v>3.394697905924891E-3</v>
      </c>
    </row>
    <row r="51" spans="1:23" ht="18.75" x14ac:dyDescent="0.45">
      <c r="A51" s="10" t="s">
        <v>57</v>
      </c>
      <c r="C51" s="11">
        <v>9448213</v>
      </c>
      <c r="E51" s="11">
        <v>15392047456</v>
      </c>
      <c r="G51" s="11">
        <v>8584284465</v>
      </c>
      <c r="N51" s="7"/>
      <c r="O51" s="11">
        <v>9448213</v>
      </c>
      <c r="Q51" s="11">
        <v>752</v>
      </c>
      <c r="S51" s="11">
        <v>15392047456</v>
      </c>
      <c r="U51" s="11">
        <v>7062781092</v>
      </c>
      <c r="W51" s="12">
        <v>2.5129090589831194E-3</v>
      </c>
    </row>
    <row r="52" spans="1:23" ht="18.75" x14ac:dyDescent="0.45">
      <c r="A52" s="10" t="s">
        <v>58</v>
      </c>
      <c r="C52" s="11">
        <v>10148510</v>
      </c>
      <c r="E52" s="11">
        <v>49005994690</v>
      </c>
      <c r="G52" s="11">
        <v>42571893262</v>
      </c>
      <c r="N52" s="7"/>
      <c r="O52" s="11">
        <v>10148510</v>
      </c>
      <c r="Q52" s="11">
        <v>3774</v>
      </c>
      <c r="S52" s="11">
        <v>49005994690</v>
      </c>
      <c r="U52" s="11">
        <v>38072588903</v>
      </c>
      <c r="W52" s="12">
        <v>1.35460737501347E-2</v>
      </c>
    </row>
    <row r="53" spans="1:23" ht="18.75" x14ac:dyDescent="0.45">
      <c r="A53" s="10" t="s">
        <v>59</v>
      </c>
      <c r="C53" s="11">
        <v>249996</v>
      </c>
      <c r="E53" s="11">
        <v>1764072098</v>
      </c>
      <c r="G53" s="11">
        <v>1930911230</v>
      </c>
      <c r="N53" s="7"/>
      <c r="O53" s="11">
        <v>249996</v>
      </c>
      <c r="Q53" s="11">
        <v>6970</v>
      </c>
      <c r="S53" s="11">
        <v>1764072098</v>
      </c>
      <c r="U53" s="11">
        <v>1732104411</v>
      </c>
      <c r="W53" s="12">
        <v>6.1627577137237429E-4</v>
      </c>
    </row>
    <row r="54" spans="1:23" ht="18.75" x14ac:dyDescent="0.45">
      <c r="A54" s="10" t="s">
        <v>60</v>
      </c>
      <c r="C54" s="11">
        <v>14558631</v>
      </c>
      <c r="E54" s="11">
        <v>117933563439</v>
      </c>
      <c r="G54" s="11">
        <v>108684773663</v>
      </c>
      <c r="I54" s="11">
        <v>0</v>
      </c>
      <c r="J54" s="11">
        <v>0</v>
      </c>
      <c r="L54" s="11">
        <v>400000</v>
      </c>
      <c r="M54" s="11">
        <v>2996112613</v>
      </c>
      <c r="O54" s="11">
        <v>22396379</v>
      </c>
      <c r="Q54" s="11">
        <v>4464</v>
      </c>
      <c r="S54" s="11">
        <v>114693325715</v>
      </c>
      <c r="U54" s="11">
        <v>99382570113</v>
      </c>
      <c r="W54" s="12">
        <v>3.5359918067524712E-2</v>
      </c>
    </row>
    <row r="55" spans="1:23" ht="18.75" x14ac:dyDescent="0.45">
      <c r="A55" s="10" t="s">
        <v>61</v>
      </c>
      <c r="C55" s="11">
        <v>4057472</v>
      </c>
      <c r="E55" s="11">
        <v>98254799460</v>
      </c>
      <c r="G55" s="11">
        <v>109706577132</v>
      </c>
      <c r="I55" s="11">
        <v>0</v>
      </c>
      <c r="J55" s="11">
        <v>0</v>
      </c>
      <c r="L55" s="11">
        <v>557472</v>
      </c>
      <c r="M55" s="11">
        <v>15449842652</v>
      </c>
      <c r="O55" s="11">
        <v>9664654</v>
      </c>
      <c r="Q55" s="11">
        <v>10250</v>
      </c>
      <c r="S55" s="11">
        <v>84755187001</v>
      </c>
      <c r="U55" s="11">
        <v>98473280414</v>
      </c>
      <c r="W55" s="12">
        <v>3.5036396455840425E-2</v>
      </c>
    </row>
    <row r="56" spans="1:23" ht="18.75" x14ac:dyDescent="0.45">
      <c r="A56" s="10" t="s">
        <v>62</v>
      </c>
      <c r="C56" s="11">
        <v>14021442</v>
      </c>
      <c r="E56" s="11">
        <v>48395249821</v>
      </c>
      <c r="G56" s="11">
        <v>56713780675</v>
      </c>
      <c r="N56" s="7"/>
      <c r="O56" s="11">
        <v>14021442</v>
      </c>
      <c r="Q56" s="11">
        <v>3715</v>
      </c>
      <c r="S56" s="11">
        <v>48395249821</v>
      </c>
      <c r="U56" s="11">
        <v>51779723571</v>
      </c>
      <c r="W56" s="12">
        <v>1.8423017043610736E-2</v>
      </c>
    </row>
    <row r="57" spans="1:23" ht="37.5" x14ac:dyDescent="0.45">
      <c r="A57" s="10" t="s">
        <v>63</v>
      </c>
      <c r="C57" s="11">
        <v>76</v>
      </c>
      <c r="E57" s="11">
        <v>809388</v>
      </c>
      <c r="G57" s="11">
        <v>1279024</v>
      </c>
      <c r="I57" s="11">
        <v>0</v>
      </c>
      <c r="J57" s="11">
        <v>0</v>
      </c>
      <c r="L57" s="11">
        <v>76</v>
      </c>
      <c r="M57" s="11">
        <v>1276760</v>
      </c>
      <c r="W57" s="12">
        <v>0</v>
      </c>
    </row>
    <row r="58" spans="1:23" ht="18.75" x14ac:dyDescent="0.45">
      <c r="A58" s="10" t="s">
        <v>64</v>
      </c>
      <c r="C58" s="11">
        <v>200000</v>
      </c>
      <c r="E58" s="11">
        <v>1227137722</v>
      </c>
      <c r="G58" s="11">
        <v>1232622000</v>
      </c>
      <c r="N58" s="7"/>
      <c r="O58" s="11">
        <v>200000</v>
      </c>
      <c r="Q58" s="11">
        <v>5330</v>
      </c>
      <c r="S58" s="11">
        <v>1227137722</v>
      </c>
      <c r="U58" s="11">
        <v>1059657300</v>
      </c>
      <c r="W58" s="12">
        <v>3.7702179834000056E-4</v>
      </c>
    </row>
    <row r="59" spans="1:23" ht="18.75" x14ac:dyDescent="0.45">
      <c r="A59" s="10" t="s">
        <v>65</v>
      </c>
      <c r="C59" s="11">
        <v>6859433</v>
      </c>
      <c r="E59" s="11">
        <v>42556668634</v>
      </c>
      <c r="G59" s="11">
        <v>23660609227</v>
      </c>
      <c r="N59" s="7"/>
      <c r="O59" s="11">
        <v>8231319</v>
      </c>
      <c r="Q59" s="11">
        <v>2892</v>
      </c>
      <c r="S59" s="11">
        <v>42556668634</v>
      </c>
      <c r="U59" s="11">
        <v>23663334949</v>
      </c>
      <c r="W59" s="12">
        <v>8.4193192433004195E-3</v>
      </c>
    </row>
    <row r="60" spans="1:23" ht="18.75" x14ac:dyDescent="0.45">
      <c r="A60" s="10" t="s">
        <v>66</v>
      </c>
      <c r="C60" s="11">
        <v>6256631</v>
      </c>
      <c r="E60" s="11">
        <v>27157213151</v>
      </c>
      <c r="G60" s="11">
        <v>37627394476</v>
      </c>
      <c r="N60" s="7"/>
      <c r="O60" s="11">
        <v>6256631</v>
      </c>
      <c r="Q60" s="11">
        <v>5310</v>
      </c>
      <c r="S60" s="11">
        <v>27157213151</v>
      </c>
      <c r="U60" s="11">
        <v>33025035482</v>
      </c>
      <c r="W60" s="12">
        <v>1.1750174577824329E-2</v>
      </c>
    </row>
    <row r="61" spans="1:23" ht="18.75" x14ac:dyDescent="0.45">
      <c r="A61" s="10" t="s">
        <v>67</v>
      </c>
      <c r="C61" s="11">
        <v>3600000</v>
      </c>
      <c r="E61" s="11">
        <v>22837480448</v>
      </c>
      <c r="G61" s="11">
        <v>21507265800</v>
      </c>
      <c r="I61" s="11">
        <v>0</v>
      </c>
      <c r="J61" s="11">
        <v>0</v>
      </c>
      <c r="L61" s="11">
        <v>600000</v>
      </c>
      <c r="M61" s="11">
        <v>3519506023</v>
      </c>
      <c r="O61" s="11">
        <v>4666666</v>
      </c>
      <c r="Q61" s="11">
        <v>3280</v>
      </c>
      <c r="S61" s="11">
        <v>19031233707</v>
      </c>
      <c r="U61" s="11">
        <v>15215589826</v>
      </c>
      <c r="W61" s="12">
        <v>5.4136455616380277E-3</v>
      </c>
    </row>
    <row r="62" spans="1:23" ht="18.75" x14ac:dyDescent="0.45">
      <c r="A62" s="10" t="s">
        <v>68</v>
      </c>
      <c r="C62" s="11">
        <v>17704932</v>
      </c>
      <c r="E62" s="11">
        <v>89451524844</v>
      </c>
      <c r="G62" s="11">
        <v>104189558915</v>
      </c>
      <c r="N62" s="7"/>
      <c r="O62" s="11">
        <v>17704932</v>
      </c>
      <c r="Q62" s="11">
        <v>5510</v>
      </c>
      <c r="S62" s="11">
        <v>89451524844</v>
      </c>
      <c r="U62" s="11">
        <v>96973727977</v>
      </c>
      <c r="W62" s="12">
        <v>3.4502861739944192E-2</v>
      </c>
    </row>
    <row r="63" spans="1:23" ht="18.75" x14ac:dyDescent="0.45">
      <c r="A63" s="10" t="s">
        <v>69</v>
      </c>
      <c r="C63" s="11">
        <v>272076</v>
      </c>
      <c r="E63" s="11">
        <v>5768075770</v>
      </c>
      <c r="G63" s="11">
        <v>5598462959</v>
      </c>
      <c r="N63" s="7"/>
      <c r="O63" s="11">
        <v>444699</v>
      </c>
      <c r="Q63" s="11">
        <v>12940</v>
      </c>
      <c r="S63" s="11">
        <v>5768075770</v>
      </c>
      <c r="U63" s="11">
        <v>5720166350</v>
      </c>
      <c r="W63" s="12">
        <v>2.0352121427191197E-3</v>
      </c>
    </row>
    <row r="64" spans="1:23" ht="18.75" x14ac:dyDescent="0.45">
      <c r="A64" s="10" t="s">
        <v>70</v>
      </c>
      <c r="C64" s="11">
        <v>3882657</v>
      </c>
      <c r="E64" s="11">
        <v>49025595916</v>
      </c>
      <c r="G64" s="11">
        <v>32767623570</v>
      </c>
      <c r="I64" s="11">
        <v>0</v>
      </c>
      <c r="J64" s="11">
        <v>0</v>
      </c>
      <c r="L64" s="11">
        <v>200000</v>
      </c>
      <c r="M64" s="11">
        <v>1737599431</v>
      </c>
      <c r="O64" s="11">
        <v>3682657</v>
      </c>
      <c r="Q64" s="11">
        <v>8660</v>
      </c>
      <c r="S64" s="11">
        <v>46500232696</v>
      </c>
      <c r="U64" s="11">
        <v>31702053353</v>
      </c>
      <c r="W64" s="12">
        <v>1.1279462866172587E-2</v>
      </c>
    </row>
    <row r="65" spans="1:23" ht="18.75" x14ac:dyDescent="0.45">
      <c r="A65" s="10" t="s">
        <v>71</v>
      </c>
      <c r="C65" s="11">
        <v>250000</v>
      </c>
      <c r="E65" s="11">
        <v>3403087200</v>
      </c>
      <c r="G65" s="11">
        <v>3916557000</v>
      </c>
      <c r="N65" s="7"/>
      <c r="O65" s="11">
        <v>250000</v>
      </c>
      <c r="Q65" s="11">
        <v>14020</v>
      </c>
      <c r="S65" s="11">
        <v>3403087200</v>
      </c>
      <c r="U65" s="11">
        <v>3484145250</v>
      </c>
      <c r="W65" s="12">
        <v>1.2396448435100394E-3</v>
      </c>
    </row>
    <row r="66" spans="1:23" ht="18.75" x14ac:dyDescent="0.45">
      <c r="A66" s="10" t="s">
        <v>72</v>
      </c>
      <c r="C66" s="11">
        <v>16300000</v>
      </c>
      <c r="E66" s="11">
        <v>84074552777</v>
      </c>
      <c r="G66" s="11">
        <v>166566994200</v>
      </c>
      <c r="N66" s="7"/>
      <c r="O66" s="11">
        <v>16300000</v>
      </c>
      <c r="Q66" s="11">
        <v>9180</v>
      </c>
      <c r="S66" s="11">
        <v>84074552777</v>
      </c>
      <c r="U66" s="11">
        <v>148743677700</v>
      </c>
      <c r="W66" s="12">
        <v>5.2922401287812053E-2</v>
      </c>
    </row>
    <row r="67" spans="1:23" ht="37.5" x14ac:dyDescent="0.45">
      <c r="A67" s="10" t="s">
        <v>73</v>
      </c>
      <c r="C67" s="11">
        <v>7868802</v>
      </c>
      <c r="E67" s="11">
        <v>26463181491</v>
      </c>
      <c r="G67" s="11">
        <v>30982873190</v>
      </c>
      <c r="N67" s="7"/>
      <c r="O67" s="11">
        <v>7868802</v>
      </c>
      <c r="Q67" s="11">
        <v>3456</v>
      </c>
      <c r="S67" s="11">
        <v>26463181491</v>
      </c>
      <c r="U67" s="11">
        <v>27032771963</v>
      </c>
      <c r="W67" s="12">
        <v>9.6181513585622512E-3</v>
      </c>
    </row>
    <row r="68" spans="1:23" ht="18.75" x14ac:dyDescent="0.45">
      <c r="A68" s="10" t="s">
        <v>74</v>
      </c>
      <c r="C68" s="11">
        <v>5155597</v>
      </c>
      <c r="E68" s="11">
        <v>8882657062</v>
      </c>
      <c r="G68" s="11">
        <v>14129407742</v>
      </c>
      <c r="N68" s="7"/>
      <c r="O68" s="11">
        <v>5155597</v>
      </c>
      <c r="Q68" s="11">
        <v>2414</v>
      </c>
      <c r="S68" s="11">
        <v>8882657062</v>
      </c>
      <c r="U68" s="11">
        <v>12371559772</v>
      </c>
      <c r="W68" s="12">
        <v>4.4017511260576866E-3</v>
      </c>
    </row>
    <row r="69" spans="1:23" ht="18.75" x14ac:dyDescent="0.45">
      <c r="A69" s="10" t="s">
        <v>75</v>
      </c>
      <c r="C69" s="11">
        <v>7919952</v>
      </c>
      <c r="E69" s="11">
        <v>28707359622</v>
      </c>
      <c r="G69" s="11">
        <v>44560208096</v>
      </c>
      <c r="N69" s="7"/>
      <c r="O69" s="11">
        <v>7919952</v>
      </c>
      <c r="Q69" s="11">
        <v>5090</v>
      </c>
      <c r="S69" s="11">
        <v>28707359622</v>
      </c>
      <c r="U69" s="11">
        <v>40072695974</v>
      </c>
      <c r="W69" s="12">
        <v>1.4257703788243219E-2</v>
      </c>
    </row>
    <row r="70" spans="1:23" ht="18.75" x14ac:dyDescent="0.45">
      <c r="A70" s="10" t="s">
        <v>76</v>
      </c>
      <c r="C70" s="11">
        <v>1313770</v>
      </c>
      <c r="E70" s="11">
        <v>27105671626</v>
      </c>
      <c r="G70" s="11">
        <v>49613157072</v>
      </c>
      <c r="N70" s="7"/>
      <c r="O70" s="11">
        <v>1313770</v>
      </c>
      <c r="Q70" s="11">
        <v>34860</v>
      </c>
      <c r="S70" s="11">
        <v>27105671626</v>
      </c>
      <c r="U70" s="11">
        <v>45525523968</v>
      </c>
      <c r="W70" s="12">
        <v>1.6197798020913139E-2</v>
      </c>
    </row>
    <row r="71" spans="1:23" ht="37.5" x14ac:dyDescent="0.45">
      <c r="A71" s="10" t="s">
        <v>77</v>
      </c>
      <c r="C71" s="11">
        <v>7539161</v>
      </c>
      <c r="E71" s="11">
        <v>30227577878</v>
      </c>
      <c r="G71" s="11">
        <v>31506049779</v>
      </c>
      <c r="N71" s="7"/>
      <c r="O71" s="11">
        <v>8971553</v>
      </c>
      <c r="Q71" s="11">
        <v>3452</v>
      </c>
      <c r="S71" s="11">
        <v>30227577878</v>
      </c>
      <c r="U71" s="11">
        <v>30785530640</v>
      </c>
      <c r="W71" s="12">
        <v>1.0953367777246464E-2</v>
      </c>
    </row>
    <row r="72" spans="1:23" ht="37.5" x14ac:dyDescent="0.45">
      <c r="A72" s="10" t="s">
        <v>78</v>
      </c>
      <c r="C72" s="11">
        <v>700000</v>
      </c>
      <c r="E72" s="11">
        <v>9143294580</v>
      </c>
      <c r="G72" s="11">
        <v>10569733650</v>
      </c>
      <c r="N72" s="7"/>
      <c r="O72" s="11">
        <v>700000</v>
      </c>
      <c r="Q72" s="11">
        <v>13770</v>
      </c>
      <c r="S72" s="11">
        <v>9143294580</v>
      </c>
      <c r="U72" s="11">
        <v>9581647950</v>
      </c>
      <c r="W72" s="12">
        <v>3.4091117393989356E-3</v>
      </c>
    </row>
    <row r="73" spans="1:23" ht="18.75" x14ac:dyDescent="0.45">
      <c r="A73" s="10" t="s">
        <v>79</v>
      </c>
      <c r="C73" s="11">
        <v>7700000</v>
      </c>
      <c r="E73" s="11">
        <v>48162624616</v>
      </c>
      <c r="G73" s="11">
        <v>47915198100</v>
      </c>
      <c r="N73" s="7"/>
      <c r="O73" s="11">
        <v>7700000</v>
      </c>
      <c r="Q73" s="11">
        <v>5440</v>
      </c>
      <c r="S73" s="11">
        <v>48162624616</v>
      </c>
      <c r="U73" s="11">
        <v>41638766400</v>
      </c>
      <c r="W73" s="12">
        <v>1.4814905336647227E-2</v>
      </c>
    </row>
    <row r="74" spans="1:23" ht="18.75" x14ac:dyDescent="0.45">
      <c r="A74" s="10" t="s">
        <v>80</v>
      </c>
      <c r="C74" s="11">
        <v>12700250</v>
      </c>
      <c r="E74" s="11">
        <v>96784109740</v>
      </c>
      <c r="G74" s="11">
        <v>107309809856</v>
      </c>
      <c r="I74" s="11">
        <v>0</v>
      </c>
      <c r="J74" s="11">
        <v>0</v>
      </c>
      <c r="L74" s="11">
        <v>1400250</v>
      </c>
      <c r="M74" s="11">
        <v>12302559191</v>
      </c>
      <c r="O74" s="11">
        <v>11300000</v>
      </c>
      <c r="Q74" s="11">
        <v>9010</v>
      </c>
      <c r="S74" s="11">
        <v>86113300137</v>
      </c>
      <c r="U74" s="11">
        <v>101207212650</v>
      </c>
      <c r="W74" s="12">
        <v>3.6009118531323152E-2</v>
      </c>
    </row>
    <row r="75" spans="1:23" ht="18.75" x14ac:dyDescent="0.45">
      <c r="A75" s="10" t="s">
        <v>81</v>
      </c>
      <c r="H75" s="7"/>
      <c r="I75" s="11">
        <v>1617500</v>
      </c>
      <c r="J75" s="11">
        <v>6177984518</v>
      </c>
      <c r="L75" s="11">
        <v>0</v>
      </c>
      <c r="M75" s="11">
        <v>0</v>
      </c>
      <c r="O75" s="11">
        <v>1999999</v>
      </c>
      <c r="Q75" s="11">
        <v>3597</v>
      </c>
      <c r="S75" s="11">
        <v>6177984518</v>
      </c>
      <c r="U75" s="11">
        <v>7151192124</v>
      </c>
      <c r="W75" s="12">
        <v>2.5443653479906461E-3</v>
      </c>
    </row>
    <row r="76" spans="1:23" ht="18.75" x14ac:dyDescent="0.45">
      <c r="A76" s="10" t="s">
        <v>82</v>
      </c>
      <c r="C76" s="11">
        <v>12023071</v>
      </c>
      <c r="E76" s="11">
        <v>50117025665</v>
      </c>
      <c r="G76" s="11">
        <v>68243257584</v>
      </c>
      <c r="N76" s="7"/>
      <c r="O76" s="11">
        <v>18635760</v>
      </c>
      <c r="Q76" s="11">
        <v>3199</v>
      </c>
      <c r="S76" s="11">
        <v>50117025665</v>
      </c>
      <c r="U76" s="11">
        <v>59261082252</v>
      </c>
      <c r="W76" s="12">
        <v>2.1084854322452863E-2</v>
      </c>
    </row>
    <row r="77" spans="1:23" ht="18.75" x14ac:dyDescent="0.45">
      <c r="A77" s="10" t="s">
        <v>83</v>
      </c>
      <c r="C77" s="11">
        <v>25703048</v>
      </c>
      <c r="E77" s="11">
        <v>50829222952</v>
      </c>
      <c r="G77" s="11">
        <v>45070402621</v>
      </c>
      <c r="N77" s="7"/>
      <c r="O77" s="11">
        <v>25703048</v>
      </c>
      <c r="Q77" s="11">
        <v>1574</v>
      </c>
      <c r="S77" s="11">
        <v>50829222952</v>
      </c>
      <c r="U77" s="11">
        <v>40215880797</v>
      </c>
      <c r="W77" s="12">
        <v>1.4308648371423512E-2</v>
      </c>
    </row>
    <row r="78" spans="1:23" ht="18.75" x14ac:dyDescent="0.45">
      <c r="A78" s="10" t="s">
        <v>84</v>
      </c>
      <c r="C78" s="11">
        <v>177678</v>
      </c>
      <c r="E78" s="11">
        <v>6687778985</v>
      </c>
      <c r="G78" s="11">
        <v>7140779587</v>
      </c>
      <c r="N78" s="7"/>
      <c r="O78" s="11">
        <v>177678</v>
      </c>
      <c r="Q78" s="11">
        <v>36300</v>
      </c>
      <c r="S78" s="11">
        <v>6687778985</v>
      </c>
      <c r="U78" s="11">
        <v>6411335617</v>
      </c>
      <c r="W78" s="12">
        <v>2.2811273834310746E-3</v>
      </c>
    </row>
    <row r="79" spans="1:23" ht="18.75" x14ac:dyDescent="0.45">
      <c r="A79" s="10" t="s">
        <v>85</v>
      </c>
      <c r="C79" s="11">
        <v>450000</v>
      </c>
      <c r="E79" s="11">
        <v>2927655900</v>
      </c>
      <c r="G79" s="11">
        <v>5846505075</v>
      </c>
      <c r="I79" s="11">
        <v>0</v>
      </c>
      <c r="J79" s="11">
        <v>0</v>
      </c>
      <c r="L79" s="11">
        <v>450000</v>
      </c>
      <c r="M79" s="11">
        <v>6101478947</v>
      </c>
      <c r="W79" s="12">
        <v>0</v>
      </c>
    </row>
    <row r="80" spans="1:23" ht="37.5" x14ac:dyDescent="0.45">
      <c r="A80" s="10" t="s">
        <v>86</v>
      </c>
      <c r="C80" s="11">
        <v>123</v>
      </c>
      <c r="E80" s="11">
        <v>1662161</v>
      </c>
      <c r="G80" s="11">
        <v>2180041</v>
      </c>
      <c r="N80" s="7"/>
      <c r="O80" s="11">
        <v>123</v>
      </c>
      <c r="Q80" s="11">
        <v>22490</v>
      </c>
      <c r="S80" s="11">
        <v>1662161</v>
      </c>
      <c r="U80" s="11">
        <v>2749811</v>
      </c>
      <c r="W80" s="12">
        <v>9.783716757437668E-7</v>
      </c>
    </row>
    <row r="81" spans="1:23" ht="18.75" x14ac:dyDescent="0.45">
      <c r="A81" s="10" t="s">
        <v>87</v>
      </c>
      <c r="C81" s="11">
        <v>3000000</v>
      </c>
      <c r="E81" s="11">
        <v>15356237176</v>
      </c>
      <c r="G81" s="11">
        <v>14433606000</v>
      </c>
      <c r="N81" s="7"/>
      <c r="O81" s="11">
        <v>4260000</v>
      </c>
      <c r="Q81" s="11">
        <v>3437</v>
      </c>
      <c r="S81" s="11">
        <v>15356237176</v>
      </c>
      <c r="U81" s="11">
        <v>14554502361</v>
      </c>
      <c r="W81" s="12">
        <v>5.1784333048882922E-3</v>
      </c>
    </row>
    <row r="82" spans="1:23" ht="18.75" x14ac:dyDescent="0.45">
      <c r="A82" s="10" t="s">
        <v>88</v>
      </c>
      <c r="C82" s="11">
        <v>3200000</v>
      </c>
      <c r="E82" s="11">
        <v>31645339517</v>
      </c>
      <c r="G82" s="11">
        <v>30600835200</v>
      </c>
      <c r="I82" s="11">
        <v>0</v>
      </c>
      <c r="J82" s="11">
        <v>0</v>
      </c>
      <c r="L82" s="11">
        <v>190506</v>
      </c>
      <c r="M82" s="11">
        <v>1771547304</v>
      </c>
      <c r="O82" s="11">
        <v>3009494</v>
      </c>
      <c r="Q82" s="11">
        <v>9060</v>
      </c>
      <c r="S82" s="11">
        <v>29761393564</v>
      </c>
      <c r="U82" s="11">
        <v>27103782847</v>
      </c>
      <c r="W82" s="12">
        <v>9.6434167450106748E-3</v>
      </c>
    </row>
    <row r="83" spans="1:23" ht="18.75" x14ac:dyDescent="0.45">
      <c r="A83" s="10" t="s">
        <v>89</v>
      </c>
      <c r="C83" s="11">
        <v>4613772</v>
      </c>
      <c r="E83" s="11">
        <v>43269803786</v>
      </c>
      <c r="G83" s="11">
        <v>40405479699</v>
      </c>
      <c r="N83" s="7"/>
      <c r="O83" s="11">
        <v>4613772</v>
      </c>
      <c r="Q83" s="11">
        <v>6790</v>
      </c>
      <c r="S83" s="11">
        <v>43269803786</v>
      </c>
      <c r="U83" s="11">
        <v>31141113184</v>
      </c>
      <c r="W83" s="12">
        <v>1.1079882613880149E-2</v>
      </c>
    </row>
    <row r="84" spans="1:23" ht="18.75" x14ac:dyDescent="0.45">
      <c r="A84" s="10" t="s">
        <v>90</v>
      </c>
      <c r="C84" s="11">
        <v>400000</v>
      </c>
      <c r="E84" s="11">
        <v>1251159994</v>
      </c>
      <c r="G84" s="11">
        <v>1087888320</v>
      </c>
      <c r="N84" s="7"/>
      <c r="O84" s="11">
        <v>400000</v>
      </c>
      <c r="Q84" s="11">
        <v>2635</v>
      </c>
      <c r="S84" s="11">
        <v>1251159994</v>
      </c>
      <c r="U84" s="11">
        <v>1047728700</v>
      </c>
      <c r="W84" s="12">
        <v>3.7277765051628572E-4</v>
      </c>
    </row>
    <row r="85" spans="1:23" ht="18.75" x14ac:dyDescent="0.45">
      <c r="A85" s="10" t="s">
        <v>91</v>
      </c>
      <c r="C85" s="11">
        <v>636897</v>
      </c>
      <c r="E85" s="11">
        <v>5100058362</v>
      </c>
      <c r="G85" s="11">
        <v>3532739643</v>
      </c>
      <c r="I85" s="11">
        <v>0</v>
      </c>
      <c r="J85" s="11">
        <v>0</v>
      </c>
      <c r="L85" s="11">
        <v>636897</v>
      </c>
      <c r="M85" s="11">
        <v>3494753223</v>
      </c>
      <c r="W85" s="12">
        <v>0</v>
      </c>
    </row>
    <row r="86" spans="1:23" ht="18.75" x14ac:dyDescent="0.45">
      <c r="A86" s="10" t="s">
        <v>92</v>
      </c>
      <c r="C86" s="11">
        <v>407809</v>
      </c>
      <c r="E86" s="11">
        <v>15540146852</v>
      </c>
      <c r="G86" s="11">
        <v>20386687758</v>
      </c>
      <c r="N86" s="7"/>
      <c r="O86" s="11">
        <v>407809</v>
      </c>
      <c r="Q86" s="11">
        <v>36090</v>
      </c>
      <c r="S86" s="11">
        <v>15540146852</v>
      </c>
      <c r="U86" s="11">
        <v>14630255740</v>
      </c>
      <c r="W86" s="12">
        <v>5.2053860519518111E-3</v>
      </c>
    </row>
    <row r="87" spans="1:23" ht="18.75" x14ac:dyDescent="0.45">
      <c r="A87" s="10" t="s">
        <v>93</v>
      </c>
      <c r="C87" s="11">
        <v>6132725</v>
      </c>
      <c r="E87" s="11">
        <v>94586842051</v>
      </c>
      <c r="G87" s="11">
        <v>120705458668</v>
      </c>
      <c r="N87" s="7"/>
      <c r="O87" s="11">
        <v>6132725</v>
      </c>
      <c r="Q87" s="11">
        <v>18770</v>
      </c>
      <c r="S87" s="11">
        <v>94586842051</v>
      </c>
      <c r="U87" s="11">
        <v>114426336323</v>
      </c>
      <c r="W87" s="12">
        <v>4.0712429478809035E-2</v>
      </c>
    </row>
    <row r="88" spans="1:23" ht="18.75" x14ac:dyDescent="0.45">
      <c r="A88" s="10" t="s">
        <v>94</v>
      </c>
      <c r="C88" s="11">
        <v>50000</v>
      </c>
      <c r="E88" s="11">
        <v>10968169018</v>
      </c>
      <c r="G88" s="11">
        <v>12139835625</v>
      </c>
      <c r="N88" s="7"/>
      <c r="O88" s="11">
        <v>50000</v>
      </c>
      <c r="Q88" s="11">
        <v>253380</v>
      </c>
      <c r="S88" s="11">
        <v>10968169018</v>
      </c>
      <c r="U88" s="11">
        <v>12593619450</v>
      </c>
      <c r="W88" s="12">
        <v>4.48075906488693E-3</v>
      </c>
    </row>
    <row r="89" spans="1:23" ht="18.75" x14ac:dyDescent="0.45">
      <c r="A89" s="10" t="s">
        <v>95</v>
      </c>
      <c r="C89" s="11">
        <v>2000000</v>
      </c>
      <c r="E89" s="11">
        <v>69236548700</v>
      </c>
      <c r="G89" s="11">
        <v>72863865000</v>
      </c>
      <c r="I89" s="11">
        <v>0</v>
      </c>
      <c r="J89" s="11">
        <v>0</v>
      </c>
      <c r="L89" s="11">
        <v>52052</v>
      </c>
      <c r="M89" s="11">
        <v>1950684368</v>
      </c>
      <c r="O89" s="11">
        <v>1947948</v>
      </c>
      <c r="Q89" s="11">
        <v>29900</v>
      </c>
      <c r="S89" s="11">
        <v>67434598284</v>
      </c>
      <c r="U89" s="11">
        <v>57897095511</v>
      </c>
      <c r="W89" s="12">
        <v>2.0599553335045203E-2</v>
      </c>
    </row>
    <row r="90" spans="1:23" ht="37.5" x14ac:dyDescent="0.45">
      <c r="A90" s="10" t="s">
        <v>96</v>
      </c>
      <c r="C90" s="11">
        <v>450000</v>
      </c>
      <c r="E90" s="11">
        <v>2252043000</v>
      </c>
      <c r="G90" s="11">
        <v>7421080275</v>
      </c>
      <c r="N90" s="7"/>
      <c r="O90" s="11">
        <v>450000</v>
      </c>
      <c r="Q90" s="11">
        <v>18830</v>
      </c>
      <c r="S90" s="11">
        <v>2252043000</v>
      </c>
      <c r="U90" s="11">
        <v>8423082675</v>
      </c>
      <c r="W90" s="12">
        <v>2.9968988820206332E-3</v>
      </c>
    </row>
    <row r="91" spans="1:23" ht="18.75" x14ac:dyDescent="0.45">
      <c r="A91" s="10" t="s">
        <v>97</v>
      </c>
      <c r="C91" s="11">
        <v>2800000</v>
      </c>
      <c r="E91" s="11">
        <v>9946421645</v>
      </c>
      <c r="G91" s="11">
        <v>9293572260</v>
      </c>
      <c r="N91" s="7"/>
      <c r="O91" s="11">
        <v>2800000</v>
      </c>
      <c r="Q91" s="11">
        <v>3217</v>
      </c>
      <c r="S91" s="11">
        <v>9946421645</v>
      </c>
      <c r="U91" s="11">
        <v>8954004780</v>
      </c>
      <c r="W91" s="12">
        <v>3.1857988280744737E-3</v>
      </c>
    </row>
    <row r="92" spans="1:23" ht="37.5" x14ac:dyDescent="0.45">
      <c r="A92" s="10" t="s">
        <v>98</v>
      </c>
      <c r="C92" s="11">
        <v>21600000</v>
      </c>
      <c r="E92" s="11">
        <v>27959586333</v>
      </c>
      <c r="G92" s="11">
        <v>36780645240</v>
      </c>
      <c r="N92" s="7"/>
      <c r="O92" s="11">
        <v>21600000</v>
      </c>
      <c r="Q92" s="11">
        <v>1338</v>
      </c>
      <c r="S92" s="11">
        <v>27959586333</v>
      </c>
      <c r="U92" s="11">
        <v>28728840240</v>
      </c>
      <c r="W92" s="12">
        <v>1.0221605618634793E-2</v>
      </c>
    </row>
    <row r="93" spans="1:23" ht="18.75" x14ac:dyDescent="0.45">
      <c r="A93" s="13" t="s">
        <v>99</v>
      </c>
      <c r="C93" s="13">
        <f>SUM(C11:$C$92)</f>
        <v>490919324</v>
      </c>
      <c r="E93" s="13">
        <f>SUM(E11:$E$92)</f>
        <v>2645077715220</v>
      </c>
      <c r="G93" s="13">
        <f>SUM(G11:$G$92)</f>
        <v>3034806028436</v>
      </c>
      <c r="I93" s="13">
        <f>SUM(I11:$I$92)</f>
        <v>1617575</v>
      </c>
      <c r="J93" s="13">
        <f>SUM(J11:$J$92)</f>
        <v>6182096528</v>
      </c>
      <c r="L93" s="13">
        <f>SUM(L11:$L$92)</f>
        <v>9918859</v>
      </c>
      <c r="M93" s="13">
        <f>SUM(M11:$M$92)</f>
        <v>101074690883</v>
      </c>
      <c r="O93" s="13">
        <f>SUM(O11:$O$92)</f>
        <v>552610282</v>
      </c>
      <c r="Q93" s="13">
        <f>SUM(Q11:$Q$92)</f>
        <v>1263992</v>
      </c>
      <c r="S93" s="13">
        <f>SUM(S11:$S$92)</f>
        <v>2561913327055</v>
      </c>
      <c r="U93" s="13">
        <f>SUM(U11:$U$92)</f>
        <v>2703136850957</v>
      </c>
      <c r="W93" s="14">
        <f>SUM(W11:$W$92)</f>
        <v>0.96176520154858947</v>
      </c>
    </row>
    <row r="94" spans="1:23" ht="18.75" x14ac:dyDescent="0.45">
      <c r="C94" s="15"/>
      <c r="E94" s="15"/>
      <c r="G94" s="15"/>
      <c r="I94" s="15"/>
      <c r="J94" s="15"/>
      <c r="L94" s="15"/>
      <c r="M94" s="15"/>
      <c r="O94" s="15"/>
      <c r="Q94" s="15"/>
      <c r="S94" s="15"/>
      <c r="U94" s="15"/>
      <c r="W94" s="15"/>
    </row>
    <row r="100" spans="17:21" x14ac:dyDescent="0.45">
      <c r="Q100" s="18"/>
      <c r="S100" s="45"/>
      <c r="U100" s="18"/>
    </row>
  </sheetData>
  <mergeCells count="19"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7" right="0.7" top="0.75" bottom="0.75" header="0.3" footer="0.3"/>
  <pageSetup paperSize="9" scale="57" fitToHeight="0" orientation="landscape" r:id="rId1"/>
  <rowBreaks count="3" manualBreakCount="3">
    <brk id="28" max="16383" man="1"/>
    <brk id="52" max="16383" man="1"/>
    <brk id="7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17" style="4" customWidth="1"/>
    <col min="2" max="2" width="1.42578125" style="4" customWidth="1"/>
    <col min="3" max="3" width="12.7109375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1.42578125" style="4" customWidth="1"/>
    <col min="10" max="10" width="17" style="4" customWidth="1"/>
    <col min="11" max="11" width="1.42578125" style="4" customWidth="1"/>
    <col min="12" max="12" width="11.42578125" style="4" customWidth="1"/>
    <col min="13" max="13" width="17" style="4" customWidth="1"/>
    <col min="14" max="14" width="1.42578125" style="4" customWidth="1"/>
    <col min="15" max="15" width="12.7109375" style="4" customWidth="1"/>
    <col min="16" max="16" width="1.42578125" style="4" customWidth="1"/>
    <col min="17" max="17" width="11.42578125" style="4" customWidth="1"/>
    <col min="18" max="18" width="1.42578125" style="4" customWidth="1"/>
    <col min="19" max="19" width="17" style="4" customWidth="1"/>
    <col min="20" max="20" width="1.42578125" style="4" customWidth="1"/>
    <col min="21" max="21" width="17" style="4" customWidth="1"/>
    <col min="22" max="22" width="1.42578125" style="4" customWidth="1"/>
    <col min="23" max="23" width="8.5703125" style="4" customWidth="1"/>
    <col min="24" max="16384" width="9.140625" style="4"/>
  </cols>
  <sheetData>
    <row r="1" spans="1:24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4" ht="20.100000000000001" customHeight="1" x14ac:dyDescent="0.4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4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5" spans="1:24" ht="21" x14ac:dyDescent="0.45">
      <c r="A5" s="35" t="s">
        <v>100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7" spans="1:24" ht="21" x14ac:dyDescent="0.45">
      <c r="A7" s="28" t="s">
        <v>101</v>
      </c>
      <c r="B7" s="29"/>
      <c r="C7" s="29"/>
      <c r="D7" s="29"/>
      <c r="E7" s="29"/>
      <c r="F7" s="29"/>
      <c r="G7" s="29"/>
      <c r="I7" s="28" t="s">
        <v>5</v>
      </c>
      <c r="J7" s="29"/>
      <c r="K7" s="29"/>
      <c r="L7" s="29"/>
      <c r="M7" s="29"/>
      <c r="O7" s="28" t="s">
        <v>7</v>
      </c>
      <c r="P7" s="29"/>
      <c r="Q7" s="29"/>
      <c r="R7" s="29"/>
      <c r="S7" s="29"/>
      <c r="T7" s="29"/>
      <c r="U7" s="29"/>
      <c r="V7" s="29"/>
      <c r="W7" s="29"/>
    </row>
    <row r="8" spans="1:24" x14ac:dyDescent="0.45">
      <c r="A8" s="30"/>
      <c r="B8" s="32"/>
      <c r="C8" s="32"/>
      <c r="D8" s="32"/>
      <c r="E8" s="32"/>
      <c r="F8" s="32"/>
      <c r="G8" s="32"/>
      <c r="I8" s="30" t="s">
        <v>102</v>
      </c>
      <c r="J8" s="30" t="s">
        <v>103</v>
      </c>
      <c r="L8" s="30" t="s">
        <v>104</v>
      </c>
      <c r="M8" s="30" t="s">
        <v>105</v>
      </c>
      <c r="O8" s="30" t="s">
        <v>102</v>
      </c>
      <c r="Q8" s="30" t="s">
        <v>103</v>
      </c>
      <c r="S8" s="33" t="s">
        <v>104</v>
      </c>
      <c r="U8" s="30" t="s">
        <v>105</v>
      </c>
    </row>
    <row r="9" spans="1:24" x14ac:dyDescent="0.45">
      <c r="A9" s="32"/>
      <c r="B9" s="32"/>
      <c r="C9" s="32"/>
      <c r="D9" s="32"/>
      <c r="E9" s="32"/>
      <c r="F9" s="32"/>
      <c r="G9" s="32"/>
      <c r="I9" s="32"/>
      <c r="J9" s="32"/>
      <c r="L9" s="32"/>
      <c r="M9" s="32"/>
      <c r="O9" s="32"/>
      <c r="Q9" s="32"/>
      <c r="S9" s="32"/>
      <c r="U9" s="32"/>
    </row>
    <row r="10" spans="1:24" x14ac:dyDescent="0.45">
      <c r="A10" s="30" t="s">
        <v>106</v>
      </c>
      <c r="B10" s="32"/>
      <c r="C10" s="32"/>
      <c r="D10" s="32"/>
      <c r="E10" s="32"/>
      <c r="F10" s="32"/>
      <c r="G10" s="32"/>
      <c r="I10" s="36">
        <v>123</v>
      </c>
      <c r="J10" s="36">
        <v>17550</v>
      </c>
      <c r="L10" s="30" t="s">
        <v>107</v>
      </c>
      <c r="M10" s="37" t="s">
        <v>284</v>
      </c>
      <c r="O10" s="36">
        <v>123</v>
      </c>
      <c r="Q10" s="36">
        <v>17550</v>
      </c>
      <c r="S10" s="30" t="s">
        <v>107</v>
      </c>
      <c r="U10" s="37" t="s">
        <v>284</v>
      </c>
    </row>
    <row r="11" spans="1:24" x14ac:dyDescent="0.45">
      <c r="A11" s="32"/>
      <c r="B11" s="32"/>
      <c r="C11" s="32"/>
      <c r="D11" s="32"/>
      <c r="E11" s="32"/>
      <c r="F11" s="32"/>
      <c r="G11" s="32"/>
      <c r="I11" s="32"/>
      <c r="J11" s="32"/>
      <c r="L11" s="32"/>
      <c r="M11" s="32"/>
      <c r="O11" s="32"/>
      <c r="Q11" s="32"/>
      <c r="S11" s="32"/>
      <c r="U11" s="32"/>
    </row>
    <row r="13" spans="1:24" ht="21" x14ac:dyDescent="0.45">
      <c r="A13" s="35" t="s">
        <v>108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5" spans="1:24" ht="21" x14ac:dyDescent="0.45">
      <c r="A15" s="28" t="s">
        <v>101</v>
      </c>
      <c r="B15" s="29"/>
      <c r="C15" s="29"/>
      <c r="D15" s="29"/>
      <c r="E15" s="29"/>
      <c r="F15" s="29"/>
      <c r="G15" s="29"/>
      <c r="I15" s="28" t="s">
        <v>5</v>
      </c>
      <c r="J15" s="29"/>
      <c r="K15" s="29"/>
      <c r="L15" s="29"/>
      <c r="M15" s="29"/>
      <c r="N15" s="29"/>
      <c r="O15" s="29"/>
      <c r="Q15" s="28" t="s">
        <v>7</v>
      </c>
      <c r="R15" s="29"/>
      <c r="S15" s="29"/>
      <c r="T15" s="29"/>
      <c r="U15" s="29"/>
      <c r="V15" s="29"/>
      <c r="W15" s="29"/>
      <c r="X15" s="29"/>
    </row>
    <row r="16" spans="1:24" x14ac:dyDescent="0.45">
      <c r="A16" s="30"/>
      <c r="B16" s="32"/>
      <c r="C16" s="32"/>
      <c r="D16" s="32"/>
      <c r="E16" s="32"/>
      <c r="F16" s="32"/>
      <c r="G16" s="32"/>
      <c r="I16" s="30" t="s">
        <v>109</v>
      </c>
      <c r="J16" s="30" t="s">
        <v>110</v>
      </c>
      <c r="L16" s="30" t="s">
        <v>111</v>
      </c>
      <c r="M16" s="30" t="s">
        <v>103</v>
      </c>
      <c r="O16" s="30" t="s">
        <v>104</v>
      </c>
      <c r="Q16" s="30" t="s">
        <v>109</v>
      </c>
      <c r="S16" s="30" t="s">
        <v>110</v>
      </c>
      <c r="U16" s="30" t="s">
        <v>111</v>
      </c>
      <c r="W16" s="30" t="s">
        <v>103</v>
      </c>
      <c r="X16" s="30" t="s">
        <v>104</v>
      </c>
    </row>
    <row r="17" spans="1:24" x14ac:dyDescent="0.45">
      <c r="A17" s="32"/>
      <c r="B17" s="32"/>
      <c r="C17" s="32"/>
      <c r="D17" s="32"/>
      <c r="E17" s="32"/>
      <c r="F17" s="32"/>
      <c r="G17" s="32"/>
      <c r="I17" s="32"/>
      <c r="J17" s="32"/>
      <c r="L17" s="32"/>
      <c r="M17" s="32"/>
      <c r="O17" s="32"/>
      <c r="Q17" s="32"/>
      <c r="S17" s="32"/>
      <c r="U17" s="32"/>
      <c r="W17" s="32"/>
      <c r="X17" s="32"/>
    </row>
    <row r="19" spans="1:24" ht="21" x14ac:dyDescent="0.45">
      <c r="A19" s="35" t="s">
        <v>112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spans="1:24" ht="21" x14ac:dyDescent="0.45">
      <c r="A20" s="28" t="s">
        <v>101</v>
      </c>
      <c r="B20" s="29"/>
      <c r="C20" s="29"/>
      <c r="D20" s="29"/>
      <c r="E20" s="29"/>
      <c r="F20" s="29"/>
      <c r="G20" s="29"/>
      <c r="I20" s="28" t="s">
        <v>5</v>
      </c>
      <c r="J20" s="29"/>
      <c r="K20" s="29"/>
      <c r="L20" s="29"/>
      <c r="M20" s="29"/>
      <c r="O20" s="28" t="s">
        <v>7</v>
      </c>
      <c r="P20" s="29"/>
      <c r="Q20" s="29"/>
      <c r="R20" s="29"/>
      <c r="S20" s="29"/>
      <c r="T20" s="29"/>
      <c r="U20" s="29"/>
      <c r="V20" s="29"/>
      <c r="W20" s="29"/>
    </row>
    <row r="21" spans="1:24" x14ac:dyDescent="0.45">
      <c r="A21" s="30"/>
      <c r="B21" s="32"/>
      <c r="C21" s="32"/>
      <c r="D21" s="32"/>
      <c r="E21" s="32"/>
      <c r="F21" s="32"/>
      <c r="G21" s="32"/>
      <c r="I21" s="30" t="s">
        <v>110</v>
      </c>
      <c r="J21" s="30" t="s">
        <v>111</v>
      </c>
      <c r="L21" s="30" t="s">
        <v>103</v>
      </c>
      <c r="M21" s="30" t="s">
        <v>104</v>
      </c>
      <c r="O21" s="30" t="s">
        <v>110</v>
      </c>
      <c r="Q21" s="30" t="s">
        <v>111</v>
      </c>
      <c r="S21" s="30" t="s">
        <v>103</v>
      </c>
      <c r="U21" s="30" t="s">
        <v>104</v>
      </c>
    </row>
    <row r="22" spans="1:24" x14ac:dyDescent="0.45">
      <c r="A22" s="32"/>
      <c r="B22" s="32"/>
      <c r="C22" s="32"/>
      <c r="D22" s="32"/>
      <c r="E22" s="32"/>
      <c r="F22" s="32"/>
      <c r="G22" s="32"/>
      <c r="I22" s="32"/>
      <c r="J22" s="32"/>
      <c r="L22" s="32"/>
      <c r="M22" s="32"/>
      <c r="O22" s="32"/>
      <c r="Q22" s="32"/>
      <c r="S22" s="32"/>
      <c r="U22" s="32"/>
    </row>
  </sheetData>
  <mergeCells count="53">
    <mergeCell ref="L8:L9"/>
    <mergeCell ref="M8:M9"/>
    <mergeCell ref="A1:W1"/>
    <mergeCell ref="A2:W2"/>
    <mergeCell ref="A3:W3"/>
    <mergeCell ref="A5:W5"/>
    <mergeCell ref="A7:G7"/>
    <mergeCell ref="I7:M7"/>
    <mergeCell ref="O7:W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sqref="A1:AI1"/>
    </sheetView>
  </sheetViews>
  <sheetFormatPr defaultRowHeight="18" x14ac:dyDescent="0.45"/>
  <cols>
    <col min="1" max="1" width="17" style="4" customWidth="1"/>
    <col min="2" max="2" width="1.42578125" style="4" customWidth="1"/>
    <col min="3" max="3" width="8.5703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1.42578125" style="4" customWidth="1"/>
    <col min="10" max="10" width="1.42578125" style="4" customWidth="1"/>
    <col min="11" max="11" width="7.140625" style="4" customWidth="1"/>
    <col min="12" max="12" width="1.42578125" style="4" customWidth="1"/>
    <col min="13" max="13" width="7.140625" style="4" customWidth="1"/>
    <col min="14" max="14" width="1.42578125" style="4" customWidth="1"/>
    <col min="15" max="15" width="11.42578125" style="4" customWidth="1"/>
    <col min="16" max="16" width="1.42578125" style="4" customWidth="1"/>
    <col min="17" max="17" width="18.42578125" style="4" customWidth="1"/>
    <col min="18" max="18" width="1.42578125" style="4" customWidth="1"/>
    <col min="19" max="19" width="18.42578125" style="4" customWidth="1"/>
    <col min="20" max="20" width="1.42578125" style="4" customWidth="1"/>
    <col min="21" max="21" width="11.42578125" style="4" customWidth="1"/>
    <col min="22" max="22" width="18.42578125" style="4" customWidth="1"/>
    <col min="23" max="23" width="1.42578125" style="4" customWidth="1"/>
    <col min="24" max="24" width="11.42578125" style="4" customWidth="1"/>
    <col min="25" max="25" width="18.42578125" style="4" customWidth="1"/>
    <col min="26" max="26" width="1.42578125" style="4" customWidth="1"/>
    <col min="27" max="27" width="11.42578125" style="4" customWidth="1"/>
    <col min="28" max="28" width="1.42578125" style="4" customWidth="1"/>
    <col min="29" max="29" width="11.42578125" style="4" customWidth="1"/>
    <col min="30" max="30" width="1.42578125" style="4" customWidth="1"/>
    <col min="31" max="31" width="18.42578125" style="4" customWidth="1"/>
    <col min="32" max="32" width="1.42578125" style="4" customWidth="1"/>
    <col min="33" max="33" width="18.42578125" style="4" customWidth="1"/>
    <col min="34" max="34" width="1.42578125" style="4" customWidth="1"/>
    <col min="35" max="35" width="8.5703125" style="4" customWidth="1"/>
    <col min="36" max="16384" width="9.140625" style="4"/>
  </cols>
  <sheetData>
    <row r="1" spans="1:35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</row>
    <row r="2" spans="1:35" ht="20.100000000000001" customHeight="1" x14ac:dyDescent="0.4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</row>
    <row r="5" spans="1:35" ht="21" x14ac:dyDescent="0.45">
      <c r="A5" s="35" t="s">
        <v>113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</row>
    <row r="7" spans="1:35" ht="21" x14ac:dyDescent="0.45">
      <c r="C7" s="28" t="s">
        <v>114</v>
      </c>
      <c r="D7" s="29"/>
      <c r="E7" s="29"/>
      <c r="F7" s="29"/>
      <c r="G7" s="29"/>
      <c r="H7" s="29"/>
      <c r="I7" s="29"/>
      <c r="J7" s="29"/>
      <c r="K7" s="29"/>
      <c r="L7" s="29"/>
      <c r="M7" s="29"/>
      <c r="O7" s="28" t="s">
        <v>5</v>
      </c>
      <c r="P7" s="29"/>
      <c r="Q7" s="29"/>
      <c r="R7" s="29"/>
      <c r="S7" s="29"/>
      <c r="U7" s="28" t="s">
        <v>6</v>
      </c>
      <c r="V7" s="29"/>
      <c r="W7" s="29"/>
      <c r="X7" s="29"/>
      <c r="Y7" s="29"/>
      <c r="AA7" s="28" t="s">
        <v>7</v>
      </c>
      <c r="AB7" s="29"/>
      <c r="AC7" s="29"/>
      <c r="AD7" s="29"/>
      <c r="AE7" s="29"/>
      <c r="AF7" s="29"/>
      <c r="AG7" s="29"/>
      <c r="AH7" s="29"/>
      <c r="AI7" s="29"/>
    </row>
    <row r="8" spans="1:35" ht="18.75" x14ac:dyDescent="0.45">
      <c r="A8" s="30" t="s">
        <v>115</v>
      </c>
      <c r="C8" s="33" t="s">
        <v>116</v>
      </c>
      <c r="E8" s="33" t="s">
        <v>117</v>
      </c>
      <c r="G8" s="33" t="s">
        <v>118</v>
      </c>
      <c r="I8" s="33" t="s">
        <v>119</v>
      </c>
      <c r="K8" s="33" t="s">
        <v>120</v>
      </c>
      <c r="M8" s="33" t="s">
        <v>121</v>
      </c>
      <c r="O8" s="30" t="s">
        <v>9</v>
      </c>
      <c r="Q8" s="30" t="s">
        <v>10</v>
      </c>
      <c r="S8" s="30" t="s">
        <v>11</v>
      </c>
      <c r="U8" s="30" t="s">
        <v>12</v>
      </c>
      <c r="V8" s="32"/>
      <c r="X8" s="30" t="s">
        <v>13</v>
      </c>
      <c r="Y8" s="32"/>
      <c r="AA8" s="30" t="s">
        <v>9</v>
      </c>
      <c r="AC8" s="33" t="s">
        <v>122</v>
      </c>
      <c r="AE8" s="30" t="s">
        <v>10</v>
      </c>
      <c r="AG8" s="30" t="s">
        <v>11</v>
      </c>
      <c r="AI8" s="33" t="s">
        <v>15</v>
      </c>
    </row>
    <row r="9" spans="1:35" ht="18.75" x14ac:dyDescent="0.45">
      <c r="A9" s="31"/>
      <c r="C9" s="31"/>
      <c r="E9" s="31"/>
      <c r="G9" s="31"/>
      <c r="I9" s="31"/>
      <c r="K9" s="31"/>
      <c r="M9" s="31"/>
      <c r="O9" s="31"/>
      <c r="Q9" s="31"/>
      <c r="S9" s="31"/>
      <c r="U9" s="9" t="s">
        <v>9</v>
      </c>
      <c r="V9" s="9" t="s">
        <v>10</v>
      </c>
      <c r="X9" s="9" t="s">
        <v>9</v>
      </c>
      <c r="Y9" s="9" t="s">
        <v>16</v>
      </c>
      <c r="AA9" s="31"/>
      <c r="AC9" s="31"/>
      <c r="AE9" s="31"/>
      <c r="AG9" s="31"/>
      <c r="AI9" s="31"/>
    </row>
    <row r="10" spans="1:35" ht="18.75" x14ac:dyDescent="0.45">
      <c r="A10" s="13" t="s">
        <v>99</v>
      </c>
      <c r="O10" s="13">
        <f>SUM($O$9)</f>
        <v>0</v>
      </c>
      <c r="Q10" s="13">
        <f>SUM($Q$9)</f>
        <v>0</v>
      </c>
      <c r="S10" s="13">
        <f>SUM($S$9)</f>
        <v>0</v>
      </c>
      <c r="U10" s="13">
        <f>SUM($U$9)</f>
        <v>0</v>
      </c>
      <c r="V10" s="13">
        <f>SUM($V$9)</f>
        <v>0</v>
      </c>
      <c r="X10" s="13">
        <f>SUM($X$9)</f>
        <v>0</v>
      </c>
      <c r="Y10" s="13">
        <f>SUM($Y$9)</f>
        <v>0</v>
      </c>
      <c r="AA10" s="13">
        <f>SUM($AA$9)</f>
        <v>0</v>
      </c>
      <c r="AC10" s="13">
        <f>SUM($AC$9)</f>
        <v>0</v>
      </c>
      <c r="AE10" s="13">
        <f>SUM($AE$9)</f>
        <v>0</v>
      </c>
      <c r="AG10" s="13">
        <f>SUM($AG$9)</f>
        <v>0</v>
      </c>
      <c r="AI10" s="14">
        <f>SUM($AI$9)</f>
        <v>0</v>
      </c>
    </row>
    <row r="11" spans="1:35" ht="18.75" x14ac:dyDescent="0.45">
      <c r="O11" s="15"/>
      <c r="Q11" s="15"/>
      <c r="S11" s="15"/>
      <c r="U11" s="15"/>
      <c r="V11" s="15"/>
      <c r="X11" s="15"/>
      <c r="Y11" s="15"/>
      <c r="AA11" s="15"/>
      <c r="AC11" s="15"/>
      <c r="AE11" s="15"/>
      <c r="AG11" s="15"/>
      <c r="AI11" s="15"/>
    </row>
  </sheetData>
  <mergeCells count="25">
    <mergeCell ref="A1:AI1"/>
    <mergeCell ref="A2:AI2"/>
    <mergeCell ref="A3:AI3"/>
    <mergeCell ref="A5:AI5"/>
    <mergeCell ref="C7:M7"/>
    <mergeCell ref="O7:S7"/>
    <mergeCell ref="U7:Y7"/>
    <mergeCell ref="AA7:AI7"/>
    <mergeCell ref="A8:A9"/>
    <mergeCell ref="C8:C9"/>
    <mergeCell ref="E8:E9"/>
    <mergeCell ref="G8:G9"/>
    <mergeCell ref="I8:I9"/>
    <mergeCell ref="K8:K9"/>
    <mergeCell ref="M8:M9"/>
    <mergeCell ref="O8:O9"/>
    <mergeCell ref="Q8:Q9"/>
    <mergeCell ref="S8:S9"/>
    <mergeCell ref="AG8:AG9"/>
    <mergeCell ref="AI8:AI9"/>
    <mergeCell ref="U8:V8"/>
    <mergeCell ref="X8:Y8"/>
    <mergeCell ref="AA8:AA9"/>
    <mergeCell ref="AC8:AC9"/>
    <mergeCell ref="AE8:AE9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8.42578125" style="4" customWidth="1"/>
    <col min="2" max="2" width="1.42578125" style="4" customWidth="1"/>
    <col min="3" max="3" width="11.42578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4.140625" style="4" customWidth="1"/>
    <col min="8" max="8" width="1.42578125" style="4" customWidth="1"/>
    <col min="9" max="9" width="8.5703125" style="4" customWidth="1"/>
    <col min="10" max="10" width="1.42578125" style="4" customWidth="1"/>
    <col min="11" max="11" width="21.28515625" style="4" customWidth="1"/>
    <col min="12" max="12" width="1.42578125" style="4" customWidth="1"/>
    <col min="13" max="13" width="28.42578125" style="4" customWidth="1"/>
    <col min="14" max="16384" width="9.140625" style="4"/>
  </cols>
  <sheetData>
    <row r="1" spans="1:13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20.100000000000001" customHeight="1" x14ac:dyDescent="0.4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5" spans="1:13" ht="21" x14ac:dyDescent="0.45">
      <c r="A5" s="35" t="s">
        <v>123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ht="21" x14ac:dyDescent="0.45">
      <c r="A6" s="35" t="s">
        <v>124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</row>
    <row r="8" spans="1:13" ht="21" x14ac:dyDescent="0.45">
      <c r="C8" s="28" t="s">
        <v>7</v>
      </c>
      <c r="D8" s="29"/>
      <c r="E8" s="29"/>
      <c r="F8" s="29"/>
      <c r="G8" s="29"/>
      <c r="H8" s="29"/>
      <c r="I8" s="29"/>
      <c r="J8" s="29"/>
      <c r="K8" s="29"/>
      <c r="L8" s="29"/>
      <c r="M8" s="29"/>
    </row>
    <row r="9" spans="1:13" ht="42" x14ac:dyDescent="0.45">
      <c r="A9" s="6" t="s">
        <v>125</v>
      </c>
      <c r="C9" s="6" t="s">
        <v>9</v>
      </c>
      <c r="E9" s="6" t="s">
        <v>126</v>
      </c>
      <c r="G9" s="6" t="s">
        <v>127</v>
      </c>
      <c r="I9" s="6" t="s">
        <v>128</v>
      </c>
      <c r="K9" s="16" t="s">
        <v>129</v>
      </c>
      <c r="M9" s="6" t="s">
        <v>130</v>
      </c>
    </row>
    <row r="10" spans="1:13" ht="18.75" x14ac:dyDescent="0.45">
      <c r="A10" s="13" t="s">
        <v>99</v>
      </c>
      <c r="K10" s="13">
        <f>SUM($K$9)</f>
        <v>0</v>
      </c>
    </row>
    <row r="11" spans="1:13" ht="18.75" x14ac:dyDescent="0.45">
      <c r="K11" s="15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20"/>
  <sheetViews>
    <sheetView rightToLeft="1" view="pageBreakPreview" zoomScaleNormal="100" zoomScaleSheetLayoutView="100" workbookViewId="0">
      <selection activeCell="G19" sqref="G19:I20"/>
    </sheetView>
  </sheetViews>
  <sheetFormatPr defaultRowHeight="18" x14ac:dyDescent="0.45"/>
  <cols>
    <col min="1" max="1" width="28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8.42578125" style="4" customWidth="1"/>
    <col min="6" max="6" width="1.42578125" style="4" customWidth="1"/>
    <col min="7" max="7" width="18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0.7109375" style="4" customWidth="1"/>
    <col min="12" max="16384" width="9.140625" style="4"/>
  </cols>
  <sheetData>
    <row r="1" spans="1:16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6" ht="20.100000000000001" customHeight="1" x14ac:dyDescent="0.4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6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5" spans="1:16" ht="21" x14ac:dyDescent="0.55000000000000004">
      <c r="A5" s="38" t="s">
        <v>285</v>
      </c>
      <c r="B5" s="39"/>
      <c r="C5" s="39"/>
      <c r="D5" s="39"/>
      <c r="E5" s="39"/>
      <c r="F5" s="39"/>
      <c r="G5" s="39"/>
      <c r="H5" s="39"/>
      <c r="I5" s="39"/>
      <c r="J5" s="39"/>
      <c r="K5" s="39"/>
    </row>
    <row r="7" spans="1:16" ht="21" x14ac:dyDescent="0.45">
      <c r="C7" s="6" t="s">
        <v>5</v>
      </c>
      <c r="E7" s="28" t="s">
        <v>6</v>
      </c>
      <c r="F7" s="29"/>
      <c r="G7" s="29"/>
      <c r="I7" s="28" t="s">
        <v>7</v>
      </c>
      <c r="J7" s="29"/>
      <c r="K7" s="29"/>
      <c r="P7" s="18"/>
    </row>
    <row r="8" spans="1:16" ht="63" x14ac:dyDescent="0.45">
      <c r="A8" s="6" t="s">
        <v>131</v>
      </c>
      <c r="C8" s="6" t="s">
        <v>133</v>
      </c>
      <c r="E8" s="6" t="s">
        <v>134</v>
      </c>
      <c r="G8" s="6" t="s">
        <v>135</v>
      </c>
      <c r="I8" s="6" t="s">
        <v>133</v>
      </c>
      <c r="K8" s="16" t="s">
        <v>15</v>
      </c>
    </row>
    <row r="9" spans="1:16" ht="18.75" x14ac:dyDescent="0.45">
      <c r="A9" s="19" t="s">
        <v>136</v>
      </c>
      <c r="C9" s="11">
        <v>8436137</v>
      </c>
      <c r="E9" s="11">
        <v>34574</v>
      </c>
      <c r="G9" s="11">
        <v>0</v>
      </c>
      <c r="I9" s="11">
        <v>8470711</v>
      </c>
      <c r="K9" s="12">
        <v>3.0138448481772593E-6</v>
      </c>
    </row>
    <row r="10" spans="1:16" ht="18.75" x14ac:dyDescent="0.45">
      <c r="A10" s="10" t="s">
        <v>137</v>
      </c>
      <c r="C10" s="11">
        <v>572000119</v>
      </c>
      <c r="E10" s="11">
        <v>44738599310</v>
      </c>
      <c r="G10" s="11">
        <v>43882530013</v>
      </c>
      <c r="I10" s="11">
        <v>1428069416</v>
      </c>
      <c r="K10" s="12">
        <v>5.0810134500529024E-4</v>
      </c>
    </row>
    <row r="11" spans="1:16" ht="18.75" x14ac:dyDescent="0.45">
      <c r="A11" s="10" t="s">
        <v>138</v>
      </c>
      <c r="C11" s="11">
        <v>9926450252</v>
      </c>
      <c r="E11" s="11">
        <v>59956605308</v>
      </c>
      <c r="G11" s="11">
        <v>39911622000</v>
      </c>
      <c r="I11" s="11">
        <v>29971433560</v>
      </c>
      <c r="K11" s="12">
        <v>1.066371531590359E-2</v>
      </c>
    </row>
    <row r="12" spans="1:16" ht="18.75" x14ac:dyDescent="0.45">
      <c r="A12" s="10" t="s">
        <v>139</v>
      </c>
      <c r="C12" s="11">
        <v>9114818</v>
      </c>
      <c r="E12" s="11">
        <v>37458</v>
      </c>
      <c r="G12" s="11">
        <v>0</v>
      </c>
      <c r="I12" s="11">
        <v>9152276</v>
      </c>
      <c r="K12" s="12">
        <v>3.2563429293829498E-6</v>
      </c>
    </row>
    <row r="13" spans="1:16" ht="18.75" x14ac:dyDescent="0.45">
      <c r="A13" s="10" t="s">
        <v>140</v>
      </c>
      <c r="C13" s="11">
        <v>16220242</v>
      </c>
      <c r="E13" s="11">
        <v>66206</v>
      </c>
      <c r="G13" s="11">
        <v>0</v>
      </c>
      <c r="I13" s="11">
        <v>16286448</v>
      </c>
      <c r="K13" s="12">
        <v>5.7946525858227045E-6</v>
      </c>
    </row>
    <row r="14" spans="1:16" ht="18.75" x14ac:dyDescent="0.45">
      <c r="A14" s="10" t="s">
        <v>141</v>
      </c>
      <c r="C14" s="11">
        <v>10072850</v>
      </c>
      <c r="E14" s="11">
        <v>82395</v>
      </c>
      <c r="G14" s="11">
        <v>0</v>
      </c>
      <c r="I14" s="11">
        <v>10155245</v>
      </c>
      <c r="K14" s="12">
        <v>3.6131952589608915E-6</v>
      </c>
    </row>
    <row r="15" spans="1:16" ht="18.75" x14ac:dyDescent="0.45">
      <c r="A15" s="10" t="s">
        <v>142</v>
      </c>
      <c r="C15" s="11">
        <v>2599561447</v>
      </c>
      <c r="E15" s="11">
        <v>32893055544</v>
      </c>
      <c r="G15" s="11">
        <v>33481011956</v>
      </c>
      <c r="I15" s="11">
        <v>2011605035</v>
      </c>
      <c r="K15" s="12">
        <v>7.157209673783211E-4</v>
      </c>
    </row>
    <row r="16" spans="1:16" ht="19.5" thickBot="1" x14ac:dyDescent="0.5">
      <c r="A16" s="13" t="s">
        <v>99</v>
      </c>
      <c r="C16" s="13">
        <f>SUM(C9:$C$15)</f>
        <v>13141855865</v>
      </c>
      <c r="E16" s="13">
        <f>SUM(E9:$E$15)</f>
        <v>137588480795</v>
      </c>
      <c r="G16" s="13">
        <f>SUM(G9:$G$15)</f>
        <v>117275163969</v>
      </c>
      <c r="I16" s="13">
        <f>SUM(I9:$I$15)</f>
        <v>33455172691</v>
      </c>
      <c r="K16" s="14">
        <f>SUM(K9:K15)</f>
        <v>1.1903215663909545E-2</v>
      </c>
    </row>
    <row r="17" spans="3:11" ht="19.5" thickTop="1" x14ac:dyDescent="0.45">
      <c r="C17" s="15"/>
      <c r="E17" s="15"/>
      <c r="G17" s="15"/>
      <c r="I17" s="15"/>
      <c r="K17" s="15"/>
    </row>
    <row r="19" spans="3:11" x14ac:dyDescent="0.45">
      <c r="I19" s="45"/>
    </row>
    <row r="20" spans="3:11" x14ac:dyDescent="0.45">
      <c r="G20" s="18"/>
      <c r="I20" s="18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8"/>
  <sheetViews>
    <sheetView rightToLeft="1" tabSelected="1" view="pageBreakPreview" zoomScale="98" zoomScaleNormal="100" zoomScaleSheetLayoutView="98" workbookViewId="0">
      <selection activeCell="E17" sqref="E17:E18"/>
    </sheetView>
  </sheetViews>
  <sheetFormatPr defaultRowHeight="18" x14ac:dyDescent="0.45"/>
  <cols>
    <col min="1" max="1" width="57.5703125" style="4" bestFit="1" customWidth="1"/>
    <col min="2" max="2" width="1.42578125" style="4" customWidth="1"/>
    <col min="3" max="3" width="11.42578125" style="4" customWidth="1"/>
    <col min="4" max="4" width="1.42578125" style="4" customWidth="1"/>
    <col min="5" max="5" width="21.285156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1.42578125" style="4" customWidth="1"/>
    <col min="10" max="16384" width="9.140625" style="4"/>
  </cols>
  <sheetData>
    <row r="1" spans="1:14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</row>
    <row r="2" spans="1:14" ht="20.100000000000001" customHeight="1" x14ac:dyDescent="0.45">
      <c r="A2" s="34" t="s">
        <v>143</v>
      </c>
      <c r="B2" s="32"/>
      <c r="C2" s="32"/>
      <c r="D2" s="32"/>
      <c r="E2" s="32"/>
      <c r="F2" s="32"/>
      <c r="G2" s="32"/>
      <c r="H2" s="32"/>
      <c r="I2" s="32"/>
    </row>
    <row r="3" spans="1:14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</row>
    <row r="5" spans="1:14" ht="21" x14ac:dyDescent="0.45">
      <c r="A5" s="35" t="s">
        <v>144</v>
      </c>
      <c r="B5" s="32"/>
      <c r="C5" s="32"/>
      <c r="D5" s="32"/>
      <c r="E5" s="32"/>
      <c r="F5" s="32"/>
      <c r="G5" s="32"/>
      <c r="H5" s="32"/>
      <c r="I5" s="32"/>
    </row>
    <row r="6" spans="1:14" x14ac:dyDescent="0.45">
      <c r="N6" s="18"/>
    </row>
    <row r="7" spans="1:14" ht="42" x14ac:dyDescent="0.45">
      <c r="A7" s="6" t="s">
        <v>145</v>
      </c>
      <c r="C7" s="6" t="s">
        <v>146</v>
      </c>
      <c r="E7" s="6" t="s">
        <v>133</v>
      </c>
      <c r="G7" s="16" t="s">
        <v>147</v>
      </c>
      <c r="I7" s="16" t="s">
        <v>148</v>
      </c>
    </row>
    <row r="8" spans="1:14" ht="21" x14ac:dyDescent="0.45">
      <c r="A8" s="5" t="s">
        <v>149</v>
      </c>
      <c r="C8" s="7" t="s">
        <v>286</v>
      </c>
      <c r="E8" s="11">
        <v>509046213452</v>
      </c>
      <c r="G8" s="12">
        <f>E8/513518409149</f>
        <v>0.99129107035439823</v>
      </c>
      <c r="I8" s="12">
        <v>0.18111659197161273</v>
      </c>
    </row>
    <row r="9" spans="1:14" ht="21" x14ac:dyDescent="0.45">
      <c r="A9" s="5" t="s">
        <v>287</v>
      </c>
      <c r="C9" s="7" t="s">
        <v>288</v>
      </c>
      <c r="E9" s="11">
        <v>0</v>
      </c>
      <c r="G9" s="12">
        <v>0</v>
      </c>
      <c r="I9" s="12">
        <v>0</v>
      </c>
    </row>
    <row r="10" spans="1:14" ht="21" x14ac:dyDescent="0.45">
      <c r="A10" s="5" t="s">
        <v>150</v>
      </c>
      <c r="C10" s="7" t="s">
        <v>289</v>
      </c>
      <c r="E10" s="11">
        <v>2788210513</v>
      </c>
      <c r="G10" s="12">
        <f>E10/513518409149</f>
        <v>5.4296213403928553E-3</v>
      </c>
      <c r="I10" s="12">
        <v>9.9203406777054757E-4</v>
      </c>
    </row>
    <row r="11" spans="1:14" ht="21" x14ac:dyDescent="0.45">
      <c r="A11" s="5" t="s">
        <v>151</v>
      </c>
      <c r="C11" s="7" t="s">
        <v>290</v>
      </c>
      <c r="E11" s="11">
        <v>1365638097</v>
      </c>
      <c r="G11" s="12">
        <f>E11/513518409149</f>
        <v>2.6593751512494525E-3</v>
      </c>
      <c r="I11" s="12">
        <v>4.8588853321970805E-4</v>
      </c>
    </row>
    <row r="12" spans="1:14" ht="21" x14ac:dyDescent="0.45">
      <c r="A12" s="5" t="s">
        <v>152</v>
      </c>
      <c r="C12" s="7" t="s">
        <v>291</v>
      </c>
      <c r="E12" s="11">
        <v>318347087</v>
      </c>
      <c r="G12" s="12">
        <f>E12/513518409149</f>
        <v>6.1993315395949113E-4</v>
      </c>
      <c r="I12" s="12">
        <v>1.1326661104211768E-4</v>
      </c>
    </row>
    <row r="13" spans="1:14" ht="21" x14ac:dyDescent="0.45">
      <c r="A13" s="6" t="s">
        <v>99</v>
      </c>
      <c r="E13" s="13">
        <f>SUM(E8:$E$12)</f>
        <v>513518409149</v>
      </c>
      <c r="G13" s="14">
        <f>SUM(G8:$G$12)</f>
        <v>1</v>
      </c>
      <c r="I13" s="14">
        <f>SUM(I8:$I$12)</f>
        <v>0.18270778118364508</v>
      </c>
    </row>
    <row r="14" spans="1:14" ht="18.75" x14ac:dyDescent="0.45">
      <c r="E14" s="15"/>
      <c r="G14" s="15"/>
      <c r="I14" s="15"/>
    </row>
    <row r="18" spans="5:5" x14ac:dyDescent="0.45">
      <c r="E18" s="18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81"/>
  <sheetViews>
    <sheetView rightToLeft="1" view="pageBreakPreview" topLeftCell="A49" zoomScale="60" zoomScaleNormal="100" workbookViewId="0">
      <selection sqref="A1:W1"/>
    </sheetView>
  </sheetViews>
  <sheetFormatPr defaultRowHeight="18" x14ac:dyDescent="0.45"/>
  <cols>
    <col min="1" max="1" width="17.5703125" style="4" bestFit="1" customWidth="1"/>
    <col min="2" max="2" width="1.42578125" style="4" customWidth="1"/>
    <col min="3" max="3" width="12.5703125" style="4" bestFit="1" customWidth="1"/>
    <col min="4" max="4" width="1.42578125" style="4" customWidth="1"/>
    <col min="5" max="5" width="17.5703125" style="4" bestFit="1" customWidth="1"/>
    <col min="6" max="6" width="1.42578125" style="4" customWidth="1"/>
    <col min="7" max="7" width="10.5703125" style="4" bestFit="1" customWidth="1"/>
    <col min="8" max="8" width="1.42578125" style="4" customWidth="1"/>
    <col min="9" max="9" width="16.85546875" style="4" bestFit="1" customWidth="1"/>
    <col min="10" max="10" width="1.42578125" style="4" customWidth="1"/>
    <col min="11" max="11" width="16.5703125" style="4" bestFit="1" customWidth="1"/>
    <col min="12" max="12" width="1.42578125" style="4" customWidth="1"/>
    <col min="13" max="13" width="16.5703125" style="4" bestFit="1" customWidth="1"/>
    <col min="14" max="14" width="1.42578125" style="4" customWidth="1"/>
    <col min="15" max="15" width="18" style="4" bestFit="1" customWidth="1"/>
    <col min="16" max="16" width="1.42578125" style="4" customWidth="1"/>
    <col min="17" max="17" width="16.28515625" style="4" bestFit="1" customWidth="1"/>
    <col min="18" max="18" width="1.42578125" style="4" customWidth="1"/>
    <col min="19" max="19" width="18.28515625" style="4" bestFit="1" customWidth="1"/>
    <col min="20" max="16384" width="9.140625" style="4"/>
  </cols>
  <sheetData>
    <row r="1" spans="1:19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20.100000000000001" customHeight="1" x14ac:dyDescent="0.45">
      <c r="A2" s="34" t="s">
        <v>143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5" spans="1:19" ht="21" x14ac:dyDescent="0.45">
      <c r="A5" s="35" t="s">
        <v>153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7" spans="1:19" ht="21" x14ac:dyDescent="0.45">
      <c r="C7" s="28" t="s">
        <v>154</v>
      </c>
      <c r="D7" s="29"/>
      <c r="E7" s="29"/>
      <c r="F7" s="29"/>
      <c r="G7" s="29"/>
      <c r="I7" s="28" t="s">
        <v>155</v>
      </c>
      <c r="J7" s="29"/>
      <c r="K7" s="29"/>
      <c r="L7" s="29"/>
      <c r="M7" s="29"/>
      <c r="O7" s="28" t="s">
        <v>7</v>
      </c>
      <c r="P7" s="29"/>
      <c r="Q7" s="29"/>
      <c r="R7" s="29"/>
      <c r="S7" s="29"/>
    </row>
    <row r="8" spans="1:19" ht="42" x14ac:dyDescent="0.45">
      <c r="A8" s="6" t="s">
        <v>101</v>
      </c>
      <c r="C8" s="16" t="s">
        <v>156</v>
      </c>
      <c r="E8" s="16" t="s">
        <v>157</v>
      </c>
      <c r="G8" s="16" t="s">
        <v>158</v>
      </c>
      <c r="I8" s="16" t="s">
        <v>159</v>
      </c>
      <c r="K8" s="16" t="s">
        <v>160</v>
      </c>
      <c r="M8" s="16" t="s">
        <v>161</v>
      </c>
      <c r="O8" s="16" t="s">
        <v>159</v>
      </c>
      <c r="Q8" s="16" t="s">
        <v>160</v>
      </c>
      <c r="S8" s="16" t="s">
        <v>161</v>
      </c>
    </row>
    <row r="9" spans="1:19" ht="37.5" x14ac:dyDescent="0.45">
      <c r="A9" s="8" t="s">
        <v>18</v>
      </c>
      <c r="C9" s="7" t="s">
        <v>162</v>
      </c>
      <c r="E9" s="11">
        <v>50000</v>
      </c>
      <c r="G9" s="11">
        <v>1920</v>
      </c>
      <c r="N9" s="7"/>
      <c r="O9" s="11">
        <v>96000000</v>
      </c>
      <c r="Q9" s="11">
        <v>0</v>
      </c>
      <c r="S9" s="11">
        <v>96000000</v>
      </c>
    </row>
    <row r="10" spans="1:19" ht="18.75" x14ac:dyDescent="0.45">
      <c r="A10" s="8" t="s">
        <v>21</v>
      </c>
      <c r="C10" s="7" t="s">
        <v>163</v>
      </c>
      <c r="E10" s="11">
        <v>1895580</v>
      </c>
      <c r="G10" s="11">
        <v>750</v>
      </c>
      <c r="N10" s="7"/>
      <c r="O10" s="11">
        <v>1421685000</v>
      </c>
      <c r="Q10" s="11">
        <v>-3271512</v>
      </c>
      <c r="S10" s="11">
        <v>1418413488</v>
      </c>
    </row>
    <row r="11" spans="1:19" ht="18.75" x14ac:dyDescent="0.45">
      <c r="A11" s="8" t="s">
        <v>27</v>
      </c>
      <c r="C11" s="7" t="s">
        <v>164</v>
      </c>
      <c r="E11" s="11">
        <v>3093440</v>
      </c>
      <c r="G11" s="11">
        <v>70</v>
      </c>
      <c r="N11" s="7"/>
      <c r="O11" s="11">
        <v>216540800</v>
      </c>
      <c r="Q11" s="11">
        <v>0</v>
      </c>
      <c r="S11" s="11">
        <v>216540800</v>
      </c>
    </row>
    <row r="12" spans="1:19" ht="18.75" x14ac:dyDescent="0.45">
      <c r="A12" s="8" t="s">
        <v>165</v>
      </c>
      <c r="C12" s="7" t="s">
        <v>166</v>
      </c>
      <c r="E12" s="11">
        <v>2580626</v>
      </c>
      <c r="G12" s="11">
        <v>310</v>
      </c>
      <c r="N12" s="7"/>
      <c r="O12" s="11">
        <v>799994060</v>
      </c>
      <c r="Q12" s="11">
        <v>0</v>
      </c>
      <c r="S12" s="11">
        <v>799994060</v>
      </c>
    </row>
    <row r="13" spans="1:19" ht="18.75" x14ac:dyDescent="0.45">
      <c r="A13" s="8" t="s">
        <v>28</v>
      </c>
      <c r="C13" s="7" t="s">
        <v>167</v>
      </c>
      <c r="E13" s="11">
        <v>1621954</v>
      </c>
      <c r="G13" s="11">
        <v>320</v>
      </c>
      <c r="N13" s="7"/>
      <c r="O13" s="11">
        <v>519025280</v>
      </c>
      <c r="Q13" s="11">
        <v>0</v>
      </c>
      <c r="S13" s="11">
        <v>519025280</v>
      </c>
    </row>
    <row r="14" spans="1:19" ht="37.5" x14ac:dyDescent="0.45">
      <c r="A14" s="8" t="s">
        <v>168</v>
      </c>
      <c r="C14" s="7" t="s">
        <v>169</v>
      </c>
      <c r="E14" s="11">
        <v>5417185</v>
      </c>
      <c r="G14" s="11">
        <v>20</v>
      </c>
      <c r="N14" s="7"/>
      <c r="O14" s="11">
        <v>108343700</v>
      </c>
      <c r="Q14" s="11">
        <v>0</v>
      </c>
      <c r="S14" s="11">
        <v>108343700</v>
      </c>
    </row>
    <row r="15" spans="1:19" ht="18.75" x14ac:dyDescent="0.45">
      <c r="A15" s="8" t="s">
        <v>30</v>
      </c>
      <c r="C15" s="7" t="s">
        <v>170</v>
      </c>
      <c r="E15" s="11">
        <v>16400000</v>
      </c>
      <c r="G15" s="11">
        <v>630</v>
      </c>
      <c r="N15" s="7"/>
      <c r="O15" s="11">
        <v>10332000000</v>
      </c>
      <c r="Q15" s="11">
        <v>0</v>
      </c>
      <c r="S15" s="11">
        <v>10332000000</v>
      </c>
    </row>
    <row r="16" spans="1:19" ht="18.75" x14ac:dyDescent="0.45">
      <c r="A16" s="8" t="s">
        <v>171</v>
      </c>
      <c r="C16" s="7" t="s">
        <v>172</v>
      </c>
      <c r="E16" s="11">
        <v>1032456</v>
      </c>
      <c r="G16" s="11">
        <v>500</v>
      </c>
      <c r="N16" s="7"/>
      <c r="O16" s="11">
        <v>516228000</v>
      </c>
      <c r="Q16" s="11">
        <v>0</v>
      </c>
      <c r="S16" s="11">
        <v>516228000</v>
      </c>
    </row>
    <row r="17" spans="1:19" ht="18.75" x14ac:dyDescent="0.45">
      <c r="A17" s="8" t="s">
        <v>32</v>
      </c>
      <c r="C17" s="7" t="s">
        <v>173</v>
      </c>
      <c r="E17" s="11">
        <v>2339629</v>
      </c>
      <c r="G17" s="11">
        <v>1950</v>
      </c>
      <c r="N17" s="7"/>
      <c r="O17" s="11">
        <v>4562276550</v>
      </c>
      <c r="Q17" s="11">
        <v>0</v>
      </c>
      <c r="S17" s="11">
        <v>4562276550</v>
      </c>
    </row>
    <row r="18" spans="1:19" ht="37.5" x14ac:dyDescent="0.45">
      <c r="A18" s="8" t="s">
        <v>33</v>
      </c>
      <c r="C18" s="7" t="s">
        <v>174</v>
      </c>
      <c r="E18" s="11">
        <v>442500</v>
      </c>
      <c r="G18" s="11">
        <v>69</v>
      </c>
      <c r="N18" s="7"/>
      <c r="O18" s="11">
        <v>30532500</v>
      </c>
      <c r="Q18" s="11">
        <v>0</v>
      </c>
      <c r="S18" s="11">
        <v>30532500</v>
      </c>
    </row>
    <row r="19" spans="1:19" ht="37.5" x14ac:dyDescent="0.45">
      <c r="A19" s="8" t="s">
        <v>34</v>
      </c>
      <c r="C19" s="7" t="s">
        <v>175</v>
      </c>
      <c r="E19" s="11">
        <v>571500</v>
      </c>
      <c r="G19" s="11">
        <v>4400</v>
      </c>
      <c r="I19" s="11">
        <v>2514600000</v>
      </c>
      <c r="K19" s="11">
        <v>-102434428</v>
      </c>
      <c r="M19" s="11">
        <v>2412165572</v>
      </c>
      <c r="O19" s="11">
        <v>2514600000</v>
      </c>
      <c r="Q19" s="11">
        <v>-102434428</v>
      </c>
      <c r="S19" s="11">
        <v>2412165572</v>
      </c>
    </row>
    <row r="20" spans="1:19" ht="37.5" x14ac:dyDescent="0.45">
      <c r="A20" s="8" t="s">
        <v>35</v>
      </c>
      <c r="C20" s="7" t="s">
        <v>176</v>
      </c>
      <c r="E20" s="11">
        <v>250000</v>
      </c>
      <c r="G20" s="11">
        <v>325</v>
      </c>
      <c r="I20" s="11">
        <v>81250000</v>
      </c>
      <c r="K20" s="11">
        <v>-3818538</v>
      </c>
      <c r="M20" s="11">
        <v>77431462</v>
      </c>
      <c r="O20" s="11">
        <v>81250000</v>
      </c>
      <c r="Q20" s="11">
        <v>-3818538</v>
      </c>
      <c r="S20" s="11">
        <v>77431462</v>
      </c>
    </row>
    <row r="21" spans="1:19" ht="37.5" x14ac:dyDescent="0.45">
      <c r="A21" s="8" t="s">
        <v>177</v>
      </c>
      <c r="C21" s="7" t="s">
        <v>178</v>
      </c>
      <c r="E21" s="11">
        <v>500000</v>
      </c>
      <c r="G21" s="11">
        <v>3000</v>
      </c>
      <c r="N21" s="7"/>
      <c r="O21" s="11">
        <v>1500000000</v>
      </c>
      <c r="Q21" s="11">
        <v>0</v>
      </c>
      <c r="S21" s="11">
        <v>1500000000</v>
      </c>
    </row>
    <row r="22" spans="1:19" ht="18.75" x14ac:dyDescent="0.45">
      <c r="A22" s="8" t="s">
        <v>38</v>
      </c>
      <c r="C22" s="7" t="s">
        <v>179</v>
      </c>
      <c r="E22" s="11">
        <v>4224582</v>
      </c>
      <c r="G22" s="11">
        <v>120</v>
      </c>
      <c r="N22" s="7"/>
      <c r="O22" s="11">
        <v>506949840</v>
      </c>
      <c r="Q22" s="11">
        <v>0</v>
      </c>
      <c r="S22" s="11">
        <v>506949840</v>
      </c>
    </row>
    <row r="23" spans="1:19" ht="37.5" x14ac:dyDescent="0.45">
      <c r="A23" s="8" t="s">
        <v>39</v>
      </c>
      <c r="C23" s="7" t="s">
        <v>180</v>
      </c>
      <c r="E23" s="11">
        <v>3129302</v>
      </c>
      <c r="G23" s="11">
        <v>957</v>
      </c>
      <c r="N23" s="7"/>
      <c r="O23" s="11">
        <v>2994742014</v>
      </c>
      <c r="Q23" s="11">
        <v>-56352672</v>
      </c>
      <c r="S23" s="11">
        <v>2938389342</v>
      </c>
    </row>
    <row r="24" spans="1:19" ht="18.75" x14ac:dyDescent="0.45">
      <c r="A24" s="8" t="s">
        <v>40</v>
      </c>
      <c r="C24" s="7" t="s">
        <v>181</v>
      </c>
      <c r="E24" s="11">
        <v>3200000</v>
      </c>
      <c r="G24" s="11">
        <v>1830</v>
      </c>
      <c r="N24" s="7"/>
      <c r="O24" s="11">
        <v>5856000000</v>
      </c>
      <c r="Q24" s="11">
        <v>0</v>
      </c>
      <c r="S24" s="11">
        <v>5856000000</v>
      </c>
    </row>
    <row r="25" spans="1:19" ht="18.75" x14ac:dyDescent="0.45">
      <c r="A25" s="8" t="s">
        <v>41</v>
      </c>
      <c r="C25" s="7" t="s">
        <v>182</v>
      </c>
      <c r="E25" s="11">
        <v>3273715</v>
      </c>
      <c r="G25" s="11">
        <v>3500</v>
      </c>
      <c r="N25" s="7"/>
      <c r="O25" s="11">
        <v>11458002500</v>
      </c>
      <c r="Q25" s="11">
        <v>0</v>
      </c>
      <c r="S25" s="11">
        <v>11458002500</v>
      </c>
    </row>
    <row r="26" spans="1:19" ht="18.75" x14ac:dyDescent="0.45">
      <c r="A26" s="8" t="s">
        <v>183</v>
      </c>
      <c r="C26" s="7" t="s">
        <v>184</v>
      </c>
      <c r="E26" s="11">
        <v>628197</v>
      </c>
      <c r="G26" s="11">
        <v>8700</v>
      </c>
      <c r="N26" s="7"/>
      <c r="O26" s="11">
        <v>5465313900</v>
      </c>
      <c r="Q26" s="11">
        <v>0</v>
      </c>
      <c r="S26" s="11">
        <v>5465313900</v>
      </c>
    </row>
    <row r="27" spans="1:19" ht="18.75" x14ac:dyDescent="0.45">
      <c r="A27" s="8" t="s">
        <v>185</v>
      </c>
      <c r="C27" s="7" t="s">
        <v>186</v>
      </c>
      <c r="E27" s="11">
        <v>188</v>
      </c>
      <c r="G27" s="11">
        <v>1540</v>
      </c>
      <c r="N27" s="7"/>
      <c r="O27" s="11">
        <v>289520</v>
      </c>
      <c r="Q27" s="11">
        <v>0</v>
      </c>
      <c r="S27" s="11">
        <v>289520</v>
      </c>
    </row>
    <row r="28" spans="1:19" ht="18.75" x14ac:dyDescent="0.45">
      <c r="A28" s="8" t="s">
        <v>43</v>
      </c>
      <c r="C28" s="7" t="s">
        <v>179</v>
      </c>
      <c r="E28" s="11">
        <v>1800000</v>
      </c>
      <c r="G28" s="11">
        <v>4150</v>
      </c>
      <c r="N28" s="7"/>
      <c r="O28" s="11">
        <v>7470000000</v>
      </c>
      <c r="Q28" s="11">
        <v>0</v>
      </c>
      <c r="S28" s="11">
        <v>7470000000</v>
      </c>
    </row>
    <row r="29" spans="1:19" ht="18.75" x14ac:dyDescent="0.45">
      <c r="A29" s="8" t="s">
        <v>187</v>
      </c>
      <c r="C29" s="7" t="s">
        <v>184</v>
      </c>
      <c r="E29" s="11">
        <v>3260353</v>
      </c>
      <c r="G29" s="11">
        <v>700</v>
      </c>
      <c r="N29" s="7"/>
      <c r="O29" s="11">
        <v>2282247100</v>
      </c>
      <c r="Q29" s="11">
        <v>0</v>
      </c>
      <c r="S29" s="11">
        <v>2282247100</v>
      </c>
    </row>
    <row r="30" spans="1:19" ht="18.75" x14ac:dyDescent="0.45">
      <c r="A30" s="8" t="s">
        <v>44</v>
      </c>
      <c r="C30" s="7" t="s">
        <v>188</v>
      </c>
      <c r="E30" s="11">
        <v>6818560</v>
      </c>
      <c r="G30" s="11">
        <v>52</v>
      </c>
      <c r="N30" s="7"/>
      <c r="O30" s="11">
        <v>354565120</v>
      </c>
      <c r="Q30" s="11">
        <v>0</v>
      </c>
      <c r="S30" s="11">
        <v>354565120</v>
      </c>
    </row>
    <row r="31" spans="1:19" ht="37.5" x14ac:dyDescent="0.45">
      <c r="A31" s="8" t="s">
        <v>45</v>
      </c>
      <c r="C31" s="7" t="s">
        <v>189</v>
      </c>
      <c r="E31" s="11">
        <v>6186817</v>
      </c>
      <c r="G31" s="11">
        <v>210</v>
      </c>
      <c r="N31" s="7"/>
      <c r="O31" s="11">
        <v>1299231570</v>
      </c>
      <c r="Q31" s="11">
        <v>0</v>
      </c>
      <c r="S31" s="11">
        <v>1299231570</v>
      </c>
    </row>
    <row r="32" spans="1:19" ht="18.75" x14ac:dyDescent="0.45">
      <c r="A32" s="8" t="s">
        <v>46</v>
      </c>
      <c r="C32" s="7" t="s">
        <v>167</v>
      </c>
      <c r="E32" s="11">
        <v>6441064</v>
      </c>
      <c r="G32" s="11">
        <v>103</v>
      </c>
      <c r="N32" s="7"/>
      <c r="O32" s="11">
        <v>663429592</v>
      </c>
      <c r="Q32" s="11">
        <v>0</v>
      </c>
      <c r="S32" s="11">
        <v>663429592</v>
      </c>
    </row>
    <row r="33" spans="1:19" ht="18.75" x14ac:dyDescent="0.45">
      <c r="A33" s="8" t="s">
        <v>47</v>
      </c>
      <c r="C33" s="7" t="s">
        <v>190</v>
      </c>
      <c r="E33" s="11">
        <v>5362092</v>
      </c>
      <c r="G33" s="11">
        <v>150</v>
      </c>
      <c r="I33" s="11">
        <v>804313800</v>
      </c>
      <c r="K33" s="11">
        <v>-91321603</v>
      </c>
      <c r="M33" s="11">
        <v>712992197</v>
      </c>
      <c r="O33" s="11">
        <v>5777604930</v>
      </c>
      <c r="Q33" s="11">
        <v>-91321603</v>
      </c>
      <c r="S33" s="11">
        <v>5686283327</v>
      </c>
    </row>
    <row r="34" spans="1:19" ht="18.75" x14ac:dyDescent="0.45">
      <c r="A34" s="8" t="s">
        <v>49</v>
      </c>
      <c r="C34" s="7" t="s">
        <v>191</v>
      </c>
      <c r="E34" s="11">
        <v>2029694</v>
      </c>
      <c r="G34" s="11">
        <v>4070</v>
      </c>
      <c r="N34" s="7"/>
      <c r="O34" s="11">
        <v>8260854580</v>
      </c>
      <c r="Q34" s="11">
        <v>0</v>
      </c>
      <c r="S34" s="11">
        <v>8260854580</v>
      </c>
    </row>
    <row r="35" spans="1:19" ht="18.75" x14ac:dyDescent="0.45">
      <c r="A35" s="8" t="s">
        <v>51</v>
      </c>
      <c r="C35" s="7" t="s">
        <v>192</v>
      </c>
      <c r="E35" s="11">
        <v>16712202</v>
      </c>
      <c r="G35" s="11">
        <v>680</v>
      </c>
      <c r="N35" s="7"/>
      <c r="O35" s="11">
        <v>11364297360</v>
      </c>
      <c r="Q35" s="11">
        <v>0</v>
      </c>
      <c r="S35" s="11">
        <v>11364297360</v>
      </c>
    </row>
    <row r="36" spans="1:19" ht="18.75" x14ac:dyDescent="0.45">
      <c r="A36" s="8" t="s">
        <v>52</v>
      </c>
      <c r="C36" s="7" t="s">
        <v>193</v>
      </c>
      <c r="E36" s="11">
        <v>697177</v>
      </c>
      <c r="G36" s="11">
        <v>22200</v>
      </c>
      <c r="N36" s="7"/>
      <c r="O36" s="11">
        <v>15477329400</v>
      </c>
      <c r="Q36" s="11">
        <v>0</v>
      </c>
      <c r="S36" s="11">
        <v>15477329400</v>
      </c>
    </row>
    <row r="37" spans="1:19" ht="18.75" x14ac:dyDescent="0.45">
      <c r="A37" s="8" t="s">
        <v>54</v>
      </c>
      <c r="C37" s="7" t="s">
        <v>194</v>
      </c>
      <c r="E37" s="11">
        <v>200000</v>
      </c>
      <c r="G37" s="11">
        <v>3328</v>
      </c>
      <c r="I37" s="11">
        <v>665600000</v>
      </c>
      <c r="K37" s="11">
        <v>-44259847</v>
      </c>
      <c r="M37" s="11">
        <v>621340153</v>
      </c>
      <c r="O37" s="11">
        <v>665600000</v>
      </c>
      <c r="Q37" s="11">
        <v>-44259847</v>
      </c>
      <c r="S37" s="11">
        <v>621340153</v>
      </c>
    </row>
    <row r="38" spans="1:19" ht="18.75" x14ac:dyDescent="0.45">
      <c r="A38" s="8" t="s">
        <v>195</v>
      </c>
      <c r="C38" s="7" t="s">
        <v>196</v>
      </c>
      <c r="E38" s="11">
        <v>783101</v>
      </c>
      <c r="G38" s="11">
        <v>7500</v>
      </c>
      <c r="N38" s="7"/>
      <c r="O38" s="11">
        <v>5873257500</v>
      </c>
      <c r="Q38" s="11">
        <v>0</v>
      </c>
      <c r="S38" s="11">
        <v>5873257500</v>
      </c>
    </row>
    <row r="39" spans="1:19" ht="37.5" x14ac:dyDescent="0.45">
      <c r="A39" s="8" t="s">
        <v>197</v>
      </c>
      <c r="C39" s="7" t="s">
        <v>179</v>
      </c>
      <c r="E39" s="11">
        <v>4428885</v>
      </c>
      <c r="G39" s="11">
        <v>400</v>
      </c>
      <c r="N39" s="7"/>
      <c r="O39" s="11">
        <v>1771554000</v>
      </c>
      <c r="Q39" s="11">
        <v>0</v>
      </c>
      <c r="S39" s="11">
        <v>1771554000</v>
      </c>
    </row>
    <row r="40" spans="1:19" ht="18.75" x14ac:dyDescent="0.45">
      <c r="A40" s="8" t="s">
        <v>55</v>
      </c>
      <c r="C40" s="7" t="s">
        <v>198</v>
      </c>
      <c r="E40" s="11">
        <v>17343799</v>
      </c>
      <c r="G40" s="11">
        <v>125</v>
      </c>
      <c r="N40" s="7"/>
      <c r="O40" s="11">
        <v>2167974875</v>
      </c>
      <c r="Q40" s="11">
        <v>0</v>
      </c>
      <c r="S40" s="11">
        <v>2167974875</v>
      </c>
    </row>
    <row r="41" spans="1:19" ht="18.75" x14ac:dyDescent="0.45">
      <c r="A41" s="8" t="s">
        <v>199</v>
      </c>
      <c r="C41" s="7" t="s">
        <v>200</v>
      </c>
      <c r="E41" s="11">
        <v>6310177</v>
      </c>
      <c r="G41" s="11">
        <v>470</v>
      </c>
      <c r="N41" s="7"/>
      <c r="O41" s="11">
        <v>2965783190</v>
      </c>
      <c r="Q41" s="11">
        <v>0</v>
      </c>
      <c r="S41" s="11">
        <v>2965783190</v>
      </c>
    </row>
    <row r="42" spans="1:19" ht="18.75" x14ac:dyDescent="0.45">
      <c r="A42" s="8" t="s">
        <v>57</v>
      </c>
      <c r="C42" s="7" t="s">
        <v>174</v>
      </c>
      <c r="E42" s="11">
        <v>40821426</v>
      </c>
      <c r="G42" s="11">
        <v>45</v>
      </c>
      <c r="N42" s="7"/>
      <c r="O42" s="11">
        <v>1836964170</v>
      </c>
      <c r="Q42" s="11">
        <v>0</v>
      </c>
      <c r="S42" s="11">
        <v>1836964170</v>
      </c>
    </row>
    <row r="43" spans="1:19" ht="37.5" x14ac:dyDescent="0.45">
      <c r="A43" s="8" t="s">
        <v>201</v>
      </c>
      <c r="C43" s="7" t="s">
        <v>172</v>
      </c>
      <c r="E43" s="11">
        <v>8440622</v>
      </c>
      <c r="G43" s="11">
        <v>150</v>
      </c>
      <c r="N43" s="7"/>
      <c r="O43" s="11">
        <v>1266093300</v>
      </c>
      <c r="Q43" s="11">
        <v>0</v>
      </c>
      <c r="S43" s="11">
        <v>1266093300</v>
      </c>
    </row>
    <row r="44" spans="1:19" ht="18.75" x14ac:dyDescent="0.45">
      <c r="A44" s="8" t="s">
        <v>58</v>
      </c>
      <c r="C44" s="7" t="s">
        <v>202</v>
      </c>
      <c r="E44" s="11">
        <v>10646044</v>
      </c>
      <c r="G44" s="11">
        <v>700</v>
      </c>
      <c r="N44" s="7"/>
      <c r="O44" s="11">
        <v>7452230800</v>
      </c>
      <c r="Q44" s="11">
        <v>0</v>
      </c>
      <c r="S44" s="11">
        <v>7452230800</v>
      </c>
    </row>
    <row r="45" spans="1:19" ht="18.75" x14ac:dyDescent="0.45">
      <c r="A45" s="8" t="s">
        <v>60</v>
      </c>
      <c r="C45" s="7" t="s">
        <v>203</v>
      </c>
      <c r="E45" s="11">
        <v>14731919</v>
      </c>
      <c r="G45" s="11">
        <v>630</v>
      </c>
      <c r="N45" s="7"/>
      <c r="O45" s="11">
        <v>9281108970</v>
      </c>
      <c r="Q45" s="11">
        <v>0</v>
      </c>
      <c r="S45" s="11">
        <v>9281108970</v>
      </c>
    </row>
    <row r="46" spans="1:19" ht="18.75" x14ac:dyDescent="0.45">
      <c r="A46" s="8" t="s">
        <v>204</v>
      </c>
      <c r="C46" s="7" t="s">
        <v>203</v>
      </c>
      <c r="E46" s="11">
        <v>12268462</v>
      </c>
      <c r="G46" s="11">
        <v>34</v>
      </c>
      <c r="N46" s="7"/>
      <c r="O46" s="11">
        <v>417127708</v>
      </c>
      <c r="Q46" s="11">
        <v>0</v>
      </c>
      <c r="S46" s="11">
        <v>417127708</v>
      </c>
    </row>
    <row r="47" spans="1:19" ht="18.75" x14ac:dyDescent="0.45">
      <c r="A47" s="8" t="s">
        <v>62</v>
      </c>
      <c r="C47" s="7" t="s">
        <v>192</v>
      </c>
      <c r="E47" s="11">
        <v>5208577</v>
      </c>
      <c r="G47" s="11">
        <v>1000</v>
      </c>
      <c r="N47" s="7"/>
      <c r="O47" s="11">
        <v>5208577000</v>
      </c>
      <c r="Q47" s="11">
        <v>0</v>
      </c>
      <c r="S47" s="11">
        <v>5208577000</v>
      </c>
    </row>
    <row r="48" spans="1:19" ht="18.75" x14ac:dyDescent="0.45">
      <c r="A48" s="8" t="s">
        <v>205</v>
      </c>
      <c r="C48" s="7" t="s">
        <v>206</v>
      </c>
      <c r="E48" s="11">
        <v>2372939</v>
      </c>
      <c r="G48" s="11">
        <v>930</v>
      </c>
      <c r="N48" s="7"/>
      <c r="O48" s="11">
        <v>2206833270</v>
      </c>
      <c r="Q48" s="11">
        <v>0</v>
      </c>
      <c r="S48" s="11">
        <v>2206833270</v>
      </c>
    </row>
    <row r="49" spans="1:19" ht="37.5" x14ac:dyDescent="0.45">
      <c r="A49" s="8" t="s">
        <v>207</v>
      </c>
      <c r="C49" s="7" t="s">
        <v>208</v>
      </c>
      <c r="E49" s="11">
        <v>2393112</v>
      </c>
      <c r="G49" s="11">
        <v>1100</v>
      </c>
      <c r="N49" s="7"/>
      <c r="O49" s="11">
        <v>2632423200</v>
      </c>
      <c r="Q49" s="11">
        <v>0</v>
      </c>
      <c r="S49" s="11">
        <v>2632423200</v>
      </c>
    </row>
    <row r="50" spans="1:19" ht="18.75" x14ac:dyDescent="0.45">
      <c r="A50" s="8" t="s">
        <v>209</v>
      </c>
      <c r="C50" s="7" t="s">
        <v>210</v>
      </c>
      <c r="E50" s="11">
        <v>6226087</v>
      </c>
      <c r="G50" s="11">
        <v>250</v>
      </c>
      <c r="N50" s="7"/>
      <c r="O50" s="11">
        <v>1556521750</v>
      </c>
      <c r="Q50" s="11">
        <v>0</v>
      </c>
      <c r="S50" s="11">
        <v>1556521750</v>
      </c>
    </row>
    <row r="51" spans="1:19" ht="18.75" x14ac:dyDescent="0.45">
      <c r="A51" s="8" t="s">
        <v>211</v>
      </c>
      <c r="C51" s="7" t="s">
        <v>212</v>
      </c>
      <c r="E51" s="11">
        <v>1163735</v>
      </c>
      <c r="G51" s="11">
        <v>3920</v>
      </c>
      <c r="N51" s="7"/>
      <c r="O51" s="11">
        <v>4561841200</v>
      </c>
      <c r="Q51" s="11">
        <v>0</v>
      </c>
      <c r="S51" s="11">
        <v>4561841200</v>
      </c>
    </row>
    <row r="52" spans="1:19" ht="18.75" x14ac:dyDescent="0.45">
      <c r="A52" s="8" t="s">
        <v>213</v>
      </c>
      <c r="C52" s="7" t="s">
        <v>214</v>
      </c>
      <c r="E52" s="11">
        <v>8489353</v>
      </c>
      <c r="G52" s="11">
        <v>850</v>
      </c>
      <c r="N52" s="7"/>
      <c r="O52" s="11">
        <v>7215950050</v>
      </c>
      <c r="Q52" s="11">
        <v>0</v>
      </c>
      <c r="S52" s="11">
        <v>7215950050</v>
      </c>
    </row>
    <row r="53" spans="1:19" ht="18.75" x14ac:dyDescent="0.45">
      <c r="A53" s="8" t="s">
        <v>215</v>
      </c>
      <c r="C53" s="7" t="s">
        <v>212</v>
      </c>
      <c r="E53" s="11">
        <v>1000000</v>
      </c>
      <c r="G53" s="11">
        <v>500</v>
      </c>
      <c r="N53" s="7"/>
      <c r="O53" s="11">
        <v>500000000</v>
      </c>
      <c r="Q53" s="11">
        <v>0</v>
      </c>
      <c r="S53" s="11">
        <v>500000000</v>
      </c>
    </row>
    <row r="54" spans="1:19" ht="18.75" x14ac:dyDescent="0.45">
      <c r="A54" s="8" t="s">
        <v>216</v>
      </c>
      <c r="C54" s="7" t="s">
        <v>217</v>
      </c>
      <c r="E54" s="11">
        <v>6310411</v>
      </c>
      <c r="G54" s="11">
        <v>1630</v>
      </c>
      <c r="N54" s="7"/>
      <c r="O54" s="11">
        <v>10285969930</v>
      </c>
      <c r="Q54" s="11">
        <v>0</v>
      </c>
      <c r="S54" s="11">
        <v>10285969930</v>
      </c>
    </row>
    <row r="55" spans="1:19" ht="18.75" x14ac:dyDescent="0.45">
      <c r="A55" s="8" t="s">
        <v>65</v>
      </c>
      <c r="C55" s="7" t="s">
        <v>218</v>
      </c>
      <c r="E55" s="11">
        <v>23813083</v>
      </c>
      <c r="G55" s="11">
        <v>420</v>
      </c>
      <c r="N55" s="7"/>
      <c r="O55" s="11">
        <v>10001494860</v>
      </c>
      <c r="Q55" s="11">
        <v>0</v>
      </c>
      <c r="S55" s="11">
        <v>10001494860</v>
      </c>
    </row>
    <row r="56" spans="1:19" ht="18.75" x14ac:dyDescent="0.45">
      <c r="A56" s="8" t="s">
        <v>66</v>
      </c>
      <c r="C56" s="7" t="s">
        <v>170</v>
      </c>
      <c r="E56" s="11">
        <v>2828124</v>
      </c>
      <c r="G56" s="11">
        <v>187</v>
      </c>
      <c r="N56" s="7"/>
      <c r="O56" s="11">
        <v>528859188</v>
      </c>
      <c r="Q56" s="11">
        <v>0</v>
      </c>
      <c r="S56" s="11">
        <v>528859188</v>
      </c>
    </row>
    <row r="57" spans="1:19" ht="18.75" x14ac:dyDescent="0.45">
      <c r="A57" s="8" t="s">
        <v>68</v>
      </c>
      <c r="C57" s="7" t="s">
        <v>219</v>
      </c>
      <c r="E57" s="11">
        <v>15875158</v>
      </c>
      <c r="G57" s="11">
        <v>682</v>
      </c>
      <c r="N57" s="7"/>
      <c r="O57" s="11">
        <v>10826857756</v>
      </c>
      <c r="Q57" s="11">
        <v>0</v>
      </c>
      <c r="S57" s="11">
        <v>10826857756</v>
      </c>
    </row>
    <row r="58" spans="1:19" ht="18.75" x14ac:dyDescent="0.45">
      <c r="A58" s="8" t="s">
        <v>69</v>
      </c>
      <c r="C58" s="7" t="s">
        <v>220</v>
      </c>
      <c r="E58" s="11">
        <v>407076</v>
      </c>
      <c r="G58" s="11">
        <v>2150</v>
      </c>
      <c r="N58" s="7"/>
      <c r="O58" s="11">
        <v>875213400</v>
      </c>
      <c r="Q58" s="11">
        <v>0</v>
      </c>
      <c r="S58" s="11">
        <v>875213400</v>
      </c>
    </row>
    <row r="59" spans="1:19" ht="18.75" x14ac:dyDescent="0.45">
      <c r="A59" s="8" t="s">
        <v>70</v>
      </c>
      <c r="C59" s="7" t="s">
        <v>218</v>
      </c>
      <c r="E59" s="11">
        <v>3882657</v>
      </c>
      <c r="G59" s="11">
        <v>1110</v>
      </c>
      <c r="N59" s="7"/>
      <c r="O59" s="11">
        <v>4309749270</v>
      </c>
      <c r="Q59" s="11">
        <v>0</v>
      </c>
      <c r="S59" s="11">
        <v>4309749270</v>
      </c>
    </row>
    <row r="60" spans="1:19" ht="18.75" x14ac:dyDescent="0.45">
      <c r="A60" s="8" t="s">
        <v>72</v>
      </c>
      <c r="C60" s="7" t="s">
        <v>203</v>
      </c>
      <c r="E60" s="11">
        <v>22083031</v>
      </c>
      <c r="G60" s="11">
        <v>960</v>
      </c>
      <c r="N60" s="7"/>
      <c r="O60" s="11">
        <v>21199709760</v>
      </c>
      <c r="Q60" s="11">
        <v>0</v>
      </c>
      <c r="S60" s="11">
        <v>21199709760</v>
      </c>
    </row>
    <row r="61" spans="1:19" ht="37.5" x14ac:dyDescent="0.45">
      <c r="A61" s="8" t="s">
        <v>73</v>
      </c>
      <c r="C61" s="7" t="s">
        <v>167</v>
      </c>
      <c r="E61" s="11">
        <v>8068802</v>
      </c>
      <c r="G61" s="11">
        <v>450</v>
      </c>
      <c r="N61" s="7"/>
      <c r="O61" s="11">
        <v>3630960900</v>
      </c>
      <c r="Q61" s="11">
        <v>0</v>
      </c>
      <c r="S61" s="11">
        <v>3630960900</v>
      </c>
    </row>
    <row r="62" spans="1:19" ht="18.75" x14ac:dyDescent="0.45">
      <c r="A62" s="8" t="s">
        <v>74</v>
      </c>
      <c r="C62" s="7" t="s">
        <v>221</v>
      </c>
      <c r="E62" s="11">
        <v>612298</v>
      </c>
      <c r="G62" s="11">
        <v>1603</v>
      </c>
      <c r="N62" s="7"/>
      <c r="O62" s="11">
        <v>981513694</v>
      </c>
      <c r="Q62" s="11">
        <v>0</v>
      </c>
      <c r="S62" s="11">
        <v>981513694</v>
      </c>
    </row>
    <row r="63" spans="1:19" ht="18.75" x14ac:dyDescent="0.45">
      <c r="A63" s="8" t="s">
        <v>75</v>
      </c>
      <c r="C63" s="7" t="s">
        <v>222</v>
      </c>
      <c r="E63" s="11">
        <v>5666467</v>
      </c>
      <c r="G63" s="11">
        <v>1000</v>
      </c>
      <c r="I63" s="11">
        <v>5666467000</v>
      </c>
      <c r="K63" s="11">
        <v>-356427321</v>
      </c>
      <c r="M63" s="11">
        <v>5310039679</v>
      </c>
      <c r="O63" s="11">
        <v>5666467000</v>
      </c>
      <c r="Q63" s="11">
        <v>-337917327</v>
      </c>
      <c r="S63" s="11">
        <v>5328549673</v>
      </c>
    </row>
    <row r="64" spans="1:19" ht="18.75" x14ac:dyDescent="0.45">
      <c r="A64" s="8" t="s">
        <v>76</v>
      </c>
      <c r="C64" s="7" t="s">
        <v>223</v>
      </c>
      <c r="E64" s="11">
        <v>524142</v>
      </c>
      <c r="G64" s="11">
        <v>6500</v>
      </c>
      <c r="N64" s="7"/>
      <c r="O64" s="11">
        <v>3406923000</v>
      </c>
      <c r="Q64" s="11">
        <v>0</v>
      </c>
      <c r="S64" s="11">
        <v>3406923000</v>
      </c>
    </row>
    <row r="65" spans="1:19" ht="37.5" x14ac:dyDescent="0.45">
      <c r="A65" s="8" t="s">
        <v>77</v>
      </c>
      <c r="C65" s="7" t="s">
        <v>224</v>
      </c>
      <c r="E65" s="11">
        <v>7539161</v>
      </c>
      <c r="G65" s="11">
        <v>488</v>
      </c>
      <c r="N65" s="7"/>
      <c r="O65" s="11">
        <v>3679110568</v>
      </c>
      <c r="Q65" s="11">
        <v>0</v>
      </c>
      <c r="S65" s="11">
        <v>3679110568</v>
      </c>
    </row>
    <row r="66" spans="1:19" ht="37.5" x14ac:dyDescent="0.45">
      <c r="A66" s="8" t="s">
        <v>225</v>
      </c>
      <c r="C66" s="7" t="s">
        <v>182</v>
      </c>
      <c r="E66" s="11">
        <v>336632</v>
      </c>
      <c r="G66" s="11">
        <v>9000</v>
      </c>
      <c r="N66" s="7"/>
      <c r="O66" s="11">
        <v>3029688000</v>
      </c>
      <c r="Q66" s="11">
        <v>0</v>
      </c>
      <c r="S66" s="11">
        <v>3029688000</v>
      </c>
    </row>
    <row r="67" spans="1:19" ht="18.75" x14ac:dyDescent="0.45">
      <c r="A67" s="8" t="s">
        <v>79</v>
      </c>
      <c r="C67" s="7" t="s">
        <v>226</v>
      </c>
      <c r="E67" s="11">
        <v>6300000</v>
      </c>
      <c r="G67" s="11">
        <v>460</v>
      </c>
      <c r="N67" s="7"/>
      <c r="O67" s="11">
        <v>2898000000</v>
      </c>
      <c r="Q67" s="11">
        <v>-17074116</v>
      </c>
      <c r="S67" s="11">
        <v>2880925884</v>
      </c>
    </row>
    <row r="68" spans="1:19" ht="18.75" x14ac:dyDescent="0.45">
      <c r="A68" s="8" t="s">
        <v>80</v>
      </c>
      <c r="C68" s="7" t="s">
        <v>192</v>
      </c>
      <c r="E68" s="11">
        <v>12890068</v>
      </c>
      <c r="G68" s="11">
        <v>750</v>
      </c>
      <c r="N68" s="7"/>
      <c r="O68" s="11">
        <v>9667551000</v>
      </c>
      <c r="Q68" s="11">
        <v>0</v>
      </c>
      <c r="S68" s="11">
        <v>9667551000</v>
      </c>
    </row>
    <row r="69" spans="1:19" ht="18.75" x14ac:dyDescent="0.45">
      <c r="A69" s="8" t="s">
        <v>82</v>
      </c>
      <c r="C69" s="7" t="s">
        <v>189</v>
      </c>
      <c r="E69" s="11">
        <v>7338094</v>
      </c>
      <c r="G69" s="11">
        <v>160</v>
      </c>
      <c r="N69" s="7"/>
      <c r="O69" s="11">
        <v>1174095040</v>
      </c>
      <c r="Q69" s="11">
        <v>0</v>
      </c>
      <c r="S69" s="11">
        <v>1174095040</v>
      </c>
    </row>
    <row r="70" spans="1:19" ht="18.75" x14ac:dyDescent="0.45">
      <c r="A70" s="8" t="s">
        <v>83</v>
      </c>
      <c r="C70" s="7" t="s">
        <v>227</v>
      </c>
      <c r="E70" s="11">
        <v>25889786</v>
      </c>
      <c r="G70" s="11">
        <v>323</v>
      </c>
      <c r="N70" s="7"/>
      <c r="O70" s="11">
        <v>8362400878</v>
      </c>
      <c r="Q70" s="11">
        <v>0</v>
      </c>
      <c r="S70" s="11">
        <v>8362400878</v>
      </c>
    </row>
    <row r="71" spans="1:19" ht="18.75" x14ac:dyDescent="0.45">
      <c r="A71" s="8" t="s">
        <v>84</v>
      </c>
      <c r="C71" s="7" t="s">
        <v>169</v>
      </c>
      <c r="E71" s="11">
        <v>564486</v>
      </c>
      <c r="G71" s="11">
        <v>2950</v>
      </c>
      <c r="N71" s="7"/>
      <c r="O71" s="11">
        <v>1665233700</v>
      </c>
      <c r="Q71" s="11">
        <v>0</v>
      </c>
      <c r="S71" s="11">
        <v>1665233700</v>
      </c>
    </row>
    <row r="72" spans="1:19" ht="18.75" x14ac:dyDescent="0.45">
      <c r="A72" s="8" t="s">
        <v>228</v>
      </c>
      <c r="C72" s="7" t="s">
        <v>189</v>
      </c>
      <c r="E72" s="11">
        <v>996335</v>
      </c>
      <c r="G72" s="11">
        <v>1350</v>
      </c>
      <c r="N72" s="7"/>
      <c r="O72" s="11">
        <v>1345052250</v>
      </c>
      <c r="Q72" s="11">
        <v>0</v>
      </c>
      <c r="S72" s="11">
        <v>1345052250</v>
      </c>
    </row>
    <row r="73" spans="1:19" ht="18.75" x14ac:dyDescent="0.45">
      <c r="A73" s="8" t="s">
        <v>89</v>
      </c>
      <c r="C73" s="7" t="s">
        <v>189</v>
      </c>
      <c r="E73" s="11">
        <v>6013772</v>
      </c>
      <c r="G73" s="11">
        <v>1700</v>
      </c>
      <c r="N73" s="7"/>
      <c r="O73" s="11">
        <v>10223412400</v>
      </c>
      <c r="Q73" s="11">
        <v>0</v>
      </c>
      <c r="S73" s="11">
        <v>10223412400</v>
      </c>
    </row>
    <row r="74" spans="1:19" ht="18.75" x14ac:dyDescent="0.45">
      <c r="A74" s="8" t="s">
        <v>91</v>
      </c>
      <c r="C74" s="7" t="s">
        <v>229</v>
      </c>
      <c r="E74" s="11">
        <v>6377671</v>
      </c>
      <c r="G74" s="11">
        <v>480</v>
      </c>
      <c r="N74" s="7"/>
      <c r="O74" s="11">
        <v>3061282080</v>
      </c>
      <c r="Q74" s="11">
        <v>0</v>
      </c>
      <c r="S74" s="11">
        <v>3061282080</v>
      </c>
    </row>
    <row r="75" spans="1:19" ht="18.75" x14ac:dyDescent="0.45">
      <c r="A75" s="8" t="s">
        <v>92</v>
      </c>
      <c r="C75" s="7" t="s">
        <v>230</v>
      </c>
      <c r="E75" s="11">
        <v>407809</v>
      </c>
      <c r="G75" s="11">
        <v>8800</v>
      </c>
      <c r="I75" s="11">
        <v>3588719200</v>
      </c>
      <c r="K75" s="11">
        <v>0</v>
      </c>
      <c r="M75" s="11">
        <v>3588719200</v>
      </c>
      <c r="O75" s="11">
        <v>3588719200</v>
      </c>
      <c r="Q75" s="11">
        <v>0</v>
      </c>
      <c r="S75" s="11">
        <v>3588719200</v>
      </c>
    </row>
    <row r="76" spans="1:19" ht="18.75" x14ac:dyDescent="0.45">
      <c r="A76" s="8" t="s">
        <v>93</v>
      </c>
      <c r="C76" s="7" t="s">
        <v>208</v>
      </c>
      <c r="E76" s="11">
        <v>5637509</v>
      </c>
      <c r="G76" s="11">
        <v>1930</v>
      </c>
      <c r="N76" s="7"/>
      <c r="O76" s="11">
        <v>10880392370</v>
      </c>
      <c r="Q76" s="11">
        <v>0</v>
      </c>
      <c r="S76" s="11">
        <v>10880392370</v>
      </c>
    </row>
    <row r="77" spans="1:19" ht="18.75" x14ac:dyDescent="0.45">
      <c r="A77" s="8" t="s">
        <v>95</v>
      </c>
      <c r="C77" s="7" t="s">
        <v>231</v>
      </c>
      <c r="E77" s="11">
        <v>4994975</v>
      </c>
      <c r="G77" s="11">
        <v>3100</v>
      </c>
      <c r="N77" s="7"/>
      <c r="O77" s="11">
        <v>15484422500</v>
      </c>
      <c r="Q77" s="11">
        <v>0</v>
      </c>
      <c r="S77" s="11">
        <v>15484422500</v>
      </c>
    </row>
    <row r="78" spans="1:19" ht="37.5" x14ac:dyDescent="0.45">
      <c r="A78" s="8" t="s">
        <v>96</v>
      </c>
      <c r="C78" s="7" t="s">
        <v>203</v>
      </c>
      <c r="E78" s="11">
        <v>450000</v>
      </c>
      <c r="G78" s="11">
        <v>40</v>
      </c>
      <c r="N78" s="7"/>
      <c r="O78" s="11">
        <v>18000000</v>
      </c>
      <c r="Q78" s="11">
        <v>0</v>
      </c>
      <c r="S78" s="11">
        <v>18000000</v>
      </c>
    </row>
    <row r="79" spans="1:19" ht="37.5" x14ac:dyDescent="0.45">
      <c r="A79" s="8" t="s">
        <v>98</v>
      </c>
      <c r="C79" s="7" t="s">
        <v>232</v>
      </c>
      <c r="E79" s="11">
        <v>21600000</v>
      </c>
      <c r="G79" s="11">
        <v>260</v>
      </c>
      <c r="I79" s="11">
        <v>5616000000</v>
      </c>
      <c r="K79" s="11">
        <v>-426531646</v>
      </c>
      <c r="M79" s="11">
        <v>5189468354</v>
      </c>
      <c r="O79" s="11">
        <v>5616000000</v>
      </c>
      <c r="Q79" s="11">
        <v>-426531646</v>
      </c>
      <c r="S79" s="11">
        <v>5189468354</v>
      </c>
    </row>
    <row r="80" spans="1:19" ht="18.75" x14ac:dyDescent="0.45">
      <c r="A80" s="13" t="s">
        <v>99</v>
      </c>
      <c r="I80" s="13">
        <f>SUM(I9:$I$79)</f>
        <v>18936950000</v>
      </c>
      <c r="K80" s="13">
        <f>SUM(K9:$K$79)</f>
        <v>-1024793383</v>
      </c>
      <c r="M80" s="13">
        <f>SUM(M9:$M$79)</f>
        <v>17912156617</v>
      </c>
      <c r="O80" s="13">
        <f>SUM(O9:$O$79)</f>
        <v>311916253043</v>
      </c>
      <c r="Q80" s="13">
        <f>SUM(Q9:$Q$79)</f>
        <v>-1082981689</v>
      </c>
      <c r="S80" s="13">
        <f>SUM(S9:$S$79)</f>
        <v>310833271354</v>
      </c>
    </row>
    <row r="81" spans="9:19" ht="18.75" x14ac:dyDescent="0.45">
      <c r="I81" s="15"/>
      <c r="K81" s="15"/>
      <c r="M81" s="15"/>
      <c r="O81" s="15"/>
      <c r="Q81" s="15"/>
      <c r="S81" s="15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5" fitToHeight="0" orientation="landscape" r:id="rId1"/>
  <rowBreaks count="3" manualBreakCount="3">
    <brk id="24" max="16383" man="1"/>
    <brk id="45" max="16383" man="1"/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1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1.42578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4.140625" style="4" customWidth="1"/>
    <col min="12" max="12" width="1.42578125" style="4" customWidth="1"/>
    <col min="13" max="13" width="18.42578125" style="4" customWidth="1"/>
    <col min="14" max="14" width="1.42578125" style="4" customWidth="1"/>
    <col min="15" max="15" width="18.42578125" style="4" customWidth="1"/>
    <col min="16" max="16" width="1.42578125" style="4" customWidth="1"/>
    <col min="17" max="17" width="14.140625" style="4" customWidth="1"/>
    <col min="18" max="18" width="1.42578125" style="4" customWidth="1"/>
    <col min="19" max="19" width="18.42578125" style="4" customWidth="1"/>
    <col min="20" max="16384" width="9.140625" style="4"/>
  </cols>
  <sheetData>
    <row r="1" spans="1:19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20.100000000000001" customHeight="1" x14ac:dyDescent="0.45">
      <c r="A2" s="34" t="s">
        <v>143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5" spans="1:19" ht="19.5" x14ac:dyDescent="0.5">
      <c r="A5" s="40" t="s">
        <v>292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</row>
    <row r="7" spans="1:19" ht="21" x14ac:dyDescent="0.45">
      <c r="I7" s="28" t="s">
        <v>155</v>
      </c>
      <c r="J7" s="29"/>
      <c r="K7" s="29"/>
      <c r="L7" s="29"/>
      <c r="M7" s="29"/>
      <c r="O7" s="28" t="s">
        <v>7</v>
      </c>
      <c r="P7" s="29"/>
      <c r="Q7" s="29"/>
      <c r="R7" s="29"/>
      <c r="S7" s="29"/>
    </row>
    <row r="8" spans="1:19" ht="42" x14ac:dyDescent="0.45">
      <c r="A8" s="17" t="s">
        <v>145</v>
      </c>
      <c r="C8" s="16" t="s">
        <v>234</v>
      </c>
      <c r="E8" s="16" t="s">
        <v>119</v>
      </c>
      <c r="G8" s="16" t="s">
        <v>132</v>
      </c>
      <c r="I8" s="16" t="s">
        <v>235</v>
      </c>
      <c r="K8" s="16" t="s">
        <v>160</v>
      </c>
      <c r="M8" s="16" t="s">
        <v>236</v>
      </c>
      <c r="O8" s="16" t="s">
        <v>235</v>
      </c>
      <c r="Q8" s="16" t="s">
        <v>160</v>
      </c>
      <c r="S8" s="16" t="s">
        <v>236</v>
      </c>
    </row>
    <row r="9" spans="1:19" ht="37.5" x14ac:dyDescent="0.45">
      <c r="A9" s="8" t="s">
        <v>237</v>
      </c>
      <c r="C9" s="7" t="s">
        <v>238</v>
      </c>
      <c r="E9" s="7" t="s">
        <v>239</v>
      </c>
      <c r="G9" s="7" t="s">
        <v>240</v>
      </c>
      <c r="N9" s="7"/>
      <c r="O9" s="11">
        <v>2812519762</v>
      </c>
      <c r="Q9" s="11">
        <v>0</v>
      </c>
      <c r="S9" s="11">
        <v>2812519762</v>
      </c>
    </row>
    <row r="10" spans="1:19" ht="18.75" x14ac:dyDescent="0.45">
      <c r="A10" s="13" t="s">
        <v>99</v>
      </c>
      <c r="I10" s="13">
        <f>SUM(I9:$I$9)</f>
        <v>0</v>
      </c>
      <c r="K10" s="13">
        <f>SUM(K9:$K$9)</f>
        <v>0</v>
      </c>
      <c r="M10" s="13">
        <f>SUM(M9:$M$9)</f>
        <v>0</v>
      </c>
      <c r="O10" s="13">
        <f>SUM(O9:$O$9)</f>
        <v>2812519762</v>
      </c>
      <c r="Q10" s="13">
        <f>SUM(Q9:$Q$9)</f>
        <v>0</v>
      </c>
      <c r="S10" s="13">
        <f>SUM(S9:$S$9)</f>
        <v>2812519762</v>
      </c>
    </row>
    <row r="11" spans="1:19" ht="18.75" x14ac:dyDescent="0.45">
      <c r="I11" s="15"/>
      <c r="K11" s="15"/>
      <c r="M11" s="15"/>
      <c r="O11" s="15"/>
      <c r="Q11" s="15"/>
      <c r="S11" s="15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B9CF-1149-4115-A47A-0750006AA567}">
  <sheetPr>
    <pageSetUpPr fitToPage="1"/>
  </sheetPr>
  <dimension ref="A1:M17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4.140625" style="4" customWidth="1"/>
    <col min="6" max="6" width="1.42578125" style="4" customWidth="1"/>
    <col min="7" max="7" width="18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4.140625" style="4" customWidth="1"/>
    <col min="12" max="12" width="1.42578125" style="4" customWidth="1"/>
    <col min="13" max="13" width="18.42578125" style="4" customWidth="1"/>
    <col min="14" max="16384" width="9.140625" style="4"/>
  </cols>
  <sheetData>
    <row r="1" spans="1:13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20.100000000000001" customHeight="1" x14ac:dyDescent="0.45">
      <c r="A2" s="34" t="s">
        <v>143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5" spans="1:13" ht="21" x14ac:dyDescent="0.45">
      <c r="A5" s="35" t="s">
        <v>233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7" spans="1:13" ht="21" x14ac:dyDescent="0.45">
      <c r="C7" s="28" t="s">
        <v>155</v>
      </c>
      <c r="D7" s="29"/>
      <c r="E7" s="29"/>
      <c r="F7" s="29"/>
      <c r="G7" s="29"/>
      <c r="I7" s="28" t="s">
        <v>7</v>
      </c>
      <c r="J7" s="29"/>
      <c r="K7" s="29"/>
      <c r="L7" s="29"/>
      <c r="M7" s="29"/>
    </row>
    <row r="8" spans="1:13" ht="21" x14ac:dyDescent="0.45">
      <c r="A8" s="17" t="s">
        <v>145</v>
      </c>
      <c r="C8" s="16" t="s">
        <v>235</v>
      </c>
      <c r="E8" s="16" t="s">
        <v>160</v>
      </c>
      <c r="G8" s="16" t="s">
        <v>236</v>
      </c>
      <c r="I8" s="16" t="s">
        <v>235</v>
      </c>
      <c r="K8" s="16" t="s">
        <v>160</v>
      </c>
      <c r="M8" s="16" t="s">
        <v>236</v>
      </c>
    </row>
    <row r="9" spans="1:13" ht="33" customHeight="1" x14ac:dyDescent="0.45">
      <c r="A9" s="20" t="s">
        <v>136</v>
      </c>
      <c r="C9" s="11">
        <v>34574</v>
      </c>
      <c r="E9" s="11">
        <v>0</v>
      </c>
      <c r="G9" s="11">
        <v>34574</v>
      </c>
      <c r="I9" s="11">
        <v>452815</v>
      </c>
      <c r="K9" s="11">
        <v>0</v>
      </c>
      <c r="M9" s="11">
        <v>452815</v>
      </c>
    </row>
    <row r="10" spans="1:13" ht="33" customHeight="1" x14ac:dyDescent="0.45">
      <c r="A10" s="20" t="s">
        <v>138</v>
      </c>
      <c r="C10" s="11">
        <v>1064600000</v>
      </c>
      <c r="E10" s="11">
        <v>0</v>
      </c>
      <c r="G10" s="11">
        <v>1064600000</v>
      </c>
      <c r="I10" s="11">
        <v>1064665752</v>
      </c>
      <c r="K10" s="11">
        <v>0</v>
      </c>
      <c r="M10" s="11">
        <v>1064665752</v>
      </c>
    </row>
    <row r="11" spans="1:13" ht="33" customHeight="1" x14ac:dyDescent="0.45">
      <c r="A11" s="20" t="s">
        <v>139</v>
      </c>
      <c r="C11" s="11">
        <v>37458</v>
      </c>
      <c r="E11" s="11">
        <v>0</v>
      </c>
      <c r="G11" s="11">
        <v>37458</v>
      </c>
      <c r="I11" s="11">
        <v>27917932</v>
      </c>
      <c r="K11" s="11">
        <v>0</v>
      </c>
      <c r="M11" s="11">
        <v>27917932</v>
      </c>
    </row>
    <row r="12" spans="1:13" ht="33" customHeight="1" x14ac:dyDescent="0.45">
      <c r="A12" s="20" t="s">
        <v>142</v>
      </c>
      <c r="C12" s="11">
        <v>401776</v>
      </c>
      <c r="E12" s="11">
        <v>0</v>
      </c>
      <c r="G12" s="11">
        <v>401776</v>
      </c>
      <c r="I12" s="11">
        <v>251916994</v>
      </c>
      <c r="K12" s="11">
        <v>0</v>
      </c>
      <c r="M12" s="11">
        <v>251916994</v>
      </c>
    </row>
    <row r="13" spans="1:13" ht="33" customHeight="1" x14ac:dyDescent="0.45">
      <c r="A13" s="20" t="s">
        <v>140</v>
      </c>
      <c r="C13" s="11">
        <v>66206</v>
      </c>
      <c r="E13" s="11">
        <v>0</v>
      </c>
      <c r="G13" s="11">
        <v>66206</v>
      </c>
      <c r="I13" s="11">
        <v>1441263</v>
      </c>
      <c r="K13" s="11">
        <v>0</v>
      </c>
      <c r="M13" s="11">
        <v>1441263</v>
      </c>
    </row>
    <row r="14" spans="1:13" ht="33" customHeight="1" x14ac:dyDescent="0.45">
      <c r="A14" s="20" t="s">
        <v>137</v>
      </c>
      <c r="C14" s="11">
        <v>640158</v>
      </c>
      <c r="E14" s="11">
        <v>0</v>
      </c>
      <c r="G14" s="11">
        <v>640158</v>
      </c>
      <c r="I14" s="11">
        <v>19104494</v>
      </c>
      <c r="K14" s="11">
        <v>0</v>
      </c>
      <c r="M14" s="11">
        <v>19104494</v>
      </c>
    </row>
    <row r="15" spans="1:13" ht="33" customHeight="1" x14ac:dyDescent="0.45">
      <c r="A15" s="20" t="s">
        <v>141</v>
      </c>
      <c r="C15" s="11">
        <v>82395</v>
      </c>
      <c r="E15" s="11">
        <v>0</v>
      </c>
      <c r="G15" s="11">
        <v>82395</v>
      </c>
      <c r="I15" s="11">
        <v>138847</v>
      </c>
      <c r="K15" s="11">
        <v>0</v>
      </c>
      <c r="M15" s="11">
        <v>138847</v>
      </c>
    </row>
    <row r="16" spans="1:13" ht="19.5" thickBot="1" x14ac:dyDescent="0.5">
      <c r="A16" s="13" t="s">
        <v>99</v>
      </c>
      <c r="C16" s="13">
        <f>SUM(C9:$C$15)</f>
        <v>1065862567</v>
      </c>
      <c r="E16" s="13">
        <f>SUM(E9:$E$15)</f>
        <v>0</v>
      </c>
      <c r="G16" s="13">
        <f>SUM(G9:$G$15)</f>
        <v>1065862567</v>
      </c>
      <c r="I16" s="13">
        <f>SUM(I9:$I$15)</f>
        <v>1365638097</v>
      </c>
      <c r="K16" s="13">
        <f>SUM(K9:$K$15)</f>
        <v>0</v>
      </c>
      <c r="M16" s="13">
        <f>SUM(M9:$M$15)</f>
        <v>1365638097</v>
      </c>
    </row>
    <row r="17" spans="3:13" ht="19.5" thickTop="1" x14ac:dyDescent="0.45">
      <c r="C17" s="15"/>
      <c r="E17" s="15"/>
      <c r="G17" s="15"/>
      <c r="I17" s="15"/>
      <c r="K17" s="15"/>
      <c r="M17" s="15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05"/>
  <sheetViews>
    <sheetView rightToLeft="1" view="pageBreakPreview" topLeftCell="A76" zoomScale="60" zoomScaleNormal="100" workbookViewId="0">
      <selection sqref="A1:W1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1.5703125" style="4" bestFit="1" customWidth="1"/>
    <col min="4" max="4" width="1.42578125" style="4" customWidth="1"/>
    <col min="5" max="5" width="18" style="4" bestFit="1" customWidth="1"/>
    <col min="6" max="6" width="1.42578125" style="4" customWidth="1"/>
    <col min="7" max="7" width="17" style="4" customWidth="1"/>
    <col min="8" max="8" width="1.42578125" style="4" customWidth="1"/>
    <col min="9" max="9" width="16.85546875" style="4" bestFit="1" customWidth="1"/>
    <col min="10" max="10" width="1.42578125" style="4" customWidth="1"/>
    <col min="11" max="11" width="13.7109375" style="4" bestFit="1" customWidth="1"/>
    <col min="12" max="12" width="1.42578125" style="4" customWidth="1"/>
    <col min="13" max="13" width="19.42578125" style="4" bestFit="1" customWidth="1"/>
    <col min="14" max="14" width="1.42578125" style="4" customWidth="1"/>
    <col min="15" max="15" width="19.85546875" style="4" bestFit="1" customWidth="1"/>
    <col min="16" max="16" width="1.42578125" style="4" customWidth="1"/>
    <col min="17" max="17" width="17.7109375" style="4" bestFit="1" customWidth="1"/>
    <col min="18" max="16384" width="9.140625" style="4"/>
  </cols>
  <sheetData>
    <row r="1" spans="1:17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20.100000000000001" customHeight="1" x14ac:dyDescent="0.45">
      <c r="A2" s="34" t="s">
        <v>143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5" spans="1:17" ht="21" x14ac:dyDescent="0.45">
      <c r="A5" s="35" t="s">
        <v>241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7" spans="1:17" ht="21" x14ac:dyDescent="0.45">
      <c r="C7" s="28" t="s">
        <v>155</v>
      </c>
      <c r="D7" s="29"/>
      <c r="E7" s="29"/>
      <c r="F7" s="29"/>
      <c r="G7" s="29"/>
      <c r="H7" s="29"/>
      <c r="I7" s="29"/>
      <c r="K7" s="28" t="s">
        <v>7</v>
      </c>
      <c r="L7" s="29"/>
      <c r="M7" s="29"/>
      <c r="N7" s="29"/>
      <c r="O7" s="29"/>
      <c r="P7" s="29"/>
      <c r="Q7" s="29"/>
    </row>
    <row r="8" spans="1:17" ht="42" x14ac:dyDescent="0.45">
      <c r="A8" s="17" t="s">
        <v>145</v>
      </c>
      <c r="C8" s="16" t="s">
        <v>9</v>
      </c>
      <c r="E8" s="16" t="s">
        <v>11</v>
      </c>
      <c r="G8" s="16" t="s">
        <v>242</v>
      </c>
      <c r="I8" s="16" t="s">
        <v>243</v>
      </c>
      <c r="K8" s="16" t="s">
        <v>9</v>
      </c>
      <c r="M8" s="16" t="s">
        <v>11</v>
      </c>
      <c r="O8" s="16" t="s">
        <v>242</v>
      </c>
      <c r="Q8" s="16" t="s">
        <v>243</v>
      </c>
    </row>
    <row r="9" spans="1:17" ht="18.75" x14ac:dyDescent="0.45">
      <c r="A9" s="8" t="s">
        <v>19</v>
      </c>
      <c r="C9" s="11">
        <v>245000</v>
      </c>
      <c r="E9" s="11">
        <v>2026385896</v>
      </c>
      <c r="G9" s="11">
        <v>1817030306</v>
      </c>
      <c r="I9" s="11">
        <v>209355590</v>
      </c>
      <c r="K9" s="11">
        <v>245000</v>
      </c>
      <c r="M9" s="11">
        <v>2026385896</v>
      </c>
      <c r="O9" s="11">
        <v>1817030306</v>
      </c>
      <c r="Q9" s="11">
        <v>209355590</v>
      </c>
    </row>
    <row r="10" spans="1:17" ht="18.75" x14ac:dyDescent="0.45">
      <c r="A10" s="8" t="s">
        <v>20</v>
      </c>
      <c r="C10" s="11">
        <v>352913</v>
      </c>
      <c r="E10" s="11">
        <v>1568252307</v>
      </c>
      <c r="G10" s="11">
        <v>1308196730</v>
      </c>
      <c r="I10" s="11">
        <v>260055577</v>
      </c>
      <c r="K10" s="11">
        <v>2352913</v>
      </c>
      <c r="M10" s="11">
        <v>10653869377</v>
      </c>
      <c r="O10" s="11">
        <v>8720717245</v>
      </c>
      <c r="Q10" s="11">
        <v>1933152132</v>
      </c>
    </row>
    <row r="11" spans="1:17" ht="18.75" x14ac:dyDescent="0.45">
      <c r="A11" s="8" t="s">
        <v>21</v>
      </c>
      <c r="J11" s="7"/>
      <c r="K11" s="11">
        <v>281966</v>
      </c>
      <c r="M11" s="11">
        <v>2242685769</v>
      </c>
      <c r="O11" s="11">
        <v>2610074708</v>
      </c>
      <c r="Q11" s="11">
        <v>-367388939</v>
      </c>
    </row>
    <row r="12" spans="1:17" ht="18.75" x14ac:dyDescent="0.45">
      <c r="A12" s="8" t="s">
        <v>22</v>
      </c>
      <c r="J12" s="7"/>
      <c r="K12" s="11">
        <v>1950000</v>
      </c>
      <c r="M12" s="11">
        <v>12231288304</v>
      </c>
      <c r="O12" s="11">
        <v>10341560933</v>
      </c>
      <c r="Q12" s="11">
        <v>1889727371</v>
      </c>
    </row>
    <row r="13" spans="1:17" ht="18.75" x14ac:dyDescent="0.45">
      <c r="A13" s="8" t="s">
        <v>24</v>
      </c>
      <c r="J13" s="7"/>
      <c r="K13" s="11">
        <v>7200000</v>
      </c>
      <c r="M13" s="11">
        <v>18145742773</v>
      </c>
      <c r="O13" s="11">
        <v>13007547240</v>
      </c>
      <c r="Q13" s="11">
        <v>5138195533</v>
      </c>
    </row>
    <row r="14" spans="1:17" ht="18.75" x14ac:dyDescent="0.45">
      <c r="A14" s="8" t="s">
        <v>244</v>
      </c>
      <c r="J14" s="7"/>
      <c r="K14" s="11">
        <v>433913</v>
      </c>
      <c r="M14" s="11">
        <v>1102004664</v>
      </c>
      <c r="O14" s="11">
        <v>1310689440</v>
      </c>
      <c r="Q14" s="11">
        <v>-208684776</v>
      </c>
    </row>
    <row r="15" spans="1:17" ht="18.75" x14ac:dyDescent="0.45">
      <c r="A15" s="8" t="s">
        <v>26</v>
      </c>
      <c r="C15" s="11">
        <v>1750000</v>
      </c>
      <c r="E15" s="11">
        <v>5210064626</v>
      </c>
      <c r="G15" s="11">
        <v>4260207676</v>
      </c>
      <c r="I15" s="11">
        <v>949856950</v>
      </c>
      <c r="K15" s="11">
        <v>1750000</v>
      </c>
      <c r="M15" s="11">
        <v>5210064626</v>
      </c>
      <c r="O15" s="11">
        <v>4260207676</v>
      </c>
      <c r="Q15" s="11">
        <v>949856950</v>
      </c>
    </row>
    <row r="16" spans="1:17" ht="18.75" x14ac:dyDescent="0.45">
      <c r="A16" s="8" t="s">
        <v>27</v>
      </c>
      <c r="J16" s="7"/>
      <c r="K16" s="11">
        <v>400000</v>
      </c>
      <c r="M16" s="11">
        <v>754275162</v>
      </c>
      <c r="O16" s="11">
        <v>811888477</v>
      </c>
      <c r="Q16" s="11">
        <v>-57613315</v>
      </c>
    </row>
    <row r="17" spans="1:17" ht="18.75" x14ac:dyDescent="0.45">
      <c r="A17" s="8" t="s">
        <v>165</v>
      </c>
      <c r="J17" s="7"/>
      <c r="K17" s="11">
        <v>2736107</v>
      </c>
      <c r="M17" s="11">
        <v>7700395419</v>
      </c>
      <c r="O17" s="11">
        <v>10457881070</v>
      </c>
      <c r="Q17" s="11">
        <v>-2757485651</v>
      </c>
    </row>
    <row r="18" spans="1:17" ht="18.75" x14ac:dyDescent="0.45">
      <c r="A18" s="8" t="s">
        <v>28</v>
      </c>
      <c r="J18" s="7"/>
      <c r="K18" s="11">
        <v>1562500</v>
      </c>
      <c r="M18" s="11">
        <v>5095247839</v>
      </c>
      <c r="O18" s="11">
        <v>3906823843</v>
      </c>
      <c r="Q18" s="11">
        <v>1188423996</v>
      </c>
    </row>
    <row r="19" spans="1:17" ht="37.5" x14ac:dyDescent="0.45">
      <c r="A19" s="8" t="s">
        <v>168</v>
      </c>
      <c r="J19" s="7"/>
      <c r="K19" s="11">
        <v>6850000</v>
      </c>
      <c r="M19" s="11">
        <v>31683223025</v>
      </c>
      <c r="O19" s="11">
        <v>21599932670</v>
      </c>
      <c r="Q19" s="11">
        <v>10083290355</v>
      </c>
    </row>
    <row r="20" spans="1:17" ht="18.75" x14ac:dyDescent="0.45">
      <c r="A20" s="8" t="s">
        <v>29</v>
      </c>
      <c r="C20" s="11">
        <v>1422319</v>
      </c>
      <c r="E20" s="11">
        <v>7022684680</v>
      </c>
      <c r="G20" s="11">
        <v>6947003084</v>
      </c>
      <c r="I20" s="11">
        <v>75681596</v>
      </c>
      <c r="K20" s="11">
        <v>1422319</v>
      </c>
      <c r="M20" s="11">
        <v>7022684680</v>
      </c>
      <c r="O20" s="11">
        <v>6947003084</v>
      </c>
      <c r="Q20" s="11">
        <v>75681596</v>
      </c>
    </row>
    <row r="21" spans="1:17" ht="18.75" x14ac:dyDescent="0.45">
      <c r="A21" s="8" t="s">
        <v>30</v>
      </c>
      <c r="J21" s="7"/>
      <c r="K21" s="11">
        <v>1451298</v>
      </c>
      <c r="M21" s="11">
        <v>9759162530</v>
      </c>
      <c r="O21" s="11">
        <v>7106733230</v>
      </c>
      <c r="Q21" s="11">
        <v>2652429300</v>
      </c>
    </row>
    <row r="22" spans="1:17" ht="18.75" x14ac:dyDescent="0.45">
      <c r="A22" s="8" t="s">
        <v>245</v>
      </c>
      <c r="J22" s="7"/>
      <c r="K22" s="11">
        <v>9600000</v>
      </c>
      <c r="M22" s="11">
        <v>19247729584</v>
      </c>
      <c r="O22" s="11">
        <v>15514041705</v>
      </c>
      <c r="Q22" s="11">
        <v>3733687879</v>
      </c>
    </row>
    <row r="23" spans="1:17" ht="18.75" x14ac:dyDescent="0.45">
      <c r="A23" s="8" t="s">
        <v>171</v>
      </c>
      <c r="J23" s="7"/>
      <c r="K23" s="11">
        <v>1145363</v>
      </c>
      <c r="M23" s="11">
        <v>15324857452</v>
      </c>
      <c r="O23" s="11">
        <v>11492342740</v>
      </c>
      <c r="Q23" s="11">
        <v>3832514712</v>
      </c>
    </row>
    <row r="24" spans="1:17" ht="18.75" x14ac:dyDescent="0.45">
      <c r="A24" s="8" t="s">
        <v>32</v>
      </c>
      <c r="J24" s="7"/>
      <c r="K24" s="11">
        <v>2200000</v>
      </c>
      <c r="M24" s="11">
        <v>59285379273</v>
      </c>
      <c r="O24" s="11">
        <v>50272107272</v>
      </c>
      <c r="Q24" s="11">
        <v>9013272001</v>
      </c>
    </row>
    <row r="25" spans="1:17" ht="37.5" x14ac:dyDescent="0.45">
      <c r="A25" s="8" t="s">
        <v>34</v>
      </c>
      <c r="C25" s="11">
        <v>285000</v>
      </c>
      <c r="E25" s="11">
        <v>13584438845</v>
      </c>
      <c r="G25" s="11">
        <v>12010067302</v>
      </c>
      <c r="I25" s="11">
        <v>1574371543</v>
      </c>
      <c r="K25" s="11">
        <v>285000</v>
      </c>
      <c r="M25" s="11">
        <v>13584438845</v>
      </c>
      <c r="O25" s="11">
        <v>12010067302</v>
      </c>
      <c r="Q25" s="11">
        <v>1574371543</v>
      </c>
    </row>
    <row r="26" spans="1:17" ht="37.5" x14ac:dyDescent="0.45">
      <c r="A26" s="8" t="s">
        <v>35</v>
      </c>
      <c r="J26" s="7"/>
      <c r="K26" s="11">
        <v>250000</v>
      </c>
      <c r="M26" s="11">
        <v>1075511389</v>
      </c>
      <c r="O26" s="11">
        <v>794288872</v>
      </c>
      <c r="Q26" s="11">
        <v>281222517</v>
      </c>
    </row>
    <row r="27" spans="1:17" ht="37.5" x14ac:dyDescent="0.45">
      <c r="A27" s="8" t="s">
        <v>36</v>
      </c>
      <c r="J27" s="7"/>
      <c r="K27" s="11">
        <v>100000</v>
      </c>
      <c r="M27" s="11">
        <v>1308169802</v>
      </c>
      <c r="O27" s="11">
        <v>1317267379</v>
      </c>
      <c r="Q27" s="11">
        <v>-9097577</v>
      </c>
    </row>
    <row r="28" spans="1:17" ht="18.75" x14ac:dyDescent="0.45">
      <c r="A28" s="8" t="s">
        <v>37</v>
      </c>
      <c r="J28" s="7"/>
      <c r="K28" s="11">
        <v>1000000</v>
      </c>
      <c r="M28" s="11">
        <v>7515018087</v>
      </c>
      <c r="O28" s="11">
        <v>6510965487</v>
      </c>
      <c r="Q28" s="11">
        <v>1004052600</v>
      </c>
    </row>
    <row r="29" spans="1:17" ht="18.75" x14ac:dyDescent="0.45">
      <c r="A29" s="8" t="s">
        <v>177</v>
      </c>
      <c r="J29" s="7"/>
      <c r="K29" s="11">
        <v>1820134</v>
      </c>
      <c r="M29" s="11">
        <v>16630074164</v>
      </c>
      <c r="O29" s="11">
        <v>19822639912</v>
      </c>
      <c r="Q29" s="11">
        <v>-3192565748</v>
      </c>
    </row>
    <row r="30" spans="1:17" ht="18.75" x14ac:dyDescent="0.45">
      <c r="A30" s="8" t="s">
        <v>38</v>
      </c>
      <c r="J30" s="7"/>
      <c r="K30" s="11">
        <v>7200000</v>
      </c>
      <c r="M30" s="11">
        <v>16991098026</v>
      </c>
      <c r="O30" s="11">
        <v>13313356791</v>
      </c>
      <c r="Q30" s="11">
        <v>3677741235</v>
      </c>
    </row>
    <row r="31" spans="1:17" ht="18.75" x14ac:dyDescent="0.45">
      <c r="A31" s="8" t="s">
        <v>246</v>
      </c>
      <c r="J31" s="7"/>
      <c r="K31" s="11">
        <v>1800000</v>
      </c>
      <c r="M31" s="11">
        <v>25551061283</v>
      </c>
      <c r="O31" s="11">
        <v>19320727281</v>
      </c>
      <c r="Q31" s="11">
        <v>6230334002</v>
      </c>
    </row>
    <row r="32" spans="1:17" ht="18.75" x14ac:dyDescent="0.45">
      <c r="A32" s="8" t="s">
        <v>39</v>
      </c>
      <c r="J32" s="7"/>
      <c r="K32" s="11">
        <v>400000</v>
      </c>
      <c r="M32" s="11">
        <v>3033840616</v>
      </c>
      <c r="O32" s="11">
        <v>2927555640</v>
      </c>
      <c r="Q32" s="11">
        <v>106284976</v>
      </c>
    </row>
    <row r="33" spans="1:17" ht="18.75" x14ac:dyDescent="0.45">
      <c r="A33" s="8" t="s">
        <v>40</v>
      </c>
      <c r="C33" s="11">
        <v>893065</v>
      </c>
      <c r="E33" s="11">
        <v>18868003786</v>
      </c>
      <c r="G33" s="11">
        <v>13921516771</v>
      </c>
      <c r="I33" s="11">
        <v>4946487015</v>
      </c>
      <c r="K33" s="11">
        <v>2093065</v>
      </c>
      <c r="M33" s="11">
        <v>35543664485</v>
      </c>
      <c r="O33" s="11">
        <v>32883605690</v>
      </c>
      <c r="Q33" s="11">
        <v>2660058795</v>
      </c>
    </row>
    <row r="34" spans="1:17" ht="18.75" x14ac:dyDescent="0.45">
      <c r="A34" s="8" t="s">
        <v>41</v>
      </c>
      <c r="J34" s="7"/>
      <c r="K34" s="11">
        <v>500000</v>
      </c>
      <c r="M34" s="11">
        <v>16244775092</v>
      </c>
      <c r="O34" s="11">
        <v>14803574592</v>
      </c>
      <c r="Q34" s="11">
        <v>1441200500</v>
      </c>
    </row>
    <row r="35" spans="1:17" ht="18.75" x14ac:dyDescent="0.45">
      <c r="A35" s="8" t="s">
        <v>183</v>
      </c>
      <c r="J35" s="7"/>
      <c r="K35" s="11">
        <v>823279</v>
      </c>
      <c r="M35" s="11">
        <v>99723042717</v>
      </c>
      <c r="O35" s="11">
        <v>83910713763</v>
      </c>
      <c r="Q35" s="11">
        <v>15812328954</v>
      </c>
    </row>
    <row r="36" spans="1:17" ht="37.5" x14ac:dyDescent="0.45">
      <c r="A36" s="8" t="s">
        <v>42</v>
      </c>
      <c r="J36" s="7"/>
      <c r="K36" s="11">
        <v>272500</v>
      </c>
      <c r="M36" s="11">
        <v>7509976968</v>
      </c>
      <c r="O36" s="11">
        <v>5058427983</v>
      </c>
      <c r="Q36" s="11">
        <v>2451548985</v>
      </c>
    </row>
    <row r="37" spans="1:17" ht="18.75" x14ac:dyDescent="0.45">
      <c r="A37" s="8" t="s">
        <v>185</v>
      </c>
      <c r="J37" s="7"/>
      <c r="K37" s="11">
        <v>188</v>
      </c>
      <c r="M37" s="11">
        <v>4862658</v>
      </c>
      <c r="O37" s="11">
        <v>2733485</v>
      </c>
      <c r="Q37" s="11">
        <v>2129173</v>
      </c>
    </row>
    <row r="38" spans="1:17" ht="18.75" x14ac:dyDescent="0.45">
      <c r="A38" s="8" t="s">
        <v>43</v>
      </c>
      <c r="J38" s="7"/>
      <c r="K38" s="11">
        <v>1592280</v>
      </c>
      <c r="M38" s="11">
        <v>91839161439</v>
      </c>
      <c r="O38" s="11">
        <v>58594958367</v>
      </c>
      <c r="Q38" s="11">
        <v>33244203072</v>
      </c>
    </row>
    <row r="39" spans="1:17" ht="18.75" x14ac:dyDescent="0.45">
      <c r="A39" s="8" t="s">
        <v>187</v>
      </c>
      <c r="J39" s="7"/>
      <c r="K39" s="11">
        <v>3260353</v>
      </c>
      <c r="M39" s="11">
        <v>21457616564</v>
      </c>
      <c r="O39" s="11">
        <v>14112314709</v>
      </c>
      <c r="Q39" s="11">
        <v>7345301855</v>
      </c>
    </row>
    <row r="40" spans="1:17" ht="18.75" x14ac:dyDescent="0.45">
      <c r="A40" s="8" t="s">
        <v>247</v>
      </c>
      <c r="J40" s="7"/>
      <c r="K40" s="11">
        <v>1200000</v>
      </c>
      <c r="M40" s="11">
        <v>16592732407</v>
      </c>
      <c r="O40" s="11">
        <v>15224881285</v>
      </c>
      <c r="Q40" s="11">
        <v>1367851122</v>
      </c>
    </row>
    <row r="41" spans="1:17" ht="18.75" x14ac:dyDescent="0.45">
      <c r="A41" s="8" t="s">
        <v>46</v>
      </c>
      <c r="J41" s="7"/>
      <c r="K41" s="11">
        <v>10000000</v>
      </c>
      <c r="M41" s="11">
        <v>40918606663</v>
      </c>
      <c r="O41" s="11">
        <v>44218934306</v>
      </c>
      <c r="Q41" s="11">
        <v>-3300327643</v>
      </c>
    </row>
    <row r="42" spans="1:17" ht="18.75" x14ac:dyDescent="0.45">
      <c r="A42" s="8" t="s">
        <v>47</v>
      </c>
      <c r="C42" s="11">
        <v>205918</v>
      </c>
      <c r="E42" s="11">
        <v>507655266</v>
      </c>
      <c r="G42" s="11">
        <v>901745491</v>
      </c>
      <c r="I42" s="11">
        <v>-394090225</v>
      </c>
      <c r="K42" s="11">
        <v>4855199</v>
      </c>
      <c r="M42" s="11">
        <v>19608824447</v>
      </c>
      <c r="O42" s="11">
        <v>30906215379</v>
      </c>
      <c r="Q42" s="11">
        <v>-11297390932</v>
      </c>
    </row>
    <row r="43" spans="1:17" ht="18.75" x14ac:dyDescent="0.45">
      <c r="A43" s="8" t="s">
        <v>49</v>
      </c>
      <c r="C43" s="11">
        <v>13647</v>
      </c>
      <c r="E43" s="11">
        <v>695925578</v>
      </c>
      <c r="G43" s="11">
        <v>381374523</v>
      </c>
      <c r="I43" s="11">
        <v>314551055</v>
      </c>
      <c r="K43" s="11">
        <v>1261174</v>
      </c>
      <c r="M43" s="11">
        <v>50584868381</v>
      </c>
      <c r="O43" s="11">
        <v>35326520747</v>
      </c>
      <c r="Q43" s="11">
        <v>15258347634</v>
      </c>
    </row>
    <row r="44" spans="1:17" ht="18.75" x14ac:dyDescent="0.45">
      <c r="A44" s="8" t="s">
        <v>51</v>
      </c>
      <c r="C44" s="11">
        <v>135469</v>
      </c>
      <c r="E44" s="11">
        <v>1189073959</v>
      </c>
      <c r="G44" s="11">
        <v>729109720</v>
      </c>
      <c r="I44" s="11">
        <v>459964239</v>
      </c>
      <c r="K44" s="11">
        <v>8548212</v>
      </c>
      <c r="M44" s="11">
        <v>58830535378</v>
      </c>
      <c r="O44" s="11">
        <v>46104431008</v>
      </c>
      <c r="Q44" s="11">
        <v>12726104370</v>
      </c>
    </row>
    <row r="45" spans="1:17" ht="18.75" x14ac:dyDescent="0.45">
      <c r="A45" s="8" t="s">
        <v>52</v>
      </c>
      <c r="C45" s="11">
        <v>128275</v>
      </c>
      <c r="E45" s="11">
        <v>1076845428</v>
      </c>
      <c r="G45" s="11">
        <v>732868524</v>
      </c>
      <c r="I45" s="11">
        <v>343976904</v>
      </c>
      <c r="K45" s="11">
        <v>3128377</v>
      </c>
      <c r="M45" s="11">
        <v>75934987663</v>
      </c>
      <c r="O45" s="11">
        <v>71856743666</v>
      </c>
      <c r="Q45" s="11">
        <v>4078243997</v>
      </c>
    </row>
    <row r="46" spans="1:17" ht="18.75" x14ac:dyDescent="0.45">
      <c r="A46" s="8" t="s">
        <v>195</v>
      </c>
      <c r="J46" s="7"/>
      <c r="K46" s="11">
        <v>783101</v>
      </c>
      <c r="M46" s="11">
        <v>47742123864</v>
      </c>
      <c r="O46" s="11">
        <v>54096161251</v>
      </c>
      <c r="Q46" s="11">
        <v>-6354037387</v>
      </c>
    </row>
    <row r="47" spans="1:17" ht="18.75" x14ac:dyDescent="0.45">
      <c r="A47" s="8" t="s">
        <v>197</v>
      </c>
      <c r="J47" s="7"/>
      <c r="K47" s="11">
        <v>7949358</v>
      </c>
      <c r="M47" s="11">
        <v>61611905997</v>
      </c>
      <c r="O47" s="11">
        <v>72141670083</v>
      </c>
      <c r="Q47" s="11">
        <v>-10529764086</v>
      </c>
    </row>
    <row r="48" spans="1:17" ht="18.75" x14ac:dyDescent="0.45">
      <c r="A48" s="8" t="s">
        <v>56</v>
      </c>
      <c r="J48" s="7"/>
      <c r="K48" s="11">
        <v>469026</v>
      </c>
      <c r="M48" s="11">
        <v>17196292884</v>
      </c>
      <c r="O48" s="11">
        <v>15067710194</v>
      </c>
      <c r="Q48" s="11">
        <v>2128582690</v>
      </c>
    </row>
    <row r="49" spans="1:17" ht="18.75" x14ac:dyDescent="0.45">
      <c r="A49" s="8" t="s">
        <v>199</v>
      </c>
      <c r="J49" s="7"/>
      <c r="K49" s="11">
        <v>6310177</v>
      </c>
      <c r="M49" s="11">
        <v>28065801767</v>
      </c>
      <c r="O49" s="11">
        <v>32487328927</v>
      </c>
      <c r="Q49" s="11">
        <v>-4421527160</v>
      </c>
    </row>
    <row r="50" spans="1:17" ht="18.75" x14ac:dyDescent="0.45">
      <c r="A50" s="8" t="s">
        <v>57</v>
      </c>
      <c r="J50" s="7"/>
      <c r="K50" s="11">
        <v>31773213</v>
      </c>
      <c r="M50" s="11">
        <v>46635859507</v>
      </c>
      <c r="O50" s="11">
        <v>60812694175</v>
      </c>
      <c r="Q50" s="11">
        <v>-14176834668</v>
      </c>
    </row>
    <row r="51" spans="1:17" ht="37.5" x14ac:dyDescent="0.45">
      <c r="A51" s="8" t="s">
        <v>201</v>
      </c>
      <c r="J51" s="7"/>
      <c r="K51" s="11">
        <v>8640622</v>
      </c>
      <c r="M51" s="11">
        <v>18405977767</v>
      </c>
      <c r="O51" s="11">
        <v>27478372743</v>
      </c>
      <c r="Q51" s="11">
        <v>-9072394976</v>
      </c>
    </row>
    <row r="52" spans="1:17" ht="18.75" x14ac:dyDescent="0.45">
      <c r="A52" s="8" t="s">
        <v>58</v>
      </c>
      <c r="J52" s="7"/>
      <c r="K52" s="11">
        <v>600000</v>
      </c>
      <c r="M52" s="11">
        <v>2866334815</v>
      </c>
      <c r="O52" s="11">
        <v>2808379831</v>
      </c>
      <c r="Q52" s="11">
        <v>57954984</v>
      </c>
    </row>
    <row r="53" spans="1:17" ht="37.5" x14ac:dyDescent="0.45">
      <c r="A53" s="8" t="s">
        <v>237</v>
      </c>
      <c r="J53" s="7"/>
      <c r="K53" s="11">
        <v>134120</v>
      </c>
      <c r="M53" s="11">
        <v>134098190751</v>
      </c>
      <c r="O53" s="11">
        <v>134122500000</v>
      </c>
      <c r="Q53" s="11">
        <v>-24309249</v>
      </c>
    </row>
    <row r="54" spans="1:17" ht="18.75" x14ac:dyDescent="0.45">
      <c r="A54" s="8" t="s">
        <v>59</v>
      </c>
      <c r="J54" s="7"/>
      <c r="K54" s="11">
        <v>250004</v>
      </c>
      <c r="M54" s="11">
        <v>2201857970</v>
      </c>
      <c r="O54" s="11">
        <v>1750949160</v>
      </c>
      <c r="Q54" s="11">
        <v>450908810</v>
      </c>
    </row>
    <row r="55" spans="1:17" ht="18.75" x14ac:dyDescent="0.45">
      <c r="A55" s="8" t="s">
        <v>60</v>
      </c>
      <c r="C55" s="11">
        <v>400000</v>
      </c>
      <c r="E55" s="11">
        <v>2996112613</v>
      </c>
      <c r="G55" s="11">
        <v>2932125316</v>
      </c>
      <c r="I55" s="11">
        <v>63987297</v>
      </c>
      <c r="K55" s="11">
        <v>2200000</v>
      </c>
      <c r="M55" s="11">
        <v>18479435462</v>
      </c>
      <c r="O55" s="11">
        <v>16114713092</v>
      </c>
      <c r="Q55" s="11">
        <v>2364722370</v>
      </c>
    </row>
    <row r="56" spans="1:17" ht="18.75" x14ac:dyDescent="0.45">
      <c r="A56" s="8" t="s">
        <v>61</v>
      </c>
      <c r="C56" s="11">
        <v>557472</v>
      </c>
      <c r="E56" s="11">
        <v>15449842652</v>
      </c>
      <c r="G56" s="11">
        <v>13407135751</v>
      </c>
      <c r="I56" s="11">
        <v>2042706901</v>
      </c>
      <c r="K56" s="11">
        <v>557472</v>
      </c>
      <c r="M56" s="11">
        <v>15449842652</v>
      </c>
      <c r="O56" s="11">
        <v>13407135751</v>
      </c>
      <c r="Q56" s="11">
        <v>2042706901</v>
      </c>
    </row>
    <row r="57" spans="1:17" ht="18.75" x14ac:dyDescent="0.45">
      <c r="A57" s="8" t="s">
        <v>204</v>
      </c>
      <c r="J57" s="7"/>
      <c r="K57" s="11">
        <v>18187595</v>
      </c>
      <c r="M57" s="11">
        <v>32664728642</v>
      </c>
      <c r="O57" s="11">
        <v>44135119491</v>
      </c>
      <c r="Q57" s="11">
        <v>-11470390849</v>
      </c>
    </row>
    <row r="58" spans="1:17" ht="18.75" x14ac:dyDescent="0.45">
      <c r="A58" s="8" t="s">
        <v>205</v>
      </c>
      <c r="J58" s="7"/>
      <c r="K58" s="11">
        <v>2488715</v>
      </c>
      <c r="M58" s="11">
        <v>21077688982</v>
      </c>
      <c r="O58" s="11">
        <v>24998637417</v>
      </c>
      <c r="Q58" s="11">
        <v>-3920948435</v>
      </c>
    </row>
    <row r="59" spans="1:17" ht="37.5" x14ac:dyDescent="0.45">
      <c r="A59" s="8" t="s">
        <v>63</v>
      </c>
      <c r="C59" s="11">
        <v>76</v>
      </c>
      <c r="E59" s="11">
        <v>1276760</v>
      </c>
      <c r="G59" s="11">
        <v>801748</v>
      </c>
      <c r="I59" s="11">
        <v>475012</v>
      </c>
      <c r="K59" s="11">
        <v>76</v>
      </c>
      <c r="M59" s="11">
        <v>1276760</v>
      </c>
      <c r="O59" s="11">
        <v>801748</v>
      </c>
      <c r="Q59" s="11">
        <v>475012</v>
      </c>
    </row>
    <row r="60" spans="1:17" ht="37.5" x14ac:dyDescent="0.45">
      <c r="A60" s="8" t="s">
        <v>207</v>
      </c>
      <c r="J60" s="7"/>
      <c r="K60" s="11">
        <v>2522410</v>
      </c>
      <c r="M60" s="11">
        <v>18703622554</v>
      </c>
      <c r="O60" s="11">
        <v>32455747251</v>
      </c>
      <c r="Q60" s="11">
        <v>-13752124697</v>
      </c>
    </row>
    <row r="61" spans="1:17" ht="18.75" x14ac:dyDescent="0.45">
      <c r="A61" s="8" t="s">
        <v>248</v>
      </c>
      <c r="J61" s="7"/>
      <c r="K61" s="11">
        <v>11591982</v>
      </c>
      <c r="M61" s="11">
        <v>34364341410</v>
      </c>
      <c r="O61" s="11">
        <v>35469547725</v>
      </c>
      <c r="Q61" s="11">
        <v>-1105206315</v>
      </c>
    </row>
    <row r="62" spans="1:17" ht="18.75" x14ac:dyDescent="0.45">
      <c r="A62" s="8" t="s">
        <v>209</v>
      </c>
      <c r="J62" s="7"/>
      <c r="K62" s="11">
        <v>7066087</v>
      </c>
      <c r="M62" s="11">
        <v>41113888809</v>
      </c>
      <c r="O62" s="11">
        <v>44500680605</v>
      </c>
      <c r="Q62" s="11">
        <v>-3386791796</v>
      </c>
    </row>
    <row r="63" spans="1:17" ht="18.75" x14ac:dyDescent="0.45">
      <c r="A63" s="8" t="s">
        <v>249</v>
      </c>
      <c r="J63" s="7"/>
      <c r="K63" s="11">
        <v>162355</v>
      </c>
      <c r="M63" s="11">
        <v>678807354</v>
      </c>
      <c r="O63" s="11">
        <v>742845169</v>
      </c>
      <c r="Q63" s="11">
        <v>-64037815</v>
      </c>
    </row>
    <row r="64" spans="1:17" ht="18.75" x14ac:dyDescent="0.45">
      <c r="A64" s="8" t="s">
        <v>211</v>
      </c>
      <c r="J64" s="7"/>
      <c r="K64" s="11">
        <v>1724034</v>
      </c>
      <c r="M64" s="11">
        <v>34157336538</v>
      </c>
      <c r="O64" s="11">
        <v>43496836639</v>
      </c>
      <c r="Q64" s="11">
        <v>-9339500101</v>
      </c>
    </row>
    <row r="65" spans="1:17" ht="18.75" x14ac:dyDescent="0.45">
      <c r="A65" s="8" t="s">
        <v>213</v>
      </c>
      <c r="J65" s="7"/>
      <c r="K65" s="11">
        <v>8867344</v>
      </c>
      <c r="M65" s="11">
        <v>30637268222</v>
      </c>
      <c r="O65" s="11">
        <v>45493791227</v>
      </c>
      <c r="Q65" s="11">
        <v>-14856523005</v>
      </c>
    </row>
    <row r="66" spans="1:17" ht="18.75" x14ac:dyDescent="0.45">
      <c r="A66" s="8" t="s">
        <v>250</v>
      </c>
      <c r="J66" s="7"/>
      <c r="K66" s="11">
        <v>5120</v>
      </c>
      <c r="M66" s="11">
        <v>19391134</v>
      </c>
      <c r="O66" s="11">
        <v>16769983</v>
      </c>
      <c r="Q66" s="11">
        <v>2621151</v>
      </c>
    </row>
    <row r="67" spans="1:17" ht="18.75" x14ac:dyDescent="0.45">
      <c r="A67" s="8" t="s">
        <v>215</v>
      </c>
      <c r="J67" s="7"/>
      <c r="K67" s="11">
        <v>1000000</v>
      </c>
      <c r="M67" s="11">
        <v>3500610195</v>
      </c>
      <c r="O67" s="11">
        <v>4507955320</v>
      </c>
      <c r="Q67" s="11">
        <v>-1007345125</v>
      </c>
    </row>
    <row r="68" spans="1:17" ht="18.75" x14ac:dyDescent="0.45">
      <c r="A68" s="8" t="s">
        <v>216</v>
      </c>
      <c r="J68" s="7"/>
      <c r="K68" s="11">
        <v>7000000</v>
      </c>
      <c r="M68" s="11">
        <v>51474411028</v>
      </c>
      <c r="O68" s="11">
        <v>77416664348</v>
      </c>
      <c r="Q68" s="11">
        <v>-25942253320</v>
      </c>
    </row>
    <row r="69" spans="1:17" ht="18.75" x14ac:dyDescent="0.45">
      <c r="A69" s="8" t="s">
        <v>65</v>
      </c>
      <c r="J69" s="7"/>
      <c r="K69" s="11">
        <v>25227262</v>
      </c>
      <c r="M69" s="11">
        <v>97502589356</v>
      </c>
      <c r="O69" s="11">
        <v>111326203581</v>
      </c>
      <c r="Q69" s="11">
        <v>-13823614225</v>
      </c>
    </row>
    <row r="70" spans="1:17" ht="18.75" x14ac:dyDescent="0.45">
      <c r="A70" s="8" t="s">
        <v>66</v>
      </c>
      <c r="J70" s="7"/>
      <c r="K70" s="11">
        <v>454489</v>
      </c>
      <c r="M70" s="11">
        <v>5203807892</v>
      </c>
      <c r="O70" s="11">
        <v>5146305770</v>
      </c>
      <c r="Q70" s="11">
        <v>57502122</v>
      </c>
    </row>
    <row r="71" spans="1:17" ht="18.75" x14ac:dyDescent="0.45">
      <c r="A71" s="8" t="s">
        <v>67</v>
      </c>
      <c r="C71" s="11">
        <v>600000</v>
      </c>
      <c r="E71" s="11">
        <v>3519506023</v>
      </c>
      <c r="G71" s="11">
        <v>3785180364</v>
      </c>
      <c r="I71" s="11">
        <v>-265674341</v>
      </c>
      <c r="K71" s="11">
        <v>600000</v>
      </c>
      <c r="M71" s="11">
        <v>3519506023</v>
      </c>
      <c r="O71" s="11">
        <v>3785180364</v>
      </c>
      <c r="Q71" s="11">
        <v>-265674341</v>
      </c>
    </row>
    <row r="72" spans="1:17" ht="18.75" x14ac:dyDescent="0.45">
      <c r="A72" s="8" t="s">
        <v>68</v>
      </c>
      <c r="J72" s="7"/>
      <c r="K72" s="11">
        <v>400000</v>
      </c>
      <c r="M72" s="11">
        <v>2127267007</v>
      </c>
      <c r="O72" s="11">
        <v>1908828593</v>
      </c>
      <c r="Q72" s="11">
        <v>218438414</v>
      </c>
    </row>
    <row r="73" spans="1:17" ht="18.75" x14ac:dyDescent="0.45">
      <c r="A73" s="8" t="s">
        <v>69</v>
      </c>
      <c r="J73" s="7"/>
      <c r="K73" s="11">
        <v>135000</v>
      </c>
      <c r="M73" s="11">
        <v>2564649014</v>
      </c>
      <c r="O73" s="11">
        <v>2626521588</v>
      </c>
      <c r="Q73" s="11">
        <v>-61872574</v>
      </c>
    </row>
    <row r="74" spans="1:17" ht="18.75" x14ac:dyDescent="0.45">
      <c r="A74" s="8" t="s">
        <v>70</v>
      </c>
      <c r="C74" s="11">
        <v>200000</v>
      </c>
      <c r="E74" s="11">
        <v>1737599431</v>
      </c>
      <c r="G74" s="11">
        <v>2172533231</v>
      </c>
      <c r="I74" s="11">
        <v>-434933800</v>
      </c>
      <c r="K74" s="11">
        <v>200000</v>
      </c>
      <c r="M74" s="11">
        <v>1737599431</v>
      </c>
      <c r="O74" s="11">
        <v>2172533231</v>
      </c>
      <c r="Q74" s="11">
        <v>-434933800</v>
      </c>
    </row>
    <row r="75" spans="1:17" ht="18.75" x14ac:dyDescent="0.45">
      <c r="A75" s="8" t="s">
        <v>251</v>
      </c>
      <c r="J75" s="7"/>
      <c r="K75" s="11">
        <v>2314570</v>
      </c>
      <c r="M75" s="11">
        <v>8184392109</v>
      </c>
      <c r="O75" s="11">
        <v>9895062325</v>
      </c>
      <c r="Q75" s="11">
        <v>-1710670216</v>
      </c>
    </row>
    <row r="76" spans="1:17" ht="18.75" x14ac:dyDescent="0.45">
      <c r="A76" s="8" t="s">
        <v>71</v>
      </c>
      <c r="J76" s="7"/>
      <c r="K76" s="11">
        <v>250000</v>
      </c>
      <c r="M76" s="11">
        <v>4808719884</v>
      </c>
      <c r="O76" s="11">
        <v>3374304134</v>
      </c>
      <c r="Q76" s="11">
        <v>1434415750</v>
      </c>
    </row>
    <row r="77" spans="1:17" ht="18.75" x14ac:dyDescent="0.45">
      <c r="A77" s="8" t="s">
        <v>72</v>
      </c>
      <c r="J77" s="7"/>
      <c r="K77" s="11">
        <v>6852594</v>
      </c>
      <c r="M77" s="11">
        <v>71365872368</v>
      </c>
      <c r="O77" s="11">
        <v>44490354443</v>
      </c>
      <c r="Q77" s="11">
        <v>26875517925</v>
      </c>
    </row>
    <row r="78" spans="1:17" ht="18.75" x14ac:dyDescent="0.45">
      <c r="A78" s="8" t="s">
        <v>73</v>
      </c>
      <c r="J78" s="7"/>
      <c r="K78" s="11">
        <v>858143</v>
      </c>
      <c r="M78" s="11">
        <v>3008702001</v>
      </c>
      <c r="O78" s="11">
        <v>3174908838</v>
      </c>
      <c r="Q78" s="11">
        <v>-166206837</v>
      </c>
    </row>
    <row r="79" spans="1:17" ht="18.75" x14ac:dyDescent="0.45">
      <c r="A79" s="8" t="s">
        <v>74</v>
      </c>
      <c r="J79" s="7"/>
      <c r="K79" s="11">
        <v>38296</v>
      </c>
      <c r="M79" s="11">
        <v>591214081</v>
      </c>
      <c r="O79" s="11">
        <v>631437796</v>
      </c>
      <c r="Q79" s="11">
        <v>-40223715</v>
      </c>
    </row>
    <row r="80" spans="1:17" ht="18.75" x14ac:dyDescent="0.45">
      <c r="A80" s="8" t="s">
        <v>252</v>
      </c>
      <c r="J80" s="7"/>
      <c r="K80" s="11">
        <v>1321759</v>
      </c>
      <c r="M80" s="11">
        <v>10867433600</v>
      </c>
      <c r="O80" s="11">
        <v>11085824944</v>
      </c>
      <c r="Q80" s="11">
        <v>-218391344</v>
      </c>
    </row>
    <row r="81" spans="1:17" ht="18.75" x14ac:dyDescent="0.45">
      <c r="A81" s="8" t="s">
        <v>225</v>
      </c>
      <c r="J81" s="7"/>
      <c r="K81" s="11">
        <v>339909</v>
      </c>
      <c r="M81" s="11">
        <v>23090542752</v>
      </c>
      <c r="O81" s="11">
        <v>25355328754</v>
      </c>
      <c r="Q81" s="11">
        <v>-2264786002</v>
      </c>
    </row>
    <row r="82" spans="1:17" ht="37.5" x14ac:dyDescent="0.45">
      <c r="A82" s="8" t="s">
        <v>78</v>
      </c>
      <c r="J82" s="7"/>
      <c r="K82" s="11">
        <v>700000</v>
      </c>
      <c r="M82" s="11">
        <v>11853977069</v>
      </c>
      <c r="O82" s="11">
        <v>9072341709</v>
      </c>
      <c r="Q82" s="11">
        <v>2781635360</v>
      </c>
    </row>
    <row r="83" spans="1:17" ht="18.75" x14ac:dyDescent="0.45">
      <c r="A83" s="8" t="s">
        <v>253</v>
      </c>
      <c r="J83" s="7"/>
      <c r="K83" s="11">
        <v>305861</v>
      </c>
      <c r="M83" s="11">
        <v>2015792683</v>
      </c>
      <c r="O83" s="11">
        <v>1576825953</v>
      </c>
      <c r="Q83" s="11">
        <v>438966730</v>
      </c>
    </row>
    <row r="84" spans="1:17" ht="18.75" x14ac:dyDescent="0.45">
      <c r="A84" s="8" t="s">
        <v>79</v>
      </c>
      <c r="J84" s="7"/>
      <c r="K84" s="11">
        <v>2000000</v>
      </c>
      <c r="M84" s="11">
        <v>13446216654</v>
      </c>
      <c r="O84" s="11">
        <v>15168243234</v>
      </c>
      <c r="Q84" s="11">
        <v>-1722026580</v>
      </c>
    </row>
    <row r="85" spans="1:17" ht="18.75" x14ac:dyDescent="0.45">
      <c r="A85" s="8" t="s">
        <v>80</v>
      </c>
      <c r="C85" s="11">
        <v>1400250</v>
      </c>
      <c r="E85" s="11">
        <v>12302559191</v>
      </c>
      <c r="G85" s="11">
        <v>9291730361</v>
      </c>
      <c r="I85" s="11">
        <v>3010828830</v>
      </c>
      <c r="K85" s="11">
        <v>2000250</v>
      </c>
      <c r="M85" s="11">
        <v>16739998412</v>
      </c>
      <c r="O85" s="11">
        <v>13238008700</v>
      </c>
      <c r="Q85" s="11">
        <v>3501989712</v>
      </c>
    </row>
    <row r="86" spans="1:17" ht="18.75" x14ac:dyDescent="0.45">
      <c r="A86" s="8" t="s">
        <v>82</v>
      </c>
      <c r="J86" s="7"/>
      <c r="K86" s="11">
        <v>8200000</v>
      </c>
      <c r="M86" s="11">
        <v>46040221307</v>
      </c>
      <c r="O86" s="11">
        <v>29091553424</v>
      </c>
      <c r="Q86" s="11">
        <v>16948667883</v>
      </c>
    </row>
    <row r="87" spans="1:17" ht="18.75" x14ac:dyDescent="0.45">
      <c r="A87" s="8" t="s">
        <v>83</v>
      </c>
      <c r="J87" s="7"/>
      <c r="K87" s="11">
        <v>7693660</v>
      </c>
      <c r="M87" s="11">
        <v>2799125244</v>
      </c>
      <c r="O87" s="11">
        <v>7467066884</v>
      </c>
      <c r="Q87" s="11">
        <v>-4667941640</v>
      </c>
    </row>
    <row r="88" spans="1:17" ht="18.75" x14ac:dyDescent="0.45">
      <c r="A88" s="8" t="s">
        <v>84</v>
      </c>
      <c r="J88" s="7"/>
      <c r="K88" s="11">
        <v>486808</v>
      </c>
      <c r="M88" s="11">
        <v>18830297937</v>
      </c>
      <c r="O88" s="11">
        <v>19127610134</v>
      </c>
      <c r="Q88" s="11">
        <v>-297312197</v>
      </c>
    </row>
    <row r="89" spans="1:17" ht="18.75" x14ac:dyDescent="0.45">
      <c r="A89" s="8" t="s">
        <v>85</v>
      </c>
      <c r="C89" s="11">
        <v>450000</v>
      </c>
      <c r="E89" s="11">
        <v>6101478947</v>
      </c>
      <c r="G89" s="11">
        <v>2891134847</v>
      </c>
      <c r="I89" s="11">
        <v>3210344100</v>
      </c>
      <c r="K89" s="11">
        <v>450000</v>
      </c>
      <c r="M89" s="11">
        <v>6101478947</v>
      </c>
      <c r="O89" s="11">
        <v>2891134847</v>
      </c>
      <c r="Q89" s="11">
        <v>3210344100</v>
      </c>
    </row>
    <row r="90" spans="1:17" ht="18.75" x14ac:dyDescent="0.45">
      <c r="A90" s="8" t="s">
        <v>228</v>
      </c>
      <c r="J90" s="7"/>
      <c r="K90" s="11">
        <v>1056335</v>
      </c>
      <c r="M90" s="11">
        <v>12282594884</v>
      </c>
      <c r="O90" s="11">
        <v>15393714997</v>
      </c>
      <c r="Q90" s="11">
        <v>-3111120113</v>
      </c>
    </row>
    <row r="91" spans="1:17" ht="18.75" x14ac:dyDescent="0.45">
      <c r="A91" s="8" t="s">
        <v>87</v>
      </c>
      <c r="J91" s="7"/>
      <c r="K91" s="11">
        <v>400000</v>
      </c>
      <c r="M91" s="11">
        <v>2063647811</v>
      </c>
      <c r="O91" s="11">
        <v>1780109673</v>
      </c>
      <c r="Q91" s="11">
        <v>283538138</v>
      </c>
    </row>
    <row r="92" spans="1:17" ht="18.75" x14ac:dyDescent="0.45">
      <c r="A92" s="8" t="s">
        <v>88</v>
      </c>
      <c r="C92" s="11">
        <v>190506</v>
      </c>
      <c r="E92" s="11">
        <v>1771547304</v>
      </c>
      <c r="G92" s="11">
        <v>1873342167</v>
      </c>
      <c r="I92" s="11">
        <v>-101794863</v>
      </c>
      <c r="K92" s="11">
        <v>190506</v>
      </c>
      <c r="M92" s="11">
        <v>1771547304</v>
      </c>
      <c r="O92" s="11">
        <v>1873342167</v>
      </c>
      <c r="Q92" s="11">
        <v>-101794863</v>
      </c>
    </row>
    <row r="93" spans="1:17" ht="18.75" x14ac:dyDescent="0.45">
      <c r="A93" s="8" t="s">
        <v>89</v>
      </c>
      <c r="J93" s="7"/>
      <c r="K93" s="11">
        <v>1600000</v>
      </c>
      <c r="M93" s="11">
        <v>11594599273</v>
      </c>
      <c r="O93" s="11">
        <v>19668456073</v>
      </c>
      <c r="Q93" s="11">
        <v>-8073856800</v>
      </c>
    </row>
    <row r="94" spans="1:17" ht="18.75" x14ac:dyDescent="0.45">
      <c r="A94" s="8" t="s">
        <v>91</v>
      </c>
      <c r="C94" s="11">
        <v>636897</v>
      </c>
      <c r="E94" s="11">
        <v>3494753223</v>
      </c>
      <c r="G94" s="11">
        <v>4997946900</v>
      </c>
      <c r="I94" s="11">
        <v>-1503193677</v>
      </c>
      <c r="K94" s="11">
        <v>6486897</v>
      </c>
      <c r="M94" s="11">
        <v>39975841805</v>
      </c>
      <c r="O94" s="11">
        <v>50878657918</v>
      </c>
      <c r="Q94" s="11">
        <v>-10902816113</v>
      </c>
    </row>
    <row r="95" spans="1:17" ht="18.75" x14ac:dyDescent="0.45">
      <c r="A95" s="8" t="s">
        <v>92</v>
      </c>
      <c r="J95" s="7"/>
      <c r="K95" s="11">
        <v>761810</v>
      </c>
      <c r="M95" s="11">
        <v>28600817933</v>
      </c>
      <c r="O95" s="11">
        <v>29726112353</v>
      </c>
      <c r="Q95" s="11">
        <v>-1125294420</v>
      </c>
    </row>
    <row r="96" spans="1:17" ht="18.75" x14ac:dyDescent="0.45">
      <c r="A96" s="8" t="s">
        <v>93</v>
      </c>
      <c r="J96" s="7"/>
      <c r="K96" s="11">
        <v>544296</v>
      </c>
      <c r="M96" s="11">
        <v>11337151665</v>
      </c>
      <c r="O96" s="11">
        <v>9132316983</v>
      </c>
      <c r="Q96" s="11">
        <v>2204834682</v>
      </c>
    </row>
    <row r="97" spans="1:17" ht="18.75" x14ac:dyDescent="0.45">
      <c r="A97" s="8" t="s">
        <v>95</v>
      </c>
      <c r="C97" s="11">
        <v>52052</v>
      </c>
      <c r="E97" s="11">
        <v>1950684368</v>
      </c>
      <c r="G97" s="11">
        <v>1411677734</v>
      </c>
      <c r="I97" s="11">
        <v>539006634</v>
      </c>
      <c r="K97" s="11">
        <v>3669222</v>
      </c>
      <c r="M97" s="11">
        <v>130409670926</v>
      </c>
      <c r="O97" s="11">
        <v>99574293493</v>
      </c>
      <c r="Q97" s="11">
        <v>30835377433</v>
      </c>
    </row>
    <row r="98" spans="1:17" ht="18.75" x14ac:dyDescent="0.45">
      <c r="A98" s="8" t="s">
        <v>254</v>
      </c>
      <c r="J98" s="7"/>
      <c r="K98" s="11">
        <v>499494</v>
      </c>
      <c r="M98" s="11">
        <v>3872871706</v>
      </c>
      <c r="O98" s="11">
        <v>4281452809</v>
      </c>
      <c r="Q98" s="11">
        <v>-408581103</v>
      </c>
    </row>
    <row r="99" spans="1:17" ht="18.75" x14ac:dyDescent="0.45">
      <c r="A99" s="8" t="s">
        <v>255</v>
      </c>
      <c r="J99" s="7"/>
      <c r="K99" s="11">
        <v>3236368</v>
      </c>
      <c r="M99" s="11">
        <v>116879939719</v>
      </c>
      <c r="O99" s="11">
        <v>85882028645</v>
      </c>
      <c r="Q99" s="11">
        <v>30997911074</v>
      </c>
    </row>
    <row r="100" spans="1:17" ht="37.5" x14ac:dyDescent="0.45">
      <c r="A100" s="8" t="s">
        <v>98</v>
      </c>
      <c r="J100" s="7"/>
      <c r="K100" s="11">
        <v>13521106</v>
      </c>
      <c r="M100" s="11">
        <v>37916819394</v>
      </c>
      <c r="O100" s="11">
        <v>44689301262</v>
      </c>
      <c r="Q100" s="11">
        <v>-6772481868</v>
      </c>
    </row>
    <row r="101" spans="1:17" ht="18.75" x14ac:dyDescent="0.45">
      <c r="A101" s="8" t="s">
        <v>256</v>
      </c>
      <c r="J101" s="7"/>
      <c r="K101" s="11">
        <v>13950860</v>
      </c>
      <c r="M101" s="11">
        <v>72756700741</v>
      </c>
      <c r="O101" s="11">
        <v>82771622288</v>
      </c>
      <c r="Q101" s="11">
        <v>-10014921547</v>
      </c>
    </row>
    <row r="102" spans="1:17" ht="18.75" x14ac:dyDescent="0.45">
      <c r="A102" s="13" t="s">
        <v>99</v>
      </c>
      <c r="C102" s="13">
        <f>SUM(C9:$C$101)</f>
        <v>9918859</v>
      </c>
      <c r="E102" s="13">
        <f>SUM(E9:$E$101)</f>
        <v>101074690883</v>
      </c>
      <c r="G102" s="13">
        <f>SUM(G9:$G$101)</f>
        <v>85772728546</v>
      </c>
      <c r="I102" s="13">
        <f>SUM(I9:$I$101)</f>
        <v>15301962337</v>
      </c>
      <c r="K102" s="13">
        <f>SUM(K9:$K$101)</f>
        <v>318999446</v>
      </c>
      <c r="M102" s="13">
        <f>SUM(M9:$M$101)</f>
        <v>2310976465443</v>
      </c>
      <c r="O102" s="13">
        <f>SUM(O9:$O$101)</f>
        <v>2250977505320</v>
      </c>
      <c r="Q102" s="13">
        <f>SUM(Q9:$Q$101)</f>
        <v>59998960123</v>
      </c>
    </row>
    <row r="103" spans="1:17" ht="18.75" x14ac:dyDescent="0.45">
      <c r="C103" s="15"/>
      <c r="E103" s="15"/>
      <c r="G103" s="15"/>
      <c r="I103" s="15"/>
      <c r="K103" s="15"/>
      <c r="M103" s="15"/>
      <c r="O103" s="15"/>
      <c r="Q103" s="15"/>
    </row>
    <row r="105" spans="1:17" ht="18.75" x14ac:dyDescent="0.45">
      <c r="A105" s="42" t="s">
        <v>257</v>
      </c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4"/>
    </row>
  </sheetData>
  <mergeCells count="7">
    <mergeCell ref="A105:Q105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8" fitToHeight="0" orientation="landscape" r:id="rId1"/>
  <rowBreaks count="4" manualBreakCount="4">
    <brk id="27" max="16383" man="1"/>
    <brk id="49" max="16383" man="1"/>
    <brk id="68" max="16383" man="1"/>
    <brk id="9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94"/>
  <sheetViews>
    <sheetView rightToLeft="1" view="pageBreakPreview" topLeftCell="A55" zoomScale="60" zoomScaleNormal="100" workbookViewId="0">
      <selection activeCell="J78" sqref="J78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3.7109375" style="4" bestFit="1" customWidth="1"/>
    <col min="4" max="4" width="1.42578125" style="4" customWidth="1"/>
    <col min="5" max="5" width="19.7109375" style="4" bestFit="1" customWidth="1"/>
    <col min="6" max="6" width="1.42578125" style="4" customWidth="1"/>
    <col min="7" max="7" width="19.7109375" style="4" bestFit="1" customWidth="1"/>
    <col min="8" max="8" width="1.42578125" style="4" customWidth="1"/>
    <col min="9" max="9" width="19" style="4" bestFit="1" customWidth="1"/>
    <col min="10" max="10" width="1.42578125" style="4" customWidth="1"/>
    <col min="11" max="11" width="13.7109375" style="4" bestFit="1" customWidth="1"/>
    <col min="12" max="12" width="1.42578125" style="4" customWidth="1"/>
    <col min="13" max="13" width="19.7109375" style="4" bestFit="1" customWidth="1"/>
    <col min="14" max="14" width="1.42578125" style="4" customWidth="1"/>
    <col min="15" max="15" width="19.42578125" style="4" bestFit="1" customWidth="1"/>
    <col min="16" max="16" width="1.42578125" style="4" customWidth="1"/>
    <col min="17" max="17" width="17.7109375" style="4" bestFit="1" customWidth="1"/>
    <col min="18" max="16384" width="9.140625" style="4"/>
  </cols>
  <sheetData>
    <row r="1" spans="1:17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20.100000000000001" customHeight="1" x14ac:dyDescent="0.45">
      <c r="A2" s="34" t="s">
        <v>143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5" spans="1:17" ht="21" x14ac:dyDescent="0.45">
      <c r="A5" s="35" t="s">
        <v>258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7" spans="1:17" ht="21" x14ac:dyDescent="0.45">
      <c r="C7" s="28" t="s">
        <v>155</v>
      </c>
      <c r="D7" s="29"/>
      <c r="E7" s="29"/>
      <c r="F7" s="29"/>
      <c r="G7" s="29"/>
      <c r="H7" s="29"/>
      <c r="I7" s="29"/>
      <c r="K7" s="28" t="s">
        <v>7</v>
      </c>
      <c r="L7" s="29"/>
      <c r="M7" s="29"/>
      <c r="N7" s="29"/>
      <c r="O7" s="29"/>
      <c r="P7" s="29"/>
      <c r="Q7" s="29"/>
    </row>
    <row r="8" spans="1:17" ht="42" x14ac:dyDescent="0.45">
      <c r="A8" s="17" t="s">
        <v>145</v>
      </c>
      <c r="C8" s="16" t="s">
        <v>9</v>
      </c>
      <c r="E8" s="16" t="s">
        <v>11</v>
      </c>
      <c r="G8" s="16" t="s">
        <v>242</v>
      </c>
      <c r="I8" s="16" t="s">
        <v>259</v>
      </c>
      <c r="K8" s="16" t="s">
        <v>9</v>
      </c>
      <c r="M8" s="16" t="s">
        <v>11</v>
      </c>
      <c r="O8" s="16" t="s">
        <v>242</v>
      </c>
      <c r="Q8" s="16" t="s">
        <v>259</v>
      </c>
    </row>
    <row r="9" spans="1:17" ht="18.75" x14ac:dyDescent="0.45">
      <c r="A9" s="8" t="s">
        <v>17</v>
      </c>
      <c r="C9" s="11">
        <v>75</v>
      </c>
      <c r="E9" s="11">
        <v>4784114</v>
      </c>
      <c r="G9" s="11">
        <v>4112010</v>
      </c>
      <c r="I9" s="11">
        <v>672104</v>
      </c>
      <c r="K9" s="11">
        <v>75</v>
      </c>
      <c r="M9" s="11">
        <v>4784114</v>
      </c>
      <c r="O9" s="11">
        <v>4112010</v>
      </c>
      <c r="Q9" s="11">
        <v>672104</v>
      </c>
    </row>
    <row r="10" spans="1:17" ht="18.75" x14ac:dyDescent="0.45">
      <c r="A10" s="8" t="s">
        <v>18</v>
      </c>
      <c r="C10" s="11">
        <v>50000</v>
      </c>
      <c r="E10" s="11">
        <v>1304690625</v>
      </c>
      <c r="G10" s="11">
        <v>1458768375</v>
      </c>
      <c r="I10" s="11">
        <v>-154077750</v>
      </c>
      <c r="K10" s="11">
        <v>50000</v>
      </c>
      <c r="M10" s="11">
        <v>1304690625</v>
      </c>
      <c r="O10" s="11">
        <v>1187889750</v>
      </c>
      <c r="Q10" s="11">
        <v>116800875</v>
      </c>
    </row>
    <row r="11" spans="1:17" ht="18.75" x14ac:dyDescent="0.45">
      <c r="A11" s="8" t="s">
        <v>19</v>
      </c>
      <c r="C11" s="11">
        <v>245000</v>
      </c>
      <c r="E11" s="11">
        <v>1736456242</v>
      </c>
      <c r="G11" s="11">
        <v>2676372255</v>
      </c>
      <c r="I11" s="11">
        <v>-939916013</v>
      </c>
      <c r="K11" s="11">
        <v>245000</v>
      </c>
      <c r="M11" s="11">
        <v>1736456242</v>
      </c>
      <c r="O11" s="11">
        <v>1829159370</v>
      </c>
      <c r="Q11" s="11">
        <v>-92703128</v>
      </c>
    </row>
    <row r="12" spans="1:17" ht="18.75" x14ac:dyDescent="0.45">
      <c r="A12" s="8" t="s">
        <v>20</v>
      </c>
      <c r="C12" s="11">
        <v>6847087</v>
      </c>
      <c r="E12" s="11">
        <v>29294516766</v>
      </c>
      <c r="G12" s="11">
        <v>31211708552</v>
      </c>
      <c r="I12" s="11">
        <v>-1917191786</v>
      </c>
      <c r="K12" s="11">
        <v>6847087</v>
      </c>
      <c r="M12" s="11">
        <v>29294516766</v>
      </c>
      <c r="O12" s="11">
        <v>25563268752</v>
      </c>
      <c r="Q12" s="11">
        <v>3731248014</v>
      </c>
    </row>
    <row r="13" spans="1:17" ht="18.75" x14ac:dyDescent="0.45">
      <c r="A13" s="8" t="s">
        <v>21</v>
      </c>
      <c r="C13" s="11">
        <v>1895580</v>
      </c>
      <c r="E13" s="11">
        <v>15715072834</v>
      </c>
      <c r="G13" s="11">
        <v>16204991171</v>
      </c>
      <c r="I13" s="11">
        <v>-489918337</v>
      </c>
      <c r="K13" s="11">
        <v>1895580</v>
      </c>
      <c r="M13" s="11">
        <v>15715072834</v>
      </c>
      <c r="O13" s="11">
        <v>17637060159</v>
      </c>
      <c r="Q13" s="11">
        <v>-1921987325</v>
      </c>
    </row>
    <row r="14" spans="1:17" ht="18.75" x14ac:dyDescent="0.45">
      <c r="A14" s="8" t="s">
        <v>22</v>
      </c>
      <c r="C14" s="11">
        <v>15134677</v>
      </c>
      <c r="E14" s="11">
        <v>47781731134</v>
      </c>
      <c r="G14" s="11">
        <v>54225216006</v>
      </c>
      <c r="I14" s="11">
        <v>-6443484872</v>
      </c>
      <c r="K14" s="11">
        <v>15134677</v>
      </c>
      <c r="M14" s="11">
        <v>47781731134</v>
      </c>
      <c r="O14" s="11">
        <v>59852415985</v>
      </c>
      <c r="Q14" s="11">
        <v>-12070684851</v>
      </c>
    </row>
    <row r="15" spans="1:17" ht="18.75" x14ac:dyDescent="0.45">
      <c r="A15" s="8" t="s">
        <v>23</v>
      </c>
      <c r="C15" s="11">
        <v>2391471</v>
      </c>
      <c r="E15" s="11">
        <v>37536647194</v>
      </c>
      <c r="G15" s="11">
        <v>39937661359</v>
      </c>
      <c r="I15" s="11">
        <v>-2401014165</v>
      </c>
      <c r="K15" s="11">
        <v>2391471</v>
      </c>
      <c r="M15" s="11">
        <v>37536647194</v>
      </c>
      <c r="O15" s="11">
        <v>33153448591</v>
      </c>
      <c r="Q15" s="11">
        <v>4383198603</v>
      </c>
    </row>
    <row r="16" spans="1:17" ht="18.75" x14ac:dyDescent="0.45">
      <c r="A16" s="8" t="s">
        <v>24</v>
      </c>
      <c r="C16" s="11">
        <v>14800000</v>
      </c>
      <c r="E16" s="11">
        <v>35794150020</v>
      </c>
      <c r="G16" s="11">
        <v>37397751480</v>
      </c>
      <c r="I16" s="11">
        <v>-1603601460</v>
      </c>
      <c r="K16" s="11">
        <v>14800000</v>
      </c>
      <c r="M16" s="11">
        <v>35794150020</v>
      </c>
      <c r="O16" s="11">
        <v>26960996608</v>
      </c>
      <c r="Q16" s="11">
        <v>8833153412</v>
      </c>
    </row>
    <row r="17" spans="1:17" ht="18.75" x14ac:dyDescent="0.45">
      <c r="A17" s="8" t="s">
        <v>25</v>
      </c>
      <c r="C17" s="11">
        <v>500000</v>
      </c>
      <c r="E17" s="11">
        <v>8827164000</v>
      </c>
      <c r="G17" s="11">
        <v>9189992250</v>
      </c>
      <c r="I17" s="11">
        <v>-362828250</v>
      </c>
      <c r="K17" s="11">
        <v>500000</v>
      </c>
      <c r="M17" s="11">
        <v>8827164000</v>
      </c>
      <c r="O17" s="11">
        <v>7186663004</v>
      </c>
      <c r="Q17" s="11">
        <v>1640500996</v>
      </c>
    </row>
    <row r="18" spans="1:17" ht="18.75" x14ac:dyDescent="0.45">
      <c r="A18" s="8" t="s">
        <v>26</v>
      </c>
      <c r="C18" s="11">
        <v>1750000</v>
      </c>
      <c r="E18" s="11">
        <v>4695146662</v>
      </c>
      <c r="G18" s="11">
        <v>5251983975</v>
      </c>
      <c r="I18" s="11">
        <v>-556837313</v>
      </c>
      <c r="K18" s="11">
        <v>1750000</v>
      </c>
      <c r="M18" s="11">
        <v>4695146662</v>
      </c>
      <c r="O18" s="11">
        <v>4291393050</v>
      </c>
      <c r="Q18" s="11">
        <v>403753612</v>
      </c>
    </row>
    <row r="19" spans="1:17" ht="18.75" x14ac:dyDescent="0.45">
      <c r="A19" s="8" t="s">
        <v>27</v>
      </c>
      <c r="C19" s="11">
        <v>23109504</v>
      </c>
      <c r="E19" s="11">
        <v>29587939157</v>
      </c>
      <c r="G19" s="11">
        <v>35399855777</v>
      </c>
      <c r="I19" s="11">
        <v>-5811916620</v>
      </c>
      <c r="K19" s="11">
        <v>23109504</v>
      </c>
      <c r="M19" s="11">
        <v>29587939157</v>
      </c>
      <c r="O19" s="11">
        <v>47166686292</v>
      </c>
      <c r="Q19" s="11">
        <v>-17578747135</v>
      </c>
    </row>
    <row r="20" spans="1:17" ht="18.75" x14ac:dyDescent="0.45">
      <c r="A20" s="8" t="s">
        <v>28</v>
      </c>
      <c r="C20" s="11">
        <v>1562500</v>
      </c>
      <c r="E20" s="11">
        <v>4923653906</v>
      </c>
      <c r="G20" s="11">
        <v>4886377031</v>
      </c>
      <c r="I20" s="11">
        <v>37276875</v>
      </c>
      <c r="K20" s="11">
        <v>1562500</v>
      </c>
      <c r="M20" s="11">
        <v>4923653906</v>
      </c>
      <c r="O20" s="11">
        <v>3937321845</v>
      </c>
      <c r="Q20" s="11">
        <v>986332061</v>
      </c>
    </row>
    <row r="21" spans="1:17" ht="18.75" x14ac:dyDescent="0.45">
      <c r="A21" s="8" t="s">
        <v>29</v>
      </c>
      <c r="C21" s="11">
        <v>22718165</v>
      </c>
      <c r="E21" s="11">
        <v>79898625407</v>
      </c>
      <c r="G21" s="11">
        <v>80733786961</v>
      </c>
      <c r="I21" s="11">
        <v>-835161554</v>
      </c>
      <c r="K21" s="11">
        <v>22718165</v>
      </c>
      <c r="M21" s="11">
        <v>79898625407</v>
      </c>
      <c r="O21" s="11">
        <v>79738050544</v>
      </c>
      <c r="Q21" s="11">
        <v>160574863</v>
      </c>
    </row>
    <row r="22" spans="1:17" ht="18.75" x14ac:dyDescent="0.45">
      <c r="A22" s="8" t="s">
        <v>30</v>
      </c>
      <c r="C22" s="11">
        <v>22541064</v>
      </c>
      <c r="E22" s="11">
        <v>140043404182</v>
      </c>
      <c r="G22" s="11">
        <v>152591293197</v>
      </c>
      <c r="I22" s="11">
        <v>-12547889015</v>
      </c>
      <c r="K22" s="11">
        <v>22541064</v>
      </c>
      <c r="M22" s="11">
        <v>140043404182</v>
      </c>
      <c r="O22" s="11">
        <v>89506431107</v>
      </c>
      <c r="Q22" s="11">
        <v>50536973075</v>
      </c>
    </row>
    <row r="23" spans="1:17" ht="18.75" x14ac:dyDescent="0.45">
      <c r="A23" s="8" t="s">
        <v>171</v>
      </c>
      <c r="C23" s="11">
        <v>4754687</v>
      </c>
      <c r="E23" s="11">
        <v>21854857936</v>
      </c>
      <c r="G23" s="11">
        <v>23371109550</v>
      </c>
      <c r="I23" s="11">
        <v>-1516251614</v>
      </c>
      <c r="K23" s="11">
        <v>4754687</v>
      </c>
      <c r="M23" s="11">
        <v>21854857936</v>
      </c>
      <c r="O23" s="11">
        <v>17193606879</v>
      </c>
      <c r="Q23" s="11">
        <v>4661251057</v>
      </c>
    </row>
    <row r="24" spans="1:17" ht="18.75" x14ac:dyDescent="0.45">
      <c r="A24" s="8" t="s">
        <v>32</v>
      </c>
      <c r="C24" s="11">
        <v>739629</v>
      </c>
      <c r="E24" s="11">
        <v>18049852493</v>
      </c>
      <c r="G24" s="11">
        <v>19115933394</v>
      </c>
      <c r="I24" s="11">
        <v>-1066080901</v>
      </c>
      <c r="K24" s="11">
        <v>739629</v>
      </c>
      <c r="M24" s="11">
        <v>18049852493</v>
      </c>
      <c r="O24" s="11">
        <v>17020533003</v>
      </c>
      <c r="Q24" s="11">
        <v>1029319490</v>
      </c>
    </row>
    <row r="25" spans="1:17" ht="37.5" x14ac:dyDescent="0.45">
      <c r="A25" s="8" t="s">
        <v>33</v>
      </c>
      <c r="C25" s="11">
        <v>842177</v>
      </c>
      <c r="E25" s="11">
        <v>5324376058</v>
      </c>
      <c r="G25" s="11">
        <v>5985737235</v>
      </c>
      <c r="I25" s="11">
        <v>-661361177</v>
      </c>
      <c r="K25" s="11">
        <v>842177</v>
      </c>
      <c r="M25" s="11">
        <v>5324376058</v>
      </c>
      <c r="O25" s="11">
        <v>11854419019</v>
      </c>
      <c r="Q25" s="11">
        <v>-6530042961</v>
      </c>
    </row>
    <row r="26" spans="1:17" ht="37.5" x14ac:dyDescent="0.45">
      <c r="A26" s="8" t="s">
        <v>34</v>
      </c>
      <c r="C26" s="11">
        <v>286500</v>
      </c>
      <c r="E26" s="11">
        <v>13684415366</v>
      </c>
      <c r="G26" s="11">
        <v>17591824337</v>
      </c>
      <c r="I26" s="11">
        <v>-3907408971</v>
      </c>
      <c r="K26" s="11">
        <v>286500</v>
      </c>
      <c r="M26" s="11">
        <v>13684415366</v>
      </c>
      <c r="O26" s="11">
        <v>12155017291</v>
      </c>
      <c r="Q26" s="11">
        <v>1529398075</v>
      </c>
    </row>
    <row r="27" spans="1:17" ht="37.5" x14ac:dyDescent="0.45">
      <c r="A27" s="8" t="s">
        <v>35</v>
      </c>
      <c r="C27" s="11">
        <v>250000</v>
      </c>
      <c r="E27" s="11">
        <v>810399262</v>
      </c>
      <c r="G27" s="11">
        <v>976902637</v>
      </c>
      <c r="I27" s="11">
        <v>-166503375</v>
      </c>
      <c r="K27" s="11">
        <v>250000</v>
      </c>
      <c r="M27" s="11">
        <v>810399262</v>
      </c>
      <c r="O27" s="11">
        <v>800726400</v>
      </c>
      <c r="Q27" s="11">
        <v>9672862</v>
      </c>
    </row>
    <row r="28" spans="1:17" ht="37.5" x14ac:dyDescent="0.45">
      <c r="A28" s="8" t="s">
        <v>36</v>
      </c>
      <c r="C28" s="11">
        <v>6645110</v>
      </c>
      <c r="E28" s="11">
        <v>75831961916</v>
      </c>
      <c r="G28" s="11">
        <v>85476096446</v>
      </c>
      <c r="I28" s="11">
        <v>-9644134530</v>
      </c>
      <c r="K28" s="11">
        <v>6645110</v>
      </c>
      <c r="M28" s="11">
        <v>75831961916</v>
      </c>
      <c r="O28" s="11">
        <v>67281885372</v>
      </c>
      <c r="Q28" s="11">
        <v>8550076544</v>
      </c>
    </row>
    <row r="29" spans="1:17" ht="18.75" x14ac:dyDescent="0.45">
      <c r="A29" s="8" t="s">
        <v>37</v>
      </c>
      <c r="C29" s="11">
        <v>1000000</v>
      </c>
      <c r="E29" s="11">
        <v>6391741500</v>
      </c>
      <c r="G29" s="11">
        <v>6401682000</v>
      </c>
      <c r="I29" s="11">
        <v>-9940500</v>
      </c>
      <c r="K29" s="11">
        <v>1000000</v>
      </c>
      <c r="M29" s="11">
        <v>6391741500</v>
      </c>
      <c r="O29" s="11">
        <v>6555947400</v>
      </c>
      <c r="Q29" s="11">
        <v>-164205900</v>
      </c>
    </row>
    <row r="30" spans="1:17" ht="18.75" x14ac:dyDescent="0.45">
      <c r="A30" s="8" t="s">
        <v>38</v>
      </c>
      <c r="C30" s="11">
        <v>31806527</v>
      </c>
      <c r="E30" s="11">
        <v>55330236788</v>
      </c>
      <c r="G30" s="11">
        <v>62475741653</v>
      </c>
      <c r="I30" s="11">
        <v>-7145504865</v>
      </c>
      <c r="K30" s="11">
        <v>31806527</v>
      </c>
      <c r="M30" s="11">
        <v>55330236788</v>
      </c>
      <c r="O30" s="11">
        <v>59262004002</v>
      </c>
      <c r="Q30" s="11">
        <v>-3931767214</v>
      </c>
    </row>
    <row r="31" spans="1:17" ht="18.75" x14ac:dyDescent="0.45">
      <c r="A31" s="8" t="s">
        <v>39</v>
      </c>
      <c r="C31" s="11">
        <v>7329302</v>
      </c>
      <c r="E31" s="11">
        <v>48231285364</v>
      </c>
      <c r="G31" s="11">
        <v>54715551825</v>
      </c>
      <c r="I31" s="11">
        <v>-6484266461</v>
      </c>
      <c r="K31" s="11">
        <v>7329302</v>
      </c>
      <c r="M31" s="11">
        <v>48231285364</v>
      </c>
      <c r="O31" s="11">
        <v>54397299345</v>
      </c>
      <c r="Q31" s="11">
        <v>-6166013981</v>
      </c>
    </row>
    <row r="32" spans="1:17" ht="18.75" x14ac:dyDescent="0.45">
      <c r="A32" s="8" t="s">
        <v>40</v>
      </c>
      <c r="C32" s="11">
        <v>3036239</v>
      </c>
      <c r="E32" s="11">
        <v>65252908431</v>
      </c>
      <c r="G32" s="11">
        <v>73809792036</v>
      </c>
      <c r="I32" s="11">
        <v>-8556883605</v>
      </c>
      <c r="K32" s="11">
        <v>3036239</v>
      </c>
      <c r="M32" s="11">
        <v>65252908431</v>
      </c>
      <c r="O32" s="11">
        <v>47714280571</v>
      </c>
      <c r="Q32" s="11">
        <v>17538627860</v>
      </c>
    </row>
    <row r="33" spans="1:17" ht="18.75" x14ac:dyDescent="0.45">
      <c r="A33" s="8" t="s">
        <v>41</v>
      </c>
      <c r="C33" s="11">
        <v>2773715</v>
      </c>
      <c r="E33" s="11">
        <v>65924924472</v>
      </c>
      <c r="G33" s="11">
        <v>85390836926</v>
      </c>
      <c r="I33" s="11">
        <v>-19465912454</v>
      </c>
      <c r="K33" s="11">
        <v>2773715</v>
      </c>
      <c r="M33" s="11">
        <v>65924924472</v>
      </c>
      <c r="O33" s="11">
        <v>82661197645</v>
      </c>
      <c r="Q33" s="11">
        <v>-16736273173</v>
      </c>
    </row>
    <row r="34" spans="1:17" ht="37.5" x14ac:dyDescent="0.45">
      <c r="A34" s="8" t="s">
        <v>42</v>
      </c>
      <c r="C34" s="11">
        <v>272500</v>
      </c>
      <c r="E34" s="11">
        <v>7367898600</v>
      </c>
      <c r="G34" s="11">
        <v>8966082487</v>
      </c>
      <c r="I34" s="11">
        <v>-1598183887</v>
      </c>
      <c r="K34" s="11">
        <v>272500</v>
      </c>
      <c r="M34" s="11">
        <v>7367898600</v>
      </c>
      <c r="O34" s="11">
        <v>5103379665</v>
      </c>
      <c r="Q34" s="11">
        <v>2264518935</v>
      </c>
    </row>
    <row r="35" spans="1:17" ht="18.75" x14ac:dyDescent="0.45">
      <c r="A35" s="8" t="s">
        <v>43</v>
      </c>
      <c r="C35" s="11">
        <v>741342</v>
      </c>
      <c r="E35" s="11">
        <v>40236433424</v>
      </c>
      <c r="G35" s="11">
        <v>43184157485</v>
      </c>
      <c r="I35" s="11">
        <v>-2947724061</v>
      </c>
      <c r="K35" s="11">
        <v>741342</v>
      </c>
      <c r="M35" s="11">
        <v>40236433424</v>
      </c>
      <c r="O35" s="11">
        <v>35385653732</v>
      </c>
      <c r="Q35" s="11">
        <v>4850779692</v>
      </c>
    </row>
    <row r="36" spans="1:17" ht="18.75" x14ac:dyDescent="0.45">
      <c r="A36" s="8" t="s">
        <v>44</v>
      </c>
      <c r="C36" s="11">
        <v>27844387</v>
      </c>
      <c r="E36" s="11">
        <v>64795866893</v>
      </c>
      <c r="G36" s="11">
        <v>71223665975</v>
      </c>
      <c r="I36" s="11">
        <v>-6427799082</v>
      </c>
      <c r="K36" s="11">
        <v>27844387</v>
      </c>
      <c r="M36" s="11">
        <v>64795866893</v>
      </c>
      <c r="O36" s="11">
        <v>73147788635</v>
      </c>
      <c r="Q36" s="11">
        <v>-8351921742</v>
      </c>
    </row>
    <row r="37" spans="1:17" ht="18.75" x14ac:dyDescent="0.45">
      <c r="A37" s="8" t="s">
        <v>45</v>
      </c>
      <c r="C37" s="11">
        <v>13167887</v>
      </c>
      <c r="E37" s="11">
        <v>36388915841</v>
      </c>
      <c r="G37" s="11">
        <v>40421328454</v>
      </c>
      <c r="I37" s="11">
        <v>-4032412613</v>
      </c>
      <c r="K37" s="11">
        <v>13167887</v>
      </c>
      <c r="M37" s="11">
        <v>36388915841</v>
      </c>
      <c r="O37" s="11">
        <v>30251299150</v>
      </c>
      <c r="Q37" s="11">
        <v>6137616691</v>
      </c>
    </row>
    <row r="38" spans="1:17" ht="18.75" x14ac:dyDescent="0.45">
      <c r="A38" s="8" t="s">
        <v>46</v>
      </c>
      <c r="C38" s="11">
        <v>10258397</v>
      </c>
      <c r="E38" s="11">
        <v>20435508514</v>
      </c>
      <c r="G38" s="11">
        <v>21330928742</v>
      </c>
      <c r="I38" s="11">
        <v>-895420228</v>
      </c>
      <c r="K38" s="11">
        <v>10258397</v>
      </c>
      <c r="M38" s="11">
        <v>20435508514</v>
      </c>
      <c r="O38" s="11">
        <v>25082346020</v>
      </c>
      <c r="Q38" s="11">
        <v>-4646837506</v>
      </c>
    </row>
    <row r="39" spans="1:17" ht="18.75" x14ac:dyDescent="0.45">
      <c r="A39" s="8" t="s">
        <v>47</v>
      </c>
      <c r="C39" s="11">
        <v>5362092</v>
      </c>
      <c r="E39" s="11">
        <v>10569761917</v>
      </c>
      <c r="G39" s="11">
        <v>13646416306</v>
      </c>
      <c r="I39" s="11">
        <v>-3076654389</v>
      </c>
      <c r="K39" s="11">
        <v>5362092</v>
      </c>
      <c r="M39" s="11">
        <v>10569761917</v>
      </c>
      <c r="O39" s="11">
        <v>23560522323</v>
      </c>
      <c r="Q39" s="11">
        <v>-12990760406</v>
      </c>
    </row>
    <row r="40" spans="1:17" ht="18.75" x14ac:dyDescent="0.45">
      <c r="A40" s="8" t="s">
        <v>48</v>
      </c>
      <c r="C40" s="11">
        <v>2596227</v>
      </c>
      <c r="E40" s="11">
        <v>2049138883</v>
      </c>
      <c r="G40" s="11">
        <v>4204089723</v>
      </c>
      <c r="I40" s="11">
        <v>-2154950840</v>
      </c>
      <c r="K40" s="11">
        <v>2596227</v>
      </c>
      <c r="M40" s="11">
        <v>2049138883</v>
      </c>
      <c r="O40" s="11">
        <v>6030507067</v>
      </c>
      <c r="Q40" s="11">
        <v>-3981368184</v>
      </c>
    </row>
    <row r="41" spans="1:17" ht="18.75" x14ac:dyDescent="0.45">
      <c r="A41" s="8" t="s">
        <v>49</v>
      </c>
      <c r="C41" s="11">
        <v>1186353</v>
      </c>
      <c r="E41" s="11">
        <v>56841980423</v>
      </c>
      <c r="G41" s="11">
        <v>62358895955</v>
      </c>
      <c r="I41" s="11">
        <v>-5516915532</v>
      </c>
      <c r="K41" s="11">
        <v>1186353</v>
      </c>
      <c r="M41" s="11">
        <v>56841980423</v>
      </c>
      <c r="O41" s="11">
        <v>33515541156</v>
      </c>
      <c r="Q41" s="11">
        <v>23326439267</v>
      </c>
    </row>
    <row r="42" spans="1:17" ht="18.75" x14ac:dyDescent="0.45">
      <c r="A42" s="8" t="s">
        <v>50</v>
      </c>
      <c r="C42" s="11">
        <v>100000</v>
      </c>
      <c r="E42" s="11">
        <v>9054801450</v>
      </c>
      <c r="G42" s="11">
        <v>9759582900</v>
      </c>
      <c r="I42" s="11">
        <v>-704781450</v>
      </c>
      <c r="K42" s="11">
        <v>100000</v>
      </c>
      <c r="M42" s="11">
        <v>9054801450</v>
      </c>
      <c r="O42" s="11">
        <v>9771059100</v>
      </c>
      <c r="Q42" s="11">
        <v>-716257650</v>
      </c>
    </row>
    <row r="43" spans="1:17" ht="18.75" x14ac:dyDescent="0.45">
      <c r="A43" s="8" t="s">
        <v>51</v>
      </c>
      <c r="C43" s="11">
        <v>8163990</v>
      </c>
      <c r="E43" s="11">
        <v>66140626215</v>
      </c>
      <c r="G43" s="11">
        <v>70791942457</v>
      </c>
      <c r="I43" s="11">
        <v>-4651316242</v>
      </c>
      <c r="K43" s="11">
        <v>8163990</v>
      </c>
      <c r="M43" s="11">
        <v>66140626215</v>
      </c>
      <c r="O43" s="11">
        <v>44368454199</v>
      </c>
      <c r="Q43" s="11">
        <v>21772172016</v>
      </c>
    </row>
    <row r="44" spans="1:17" ht="18.75" x14ac:dyDescent="0.45">
      <c r="A44" s="8" t="s">
        <v>52</v>
      </c>
      <c r="C44" s="11">
        <v>6003951</v>
      </c>
      <c r="E44" s="11">
        <v>49834699554</v>
      </c>
      <c r="G44" s="11">
        <v>47173196451</v>
      </c>
      <c r="I44" s="11">
        <v>2661503103</v>
      </c>
      <c r="K44" s="11">
        <v>6003951</v>
      </c>
      <c r="M44" s="11">
        <v>49834699554</v>
      </c>
      <c r="O44" s="11">
        <v>34603824641</v>
      </c>
      <c r="Q44" s="11">
        <v>15230874913</v>
      </c>
    </row>
    <row r="45" spans="1:17" ht="18.75" x14ac:dyDescent="0.45">
      <c r="A45" s="8" t="s">
        <v>53</v>
      </c>
      <c r="C45" s="11">
        <v>5400000</v>
      </c>
      <c r="E45" s="11">
        <v>65488014000</v>
      </c>
      <c r="G45" s="11">
        <v>64736512200</v>
      </c>
      <c r="I45" s="11">
        <v>751501800</v>
      </c>
      <c r="K45" s="11">
        <v>5400000</v>
      </c>
      <c r="M45" s="11">
        <v>65488014000</v>
      </c>
      <c r="O45" s="11">
        <v>47083833086</v>
      </c>
      <c r="Q45" s="11">
        <v>18404180914</v>
      </c>
    </row>
    <row r="46" spans="1:17" ht="18.75" x14ac:dyDescent="0.45">
      <c r="A46" s="8" t="s">
        <v>54</v>
      </c>
      <c r="C46" s="11">
        <v>200000</v>
      </c>
      <c r="E46" s="11">
        <v>4695892200</v>
      </c>
      <c r="G46" s="11">
        <v>5286357900</v>
      </c>
      <c r="I46" s="11">
        <v>-590465700</v>
      </c>
      <c r="K46" s="11">
        <v>200000</v>
      </c>
      <c r="M46" s="11">
        <v>4695892200</v>
      </c>
      <c r="O46" s="11">
        <v>5506104881</v>
      </c>
      <c r="Q46" s="11">
        <v>-810212681</v>
      </c>
    </row>
    <row r="47" spans="1:17" ht="18.75" x14ac:dyDescent="0.45">
      <c r="A47" s="8" t="s">
        <v>55</v>
      </c>
      <c r="C47" s="11">
        <v>31189045</v>
      </c>
      <c r="E47" s="11">
        <v>49016486358</v>
      </c>
      <c r="G47" s="11">
        <v>53896434040</v>
      </c>
      <c r="I47" s="11">
        <v>-4879947682</v>
      </c>
      <c r="K47" s="11">
        <v>31189045</v>
      </c>
      <c r="M47" s="11">
        <v>49016486358</v>
      </c>
      <c r="O47" s="11">
        <v>71678075913</v>
      </c>
      <c r="Q47" s="11">
        <v>-22661589555</v>
      </c>
    </row>
    <row r="48" spans="1:17" ht="18.75" x14ac:dyDescent="0.45">
      <c r="A48" s="8" t="s">
        <v>56</v>
      </c>
      <c r="C48" s="11">
        <v>330974</v>
      </c>
      <c r="E48" s="11">
        <v>9541136436</v>
      </c>
      <c r="G48" s="11">
        <v>10228756269</v>
      </c>
      <c r="I48" s="11">
        <v>-687619833</v>
      </c>
      <c r="K48" s="11">
        <v>330974</v>
      </c>
      <c r="M48" s="11">
        <v>9541136436</v>
      </c>
      <c r="O48" s="11">
        <v>10705350134</v>
      </c>
      <c r="Q48" s="11">
        <v>-1164213698</v>
      </c>
    </row>
    <row r="49" spans="1:17" ht="18.75" x14ac:dyDescent="0.45">
      <c r="A49" s="8" t="s">
        <v>57</v>
      </c>
      <c r="C49" s="11">
        <v>9448213</v>
      </c>
      <c r="E49" s="11">
        <v>7062781092</v>
      </c>
      <c r="G49" s="11">
        <v>8584284465</v>
      </c>
      <c r="I49" s="11">
        <v>-1521503373</v>
      </c>
      <c r="K49" s="11">
        <v>9448213</v>
      </c>
      <c r="M49" s="11">
        <v>7062781092</v>
      </c>
      <c r="O49" s="11">
        <v>14997367789</v>
      </c>
      <c r="Q49" s="11">
        <v>-7934586697</v>
      </c>
    </row>
    <row r="50" spans="1:17" ht="18.75" x14ac:dyDescent="0.45">
      <c r="A50" s="8" t="s">
        <v>58</v>
      </c>
      <c r="C50" s="11">
        <v>10148510</v>
      </c>
      <c r="E50" s="11">
        <v>38072588903</v>
      </c>
      <c r="G50" s="11">
        <v>42571893262</v>
      </c>
      <c r="I50" s="11">
        <v>-4499304359</v>
      </c>
      <c r="K50" s="11">
        <v>10148510</v>
      </c>
      <c r="M50" s="11">
        <v>38072588903</v>
      </c>
      <c r="O50" s="11">
        <v>47791643719</v>
      </c>
      <c r="Q50" s="11">
        <v>-9719054816</v>
      </c>
    </row>
    <row r="51" spans="1:17" ht="18.75" x14ac:dyDescent="0.45">
      <c r="A51" s="8" t="s">
        <v>59</v>
      </c>
      <c r="C51" s="11">
        <v>249996</v>
      </c>
      <c r="E51" s="11">
        <v>1732104411</v>
      </c>
      <c r="G51" s="11">
        <v>1930911230</v>
      </c>
      <c r="I51" s="11">
        <v>-198806819</v>
      </c>
      <c r="K51" s="11">
        <v>249996</v>
      </c>
      <c r="M51" s="11">
        <v>1732104411</v>
      </c>
      <c r="O51" s="11">
        <v>1764072098</v>
      </c>
      <c r="Q51" s="11">
        <v>-31967687</v>
      </c>
    </row>
    <row r="52" spans="1:17" ht="18.75" x14ac:dyDescent="0.45">
      <c r="A52" s="8" t="s">
        <v>60</v>
      </c>
      <c r="C52" s="11">
        <v>22396379</v>
      </c>
      <c r="E52" s="11">
        <v>99382570113</v>
      </c>
      <c r="G52" s="11">
        <v>105734714790</v>
      </c>
      <c r="I52" s="11">
        <v>-6352144677</v>
      </c>
      <c r="K52" s="11">
        <v>22396379</v>
      </c>
      <c r="M52" s="11">
        <v>99382570113</v>
      </c>
      <c r="O52" s="11">
        <v>104421987510</v>
      </c>
      <c r="Q52" s="11">
        <v>-5039417397</v>
      </c>
    </row>
    <row r="53" spans="1:17" ht="18.75" x14ac:dyDescent="0.45">
      <c r="A53" s="8" t="s">
        <v>61</v>
      </c>
      <c r="C53" s="11">
        <v>9664654</v>
      </c>
      <c r="E53" s="11">
        <v>98473280414</v>
      </c>
      <c r="G53" s="11">
        <v>96206964673</v>
      </c>
      <c r="I53" s="11">
        <v>2266315741</v>
      </c>
      <c r="K53" s="11">
        <v>9664654</v>
      </c>
      <c r="M53" s="11">
        <v>98473280414</v>
      </c>
      <c r="O53" s="11">
        <v>84755187001</v>
      </c>
      <c r="Q53" s="11">
        <v>13718093413</v>
      </c>
    </row>
    <row r="54" spans="1:17" ht="18.75" x14ac:dyDescent="0.45">
      <c r="A54" s="8" t="s">
        <v>62</v>
      </c>
      <c r="C54" s="11">
        <v>14021442</v>
      </c>
      <c r="E54" s="11">
        <v>51779723571</v>
      </c>
      <c r="G54" s="11">
        <v>56713780675</v>
      </c>
      <c r="I54" s="11">
        <v>-4934057104</v>
      </c>
      <c r="K54" s="11">
        <v>14021442</v>
      </c>
      <c r="M54" s="11">
        <v>51779723571</v>
      </c>
      <c r="O54" s="11">
        <v>48825973782</v>
      </c>
      <c r="Q54" s="11">
        <v>2953749789</v>
      </c>
    </row>
    <row r="55" spans="1:17" ht="37.5" x14ac:dyDescent="0.45">
      <c r="A55" s="8" t="s">
        <v>63</v>
      </c>
      <c r="C55" s="11">
        <v>0</v>
      </c>
      <c r="E55" s="11">
        <v>0</v>
      </c>
      <c r="G55" s="11">
        <v>469636</v>
      </c>
      <c r="I55" s="11">
        <v>-469636</v>
      </c>
    </row>
    <row r="56" spans="1:17" ht="18.75" x14ac:dyDescent="0.45">
      <c r="A56" s="8" t="s">
        <v>64</v>
      </c>
      <c r="C56" s="11">
        <v>200000</v>
      </c>
      <c r="E56" s="11">
        <v>1059657300</v>
      </c>
      <c r="G56" s="11">
        <v>1232622000</v>
      </c>
      <c r="I56" s="11">
        <v>-172964700</v>
      </c>
      <c r="K56" s="11">
        <v>200000</v>
      </c>
      <c r="M56" s="11">
        <v>1059657300</v>
      </c>
      <c r="O56" s="11">
        <v>1227137722</v>
      </c>
      <c r="Q56" s="11">
        <v>-167480422</v>
      </c>
    </row>
    <row r="57" spans="1:17" ht="18.75" x14ac:dyDescent="0.45">
      <c r="A57" s="8" t="s">
        <v>65</v>
      </c>
      <c r="C57" s="11">
        <v>8231319</v>
      </c>
      <c r="E57" s="11">
        <v>23663334949</v>
      </c>
      <c r="G57" s="11">
        <v>23660609227</v>
      </c>
      <c r="I57" s="11">
        <v>2725722</v>
      </c>
      <c r="K57" s="11">
        <v>8231319</v>
      </c>
      <c r="M57" s="11">
        <v>23663334949</v>
      </c>
      <c r="O57" s="11">
        <v>30149285061</v>
      </c>
      <c r="Q57" s="11">
        <v>-6485950112</v>
      </c>
    </row>
    <row r="58" spans="1:17" ht="18.75" x14ac:dyDescent="0.45">
      <c r="A58" s="8" t="s">
        <v>66</v>
      </c>
      <c r="C58" s="11">
        <v>6256631</v>
      </c>
      <c r="E58" s="11">
        <v>33025035482</v>
      </c>
      <c r="G58" s="11">
        <v>37627394476</v>
      </c>
      <c r="I58" s="11">
        <v>-4602358994</v>
      </c>
      <c r="K58" s="11">
        <v>6256631</v>
      </c>
      <c r="M58" s="11">
        <v>33025035482</v>
      </c>
      <c r="O58" s="11">
        <v>27040006051</v>
      </c>
      <c r="Q58" s="11">
        <v>5985029431</v>
      </c>
    </row>
    <row r="59" spans="1:17" ht="18.75" x14ac:dyDescent="0.45">
      <c r="A59" s="8" t="s">
        <v>67</v>
      </c>
      <c r="C59" s="11">
        <v>4666666</v>
      </c>
      <c r="E59" s="11">
        <v>15215589826</v>
      </c>
      <c r="G59" s="11">
        <v>17701019059</v>
      </c>
      <c r="I59" s="11">
        <v>-2485429233</v>
      </c>
      <c r="K59" s="11">
        <v>4666666</v>
      </c>
      <c r="M59" s="11">
        <v>15215589826</v>
      </c>
      <c r="O59" s="11">
        <v>19031233707</v>
      </c>
      <c r="Q59" s="11">
        <v>-3815643881</v>
      </c>
    </row>
    <row r="60" spans="1:17" ht="18.75" x14ac:dyDescent="0.45">
      <c r="A60" s="8" t="s">
        <v>68</v>
      </c>
      <c r="C60" s="11">
        <v>17704932</v>
      </c>
      <c r="E60" s="11">
        <v>96973727977</v>
      </c>
      <c r="G60" s="11">
        <v>104189558915</v>
      </c>
      <c r="I60" s="11">
        <v>-7215830938</v>
      </c>
      <c r="K60" s="11">
        <v>17704932</v>
      </c>
      <c r="M60" s="11">
        <v>96973727977</v>
      </c>
      <c r="O60" s="11">
        <v>85868469406</v>
      </c>
      <c r="Q60" s="11">
        <v>11105258571</v>
      </c>
    </row>
    <row r="61" spans="1:17" ht="18.75" x14ac:dyDescent="0.45">
      <c r="A61" s="8" t="s">
        <v>69</v>
      </c>
      <c r="C61" s="11">
        <v>444699</v>
      </c>
      <c r="E61" s="11">
        <v>5720166350</v>
      </c>
      <c r="G61" s="11">
        <v>5598462959</v>
      </c>
      <c r="I61" s="11">
        <v>121703391</v>
      </c>
      <c r="K61" s="11">
        <v>444699</v>
      </c>
      <c r="M61" s="11">
        <v>5720166350</v>
      </c>
      <c r="O61" s="11">
        <v>5324371279</v>
      </c>
      <c r="Q61" s="11">
        <v>395795071</v>
      </c>
    </row>
    <row r="62" spans="1:17" ht="18.75" x14ac:dyDescent="0.45">
      <c r="A62" s="8" t="s">
        <v>70</v>
      </c>
      <c r="C62" s="11">
        <v>3682657</v>
      </c>
      <c r="E62" s="11">
        <v>31702053353</v>
      </c>
      <c r="G62" s="11">
        <v>30584689770</v>
      </c>
      <c r="I62" s="11">
        <v>1117363583</v>
      </c>
      <c r="K62" s="11">
        <v>3682657</v>
      </c>
      <c r="M62" s="11">
        <v>31702053353</v>
      </c>
      <c r="O62" s="11">
        <v>40194982196</v>
      </c>
      <c r="Q62" s="11">
        <v>-8492928843</v>
      </c>
    </row>
    <row r="63" spans="1:17" ht="18.75" x14ac:dyDescent="0.45">
      <c r="A63" s="8" t="s">
        <v>71</v>
      </c>
      <c r="C63" s="11">
        <v>250000</v>
      </c>
      <c r="E63" s="11">
        <v>3484145250</v>
      </c>
      <c r="G63" s="11">
        <v>3916557000</v>
      </c>
      <c r="I63" s="11">
        <v>-432411750</v>
      </c>
      <c r="K63" s="11">
        <v>250000</v>
      </c>
      <c r="M63" s="11">
        <v>3484145250</v>
      </c>
      <c r="O63" s="11">
        <v>3403087200</v>
      </c>
      <c r="Q63" s="11">
        <v>81058050</v>
      </c>
    </row>
    <row r="64" spans="1:17" ht="18.75" x14ac:dyDescent="0.45">
      <c r="A64" s="8" t="s">
        <v>72</v>
      </c>
      <c r="C64" s="11">
        <v>16300000</v>
      </c>
      <c r="E64" s="11">
        <v>148743677700</v>
      </c>
      <c r="G64" s="11">
        <v>166566994200</v>
      </c>
      <c r="I64" s="11">
        <v>-17823316500</v>
      </c>
      <c r="K64" s="11">
        <v>16300000</v>
      </c>
      <c r="M64" s="11">
        <v>148743677700</v>
      </c>
      <c r="O64" s="11">
        <v>106853617580</v>
      </c>
      <c r="Q64" s="11">
        <v>41890060120</v>
      </c>
    </row>
    <row r="65" spans="1:17" ht="18.75" x14ac:dyDescent="0.45">
      <c r="A65" s="8" t="s">
        <v>73</v>
      </c>
      <c r="C65" s="11">
        <v>7868802</v>
      </c>
      <c r="E65" s="11">
        <v>27032771963</v>
      </c>
      <c r="G65" s="11">
        <v>30982873190</v>
      </c>
      <c r="I65" s="11">
        <v>-3950101227</v>
      </c>
      <c r="K65" s="11">
        <v>7868802</v>
      </c>
      <c r="M65" s="11">
        <v>27032771963</v>
      </c>
      <c r="O65" s="11">
        <v>29277680978</v>
      </c>
      <c r="Q65" s="11">
        <v>-2244909015</v>
      </c>
    </row>
    <row r="66" spans="1:17" ht="18.75" x14ac:dyDescent="0.45">
      <c r="A66" s="8" t="s">
        <v>74</v>
      </c>
      <c r="C66" s="11">
        <v>5155597</v>
      </c>
      <c r="E66" s="11">
        <v>12371559772</v>
      </c>
      <c r="G66" s="11">
        <v>14129407742</v>
      </c>
      <c r="I66" s="11">
        <v>-1757847970</v>
      </c>
      <c r="K66" s="11">
        <v>5155597</v>
      </c>
      <c r="M66" s="11">
        <v>12371559772</v>
      </c>
      <c r="O66" s="11">
        <v>10716073888</v>
      </c>
      <c r="Q66" s="11">
        <v>1655485884</v>
      </c>
    </row>
    <row r="67" spans="1:17" ht="18.75" x14ac:dyDescent="0.45">
      <c r="A67" s="8" t="s">
        <v>75</v>
      </c>
      <c r="C67" s="11">
        <v>7919952</v>
      </c>
      <c r="E67" s="11">
        <v>40072695974</v>
      </c>
      <c r="G67" s="11">
        <v>44560208096</v>
      </c>
      <c r="I67" s="11">
        <v>-4487512122</v>
      </c>
      <c r="K67" s="11">
        <v>7919952</v>
      </c>
      <c r="M67" s="11">
        <v>40072695974</v>
      </c>
      <c r="O67" s="11">
        <v>28732651765</v>
      </c>
      <c r="Q67" s="11">
        <v>11340044209</v>
      </c>
    </row>
    <row r="68" spans="1:17" ht="18.75" x14ac:dyDescent="0.45">
      <c r="A68" s="8" t="s">
        <v>76</v>
      </c>
      <c r="C68" s="11">
        <v>1313770</v>
      </c>
      <c r="E68" s="11">
        <v>45525523968</v>
      </c>
      <c r="G68" s="11">
        <v>49613157072</v>
      </c>
      <c r="I68" s="11">
        <v>-4087633104</v>
      </c>
      <c r="K68" s="11">
        <v>1313770</v>
      </c>
      <c r="M68" s="11">
        <v>45525523968</v>
      </c>
      <c r="O68" s="11">
        <v>34326348297</v>
      </c>
      <c r="Q68" s="11">
        <v>11199175671</v>
      </c>
    </row>
    <row r="69" spans="1:17" ht="18.75" x14ac:dyDescent="0.45">
      <c r="A69" s="8" t="s">
        <v>77</v>
      </c>
      <c r="C69" s="11">
        <v>8971553</v>
      </c>
      <c r="E69" s="11">
        <v>30785530640</v>
      </c>
      <c r="G69" s="11">
        <v>31506049779</v>
      </c>
      <c r="I69" s="11">
        <v>-720519139</v>
      </c>
      <c r="K69" s="11">
        <v>8971553</v>
      </c>
      <c r="M69" s="11">
        <v>30785530640</v>
      </c>
      <c r="O69" s="11">
        <v>31003931478</v>
      </c>
      <c r="Q69" s="11">
        <v>-218400838</v>
      </c>
    </row>
    <row r="70" spans="1:17" ht="37.5" x14ac:dyDescent="0.45">
      <c r="A70" s="8" t="s">
        <v>78</v>
      </c>
      <c r="C70" s="11">
        <v>700000</v>
      </c>
      <c r="E70" s="11">
        <v>9581647950</v>
      </c>
      <c r="G70" s="11">
        <v>10569733650</v>
      </c>
      <c r="I70" s="11">
        <v>-988085700</v>
      </c>
      <c r="K70" s="11">
        <v>700000</v>
      </c>
      <c r="M70" s="11">
        <v>9581647950</v>
      </c>
      <c r="O70" s="11">
        <v>9143294580</v>
      </c>
      <c r="Q70" s="11">
        <v>438353370</v>
      </c>
    </row>
    <row r="71" spans="1:17" ht="18.75" x14ac:dyDescent="0.45">
      <c r="A71" s="8" t="s">
        <v>79</v>
      </c>
      <c r="C71" s="11">
        <v>7700000</v>
      </c>
      <c r="E71" s="11">
        <v>41638766400</v>
      </c>
      <c r="G71" s="11">
        <v>47915198100</v>
      </c>
      <c r="I71" s="11">
        <v>-6276431700</v>
      </c>
      <c r="K71" s="11">
        <v>7700000</v>
      </c>
      <c r="M71" s="11">
        <v>41638766400</v>
      </c>
      <c r="O71" s="11">
        <v>55837207327</v>
      </c>
      <c r="Q71" s="11">
        <v>-14198440927</v>
      </c>
    </row>
    <row r="72" spans="1:17" ht="18.75" x14ac:dyDescent="0.45">
      <c r="A72" s="8" t="s">
        <v>80</v>
      </c>
      <c r="C72" s="11">
        <v>11300000</v>
      </c>
      <c r="E72" s="11">
        <v>101207212650</v>
      </c>
      <c r="G72" s="11">
        <v>97944441186</v>
      </c>
      <c r="I72" s="11">
        <v>3262771464</v>
      </c>
      <c r="K72" s="11">
        <v>11300000</v>
      </c>
      <c r="M72" s="11">
        <v>101207212650</v>
      </c>
      <c r="O72" s="11">
        <v>75578408121</v>
      </c>
      <c r="Q72" s="11">
        <v>25628804529</v>
      </c>
    </row>
    <row r="73" spans="1:17" ht="18.75" x14ac:dyDescent="0.45">
      <c r="A73" s="8" t="s">
        <v>81</v>
      </c>
      <c r="C73" s="11">
        <v>1999999</v>
      </c>
      <c r="E73" s="11">
        <v>7151192124</v>
      </c>
      <c r="G73" s="11">
        <v>6177984518</v>
      </c>
      <c r="I73" s="11">
        <v>973207606</v>
      </c>
      <c r="K73" s="11">
        <v>1999999</v>
      </c>
      <c r="M73" s="11">
        <v>7151192124</v>
      </c>
      <c r="O73" s="11">
        <v>6177984518</v>
      </c>
      <c r="Q73" s="11">
        <v>973207606</v>
      </c>
    </row>
    <row r="74" spans="1:17" ht="18.75" x14ac:dyDescent="0.45">
      <c r="A74" s="8" t="s">
        <v>82</v>
      </c>
      <c r="C74" s="11">
        <v>18635760</v>
      </c>
      <c r="E74" s="11">
        <v>59261082252</v>
      </c>
      <c r="G74" s="11">
        <v>68243257584</v>
      </c>
      <c r="I74" s="11">
        <v>-8982175332</v>
      </c>
      <c r="K74" s="11">
        <v>18635760</v>
      </c>
      <c r="M74" s="11">
        <v>59261082252</v>
      </c>
      <c r="O74" s="11">
        <v>44627548429</v>
      </c>
      <c r="Q74" s="11">
        <v>14633533823</v>
      </c>
    </row>
    <row r="75" spans="1:17" ht="18.75" x14ac:dyDescent="0.45">
      <c r="A75" s="8" t="s">
        <v>83</v>
      </c>
      <c r="C75" s="11">
        <v>25703048</v>
      </c>
      <c r="E75" s="11">
        <v>40215880797</v>
      </c>
      <c r="G75" s="11">
        <v>45070402621</v>
      </c>
      <c r="I75" s="11">
        <v>-4854521824</v>
      </c>
      <c r="K75" s="11">
        <v>25703048</v>
      </c>
      <c r="M75" s="11">
        <v>40215880797</v>
      </c>
      <c r="O75" s="11">
        <v>50791397490</v>
      </c>
      <c r="Q75" s="11">
        <v>-10575516693</v>
      </c>
    </row>
    <row r="76" spans="1:17" ht="18.75" x14ac:dyDescent="0.45">
      <c r="A76" s="8" t="s">
        <v>84</v>
      </c>
      <c r="C76" s="11">
        <v>177678</v>
      </c>
      <c r="E76" s="11">
        <v>6411335617</v>
      </c>
      <c r="G76" s="11">
        <v>7140779587</v>
      </c>
      <c r="I76" s="11">
        <v>-729443970</v>
      </c>
      <c r="K76" s="11">
        <v>177678</v>
      </c>
      <c r="M76" s="11">
        <v>6411335617</v>
      </c>
      <c r="O76" s="11">
        <v>7022443641</v>
      </c>
      <c r="Q76" s="11">
        <v>-611108024</v>
      </c>
    </row>
    <row r="77" spans="1:17" ht="18.75" x14ac:dyDescent="0.45">
      <c r="A77" s="8" t="s">
        <v>85</v>
      </c>
      <c r="C77" s="11">
        <v>0</v>
      </c>
      <c r="E77" s="11">
        <v>0</v>
      </c>
      <c r="G77" s="11">
        <v>2918849175</v>
      </c>
      <c r="I77" s="11">
        <v>-2918849175</v>
      </c>
    </row>
    <row r="78" spans="1:17" ht="18.75" x14ac:dyDescent="0.45">
      <c r="A78" s="8" t="s">
        <v>86</v>
      </c>
      <c r="C78" s="11">
        <v>123</v>
      </c>
      <c r="E78" s="11">
        <v>2749811</v>
      </c>
      <c r="G78" s="11">
        <v>2180041</v>
      </c>
      <c r="I78" s="11">
        <v>569770</v>
      </c>
      <c r="K78" s="11">
        <v>123</v>
      </c>
      <c r="M78" s="11">
        <v>2749811</v>
      </c>
      <c r="O78" s="11">
        <v>1662161</v>
      </c>
      <c r="Q78" s="11">
        <v>1087650</v>
      </c>
    </row>
    <row r="79" spans="1:17" ht="18.75" x14ac:dyDescent="0.45">
      <c r="A79" s="8" t="s">
        <v>87</v>
      </c>
      <c r="C79" s="11">
        <v>4260000</v>
      </c>
      <c r="E79" s="11">
        <v>14554502361</v>
      </c>
      <c r="G79" s="11">
        <v>14433606000</v>
      </c>
      <c r="I79" s="11">
        <v>120896361</v>
      </c>
      <c r="K79" s="11">
        <v>4260000</v>
      </c>
      <c r="M79" s="11">
        <v>14554502361</v>
      </c>
      <c r="O79" s="11">
        <v>15356237176</v>
      </c>
      <c r="Q79" s="11">
        <v>-801734815</v>
      </c>
    </row>
    <row r="80" spans="1:17" ht="18.75" x14ac:dyDescent="0.45">
      <c r="A80" s="8" t="s">
        <v>88</v>
      </c>
      <c r="C80" s="11">
        <v>3009494</v>
      </c>
      <c r="E80" s="11">
        <v>27103782847</v>
      </c>
      <c r="G80" s="11">
        <v>28716889247</v>
      </c>
      <c r="I80" s="11">
        <v>-1613106400</v>
      </c>
      <c r="K80" s="11">
        <v>3009494</v>
      </c>
      <c r="M80" s="11">
        <v>27103782847</v>
      </c>
      <c r="O80" s="11">
        <v>29761393564</v>
      </c>
      <c r="Q80" s="11">
        <v>-2657610717</v>
      </c>
    </row>
    <row r="81" spans="1:17" ht="18.75" x14ac:dyDescent="0.45">
      <c r="A81" s="8" t="s">
        <v>89</v>
      </c>
      <c r="C81" s="11">
        <v>4613772</v>
      </c>
      <c r="E81" s="11">
        <v>31141113184</v>
      </c>
      <c r="G81" s="11">
        <v>40405479699</v>
      </c>
      <c r="I81" s="11">
        <v>-9264366515</v>
      </c>
      <c r="K81" s="11">
        <v>4613772</v>
      </c>
      <c r="M81" s="11">
        <v>31141113184</v>
      </c>
      <c r="O81" s="11">
        <v>56916231902</v>
      </c>
      <c r="Q81" s="11">
        <v>-25775118718</v>
      </c>
    </row>
    <row r="82" spans="1:17" ht="18.75" x14ac:dyDescent="0.45">
      <c r="A82" s="8" t="s">
        <v>90</v>
      </c>
      <c r="C82" s="11">
        <v>400000</v>
      </c>
      <c r="E82" s="11">
        <v>1047728700</v>
      </c>
      <c r="G82" s="11">
        <v>1087888320</v>
      </c>
      <c r="I82" s="11">
        <v>-40159620</v>
      </c>
      <c r="K82" s="11">
        <v>400000</v>
      </c>
      <c r="M82" s="11">
        <v>1047728700</v>
      </c>
      <c r="O82" s="11">
        <v>1251159994</v>
      </c>
      <c r="Q82" s="11">
        <v>-203431294</v>
      </c>
    </row>
    <row r="83" spans="1:17" ht="18.75" x14ac:dyDescent="0.45">
      <c r="A83" s="8" t="s">
        <v>91</v>
      </c>
      <c r="C83" s="11">
        <v>0</v>
      </c>
      <c r="E83" s="11">
        <v>0</v>
      </c>
      <c r="G83" s="11">
        <v>-1486125474</v>
      </c>
      <c r="I83" s="11">
        <v>1486125474</v>
      </c>
    </row>
    <row r="84" spans="1:17" ht="18.75" x14ac:dyDescent="0.45">
      <c r="A84" s="8" t="s">
        <v>92</v>
      </c>
      <c r="C84" s="11">
        <v>407809</v>
      </c>
      <c r="E84" s="11">
        <v>14630255740</v>
      </c>
      <c r="G84" s="11">
        <v>20386687758</v>
      </c>
      <c r="I84" s="11">
        <v>-5756432018</v>
      </c>
      <c r="K84" s="11">
        <v>407809</v>
      </c>
      <c r="M84" s="11">
        <v>14630255740</v>
      </c>
      <c r="O84" s="11">
        <v>16004502539</v>
      </c>
      <c r="Q84" s="11">
        <v>-1374246799</v>
      </c>
    </row>
    <row r="85" spans="1:17" ht="18.75" x14ac:dyDescent="0.45">
      <c r="A85" s="8" t="s">
        <v>93</v>
      </c>
      <c r="C85" s="11">
        <v>6132725</v>
      </c>
      <c r="E85" s="11">
        <v>114426336323</v>
      </c>
      <c r="G85" s="11">
        <v>120705458668</v>
      </c>
      <c r="I85" s="11">
        <v>-6279122345</v>
      </c>
      <c r="K85" s="11">
        <v>6132725</v>
      </c>
      <c r="M85" s="11">
        <v>114426336323</v>
      </c>
      <c r="O85" s="11">
        <v>106858343194</v>
      </c>
      <c r="Q85" s="11">
        <v>7567993129</v>
      </c>
    </row>
    <row r="86" spans="1:17" ht="18.75" x14ac:dyDescent="0.45">
      <c r="A86" s="8" t="s">
        <v>94</v>
      </c>
      <c r="C86" s="11">
        <v>50000</v>
      </c>
      <c r="E86" s="11">
        <v>12593619450</v>
      </c>
      <c r="G86" s="11">
        <v>12139835625</v>
      </c>
      <c r="I86" s="11">
        <v>453783825</v>
      </c>
      <c r="K86" s="11">
        <v>50000</v>
      </c>
      <c r="M86" s="11">
        <v>12593619450</v>
      </c>
      <c r="O86" s="11">
        <v>10968169018</v>
      </c>
      <c r="Q86" s="11">
        <v>1625450432</v>
      </c>
    </row>
    <row r="87" spans="1:17" ht="18.75" x14ac:dyDescent="0.45">
      <c r="A87" s="8" t="s">
        <v>95</v>
      </c>
      <c r="C87" s="11">
        <v>1947948</v>
      </c>
      <c r="E87" s="11">
        <v>57897095511</v>
      </c>
      <c r="G87" s="11">
        <v>71440511234</v>
      </c>
      <c r="I87" s="11">
        <v>-13543415723</v>
      </c>
      <c r="K87" s="11">
        <v>1947948</v>
      </c>
      <c r="M87" s="11">
        <v>57897095511</v>
      </c>
      <c r="O87" s="11">
        <v>53266332183</v>
      </c>
      <c r="Q87" s="11">
        <v>4630763328</v>
      </c>
    </row>
    <row r="88" spans="1:17" ht="18.75" x14ac:dyDescent="0.45">
      <c r="A88" s="8" t="s">
        <v>96</v>
      </c>
      <c r="C88" s="11">
        <v>450000</v>
      </c>
      <c r="E88" s="11">
        <v>8423082675</v>
      </c>
      <c r="G88" s="11">
        <v>7421080275</v>
      </c>
      <c r="I88" s="11">
        <v>1002002400</v>
      </c>
      <c r="K88" s="11">
        <v>450000</v>
      </c>
      <c r="M88" s="11">
        <v>8423082675</v>
      </c>
      <c r="O88" s="11">
        <v>2151173902</v>
      </c>
      <c r="Q88" s="11">
        <v>6271908773</v>
      </c>
    </row>
    <row r="89" spans="1:17" ht="18.75" x14ac:dyDescent="0.45">
      <c r="A89" s="8" t="s">
        <v>97</v>
      </c>
      <c r="C89" s="11">
        <v>2800000</v>
      </c>
      <c r="E89" s="11">
        <v>8954004780</v>
      </c>
      <c r="G89" s="11">
        <v>9293572260</v>
      </c>
      <c r="I89" s="11">
        <v>-339567480</v>
      </c>
      <c r="K89" s="11">
        <v>2800000</v>
      </c>
      <c r="M89" s="11">
        <v>8954004780</v>
      </c>
      <c r="O89" s="11">
        <v>9946421645</v>
      </c>
      <c r="Q89" s="11">
        <v>-992416865</v>
      </c>
    </row>
    <row r="90" spans="1:17" ht="37.5" x14ac:dyDescent="0.45">
      <c r="A90" s="8" t="s">
        <v>98</v>
      </c>
      <c r="C90" s="11">
        <v>21600000</v>
      </c>
      <c r="E90" s="11">
        <v>28728840240</v>
      </c>
      <c r="G90" s="11">
        <v>36780645240</v>
      </c>
      <c r="I90" s="11">
        <v>-8051805000</v>
      </c>
      <c r="K90" s="11">
        <v>21600000</v>
      </c>
      <c r="M90" s="11">
        <v>28728840240</v>
      </c>
      <c r="O90" s="11">
        <v>27959586333</v>
      </c>
      <c r="Q90" s="11">
        <v>769253907</v>
      </c>
    </row>
    <row r="91" spans="1:17" ht="18.75" x14ac:dyDescent="0.45">
      <c r="A91" s="13" t="s">
        <v>99</v>
      </c>
      <c r="C91" s="13">
        <f>SUM(C9:$C$90)</f>
        <v>552610282</v>
      </c>
      <c r="E91" s="13">
        <f>SUM(E9:$E$90)</f>
        <v>2703136850957</v>
      </c>
      <c r="G91" s="13">
        <f>SUM(G9:$G$90)</f>
        <v>2954610403312</v>
      </c>
      <c r="I91" s="13">
        <f>SUM(I9:$I$90)</f>
        <v>-251473552355</v>
      </c>
      <c r="K91" s="13">
        <f>SUM(K9:$K$90)</f>
        <v>552610282</v>
      </c>
      <c r="M91" s="13">
        <f>SUM(M9:$M$90)</f>
        <v>2703136850957</v>
      </c>
      <c r="O91" s="13">
        <f>SUM(O9:$O$90)</f>
        <v>2566030159920</v>
      </c>
      <c r="Q91" s="13">
        <f>SUM(Q9:$Q$90)</f>
        <v>137106691037</v>
      </c>
    </row>
    <row r="92" spans="1:17" ht="18.75" x14ac:dyDescent="0.45">
      <c r="C92" s="15"/>
      <c r="E92" s="15"/>
      <c r="G92" s="15"/>
      <c r="I92" s="15"/>
      <c r="K92" s="15"/>
      <c r="M92" s="15"/>
      <c r="O92" s="15"/>
      <c r="Q92" s="15"/>
    </row>
    <row r="94" spans="1:17" ht="18.75" x14ac:dyDescent="0.45">
      <c r="A94" s="42" t="s">
        <v>257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4"/>
    </row>
  </sheetData>
  <mergeCells count="7">
    <mergeCell ref="A94:Q94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4" fitToHeight="0" orientation="landscape" r:id="rId1"/>
  <rowBreaks count="3" manualBreakCount="3">
    <brk id="29" max="16383" man="1"/>
    <brk id="54" max="16" man="1"/>
    <brk id="7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A124"/>
  <sheetViews>
    <sheetView rightToLeft="1" view="pageBreakPreview" topLeftCell="A82" zoomScale="60" zoomScaleNormal="100" workbookViewId="0">
      <selection sqref="A1:W1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6.85546875" style="4" bestFit="1" customWidth="1"/>
    <col min="4" max="4" width="1.42578125" style="4" customWidth="1"/>
    <col min="5" max="5" width="19" style="4" bestFit="1" customWidth="1"/>
    <col min="6" max="6" width="1.42578125" style="4" customWidth="1"/>
    <col min="7" max="7" width="16.85546875" style="4" bestFit="1" customWidth="1"/>
    <col min="8" max="8" width="1.42578125" style="4" customWidth="1"/>
    <col min="9" max="9" width="18.7109375" style="4" bestFit="1" customWidth="1"/>
    <col min="10" max="10" width="1.42578125" style="4" customWidth="1"/>
    <col min="11" max="11" width="11.5703125" style="4" bestFit="1" customWidth="1"/>
    <col min="12" max="12" width="1.42578125" style="4" customWidth="1"/>
    <col min="13" max="13" width="18" style="4" bestFit="1" customWidth="1"/>
    <col min="14" max="14" width="1.42578125" style="4" customWidth="1"/>
    <col min="15" max="15" width="17.7109375" style="4" bestFit="1" customWidth="1"/>
    <col min="16" max="16" width="1.42578125" style="4" customWidth="1"/>
    <col min="17" max="17" width="17.7109375" style="4" bestFit="1" customWidth="1"/>
    <col min="18" max="18" width="1.42578125" style="4" customWidth="1"/>
    <col min="19" max="19" width="18" style="4" bestFit="1" customWidth="1"/>
    <col min="20" max="20" width="1.42578125" style="4" customWidth="1"/>
    <col min="21" max="21" width="11.5703125" style="4" bestFit="1" customWidth="1"/>
    <col min="22" max="16384" width="9.140625" style="4"/>
  </cols>
  <sheetData>
    <row r="1" spans="1:27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7" ht="20.100000000000001" customHeight="1" x14ac:dyDescent="0.45">
      <c r="A2" s="34" t="s">
        <v>143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1:27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5" spans="1:27" ht="21" x14ac:dyDescent="0.45">
      <c r="A5" s="35" t="s">
        <v>260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7" x14ac:dyDescent="0.45">
      <c r="AA6" s="18"/>
    </row>
    <row r="7" spans="1:27" ht="21" x14ac:dyDescent="0.45">
      <c r="C7" s="28" t="s">
        <v>155</v>
      </c>
      <c r="D7" s="29"/>
      <c r="E7" s="29"/>
      <c r="F7" s="29"/>
      <c r="G7" s="29"/>
      <c r="H7" s="29"/>
      <c r="I7" s="29"/>
      <c r="J7" s="29"/>
      <c r="K7" s="29"/>
      <c r="M7" s="28" t="s">
        <v>7</v>
      </c>
      <c r="N7" s="29"/>
      <c r="O7" s="29"/>
      <c r="P7" s="29"/>
      <c r="Q7" s="29"/>
      <c r="R7" s="29"/>
      <c r="S7" s="29"/>
      <c r="T7" s="29"/>
      <c r="U7" s="29"/>
    </row>
    <row r="8" spans="1:27" ht="42" x14ac:dyDescent="0.45">
      <c r="A8" s="6" t="s">
        <v>261</v>
      </c>
      <c r="C8" s="16" t="s">
        <v>153</v>
      </c>
      <c r="E8" s="16" t="s">
        <v>262</v>
      </c>
      <c r="G8" s="16" t="s">
        <v>263</v>
      </c>
      <c r="I8" s="16" t="s">
        <v>264</v>
      </c>
      <c r="K8" s="16" t="s">
        <v>265</v>
      </c>
      <c r="M8" s="16" t="s">
        <v>153</v>
      </c>
      <c r="O8" s="16" t="s">
        <v>262</v>
      </c>
      <c r="Q8" s="16" t="s">
        <v>263</v>
      </c>
      <c r="S8" s="16" t="s">
        <v>264</v>
      </c>
      <c r="U8" s="16" t="s">
        <v>265</v>
      </c>
    </row>
    <row r="9" spans="1:27" ht="18.75" x14ac:dyDescent="0.45">
      <c r="A9" s="8" t="s">
        <v>17</v>
      </c>
      <c r="C9" s="11">
        <v>0</v>
      </c>
      <c r="E9" s="11">
        <v>672104</v>
      </c>
      <c r="G9" s="11">
        <v>0</v>
      </c>
      <c r="I9" s="11">
        <v>672104</v>
      </c>
      <c r="K9" s="12">
        <v>-3.1091631637337128E-6</v>
      </c>
      <c r="M9" s="11">
        <v>0</v>
      </c>
      <c r="O9" s="11">
        <v>672104</v>
      </c>
      <c r="Q9" s="11">
        <v>0</v>
      </c>
      <c r="S9" s="11">
        <v>672104</v>
      </c>
      <c r="U9" s="12">
        <v>1.3088216274735061E-6</v>
      </c>
    </row>
    <row r="10" spans="1:27" ht="18.75" x14ac:dyDescent="0.45">
      <c r="A10" s="8" t="s">
        <v>18</v>
      </c>
      <c r="C10" s="11">
        <v>0</v>
      </c>
      <c r="E10" s="11">
        <v>-154077750</v>
      </c>
      <c r="G10" s="11">
        <v>0</v>
      </c>
      <c r="I10" s="11">
        <v>-154077750</v>
      </c>
      <c r="K10" s="12">
        <v>7.1276597766264157E-4</v>
      </c>
      <c r="M10" s="11">
        <v>96000000</v>
      </c>
      <c r="O10" s="11">
        <v>116800875</v>
      </c>
      <c r="Q10" s="11">
        <v>0</v>
      </c>
      <c r="S10" s="11">
        <v>212800875</v>
      </c>
      <c r="U10" s="12">
        <v>4.1439775324248352E-4</v>
      </c>
    </row>
    <row r="11" spans="1:27" ht="18.75" x14ac:dyDescent="0.45">
      <c r="A11" s="8" t="s">
        <v>19</v>
      </c>
      <c r="C11" s="11">
        <v>0</v>
      </c>
      <c r="E11" s="11">
        <v>-939916013</v>
      </c>
      <c r="G11" s="11">
        <v>209355590</v>
      </c>
      <c r="I11" s="11">
        <v>-730560423</v>
      </c>
      <c r="K11" s="12">
        <v>3.3795834514797106E-3</v>
      </c>
      <c r="M11" s="11">
        <v>0</v>
      </c>
      <c r="O11" s="11">
        <v>-92703128</v>
      </c>
      <c r="Q11" s="11">
        <v>209355590</v>
      </c>
      <c r="S11" s="11">
        <v>116652462</v>
      </c>
      <c r="U11" s="12">
        <v>2.2716315505283608E-4</v>
      </c>
    </row>
    <row r="12" spans="1:27" ht="18.75" x14ac:dyDescent="0.45">
      <c r="A12" s="8" t="s">
        <v>266</v>
      </c>
      <c r="C12" s="11">
        <v>0</v>
      </c>
      <c r="E12" s="11">
        <v>-1917191786</v>
      </c>
      <c r="G12" s="11">
        <v>260055577</v>
      </c>
      <c r="I12" s="11">
        <v>-1657136209</v>
      </c>
      <c r="K12" s="12">
        <v>7.6659369060623518E-3</v>
      </c>
      <c r="M12" s="11">
        <v>0</v>
      </c>
      <c r="O12" s="11">
        <v>3731248014</v>
      </c>
      <c r="Q12" s="11">
        <v>1933152132</v>
      </c>
      <c r="S12" s="11">
        <v>5664400146</v>
      </c>
      <c r="U12" s="12">
        <v>1.1030568807429931E-2</v>
      </c>
    </row>
    <row r="13" spans="1:27" ht="18.75" x14ac:dyDescent="0.45">
      <c r="A13" s="8" t="s">
        <v>21</v>
      </c>
      <c r="C13" s="11">
        <v>0</v>
      </c>
      <c r="E13" s="11">
        <v>-489918337</v>
      </c>
      <c r="G13" s="11">
        <v>0</v>
      </c>
      <c r="I13" s="11">
        <v>-489918337</v>
      </c>
      <c r="K13" s="12">
        <v>2.2663695598271684E-3</v>
      </c>
      <c r="M13" s="11">
        <v>1421685000</v>
      </c>
      <c r="O13" s="11">
        <v>-1921987325</v>
      </c>
      <c r="Q13" s="11">
        <v>-367388939</v>
      </c>
      <c r="S13" s="11">
        <v>-867691264</v>
      </c>
      <c r="U13" s="12">
        <v>-1.6896984578175754E-3</v>
      </c>
    </row>
    <row r="14" spans="1:27" ht="18.75" x14ac:dyDescent="0.45">
      <c r="A14" s="8" t="s">
        <v>22</v>
      </c>
      <c r="C14" s="11">
        <v>0</v>
      </c>
      <c r="E14" s="11">
        <v>-6443484872</v>
      </c>
      <c r="G14" s="11">
        <v>0</v>
      </c>
      <c r="I14" s="11">
        <v>-6443484872</v>
      </c>
      <c r="K14" s="12">
        <v>2.9807657460895691E-2</v>
      </c>
      <c r="M14" s="11">
        <v>0</v>
      </c>
      <c r="O14" s="11">
        <v>-12070684851</v>
      </c>
      <c r="Q14" s="11">
        <v>1889727371</v>
      </c>
      <c r="S14" s="11">
        <v>-10180957480</v>
      </c>
      <c r="U14" s="12">
        <v>-1.982588608044613E-2</v>
      </c>
    </row>
    <row r="15" spans="1:27" ht="18.75" x14ac:dyDescent="0.45">
      <c r="A15" s="8" t="s">
        <v>23</v>
      </c>
      <c r="C15" s="11">
        <v>0</v>
      </c>
      <c r="E15" s="11">
        <v>-2401014165</v>
      </c>
      <c r="G15" s="11">
        <v>0</v>
      </c>
      <c r="I15" s="11">
        <v>-2401014165</v>
      </c>
      <c r="K15" s="12">
        <v>1.1107127464530577E-2</v>
      </c>
      <c r="M15" s="11">
        <v>0</v>
      </c>
      <c r="O15" s="11">
        <v>4383198603</v>
      </c>
      <c r="Q15" s="11">
        <v>0</v>
      </c>
      <c r="S15" s="11">
        <v>4383198603</v>
      </c>
      <c r="U15" s="12">
        <v>8.5356211674354841E-3</v>
      </c>
    </row>
    <row r="16" spans="1:27" ht="18.75" x14ac:dyDescent="0.45">
      <c r="A16" s="8" t="s">
        <v>24</v>
      </c>
      <c r="C16" s="11">
        <v>0</v>
      </c>
      <c r="E16" s="11">
        <v>-1603601460</v>
      </c>
      <c r="G16" s="11">
        <v>0</v>
      </c>
      <c r="I16" s="11">
        <v>-1603601460</v>
      </c>
      <c r="K16" s="12">
        <v>7.4182843559056346E-3</v>
      </c>
      <c r="M16" s="11">
        <v>0</v>
      </c>
      <c r="O16" s="11">
        <v>8833153412</v>
      </c>
      <c r="Q16" s="11">
        <v>5138195533</v>
      </c>
      <c r="S16" s="11">
        <v>13971348945</v>
      </c>
      <c r="U16" s="12">
        <v>2.7207104353188127E-2</v>
      </c>
    </row>
    <row r="17" spans="1:21" ht="18.75" x14ac:dyDescent="0.45">
      <c r="A17" s="8" t="s">
        <v>244</v>
      </c>
      <c r="C17" s="11">
        <v>0</v>
      </c>
      <c r="E17" s="11">
        <v>0</v>
      </c>
      <c r="G17" s="11">
        <v>0</v>
      </c>
      <c r="I17" s="11">
        <v>0</v>
      </c>
      <c r="K17" s="12">
        <v>0</v>
      </c>
      <c r="M17" s="11">
        <v>0</v>
      </c>
      <c r="O17" s="11">
        <v>0</v>
      </c>
      <c r="Q17" s="11">
        <v>-208684776</v>
      </c>
      <c r="S17" s="11">
        <v>-208684776</v>
      </c>
      <c r="U17" s="12">
        <v>-4.0638226844843069E-4</v>
      </c>
    </row>
    <row r="18" spans="1:21" ht="18.75" x14ac:dyDescent="0.45">
      <c r="A18" s="8" t="s">
        <v>25</v>
      </c>
      <c r="C18" s="11">
        <v>0</v>
      </c>
      <c r="E18" s="11">
        <v>-362828250</v>
      </c>
      <c r="G18" s="11">
        <v>0</v>
      </c>
      <c r="I18" s="11">
        <v>-362828250</v>
      </c>
      <c r="K18" s="12">
        <v>1.6784489151410592E-3</v>
      </c>
      <c r="M18" s="11">
        <v>0</v>
      </c>
      <c r="O18" s="11">
        <v>1640500996</v>
      </c>
      <c r="Q18" s="11">
        <v>0</v>
      </c>
      <c r="S18" s="11">
        <v>1640500996</v>
      </c>
      <c r="U18" s="12">
        <v>3.1946293779781519E-3</v>
      </c>
    </row>
    <row r="19" spans="1:21" ht="18.75" x14ac:dyDescent="0.45">
      <c r="A19" s="8" t="s">
        <v>267</v>
      </c>
      <c r="C19" s="11">
        <v>0</v>
      </c>
      <c r="E19" s="11">
        <v>-5811916620</v>
      </c>
      <c r="G19" s="11">
        <v>0</v>
      </c>
      <c r="I19" s="11">
        <v>-5811916620</v>
      </c>
      <c r="K19" s="12">
        <v>2.6886013274129816E-2</v>
      </c>
      <c r="M19" s="11">
        <v>216540800</v>
      </c>
      <c r="O19" s="11">
        <v>-17578747135</v>
      </c>
      <c r="Q19" s="11">
        <v>-57613315</v>
      </c>
      <c r="S19" s="11">
        <v>-17419819650</v>
      </c>
      <c r="U19" s="12">
        <v>-3.3922483283253729E-2</v>
      </c>
    </row>
    <row r="20" spans="1:21" ht="18.75" x14ac:dyDescent="0.45">
      <c r="A20" s="8" t="s">
        <v>26</v>
      </c>
      <c r="C20" s="11">
        <v>0</v>
      </c>
      <c r="E20" s="11">
        <v>-556837313</v>
      </c>
      <c r="G20" s="11">
        <v>949856950</v>
      </c>
      <c r="I20" s="11">
        <v>393019637</v>
      </c>
      <c r="K20" s="12">
        <v>-1.8181147232934119E-3</v>
      </c>
      <c r="M20" s="11">
        <v>0</v>
      </c>
      <c r="O20" s="11">
        <v>403753612</v>
      </c>
      <c r="Q20" s="11">
        <v>949856950</v>
      </c>
      <c r="S20" s="11">
        <v>1353610562</v>
      </c>
      <c r="U20" s="12">
        <v>2.6359533327017354E-3</v>
      </c>
    </row>
    <row r="21" spans="1:21" ht="18.75" x14ac:dyDescent="0.45">
      <c r="A21" s="8" t="s">
        <v>268</v>
      </c>
      <c r="C21" s="11">
        <v>0</v>
      </c>
      <c r="E21" s="11">
        <v>0</v>
      </c>
      <c r="G21" s="11">
        <v>0</v>
      </c>
      <c r="I21" s="11">
        <v>0</v>
      </c>
      <c r="K21" s="12">
        <v>0</v>
      </c>
      <c r="M21" s="11">
        <v>799994060</v>
      </c>
      <c r="O21" s="11">
        <v>0</v>
      </c>
      <c r="Q21" s="11">
        <v>-2757485651</v>
      </c>
      <c r="S21" s="11">
        <v>-1957491591</v>
      </c>
      <c r="U21" s="12">
        <v>-3.8119209674370674E-3</v>
      </c>
    </row>
    <row r="22" spans="1:21" ht="18.75" x14ac:dyDescent="0.45">
      <c r="A22" s="8" t="s">
        <v>28</v>
      </c>
      <c r="C22" s="11">
        <v>0</v>
      </c>
      <c r="E22" s="11">
        <v>37276875</v>
      </c>
      <c r="G22" s="11">
        <v>0</v>
      </c>
      <c r="I22" s="11">
        <v>37276875</v>
      </c>
      <c r="K22" s="12">
        <v>-1.7244338169257456E-4</v>
      </c>
      <c r="M22" s="11">
        <v>519025280</v>
      </c>
      <c r="O22" s="11">
        <v>986332061</v>
      </c>
      <c r="Q22" s="11">
        <v>1188423996</v>
      </c>
      <c r="S22" s="11">
        <v>2693781337</v>
      </c>
      <c r="U22" s="12">
        <v>5.2457346981272203E-3</v>
      </c>
    </row>
    <row r="23" spans="1:21" ht="37.5" x14ac:dyDescent="0.45">
      <c r="A23" s="8" t="s">
        <v>168</v>
      </c>
      <c r="C23" s="11">
        <v>0</v>
      </c>
      <c r="E23" s="11">
        <v>0</v>
      </c>
      <c r="G23" s="11">
        <v>0</v>
      </c>
      <c r="I23" s="11">
        <v>0</v>
      </c>
      <c r="K23" s="12">
        <v>0</v>
      </c>
      <c r="M23" s="11">
        <v>108343700</v>
      </c>
      <c r="O23" s="11">
        <v>0</v>
      </c>
      <c r="Q23" s="11">
        <v>10083290355</v>
      </c>
      <c r="S23" s="11">
        <v>10191634055</v>
      </c>
      <c r="U23" s="12">
        <v>1.9846677107232674E-2</v>
      </c>
    </row>
    <row r="24" spans="1:21" ht="18.75" x14ac:dyDescent="0.45">
      <c r="A24" s="8" t="s">
        <v>29</v>
      </c>
      <c r="C24" s="11">
        <v>0</v>
      </c>
      <c r="E24" s="11">
        <v>-835161554</v>
      </c>
      <c r="G24" s="11">
        <v>75681596</v>
      </c>
      <c r="I24" s="11">
        <v>-759479958</v>
      </c>
      <c r="K24" s="12">
        <v>3.513365653243586E-3</v>
      </c>
      <c r="M24" s="11">
        <v>0</v>
      </c>
      <c r="O24" s="11">
        <v>160574863</v>
      </c>
      <c r="Q24" s="11">
        <v>75681596</v>
      </c>
      <c r="S24" s="11">
        <v>236256459</v>
      </c>
      <c r="U24" s="12">
        <v>4.6007398136227082E-4</v>
      </c>
    </row>
    <row r="25" spans="1:21" ht="18.75" x14ac:dyDescent="0.45">
      <c r="A25" s="8" t="s">
        <v>30</v>
      </c>
      <c r="C25" s="11">
        <v>0</v>
      </c>
      <c r="E25" s="11">
        <v>-12547889015</v>
      </c>
      <c r="G25" s="11">
        <v>0</v>
      </c>
      <c r="I25" s="11">
        <v>-12547889015</v>
      </c>
      <c r="K25" s="12">
        <v>5.8046722394237943E-2</v>
      </c>
      <c r="M25" s="11">
        <v>10332000000</v>
      </c>
      <c r="O25" s="11">
        <v>50536973075</v>
      </c>
      <c r="Q25" s="11">
        <v>2652429300</v>
      </c>
      <c r="S25" s="11">
        <v>63521402375</v>
      </c>
      <c r="U25" s="12">
        <v>0.12369839375431026</v>
      </c>
    </row>
    <row r="26" spans="1:21" ht="18.75" x14ac:dyDescent="0.45">
      <c r="A26" s="8" t="s">
        <v>245</v>
      </c>
      <c r="C26" s="11">
        <v>0</v>
      </c>
      <c r="E26" s="11">
        <v>0</v>
      </c>
      <c r="G26" s="11">
        <v>0</v>
      </c>
      <c r="I26" s="11">
        <v>0</v>
      </c>
      <c r="K26" s="12">
        <v>0</v>
      </c>
      <c r="M26" s="11">
        <v>0</v>
      </c>
      <c r="O26" s="11">
        <v>0</v>
      </c>
      <c r="Q26" s="11">
        <v>3733687879</v>
      </c>
      <c r="S26" s="11">
        <v>3733687879</v>
      </c>
      <c r="U26" s="12">
        <v>7.2707965527223214E-3</v>
      </c>
    </row>
    <row r="27" spans="1:21" ht="18.75" x14ac:dyDescent="0.45">
      <c r="A27" s="8" t="s">
        <v>171</v>
      </c>
      <c r="C27" s="11">
        <v>0</v>
      </c>
      <c r="E27" s="11">
        <v>-1516251614</v>
      </c>
      <c r="G27" s="11">
        <v>0</v>
      </c>
      <c r="I27" s="11">
        <v>-1516251614</v>
      </c>
      <c r="K27" s="12">
        <v>7.0142026608985934E-3</v>
      </c>
      <c r="M27" s="11">
        <v>516228000</v>
      </c>
      <c r="O27" s="11">
        <v>4661251057</v>
      </c>
      <c r="Q27" s="11">
        <v>3832514712</v>
      </c>
      <c r="S27" s="11">
        <v>9009993769</v>
      </c>
      <c r="U27" s="12">
        <v>1.7545610066699097E-2</v>
      </c>
    </row>
    <row r="28" spans="1:21" ht="18.75" x14ac:dyDescent="0.45">
      <c r="A28" s="8" t="s">
        <v>32</v>
      </c>
      <c r="C28" s="11">
        <v>0</v>
      </c>
      <c r="E28" s="11">
        <v>-1066080901</v>
      </c>
      <c r="G28" s="11">
        <v>0</v>
      </c>
      <c r="I28" s="11">
        <v>-1066080901</v>
      </c>
      <c r="K28" s="12">
        <v>4.9317062046189981E-3</v>
      </c>
      <c r="M28" s="11">
        <v>4562276550</v>
      </c>
      <c r="O28" s="11">
        <v>1029319490</v>
      </c>
      <c r="Q28" s="11">
        <v>9013272001</v>
      </c>
      <c r="S28" s="11">
        <v>14604868041</v>
      </c>
      <c r="U28" s="12">
        <v>2.8440787673421699E-2</v>
      </c>
    </row>
    <row r="29" spans="1:21" ht="37.5" x14ac:dyDescent="0.45">
      <c r="A29" s="8" t="s">
        <v>33</v>
      </c>
      <c r="C29" s="11">
        <v>0</v>
      </c>
      <c r="E29" s="11">
        <v>-661361177</v>
      </c>
      <c r="G29" s="11">
        <v>0</v>
      </c>
      <c r="I29" s="11">
        <v>-661361177</v>
      </c>
      <c r="K29" s="12">
        <v>3.0594667037422362E-3</v>
      </c>
      <c r="M29" s="11">
        <v>30532500</v>
      </c>
      <c r="O29" s="11">
        <v>-6530042961</v>
      </c>
      <c r="Q29" s="11">
        <v>0</v>
      </c>
      <c r="S29" s="11">
        <v>-6499510461</v>
      </c>
      <c r="U29" s="12">
        <v>-1.265682075891097E-2</v>
      </c>
    </row>
    <row r="30" spans="1:21" ht="37.5" x14ac:dyDescent="0.45">
      <c r="A30" s="8" t="s">
        <v>34</v>
      </c>
      <c r="C30" s="11">
        <v>2514600000</v>
      </c>
      <c r="E30" s="11">
        <v>-3907408971</v>
      </c>
      <c r="G30" s="11">
        <v>1574371543</v>
      </c>
      <c r="I30" s="11">
        <v>181562572</v>
      </c>
      <c r="K30" s="12">
        <v>-8.3991117561441379E-4</v>
      </c>
      <c r="M30" s="11">
        <v>2514600000</v>
      </c>
      <c r="O30" s="11">
        <v>1529398075</v>
      </c>
      <c r="Q30" s="11">
        <v>1574371543</v>
      </c>
      <c r="S30" s="11">
        <v>5618369618</v>
      </c>
      <c r="U30" s="12">
        <v>1.0940931265367356E-2</v>
      </c>
    </row>
    <row r="31" spans="1:21" ht="37.5" x14ac:dyDescent="0.45">
      <c r="A31" s="8" t="s">
        <v>35</v>
      </c>
      <c r="C31" s="11">
        <v>81250000</v>
      </c>
      <c r="E31" s="11">
        <v>-166503375</v>
      </c>
      <c r="G31" s="11">
        <v>0</v>
      </c>
      <c r="I31" s="11">
        <v>-85253375</v>
      </c>
      <c r="K31" s="12">
        <v>3.9438338878205846E-4</v>
      </c>
      <c r="M31" s="11">
        <v>81250000</v>
      </c>
      <c r="O31" s="11">
        <v>9672862</v>
      </c>
      <c r="Q31" s="11">
        <v>281222517</v>
      </c>
      <c r="S31" s="11">
        <v>372145379</v>
      </c>
      <c r="U31" s="12">
        <v>7.2469725012724927E-4</v>
      </c>
    </row>
    <row r="32" spans="1:21" ht="37.5" x14ac:dyDescent="0.45">
      <c r="A32" s="8" t="s">
        <v>36</v>
      </c>
      <c r="C32" s="11">
        <v>0</v>
      </c>
      <c r="E32" s="11">
        <v>-9644134530</v>
      </c>
      <c r="G32" s="11">
        <v>0</v>
      </c>
      <c r="I32" s="11">
        <v>-9644134530</v>
      </c>
      <c r="K32" s="12">
        <v>4.4613910684608842E-2</v>
      </c>
      <c r="M32" s="11">
        <v>0</v>
      </c>
      <c r="O32" s="11">
        <v>8550076544</v>
      </c>
      <c r="Q32" s="11">
        <v>-9097577</v>
      </c>
      <c r="S32" s="11">
        <v>8540978967</v>
      </c>
      <c r="U32" s="12">
        <v>1.6632274159662678E-2</v>
      </c>
    </row>
    <row r="33" spans="1:21" ht="18.75" x14ac:dyDescent="0.45">
      <c r="A33" s="8" t="s">
        <v>37</v>
      </c>
      <c r="C33" s="11">
        <v>0</v>
      </c>
      <c r="E33" s="11">
        <v>-9940500</v>
      </c>
      <c r="G33" s="11">
        <v>0</v>
      </c>
      <c r="I33" s="11">
        <v>-9940500</v>
      </c>
      <c r="K33" s="12">
        <v>4.5984901784686555E-5</v>
      </c>
      <c r="M33" s="11">
        <v>0</v>
      </c>
      <c r="O33" s="11">
        <v>-164205900</v>
      </c>
      <c r="Q33" s="11">
        <v>1004052600</v>
      </c>
      <c r="S33" s="11">
        <v>839846700</v>
      </c>
      <c r="U33" s="12">
        <v>1.6354753501277384E-3</v>
      </c>
    </row>
    <row r="34" spans="1:21" ht="18.75" x14ac:dyDescent="0.45">
      <c r="A34" s="8" t="s">
        <v>177</v>
      </c>
      <c r="C34" s="11">
        <v>0</v>
      </c>
      <c r="E34" s="11">
        <v>0</v>
      </c>
      <c r="G34" s="11">
        <v>0</v>
      </c>
      <c r="I34" s="11">
        <v>0</v>
      </c>
      <c r="K34" s="12">
        <v>0</v>
      </c>
      <c r="M34" s="11">
        <v>1500000000</v>
      </c>
      <c r="O34" s="11">
        <v>0</v>
      </c>
      <c r="Q34" s="11">
        <v>-3192565748</v>
      </c>
      <c r="S34" s="11">
        <v>-1692565748</v>
      </c>
      <c r="U34" s="12">
        <v>-3.29601766527691E-3</v>
      </c>
    </row>
    <row r="35" spans="1:21" ht="18.75" x14ac:dyDescent="0.45">
      <c r="A35" s="8" t="s">
        <v>38</v>
      </c>
      <c r="C35" s="11">
        <v>0</v>
      </c>
      <c r="E35" s="11">
        <v>-7145504865</v>
      </c>
      <c r="G35" s="11">
        <v>0</v>
      </c>
      <c r="I35" s="11">
        <v>-7145504865</v>
      </c>
      <c r="K35" s="12">
        <v>3.3055212456015788E-2</v>
      </c>
      <c r="M35" s="11">
        <v>506949840</v>
      </c>
      <c r="O35" s="11">
        <v>-3931767214</v>
      </c>
      <c r="Q35" s="11">
        <v>3677741235</v>
      </c>
      <c r="S35" s="11">
        <v>252923861</v>
      </c>
      <c r="U35" s="12">
        <v>4.9253124424330586E-4</v>
      </c>
    </row>
    <row r="36" spans="1:21" ht="18.75" x14ac:dyDescent="0.45">
      <c r="A36" s="8" t="s">
        <v>246</v>
      </c>
      <c r="C36" s="11">
        <v>0</v>
      </c>
      <c r="E36" s="11">
        <v>0</v>
      </c>
      <c r="G36" s="11">
        <v>0</v>
      </c>
      <c r="I36" s="11">
        <v>0</v>
      </c>
      <c r="K36" s="12">
        <v>0</v>
      </c>
      <c r="M36" s="11">
        <v>0</v>
      </c>
      <c r="O36" s="11">
        <v>0</v>
      </c>
      <c r="Q36" s="11">
        <v>6230334002</v>
      </c>
      <c r="S36" s="11">
        <v>6230334002</v>
      </c>
      <c r="U36" s="12">
        <v>1.2132640020296209E-2</v>
      </c>
    </row>
    <row r="37" spans="1:21" ht="18.75" x14ac:dyDescent="0.45">
      <c r="A37" s="8" t="s">
        <v>39</v>
      </c>
      <c r="C37" s="11">
        <v>0</v>
      </c>
      <c r="E37" s="11">
        <v>-6484266461</v>
      </c>
      <c r="G37" s="11">
        <v>0</v>
      </c>
      <c r="I37" s="11">
        <v>-6484266461</v>
      </c>
      <c r="K37" s="12">
        <v>2.9996313702009159E-2</v>
      </c>
      <c r="M37" s="11">
        <v>2994742014</v>
      </c>
      <c r="O37" s="11">
        <v>-6166013981</v>
      </c>
      <c r="Q37" s="11">
        <v>106284976</v>
      </c>
      <c r="S37" s="11">
        <v>-3064986991</v>
      </c>
      <c r="U37" s="12">
        <v>-5.9686019749112407E-3</v>
      </c>
    </row>
    <row r="38" spans="1:21" ht="18.75" x14ac:dyDescent="0.45">
      <c r="A38" s="8" t="s">
        <v>40</v>
      </c>
      <c r="C38" s="11">
        <v>0</v>
      </c>
      <c r="E38" s="11">
        <v>-8556883605</v>
      </c>
      <c r="G38" s="11">
        <v>4946487015</v>
      </c>
      <c r="I38" s="11">
        <v>-3610396590</v>
      </c>
      <c r="K38" s="12">
        <v>1.6701748664042778E-2</v>
      </c>
      <c r="M38" s="11">
        <v>5856000000</v>
      </c>
      <c r="O38" s="11">
        <v>17538627860</v>
      </c>
      <c r="Q38" s="11">
        <v>2660058795</v>
      </c>
      <c r="S38" s="11">
        <v>26054686655</v>
      </c>
      <c r="U38" s="12">
        <v>5.0737590300175779E-2</v>
      </c>
    </row>
    <row r="39" spans="1:21" ht="18.75" x14ac:dyDescent="0.45">
      <c r="A39" s="8" t="s">
        <v>41</v>
      </c>
      <c r="C39" s="11">
        <v>0</v>
      </c>
      <c r="E39" s="11">
        <v>-19465912454</v>
      </c>
      <c r="G39" s="11">
        <v>0</v>
      </c>
      <c r="I39" s="11">
        <v>-19465912454</v>
      </c>
      <c r="K39" s="12">
        <v>9.0049602368743709E-2</v>
      </c>
      <c r="M39" s="11">
        <v>11458002500</v>
      </c>
      <c r="O39" s="11">
        <v>-16736273173</v>
      </c>
      <c r="Q39" s="11">
        <v>1441200500</v>
      </c>
      <c r="S39" s="11">
        <v>-3837070173</v>
      </c>
      <c r="U39" s="12">
        <v>-7.4721180480340956E-3</v>
      </c>
    </row>
    <row r="40" spans="1:21" ht="18.75" x14ac:dyDescent="0.45">
      <c r="A40" s="8" t="s">
        <v>183</v>
      </c>
      <c r="C40" s="11">
        <v>0</v>
      </c>
      <c r="E40" s="11">
        <v>0</v>
      </c>
      <c r="G40" s="11">
        <v>0</v>
      </c>
      <c r="I40" s="11">
        <v>0</v>
      </c>
      <c r="K40" s="12">
        <v>0</v>
      </c>
      <c r="M40" s="11">
        <v>5465313900</v>
      </c>
      <c r="O40" s="11">
        <v>0</v>
      </c>
      <c r="Q40" s="11">
        <v>15812328954</v>
      </c>
      <c r="S40" s="11">
        <v>21277642854</v>
      </c>
      <c r="U40" s="12">
        <v>4.1435014743212803E-2</v>
      </c>
    </row>
    <row r="41" spans="1:21" ht="37.5" x14ac:dyDescent="0.45">
      <c r="A41" s="8" t="s">
        <v>42</v>
      </c>
      <c r="C41" s="11">
        <v>0</v>
      </c>
      <c r="E41" s="11">
        <v>-1598183887</v>
      </c>
      <c r="G41" s="11">
        <v>0</v>
      </c>
      <c r="I41" s="11">
        <v>-1598183887</v>
      </c>
      <c r="K41" s="12">
        <v>7.3932225821199725E-3</v>
      </c>
      <c r="M41" s="11">
        <v>0</v>
      </c>
      <c r="O41" s="11">
        <v>2264518935</v>
      </c>
      <c r="Q41" s="11">
        <v>2451548985</v>
      </c>
      <c r="S41" s="11">
        <v>4716067920</v>
      </c>
      <c r="U41" s="12">
        <v>9.1838341838911732E-3</v>
      </c>
    </row>
    <row r="42" spans="1:21" ht="18.75" x14ac:dyDescent="0.45">
      <c r="A42" s="8" t="s">
        <v>185</v>
      </c>
      <c r="C42" s="11">
        <v>0</v>
      </c>
      <c r="E42" s="11">
        <v>0</v>
      </c>
      <c r="G42" s="11">
        <v>0</v>
      </c>
      <c r="I42" s="11">
        <v>0</v>
      </c>
      <c r="K42" s="12">
        <v>0</v>
      </c>
      <c r="M42" s="11">
        <v>289520</v>
      </c>
      <c r="O42" s="11">
        <v>0</v>
      </c>
      <c r="Q42" s="11">
        <v>2129173</v>
      </c>
      <c r="S42" s="11">
        <v>2418693</v>
      </c>
      <c r="U42" s="12">
        <v>4.7100414647417318E-6</v>
      </c>
    </row>
    <row r="43" spans="1:21" ht="18.75" x14ac:dyDescent="0.45">
      <c r="A43" s="8" t="s">
        <v>43</v>
      </c>
      <c r="C43" s="11">
        <v>0</v>
      </c>
      <c r="E43" s="11">
        <v>-2947724061</v>
      </c>
      <c r="G43" s="11">
        <v>0</v>
      </c>
      <c r="I43" s="11">
        <v>-2947724061</v>
      </c>
      <c r="K43" s="12">
        <v>1.3636215626320848E-2</v>
      </c>
      <c r="M43" s="11">
        <v>7470000000</v>
      </c>
      <c r="O43" s="11">
        <v>4850779692</v>
      </c>
      <c r="Q43" s="11">
        <v>33244203072</v>
      </c>
      <c r="S43" s="11">
        <v>45564982764</v>
      </c>
      <c r="U43" s="12">
        <v>8.8730962614388162E-2</v>
      </c>
    </row>
    <row r="44" spans="1:21" ht="18.75" x14ac:dyDescent="0.45">
      <c r="A44" s="8" t="s">
        <v>187</v>
      </c>
      <c r="C44" s="11">
        <v>0</v>
      </c>
      <c r="E44" s="11">
        <v>0</v>
      </c>
      <c r="G44" s="11">
        <v>0</v>
      </c>
      <c r="I44" s="11">
        <v>0</v>
      </c>
      <c r="K44" s="12">
        <v>0</v>
      </c>
      <c r="M44" s="11">
        <v>2282247100</v>
      </c>
      <c r="O44" s="11">
        <v>0</v>
      </c>
      <c r="Q44" s="11">
        <v>7345301855</v>
      </c>
      <c r="S44" s="11">
        <v>9627548955</v>
      </c>
      <c r="U44" s="12">
        <v>1.8748206069096381E-2</v>
      </c>
    </row>
    <row r="45" spans="1:21" ht="18.75" x14ac:dyDescent="0.45">
      <c r="A45" s="8" t="s">
        <v>44</v>
      </c>
      <c r="C45" s="11">
        <v>0</v>
      </c>
      <c r="E45" s="11">
        <v>-6427799082</v>
      </c>
      <c r="G45" s="11">
        <v>0</v>
      </c>
      <c r="I45" s="11">
        <v>-6427799082</v>
      </c>
      <c r="K45" s="12">
        <v>2.9735094761578228E-2</v>
      </c>
      <c r="M45" s="11">
        <v>354565120</v>
      </c>
      <c r="O45" s="11">
        <v>-8351921742</v>
      </c>
      <c r="Q45" s="11">
        <v>0</v>
      </c>
      <c r="S45" s="11">
        <v>-7997356622</v>
      </c>
      <c r="U45" s="12">
        <v>-1.557365126452463E-2</v>
      </c>
    </row>
    <row r="46" spans="1:21" ht="18.75" x14ac:dyDescent="0.45">
      <c r="A46" s="8" t="s">
        <v>45</v>
      </c>
      <c r="C46" s="11">
        <v>0</v>
      </c>
      <c r="E46" s="11">
        <v>-4032412613</v>
      </c>
      <c r="G46" s="11">
        <v>0</v>
      </c>
      <c r="I46" s="11">
        <v>-4032412613</v>
      </c>
      <c r="K46" s="12">
        <v>1.8654001102976336E-2</v>
      </c>
      <c r="M46" s="11">
        <v>1299231570</v>
      </c>
      <c r="O46" s="11">
        <v>6137616691</v>
      </c>
      <c r="Q46" s="11">
        <v>0</v>
      </c>
      <c r="S46" s="11">
        <v>7436848261</v>
      </c>
      <c r="U46" s="12">
        <v>1.4482145388564172E-2</v>
      </c>
    </row>
    <row r="47" spans="1:21" ht="18.75" x14ac:dyDescent="0.45">
      <c r="A47" s="8" t="s">
        <v>247</v>
      </c>
      <c r="C47" s="11">
        <v>0</v>
      </c>
      <c r="E47" s="11">
        <v>0</v>
      </c>
      <c r="G47" s="11">
        <v>0</v>
      </c>
      <c r="I47" s="11">
        <v>0</v>
      </c>
      <c r="K47" s="12">
        <v>0</v>
      </c>
      <c r="M47" s="11">
        <v>0</v>
      </c>
      <c r="O47" s="11">
        <v>0</v>
      </c>
      <c r="Q47" s="11">
        <v>1367851122</v>
      </c>
      <c r="S47" s="11">
        <v>1367851122</v>
      </c>
      <c r="U47" s="12">
        <v>2.6636846851640543E-3</v>
      </c>
    </row>
    <row r="48" spans="1:21" ht="18.75" x14ac:dyDescent="0.45">
      <c r="A48" s="8" t="s">
        <v>46</v>
      </c>
      <c r="C48" s="11">
        <v>0</v>
      </c>
      <c r="E48" s="11">
        <v>-895420228</v>
      </c>
      <c r="G48" s="11">
        <v>0</v>
      </c>
      <c r="I48" s="11">
        <v>-895420228</v>
      </c>
      <c r="K48" s="12">
        <v>4.1422273769530348E-3</v>
      </c>
      <c r="M48" s="11">
        <v>663429592</v>
      </c>
      <c r="O48" s="11">
        <v>-4646837506</v>
      </c>
      <c r="Q48" s="11">
        <v>-3300327643</v>
      </c>
      <c r="S48" s="11">
        <v>-7283735557</v>
      </c>
      <c r="U48" s="12">
        <v>-1.4183981386510697E-2</v>
      </c>
    </row>
    <row r="49" spans="1:21" ht="18.75" x14ac:dyDescent="0.45">
      <c r="A49" s="8" t="s">
        <v>47</v>
      </c>
      <c r="C49" s="11">
        <v>804313800</v>
      </c>
      <c r="E49" s="11">
        <v>-5231605229</v>
      </c>
      <c r="G49" s="11">
        <v>-394090225</v>
      </c>
      <c r="I49" s="11">
        <v>-4821381654</v>
      </c>
      <c r="K49" s="12">
        <v>2.2303783695556523E-2</v>
      </c>
      <c r="M49" s="11">
        <v>5777604930</v>
      </c>
      <c r="O49" s="11">
        <v>-16972128590</v>
      </c>
      <c r="Q49" s="11">
        <v>-11297390932</v>
      </c>
      <c r="S49" s="11">
        <v>-22491914592</v>
      </c>
      <c r="U49" s="12">
        <v>-4.3799626637092685E-2</v>
      </c>
    </row>
    <row r="50" spans="1:21" ht="18.75" x14ac:dyDescent="0.45">
      <c r="A50" s="8" t="s">
        <v>49</v>
      </c>
      <c r="C50" s="11">
        <v>0</v>
      </c>
      <c r="E50" s="11">
        <v>-5516915532</v>
      </c>
      <c r="G50" s="11">
        <v>314551055</v>
      </c>
      <c r="I50" s="11">
        <v>-5202364477</v>
      </c>
      <c r="K50" s="12">
        <v>2.4066215937124612E-2</v>
      </c>
      <c r="M50" s="11">
        <v>8260854580</v>
      </c>
      <c r="O50" s="11">
        <v>23326439267</v>
      </c>
      <c r="Q50" s="11">
        <v>15258347634</v>
      </c>
      <c r="S50" s="11">
        <v>46845641481</v>
      </c>
      <c r="U50" s="12">
        <v>9.1224853182249779E-2</v>
      </c>
    </row>
    <row r="51" spans="1:21" ht="18.75" x14ac:dyDescent="0.45">
      <c r="A51" s="8" t="s">
        <v>50</v>
      </c>
      <c r="C51" s="11">
        <v>0</v>
      </c>
      <c r="E51" s="11">
        <v>-704781450</v>
      </c>
      <c r="G51" s="11">
        <v>0</v>
      </c>
      <c r="I51" s="11">
        <v>-704781450</v>
      </c>
      <c r="K51" s="12">
        <v>3.2603295365342764E-3</v>
      </c>
      <c r="M51" s="11">
        <v>0</v>
      </c>
      <c r="O51" s="11">
        <v>-716257650</v>
      </c>
      <c r="Q51" s="11">
        <v>0</v>
      </c>
      <c r="S51" s="11">
        <v>-716257650</v>
      </c>
      <c r="U51" s="12">
        <v>-1.3948042314334522E-3</v>
      </c>
    </row>
    <row r="52" spans="1:21" ht="18.75" x14ac:dyDescent="0.45">
      <c r="A52" s="8" t="s">
        <v>51</v>
      </c>
      <c r="C52" s="11">
        <v>0</v>
      </c>
      <c r="E52" s="11">
        <v>-4651316242</v>
      </c>
      <c r="G52" s="11">
        <v>459964239</v>
      </c>
      <c r="I52" s="11">
        <v>-4191352003</v>
      </c>
      <c r="K52" s="12">
        <v>1.9389257100045697E-2</v>
      </c>
      <c r="M52" s="11">
        <v>11364297360</v>
      </c>
      <c r="O52" s="11">
        <v>21772172016</v>
      </c>
      <c r="Q52" s="11">
        <v>12726104370</v>
      </c>
      <c r="S52" s="11">
        <v>45862573746</v>
      </c>
      <c r="U52" s="12">
        <v>8.9310476370269204E-2</v>
      </c>
    </row>
    <row r="53" spans="1:21" ht="18.75" x14ac:dyDescent="0.45">
      <c r="A53" s="8" t="s">
        <v>52</v>
      </c>
      <c r="C53" s="11">
        <v>0</v>
      </c>
      <c r="E53" s="11">
        <v>2661503103</v>
      </c>
      <c r="G53" s="11">
        <v>343976904</v>
      </c>
      <c r="I53" s="11">
        <v>3005480007</v>
      </c>
      <c r="K53" s="12">
        <v>-1.3903395496980438E-2</v>
      </c>
      <c r="M53" s="11">
        <v>15477329400</v>
      </c>
      <c r="O53" s="11">
        <v>15230874913</v>
      </c>
      <c r="Q53" s="11">
        <v>4078243997</v>
      </c>
      <c r="S53" s="11">
        <v>34786448310</v>
      </c>
      <c r="U53" s="12">
        <v>6.7741385099801807E-2</v>
      </c>
    </row>
    <row r="54" spans="1:21" ht="18.75" x14ac:dyDescent="0.45">
      <c r="A54" s="8" t="s">
        <v>53</v>
      </c>
      <c r="C54" s="11">
        <v>0</v>
      </c>
      <c r="E54" s="11">
        <v>751501800</v>
      </c>
      <c r="G54" s="11">
        <v>0</v>
      </c>
      <c r="I54" s="11">
        <v>751501800</v>
      </c>
      <c r="K54" s="12">
        <v>-3.4764585749223033E-3</v>
      </c>
      <c r="M54" s="11">
        <v>0</v>
      </c>
      <c r="O54" s="11">
        <v>18404180914</v>
      </c>
      <c r="Q54" s="11">
        <v>0</v>
      </c>
      <c r="S54" s="11">
        <v>18404180914</v>
      </c>
      <c r="U54" s="12">
        <v>3.5839379048745908E-2</v>
      </c>
    </row>
    <row r="55" spans="1:21" ht="18.75" x14ac:dyDescent="0.45">
      <c r="A55" s="8" t="s">
        <v>54</v>
      </c>
      <c r="C55" s="11">
        <v>665600000</v>
      </c>
      <c r="E55" s="11">
        <v>-590465700</v>
      </c>
      <c r="G55" s="11">
        <v>0</v>
      </c>
      <c r="I55" s="11">
        <v>75134300</v>
      </c>
      <c r="K55" s="12">
        <v>-3.4757239637454602E-4</v>
      </c>
      <c r="M55" s="11">
        <v>665600000</v>
      </c>
      <c r="O55" s="11">
        <v>-810212681</v>
      </c>
      <c r="Q55" s="11">
        <v>0</v>
      </c>
      <c r="S55" s="11">
        <v>-144612681</v>
      </c>
      <c r="U55" s="12">
        <v>-2.8161148349024407E-4</v>
      </c>
    </row>
    <row r="56" spans="1:21" ht="18.75" x14ac:dyDescent="0.45">
      <c r="A56" s="8" t="s">
        <v>195</v>
      </c>
      <c r="C56" s="11">
        <v>0</v>
      </c>
      <c r="E56" s="11">
        <v>0</v>
      </c>
      <c r="G56" s="11">
        <v>0</v>
      </c>
      <c r="I56" s="11">
        <v>0</v>
      </c>
      <c r="K56" s="12">
        <v>0</v>
      </c>
      <c r="M56" s="11">
        <v>5873257500</v>
      </c>
      <c r="O56" s="11">
        <v>0</v>
      </c>
      <c r="Q56" s="11">
        <v>-6354037387</v>
      </c>
      <c r="S56" s="11">
        <v>-480779887</v>
      </c>
      <c r="U56" s="12">
        <v>-9.3624664361448284E-4</v>
      </c>
    </row>
    <row r="57" spans="1:21" ht="18.75" x14ac:dyDescent="0.45">
      <c r="A57" s="8" t="s">
        <v>197</v>
      </c>
      <c r="C57" s="11">
        <v>0</v>
      </c>
      <c r="E57" s="11">
        <v>0</v>
      </c>
      <c r="G57" s="11">
        <v>0</v>
      </c>
      <c r="I57" s="11">
        <v>0</v>
      </c>
      <c r="K57" s="12">
        <v>0</v>
      </c>
      <c r="M57" s="11">
        <v>1771554000</v>
      </c>
      <c r="O57" s="11">
        <v>0</v>
      </c>
      <c r="Q57" s="11">
        <v>-10529764086</v>
      </c>
      <c r="S57" s="11">
        <v>-8758210086</v>
      </c>
      <c r="U57" s="12">
        <v>-1.7055299147919662E-2</v>
      </c>
    </row>
    <row r="58" spans="1:21" ht="18.75" x14ac:dyDescent="0.45">
      <c r="A58" s="8" t="s">
        <v>269</v>
      </c>
      <c r="C58" s="11">
        <v>0</v>
      </c>
      <c r="E58" s="11">
        <v>-1521503373</v>
      </c>
      <c r="G58" s="11">
        <v>0</v>
      </c>
      <c r="I58" s="11">
        <v>-1521503373</v>
      </c>
      <c r="K58" s="12">
        <v>7.0384973766384291E-3</v>
      </c>
      <c r="M58" s="11">
        <v>1836964170</v>
      </c>
      <c r="O58" s="11">
        <v>-7934586697</v>
      </c>
      <c r="Q58" s="11">
        <v>-14176834668</v>
      </c>
      <c r="S58" s="11">
        <v>-20274457195</v>
      </c>
      <c r="U58" s="12">
        <v>-3.9481461294832106E-2</v>
      </c>
    </row>
    <row r="59" spans="1:21" ht="18.75" x14ac:dyDescent="0.45">
      <c r="A59" s="8" t="s">
        <v>55</v>
      </c>
      <c r="C59" s="11">
        <v>0</v>
      </c>
      <c r="E59" s="11">
        <v>-4879947682</v>
      </c>
      <c r="G59" s="11">
        <v>0</v>
      </c>
      <c r="I59" s="11">
        <v>-4879947682</v>
      </c>
      <c r="K59" s="12">
        <v>2.2574711017673034E-2</v>
      </c>
      <c r="M59" s="11">
        <v>2167974875</v>
      </c>
      <c r="O59" s="11">
        <v>-22661589555</v>
      </c>
      <c r="Q59" s="11">
        <v>0</v>
      </c>
      <c r="S59" s="11">
        <v>-20493614680</v>
      </c>
      <c r="U59" s="12">
        <v>-3.9908237591641381E-2</v>
      </c>
    </row>
    <row r="60" spans="1:21" ht="18.75" x14ac:dyDescent="0.45">
      <c r="A60" s="8" t="s">
        <v>56</v>
      </c>
      <c r="C60" s="11">
        <v>0</v>
      </c>
      <c r="E60" s="11">
        <v>-687619833</v>
      </c>
      <c r="G60" s="11">
        <v>0</v>
      </c>
      <c r="I60" s="11">
        <v>-687619833</v>
      </c>
      <c r="K60" s="12">
        <v>3.1809396394253376E-3</v>
      </c>
      <c r="M60" s="11">
        <v>0</v>
      </c>
      <c r="O60" s="11">
        <v>-1164213698</v>
      </c>
      <c r="Q60" s="11">
        <v>2128582690</v>
      </c>
      <c r="S60" s="11">
        <v>964368992</v>
      </c>
      <c r="U60" s="12">
        <v>1.8779638174961386E-3</v>
      </c>
    </row>
    <row r="61" spans="1:21" ht="18.75" x14ac:dyDescent="0.45">
      <c r="A61" s="8" t="s">
        <v>199</v>
      </c>
      <c r="C61" s="11">
        <v>0</v>
      </c>
      <c r="E61" s="11">
        <v>0</v>
      </c>
      <c r="G61" s="11">
        <v>0</v>
      </c>
      <c r="I61" s="11">
        <v>0</v>
      </c>
      <c r="K61" s="12">
        <v>0</v>
      </c>
      <c r="M61" s="11">
        <v>2965783190</v>
      </c>
      <c r="O61" s="11">
        <v>0</v>
      </c>
      <c r="Q61" s="11">
        <v>-4421527160</v>
      </c>
      <c r="S61" s="11">
        <v>-1455743970</v>
      </c>
      <c r="U61" s="12">
        <v>-2.8348428100415158E-3</v>
      </c>
    </row>
    <row r="62" spans="1:21" ht="37.5" x14ac:dyDescent="0.45">
      <c r="A62" s="8" t="s">
        <v>201</v>
      </c>
      <c r="C62" s="11">
        <v>0</v>
      </c>
      <c r="E62" s="11">
        <v>0</v>
      </c>
      <c r="G62" s="11">
        <v>0</v>
      </c>
      <c r="I62" s="11">
        <v>0</v>
      </c>
      <c r="K62" s="12">
        <v>0</v>
      </c>
      <c r="M62" s="11">
        <v>1266093300</v>
      </c>
      <c r="O62" s="11">
        <v>0</v>
      </c>
      <c r="Q62" s="11">
        <v>-9072394976</v>
      </c>
      <c r="S62" s="11">
        <v>-7806301676</v>
      </c>
      <c r="U62" s="12">
        <v>-1.5201600442984239E-2</v>
      </c>
    </row>
    <row r="63" spans="1:21" ht="18.75" x14ac:dyDescent="0.45">
      <c r="A63" s="8" t="s">
        <v>58</v>
      </c>
      <c r="C63" s="11">
        <v>0</v>
      </c>
      <c r="E63" s="11">
        <v>-4499304359</v>
      </c>
      <c r="G63" s="11">
        <v>0</v>
      </c>
      <c r="I63" s="11">
        <v>-4499304359</v>
      </c>
      <c r="K63" s="12">
        <v>2.0813849308186416E-2</v>
      </c>
      <c r="M63" s="11">
        <v>7452230800</v>
      </c>
      <c r="O63" s="11">
        <v>-9719054816</v>
      </c>
      <c r="Q63" s="11">
        <v>57954984</v>
      </c>
      <c r="S63" s="11">
        <v>-2208869032</v>
      </c>
      <c r="U63" s="12">
        <v>-4.3014407909163881E-3</v>
      </c>
    </row>
    <row r="64" spans="1:21" ht="18.75" x14ac:dyDescent="0.45">
      <c r="A64" s="8" t="s">
        <v>59</v>
      </c>
      <c r="C64" s="11">
        <v>0</v>
      </c>
      <c r="E64" s="11">
        <v>-198806819</v>
      </c>
      <c r="G64" s="11">
        <v>0</v>
      </c>
      <c r="I64" s="11">
        <v>-198806819</v>
      </c>
      <c r="K64" s="12">
        <v>9.1968332034011936E-4</v>
      </c>
      <c r="M64" s="11">
        <v>0</v>
      </c>
      <c r="O64" s="11">
        <v>-31967687</v>
      </c>
      <c r="Q64" s="11">
        <v>450908810</v>
      </c>
      <c r="S64" s="11">
        <v>418941123</v>
      </c>
      <c r="U64" s="12">
        <v>8.158249354570696E-4</v>
      </c>
    </row>
    <row r="65" spans="1:21" ht="18.75" x14ac:dyDescent="0.45">
      <c r="A65" s="8" t="s">
        <v>60</v>
      </c>
      <c r="C65" s="11">
        <v>0</v>
      </c>
      <c r="E65" s="11">
        <v>-6352144677</v>
      </c>
      <c r="G65" s="11">
        <v>63987297</v>
      </c>
      <c r="I65" s="11">
        <v>-6288157380</v>
      </c>
      <c r="K65" s="12">
        <v>2.9089110158035503E-2</v>
      </c>
      <c r="M65" s="11">
        <v>9281108970</v>
      </c>
      <c r="O65" s="11">
        <v>-5039417397</v>
      </c>
      <c r="Q65" s="11">
        <v>2364722370</v>
      </c>
      <c r="S65" s="11">
        <v>6606413943</v>
      </c>
      <c r="U65" s="12">
        <v>1.286499923916674E-2</v>
      </c>
    </row>
    <row r="66" spans="1:21" ht="18.75" x14ac:dyDescent="0.45">
      <c r="A66" s="8" t="s">
        <v>61</v>
      </c>
      <c r="C66" s="11">
        <v>0</v>
      </c>
      <c r="E66" s="11">
        <v>2266315741</v>
      </c>
      <c r="G66" s="11">
        <v>2042706901</v>
      </c>
      <c r="I66" s="11">
        <v>4309022642</v>
      </c>
      <c r="K66" s="12">
        <v>-1.9933603237297978E-2</v>
      </c>
      <c r="M66" s="11">
        <v>0</v>
      </c>
      <c r="O66" s="11">
        <v>13718093413</v>
      </c>
      <c r="Q66" s="11">
        <v>2042706901</v>
      </c>
      <c r="S66" s="11">
        <v>15760800314</v>
      </c>
      <c r="U66" s="12">
        <v>3.0691792218547169E-2</v>
      </c>
    </row>
    <row r="67" spans="1:21" ht="18.75" x14ac:dyDescent="0.45">
      <c r="A67" s="8" t="s">
        <v>204</v>
      </c>
      <c r="C67" s="11">
        <v>0</v>
      </c>
      <c r="E67" s="11">
        <v>0</v>
      </c>
      <c r="G67" s="11">
        <v>0</v>
      </c>
      <c r="I67" s="11">
        <v>0</v>
      </c>
      <c r="K67" s="12">
        <v>0</v>
      </c>
      <c r="M67" s="11">
        <v>417127708</v>
      </c>
      <c r="O67" s="11">
        <v>0</v>
      </c>
      <c r="Q67" s="11">
        <v>-11470390849</v>
      </c>
      <c r="S67" s="11">
        <v>-11053263141</v>
      </c>
      <c r="U67" s="12">
        <v>-2.1524570383596196E-2</v>
      </c>
    </row>
    <row r="68" spans="1:21" ht="18.75" x14ac:dyDescent="0.45">
      <c r="A68" s="8" t="s">
        <v>62</v>
      </c>
      <c r="C68" s="11">
        <v>0</v>
      </c>
      <c r="E68" s="11">
        <v>-4934057104</v>
      </c>
      <c r="G68" s="11">
        <v>0</v>
      </c>
      <c r="I68" s="11">
        <v>-4934057104</v>
      </c>
      <c r="K68" s="12">
        <v>2.2825022013729185E-2</v>
      </c>
      <c r="M68" s="11">
        <v>5208577000</v>
      </c>
      <c r="O68" s="11">
        <v>2953749789</v>
      </c>
      <c r="Q68" s="11">
        <v>0</v>
      </c>
      <c r="S68" s="11">
        <v>8162326789</v>
      </c>
      <c r="U68" s="12">
        <v>1.5894905895441149E-2</v>
      </c>
    </row>
    <row r="69" spans="1:21" ht="18.75" x14ac:dyDescent="0.45">
      <c r="A69" s="8" t="s">
        <v>205</v>
      </c>
      <c r="C69" s="11">
        <v>0</v>
      </c>
      <c r="E69" s="11">
        <v>0</v>
      </c>
      <c r="G69" s="11">
        <v>0</v>
      </c>
      <c r="I69" s="11">
        <v>0</v>
      </c>
      <c r="K69" s="12">
        <v>0</v>
      </c>
      <c r="M69" s="11">
        <v>2206833270</v>
      </c>
      <c r="O69" s="11">
        <v>0</v>
      </c>
      <c r="Q69" s="11">
        <v>-3920948435</v>
      </c>
      <c r="S69" s="11">
        <v>-1714115165</v>
      </c>
      <c r="U69" s="12">
        <v>-3.3379819193641424E-3</v>
      </c>
    </row>
    <row r="70" spans="1:21" ht="37.5" x14ac:dyDescent="0.45">
      <c r="A70" s="8" t="s">
        <v>63</v>
      </c>
      <c r="C70" s="11">
        <v>0</v>
      </c>
      <c r="E70" s="11">
        <v>-469636</v>
      </c>
      <c r="G70" s="11">
        <v>475012</v>
      </c>
      <c r="I70" s="11">
        <v>5376</v>
      </c>
      <c r="K70" s="12">
        <v>-2.4869456465416721E-8</v>
      </c>
      <c r="M70" s="11">
        <v>0</v>
      </c>
      <c r="O70" s="11">
        <v>0</v>
      </c>
      <c r="Q70" s="11">
        <v>475012</v>
      </c>
      <c r="S70" s="11">
        <v>475012</v>
      </c>
      <c r="U70" s="12">
        <v>9.2501454969684022E-7</v>
      </c>
    </row>
    <row r="71" spans="1:21" ht="37.5" x14ac:dyDescent="0.45">
      <c r="A71" s="8" t="s">
        <v>207</v>
      </c>
      <c r="C71" s="11">
        <v>0</v>
      </c>
      <c r="E71" s="11">
        <v>0</v>
      </c>
      <c r="G71" s="11">
        <v>0</v>
      </c>
      <c r="I71" s="11">
        <v>0</v>
      </c>
      <c r="K71" s="12">
        <v>0</v>
      </c>
      <c r="M71" s="11">
        <v>2632423200</v>
      </c>
      <c r="O71" s="11">
        <v>0</v>
      </c>
      <c r="Q71" s="11">
        <v>-13752124697</v>
      </c>
      <c r="S71" s="11">
        <v>-11119701497</v>
      </c>
      <c r="U71" s="12">
        <v>-2.1653949106571486E-2</v>
      </c>
    </row>
    <row r="72" spans="1:21" ht="18.75" x14ac:dyDescent="0.45">
      <c r="A72" s="8" t="s">
        <v>248</v>
      </c>
      <c r="C72" s="11">
        <v>0</v>
      </c>
      <c r="E72" s="11">
        <v>0</v>
      </c>
      <c r="G72" s="11">
        <v>0</v>
      </c>
      <c r="I72" s="11">
        <v>0</v>
      </c>
      <c r="K72" s="12">
        <v>0</v>
      </c>
      <c r="M72" s="11">
        <v>0</v>
      </c>
      <c r="O72" s="11">
        <v>0</v>
      </c>
      <c r="Q72" s="11">
        <v>-1105206315</v>
      </c>
      <c r="S72" s="11">
        <v>-1105206315</v>
      </c>
      <c r="U72" s="12">
        <v>-2.1522233581295403E-3</v>
      </c>
    </row>
    <row r="73" spans="1:21" ht="18.75" x14ac:dyDescent="0.45">
      <c r="A73" s="8" t="s">
        <v>64</v>
      </c>
      <c r="C73" s="11">
        <v>0</v>
      </c>
      <c r="E73" s="11">
        <v>-172964700</v>
      </c>
      <c r="G73" s="11">
        <v>0</v>
      </c>
      <c r="I73" s="11">
        <v>-172964700</v>
      </c>
      <c r="K73" s="12">
        <v>8.0013729105354598E-4</v>
      </c>
      <c r="M73" s="11">
        <v>0</v>
      </c>
      <c r="O73" s="11">
        <v>-167480422</v>
      </c>
      <c r="Q73" s="11">
        <v>0</v>
      </c>
      <c r="S73" s="11">
        <v>-167480422</v>
      </c>
      <c r="U73" s="12">
        <v>-3.261429756287563E-4</v>
      </c>
    </row>
    <row r="74" spans="1:21" ht="18.75" x14ac:dyDescent="0.45">
      <c r="A74" s="8" t="s">
        <v>209</v>
      </c>
      <c r="C74" s="11">
        <v>0</v>
      </c>
      <c r="E74" s="11">
        <v>0</v>
      </c>
      <c r="G74" s="11">
        <v>0</v>
      </c>
      <c r="I74" s="11">
        <v>0</v>
      </c>
      <c r="K74" s="12">
        <v>0</v>
      </c>
      <c r="M74" s="11">
        <v>1556521750</v>
      </c>
      <c r="O74" s="11">
        <v>0</v>
      </c>
      <c r="Q74" s="11">
        <v>-3386791796</v>
      </c>
      <c r="S74" s="11">
        <v>-1830270046</v>
      </c>
      <c r="U74" s="12">
        <v>-3.5641761101283865E-3</v>
      </c>
    </row>
    <row r="75" spans="1:21" ht="18.75" x14ac:dyDescent="0.45">
      <c r="A75" s="8" t="s">
        <v>249</v>
      </c>
      <c r="C75" s="11">
        <v>0</v>
      </c>
      <c r="E75" s="11">
        <v>0</v>
      </c>
      <c r="G75" s="11">
        <v>0</v>
      </c>
      <c r="I75" s="11">
        <v>0</v>
      </c>
      <c r="K75" s="12">
        <v>0</v>
      </c>
      <c r="M75" s="11">
        <v>0</v>
      </c>
      <c r="O75" s="11">
        <v>0</v>
      </c>
      <c r="Q75" s="11">
        <v>-64037815</v>
      </c>
      <c r="S75" s="11">
        <v>-64037815</v>
      </c>
      <c r="U75" s="12">
        <v>-1.2470402980513032E-4</v>
      </c>
    </row>
    <row r="76" spans="1:21" ht="18.75" x14ac:dyDescent="0.45">
      <c r="A76" s="8" t="s">
        <v>211</v>
      </c>
      <c r="C76" s="11">
        <v>0</v>
      </c>
      <c r="E76" s="11">
        <v>0</v>
      </c>
      <c r="G76" s="11">
        <v>0</v>
      </c>
      <c r="I76" s="11">
        <v>0</v>
      </c>
      <c r="K76" s="12">
        <v>0</v>
      </c>
      <c r="M76" s="11">
        <v>4561841200</v>
      </c>
      <c r="O76" s="11">
        <v>0</v>
      </c>
      <c r="Q76" s="11">
        <v>-9339500101</v>
      </c>
      <c r="S76" s="11">
        <v>-4777658901</v>
      </c>
      <c r="U76" s="12">
        <v>-9.3037733718592704E-3</v>
      </c>
    </row>
    <row r="77" spans="1:21" ht="18.75" x14ac:dyDescent="0.45">
      <c r="A77" s="8" t="s">
        <v>213</v>
      </c>
      <c r="C77" s="11">
        <v>0</v>
      </c>
      <c r="E77" s="11">
        <v>0</v>
      </c>
      <c r="G77" s="11">
        <v>0</v>
      </c>
      <c r="I77" s="11">
        <v>0</v>
      </c>
      <c r="K77" s="12">
        <v>0</v>
      </c>
      <c r="M77" s="11">
        <v>7215950050</v>
      </c>
      <c r="O77" s="11">
        <v>0</v>
      </c>
      <c r="Q77" s="11">
        <v>-14856523005</v>
      </c>
      <c r="S77" s="11">
        <v>-7640572955</v>
      </c>
      <c r="U77" s="12">
        <v>-1.4878868642045214E-2</v>
      </c>
    </row>
    <row r="78" spans="1:21" ht="18.75" x14ac:dyDescent="0.45">
      <c r="A78" s="8" t="s">
        <v>250</v>
      </c>
      <c r="C78" s="11">
        <v>0</v>
      </c>
      <c r="E78" s="11">
        <v>0</v>
      </c>
      <c r="G78" s="11">
        <v>0</v>
      </c>
      <c r="I78" s="11">
        <v>0</v>
      </c>
      <c r="K78" s="12">
        <v>0</v>
      </c>
      <c r="M78" s="11">
        <v>0</v>
      </c>
      <c r="O78" s="11">
        <v>0</v>
      </c>
      <c r="Q78" s="11">
        <v>2621151</v>
      </c>
      <c r="S78" s="11">
        <v>2621151</v>
      </c>
      <c r="U78" s="12">
        <v>5.1042980218445485E-6</v>
      </c>
    </row>
    <row r="79" spans="1:21" ht="18.75" x14ac:dyDescent="0.45">
      <c r="A79" s="8" t="s">
        <v>215</v>
      </c>
      <c r="C79" s="11">
        <v>0</v>
      </c>
      <c r="E79" s="11">
        <v>0</v>
      </c>
      <c r="G79" s="11">
        <v>0</v>
      </c>
      <c r="I79" s="11">
        <v>0</v>
      </c>
      <c r="K79" s="12">
        <v>0</v>
      </c>
      <c r="M79" s="11">
        <v>500000000</v>
      </c>
      <c r="O79" s="11">
        <v>0</v>
      </c>
      <c r="Q79" s="11">
        <v>-1007345125</v>
      </c>
      <c r="S79" s="11">
        <v>-507345125</v>
      </c>
      <c r="U79" s="12">
        <v>-9.8797845600271587E-4</v>
      </c>
    </row>
    <row r="80" spans="1:21" ht="18.75" x14ac:dyDescent="0.45">
      <c r="A80" s="8" t="s">
        <v>216</v>
      </c>
      <c r="C80" s="11">
        <v>0</v>
      </c>
      <c r="E80" s="11">
        <v>0</v>
      </c>
      <c r="G80" s="11">
        <v>0</v>
      </c>
      <c r="I80" s="11">
        <v>0</v>
      </c>
      <c r="K80" s="12">
        <v>0</v>
      </c>
      <c r="M80" s="11">
        <v>10285969930</v>
      </c>
      <c r="O80" s="11">
        <v>0</v>
      </c>
      <c r="Q80" s="11">
        <v>-25942253320</v>
      </c>
      <c r="S80" s="11">
        <v>-15656283390</v>
      </c>
      <c r="U80" s="12">
        <v>-3.0488261201668525E-2</v>
      </c>
    </row>
    <row r="81" spans="1:21" ht="18.75" x14ac:dyDescent="0.45">
      <c r="A81" s="8" t="s">
        <v>65</v>
      </c>
      <c r="C81" s="11">
        <v>0</v>
      </c>
      <c r="E81" s="11">
        <v>2725722</v>
      </c>
      <c r="G81" s="11">
        <v>0</v>
      </c>
      <c r="I81" s="11">
        <v>2725722</v>
      </c>
      <c r="K81" s="12">
        <v>-1.2609230769313354E-5</v>
      </c>
      <c r="M81" s="11">
        <v>10001494860</v>
      </c>
      <c r="O81" s="11">
        <v>-6485950112</v>
      </c>
      <c r="Q81" s="11">
        <v>-13823614225</v>
      </c>
      <c r="S81" s="11">
        <v>-10308069477</v>
      </c>
      <c r="U81" s="12">
        <v>-2.0073417609472809E-2</v>
      </c>
    </row>
    <row r="82" spans="1:21" ht="18.75" x14ac:dyDescent="0.45">
      <c r="A82" s="8" t="s">
        <v>66</v>
      </c>
      <c r="C82" s="11">
        <v>0</v>
      </c>
      <c r="E82" s="11">
        <v>-4602358994</v>
      </c>
      <c r="G82" s="11">
        <v>0</v>
      </c>
      <c r="I82" s="11">
        <v>-4602358994</v>
      </c>
      <c r="K82" s="12">
        <v>2.1290581592169289E-2</v>
      </c>
      <c r="M82" s="11">
        <v>528859188</v>
      </c>
      <c r="O82" s="11">
        <v>5985029431</v>
      </c>
      <c r="Q82" s="11">
        <v>57502122</v>
      </c>
      <c r="S82" s="11">
        <v>6571390741</v>
      </c>
      <c r="U82" s="12">
        <v>1.279679681180286E-2</v>
      </c>
    </row>
    <row r="83" spans="1:21" ht="18.75" x14ac:dyDescent="0.45">
      <c r="A83" s="8" t="s">
        <v>67</v>
      </c>
      <c r="C83" s="11">
        <v>0</v>
      </c>
      <c r="E83" s="11">
        <v>-2485429233</v>
      </c>
      <c r="G83" s="11">
        <v>-265674341</v>
      </c>
      <c r="I83" s="11">
        <v>-2751103574</v>
      </c>
      <c r="K83" s="12">
        <v>1.2726646310536709E-2</v>
      </c>
      <c r="M83" s="11">
        <v>0</v>
      </c>
      <c r="O83" s="11">
        <v>-3815643881</v>
      </c>
      <c r="Q83" s="11">
        <v>-265674341</v>
      </c>
      <c r="S83" s="11">
        <v>-4081318222</v>
      </c>
      <c r="U83" s="12">
        <v>-7.9477544510303706E-3</v>
      </c>
    </row>
    <row r="84" spans="1:21" ht="18.75" x14ac:dyDescent="0.45">
      <c r="A84" s="8" t="s">
        <v>68</v>
      </c>
      <c r="C84" s="11">
        <v>0</v>
      </c>
      <c r="E84" s="11">
        <v>-7215830938</v>
      </c>
      <c r="G84" s="11">
        <v>0</v>
      </c>
      <c r="I84" s="11">
        <v>-7215830938</v>
      </c>
      <c r="K84" s="12">
        <v>3.3380541922321073E-2</v>
      </c>
      <c r="M84" s="11">
        <v>10826857756</v>
      </c>
      <c r="O84" s="11">
        <v>11105258571</v>
      </c>
      <c r="Q84" s="11">
        <v>218438414</v>
      </c>
      <c r="S84" s="11">
        <v>22150554741</v>
      </c>
      <c r="U84" s="12">
        <v>4.3134879580476543E-2</v>
      </c>
    </row>
    <row r="85" spans="1:21" ht="18.75" x14ac:dyDescent="0.45">
      <c r="A85" s="8" t="s">
        <v>69</v>
      </c>
      <c r="C85" s="11">
        <v>0</v>
      </c>
      <c r="E85" s="11">
        <v>121703391</v>
      </c>
      <c r="G85" s="11">
        <v>0</v>
      </c>
      <c r="I85" s="11">
        <v>121703391</v>
      </c>
      <c r="K85" s="12">
        <v>-5.6300170836459987E-4</v>
      </c>
      <c r="M85" s="11">
        <v>875213400</v>
      </c>
      <c r="O85" s="11">
        <v>395795071</v>
      </c>
      <c r="Q85" s="11">
        <v>-61872574</v>
      </c>
      <c r="S85" s="11">
        <v>1209135897</v>
      </c>
      <c r="U85" s="12">
        <v>2.3546106146491879E-3</v>
      </c>
    </row>
    <row r="86" spans="1:21" ht="18.75" x14ac:dyDescent="0.45">
      <c r="A86" s="8" t="s">
        <v>70</v>
      </c>
      <c r="C86" s="11">
        <v>0</v>
      </c>
      <c r="E86" s="11">
        <v>1117363583</v>
      </c>
      <c r="G86" s="11">
        <v>-434933800</v>
      </c>
      <c r="I86" s="11">
        <v>682429783</v>
      </c>
      <c r="K86" s="12">
        <v>-3.1569303904431323E-3</v>
      </c>
      <c r="M86" s="11">
        <v>4309749270</v>
      </c>
      <c r="O86" s="11">
        <v>-8492928843</v>
      </c>
      <c r="Q86" s="11">
        <v>-434933800</v>
      </c>
      <c r="S86" s="11">
        <v>-4618113373</v>
      </c>
      <c r="U86" s="12">
        <v>-8.993082410917095E-3</v>
      </c>
    </row>
    <row r="87" spans="1:21" ht="18.75" x14ac:dyDescent="0.45">
      <c r="A87" s="8" t="s">
        <v>251</v>
      </c>
      <c r="C87" s="11">
        <v>0</v>
      </c>
      <c r="E87" s="11">
        <v>0</v>
      </c>
      <c r="G87" s="11">
        <v>0</v>
      </c>
      <c r="I87" s="11">
        <v>0</v>
      </c>
      <c r="K87" s="12">
        <v>0</v>
      </c>
      <c r="M87" s="11">
        <v>0</v>
      </c>
      <c r="O87" s="11">
        <v>0</v>
      </c>
      <c r="Q87" s="11">
        <v>-1710670216</v>
      </c>
      <c r="S87" s="11">
        <v>-1710670216</v>
      </c>
      <c r="U87" s="12">
        <v>-3.3312733984258006E-3</v>
      </c>
    </row>
    <row r="88" spans="1:21" ht="18.75" x14ac:dyDescent="0.45">
      <c r="A88" s="8" t="s">
        <v>71</v>
      </c>
      <c r="C88" s="11">
        <v>0</v>
      </c>
      <c r="E88" s="11">
        <v>-432411750</v>
      </c>
      <c r="G88" s="11">
        <v>0</v>
      </c>
      <c r="I88" s="11">
        <v>-432411750</v>
      </c>
      <c r="K88" s="12">
        <v>2.0003432276338652E-3</v>
      </c>
      <c r="M88" s="11">
        <v>0</v>
      </c>
      <c r="O88" s="11">
        <v>81058050</v>
      </c>
      <c r="Q88" s="11">
        <v>1434415750</v>
      </c>
      <c r="S88" s="11">
        <v>1515473800</v>
      </c>
      <c r="U88" s="12">
        <v>2.9511576858781657E-3</v>
      </c>
    </row>
    <row r="89" spans="1:21" ht="18.75" x14ac:dyDescent="0.45">
      <c r="A89" s="8" t="s">
        <v>72</v>
      </c>
      <c r="C89" s="11">
        <v>0</v>
      </c>
      <c r="E89" s="11">
        <v>-17823316500</v>
      </c>
      <c r="G89" s="11">
        <v>0</v>
      </c>
      <c r="I89" s="11">
        <v>-17823316500</v>
      </c>
      <c r="K89" s="12">
        <v>8.2450928899942988E-2</v>
      </c>
      <c r="M89" s="11">
        <v>21199709760</v>
      </c>
      <c r="O89" s="11">
        <v>41890060120</v>
      </c>
      <c r="Q89" s="11">
        <v>26875517925</v>
      </c>
      <c r="S89" s="11">
        <v>89965287805</v>
      </c>
      <c r="U89" s="12">
        <v>0.17519389023285456</v>
      </c>
    </row>
    <row r="90" spans="1:21" ht="18.75" x14ac:dyDescent="0.45">
      <c r="A90" s="8" t="s">
        <v>73</v>
      </c>
      <c r="C90" s="11">
        <v>0</v>
      </c>
      <c r="E90" s="11">
        <v>-3950101227</v>
      </c>
      <c r="G90" s="11">
        <v>0</v>
      </c>
      <c r="I90" s="11">
        <v>-3950101227</v>
      </c>
      <c r="K90" s="12">
        <v>1.8273227399342572E-2</v>
      </c>
      <c r="M90" s="11">
        <v>3630960900</v>
      </c>
      <c r="O90" s="11">
        <v>-2244909015</v>
      </c>
      <c r="Q90" s="11">
        <v>-166206837</v>
      </c>
      <c r="S90" s="11">
        <v>1219845048</v>
      </c>
      <c r="U90" s="12">
        <v>2.3754650783046334E-3</v>
      </c>
    </row>
    <row r="91" spans="1:21" ht="18.75" x14ac:dyDescent="0.45">
      <c r="A91" s="8" t="s">
        <v>74</v>
      </c>
      <c r="C91" s="11">
        <v>0</v>
      </c>
      <c r="E91" s="11">
        <v>-1757847970</v>
      </c>
      <c r="G91" s="11">
        <v>0</v>
      </c>
      <c r="I91" s="11">
        <v>-1757847970</v>
      </c>
      <c r="K91" s="12">
        <v>8.1318310198541955E-3</v>
      </c>
      <c r="M91" s="11">
        <v>981513694</v>
      </c>
      <c r="O91" s="11">
        <v>1655485884</v>
      </c>
      <c r="Q91" s="11">
        <v>-40223715</v>
      </c>
      <c r="S91" s="11">
        <v>2596775863</v>
      </c>
      <c r="U91" s="12">
        <v>5.0568311023228224E-3</v>
      </c>
    </row>
    <row r="92" spans="1:21" ht="18.75" x14ac:dyDescent="0.45">
      <c r="A92" s="8" t="s">
        <v>252</v>
      </c>
      <c r="C92" s="11">
        <v>0</v>
      </c>
      <c r="E92" s="11">
        <v>0</v>
      </c>
      <c r="G92" s="11">
        <v>0</v>
      </c>
      <c r="I92" s="11">
        <v>0</v>
      </c>
      <c r="K92" s="12">
        <v>0</v>
      </c>
      <c r="M92" s="11">
        <v>0</v>
      </c>
      <c r="O92" s="11">
        <v>0</v>
      </c>
      <c r="Q92" s="11">
        <v>-218391344</v>
      </c>
      <c r="S92" s="11">
        <v>-218391344</v>
      </c>
      <c r="U92" s="12">
        <v>-4.2528435224341223E-4</v>
      </c>
    </row>
    <row r="93" spans="1:21" ht="18.75" x14ac:dyDescent="0.45">
      <c r="A93" s="8" t="s">
        <v>75</v>
      </c>
      <c r="C93" s="11">
        <v>5666467000</v>
      </c>
      <c r="E93" s="11">
        <v>-4487512122</v>
      </c>
      <c r="G93" s="11">
        <v>0</v>
      </c>
      <c r="I93" s="11">
        <v>1178954878</v>
      </c>
      <c r="K93" s="12">
        <v>-5.4538629116651187E-3</v>
      </c>
      <c r="M93" s="11">
        <v>5666467000</v>
      </c>
      <c r="O93" s="11">
        <v>11340044209</v>
      </c>
      <c r="Q93" s="11">
        <v>0</v>
      </c>
      <c r="S93" s="11">
        <v>17006511209</v>
      </c>
      <c r="U93" s="12">
        <v>3.3117627150277044E-2</v>
      </c>
    </row>
    <row r="94" spans="1:21" ht="18.75" x14ac:dyDescent="0.45">
      <c r="A94" s="8" t="s">
        <v>76</v>
      </c>
      <c r="C94" s="11">
        <v>0</v>
      </c>
      <c r="E94" s="11">
        <v>-4087633104</v>
      </c>
      <c r="G94" s="11">
        <v>0</v>
      </c>
      <c r="I94" s="11">
        <v>-4087633104</v>
      </c>
      <c r="K94" s="12">
        <v>1.890945192085644E-2</v>
      </c>
      <c r="M94" s="11">
        <v>3406923000</v>
      </c>
      <c r="O94" s="11">
        <v>11199175671</v>
      </c>
      <c r="Q94" s="11">
        <v>0</v>
      </c>
      <c r="S94" s="11">
        <v>14606098671</v>
      </c>
      <c r="U94" s="12">
        <v>2.8443184140574725E-2</v>
      </c>
    </row>
    <row r="95" spans="1:21" ht="18.75" x14ac:dyDescent="0.45">
      <c r="A95" s="8" t="s">
        <v>77</v>
      </c>
      <c r="C95" s="11">
        <v>0</v>
      </c>
      <c r="E95" s="11">
        <v>-720519139</v>
      </c>
      <c r="G95" s="11">
        <v>0</v>
      </c>
      <c r="I95" s="11">
        <v>-720519139</v>
      </c>
      <c r="K95" s="12">
        <v>3.3331323214025369E-3</v>
      </c>
      <c r="M95" s="11">
        <v>3679110568</v>
      </c>
      <c r="O95" s="11">
        <v>-218400838</v>
      </c>
      <c r="Q95" s="11">
        <v>0</v>
      </c>
      <c r="S95" s="11">
        <v>3460709730</v>
      </c>
      <c r="U95" s="12">
        <v>6.7392125936343158E-3</v>
      </c>
    </row>
    <row r="96" spans="1:21" ht="18.75" x14ac:dyDescent="0.45">
      <c r="A96" s="8" t="s">
        <v>225</v>
      </c>
      <c r="C96" s="11">
        <v>0</v>
      </c>
      <c r="E96" s="11">
        <v>0</v>
      </c>
      <c r="G96" s="11">
        <v>0</v>
      </c>
      <c r="I96" s="11">
        <v>0</v>
      </c>
      <c r="K96" s="12">
        <v>0</v>
      </c>
      <c r="M96" s="11">
        <v>3029688000</v>
      </c>
      <c r="O96" s="11">
        <v>0</v>
      </c>
      <c r="Q96" s="11">
        <v>-2264786002</v>
      </c>
      <c r="S96" s="11">
        <v>764901998</v>
      </c>
      <c r="U96" s="12">
        <v>1.4895317954960788E-3</v>
      </c>
    </row>
    <row r="97" spans="1:21" ht="37.5" x14ac:dyDescent="0.45">
      <c r="A97" s="8" t="s">
        <v>78</v>
      </c>
      <c r="C97" s="11">
        <v>0</v>
      </c>
      <c r="E97" s="11">
        <v>-988085700</v>
      </c>
      <c r="G97" s="11">
        <v>0</v>
      </c>
      <c r="I97" s="11">
        <v>-988085700</v>
      </c>
      <c r="K97" s="12">
        <v>4.5708992373978434E-3</v>
      </c>
      <c r="M97" s="11">
        <v>0</v>
      </c>
      <c r="O97" s="11">
        <v>438353370</v>
      </c>
      <c r="Q97" s="11">
        <v>2781635360</v>
      </c>
      <c r="S97" s="11">
        <v>3219988730</v>
      </c>
      <c r="U97" s="12">
        <v>6.2704445889995419E-3</v>
      </c>
    </row>
    <row r="98" spans="1:21" ht="18.75" x14ac:dyDescent="0.45">
      <c r="A98" s="8" t="s">
        <v>253</v>
      </c>
      <c r="C98" s="11">
        <v>0</v>
      </c>
      <c r="E98" s="11">
        <v>0</v>
      </c>
      <c r="G98" s="11">
        <v>0</v>
      </c>
      <c r="I98" s="11">
        <v>0</v>
      </c>
      <c r="K98" s="12">
        <v>0</v>
      </c>
      <c r="M98" s="11">
        <v>0</v>
      </c>
      <c r="O98" s="11">
        <v>0</v>
      </c>
      <c r="Q98" s="11">
        <v>438966730</v>
      </c>
      <c r="S98" s="11">
        <v>438966730</v>
      </c>
      <c r="U98" s="12">
        <v>8.5482179836055602E-4</v>
      </c>
    </row>
    <row r="99" spans="1:21" ht="18.75" x14ac:dyDescent="0.45">
      <c r="A99" s="8" t="s">
        <v>79</v>
      </c>
      <c r="C99" s="11">
        <v>0</v>
      </c>
      <c r="E99" s="11">
        <v>-6276431700</v>
      </c>
      <c r="G99" s="11">
        <v>0</v>
      </c>
      <c r="I99" s="11">
        <v>-6276431700</v>
      </c>
      <c r="K99" s="12">
        <v>2.903486698685109E-2</v>
      </c>
      <c r="M99" s="11">
        <v>2898000000</v>
      </c>
      <c r="O99" s="11">
        <v>-14198440927</v>
      </c>
      <c r="Q99" s="11">
        <v>-1722026580</v>
      </c>
      <c r="S99" s="11">
        <v>-13022467507</v>
      </c>
      <c r="U99" s="12">
        <v>-2.5359300221740374E-2</v>
      </c>
    </row>
    <row r="100" spans="1:21" ht="18.75" x14ac:dyDescent="0.45">
      <c r="A100" s="8" t="s">
        <v>80</v>
      </c>
      <c r="C100" s="11">
        <v>0</v>
      </c>
      <c r="E100" s="11">
        <v>3262771464</v>
      </c>
      <c r="G100" s="11">
        <v>3010828830</v>
      </c>
      <c r="I100" s="11">
        <v>6273600294</v>
      </c>
      <c r="K100" s="12">
        <v>-2.9021768860315947E-2</v>
      </c>
      <c r="M100" s="11">
        <v>9667551000</v>
      </c>
      <c r="O100" s="11">
        <v>25628804529</v>
      </c>
      <c r="Q100" s="11">
        <v>3501989712</v>
      </c>
      <c r="S100" s="11">
        <v>38798345241</v>
      </c>
      <c r="U100" s="12">
        <v>7.5553952009814823E-2</v>
      </c>
    </row>
    <row r="101" spans="1:21" ht="18.75" x14ac:dyDescent="0.45">
      <c r="A101" s="8" t="s">
        <v>81</v>
      </c>
      <c r="C101" s="11">
        <v>0</v>
      </c>
      <c r="E101" s="11">
        <v>973207606</v>
      </c>
      <c r="G101" s="11">
        <v>0</v>
      </c>
      <c r="I101" s="11">
        <v>973207606</v>
      </c>
      <c r="K101" s="12">
        <v>-4.5020729518655926E-3</v>
      </c>
      <c r="M101" s="11">
        <v>0</v>
      </c>
      <c r="O101" s="11">
        <v>973207606</v>
      </c>
      <c r="Q101" s="11">
        <v>0</v>
      </c>
      <c r="S101" s="11">
        <v>973207606</v>
      </c>
      <c r="U101" s="12">
        <v>1.8951756911943906E-3</v>
      </c>
    </row>
    <row r="102" spans="1:21" ht="18.75" x14ac:dyDescent="0.45">
      <c r="A102" s="8" t="s">
        <v>82</v>
      </c>
      <c r="C102" s="11">
        <v>0</v>
      </c>
      <c r="E102" s="11">
        <v>-8982175332</v>
      </c>
      <c r="G102" s="11">
        <v>0</v>
      </c>
      <c r="I102" s="11">
        <v>-8982175332</v>
      </c>
      <c r="K102" s="12">
        <v>4.1551677526769713E-2</v>
      </c>
      <c r="M102" s="11">
        <v>1174095040</v>
      </c>
      <c r="O102" s="11">
        <v>14633533823</v>
      </c>
      <c r="Q102" s="11">
        <v>16948667883</v>
      </c>
      <c r="S102" s="11">
        <v>32756296746</v>
      </c>
      <c r="U102" s="12">
        <v>6.3787969744421746E-2</v>
      </c>
    </row>
    <row r="103" spans="1:21" ht="18.75" x14ac:dyDescent="0.45">
      <c r="A103" s="8" t="s">
        <v>83</v>
      </c>
      <c r="C103" s="11">
        <v>0</v>
      </c>
      <c r="E103" s="11">
        <v>-4854521824</v>
      </c>
      <c r="G103" s="11">
        <v>0</v>
      </c>
      <c r="I103" s="11">
        <v>-4854521824</v>
      </c>
      <c r="K103" s="12">
        <v>2.245709061800286E-2</v>
      </c>
      <c r="M103" s="11">
        <v>8362400878</v>
      </c>
      <c r="O103" s="11">
        <v>-10575516693</v>
      </c>
      <c r="Q103" s="11">
        <v>-4667941640</v>
      </c>
      <c r="S103" s="11">
        <v>-6881057455</v>
      </c>
      <c r="U103" s="12">
        <v>-1.3399826242652629E-2</v>
      </c>
    </row>
    <row r="104" spans="1:21" ht="18.75" x14ac:dyDescent="0.45">
      <c r="A104" s="8" t="s">
        <v>84</v>
      </c>
      <c r="C104" s="11">
        <v>0</v>
      </c>
      <c r="E104" s="11">
        <v>-729443970</v>
      </c>
      <c r="G104" s="11">
        <v>0</v>
      </c>
      <c r="I104" s="11">
        <v>-729443970</v>
      </c>
      <c r="K104" s="12">
        <v>3.374418723191172E-3</v>
      </c>
      <c r="M104" s="11">
        <v>1665233700</v>
      </c>
      <c r="O104" s="11">
        <v>-611108024</v>
      </c>
      <c r="Q104" s="11">
        <v>-297312197</v>
      </c>
      <c r="S104" s="11">
        <v>756813479</v>
      </c>
      <c r="U104" s="12">
        <v>1.4737806191879028E-3</v>
      </c>
    </row>
    <row r="105" spans="1:21" ht="18.75" x14ac:dyDescent="0.45">
      <c r="A105" s="8" t="s">
        <v>85</v>
      </c>
      <c r="C105" s="11">
        <v>0</v>
      </c>
      <c r="E105" s="11">
        <v>-2918849175</v>
      </c>
      <c r="G105" s="11">
        <v>3210344100</v>
      </c>
      <c r="I105" s="11">
        <v>291494925</v>
      </c>
      <c r="K105" s="12">
        <v>-1.3484598860077032E-3</v>
      </c>
      <c r="M105" s="11">
        <v>0</v>
      </c>
      <c r="O105" s="11">
        <v>0</v>
      </c>
      <c r="Q105" s="11">
        <v>3210344100</v>
      </c>
      <c r="S105" s="11">
        <v>3210344100</v>
      </c>
      <c r="U105" s="12">
        <v>6.2516631201599282E-3</v>
      </c>
    </row>
    <row r="106" spans="1:21" ht="18.75" x14ac:dyDescent="0.45">
      <c r="A106" s="8" t="s">
        <v>86</v>
      </c>
      <c r="C106" s="11">
        <v>0</v>
      </c>
      <c r="E106" s="11">
        <v>569770</v>
      </c>
      <c r="G106" s="11">
        <v>0</v>
      </c>
      <c r="I106" s="11">
        <v>569770</v>
      </c>
      <c r="K106" s="12">
        <v>-2.635764548046965E-6</v>
      </c>
      <c r="M106" s="11">
        <v>0</v>
      </c>
      <c r="O106" s="11">
        <v>1087650</v>
      </c>
      <c r="Q106" s="11">
        <v>0</v>
      </c>
      <c r="S106" s="11">
        <v>1087650</v>
      </c>
      <c r="U106" s="12">
        <v>2.1180350706461483E-6</v>
      </c>
    </row>
    <row r="107" spans="1:21" ht="18.75" x14ac:dyDescent="0.45">
      <c r="A107" s="8" t="s">
        <v>228</v>
      </c>
      <c r="C107" s="11">
        <v>0</v>
      </c>
      <c r="E107" s="11">
        <v>0</v>
      </c>
      <c r="G107" s="11">
        <v>0</v>
      </c>
      <c r="I107" s="11">
        <v>0</v>
      </c>
      <c r="K107" s="12">
        <v>0</v>
      </c>
      <c r="M107" s="11">
        <v>1345052250</v>
      </c>
      <c r="O107" s="11">
        <v>0</v>
      </c>
      <c r="Q107" s="11">
        <v>-3111120113</v>
      </c>
      <c r="S107" s="11">
        <v>-1766067863</v>
      </c>
      <c r="U107" s="12">
        <v>-3.4391519983221603E-3</v>
      </c>
    </row>
    <row r="108" spans="1:21" ht="18.75" x14ac:dyDescent="0.45">
      <c r="A108" s="8" t="s">
        <v>87</v>
      </c>
      <c r="C108" s="11">
        <v>0</v>
      </c>
      <c r="E108" s="11">
        <v>120896361</v>
      </c>
      <c r="G108" s="11">
        <v>0</v>
      </c>
      <c r="I108" s="11">
        <v>120896361</v>
      </c>
      <c r="K108" s="12">
        <v>-5.5926837550535785E-4</v>
      </c>
      <c r="M108" s="11">
        <v>0</v>
      </c>
      <c r="O108" s="11">
        <v>-801734815</v>
      </c>
      <c r="Q108" s="11">
        <v>283538138</v>
      </c>
      <c r="S108" s="11">
        <v>-518196677</v>
      </c>
      <c r="U108" s="12">
        <v>-1.0091102242249753E-3</v>
      </c>
    </row>
    <row r="109" spans="1:21" ht="18.75" x14ac:dyDescent="0.45">
      <c r="A109" s="8" t="s">
        <v>88</v>
      </c>
      <c r="C109" s="11">
        <v>0</v>
      </c>
      <c r="E109" s="11">
        <v>-1613106400</v>
      </c>
      <c r="G109" s="11">
        <v>-101794863</v>
      </c>
      <c r="I109" s="11">
        <v>-1714901263</v>
      </c>
      <c r="K109" s="12">
        <v>7.9331589104662658E-3</v>
      </c>
      <c r="M109" s="11">
        <v>0</v>
      </c>
      <c r="O109" s="11">
        <v>-2657610717</v>
      </c>
      <c r="Q109" s="11">
        <v>-101794863</v>
      </c>
      <c r="S109" s="11">
        <v>-2759405580</v>
      </c>
      <c r="U109" s="12">
        <v>-5.3735280582693666E-3</v>
      </c>
    </row>
    <row r="110" spans="1:21" ht="18.75" x14ac:dyDescent="0.45">
      <c r="A110" s="8" t="s">
        <v>89</v>
      </c>
      <c r="C110" s="11">
        <v>0</v>
      </c>
      <c r="E110" s="11">
        <v>-9264366515</v>
      </c>
      <c r="G110" s="11">
        <v>0</v>
      </c>
      <c r="I110" s="11">
        <v>-9264366515</v>
      </c>
      <c r="K110" s="12">
        <v>4.2857098163031418E-2</v>
      </c>
      <c r="M110" s="11">
        <v>10223412400</v>
      </c>
      <c r="O110" s="11">
        <v>-25775118718</v>
      </c>
      <c r="Q110" s="11">
        <v>-8073856800</v>
      </c>
      <c r="S110" s="11">
        <v>-23625563118</v>
      </c>
      <c r="U110" s="12">
        <v>-4.600723693071132E-2</v>
      </c>
    </row>
    <row r="111" spans="1:21" ht="18.75" x14ac:dyDescent="0.45">
      <c r="A111" s="8" t="s">
        <v>90</v>
      </c>
      <c r="C111" s="11">
        <v>0</v>
      </c>
      <c r="E111" s="11">
        <v>-40159620</v>
      </c>
      <c r="G111" s="11">
        <v>0</v>
      </c>
      <c r="I111" s="11">
        <v>-40159620</v>
      </c>
      <c r="K111" s="12">
        <v>1.8577900321013367E-4</v>
      </c>
      <c r="M111" s="11">
        <v>0</v>
      </c>
      <c r="O111" s="11">
        <v>-203431294</v>
      </c>
      <c r="Q111" s="11">
        <v>0</v>
      </c>
      <c r="S111" s="11">
        <v>-203431294</v>
      </c>
      <c r="U111" s="12">
        <v>-3.9615190103335391E-4</v>
      </c>
    </row>
    <row r="112" spans="1:21" ht="18.75" x14ac:dyDescent="0.45">
      <c r="A112" s="8" t="s">
        <v>91</v>
      </c>
      <c r="C112" s="11">
        <v>0</v>
      </c>
      <c r="E112" s="11">
        <v>1486125474</v>
      </c>
      <c r="G112" s="11">
        <v>-1503193677</v>
      </c>
      <c r="I112" s="11">
        <v>-17068203</v>
      </c>
      <c r="K112" s="12">
        <v>7.8957762546762479E-5</v>
      </c>
      <c r="M112" s="11">
        <v>3061282080</v>
      </c>
      <c r="O112" s="11">
        <v>0</v>
      </c>
      <c r="Q112" s="11">
        <v>-10902816113</v>
      </c>
      <c r="S112" s="11">
        <v>-7841534033</v>
      </c>
      <c r="U112" s="12">
        <v>-1.5270210168307206E-2</v>
      </c>
    </row>
    <row r="113" spans="1:21" ht="18.75" x14ac:dyDescent="0.45">
      <c r="A113" s="8" t="s">
        <v>92</v>
      </c>
      <c r="C113" s="11">
        <v>3588719200</v>
      </c>
      <c r="E113" s="11">
        <v>-5756432018</v>
      </c>
      <c r="G113" s="11">
        <v>0</v>
      </c>
      <c r="I113" s="11">
        <v>-2167712818</v>
      </c>
      <c r="K113" s="12">
        <v>1.0027871941364732E-2</v>
      </c>
      <c r="M113" s="11">
        <v>3588719200</v>
      </c>
      <c r="O113" s="11">
        <v>-1374246799</v>
      </c>
      <c r="Q113" s="11">
        <v>-1125294420</v>
      </c>
      <c r="S113" s="11">
        <v>1089177981</v>
      </c>
      <c r="U113" s="12">
        <v>2.1210105842261432E-3</v>
      </c>
    </row>
    <row r="114" spans="1:21" ht="18.75" x14ac:dyDescent="0.45">
      <c r="A114" s="8" t="s">
        <v>270</v>
      </c>
      <c r="C114" s="11">
        <v>0</v>
      </c>
      <c r="E114" s="11">
        <v>-6279122345</v>
      </c>
      <c r="G114" s="11">
        <v>0</v>
      </c>
      <c r="I114" s="11">
        <v>-6279122345</v>
      </c>
      <c r="K114" s="12">
        <v>2.9047313950893387E-2</v>
      </c>
      <c r="M114" s="11">
        <v>10880392370</v>
      </c>
      <c r="O114" s="11">
        <v>7567993129</v>
      </c>
      <c r="Q114" s="11">
        <v>2204834682</v>
      </c>
      <c r="S114" s="11">
        <v>20653220181</v>
      </c>
      <c r="U114" s="12">
        <v>4.0219045340996455E-2</v>
      </c>
    </row>
    <row r="115" spans="1:21" ht="18.75" x14ac:dyDescent="0.45">
      <c r="A115" s="8" t="s">
        <v>271</v>
      </c>
      <c r="C115" s="11">
        <v>0</v>
      </c>
      <c r="E115" s="11">
        <v>453783825</v>
      </c>
      <c r="G115" s="11">
        <v>0</v>
      </c>
      <c r="I115" s="11">
        <v>453783825</v>
      </c>
      <c r="K115" s="12">
        <v>-2.0992107664709412E-3</v>
      </c>
      <c r="M115" s="11">
        <v>0</v>
      </c>
      <c r="O115" s="11">
        <v>1625450432</v>
      </c>
      <c r="Q115" s="11">
        <v>0</v>
      </c>
      <c r="S115" s="11">
        <v>1625450432</v>
      </c>
      <c r="U115" s="12">
        <v>3.1653206643432472E-3</v>
      </c>
    </row>
    <row r="116" spans="1:21" ht="18.75" x14ac:dyDescent="0.45">
      <c r="A116" s="8" t="s">
        <v>95</v>
      </c>
      <c r="C116" s="11">
        <v>0</v>
      </c>
      <c r="E116" s="11">
        <v>-13543415723</v>
      </c>
      <c r="G116" s="11">
        <v>539006634</v>
      </c>
      <c r="I116" s="11">
        <v>-13004409089</v>
      </c>
      <c r="K116" s="12">
        <v>6.0158591089537763E-2</v>
      </c>
      <c r="M116" s="11">
        <v>15484422500</v>
      </c>
      <c r="O116" s="11">
        <v>4630763328</v>
      </c>
      <c r="Q116" s="11">
        <v>30835377433</v>
      </c>
      <c r="S116" s="11">
        <v>50950563261</v>
      </c>
      <c r="U116" s="12">
        <v>9.9218572018547502E-2</v>
      </c>
    </row>
    <row r="117" spans="1:21" ht="18.75" x14ac:dyDescent="0.45">
      <c r="A117" s="8" t="s">
        <v>96</v>
      </c>
      <c r="C117" s="11">
        <v>0</v>
      </c>
      <c r="E117" s="11">
        <v>1002002400</v>
      </c>
      <c r="G117" s="11">
        <v>0</v>
      </c>
      <c r="I117" s="11">
        <v>1002002400</v>
      </c>
      <c r="K117" s="12">
        <v>-4.6352780998964041E-3</v>
      </c>
      <c r="M117" s="11">
        <v>18000000</v>
      </c>
      <c r="O117" s="11">
        <v>6271908773</v>
      </c>
      <c r="Q117" s="11">
        <v>0</v>
      </c>
      <c r="S117" s="11">
        <v>6289908773</v>
      </c>
      <c r="U117" s="12">
        <v>1.224865294201157E-2</v>
      </c>
    </row>
    <row r="118" spans="1:21" ht="18.75" x14ac:dyDescent="0.45">
      <c r="A118" s="8" t="s">
        <v>254</v>
      </c>
      <c r="C118" s="11">
        <v>0</v>
      </c>
      <c r="E118" s="11">
        <v>0</v>
      </c>
      <c r="G118" s="11">
        <v>0</v>
      </c>
      <c r="I118" s="11">
        <v>0</v>
      </c>
      <c r="K118" s="12">
        <v>0</v>
      </c>
      <c r="M118" s="11">
        <v>0</v>
      </c>
      <c r="O118" s="11">
        <v>0</v>
      </c>
      <c r="Q118" s="11">
        <v>-408581103</v>
      </c>
      <c r="S118" s="11">
        <v>-408581103</v>
      </c>
      <c r="U118" s="12">
        <v>-7.956503520041247E-4</v>
      </c>
    </row>
    <row r="119" spans="1:21" ht="18.75" x14ac:dyDescent="0.45">
      <c r="A119" s="8" t="s">
        <v>255</v>
      </c>
      <c r="C119" s="11">
        <v>0</v>
      </c>
      <c r="E119" s="11">
        <v>0</v>
      </c>
      <c r="G119" s="11">
        <v>0</v>
      </c>
      <c r="I119" s="11">
        <v>0</v>
      </c>
      <c r="K119" s="12">
        <v>0</v>
      </c>
      <c r="M119" s="11">
        <v>0</v>
      </c>
      <c r="O119" s="11">
        <v>0</v>
      </c>
      <c r="Q119" s="11">
        <v>30997911074</v>
      </c>
      <c r="S119" s="11">
        <v>30997911074</v>
      </c>
      <c r="U119" s="12">
        <v>6.0363777659635562E-2</v>
      </c>
    </row>
    <row r="120" spans="1:21" ht="18.75" x14ac:dyDescent="0.45">
      <c r="A120" s="8" t="s">
        <v>97</v>
      </c>
      <c r="C120" s="11">
        <v>0</v>
      </c>
      <c r="E120" s="11">
        <v>-339567480</v>
      </c>
      <c r="G120" s="11">
        <v>0</v>
      </c>
      <c r="I120" s="11">
        <v>-339567480</v>
      </c>
      <c r="K120" s="12">
        <v>1.5708442449648926E-3</v>
      </c>
      <c r="M120" s="11">
        <v>0</v>
      </c>
      <c r="O120" s="11">
        <v>-992416865</v>
      </c>
      <c r="Q120" s="11">
        <v>0</v>
      </c>
      <c r="S120" s="11">
        <v>-992416865</v>
      </c>
      <c r="U120" s="12">
        <v>-1.9325828389378055E-3</v>
      </c>
    </row>
    <row r="121" spans="1:21" ht="37.5" x14ac:dyDescent="0.45">
      <c r="A121" s="8" t="s">
        <v>98</v>
      </c>
      <c r="C121" s="11">
        <v>5616000000</v>
      </c>
      <c r="E121" s="11">
        <v>-8051805000</v>
      </c>
      <c r="G121" s="11">
        <v>0</v>
      </c>
      <c r="I121" s="11">
        <v>-2435805000</v>
      </c>
      <c r="K121" s="12">
        <v>1.1268070387973284E-2</v>
      </c>
      <c r="M121" s="11">
        <v>5616000000</v>
      </c>
      <c r="O121" s="11">
        <v>769253907</v>
      </c>
      <c r="Q121" s="11">
        <v>-6772481868</v>
      </c>
      <c r="S121" s="11">
        <v>-387227961</v>
      </c>
      <c r="U121" s="12">
        <v>-7.5406831400983679E-4</v>
      </c>
    </row>
    <row r="122" spans="1:21" ht="18.75" x14ac:dyDescent="0.45">
      <c r="A122" s="8" t="s">
        <v>256</v>
      </c>
      <c r="C122" s="11">
        <v>0</v>
      </c>
      <c r="E122" s="11">
        <v>0</v>
      </c>
      <c r="G122" s="11">
        <v>0</v>
      </c>
      <c r="I122" s="11">
        <v>0</v>
      </c>
      <c r="K122" s="12">
        <v>0</v>
      </c>
      <c r="M122" s="11">
        <v>0</v>
      </c>
      <c r="O122" s="11">
        <v>0</v>
      </c>
      <c r="Q122" s="11">
        <v>-10014921547</v>
      </c>
      <c r="S122" s="11">
        <v>-10014921547</v>
      </c>
      <c r="U122" s="12">
        <v>-1.9502556030263209E-2</v>
      </c>
    </row>
    <row r="123" spans="1:21" ht="18.75" x14ac:dyDescent="0.45">
      <c r="A123" s="13" t="s">
        <v>99</v>
      </c>
      <c r="C123" s="13">
        <f>SUM(C9:$C$122)</f>
        <v>18936950000</v>
      </c>
      <c r="E123" s="13">
        <f>SUM(E9:$E$122)</f>
        <v>-251473552355</v>
      </c>
      <c r="G123" s="13">
        <f>SUM(G9:$G$122)</f>
        <v>15301962337</v>
      </c>
      <c r="I123" s="13">
        <f>SUM(I9:$I$122)</f>
        <v>-217234640018</v>
      </c>
      <c r="K123" s="14">
        <f>SUM(K9:$K$122)</f>
        <v>1.0049306961882671</v>
      </c>
      <c r="M123" s="13">
        <f>SUM(M9:$M$122)</f>
        <v>311916253043</v>
      </c>
      <c r="O123" s="13">
        <f>SUM(O9:$O$122)</f>
        <v>137106691037</v>
      </c>
      <c r="Q123" s="13">
        <f>SUM(Q9:$Q$122)</f>
        <v>60023269372</v>
      </c>
      <c r="S123" s="13">
        <f>SUM(S9:$S$122)</f>
        <v>509046213452</v>
      </c>
      <c r="U123" s="14">
        <f>SUM(U9:$U$122)</f>
        <v>0.99129107035439745</v>
      </c>
    </row>
    <row r="124" spans="1:21" ht="18.75" x14ac:dyDescent="0.45">
      <c r="C124" s="15"/>
      <c r="E124" s="15"/>
      <c r="G124" s="15"/>
      <c r="I124" s="15"/>
      <c r="K124" s="15"/>
      <c r="M124" s="15"/>
      <c r="O124" s="15"/>
      <c r="Q124" s="15"/>
      <c r="S124" s="15"/>
      <c r="U124" s="15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5" fitToHeight="0" orientation="landscape" r:id="rId1"/>
  <rowBreaks count="4" manualBreakCount="4">
    <brk id="29" max="16383" man="1"/>
    <brk id="56" max="20" man="1"/>
    <brk id="84" max="20" man="1"/>
    <brk id="10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1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7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7" style="4" customWidth="1"/>
    <col min="10" max="10" width="1.42578125" style="4" customWidth="1"/>
    <col min="11" max="11" width="17" style="4" customWidth="1"/>
    <col min="12" max="12" width="1.42578125" style="4" customWidth="1"/>
    <col min="13" max="13" width="17" style="4" customWidth="1"/>
    <col min="14" max="14" width="1.42578125" style="4" customWidth="1"/>
    <col min="15" max="15" width="17" style="4" customWidth="1"/>
    <col min="16" max="16" width="1.42578125" style="4" customWidth="1"/>
    <col min="17" max="17" width="17" style="4" customWidth="1"/>
    <col min="18" max="16384" width="9.140625" style="4"/>
  </cols>
  <sheetData>
    <row r="1" spans="1:17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20.100000000000001" customHeight="1" x14ac:dyDescent="0.45">
      <c r="A2" s="34" t="s">
        <v>143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5" spans="1:17" ht="21" x14ac:dyDescent="0.45">
      <c r="A5" s="35" t="s">
        <v>272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7" spans="1:17" ht="21" x14ac:dyDescent="0.45">
      <c r="C7" s="28" t="s">
        <v>155</v>
      </c>
      <c r="D7" s="29"/>
      <c r="E7" s="29"/>
      <c r="F7" s="29"/>
      <c r="G7" s="29"/>
      <c r="H7" s="29"/>
      <c r="I7" s="29"/>
      <c r="J7" s="29"/>
      <c r="K7" s="29"/>
      <c r="M7" s="28" t="s">
        <v>7</v>
      </c>
      <c r="N7" s="29"/>
      <c r="O7" s="29"/>
      <c r="P7" s="29"/>
      <c r="Q7" s="29"/>
    </row>
    <row r="8" spans="1:17" ht="21" x14ac:dyDescent="0.45">
      <c r="C8" s="16" t="s">
        <v>273</v>
      </c>
      <c r="E8" s="16" t="s">
        <v>262</v>
      </c>
      <c r="G8" s="16" t="s">
        <v>263</v>
      </c>
      <c r="I8" s="16" t="s">
        <v>99</v>
      </c>
      <c r="K8" s="16" t="s">
        <v>273</v>
      </c>
      <c r="M8" s="16" t="s">
        <v>262</v>
      </c>
      <c r="O8" s="16" t="s">
        <v>263</v>
      </c>
      <c r="Q8" s="16" t="s">
        <v>99</v>
      </c>
    </row>
    <row r="9" spans="1:17" ht="37.5" x14ac:dyDescent="0.45">
      <c r="A9" s="8" t="s">
        <v>237</v>
      </c>
      <c r="C9" s="11">
        <v>0</v>
      </c>
      <c r="E9" s="11">
        <v>0</v>
      </c>
      <c r="G9" s="11">
        <v>0</v>
      </c>
      <c r="I9" s="11">
        <v>0</v>
      </c>
      <c r="K9" s="11">
        <v>2812519762</v>
      </c>
      <c r="M9" s="11">
        <v>0</v>
      </c>
      <c r="O9" s="11">
        <v>-24309249</v>
      </c>
      <c r="Q9" s="11">
        <v>2788210513</v>
      </c>
    </row>
    <row r="10" spans="1:17" ht="18.75" x14ac:dyDescent="0.45">
      <c r="A10" s="13" t="s">
        <v>99</v>
      </c>
      <c r="C10" s="13">
        <f>SUM(C9:$C$9)</f>
        <v>0</v>
      </c>
      <c r="E10" s="13">
        <f>SUM(E9:$E$9)</f>
        <v>0</v>
      </c>
      <c r="G10" s="13">
        <f>SUM(G9:$G$9)</f>
        <v>0</v>
      </c>
      <c r="I10" s="13">
        <f>SUM(I9:$I$9)</f>
        <v>0</v>
      </c>
      <c r="K10" s="13">
        <f>SUM(K9:$K$9)</f>
        <v>2812519762</v>
      </c>
      <c r="M10" s="13">
        <f>SUM(M9:$M$9)</f>
        <v>0</v>
      </c>
      <c r="O10" s="13">
        <f>SUM(O9:$O$9)</f>
        <v>-24309249</v>
      </c>
      <c r="Q10" s="13">
        <f>SUM(Q9:$Q$9)</f>
        <v>2788210513</v>
      </c>
    </row>
    <row r="11" spans="1:17" ht="18.75" x14ac:dyDescent="0.45">
      <c r="C11" s="15"/>
      <c r="E11" s="15"/>
      <c r="G11" s="15"/>
      <c r="I11" s="15"/>
      <c r="K11" s="15"/>
      <c r="M11" s="15"/>
      <c r="O11" s="15"/>
      <c r="Q11" s="15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5.5703125" style="4" customWidth="1"/>
    <col min="2" max="2" width="1.42578125" style="4" customWidth="1"/>
    <col min="3" max="3" width="17" style="4" customWidth="1"/>
    <col min="4" max="4" width="1.42578125" style="4" customWidth="1"/>
    <col min="5" max="5" width="14.140625" style="4" customWidth="1"/>
    <col min="6" max="6" width="1.42578125" style="4" customWidth="1"/>
    <col min="7" max="7" width="17" style="4" customWidth="1"/>
    <col min="8" max="8" width="1.42578125" style="4" customWidth="1"/>
    <col min="9" max="9" width="14.140625" style="4" customWidth="1"/>
    <col min="10" max="16384" width="9.140625" style="4"/>
  </cols>
  <sheetData>
    <row r="1" spans="1:9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</row>
    <row r="2" spans="1:9" ht="20.100000000000001" customHeight="1" x14ac:dyDescent="0.45">
      <c r="A2" s="34" t="s">
        <v>143</v>
      </c>
      <c r="B2" s="32"/>
      <c r="C2" s="32"/>
      <c r="D2" s="32"/>
      <c r="E2" s="32"/>
      <c r="F2" s="32"/>
      <c r="G2" s="32"/>
      <c r="H2" s="32"/>
      <c r="I2" s="32"/>
    </row>
    <row r="3" spans="1:9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</row>
    <row r="5" spans="1:9" ht="21" x14ac:dyDescent="0.45">
      <c r="A5" s="35" t="s">
        <v>274</v>
      </c>
      <c r="B5" s="32"/>
      <c r="C5" s="32"/>
      <c r="D5" s="32"/>
      <c r="E5" s="32"/>
      <c r="F5" s="32"/>
      <c r="G5" s="32"/>
      <c r="H5" s="32"/>
      <c r="I5" s="32"/>
    </row>
    <row r="7" spans="1:9" ht="21" x14ac:dyDescent="0.45">
      <c r="A7" s="28" t="s">
        <v>275</v>
      </c>
      <c r="B7" s="29"/>
      <c r="C7" s="28" t="s">
        <v>155</v>
      </c>
      <c r="D7" s="29"/>
      <c r="E7" s="29"/>
      <c r="G7" s="28" t="s">
        <v>7</v>
      </c>
      <c r="H7" s="29"/>
      <c r="I7" s="29"/>
    </row>
    <row r="8" spans="1:9" ht="42" x14ac:dyDescent="0.45">
      <c r="A8" s="16" t="s">
        <v>276</v>
      </c>
      <c r="C8" s="16" t="s">
        <v>277</v>
      </c>
      <c r="E8" s="16" t="s">
        <v>278</v>
      </c>
      <c r="G8" s="16" t="s">
        <v>277</v>
      </c>
      <c r="I8" s="16" t="s">
        <v>278</v>
      </c>
    </row>
    <row r="9" spans="1:9" ht="18.75" x14ac:dyDescent="0.45">
      <c r="A9" s="20" t="s">
        <v>136</v>
      </c>
      <c r="C9" s="11">
        <v>34574</v>
      </c>
      <c r="E9" s="12">
        <f>C9/C16</f>
        <v>3.2437577855194536E-5</v>
      </c>
      <c r="G9" s="11">
        <v>452815</v>
      </c>
      <c r="I9" s="12">
        <f>G9/G16</f>
        <v>3.3157759804353201E-4</v>
      </c>
    </row>
    <row r="10" spans="1:9" ht="18.75" x14ac:dyDescent="0.45">
      <c r="A10" s="20" t="s">
        <v>137</v>
      </c>
      <c r="C10" s="11">
        <v>640158</v>
      </c>
      <c r="E10" s="12">
        <f>C10/C16</f>
        <v>6.0060088403498645E-4</v>
      </c>
      <c r="G10" s="11">
        <v>19104494</v>
      </c>
      <c r="I10" s="12">
        <f>G10/G16</f>
        <v>1.3989426658474365E-2</v>
      </c>
    </row>
    <row r="11" spans="1:9" ht="18.75" x14ac:dyDescent="0.45">
      <c r="A11" s="20" t="s">
        <v>138</v>
      </c>
      <c r="C11" s="11">
        <v>1064600000</v>
      </c>
      <c r="E11" s="12">
        <f>C11/C16</f>
        <v>0.99881545047261233</v>
      </c>
      <c r="G11" s="11">
        <v>1064665752</v>
      </c>
      <c r="I11" s="12">
        <f>G11/G16</f>
        <v>0.77961046512896159</v>
      </c>
    </row>
    <row r="12" spans="1:9" ht="18.75" x14ac:dyDescent="0.45">
      <c r="A12" s="20" t="s">
        <v>139</v>
      </c>
      <c r="C12" s="11">
        <v>37458</v>
      </c>
      <c r="E12" s="12">
        <f>C12/C16</f>
        <v>3.5143367597034672E-5</v>
      </c>
      <c r="G12" s="11">
        <v>27917932</v>
      </c>
      <c r="I12" s="12">
        <f>G12/G16</f>
        <v>2.0443140874093525E-2</v>
      </c>
    </row>
    <row r="13" spans="1:9" ht="18.75" x14ac:dyDescent="0.45">
      <c r="A13" s="20" t="s">
        <v>140</v>
      </c>
      <c r="C13" s="11">
        <v>66206</v>
      </c>
      <c r="E13" s="12">
        <f>C13/C16</f>
        <v>6.2114949947388474E-5</v>
      </c>
      <c r="G13" s="11">
        <v>1441263</v>
      </c>
      <c r="I13" s="12">
        <f>G13/G16</f>
        <v>1.0553769722491859E-3</v>
      </c>
    </row>
    <row r="14" spans="1:9" ht="18.75" x14ac:dyDescent="0.45">
      <c r="A14" s="20" t="s">
        <v>141</v>
      </c>
      <c r="C14" s="11">
        <v>82395</v>
      </c>
      <c r="E14" s="12">
        <f>C14/C16</f>
        <v>7.7303587301982805E-5</v>
      </c>
      <c r="G14" s="11">
        <v>138847</v>
      </c>
      <c r="I14" s="12">
        <f>G14/G16</f>
        <v>1.0167188532966065E-4</v>
      </c>
    </row>
    <row r="15" spans="1:9" ht="18.75" x14ac:dyDescent="0.45">
      <c r="A15" s="20" t="s">
        <v>142</v>
      </c>
      <c r="C15" s="11">
        <v>401776</v>
      </c>
      <c r="E15" s="12">
        <f>C15/C16</f>
        <v>3.7694916065102792E-4</v>
      </c>
      <c r="G15" s="11">
        <v>251916994</v>
      </c>
      <c r="I15" s="12">
        <f>G15/G16</f>
        <v>0.18446834088284811</v>
      </c>
    </row>
    <row r="16" spans="1:9" ht="19.5" thickBot="1" x14ac:dyDescent="0.5">
      <c r="A16" s="13" t="s">
        <v>99</v>
      </c>
      <c r="C16" s="13">
        <f>SUM(C9:$C$15)</f>
        <v>1065862567</v>
      </c>
      <c r="E16" s="14">
        <f>SUM(E9:$E$15)</f>
        <v>0.99999999999999989</v>
      </c>
      <c r="G16" s="13">
        <f>SUM(G9:$G$15)</f>
        <v>1365638097</v>
      </c>
      <c r="I16" s="14">
        <f>SUM(I9:$I$15)</f>
        <v>1</v>
      </c>
    </row>
    <row r="17" spans="3:9" ht="19.5" thickTop="1" x14ac:dyDescent="0.45">
      <c r="C17" s="15"/>
      <c r="E17" s="15"/>
      <c r="G17" s="15"/>
      <c r="I17" s="15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5.57031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8.42578125" style="4" customWidth="1"/>
    <col min="6" max="16384" width="9.140625" style="4"/>
  </cols>
  <sheetData>
    <row r="1" spans="1:5" ht="20.100000000000001" customHeight="1" x14ac:dyDescent="0.45">
      <c r="A1" s="34" t="s">
        <v>0</v>
      </c>
      <c r="B1" s="32"/>
      <c r="C1" s="32"/>
      <c r="D1" s="32"/>
      <c r="E1" s="32"/>
    </row>
    <row r="2" spans="1:5" ht="20.100000000000001" customHeight="1" x14ac:dyDescent="0.45">
      <c r="A2" s="34" t="s">
        <v>143</v>
      </c>
      <c r="B2" s="32"/>
      <c r="C2" s="32"/>
      <c r="D2" s="32"/>
      <c r="E2" s="32"/>
    </row>
    <row r="3" spans="1:5" ht="20.100000000000001" customHeight="1" x14ac:dyDescent="0.45">
      <c r="A3" s="34" t="s">
        <v>2</v>
      </c>
      <c r="B3" s="32"/>
      <c r="C3" s="32"/>
      <c r="D3" s="32"/>
      <c r="E3" s="32"/>
    </row>
    <row r="5" spans="1:5" ht="21" x14ac:dyDescent="0.45">
      <c r="A5" s="35" t="s">
        <v>279</v>
      </c>
      <c r="B5" s="32"/>
      <c r="C5" s="32"/>
      <c r="D5" s="32"/>
      <c r="E5" s="32"/>
    </row>
    <row r="7" spans="1:5" ht="21" x14ac:dyDescent="0.45">
      <c r="C7" s="6" t="s">
        <v>155</v>
      </c>
      <c r="E7" s="6" t="s">
        <v>7</v>
      </c>
    </row>
    <row r="8" spans="1:5" ht="21" x14ac:dyDescent="0.45">
      <c r="A8" s="16" t="s">
        <v>152</v>
      </c>
      <c r="C8" s="16" t="s">
        <v>133</v>
      </c>
      <c r="E8" s="16" t="s">
        <v>133</v>
      </c>
    </row>
    <row r="9" spans="1:5" ht="18.75" x14ac:dyDescent="0.45">
      <c r="A9" s="8" t="s">
        <v>280</v>
      </c>
      <c r="D9" s="7"/>
      <c r="E9" s="11">
        <v>318347087</v>
      </c>
    </row>
    <row r="10" spans="1:5" ht="18.75" x14ac:dyDescent="0.45">
      <c r="A10" s="13" t="s">
        <v>99</v>
      </c>
      <c r="C10" s="13">
        <f>SUM(C9:$C$9)</f>
        <v>0</v>
      </c>
      <c r="E10" s="13">
        <f>SUM(E9:$E$9)</f>
        <v>318347087</v>
      </c>
    </row>
    <row r="11" spans="1:5" ht="18.75" x14ac:dyDescent="0.45">
      <c r="C11" s="15"/>
      <c r="E11" s="15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9 (2)</vt:lpstr>
      <vt:lpstr>10</vt:lpstr>
      <vt:lpstr>11</vt:lpstr>
      <vt:lpstr>12</vt:lpstr>
      <vt:lpstr>13</vt:lpstr>
      <vt:lpstr>14</vt:lpstr>
      <vt:lpstr>15</vt:lpstr>
      <vt:lpstr>'1'!Print_Titles</vt:lpstr>
      <vt:lpstr>'10'!Print_Titles</vt:lpstr>
      <vt:lpstr>'11'!Print_Titles</vt:lpstr>
      <vt:lpstr>'12'!Print_Titles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2025-03-26T05:04:44Z</cp:lastPrinted>
  <dcterms:created xsi:type="dcterms:W3CDTF">2025-03-26T03:54:15Z</dcterms:created>
  <dcterms:modified xsi:type="dcterms:W3CDTF">2025-03-26T06:45:36Z</dcterms:modified>
</cp:coreProperties>
</file>