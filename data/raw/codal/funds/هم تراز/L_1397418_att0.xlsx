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zaei\پرتفو\پرتفوی1404.05.31\پرتفوی مشترک1404.05.31\"/>
    </mc:Choice>
  </mc:AlternateContent>
  <xr:revisionPtr revIDLastSave="0" documentId="13_ncr:1_{711B9D5D-4CCD-40C5-B698-BE452C7732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</sheets>
  <definedNames>
    <definedName name="_xlnm._FilterDatabase" localSheetId="10" hidden="1">'11'!$A$8:$Q$77</definedName>
    <definedName name="_xlnm.Print_Area" localSheetId="8">'9'!$A$1:$M$16</definedName>
    <definedName name="_xlnm.Print_Titles" localSheetId="1">'1'!$1:$10</definedName>
    <definedName name="_xlnm.Print_Titles" localSheetId="9">'10'!$1:$8</definedName>
    <definedName name="_xlnm.Print_Titles" localSheetId="10">'11'!$1:$8</definedName>
    <definedName name="_xlnm.Print_Titles" localSheetId="11">'12'!$1:$8</definedName>
    <definedName name="_xlnm.Print_Titles" localSheetId="7">'8'!$1:$8</definedName>
  </definedNames>
  <calcPr calcId="191029"/>
</workbook>
</file>

<file path=xl/calcChain.xml><?xml version="1.0" encoding="utf-8"?>
<calcChain xmlns="http://schemas.openxmlformats.org/spreadsheetml/2006/main">
  <c r="E9" i="16" l="1"/>
  <c r="C9" i="16"/>
  <c r="G16" i="15"/>
  <c r="I14" i="15" s="1"/>
  <c r="C16" i="15"/>
  <c r="E14" i="15" s="1"/>
  <c r="I13" i="15"/>
  <c r="I11" i="15"/>
  <c r="E11" i="15"/>
  <c r="I9" i="15"/>
  <c r="E9" i="15"/>
  <c r="Q9" i="14"/>
  <c r="O9" i="14"/>
  <c r="M9" i="14"/>
  <c r="K9" i="14"/>
  <c r="I9" i="14"/>
  <c r="G9" i="14"/>
  <c r="E9" i="14"/>
  <c r="C9" i="14"/>
  <c r="U93" i="13"/>
  <c r="S93" i="13"/>
  <c r="Q93" i="13"/>
  <c r="O93" i="13"/>
  <c r="M93" i="13"/>
  <c r="K93" i="13"/>
  <c r="I93" i="13"/>
  <c r="G93" i="13"/>
  <c r="E93" i="13"/>
  <c r="C93" i="13"/>
  <c r="Q77" i="12"/>
  <c r="O77" i="12"/>
  <c r="M77" i="12"/>
  <c r="K77" i="12"/>
  <c r="I77" i="12"/>
  <c r="G77" i="12"/>
  <c r="E77" i="12"/>
  <c r="C77" i="12"/>
  <c r="Q73" i="11"/>
  <c r="O73" i="11"/>
  <c r="M73" i="11"/>
  <c r="K73" i="11"/>
  <c r="I73" i="11"/>
  <c r="G73" i="11"/>
  <c r="E73" i="11"/>
  <c r="C73" i="11"/>
  <c r="M16" i="10"/>
  <c r="K16" i="10"/>
  <c r="I16" i="10"/>
  <c r="G16" i="10"/>
  <c r="E16" i="10"/>
  <c r="C16" i="10"/>
  <c r="S72" i="9"/>
  <c r="Q72" i="9"/>
  <c r="O72" i="9"/>
  <c r="M72" i="9"/>
  <c r="K72" i="9"/>
  <c r="I72" i="9"/>
  <c r="E13" i="8"/>
  <c r="G13" i="8"/>
  <c r="K16" i="6"/>
  <c r="I16" i="6"/>
  <c r="G16" i="6"/>
  <c r="E16" i="6"/>
  <c r="C16" i="6"/>
  <c r="K10" i="5"/>
  <c r="AI10" i="4"/>
  <c r="AG10" i="4"/>
  <c r="AE10" i="4"/>
  <c r="AC10" i="4"/>
  <c r="AA10" i="4"/>
  <c r="Y10" i="4"/>
  <c r="X10" i="4"/>
  <c r="V10" i="4"/>
  <c r="U10" i="4"/>
  <c r="S10" i="4"/>
  <c r="Q10" i="4"/>
  <c r="O10" i="4"/>
  <c r="W91" i="2"/>
  <c r="U91" i="2"/>
  <c r="S91" i="2"/>
  <c r="Q91" i="2"/>
  <c r="O91" i="2"/>
  <c r="M91" i="2"/>
  <c r="L91" i="2"/>
  <c r="J91" i="2"/>
  <c r="I91" i="2"/>
  <c r="G91" i="2"/>
  <c r="E91" i="2"/>
  <c r="C91" i="2"/>
  <c r="E12" i="15" l="1"/>
  <c r="I12" i="15"/>
  <c r="E10" i="15"/>
  <c r="I10" i="15"/>
  <c r="I13" i="8"/>
  <c r="E15" i="15"/>
  <c r="I15" i="15"/>
  <c r="I16" i="15" s="1"/>
  <c r="E13" i="15"/>
  <c r="E16" i="15" s="1"/>
</calcChain>
</file>

<file path=xl/sharedStrings.xml><?xml version="1.0" encoding="utf-8"?>
<sst xmlns="http://schemas.openxmlformats.org/spreadsheetml/2006/main" count="716" uniqueCount="253">
  <si>
    <t>‫شاخصی هم ‏وزن تراز</t>
  </si>
  <si>
    <t>‫صورت وضعیت پورتفوی</t>
  </si>
  <si>
    <t>‫برای ماه منتهی به 1404/05/31</t>
  </si>
  <si>
    <t>‫1- سرمایه گذاری ها</t>
  </si>
  <si>
    <t>‫1-1- سرمایه گذاری در سهام و حق تقدم سهام</t>
  </si>
  <si>
    <t>‫1404/04/31</t>
  </si>
  <si>
    <t>‫تغییرات طی دوره</t>
  </si>
  <si>
    <t>‫1404/05/31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</si>
  <si>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</si>
  <si>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</si>
  <si>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</si>
  <si>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</si>
  <si>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</si>
  <si>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</si>
  <si>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</si>
  <si>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</si>
  <si>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</si>
  <si>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‫آنتي بيوتيك سازي ايران</t>
  </si>
  <si>
    <t>‫اخشان خراسان</t>
  </si>
  <si>
    <t>‫افست</t>
  </si>
  <si>
    <t>‫الكتريك خودرو</t>
  </si>
  <si>
    <t>‫املاح ايران</t>
  </si>
  <si>
    <t>‫ايران ترانسفو</t>
  </si>
  <si>
    <t>‫ايران ياسا</t>
  </si>
  <si>
    <t>‫ايمن خودرو شرق</t>
  </si>
  <si>
    <t>‫ایرکا پارت صنعت</t>
  </si>
  <si>
    <t>‫بيمه ايران - معين</t>
  </si>
  <si>
    <t>‫تامين ماسه</t>
  </si>
  <si>
    <t>‫تايدواتر</t>
  </si>
  <si>
    <t xml:space="preserve">‫تراكتور سازي </t>
  </si>
  <si>
    <t>‫توزيع دارو پخش</t>
  </si>
  <si>
    <t>‫توسعه معادن كروميت كاوندگان</t>
  </si>
  <si>
    <t>‫توسعه نيشكر و صنايع جانبي</t>
  </si>
  <si>
    <t>‫توليد انرژي برق شمس پاسارگاد</t>
  </si>
  <si>
    <t>‫توليد ژلاتين كپسول ايران</t>
  </si>
  <si>
    <t>‫توليدات پتروشيمي قائد بصير</t>
  </si>
  <si>
    <t>‫توليدي برنا باطري</t>
  </si>
  <si>
    <t>‫توليدي چدن سازان</t>
  </si>
  <si>
    <t>‫حمل و نقل ريلي پارسيان</t>
  </si>
  <si>
    <t>‫خاك چيني</t>
  </si>
  <si>
    <t>‫داروسازي فارابي</t>
  </si>
  <si>
    <t>‫دارويي و نهاده هاي زاگرس دارو</t>
  </si>
  <si>
    <t>‫دريايي سينا</t>
  </si>
  <si>
    <t>‫رادياتور</t>
  </si>
  <si>
    <t>‫ريخته گري تراكتورسازي</t>
  </si>
  <si>
    <t>‫زامياد</t>
  </si>
  <si>
    <t>‫سبحان_دارو</t>
  </si>
  <si>
    <t>‫سرمايه گذاري پايا تدبيرپارسا</t>
  </si>
  <si>
    <t>‫سيمان آبيك</t>
  </si>
  <si>
    <t>‫سيمان اروميه</t>
  </si>
  <si>
    <t>‫سيمان تهران</t>
  </si>
  <si>
    <t>‫سيمان ساوه</t>
  </si>
  <si>
    <t>‫سيمان سپاهان</t>
  </si>
  <si>
    <t>‫سيمان شمال</t>
  </si>
  <si>
    <t>‫شيشه همدان</t>
  </si>
  <si>
    <t>‫شيشه و گاز</t>
  </si>
  <si>
    <t>‫شیشه قزوین</t>
  </si>
  <si>
    <t>‫صبا فولاد خليج فارس</t>
  </si>
  <si>
    <t>‫صنايع ارتباطي آوا</t>
  </si>
  <si>
    <t>‫صنايع غذايي رضوي</t>
  </si>
  <si>
    <t>‫صنعتي آما</t>
  </si>
  <si>
    <t>‫صنعتي بارز</t>
  </si>
  <si>
    <t>‫صنعتي سپاهان</t>
  </si>
  <si>
    <t>‫صنعتي مينو</t>
  </si>
  <si>
    <t>‫فن آوران</t>
  </si>
  <si>
    <t>‫قاسم ايران</t>
  </si>
  <si>
    <t>‫قند هكمتان</t>
  </si>
  <si>
    <t>‫قند چهار محال</t>
  </si>
  <si>
    <t>‫كاشي الوند</t>
  </si>
  <si>
    <t>‫كاشي الوند (تقدم)</t>
  </si>
  <si>
    <t>‫كاشي وسراميك سينا</t>
  </si>
  <si>
    <t>‫كاشي پارس</t>
  </si>
  <si>
    <t>‫كاني كربن طبس</t>
  </si>
  <si>
    <t>‫كربن</t>
  </si>
  <si>
    <t>‫كشت و دام قيام اصفهان</t>
  </si>
  <si>
    <t>‫كشت و دامداري فكا</t>
  </si>
  <si>
    <t>‫كوير تاير</t>
  </si>
  <si>
    <t>‫لاستيك سهند</t>
  </si>
  <si>
    <t>‫مجتمع صنايع لاستيك يزد</t>
  </si>
  <si>
    <t>‫مديريت نيروگاهي ايرانيان مپنا</t>
  </si>
  <si>
    <t>‫ملي شيمي كشاورز</t>
  </si>
  <si>
    <t>‫مهرام</t>
  </si>
  <si>
    <t>‫مهرمام ميهن</t>
  </si>
  <si>
    <t>‫موتورسازان</t>
  </si>
  <si>
    <t>‫موتوژن</t>
  </si>
  <si>
    <t>‫مگسال</t>
  </si>
  <si>
    <t>‫نساجي هديه البرز مشهد</t>
  </si>
  <si>
    <t>‫نفت بندر عباس</t>
  </si>
  <si>
    <t>‫نورد قطعات</t>
  </si>
  <si>
    <t>‫نگين طبس</t>
  </si>
  <si>
    <t>‫پارس فولاد سبزوار</t>
  </si>
  <si>
    <t>‫پاکدیس</t>
  </si>
  <si>
    <t>‫پتروشيمی پردیس</t>
  </si>
  <si>
    <t>‫پخش هجرت</t>
  </si>
  <si>
    <t>‫پرتو بار فرابر خليج فارس</t>
  </si>
  <si>
    <t>‫چادرملو</t>
  </si>
  <si>
    <t>‫گروه انتخاب الكترونيك آرمان</t>
  </si>
  <si>
    <t>‫جمع</t>
  </si>
  <si>
    <t>‫اطلاعات آماری مرتبط با اوراق اختیار فروش تبعی خریداری شده توسط صندوق سرمایه گذاری:</t>
  </si>
  <si>
    <t>‫نام سهام</t>
  </si>
  <si>
    <t>‫تعداد اوراق تبعی</t>
  </si>
  <si>
    <t>‫قیمت اعمال</t>
  </si>
  <si>
    <t>‫تاریخ اعمال</t>
  </si>
  <si>
    <t>‫نرخ سود موثر</t>
  </si>
  <si>
    <t>‫اختيارف ت محتشم-17150-4/11/08</t>
  </si>
  <si>
    <t>‫1404/11/08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</si>
  <si>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</si>
  <si>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</si>
  <si>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</si>
  <si>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</si>
  <si>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‫اطلاعات آماری مرتبط با قراردادهای آتی توسط صندوق سرمایه گذاری:</t>
  </si>
  <si>
    <t>‫2-1- سرمایه گذاری در اوراق بهادار با درآمد ثابت یا علی الحساب</t>
  </si>
  <si>
    <t>‫اطلاعات اوراق بهادار با درآمد ثابت</t>
  </si>
  <si>
    <t>‫نام اوراق</t>
  </si>
  <si>
    <t>‫دارای مجوز از سازمان</t>
  </si>
  <si>
    <t>‫پذیرفته شده در بورس یا فرابورس</t>
  </si>
  <si>
    <t>‫تاریخ انتشار اوراق</t>
  </si>
  <si>
    <t>‫تاریخ سررسید</t>
  </si>
  <si>
    <t>‫نرخ سود اسمی</t>
  </si>
  <si>
    <t>‫نرخ سود مؤثر</t>
  </si>
  <si>
    <t>‫قیمت بازار هر ورقه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</si>
  <si>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</si>
  <si>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</si>
  <si>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</si>
  <si>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</si>
  <si>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</si>
  <si>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</si>
  <si>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</si>
  <si>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</si>
  <si>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‫سپرده‌های بانکی</t>
  </si>
  <si>
    <t>‫مبلغ</t>
  </si>
  <si>
    <t>‫افزایش</t>
  </si>
  <si>
    <t>‫کاهش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</si>
  <si>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</si>
  <si>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</si>
  <si>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</si>
  <si>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</si>
  <si>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</si>
  <si>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</si>
  <si>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</si>
  <si>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</si>
  <si>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</si>
  <si>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</si>
  <si>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</si>
  <si>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</si>
  <si>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</si>
  <si>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</si>
  <si>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</si>
  <si>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</si>
  <si>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</si>
  <si>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</si>
  <si>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</si>
  <si>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‫1404/02/23</t>
  </si>
  <si>
    <t>‫1404/05/14</t>
  </si>
  <si>
    <t>‫ارتباطات سیار</t>
  </si>
  <si>
    <t>‫1404/03/21</t>
  </si>
  <si>
    <t>‫1404/03/26</t>
  </si>
  <si>
    <t>‫1404/03/12</t>
  </si>
  <si>
    <t>‫1404/04/05</t>
  </si>
  <si>
    <t>‫1404/03/13</t>
  </si>
  <si>
    <t>‫1404/02/31</t>
  </si>
  <si>
    <t>‫1404/05/28</t>
  </si>
  <si>
    <t>‫1404/03/06</t>
  </si>
  <si>
    <t>‫1404/04/28</t>
  </si>
  <si>
    <t>‫تراكتور سازي</t>
  </si>
  <si>
    <t>‫1404/05/04</t>
  </si>
  <si>
    <t>‫1404/04/30</t>
  </si>
  <si>
    <t>‫1404/03/01</t>
  </si>
  <si>
    <t>‫1404/04/29</t>
  </si>
  <si>
    <t>‫1404/04/25</t>
  </si>
  <si>
    <t>‫1404/04/04</t>
  </si>
  <si>
    <t>‫1404/05/15</t>
  </si>
  <si>
    <t>‫1404/05/13</t>
  </si>
  <si>
    <t>‫1404/04/22</t>
  </si>
  <si>
    <t>‫1404/03/17</t>
  </si>
  <si>
    <t>‫1404/02/13</t>
  </si>
  <si>
    <t>‫1404/02/30</t>
  </si>
  <si>
    <t>‫1404/01/31</t>
  </si>
  <si>
    <t>‫1404/04/19</t>
  </si>
  <si>
    <t>‫1404/03/25</t>
  </si>
  <si>
    <t>‫1404/05/08</t>
  </si>
  <si>
    <t>‫1404/03/03</t>
  </si>
  <si>
    <t>‫1404/03/28</t>
  </si>
  <si>
    <t>‫1404/04/26</t>
  </si>
  <si>
    <t>‫1404/02/20</t>
  </si>
  <si>
    <t>‫ليزينگ اقتصاد نوين</t>
  </si>
  <si>
    <t>‫1404/03/11</t>
  </si>
  <si>
    <t>‫1404/05/05</t>
  </si>
  <si>
    <t>‫1404/05/09</t>
  </si>
  <si>
    <t>‫1404/05/12</t>
  </si>
  <si>
    <t>‫1404/03/10</t>
  </si>
  <si>
    <t>‫1404/04/01</t>
  </si>
  <si>
    <t>‫1404/02/15</t>
  </si>
  <si>
    <t>‫1404/04/23</t>
  </si>
  <si>
    <t>‫سود اوراق بهادار با درآمد ثابت و سپرده بانکی</t>
  </si>
  <si>
    <t>‫درآمد سود</t>
  </si>
  <si>
    <t>‫خالص درآمد</t>
  </si>
  <si>
    <t>‫سود(زیان) حاصل از فروش اوراق بهادار</t>
  </si>
  <si>
    <t>‫ارزش دفتری</t>
  </si>
  <si>
    <t>‫سود و زیان ناشی از فروش</t>
  </si>
  <si>
    <t>‫آلوميناي ايران</t>
  </si>
  <si>
    <t>‫نفت اصفهان</t>
  </si>
  <si>
    <t>‫نيروترانس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</si>
  <si>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</si>
  <si>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</si>
  <si>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</si>
  <si>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‫سبحان_دارو (تقدم)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</si>
  <si>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</si>
  <si>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</si>
  <si>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</si>
  <si>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</si>
  <si>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</si>
  <si>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</si>
  <si>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‫ايركا پارت صنعت</t>
  </si>
  <si>
    <t>‫بيمه اتكايي ايران معين</t>
  </si>
  <si>
    <t>‫شيشه قزوين</t>
  </si>
  <si>
    <t>‫پاكديس</t>
  </si>
  <si>
    <t>‫پتروشيمي پرديس</t>
  </si>
  <si>
    <t>‫ارتباطات سيار</t>
  </si>
  <si>
    <t>‫2-2- درآمد حاصل از سرمایه گذاری در اوراق بهادار با درآمد ثابت:</t>
  </si>
  <si>
    <t>‫درآمد سود اوراق</t>
  </si>
  <si>
    <t>‫3-2- درآمد حاصل از سرمایه گذاری در سپرده بانکی و گواهی سپرده: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</si>
  <si>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</si>
  <si>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</si>
  <si>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</si>
  <si>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</si>
  <si>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‫4-2- سایر درآمدها:</t>
  </si>
  <si>
    <t>صندوق سرمایه گذاری  شاخصی هم ‏وزن تراز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</si>
  <si>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</si>
  <si>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31 مرداد 1404</t>
  </si>
  <si>
    <t>‫%22</t>
  </si>
  <si>
    <t>‫ بانک پاسارگاد</t>
  </si>
  <si>
    <t>‫ بانک ملت</t>
  </si>
  <si>
    <t>‫ بانک سپه</t>
  </si>
  <si>
    <t>‫ بانک سامان</t>
  </si>
  <si>
    <t>‫ بانک دي</t>
  </si>
  <si>
    <t>‫ بانک خاورميانه</t>
  </si>
  <si>
    <t>‫ بانک آينده</t>
  </si>
  <si>
    <t>‫3-1- سرمایه گذاری در  سپرده بانکی و گواهی سپرده بانکی</t>
  </si>
  <si>
    <t>1-2</t>
  </si>
  <si>
    <t>درآمد حاصل از سرمایه گذاری در واحدهای صندوق های سرمایه گذاری</t>
  </si>
  <si>
    <t>2-2</t>
  </si>
  <si>
    <t>3-2</t>
  </si>
  <si>
    <t>4-2</t>
  </si>
  <si>
    <t>5-2</t>
  </si>
  <si>
    <t>‫بانک ملت</t>
  </si>
  <si>
    <t>‫بانک خاورميانه</t>
  </si>
  <si>
    <t>‫بانک سپه</t>
  </si>
  <si>
    <t>‫بانک پاسارگاد</t>
  </si>
  <si>
    <t>‫بانک سامان</t>
  </si>
  <si>
    <t>‫بانک دي</t>
  </si>
  <si>
    <t>‫بانک آينده</t>
  </si>
  <si>
    <t>‫بانک  پاسارگاد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</si>
</sst>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sz val="22"/>
      <color rgb="FFFF0000"/>
      <name val="B Nazanin"/>
      <charset val="178"/>
    </font>
    <font>
      <b/>
      <sz val="14"/>
      <name val="B Nazanin"/>
      <charset val="178"/>
    </font>
    <font>
      <b/>
      <u/>
      <sz val="16"/>
      <name val="B Nazanin"/>
      <charset val="178"/>
    </font>
    <font>
      <sz val="11"/>
      <color indexed="8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1"/>
      <color indexed="8"/>
      <name val="B Nazanin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2" borderId="6"/>
  </cellStyleXfs>
  <cellXfs count="42">
    <xf numFmtId="0" fontId="0" fillId="0" borderId="0" xfId="0"/>
    <xf numFmtId="0" fontId="2" fillId="3" borderId="6" xfId="1" applyFont="1" applyFill="1"/>
    <xf numFmtId="0" fontId="3" fillId="3" borderId="6" xfId="1" applyFont="1" applyFill="1" applyAlignment="1">
      <alignment horizontal="center" vertical="center" wrapText="1"/>
    </xf>
    <xf numFmtId="0" fontId="4" fillId="3" borderId="6" xfId="1" applyFont="1" applyFill="1" applyAlignment="1">
      <alignment horizontal="center" vertical="center" wrapText="1"/>
    </xf>
    <xf numFmtId="0" fontId="5" fillId="3" borderId="6" xfId="1" applyFont="1" applyFill="1" applyAlignment="1">
      <alignment horizontal="center" vertical="center" wrapText="1"/>
    </xf>
    <xf numFmtId="0" fontId="6" fillId="3" borderId="6" xfId="1" applyFont="1" applyFill="1" applyAlignment="1">
      <alignment horizontal="center"/>
    </xf>
    <xf numFmtId="0" fontId="7" fillId="3" borderId="6" xfId="1" applyFont="1" applyFill="1" applyAlignment="1">
      <alignment horizontal="center"/>
    </xf>
    <xf numFmtId="0" fontId="8" fillId="3" borderId="6" xfId="1" applyFont="1" applyFill="1" applyAlignment="1">
      <alignment horizontal="center" vertical="center" wrapText="1"/>
    </xf>
    <xf numFmtId="0" fontId="7" fillId="3" borderId="6" xfId="1" applyFont="1" applyFill="1"/>
    <xf numFmtId="0" fontId="9" fillId="3" borderId="6" xfId="1" applyFont="1" applyFill="1" applyAlignment="1">
      <alignment horizontal="center"/>
    </xf>
    <xf numFmtId="37" fontId="10" fillId="0" borderId="0" xfId="0" applyNumberFormat="1" applyFont="1" applyAlignment="1">
      <alignment horizontal="center" vertical="center"/>
    </xf>
    <xf numFmtId="0" fontId="11" fillId="0" borderId="0" xfId="0" applyFont="1"/>
    <xf numFmtId="0" fontId="11" fillId="0" borderId="0" xfId="0" applyFont="1"/>
    <xf numFmtId="37" fontId="12" fillId="0" borderId="0" xfId="0" applyNumberFormat="1" applyFont="1" applyAlignment="1">
      <alignment horizontal="right" vertical="center"/>
    </xf>
    <xf numFmtId="37" fontId="12" fillId="0" borderId="1" xfId="0" applyNumberFormat="1" applyFont="1" applyBorder="1" applyAlignment="1">
      <alignment horizontal="center" vertical="center"/>
    </xf>
    <xf numFmtId="0" fontId="11" fillId="2" borderId="2" xfId="0" applyFont="1" applyFill="1" applyBorder="1"/>
    <xf numFmtId="0" fontId="13" fillId="0" borderId="0" xfId="0" applyFont="1" applyAlignment="1">
      <alignment horizontal="center" vertical="center"/>
    </xf>
    <xf numFmtId="37" fontId="13" fillId="0" borderId="0" xfId="0" applyNumberFormat="1" applyFont="1" applyAlignment="1">
      <alignment horizontal="center" vertical="center" wrapText="1"/>
    </xf>
    <xf numFmtId="37" fontId="13" fillId="0" borderId="1" xfId="0" applyNumberFormat="1" applyFont="1" applyBorder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/>
    </xf>
    <xf numFmtId="37" fontId="13" fillId="0" borderId="0" xfId="0" applyNumberFormat="1" applyFont="1" applyAlignment="1">
      <alignment horizontal="right" vertical="center" wrapText="1"/>
    </xf>
    <xf numFmtId="3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37" fontId="13" fillId="0" borderId="3" xfId="0" applyNumberFormat="1" applyFont="1" applyBorder="1" applyAlignment="1">
      <alignment horizontal="center" vertical="center"/>
    </xf>
    <xf numFmtId="10" fontId="13" fillId="0" borderId="3" xfId="0" applyNumberFormat="1" applyFont="1" applyBorder="1" applyAlignment="1">
      <alignment horizontal="center" vertical="center"/>
    </xf>
    <xf numFmtId="37" fontId="13" fillId="0" borderId="4" xfId="0" applyNumberFormat="1" applyFont="1" applyBorder="1" applyAlignment="1">
      <alignment horizontal="center" vertical="center"/>
    </xf>
    <xf numFmtId="37" fontId="12" fillId="0" borderId="1" xfId="0" applyNumberFormat="1" applyFont="1" applyBorder="1" applyAlignment="1">
      <alignment horizontal="center" vertical="center"/>
    </xf>
    <xf numFmtId="37" fontId="12" fillId="0" borderId="1" xfId="0" applyNumberFormat="1" applyFont="1" applyBorder="1" applyAlignment="1">
      <alignment horizontal="center" vertical="center" wrapText="1"/>
    </xf>
    <xf numFmtId="37" fontId="13" fillId="0" borderId="0" xfId="0" applyNumberFormat="1" applyFont="1" applyAlignment="1">
      <alignment horizontal="center" vertical="center" wrapText="1"/>
    </xf>
    <xf numFmtId="37" fontId="12" fillId="0" borderId="0" xfId="0" applyNumberFormat="1" applyFont="1" applyAlignment="1">
      <alignment horizontal="center" vertical="center"/>
    </xf>
    <xf numFmtId="37" fontId="13" fillId="0" borderId="5" xfId="0" applyNumberFormat="1" applyFont="1" applyBorder="1" applyAlignment="1">
      <alignment horizontal="center" vertical="center"/>
    </xf>
    <xf numFmtId="0" fontId="11" fillId="2" borderId="7" xfId="0" applyFont="1" applyFill="1" applyBorder="1"/>
    <xf numFmtId="0" fontId="11" fillId="2" borderId="8" xfId="0" applyFont="1" applyFill="1" applyBorder="1"/>
    <xf numFmtId="37" fontId="12" fillId="0" borderId="0" xfId="0" applyNumberFormat="1" applyFont="1" applyAlignment="1">
      <alignment horizontal="right" vertical="center"/>
    </xf>
    <xf numFmtId="37" fontId="13" fillId="0" borderId="0" xfId="0" applyNumberFormat="1" applyFont="1" applyAlignment="1">
      <alignment horizontal="center" vertical="center"/>
    </xf>
    <xf numFmtId="37" fontId="13" fillId="0" borderId="4" xfId="0" applyNumberFormat="1" applyFont="1" applyBorder="1" applyAlignment="1">
      <alignment horizontal="center" vertical="center"/>
    </xf>
    <xf numFmtId="3" fontId="11" fillId="0" borderId="0" xfId="0" applyNumberFormat="1" applyFont="1"/>
    <xf numFmtId="37" fontId="11" fillId="0" borderId="0" xfId="0" applyNumberFormat="1" applyFont="1" applyAlignment="1">
      <alignment horizontal="right" vertical="center" wrapText="1"/>
    </xf>
    <xf numFmtId="37" fontId="14" fillId="0" borderId="0" xfId="0" applyNumberFormat="1" applyFont="1" applyAlignment="1">
      <alignment horizontal="right" vertical="center"/>
    </xf>
    <xf numFmtId="0" fontId="14" fillId="0" borderId="0" xfId="0" applyFont="1"/>
    <xf numFmtId="37" fontId="11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Normal 2" xfId="1" xr:uid="{3AA67B9F-894A-431A-AD45-0635B1E58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rightToLeft="1" tabSelected="1" view="pageBreakPreview" zoomScale="60" zoomScaleNormal="100" workbookViewId="0">
      <selection sqref="A1:W1"/>
    </sheetView>
  </sheetViews>
  <sheetFormatPr defaultRowHeight="15" x14ac:dyDescent="0.25"/>
  <sheetData>
    <row r="1" spans="1:11" ht="18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" t="s">
        <v>227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56.2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1.75" customHeight="1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3"/>
    </row>
    <row r="11" spans="1:1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30" x14ac:dyDescent="0.75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25.5" x14ac:dyDescent="0.65">
      <c r="A14" s="1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5" customHeight="1" x14ac:dyDescent="0.25">
      <c r="A15" s="7" t="s">
        <v>229</v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8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9.950000000000003" customHeight="1" x14ac:dyDescent="0.65">
      <c r="A22" s="1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39.950000000000003" customHeight="1" x14ac:dyDescent="0.6">
      <c r="A23" s="1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ht="39.950000000000003" customHeight="1" x14ac:dyDescent="0.65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25">
      <c r="A25" s="7" t="s">
        <v>228</v>
      </c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t="18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7">
    <mergeCell ref="A25:K31"/>
    <mergeCell ref="A4:K9"/>
    <mergeCell ref="A10:J12"/>
    <mergeCell ref="K10:K12"/>
    <mergeCell ref="B13:K13"/>
    <mergeCell ref="A15:K20"/>
    <mergeCell ref="B23:K23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2"/>
  <sheetViews>
    <sheetView rightToLeft="1" view="pageBreakPreview" topLeftCell="A73" zoomScale="73" zoomScaleNormal="100" zoomScaleSheetLayoutView="73" workbookViewId="0">
      <selection sqref="A1:W1"/>
    </sheetView>
  </sheetViews>
  <sheetFormatPr defaultRowHeight="18" x14ac:dyDescent="0.45"/>
  <cols>
    <col min="1" max="1" width="17.5703125" style="12" bestFit="1" customWidth="1"/>
    <col min="2" max="2" width="1.42578125" style="12" customWidth="1"/>
    <col min="3" max="3" width="13.42578125" style="12" bestFit="1" customWidth="1"/>
    <col min="4" max="4" width="1.42578125" style="12" customWidth="1"/>
    <col min="5" max="5" width="19.42578125" style="12" bestFit="1" customWidth="1"/>
    <col min="6" max="6" width="1.42578125" style="12" customWidth="1"/>
    <col min="7" max="7" width="19.7109375" style="12" bestFit="1" customWidth="1"/>
    <col min="8" max="8" width="1.42578125" style="12" customWidth="1"/>
    <col min="9" max="9" width="5.42578125" style="12" bestFit="1" customWidth="1"/>
    <col min="10" max="10" width="11.85546875" style="12" bestFit="1" customWidth="1"/>
    <col min="11" max="11" width="1.42578125" style="12" customWidth="1"/>
    <col min="12" max="12" width="13.7109375" style="12" bestFit="1" customWidth="1"/>
    <col min="13" max="13" width="17.7109375" style="12" bestFit="1" customWidth="1"/>
    <col min="14" max="14" width="1.42578125" style="12" customWidth="1"/>
    <col min="15" max="15" width="13.7109375" style="12" bestFit="1" customWidth="1"/>
    <col min="16" max="16" width="1.42578125" style="12" customWidth="1"/>
    <col min="17" max="17" width="14.85546875" style="12" bestFit="1" customWidth="1"/>
    <col min="18" max="18" width="1.42578125" style="12" customWidth="1"/>
    <col min="19" max="19" width="19.85546875" style="12" bestFit="1" customWidth="1"/>
    <col min="20" max="20" width="1.42578125" style="12" customWidth="1"/>
    <col min="21" max="21" width="19.85546875" style="12" bestFit="1" customWidth="1"/>
    <col min="22" max="22" width="1.42578125" style="12" customWidth="1"/>
    <col min="23" max="23" width="17.28515625" style="12" bestFit="1" customWidth="1"/>
    <col min="24" max="16384" width="9.140625" style="12"/>
  </cols>
  <sheetData>
    <row r="1" spans="1:26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6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6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5" spans="1:26" ht="21" x14ac:dyDescent="0.45">
      <c r="A5" s="13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6" ht="21" x14ac:dyDescent="0.45">
      <c r="A6" s="13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8" spans="1:26" ht="21" x14ac:dyDescent="0.45">
      <c r="C8" s="14" t="s">
        <v>5</v>
      </c>
      <c r="D8" s="15"/>
      <c r="E8" s="15"/>
      <c r="F8" s="15"/>
      <c r="G8" s="15"/>
      <c r="I8" s="14" t="s">
        <v>6</v>
      </c>
      <c r="J8" s="15"/>
      <c r="K8" s="15"/>
      <c r="L8" s="15"/>
      <c r="M8" s="15"/>
      <c r="O8" s="14" t="s">
        <v>7</v>
      </c>
      <c r="P8" s="15"/>
      <c r="Q8" s="15"/>
      <c r="R8" s="15"/>
      <c r="S8" s="15"/>
      <c r="T8" s="15"/>
      <c r="U8" s="15"/>
      <c r="V8" s="15"/>
      <c r="W8" s="15"/>
    </row>
    <row r="9" spans="1:26" ht="18.75" x14ac:dyDescent="0.45">
      <c r="A9" s="16" t="s">
        <v>8</v>
      </c>
      <c r="C9" s="16" t="s">
        <v>9</v>
      </c>
      <c r="E9" s="16" t="s">
        <v>10</v>
      </c>
      <c r="G9" s="16" t="s">
        <v>11</v>
      </c>
      <c r="I9" s="16" t="s">
        <v>12</v>
      </c>
      <c r="J9" s="11"/>
      <c r="L9" s="16" t="s">
        <v>13</v>
      </c>
      <c r="M9" s="11"/>
      <c r="O9" s="16" t="s">
        <v>9</v>
      </c>
      <c r="Q9" s="17" t="s">
        <v>14</v>
      </c>
      <c r="S9" s="16" t="s">
        <v>10</v>
      </c>
      <c r="U9" s="16" t="s">
        <v>11</v>
      </c>
      <c r="W9" s="17" t="s">
        <v>15</v>
      </c>
      <c r="Z9" s="37"/>
    </row>
    <row r="10" spans="1:26" ht="18.75" x14ac:dyDescent="0.45">
      <c r="A10" s="18"/>
      <c r="C10" s="18"/>
      <c r="E10" s="18"/>
      <c r="G10" s="18"/>
      <c r="I10" s="19" t="s">
        <v>9</v>
      </c>
      <c r="J10" s="19" t="s">
        <v>10</v>
      </c>
      <c r="L10" s="19" t="s">
        <v>9</v>
      </c>
      <c r="M10" s="19" t="s">
        <v>16</v>
      </c>
      <c r="O10" s="18"/>
      <c r="Q10" s="18"/>
      <c r="S10" s="18"/>
      <c r="U10" s="18"/>
      <c r="W10" s="18"/>
    </row>
    <row r="11" spans="1:26" ht="37.5" x14ac:dyDescent="0.45">
      <c r="A11" s="20" t="s">
        <v>17</v>
      </c>
      <c r="C11" s="21">
        <v>50000</v>
      </c>
      <c r="E11" s="21">
        <v>1000908000</v>
      </c>
      <c r="G11" s="21">
        <v>1341967500</v>
      </c>
      <c r="N11" s="22"/>
      <c r="O11" s="21">
        <v>50000</v>
      </c>
      <c r="Q11" s="21">
        <v>28000</v>
      </c>
      <c r="S11" s="21">
        <v>1000908000</v>
      </c>
      <c r="U11" s="21">
        <v>1391670000</v>
      </c>
      <c r="W11" s="23">
        <v>6.8735196900929522E-4</v>
      </c>
    </row>
    <row r="12" spans="1:26" ht="18.75" x14ac:dyDescent="0.45">
      <c r="A12" s="20" t="s">
        <v>18</v>
      </c>
      <c r="C12" s="21">
        <v>245000</v>
      </c>
      <c r="E12" s="21">
        <v>1829159370</v>
      </c>
      <c r="G12" s="21">
        <v>1799777227</v>
      </c>
      <c r="N12" s="22"/>
      <c r="O12" s="21">
        <v>245000</v>
      </c>
      <c r="Q12" s="21">
        <v>6530</v>
      </c>
      <c r="S12" s="21">
        <v>1829159370</v>
      </c>
      <c r="U12" s="21">
        <v>1590330892</v>
      </c>
      <c r="W12" s="23">
        <v>7.8547146233841987E-4</v>
      </c>
    </row>
    <row r="13" spans="1:26" ht="18.75" x14ac:dyDescent="0.45">
      <c r="A13" s="20" t="s">
        <v>19</v>
      </c>
      <c r="C13" s="21">
        <v>1895580</v>
      </c>
      <c r="E13" s="21">
        <v>18383781995</v>
      </c>
      <c r="G13" s="21">
        <v>18541524782</v>
      </c>
      <c r="I13" s="21">
        <v>0</v>
      </c>
      <c r="J13" s="21">
        <v>0</v>
      </c>
      <c r="L13" s="21">
        <v>697410</v>
      </c>
      <c r="M13" s="21">
        <v>6292796240</v>
      </c>
      <c r="O13" s="21">
        <v>1198170</v>
      </c>
      <c r="Q13" s="21">
        <v>8950</v>
      </c>
      <c r="S13" s="21">
        <v>11620135300</v>
      </c>
      <c r="U13" s="21">
        <v>10659815952</v>
      </c>
      <c r="W13" s="23">
        <v>5.2649302520596797E-3</v>
      </c>
    </row>
    <row r="14" spans="1:26" ht="18.75" x14ac:dyDescent="0.45">
      <c r="A14" s="20" t="s">
        <v>20</v>
      </c>
      <c r="C14" s="21">
        <v>19134677</v>
      </c>
      <c r="E14" s="21">
        <v>75470102718</v>
      </c>
      <c r="G14" s="21">
        <v>51204062709</v>
      </c>
      <c r="I14" s="21">
        <v>0</v>
      </c>
      <c r="J14" s="21">
        <v>0</v>
      </c>
      <c r="L14" s="21">
        <v>2735618</v>
      </c>
      <c r="M14" s="21">
        <v>6017851619</v>
      </c>
      <c r="O14" s="21">
        <v>16399059</v>
      </c>
      <c r="Q14" s="21">
        <v>2185</v>
      </c>
      <c r="S14" s="21">
        <v>64680405486</v>
      </c>
      <c r="U14" s="21">
        <v>35618743849</v>
      </c>
      <c r="W14" s="23">
        <v>1.7592255145435248E-2</v>
      </c>
    </row>
    <row r="15" spans="1:26" ht="18.75" x14ac:dyDescent="0.45">
      <c r="A15" s="20" t="s">
        <v>21</v>
      </c>
      <c r="C15" s="21">
        <v>1557320</v>
      </c>
      <c r="E15" s="21">
        <v>21589443719</v>
      </c>
      <c r="G15" s="21">
        <v>21332183376</v>
      </c>
      <c r="I15" s="21">
        <v>0</v>
      </c>
      <c r="J15" s="21">
        <v>0</v>
      </c>
      <c r="L15" s="21">
        <v>387418</v>
      </c>
      <c r="M15" s="21">
        <v>4674141513</v>
      </c>
      <c r="O15" s="21">
        <v>1169902</v>
      </c>
      <c r="Q15" s="21">
        <v>12810</v>
      </c>
      <c r="S15" s="21">
        <v>16218589234</v>
      </c>
      <c r="U15" s="21">
        <v>14897275275</v>
      </c>
      <c r="W15" s="23">
        <v>7.3578301559599187E-3</v>
      </c>
    </row>
    <row r="16" spans="1:26" ht="18.75" x14ac:dyDescent="0.45">
      <c r="A16" s="20" t="s">
        <v>22</v>
      </c>
      <c r="C16" s="21">
        <v>14265950</v>
      </c>
      <c r="E16" s="21">
        <v>25988123619</v>
      </c>
      <c r="G16" s="21">
        <v>45535408056</v>
      </c>
      <c r="I16" s="21">
        <v>0</v>
      </c>
      <c r="J16" s="21">
        <v>0</v>
      </c>
      <c r="L16" s="21">
        <v>6000000</v>
      </c>
      <c r="M16" s="21">
        <v>17522660695</v>
      </c>
      <c r="O16" s="21">
        <v>8265950</v>
      </c>
      <c r="Q16" s="21">
        <v>2816</v>
      </c>
      <c r="S16" s="21">
        <v>15057989859</v>
      </c>
      <c r="U16" s="21">
        <v>23138417555</v>
      </c>
      <c r="W16" s="23">
        <v>1.1428166782490456E-2</v>
      </c>
    </row>
    <row r="17" spans="1:23" ht="18.75" x14ac:dyDescent="0.45">
      <c r="A17" s="20" t="s">
        <v>23</v>
      </c>
      <c r="C17" s="21">
        <v>500000</v>
      </c>
      <c r="E17" s="21">
        <v>7186663004</v>
      </c>
      <c r="G17" s="21">
        <v>6983201250</v>
      </c>
      <c r="I17" s="21">
        <v>0</v>
      </c>
      <c r="J17" s="21">
        <v>0</v>
      </c>
      <c r="L17" s="21">
        <v>500000</v>
      </c>
      <c r="M17" s="21">
        <v>6011371915</v>
      </c>
      <c r="W17" s="23">
        <v>0</v>
      </c>
    </row>
    <row r="18" spans="1:23" ht="18.75" x14ac:dyDescent="0.45">
      <c r="A18" s="20" t="s">
        <v>24</v>
      </c>
      <c r="C18" s="21">
        <v>1750000</v>
      </c>
      <c r="E18" s="21">
        <v>4291393050</v>
      </c>
      <c r="G18" s="21">
        <v>6502578075</v>
      </c>
      <c r="N18" s="22"/>
      <c r="O18" s="21">
        <v>1750000</v>
      </c>
      <c r="Q18" s="21">
        <v>3522</v>
      </c>
      <c r="S18" s="21">
        <v>4291393050</v>
      </c>
      <c r="U18" s="21">
        <v>6126827175</v>
      </c>
      <c r="W18" s="23">
        <v>3.0260670435634223E-3</v>
      </c>
    </row>
    <row r="19" spans="1:23" ht="18.75" x14ac:dyDescent="0.45">
      <c r="A19" s="20" t="s">
        <v>25</v>
      </c>
      <c r="C19" s="21">
        <v>23109504</v>
      </c>
      <c r="E19" s="21">
        <v>47166686292</v>
      </c>
      <c r="G19" s="21">
        <v>34917443726</v>
      </c>
      <c r="I19" s="21">
        <v>0</v>
      </c>
      <c r="J19" s="21">
        <v>0</v>
      </c>
      <c r="L19" s="21">
        <v>9600000</v>
      </c>
      <c r="M19" s="21">
        <v>13239276351</v>
      </c>
      <c r="O19" s="21">
        <v>13509504</v>
      </c>
      <c r="Q19" s="21">
        <v>1329</v>
      </c>
      <c r="S19" s="21">
        <v>27573007933</v>
      </c>
      <c r="U19" s="21">
        <v>17847303738</v>
      </c>
      <c r="W19" s="23">
        <v>8.8148622631954807E-3</v>
      </c>
    </row>
    <row r="20" spans="1:23" ht="18.75" x14ac:dyDescent="0.45">
      <c r="A20" s="20" t="s">
        <v>26</v>
      </c>
      <c r="C20" s="21">
        <v>2875000</v>
      </c>
      <c r="E20" s="21">
        <v>4907321845</v>
      </c>
      <c r="G20" s="21">
        <v>5507161256</v>
      </c>
      <c r="N20" s="22"/>
      <c r="O20" s="21">
        <v>2875000</v>
      </c>
      <c r="Q20" s="21">
        <v>1927</v>
      </c>
      <c r="S20" s="21">
        <v>4907321845</v>
      </c>
      <c r="U20" s="21">
        <v>5507161256</v>
      </c>
      <c r="W20" s="23">
        <v>2.7200113050962539E-3</v>
      </c>
    </row>
    <row r="21" spans="1:23" ht="18.75" x14ac:dyDescent="0.45">
      <c r="A21" s="20" t="s">
        <v>27</v>
      </c>
      <c r="C21" s="21">
        <v>15000000</v>
      </c>
      <c r="E21" s="21">
        <v>52648211603</v>
      </c>
      <c r="G21" s="21">
        <v>65622210750</v>
      </c>
      <c r="N21" s="22"/>
      <c r="O21" s="21">
        <v>15000000</v>
      </c>
      <c r="Q21" s="21">
        <v>3858</v>
      </c>
      <c r="S21" s="21">
        <v>52648211603</v>
      </c>
      <c r="U21" s="21">
        <v>57525673500</v>
      </c>
      <c r="W21" s="23">
        <v>2.8412184604691366E-2</v>
      </c>
    </row>
    <row r="22" spans="1:23" ht="18.75" x14ac:dyDescent="0.45">
      <c r="A22" s="20" t="s">
        <v>28</v>
      </c>
      <c r="C22" s="21">
        <v>18000000</v>
      </c>
      <c r="E22" s="21">
        <v>68494115581</v>
      </c>
      <c r="G22" s="21">
        <v>129365667000</v>
      </c>
      <c r="I22" s="21">
        <v>0</v>
      </c>
      <c r="J22" s="21">
        <v>0</v>
      </c>
      <c r="L22" s="21">
        <v>3381827</v>
      </c>
      <c r="M22" s="21">
        <v>22884247608</v>
      </c>
      <c r="O22" s="21">
        <v>14618173</v>
      </c>
      <c r="Q22" s="21">
        <v>7180</v>
      </c>
      <c r="S22" s="21">
        <v>55625490613</v>
      </c>
      <c r="U22" s="21">
        <v>104333979171</v>
      </c>
      <c r="W22" s="23">
        <v>5.1531013830693806E-2</v>
      </c>
    </row>
    <row r="23" spans="1:23" ht="18.75" x14ac:dyDescent="0.45">
      <c r="A23" s="20" t="s">
        <v>29</v>
      </c>
      <c r="C23" s="21">
        <v>4739606</v>
      </c>
      <c r="E23" s="21">
        <v>17139071894</v>
      </c>
      <c r="G23" s="21">
        <v>22237833225</v>
      </c>
      <c r="I23" s="21">
        <v>0</v>
      </c>
      <c r="J23" s="21">
        <v>0</v>
      </c>
      <c r="L23" s="21">
        <v>2400000</v>
      </c>
      <c r="M23" s="21">
        <v>9566737242</v>
      </c>
      <c r="O23" s="21">
        <v>2339606</v>
      </c>
      <c r="Q23" s="21">
        <v>3743</v>
      </c>
      <c r="S23" s="21">
        <v>8460339412</v>
      </c>
      <c r="U23" s="21">
        <v>8705040244</v>
      </c>
      <c r="W23" s="23">
        <v>4.299457882988464E-3</v>
      </c>
    </row>
    <row r="24" spans="1:23" ht="18.75" x14ac:dyDescent="0.45">
      <c r="A24" s="20" t="s">
        <v>30</v>
      </c>
      <c r="C24" s="21">
        <v>9127149</v>
      </c>
      <c r="E24" s="21">
        <v>20800950175</v>
      </c>
      <c r="G24" s="21">
        <v>13863303284</v>
      </c>
      <c r="I24" s="21">
        <v>0</v>
      </c>
      <c r="J24" s="21">
        <v>0</v>
      </c>
      <c r="L24" s="21">
        <v>1361366</v>
      </c>
      <c r="M24" s="21">
        <v>2004222846</v>
      </c>
      <c r="O24" s="21">
        <v>7765783</v>
      </c>
      <c r="Q24" s="21">
        <v>1589</v>
      </c>
      <c r="S24" s="21">
        <v>17698370570</v>
      </c>
      <c r="U24" s="21">
        <v>12266407203</v>
      </c>
      <c r="W24" s="23">
        <v>6.0584327776353961E-3</v>
      </c>
    </row>
    <row r="25" spans="1:23" ht="37.5" x14ac:dyDescent="0.45">
      <c r="A25" s="20" t="s">
        <v>31</v>
      </c>
      <c r="C25" s="21">
        <v>842177</v>
      </c>
      <c r="E25" s="21">
        <v>2001916090</v>
      </c>
      <c r="G25" s="21">
        <v>4014211195</v>
      </c>
      <c r="N25" s="22"/>
      <c r="O25" s="21">
        <v>842177</v>
      </c>
      <c r="Q25" s="21">
        <v>3742</v>
      </c>
      <c r="S25" s="21">
        <v>2001916090</v>
      </c>
      <c r="U25" s="21">
        <v>3132675347</v>
      </c>
      <c r="W25" s="23">
        <v>1.5472422111760167E-3</v>
      </c>
    </row>
    <row r="26" spans="1:23" ht="37.5" x14ac:dyDescent="0.45">
      <c r="A26" s="20" t="s">
        <v>32</v>
      </c>
      <c r="C26" s="21">
        <v>285750</v>
      </c>
      <c r="E26" s="21">
        <v>12123197874</v>
      </c>
      <c r="G26" s="21">
        <v>13378744991</v>
      </c>
      <c r="N26" s="22"/>
      <c r="O26" s="21">
        <v>285750</v>
      </c>
      <c r="Q26" s="21">
        <v>43150</v>
      </c>
      <c r="S26" s="21">
        <v>12123197874</v>
      </c>
      <c r="U26" s="21">
        <v>12256748331</v>
      </c>
      <c r="W26" s="23">
        <v>6.0536622180288741E-3</v>
      </c>
    </row>
    <row r="27" spans="1:23" ht="37.5" x14ac:dyDescent="0.45">
      <c r="A27" s="20" t="s">
        <v>33</v>
      </c>
      <c r="C27" s="21">
        <v>250000</v>
      </c>
      <c r="E27" s="21">
        <v>800726400</v>
      </c>
      <c r="G27" s="21">
        <v>956524612</v>
      </c>
      <c r="N27" s="22"/>
      <c r="O27" s="21">
        <v>250000</v>
      </c>
      <c r="Q27" s="21">
        <v>3482</v>
      </c>
      <c r="S27" s="21">
        <v>800726400</v>
      </c>
      <c r="U27" s="21">
        <v>865320525</v>
      </c>
      <c r="W27" s="23">
        <v>4.2738563501613675E-4</v>
      </c>
    </row>
    <row r="28" spans="1:23" ht="37.5" x14ac:dyDescent="0.45">
      <c r="A28" s="20" t="s">
        <v>34</v>
      </c>
      <c r="C28" s="21">
        <v>100000</v>
      </c>
      <c r="E28" s="21">
        <v>12596427117</v>
      </c>
      <c r="G28" s="21">
        <v>12177112500</v>
      </c>
      <c r="I28" s="21">
        <v>0</v>
      </c>
      <c r="J28" s="21">
        <v>0</v>
      </c>
      <c r="L28" s="21">
        <v>25000</v>
      </c>
      <c r="M28" s="21">
        <v>2712676136</v>
      </c>
      <c r="O28" s="21">
        <v>75000</v>
      </c>
      <c r="Q28" s="21">
        <v>114900</v>
      </c>
      <c r="S28" s="21">
        <v>9447320338</v>
      </c>
      <c r="U28" s="21">
        <v>8566225875</v>
      </c>
      <c r="W28" s="23">
        <v>4.2308968520982865E-3</v>
      </c>
    </row>
    <row r="29" spans="1:23" ht="37.5" x14ac:dyDescent="0.45">
      <c r="A29" s="20" t="s">
        <v>35</v>
      </c>
      <c r="C29" s="21">
        <v>6645110</v>
      </c>
      <c r="E29" s="21">
        <v>67281885372</v>
      </c>
      <c r="G29" s="21">
        <v>78936580566</v>
      </c>
      <c r="I29" s="21">
        <v>0</v>
      </c>
      <c r="J29" s="21">
        <v>0</v>
      </c>
      <c r="L29" s="21">
        <v>500000</v>
      </c>
      <c r="M29" s="21">
        <v>5096628745</v>
      </c>
      <c r="O29" s="21">
        <v>6145110</v>
      </c>
      <c r="Q29" s="21">
        <v>9630</v>
      </c>
      <c r="S29" s="21">
        <v>62219374340</v>
      </c>
      <c r="U29" s="21">
        <v>58825303715</v>
      </c>
      <c r="W29" s="23">
        <v>2.9054077716754015E-2</v>
      </c>
    </row>
    <row r="30" spans="1:23" ht="18.75" x14ac:dyDescent="0.45">
      <c r="A30" s="20" t="s">
        <v>36</v>
      </c>
      <c r="C30" s="21">
        <v>1000000</v>
      </c>
      <c r="E30" s="21">
        <v>6555947400</v>
      </c>
      <c r="G30" s="21">
        <v>5904657000</v>
      </c>
      <c r="N30" s="22"/>
      <c r="O30" s="21">
        <v>1000000</v>
      </c>
      <c r="Q30" s="21">
        <v>5630</v>
      </c>
      <c r="S30" s="21">
        <v>6555947400</v>
      </c>
      <c r="U30" s="21">
        <v>5596501500</v>
      </c>
      <c r="W30" s="23">
        <v>2.7641368468016656E-3</v>
      </c>
    </row>
    <row r="31" spans="1:23" ht="18.75" x14ac:dyDescent="0.45">
      <c r="A31" s="20" t="s">
        <v>37</v>
      </c>
      <c r="C31" s="21">
        <v>31806527</v>
      </c>
      <c r="E31" s="21">
        <v>59228648705</v>
      </c>
      <c r="G31" s="21">
        <v>46509016180</v>
      </c>
      <c r="I31" s="21">
        <v>0</v>
      </c>
      <c r="J31" s="21">
        <v>0</v>
      </c>
      <c r="L31" s="21">
        <v>38666</v>
      </c>
      <c r="M31" s="21">
        <v>48011797</v>
      </c>
      <c r="O31" s="21">
        <v>31767861</v>
      </c>
      <c r="Q31" s="21">
        <v>1152</v>
      </c>
      <c r="S31" s="21">
        <v>59156646662</v>
      </c>
      <c r="U31" s="21">
        <v>36378826246</v>
      </c>
      <c r="W31" s="23">
        <v>1.7967663203514575E-2</v>
      </c>
    </row>
    <row r="32" spans="1:23" ht="37.5" x14ac:dyDescent="0.45">
      <c r="A32" s="20" t="s">
        <v>38</v>
      </c>
      <c r="C32" s="21">
        <v>7329302</v>
      </c>
      <c r="E32" s="21">
        <v>54397299345</v>
      </c>
      <c r="G32" s="21">
        <v>41819875829</v>
      </c>
      <c r="I32" s="21">
        <v>0</v>
      </c>
      <c r="J32" s="21">
        <v>0</v>
      </c>
      <c r="L32" s="21">
        <v>1837823</v>
      </c>
      <c r="M32" s="21">
        <v>9753274092</v>
      </c>
      <c r="O32" s="21">
        <v>5491479</v>
      </c>
      <c r="Q32" s="21">
        <v>5250</v>
      </c>
      <c r="S32" s="21">
        <v>40757172649</v>
      </c>
      <c r="U32" s="21">
        <v>28658724675</v>
      </c>
      <c r="W32" s="23">
        <v>1.4154670887966634E-2</v>
      </c>
    </row>
    <row r="33" spans="1:23" ht="18.75" x14ac:dyDescent="0.45">
      <c r="A33" s="20" t="s">
        <v>39</v>
      </c>
      <c r="C33" s="21">
        <v>136747</v>
      </c>
      <c r="E33" s="21">
        <v>2271462880</v>
      </c>
      <c r="G33" s="21">
        <v>2785274451</v>
      </c>
      <c r="I33" s="21">
        <v>0</v>
      </c>
      <c r="J33" s="21">
        <v>0</v>
      </c>
      <c r="L33" s="21">
        <v>136747</v>
      </c>
      <c r="M33" s="21">
        <v>2362834299</v>
      </c>
      <c r="W33" s="23">
        <v>0</v>
      </c>
    </row>
    <row r="34" spans="1:23" ht="18.75" x14ac:dyDescent="0.45">
      <c r="A34" s="20" t="s">
        <v>40</v>
      </c>
      <c r="C34" s="21">
        <v>2773715</v>
      </c>
      <c r="E34" s="21">
        <v>77701541135</v>
      </c>
      <c r="G34" s="21">
        <v>80979298693</v>
      </c>
      <c r="N34" s="22"/>
      <c r="O34" s="21">
        <v>15959262</v>
      </c>
      <c r="Q34" s="21">
        <v>4890</v>
      </c>
      <c r="S34" s="21">
        <v>77701541135</v>
      </c>
      <c r="U34" s="21">
        <v>77576448472</v>
      </c>
      <c r="W34" s="23">
        <v>3.8315351057346445E-2</v>
      </c>
    </row>
    <row r="35" spans="1:23" ht="37.5" x14ac:dyDescent="0.45">
      <c r="A35" s="20" t="s">
        <v>41</v>
      </c>
      <c r="C35" s="21">
        <v>272500</v>
      </c>
      <c r="E35" s="21">
        <v>5103379665</v>
      </c>
      <c r="G35" s="21">
        <v>9887069812</v>
      </c>
      <c r="I35" s="21">
        <v>0</v>
      </c>
      <c r="J35" s="21">
        <v>0</v>
      </c>
      <c r="L35" s="21">
        <v>150126</v>
      </c>
      <c r="M35" s="21">
        <v>4938968390</v>
      </c>
      <c r="O35" s="21">
        <v>122374</v>
      </c>
      <c r="Q35" s="21">
        <v>29250</v>
      </c>
      <c r="S35" s="21">
        <v>2291820122</v>
      </c>
      <c r="U35" s="21">
        <v>3558141835</v>
      </c>
      <c r="W35" s="23">
        <v>1.7573819916370955E-3</v>
      </c>
    </row>
    <row r="36" spans="1:23" ht="18.75" x14ac:dyDescent="0.45">
      <c r="A36" s="20" t="s">
        <v>42</v>
      </c>
      <c r="C36" s="21">
        <v>2672602</v>
      </c>
      <c r="E36" s="21">
        <v>35385653732</v>
      </c>
      <c r="G36" s="21">
        <v>38787820264</v>
      </c>
      <c r="I36" s="21">
        <v>0</v>
      </c>
      <c r="J36" s="21">
        <v>0</v>
      </c>
      <c r="L36" s="21">
        <v>100000</v>
      </c>
      <c r="M36" s="21">
        <v>1002919968</v>
      </c>
      <c r="O36" s="21">
        <v>2572602</v>
      </c>
      <c r="Q36" s="21">
        <v>9870</v>
      </c>
      <c r="S36" s="21">
        <v>34061638644</v>
      </c>
      <c r="U36" s="21">
        <v>25240501829</v>
      </c>
      <c r="W36" s="23">
        <v>1.2466395503923967E-2</v>
      </c>
    </row>
    <row r="37" spans="1:23" ht="18.75" x14ac:dyDescent="0.45">
      <c r="A37" s="20" t="s">
        <v>43</v>
      </c>
      <c r="C37" s="21">
        <v>27844387</v>
      </c>
      <c r="E37" s="21">
        <v>73147788635</v>
      </c>
      <c r="G37" s="21">
        <v>59011015897</v>
      </c>
      <c r="I37" s="21">
        <v>0</v>
      </c>
      <c r="J37" s="21">
        <v>0</v>
      </c>
      <c r="L37" s="21">
        <v>1945044</v>
      </c>
      <c r="M37" s="21">
        <v>3537549852</v>
      </c>
      <c r="O37" s="21">
        <v>25899343</v>
      </c>
      <c r="Q37" s="21">
        <v>1719</v>
      </c>
      <c r="S37" s="21">
        <v>68038117253</v>
      </c>
      <c r="U37" s="21">
        <v>44256070842</v>
      </c>
      <c r="W37" s="23">
        <v>2.1858269154227335E-2</v>
      </c>
    </row>
    <row r="38" spans="1:23" ht="37.5" x14ac:dyDescent="0.45">
      <c r="A38" s="20" t="s">
        <v>44</v>
      </c>
      <c r="C38" s="21">
        <v>15167887</v>
      </c>
      <c r="E38" s="21">
        <v>44183747576</v>
      </c>
      <c r="G38" s="21">
        <v>38870150951</v>
      </c>
      <c r="I38" s="21">
        <v>0</v>
      </c>
      <c r="J38" s="21">
        <v>0</v>
      </c>
      <c r="L38" s="21">
        <v>3283699</v>
      </c>
      <c r="M38" s="21">
        <v>7165567833</v>
      </c>
      <c r="O38" s="21">
        <v>11884188</v>
      </c>
      <c r="Q38" s="21">
        <v>2135</v>
      </c>
      <c r="S38" s="21">
        <v>34618398907</v>
      </c>
      <c r="U38" s="21">
        <v>25221773569</v>
      </c>
      <c r="W38" s="23">
        <v>1.2457145533466087E-2</v>
      </c>
    </row>
    <row r="39" spans="1:23" ht="18.75" x14ac:dyDescent="0.45">
      <c r="A39" s="20" t="s">
        <v>45</v>
      </c>
      <c r="C39" s="21">
        <v>10258397</v>
      </c>
      <c r="E39" s="21">
        <v>27693957457</v>
      </c>
      <c r="G39" s="21">
        <v>19997022054</v>
      </c>
      <c r="I39" s="21">
        <v>0</v>
      </c>
      <c r="J39" s="21">
        <v>0</v>
      </c>
      <c r="L39" s="21">
        <v>10258397</v>
      </c>
      <c r="M39" s="21">
        <v>17418477479</v>
      </c>
      <c r="W39" s="23">
        <v>0</v>
      </c>
    </row>
    <row r="40" spans="1:23" ht="18.75" x14ac:dyDescent="0.45">
      <c r="A40" s="20" t="s">
        <v>46</v>
      </c>
      <c r="C40" s="21">
        <v>5958319</v>
      </c>
      <c r="E40" s="21">
        <v>19798281699</v>
      </c>
      <c r="G40" s="21">
        <v>14925624845</v>
      </c>
      <c r="I40" s="21">
        <v>0</v>
      </c>
      <c r="J40" s="21">
        <v>0</v>
      </c>
      <c r="L40" s="21">
        <v>3362092</v>
      </c>
      <c r="M40" s="21">
        <v>7372457892</v>
      </c>
      <c r="O40" s="21">
        <v>2596227</v>
      </c>
      <c r="Q40" s="21">
        <v>2049</v>
      </c>
      <c r="S40" s="21">
        <v>8626734067</v>
      </c>
      <c r="U40" s="21">
        <v>5288017092</v>
      </c>
      <c r="W40" s="23">
        <v>2.6117750331192072E-3</v>
      </c>
    </row>
    <row r="41" spans="1:23" ht="37.5" x14ac:dyDescent="0.45">
      <c r="A41" s="20" t="s">
        <v>47</v>
      </c>
      <c r="C41" s="21">
        <v>3250000</v>
      </c>
      <c r="E41" s="21">
        <v>3939323661</v>
      </c>
      <c r="G41" s="21">
        <v>3883256325</v>
      </c>
      <c r="N41" s="22"/>
      <c r="O41" s="21">
        <v>3250000</v>
      </c>
      <c r="Q41" s="21">
        <v>1094</v>
      </c>
      <c r="S41" s="21">
        <v>3939323661</v>
      </c>
      <c r="U41" s="21">
        <v>3534344775</v>
      </c>
      <c r="W41" s="23">
        <v>1.745628518437535E-3</v>
      </c>
    </row>
    <row r="42" spans="1:23" ht="18.75" x14ac:dyDescent="0.45">
      <c r="A42" s="20" t="s">
        <v>48</v>
      </c>
      <c r="C42" s="21">
        <v>1186353</v>
      </c>
      <c r="E42" s="21">
        <v>26013113139</v>
      </c>
      <c r="G42" s="21">
        <v>72326113265</v>
      </c>
      <c r="I42" s="21">
        <v>0</v>
      </c>
      <c r="J42" s="21">
        <v>0</v>
      </c>
      <c r="L42" s="21">
        <v>1186353</v>
      </c>
      <c r="M42" s="21">
        <v>60228986918</v>
      </c>
      <c r="W42" s="23">
        <v>0</v>
      </c>
    </row>
    <row r="43" spans="1:23" ht="18.75" x14ac:dyDescent="0.45">
      <c r="A43" s="20" t="s">
        <v>49</v>
      </c>
      <c r="C43" s="21">
        <v>100000</v>
      </c>
      <c r="E43" s="21">
        <v>9771059100</v>
      </c>
      <c r="G43" s="21">
        <v>12146296950</v>
      </c>
      <c r="I43" s="21">
        <v>0</v>
      </c>
      <c r="J43" s="21">
        <v>0</v>
      </c>
      <c r="L43" s="21">
        <v>15118</v>
      </c>
      <c r="M43" s="21">
        <v>1570544571</v>
      </c>
      <c r="O43" s="21">
        <v>84882</v>
      </c>
      <c r="Q43" s="21">
        <v>106260</v>
      </c>
      <c r="S43" s="21">
        <v>8293870385</v>
      </c>
      <c r="U43" s="21">
        <v>8965894930</v>
      </c>
      <c r="W43" s="23">
        <v>4.4282951662865172E-3</v>
      </c>
    </row>
    <row r="44" spans="1:23" ht="18.75" x14ac:dyDescent="0.45">
      <c r="A44" s="20" t="s">
        <v>50</v>
      </c>
      <c r="C44" s="21">
        <v>5530564</v>
      </c>
      <c r="E44" s="21">
        <v>34692272898</v>
      </c>
      <c r="G44" s="21">
        <v>52392672584</v>
      </c>
      <c r="N44" s="22"/>
      <c r="O44" s="21">
        <v>5530564</v>
      </c>
      <c r="Q44" s="21">
        <v>7390</v>
      </c>
      <c r="S44" s="21">
        <v>34692272898</v>
      </c>
      <c r="U44" s="21">
        <v>40627686296</v>
      </c>
      <c r="W44" s="23">
        <v>2.0066193976910878E-2</v>
      </c>
    </row>
    <row r="45" spans="1:23" ht="18.75" x14ac:dyDescent="0.45">
      <c r="A45" s="20" t="s">
        <v>51</v>
      </c>
      <c r="C45" s="21">
        <v>5799792</v>
      </c>
      <c r="E45" s="21">
        <v>31811320316</v>
      </c>
      <c r="G45" s="21">
        <v>54539579428</v>
      </c>
      <c r="I45" s="21">
        <v>0</v>
      </c>
      <c r="J45" s="21">
        <v>0</v>
      </c>
      <c r="L45" s="21">
        <v>300000</v>
      </c>
      <c r="M45" s="21">
        <v>2492951365</v>
      </c>
      <c r="O45" s="21">
        <v>5499792</v>
      </c>
      <c r="Q45" s="21">
        <v>8000</v>
      </c>
      <c r="S45" s="21">
        <v>30165848186</v>
      </c>
      <c r="U45" s="21">
        <v>43736545901</v>
      </c>
      <c r="W45" s="23">
        <v>2.1601673487764893E-2</v>
      </c>
    </row>
    <row r="46" spans="1:23" ht="18.75" x14ac:dyDescent="0.45">
      <c r="A46" s="20" t="s">
        <v>52</v>
      </c>
      <c r="C46" s="21">
        <v>3700000</v>
      </c>
      <c r="E46" s="21">
        <v>32261144892</v>
      </c>
      <c r="G46" s="21">
        <v>71867826900</v>
      </c>
      <c r="I46" s="21">
        <v>0</v>
      </c>
      <c r="J46" s="21">
        <v>0</v>
      </c>
      <c r="L46" s="21">
        <v>700000</v>
      </c>
      <c r="M46" s="21">
        <v>11523027743</v>
      </c>
      <c r="O46" s="21">
        <v>3000000</v>
      </c>
      <c r="Q46" s="21">
        <v>16180</v>
      </c>
      <c r="S46" s="21">
        <v>26157685048</v>
      </c>
      <c r="U46" s="21">
        <v>48251187000</v>
      </c>
      <c r="W46" s="23">
        <v>2.3831474696936566E-2</v>
      </c>
    </row>
    <row r="47" spans="1:23" ht="18.75" x14ac:dyDescent="0.45">
      <c r="A47" s="20" t="s">
        <v>53</v>
      </c>
      <c r="C47" s="21">
        <v>200000</v>
      </c>
      <c r="E47" s="21">
        <v>5506104881</v>
      </c>
      <c r="G47" s="21">
        <v>5825133000</v>
      </c>
      <c r="I47" s="21">
        <v>0</v>
      </c>
      <c r="J47" s="21">
        <v>0</v>
      </c>
      <c r="L47" s="21">
        <v>200000</v>
      </c>
      <c r="M47" s="21">
        <v>5291690299</v>
      </c>
      <c r="W47" s="23">
        <v>0</v>
      </c>
    </row>
    <row r="48" spans="1:23" ht="18.75" x14ac:dyDescent="0.45">
      <c r="A48" s="20" t="s">
        <v>54</v>
      </c>
      <c r="C48" s="21">
        <v>21884415</v>
      </c>
      <c r="E48" s="21">
        <v>53366079438</v>
      </c>
      <c r="G48" s="21">
        <v>32239728447</v>
      </c>
      <c r="I48" s="21">
        <v>0</v>
      </c>
      <c r="J48" s="21">
        <v>0</v>
      </c>
      <c r="L48" s="21">
        <v>4064875</v>
      </c>
      <c r="M48" s="21">
        <v>5325321545</v>
      </c>
      <c r="O48" s="21">
        <v>17819540</v>
      </c>
      <c r="Q48" s="21">
        <v>1287</v>
      </c>
      <c r="S48" s="21">
        <v>43453708366</v>
      </c>
      <c r="U48" s="21">
        <v>22797292180</v>
      </c>
      <c r="W48" s="23">
        <v>1.1259683450820387E-2</v>
      </c>
    </row>
    <row r="49" spans="1:23" ht="18.75" x14ac:dyDescent="0.45">
      <c r="A49" s="20" t="s">
        <v>55</v>
      </c>
      <c r="C49" s="21">
        <v>330974</v>
      </c>
      <c r="E49" s="21">
        <v>10705350134</v>
      </c>
      <c r="G49" s="21">
        <v>8748235098</v>
      </c>
      <c r="I49" s="21">
        <v>0</v>
      </c>
      <c r="J49" s="21">
        <v>0</v>
      </c>
      <c r="L49" s="21">
        <v>6199</v>
      </c>
      <c r="M49" s="21">
        <v>156164327</v>
      </c>
      <c r="O49" s="21">
        <v>324775</v>
      </c>
      <c r="Q49" s="21">
        <v>24150</v>
      </c>
      <c r="S49" s="21">
        <v>10504843552</v>
      </c>
      <c r="U49" s="21">
        <v>7796648518</v>
      </c>
      <c r="W49" s="23">
        <v>3.8507991912742987E-3</v>
      </c>
    </row>
    <row r="50" spans="1:23" ht="18.75" x14ac:dyDescent="0.45">
      <c r="A50" s="20" t="s">
        <v>56</v>
      </c>
      <c r="C50" s="21">
        <v>9448213</v>
      </c>
      <c r="E50" s="21">
        <v>15392047456</v>
      </c>
      <c r="G50" s="21">
        <v>6799805200</v>
      </c>
      <c r="N50" s="22"/>
      <c r="O50" s="21">
        <v>9448213</v>
      </c>
      <c r="Q50" s="21">
        <v>628</v>
      </c>
      <c r="S50" s="21">
        <v>15392047456</v>
      </c>
      <c r="U50" s="21">
        <v>5898173571</v>
      </c>
      <c r="W50" s="23">
        <v>2.9131340171056615E-3</v>
      </c>
    </row>
    <row r="51" spans="1:23" ht="18.75" x14ac:dyDescent="0.45">
      <c r="A51" s="20" t="s">
        <v>57</v>
      </c>
      <c r="C51" s="21">
        <v>10148510</v>
      </c>
      <c r="E51" s="21">
        <v>49005994690</v>
      </c>
      <c r="G51" s="21">
        <v>25543135957</v>
      </c>
      <c r="I51" s="21">
        <v>0</v>
      </c>
      <c r="J51" s="21">
        <v>0</v>
      </c>
      <c r="L51" s="21">
        <v>10148510</v>
      </c>
      <c r="M51" s="21">
        <v>23061457106</v>
      </c>
      <c r="W51" s="23">
        <v>0</v>
      </c>
    </row>
    <row r="52" spans="1:23" ht="18.75" x14ac:dyDescent="0.45">
      <c r="A52" s="20" t="s">
        <v>58</v>
      </c>
      <c r="C52" s="21">
        <v>249996</v>
      </c>
      <c r="E52" s="21">
        <v>1764072098</v>
      </c>
      <c r="G52" s="21">
        <v>1744529837</v>
      </c>
      <c r="N52" s="22"/>
      <c r="O52" s="21">
        <v>249996</v>
      </c>
      <c r="Q52" s="21">
        <v>6000</v>
      </c>
      <c r="S52" s="21">
        <v>1764072098</v>
      </c>
      <c r="U52" s="21">
        <v>1491051143</v>
      </c>
      <c r="W52" s="23">
        <v>7.3643675514641418E-4</v>
      </c>
    </row>
    <row r="53" spans="1:23" ht="18.75" x14ac:dyDescent="0.45">
      <c r="A53" s="20" t="s">
        <v>59</v>
      </c>
      <c r="C53" s="21">
        <v>3600000</v>
      </c>
      <c r="E53" s="21">
        <v>11350296720</v>
      </c>
      <c r="G53" s="21">
        <v>12489244200</v>
      </c>
      <c r="I53" s="21">
        <v>0</v>
      </c>
      <c r="J53" s="21">
        <v>0</v>
      </c>
      <c r="L53" s="21">
        <v>1725000</v>
      </c>
      <c r="M53" s="21">
        <v>5627764648</v>
      </c>
      <c r="O53" s="21">
        <v>1875000</v>
      </c>
      <c r="Q53" s="21">
        <v>3268</v>
      </c>
      <c r="S53" s="21">
        <v>5911612875</v>
      </c>
      <c r="U53" s="21">
        <v>6091041375</v>
      </c>
      <c r="W53" s="23">
        <v>3.0083922786460402E-3</v>
      </c>
    </row>
    <row r="54" spans="1:23" ht="18.75" x14ac:dyDescent="0.45">
      <c r="A54" s="20" t="s">
        <v>60</v>
      </c>
      <c r="C54" s="21">
        <v>22264729</v>
      </c>
      <c r="E54" s="21">
        <v>114019137431</v>
      </c>
      <c r="G54" s="21">
        <v>86227261048</v>
      </c>
      <c r="I54" s="21">
        <v>0</v>
      </c>
      <c r="J54" s="21">
        <v>0</v>
      </c>
      <c r="L54" s="21">
        <v>658981</v>
      </c>
      <c r="M54" s="21">
        <v>2186026586</v>
      </c>
      <c r="O54" s="21">
        <v>21605748</v>
      </c>
      <c r="Q54" s="21">
        <v>3080</v>
      </c>
      <c r="S54" s="21">
        <v>110644452511</v>
      </c>
      <c r="U54" s="21">
        <v>66149756902</v>
      </c>
      <c r="W54" s="23">
        <v>3.2671657545305939E-2</v>
      </c>
    </row>
    <row r="55" spans="1:23" ht="18.75" x14ac:dyDescent="0.45">
      <c r="A55" s="20" t="s">
        <v>61</v>
      </c>
      <c r="C55" s="21">
        <v>13640509</v>
      </c>
      <c r="E55" s="21">
        <v>88731042001</v>
      </c>
      <c r="G55" s="21">
        <v>113220555562</v>
      </c>
      <c r="I55" s="21">
        <v>0</v>
      </c>
      <c r="J55" s="21">
        <v>0</v>
      </c>
      <c r="L55" s="21">
        <v>2800000</v>
      </c>
      <c r="M55" s="21">
        <v>19706047321</v>
      </c>
      <c r="O55" s="21">
        <v>10840509</v>
      </c>
      <c r="Q55" s="21">
        <v>6420</v>
      </c>
      <c r="S55" s="21">
        <v>70517138282</v>
      </c>
      <c r="U55" s="21">
        <v>69181971177</v>
      </c>
      <c r="W55" s="23">
        <v>3.4169281588634706E-2</v>
      </c>
    </row>
    <row r="56" spans="1:23" ht="18.75" x14ac:dyDescent="0.45">
      <c r="A56" s="20" t="s">
        <v>62</v>
      </c>
      <c r="C56" s="21">
        <v>14021442</v>
      </c>
      <c r="E56" s="21">
        <v>48395249821</v>
      </c>
      <c r="G56" s="21">
        <v>38705866045</v>
      </c>
      <c r="I56" s="21">
        <v>0</v>
      </c>
      <c r="J56" s="21">
        <v>0</v>
      </c>
      <c r="L56" s="21">
        <v>1328533</v>
      </c>
      <c r="M56" s="21">
        <v>3226863571</v>
      </c>
      <c r="O56" s="21">
        <v>12692909</v>
      </c>
      <c r="Q56" s="21">
        <v>2212</v>
      </c>
      <c r="S56" s="21">
        <v>43809795170</v>
      </c>
      <c r="U56" s="21">
        <v>27909658255</v>
      </c>
      <c r="W56" s="23">
        <v>1.3784703669656442E-2</v>
      </c>
    </row>
    <row r="57" spans="1:23" ht="18.75" x14ac:dyDescent="0.45">
      <c r="A57" s="20" t="s">
        <v>63</v>
      </c>
      <c r="C57" s="21">
        <v>800000</v>
      </c>
      <c r="E57" s="21">
        <v>7190523048</v>
      </c>
      <c r="G57" s="21">
        <v>6608444400</v>
      </c>
      <c r="I57" s="21">
        <v>0</v>
      </c>
      <c r="J57" s="21">
        <v>0</v>
      </c>
      <c r="L57" s="21">
        <v>800000</v>
      </c>
      <c r="M57" s="21">
        <v>5996109686</v>
      </c>
      <c r="W57" s="23">
        <v>0</v>
      </c>
    </row>
    <row r="58" spans="1:23" ht="18.75" x14ac:dyDescent="0.45">
      <c r="A58" s="20" t="s">
        <v>64</v>
      </c>
      <c r="C58" s="21">
        <v>200000</v>
      </c>
      <c r="E58" s="21">
        <v>1227137722</v>
      </c>
      <c r="G58" s="21">
        <v>1071585900</v>
      </c>
      <c r="I58" s="21">
        <v>0</v>
      </c>
      <c r="J58" s="21">
        <v>0</v>
      </c>
      <c r="L58" s="21">
        <v>200000</v>
      </c>
      <c r="M58" s="21">
        <v>885300938</v>
      </c>
      <c r="W58" s="23">
        <v>0</v>
      </c>
    </row>
    <row r="59" spans="1:23" ht="18.75" x14ac:dyDescent="0.45">
      <c r="A59" s="20" t="s">
        <v>65</v>
      </c>
      <c r="C59" s="21">
        <v>8231319</v>
      </c>
      <c r="E59" s="21">
        <v>42556668634</v>
      </c>
      <c r="G59" s="21">
        <v>30217391414</v>
      </c>
      <c r="N59" s="22"/>
      <c r="O59" s="21">
        <v>8231319</v>
      </c>
      <c r="Q59" s="21">
        <v>3507</v>
      </c>
      <c r="S59" s="21">
        <v>42556668634</v>
      </c>
      <c r="U59" s="21">
        <v>28695475680</v>
      </c>
      <c r="W59" s="23">
        <v>1.4172822371903069E-2</v>
      </c>
    </row>
    <row r="60" spans="1:23" ht="18.75" x14ac:dyDescent="0.45">
      <c r="A60" s="20" t="s">
        <v>66</v>
      </c>
      <c r="C60" s="21">
        <v>6256631</v>
      </c>
      <c r="E60" s="21">
        <v>27157213151</v>
      </c>
      <c r="G60" s="21">
        <v>29131688549</v>
      </c>
      <c r="N60" s="22"/>
      <c r="O60" s="21">
        <v>6256631</v>
      </c>
      <c r="Q60" s="21">
        <v>4360</v>
      </c>
      <c r="S60" s="21">
        <v>27157213151</v>
      </c>
      <c r="U60" s="21">
        <v>27116601639</v>
      </c>
      <c r="W60" s="23">
        <v>1.3393009498952576E-2</v>
      </c>
    </row>
    <row r="61" spans="1:23" ht="18.75" x14ac:dyDescent="0.45">
      <c r="A61" s="20" t="s">
        <v>67</v>
      </c>
      <c r="C61" s="21">
        <v>4666666</v>
      </c>
      <c r="E61" s="21">
        <v>19031233707</v>
      </c>
      <c r="G61" s="21">
        <v>15113534041</v>
      </c>
      <c r="I61" s="21">
        <v>0</v>
      </c>
      <c r="J61" s="21">
        <v>0</v>
      </c>
      <c r="L61" s="21">
        <v>1537022</v>
      </c>
      <c r="M61" s="21">
        <v>4464836919</v>
      </c>
      <c r="O61" s="21">
        <v>3129644</v>
      </c>
      <c r="Q61" s="21">
        <v>2722</v>
      </c>
      <c r="S61" s="21">
        <v>12763070334</v>
      </c>
      <c r="U61" s="21">
        <v>8468203567</v>
      </c>
      <c r="W61" s="23">
        <v>4.1824832005784322E-3</v>
      </c>
    </row>
    <row r="62" spans="1:23" ht="18.75" x14ac:dyDescent="0.45">
      <c r="A62" s="20" t="s">
        <v>68</v>
      </c>
      <c r="C62" s="21">
        <v>16300000</v>
      </c>
      <c r="E62" s="21">
        <v>82353315729</v>
      </c>
      <c r="G62" s="21">
        <v>94949667900</v>
      </c>
      <c r="N62" s="22"/>
      <c r="O62" s="21">
        <v>16300000</v>
      </c>
      <c r="Q62" s="21">
        <v>3576</v>
      </c>
      <c r="S62" s="21">
        <v>63812582630</v>
      </c>
      <c r="U62" s="21">
        <v>57941981640</v>
      </c>
      <c r="W62" s="23">
        <v>2.8617801036563577E-2</v>
      </c>
    </row>
    <row r="63" spans="1:23" ht="18.75" x14ac:dyDescent="0.45">
      <c r="A63" s="20" t="s">
        <v>69</v>
      </c>
      <c r="H63" s="22"/>
      <c r="N63" s="22"/>
      <c r="O63" s="21">
        <v>6360714</v>
      </c>
      <c r="Q63" s="21">
        <v>2576</v>
      </c>
      <c r="S63" s="21">
        <v>18540733099</v>
      </c>
      <c r="U63" s="21">
        <v>16287707328</v>
      </c>
      <c r="W63" s="23">
        <v>8.0445706974698935E-3</v>
      </c>
    </row>
    <row r="64" spans="1:23" ht="18.75" x14ac:dyDescent="0.45">
      <c r="A64" s="20" t="s">
        <v>70</v>
      </c>
      <c r="C64" s="21">
        <v>44699</v>
      </c>
      <c r="E64" s="21">
        <v>579779174</v>
      </c>
      <c r="G64" s="21">
        <v>413227281</v>
      </c>
      <c r="I64" s="21">
        <v>0</v>
      </c>
      <c r="J64" s="21">
        <v>0</v>
      </c>
      <c r="L64" s="21">
        <v>44699</v>
      </c>
      <c r="M64" s="21">
        <v>396787065</v>
      </c>
      <c r="W64" s="23">
        <v>0</v>
      </c>
    </row>
    <row r="65" spans="1:23" ht="18.75" x14ac:dyDescent="0.45">
      <c r="A65" s="20" t="s">
        <v>71</v>
      </c>
      <c r="C65" s="21">
        <v>4274063</v>
      </c>
      <c r="E65" s="21">
        <v>51969895261</v>
      </c>
      <c r="G65" s="21">
        <v>30080316862</v>
      </c>
      <c r="I65" s="21">
        <v>0</v>
      </c>
      <c r="J65" s="21">
        <v>0</v>
      </c>
      <c r="L65" s="21">
        <v>436904</v>
      </c>
      <c r="M65" s="21">
        <v>2676653949</v>
      </c>
      <c r="O65" s="21">
        <v>5888987</v>
      </c>
      <c r="Q65" s="21">
        <v>4102</v>
      </c>
      <c r="S65" s="21">
        <v>46657419727</v>
      </c>
      <c r="U65" s="21">
        <v>24012892757</v>
      </c>
      <c r="W65" s="23">
        <v>1.1860073952972323E-2</v>
      </c>
    </row>
    <row r="66" spans="1:23" ht="18.75" x14ac:dyDescent="0.45">
      <c r="A66" s="20" t="s">
        <v>72</v>
      </c>
      <c r="C66" s="21">
        <v>250000</v>
      </c>
      <c r="E66" s="21">
        <v>3403087200</v>
      </c>
      <c r="G66" s="21">
        <v>2778369750</v>
      </c>
      <c r="N66" s="22"/>
      <c r="O66" s="21">
        <v>250000</v>
      </c>
      <c r="Q66" s="21">
        <v>10490</v>
      </c>
      <c r="S66" s="21">
        <v>3403087200</v>
      </c>
      <c r="U66" s="21">
        <v>2606896125</v>
      </c>
      <c r="W66" s="23">
        <v>1.2875575276620548E-3</v>
      </c>
    </row>
    <row r="67" spans="1:23" ht="18.75" x14ac:dyDescent="0.45">
      <c r="A67" s="20" t="s">
        <v>73</v>
      </c>
      <c r="C67" s="21">
        <v>15800000</v>
      </c>
      <c r="E67" s="21">
        <v>81495578765</v>
      </c>
      <c r="G67" s="21">
        <v>132558555600</v>
      </c>
      <c r="N67" s="22"/>
      <c r="O67" s="21">
        <v>15800000</v>
      </c>
      <c r="Q67" s="21">
        <v>5900</v>
      </c>
      <c r="S67" s="21">
        <v>81495578765</v>
      </c>
      <c r="U67" s="21">
        <v>92665341000</v>
      </c>
      <c r="W67" s="23">
        <v>4.576782182217607E-2</v>
      </c>
    </row>
    <row r="68" spans="1:23" ht="37.5" x14ac:dyDescent="0.45">
      <c r="A68" s="20" t="s">
        <v>74</v>
      </c>
      <c r="C68" s="21">
        <v>6668802</v>
      </c>
      <c r="E68" s="21">
        <v>22427520435</v>
      </c>
      <c r="G68" s="21">
        <v>26244696485</v>
      </c>
      <c r="I68" s="21">
        <v>0</v>
      </c>
      <c r="J68" s="21">
        <v>0</v>
      </c>
      <c r="L68" s="21">
        <v>45824</v>
      </c>
      <c r="M68" s="21">
        <v>162390557</v>
      </c>
      <c r="O68" s="21">
        <v>6622978</v>
      </c>
      <c r="Q68" s="21">
        <v>3209</v>
      </c>
      <c r="S68" s="21">
        <v>22273411991</v>
      </c>
      <c r="U68" s="21">
        <v>21126680240</v>
      </c>
      <c r="W68" s="23">
        <v>1.0434560823754029E-2</v>
      </c>
    </row>
    <row r="69" spans="1:23" ht="18.75" x14ac:dyDescent="0.45">
      <c r="A69" s="20" t="s">
        <v>75</v>
      </c>
      <c r="C69" s="21">
        <v>5155597</v>
      </c>
      <c r="E69" s="21">
        <v>8882657062</v>
      </c>
      <c r="G69" s="21">
        <v>15579760441</v>
      </c>
      <c r="I69" s="21">
        <v>0</v>
      </c>
      <c r="J69" s="21">
        <v>0</v>
      </c>
      <c r="L69" s="21">
        <v>509996</v>
      </c>
      <c r="M69" s="21">
        <v>1511111738</v>
      </c>
      <c r="O69" s="21">
        <v>4645601</v>
      </c>
      <c r="Q69" s="21">
        <v>3072</v>
      </c>
      <c r="S69" s="21">
        <v>8003977140</v>
      </c>
      <c r="U69" s="21">
        <v>14186372119</v>
      </c>
      <c r="W69" s="23">
        <v>7.0067119425533475E-3</v>
      </c>
    </row>
    <row r="70" spans="1:23" ht="18.75" x14ac:dyDescent="0.45">
      <c r="A70" s="20" t="s">
        <v>76</v>
      </c>
      <c r="C70" s="21">
        <v>10319951</v>
      </c>
      <c r="E70" s="21">
        <v>46097666842</v>
      </c>
      <c r="G70" s="21">
        <v>72630514824</v>
      </c>
      <c r="N70" s="22"/>
      <c r="O70" s="21">
        <v>10319951</v>
      </c>
      <c r="Q70" s="21">
        <v>5820</v>
      </c>
      <c r="S70" s="21">
        <v>46097666842</v>
      </c>
      <c r="U70" s="21">
        <v>59704745237</v>
      </c>
      <c r="W70" s="23">
        <v>2.9488437774652244E-2</v>
      </c>
    </row>
    <row r="71" spans="1:23" ht="18.75" x14ac:dyDescent="0.45">
      <c r="A71" s="20" t="s">
        <v>77</v>
      </c>
      <c r="C71" s="21">
        <v>1207911</v>
      </c>
      <c r="E71" s="21">
        <v>24921591237</v>
      </c>
      <c r="G71" s="21">
        <v>37150398380</v>
      </c>
      <c r="I71" s="21">
        <v>0</v>
      </c>
      <c r="J71" s="21">
        <v>0</v>
      </c>
      <c r="L71" s="21">
        <v>1207911</v>
      </c>
      <c r="M71" s="21">
        <v>29982260433</v>
      </c>
      <c r="W71" s="23">
        <v>0</v>
      </c>
    </row>
    <row r="72" spans="1:23" ht="37.5" x14ac:dyDescent="0.45">
      <c r="A72" s="20" t="s">
        <v>78</v>
      </c>
      <c r="C72" s="21">
        <v>8971553</v>
      </c>
      <c r="E72" s="21">
        <v>30227577878</v>
      </c>
      <c r="G72" s="21">
        <v>40345811303</v>
      </c>
      <c r="I72" s="21">
        <v>0</v>
      </c>
      <c r="J72" s="21">
        <v>0</v>
      </c>
      <c r="L72" s="21">
        <v>934827</v>
      </c>
      <c r="M72" s="21">
        <v>3538668081</v>
      </c>
      <c r="O72" s="21">
        <v>8036726</v>
      </c>
      <c r="Q72" s="21">
        <v>3325</v>
      </c>
      <c r="S72" s="21">
        <v>27077893989</v>
      </c>
      <c r="U72" s="21">
        <v>26563117372</v>
      </c>
      <c r="W72" s="23">
        <v>1.3119641171160703E-2</v>
      </c>
    </row>
    <row r="73" spans="1:23" ht="37.5" x14ac:dyDescent="0.45">
      <c r="A73" s="20" t="s">
        <v>79</v>
      </c>
      <c r="C73" s="21">
        <v>700000</v>
      </c>
      <c r="E73" s="21">
        <v>9143294580</v>
      </c>
      <c r="G73" s="21">
        <v>11996195400</v>
      </c>
      <c r="N73" s="22"/>
      <c r="O73" s="21">
        <v>700000</v>
      </c>
      <c r="Q73" s="21">
        <v>14390</v>
      </c>
      <c r="S73" s="21">
        <v>9143294580</v>
      </c>
      <c r="U73" s="21">
        <v>10013065650</v>
      </c>
      <c r="W73" s="23">
        <v>4.9454974170218789E-3</v>
      </c>
    </row>
    <row r="74" spans="1:23" ht="18.75" x14ac:dyDescent="0.45">
      <c r="A74" s="20" t="s">
        <v>80</v>
      </c>
      <c r="C74" s="21">
        <v>7700000</v>
      </c>
      <c r="E74" s="21">
        <v>48162624616</v>
      </c>
      <c r="G74" s="21">
        <v>38959801650</v>
      </c>
      <c r="N74" s="22"/>
      <c r="O74" s="21">
        <v>7700000</v>
      </c>
      <c r="Q74" s="21">
        <v>4216</v>
      </c>
      <c r="S74" s="21">
        <v>48162624616</v>
      </c>
      <c r="U74" s="21">
        <v>32270043960</v>
      </c>
      <c r="W74" s="23">
        <v>1.5938317457387538E-2</v>
      </c>
    </row>
    <row r="75" spans="1:23" ht="18.75" x14ac:dyDescent="0.45">
      <c r="A75" s="20" t="s">
        <v>81</v>
      </c>
      <c r="C75" s="21">
        <v>10319249</v>
      </c>
      <c r="E75" s="21">
        <v>78639343922</v>
      </c>
      <c r="G75" s="21">
        <v>117452376414</v>
      </c>
      <c r="I75" s="21">
        <v>0</v>
      </c>
      <c r="J75" s="21">
        <v>0</v>
      </c>
      <c r="L75" s="21">
        <v>303769</v>
      </c>
      <c r="M75" s="21">
        <v>3010770074</v>
      </c>
      <c r="O75" s="21">
        <v>10015480</v>
      </c>
      <c r="Q75" s="21">
        <v>9740</v>
      </c>
      <c r="S75" s="21">
        <v>76324427898</v>
      </c>
      <c r="U75" s="21">
        <v>96970348088</v>
      </c>
      <c r="W75" s="23">
        <v>4.7894083866005265E-2</v>
      </c>
    </row>
    <row r="76" spans="1:23" ht="18.75" x14ac:dyDescent="0.45">
      <c r="A76" s="20" t="s">
        <v>82</v>
      </c>
      <c r="C76" s="21">
        <v>1999999</v>
      </c>
      <c r="E76" s="21">
        <v>6177984518</v>
      </c>
      <c r="G76" s="21">
        <v>10159185920</v>
      </c>
      <c r="I76" s="21">
        <v>0</v>
      </c>
      <c r="J76" s="21">
        <v>0</v>
      </c>
      <c r="L76" s="21">
        <v>1000000</v>
      </c>
      <c r="M76" s="21">
        <v>4284006369</v>
      </c>
      <c r="O76" s="21">
        <v>999999</v>
      </c>
      <c r="Q76" s="21">
        <v>4345</v>
      </c>
      <c r="S76" s="21">
        <v>3088990714</v>
      </c>
      <c r="U76" s="21">
        <v>4319142931</v>
      </c>
      <c r="W76" s="23">
        <v>2.1332437992163575E-3</v>
      </c>
    </row>
    <row r="77" spans="1:23" ht="18.75" x14ac:dyDescent="0.45">
      <c r="A77" s="20" t="s">
        <v>83</v>
      </c>
      <c r="C77" s="21">
        <v>18635760</v>
      </c>
      <c r="E77" s="21">
        <v>50117025665</v>
      </c>
      <c r="G77" s="21">
        <v>78230556534</v>
      </c>
      <c r="I77" s="21">
        <v>0</v>
      </c>
      <c r="J77" s="21">
        <v>0</v>
      </c>
      <c r="L77" s="21">
        <v>5222286</v>
      </c>
      <c r="M77" s="21">
        <v>18877054318</v>
      </c>
      <c r="O77" s="21">
        <v>13413474</v>
      </c>
      <c r="Q77" s="21">
        <v>3311</v>
      </c>
      <c r="S77" s="21">
        <v>36072766591</v>
      </c>
      <c r="U77" s="21">
        <v>44147760940</v>
      </c>
      <c r="W77" s="23">
        <v>2.1804774414524029E-2</v>
      </c>
    </row>
    <row r="78" spans="1:23" ht="18.75" x14ac:dyDescent="0.45">
      <c r="A78" s="20" t="s">
        <v>84</v>
      </c>
      <c r="C78" s="21">
        <v>25703048</v>
      </c>
      <c r="E78" s="21">
        <v>50829222952</v>
      </c>
      <c r="G78" s="21">
        <v>41237885391</v>
      </c>
      <c r="I78" s="21">
        <v>0</v>
      </c>
      <c r="J78" s="21">
        <v>0</v>
      </c>
      <c r="L78" s="21">
        <v>18800000</v>
      </c>
      <c r="M78" s="21">
        <v>28091711753</v>
      </c>
      <c r="O78" s="21">
        <v>6903048</v>
      </c>
      <c r="Q78" s="21">
        <v>1625</v>
      </c>
      <c r="S78" s="21">
        <v>13651165646</v>
      </c>
      <c r="U78" s="21">
        <v>11150709155</v>
      </c>
      <c r="W78" s="23">
        <v>5.5073845764723132E-3</v>
      </c>
    </row>
    <row r="79" spans="1:23" ht="18.75" x14ac:dyDescent="0.45">
      <c r="A79" s="20" t="s">
        <v>85</v>
      </c>
      <c r="C79" s="21">
        <v>177678</v>
      </c>
      <c r="E79" s="21">
        <v>6687778985</v>
      </c>
      <c r="G79" s="21">
        <v>6208221679</v>
      </c>
      <c r="I79" s="21">
        <v>0</v>
      </c>
      <c r="J79" s="21">
        <v>0</v>
      </c>
      <c r="L79" s="21">
        <v>177678</v>
      </c>
      <c r="M79" s="21">
        <v>5989000605</v>
      </c>
      <c r="W79" s="23">
        <v>0</v>
      </c>
    </row>
    <row r="80" spans="1:23" ht="37.5" x14ac:dyDescent="0.45">
      <c r="A80" s="20" t="s">
        <v>86</v>
      </c>
      <c r="C80" s="21">
        <v>123</v>
      </c>
      <c r="E80" s="21">
        <v>1662161</v>
      </c>
      <c r="G80" s="21">
        <v>5048452</v>
      </c>
      <c r="N80" s="22"/>
      <c r="O80" s="21">
        <v>123</v>
      </c>
      <c r="Q80" s="21">
        <v>40980</v>
      </c>
      <c r="S80" s="21">
        <v>1662161</v>
      </c>
      <c r="U80" s="21">
        <v>5010549</v>
      </c>
      <c r="W80" s="23">
        <v>2.4747323151088656E-6</v>
      </c>
    </row>
    <row r="81" spans="1:23" ht="18.75" x14ac:dyDescent="0.45">
      <c r="A81" s="20" t="s">
        <v>87</v>
      </c>
      <c r="C81" s="21">
        <v>2570924</v>
      </c>
      <c r="E81" s="21">
        <v>25424300891</v>
      </c>
      <c r="G81" s="21">
        <v>27370765194</v>
      </c>
      <c r="I81" s="21">
        <v>0</v>
      </c>
      <c r="J81" s="21">
        <v>0</v>
      </c>
      <c r="L81" s="21">
        <v>2570924</v>
      </c>
      <c r="M81" s="21">
        <v>24438590513</v>
      </c>
      <c r="W81" s="23">
        <v>0</v>
      </c>
    </row>
    <row r="82" spans="1:23" ht="18.75" x14ac:dyDescent="0.45">
      <c r="A82" s="20" t="s">
        <v>88</v>
      </c>
      <c r="C82" s="21">
        <v>4613772</v>
      </c>
      <c r="E82" s="21">
        <v>43269803786</v>
      </c>
      <c r="G82" s="21">
        <v>28939679557</v>
      </c>
      <c r="I82" s="21">
        <v>0</v>
      </c>
      <c r="J82" s="21">
        <v>0</v>
      </c>
      <c r="L82" s="21">
        <v>3146214</v>
      </c>
      <c r="M82" s="21">
        <v>18223860883</v>
      </c>
      <c r="O82" s="21">
        <v>1467558</v>
      </c>
      <c r="Q82" s="21">
        <v>5930</v>
      </c>
      <c r="S82" s="21">
        <v>13763347366</v>
      </c>
      <c r="U82" s="21">
        <v>8650838357</v>
      </c>
      <c r="W82" s="23">
        <v>4.2726873312387897E-3</v>
      </c>
    </row>
    <row r="83" spans="1:23" ht="18.75" x14ac:dyDescent="0.45">
      <c r="A83" s="20" t="s">
        <v>89</v>
      </c>
      <c r="C83" s="21">
        <v>6744759</v>
      </c>
      <c r="E83" s="21">
        <v>47076364301</v>
      </c>
      <c r="G83" s="21">
        <v>36741359708</v>
      </c>
      <c r="N83" s="22"/>
      <c r="O83" s="21">
        <v>6744759</v>
      </c>
      <c r="Q83" s="21">
        <v>4824</v>
      </c>
      <c r="S83" s="21">
        <v>47076364301</v>
      </c>
      <c r="U83" s="21">
        <v>32343123947</v>
      </c>
      <c r="W83" s="23">
        <v>1.5974411986233904E-2</v>
      </c>
    </row>
    <row r="84" spans="1:23" ht="18.75" x14ac:dyDescent="0.45">
      <c r="A84" s="20" t="s">
        <v>90</v>
      </c>
      <c r="C84" s="21">
        <v>407809</v>
      </c>
      <c r="E84" s="21">
        <v>15540146852</v>
      </c>
      <c r="G84" s="21">
        <v>13981643682</v>
      </c>
      <c r="I84" s="21">
        <v>0</v>
      </c>
      <c r="J84" s="21">
        <v>0</v>
      </c>
      <c r="L84" s="21">
        <v>100000</v>
      </c>
      <c r="M84" s="21">
        <v>3089507415</v>
      </c>
      <c r="O84" s="21">
        <v>307809</v>
      </c>
      <c r="Q84" s="21">
        <v>31010</v>
      </c>
      <c r="S84" s="21">
        <v>11729503425</v>
      </c>
      <c r="U84" s="21">
        <v>9488363405</v>
      </c>
      <c r="W84" s="23">
        <v>4.6863446572121921E-3</v>
      </c>
    </row>
    <row r="85" spans="1:23" ht="18.75" x14ac:dyDescent="0.45">
      <c r="A85" s="20" t="s">
        <v>91</v>
      </c>
      <c r="C85" s="21">
        <v>3500000</v>
      </c>
      <c r="E85" s="21">
        <v>53981541187</v>
      </c>
      <c r="G85" s="21">
        <v>86805416250</v>
      </c>
      <c r="I85" s="21">
        <v>0</v>
      </c>
      <c r="J85" s="21">
        <v>0</v>
      </c>
      <c r="L85" s="21">
        <v>646044</v>
      </c>
      <c r="M85" s="21">
        <v>16291033253</v>
      </c>
      <c r="O85" s="21">
        <v>2853956</v>
      </c>
      <c r="Q85" s="21">
        <v>23800</v>
      </c>
      <c r="S85" s="21">
        <v>44017412389</v>
      </c>
      <c r="U85" s="21">
        <v>67520004091</v>
      </c>
      <c r="W85" s="23">
        <v>3.3348428693199192E-2</v>
      </c>
    </row>
    <row r="86" spans="1:23" ht="18.75" x14ac:dyDescent="0.45">
      <c r="A86" s="20" t="s">
        <v>92</v>
      </c>
      <c r="C86" s="21">
        <v>50000</v>
      </c>
      <c r="E86" s="21">
        <v>10968169018</v>
      </c>
      <c r="G86" s="21">
        <v>13411722600</v>
      </c>
      <c r="I86" s="21">
        <v>0</v>
      </c>
      <c r="J86" s="21">
        <v>0</v>
      </c>
      <c r="L86" s="21">
        <v>50000</v>
      </c>
      <c r="M86" s="21">
        <v>12539941790</v>
      </c>
      <c r="W86" s="23">
        <v>0</v>
      </c>
    </row>
    <row r="87" spans="1:23" ht="18.75" x14ac:dyDescent="0.45">
      <c r="A87" s="20" t="s">
        <v>93</v>
      </c>
      <c r="C87" s="21">
        <v>25140703</v>
      </c>
      <c r="E87" s="21">
        <v>67434598284</v>
      </c>
      <c r="G87" s="21">
        <v>63502425291</v>
      </c>
      <c r="N87" s="22"/>
      <c r="O87" s="21">
        <v>25140703</v>
      </c>
      <c r="Q87" s="21">
        <v>2252</v>
      </c>
      <c r="S87" s="21">
        <v>67434598284</v>
      </c>
      <c r="U87" s="21">
        <v>56279992820</v>
      </c>
      <c r="W87" s="23">
        <v>2.7796937406609323E-2</v>
      </c>
    </row>
    <row r="88" spans="1:23" ht="37.5" x14ac:dyDescent="0.45">
      <c r="A88" s="20" t="s">
        <v>94</v>
      </c>
      <c r="C88" s="21">
        <v>450000</v>
      </c>
      <c r="E88" s="21">
        <v>2252043000</v>
      </c>
      <c r="G88" s="21">
        <v>8691476175</v>
      </c>
      <c r="N88" s="22"/>
      <c r="O88" s="21">
        <v>450000</v>
      </c>
      <c r="Q88" s="21">
        <v>19290</v>
      </c>
      <c r="S88" s="21">
        <v>2252043000</v>
      </c>
      <c r="U88" s="21">
        <v>8628851025</v>
      </c>
      <c r="W88" s="23">
        <v>4.2618276907037053E-3</v>
      </c>
    </row>
    <row r="89" spans="1:23" ht="18.75" x14ac:dyDescent="0.45">
      <c r="A89" s="20" t="s">
        <v>95</v>
      </c>
      <c r="C89" s="21">
        <v>3553700</v>
      </c>
      <c r="E89" s="21">
        <v>10398641645</v>
      </c>
      <c r="G89" s="21">
        <v>7439561851</v>
      </c>
      <c r="I89" s="21">
        <v>0</v>
      </c>
      <c r="J89" s="21">
        <v>0</v>
      </c>
      <c r="L89" s="21">
        <v>2800000</v>
      </c>
      <c r="M89" s="21">
        <v>5594513564</v>
      </c>
      <c r="O89" s="21">
        <v>753700</v>
      </c>
      <c r="Q89" s="21">
        <v>1880</v>
      </c>
      <c r="S89" s="21">
        <v>2205435520</v>
      </c>
      <c r="U89" s="21">
        <v>1408525112</v>
      </c>
      <c r="W89" s="23">
        <v>6.9567678338416298E-4</v>
      </c>
    </row>
    <row r="90" spans="1:23" ht="37.5" x14ac:dyDescent="0.45">
      <c r="A90" s="20" t="s">
        <v>96</v>
      </c>
      <c r="C90" s="21">
        <v>21600000</v>
      </c>
      <c r="E90" s="21">
        <v>27959586333</v>
      </c>
      <c r="G90" s="21">
        <v>24670730520</v>
      </c>
      <c r="N90" s="22"/>
      <c r="O90" s="21">
        <v>21600000</v>
      </c>
      <c r="Q90" s="21">
        <v>967</v>
      </c>
      <c r="S90" s="21">
        <v>27959586333</v>
      </c>
      <c r="U90" s="21">
        <v>20762921160</v>
      </c>
      <c r="W90" s="23">
        <v>1.0254898605064965E-2</v>
      </c>
    </row>
    <row r="91" spans="1:23" ht="18.75" x14ac:dyDescent="0.45">
      <c r="A91" s="24" t="s">
        <v>97</v>
      </c>
      <c r="C91" s="24">
        <f>SUM(C11:$C$90)</f>
        <v>563963419</v>
      </c>
      <c r="E91" s="24">
        <f>SUM(E11:$E$90)</f>
        <v>2407476981164</v>
      </c>
      <c r="G91" s="24">
        <f>SUM(G11:$G$90)</f>
        <v>2643071577300</v>
      </c>
      <c r="I91" s="24">
        <f>SUM(I11:$I$90)</f>
        <v>0</v>
      </c>
      <c r="J91" s="24">
        <f>SUM(J11:$J$90)</f>
        <v>0</v>
      </c>
      <c r="L91" s="24">
        <f>SUM(L11:$L$90)</f>
        <v>112368900</v>
      </c>
      <c r="M91" s="24">
        <f>SUM(M11:$M$90)</f>
        <v>480063628415</v>
      </c>
      <c r="O91" s="24">
        <f>SUM(O11:$O$90)</f>
        <v>473192608</v>
      </c>
      <c r="Q91" s="24">
        <f>SUM(Q11:$Q$90)</f>
        <v>728476</v>
      </c>
      <c r="S91" s="24">
        <f>SUM(S11:$S$90)</f>
        <v>1907981070970</v>
      </c>
      <c r="U91" s="24">
        <f>SUM(U11:$U$90)</f>
        <v>1770795893580</v>
      </c>
      <c r="W91" s="25">
        <f>SUM(W11:$W$90)</f>
        <v>0.8746039249001466</v>
      </c>
    </row>
    <row r="92" spans="1:23" ht="18.75" x14ac:dyDescent="0.45">
      <c r="C92" s="26"/>
      <c r="E92" s="26"/>
      <c r="G92" s="26"/>
      <c r="I92" s="26"/>
      <c r="J92" s="26"/>
      <c r="L92" s="26"/>
      <c r="M92" s="26"/>
      <c r="O92" s="26"/>
      <c r="Q92" s="26"/>
      <c r="S92" s="26"/>
      <c r="U92" s="26"/>
      <c r="W92" s="26"/>
    </row>
  </sheetData>
  <mergeCells count="19"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  <mergeCell ref="A1:W1"/>
    <mergeCell ref="A2:W2"/>
    <mergeCell ref="A3:W3"/>
    <mergeCell ref="A5:W5"/>
    <mergeCell ref="A6:W6"/>
  </mergeCells>
  <pageMargins left="0.7" right="0.7" top="0.75" bottom="0.75" header="0.3" footer="0.3"/>
  <pageSetup paperSize="9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2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17" style="12" customWidth="1"/>
    <col min="2" max="2" width="1.42578125" style="12" customWidth="1"/>
    <col min="3" max="3" width="12.7109375" style="12" customWidth="1"/>
    <col min="4" max="4" width="1.42578125" style="12" customWidth="1"/>
    <col min="5" max="5" width="17" style="12" customWidth="1"/>
    <col min="6" max="6" width="1.42578125" style="12" customWidth="1"/>
    <col min="7" max="7" width="17" style="12" customWidth="1"/>
    <col min="8" max="8" width="1.42578125" style="12" customWidth="1"/>
    <col min="9" max="9" width="11.42578125" style="12" customWidth="1"/>
    <col min="10" max="10" width="17" style="12" customWidth="1"/>
    <col min="11" max="11" width="1.42578125" style="12" customWidth="1"/>
    <col min="12" max="12" width="11.42578125" style="12" customWidth="1"/>
    <col min="13" max="13" width="17" style="12" customWidth="1"/>
    <col min="14" max="14" width="1.42578125" style="12" customWidth="1"/>
    <col min="15" max="15" width="12.7109375" style="12" customWidth="1"/>
    <col min="16" max="16" width="1.42578125" style="12" customWidth="1"/>
    <col min="17" max="17" width="11.42578125" style="12" customWidth="1"/>
    <col min="18" max="18" width="1.42578125" style="12" customWidth="1"/>
    <col min="19" max="19" width="17" style="12" customWidth="1"/>
    <col min="20" max="20" width="1.42578125" style="12" customWidth="1"/>
    <col min="21" max="21" width="17" style="12" customWidth="1"/>
    <col min="22" max="22" width="1.42578125" style="12" customWidth="1"/>
    <col min="23" max="23" width="8.5703125" style="12" customWidth="1"/>
    <col min="24" max="16384" width="9.140625" style="12"/>
  </cols>
  <sheetData>
    <row r="1" spans="1:24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4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4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5" spans="1:24" ht="21" x14ac:dyDescent="0.45">
      <c r="A5" s="13" t="s">
        <v>98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7" spans="1:24" ht="21" x14ac:dyDescent="0.45">
      <c r="A7" s="14" t="s">
        <v>99</v>
      </c>
      <c r="B7" s="15"/>
      <c r="C7" s="15"/>
      <c r="D7" s="15"/>
      <c r="E7" s="15"/>
      <c r="F7" s="15"/>
      <c r="G7" s="15"/>
      <c r="I7" s="14" t="s">
        <v>5</v>
      </c>
      <c r="J7" s="15"/>
      <c r="K7" s="15"/>
      <c r="L7" s="15"/>
      <c r="M7" s="15"/>
      <c r="O7" s="14" t="s">
        <v>7</v>
      </c>
      <c r="P7" s="15"/>
      <c r="Q7" s="15"/>
      <c r="R7" s="15"/>
      <c r="S7" s="15"/>
      <c r="T7" s="15"/>
      <c r="U7" s="15"/>
      <c r="V7" s="15"/>
      <c r="W7" s="15"/>
    </row>
    <row r="8" spans="1:24" x14ac:dyDescent="0.45">
      <c r="A8" s="16"/>
      <c r="B8" s="11"/>
      <c r="C8" s="11"/>
      <c r="D8" s="11"/>
      <c r="E8" s="11"/>
      <c r="F8" s="11"/>
      <c r="G8" s="11"/>
      <c r="I8" s="16" t="s">
        <v>100</v>
      </c>
      <c r="J8" s="16" t="s">
        <v>101</v>
      </c>
      <c r="L8" s="16" t="s">
        <v>102</v>
      </c>
      <c r="M8" s="16" t="s">
        <v>103</v>
      </c>
      <c r="O8" s="16" t="s">
        <v>100</v>
      </c>
      <c r="Q8" s="16" t="s">
        <v>101</v>
      </c>
      <c r="S8" s="17" t="s">
        <v>102</v>
      </c>
      <c r="U8" s="16" t="s">
        <v>103</v>
      </c>
    </row>
    <row r="9" spans="1:24" x14ac:dyDescent="0.45">
      <c r="A9" s="11"/>
      <c r="B9" s="11"/>
      <c r="C9" s="11"/>
      <c r="D9" s="11"/>
      <c r="E9" s="11"/>
      <c r="F9" s="11"/>
      <c r="G9" s="11"/>
      <c r="I9" s="11"/>
      <c r="J9" s="11"/>
      <c r="L9" s="11"/>
      <c r="M9" s="11"/>
      <c r="O9" s="11"/>
      <c r="Q9" s="11"/>
      <c r="S9" s="11"/>
      <c r="U9" s="11"/>
    </row>
    <row r="10" spans="1:24" x14ac:dyDescent="0.45">
      <c r="A10" s="16" t="s">
        <v>104</v>
      </c>
      <c r="B10" s="11"/>
      <c r="C10" s="11"/>
      <c r="D10" s="11"/>
      <c r="E10" s="11"/>
      <c r="F10" s="11"/>
      <c r="G10" s="11"/>
      <c r="I10" s="35">
        <v>123</v>
      </c>
      <c r="J10" s="35">
        <v>17550</v>
      </c>
      <c r="L10" s="16" t="s">
        <v>105</v>
      </c>
      <c r="M10" s="36" t="s">
        <v>230</v>
      </c>
      <c r="O10" s="35">
        <v>123</v>
      </c>
      <c r="Q10" s="35">
        <v>17150</v>
      </c>
      <c r="S10" s="16" t="s">
        <v>105</v>
      </c>
      <c r="U10" s="36" t="s">
        <v>230</v>
      </c>
    </row>
    <row r="11" spans="1:24" x14ac:dyDescent="0.45">
      <c r="A11" s="11"/>
      <c r="B11" s="11"/>
      <c r="C11" s="11"/>
      <c r="D11" s="11"/>
      <c r="E11" s="11"/>
      <c r="F11" s="11"/>
      <c r="G11" s="11"/>
      <c r="I11" s="11"/>
      <c r="J11" s="11"/>
      <c r="L11" s="11"/>
      <c r="M11" s="11"/>
      <c r="O11" s="11"/>
      <c r="Q11" s="11"/>
      <c r="S11" s="11"/>
      <c r="U11" s="11"/>
    </row>
    <row r="13" spans="1:24" ht="21" x14ac:dyDescent="0.45">
      <c r="A13" s="13" t="s">
        <v>106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5" spans="1:24" ht="21" x14ac:dyDescent="0.45">
      <c r="A15" s="14" t="s">
        <v>99</v>
      </c>
      <c r="B15" s="15"/>
      <c r="C15" s="15"/>
      <c r="D15" s="15"/>
      <c r="E15" s="15"/>
      <c r="F15" s="15"/>
      <c r="G15" s="15"/>
      <c r="I15" s="14" t="s">
        <v>5</v>
      </c>
      <c r="J15" s="15"/>
      <c r="K15" s="15"/>
      <c r="L15" s="15"/>
      <c r="M15" s="15"/>
      <c r="N15" s="15"/>
      <c r="O15" s="15"/>
      <c r="Q15" s="14" t="s">
        <v>7</v>
      </c>
      <c r="R15" s="15"/>
      <c r="S15" s="15"/>
      <c r="T15" s="15"/>
      <c r="U15" s="15"/>
      <c r="V15" s="15"/>
      <c r="W15" s="15"/>
      <c r="X15" s="15"/>
    </row>
    <row r="16" spans="1:24" x14ac:dyDescent="0.45">
      <c r="A16" s="16"/>
      <c r="B16" s="11"/>
      <c r="C16" s="11"/>
      <c r="D16" s="11"/>
      <c r="E16" s="11"/>
      <c r="F16" s="11"/>
      <c r="G16" s="11"/>
      <c r="I16" s="16" t="s">
        <v>107</v>
      </c>
      <c r="J16" s="16" t="s">
        <v>108</v>
      </c>
      <c r="L16" s="16" t="s">
        <v>109</v>
      </c>
      <c r="M16" s="16" t="s">
        <v>101</v>
      </c>
      <c r="O16" s="16" t="s">
        <v>102</v>
      </c>
      <c r="Q16" s="16" t="s">
        <v>107</v>
      </c>
      <c r="S16" s="16" t="s">
        <v>108</v>
      </c>
      <c r="U16" s="16" t="s">
        <v>109</v>
      </c>
      <c r="W16" s="16" t="s">
        <v>101</v>
      </c>
      <c r="X16" s="16" t="s">
        <v>102</v>
      </c>
    </row>
    <row r="17" spans="1:24" x14ac:dyDescent="0.45">
      <c r="A17" s="11"/>
      <c r="B17" s="11"/>
      <c r="C17" s="11"/>
      <c r="D17" s="11"/>
      <c r="E17" s="11"/>
      <c r="F17" s="11"/>
      <c r="G17" s="11"/>
      <c r="I17" s="11"/>
      <c r="J17" s="11"/>
      <c r="L17" s="11"/>
      <c r="M17" s="11"/>
      <c r="O17" s="11"/>
      <c r="Q17" s="11"/>
      <c r="S17" s="11"/>
      <c r="U17" s="11"/>
      <c r="W17" s="11"/>
      <c r="X17" s="11"/>
    </row>
    <row r="19" spans="1:24" ht="21" x14ac:dyDescent="0.45">
      <c r="A19" s="13" t="s">
        <v>110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4" ht="21" x14ac:dyDescent="0.45">
      <c r="A20" s="14" t="s">
        <v>99</v>
      </c>
      <c r="B20" s="15"/>
      <c r="C20" s="15"/>
      <c r="D20" s="15"/>
      <c r="E20" s="15"/>
      <c r="F20" s="15"/>
      <c r="G20" s="15"/>
      <c r="I20" s="14" t="s">
        <v>5</v>
      </c>
      <c r="J20" s="15"/>
      <c r="K20" s="15"/>
      <c r="L20" s="15"/>
      <c r="M20" s="15"/>
      <c r="O20" s="14" t="s">
        <v>7</v>
      </c>
      <c r="P20" s="15"/>
      <c r="Q20" s="15"/>
      <c r="R20" s="15"/>
      <c r="S20" s="15"/>
      <c r="T20" s="15"/>
      <c r="U20" s="15"/>
      <c r="V20" s="15"/>
      <c r="W20" s="15"/>
    </row>
    <row r="21" spans="1:24" x14ac:dyDescent="0.45">
      <c r="A21" s="16"/>
      <c r="B21" s="11"/>
      <c r="C21" s="11"/>
      <c r="D21" s="11"/>
      <c r="E21" s="11"/>
      <c r="F21" s="11"/>
      <c r="G21" s="11"/>
      <c r="I21" s="16" t="s">
        <v>108</v>
      </c>
      <c r="J21" s="16" t="s">
        <v>109</v>
      </c>
      <c r="L21" s="16" t="s">
        <v>101</v>
      </c>
      <c r="M21" s="16" t="s">
        <v>102</v>
      </c>
      <c r="O21" s="16" t="s">
        <v>108</v>
      </c>
      <c r="Q21" s="16" t="s">
        <v>109</v>
      </c>
      <c r="S21" s="16" t="s">
        <v>101</v>
      </c>
      <c r="U21" s="16" t="s">
        <v>102</v>
      </c>
    </row>
    <row r="22" spans="1:24" x14ac:dyDescent="0.45">
      <c r="A22" s="11"/>
      <c r="B22" s="11"/>
      <c r="C22" s="11"/>
      <c r="D22" s="11"/>
      <c r="E22" s="11"/>
      <c r="F22" s="11"/>
      <c r="G22" s="11"/>
      <c r="I22" s="11"/>
      <c r="J22" s="11"/>
      <c r="L22" s="11"/>
      <c r="M22" s="11"/>
      <c r="O22" s="11"/>
      <c r="Q22" s="11"/>
      <c r="S22" s="11"/>
      <c r="U22" s="11"/>
    </row>
  </sheetData>
  <mergeCells count="53">
    <mergeCell ref="A19:W19"/>
    <mergeCell ref="A20:G20"/>
    <mergeCell ref="I20:M20"/>
    <mergeCell ref="O20:W20"/>
    <mergeCell ref="A21:G22"/>
    <mergeCell ref="I21:I22"/>
    <mergeCell ref="J21:J22"/>
    <mergeCell ref="L21:L22"/>
    <mergeCell ref="M21:M22"/>
    <mergeCell ref="O21:O22"/>
    <mergeCell ref="Q21:Q22"/>
    <mergeCell ref="S21:S22"/>
    <mergeCell ref="U21:U22"/>
    <mergeCell ref="A13:W13"/>
    <mergeCell ref="A15:G15"/>
    <mergeCell ref="I15:O15"/>
    <mergeCell ref="Q15:X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X16:X17"/>
    <mergeCell ref="O8:O9"/>
    <mergeCell ref="Q8:Q9"/>
    <mergeCell ref="S8:S9"/>
    <mergeCell ref="U8:U9"/>
    <mergeCell ref="A10:G11"/>
    <mergeCell ref="I10:I11"/>
    <mergeCell ref="J10:J11"/>
    <mergeCell ref="L10:L11"/>
    <mergeCell ref="M10:M11"/>
    <mergeCell ref="O10:O11"/>
    <mergeCell ref="Q10:Q11"/>
    <mergeCell ref="S10:S11"/>
    <mergeCell ref="U10:U11"/>
    <mergeCell ref="A8:G9"/>
    <mergeCell ref="I8:I9"/>
    <mergeCell ref="J8:J9"/>
    <mergeCell ref="L8:L9"/>
    <mergeCell ref="M8:M9"/>
    <mergeCell ref="A1:W1"/>
    <mergeCell ref="A2:W2"/>
    <mergeCell ref="A3:W3"/>
    <mergeCell ref="A5:W5"/>
    <mergeCell ref="A7:G7"/>
    <mergeCell ref="I7:M7"/>
    <mergeCell ref="O7:W7"/>
  </mergeCells>
  <pageMargins left="0.7" right="0.7" top="0.75" bottom="0.75" header="0.3" footer="0.3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1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17" style="12" customWidth="1"/>
    <col min="2" max="2" width="1.42578125" style="12" customWidth="1"/>
    <col min="3" max="3" width="8.5703125" style="12" customWidth="1"/>
    <col min="4" max="4" width="1.42578125" style="12" customWidth="1"/>
    <col min="5" max="5" width="11.42578125" style="12" customWidth="1"/>
    <col min="6" max="6" width="1.42578125" style="12" customWidth="1"/>
    <col min="7" max="7" width="11.42578125" style="12" customWidth="1"/>
    <col min="8" max="8" width="1.42578125" style="12" customWidth="1"/>
    <col min="9" max="9" width="11.42578125" style="12" customWidth="1"/>
    <col min="10" max="10" width="1.42578125" style="12" customWidth="1"/>
    <col min="11" max="11" width="7.140625" style="12" customWidth="1"/>
    <col min="12" max="12" width="1.42578125" style="12" customWidth="1"/>
    <col min="13" max="13" width="7.140625" style="12" customWidth="1"/>
    <col min="14" max="14" width="1.42578125" style="12" customWidth="1"/>
    <col min="15" max="15" width="11.42578125" style="12" customWidth="1"/>
    <col min="16" max="16" width="1.42578125" style="12" customWidth="1"/>
    <col min="17" max="17" width="18.42578125" style="12" customWidth="1"/>
    <col min="18" max="18" width="1.42578125" style="12" customWidth="1"/>
    <col min="19" max="19" width="18.42578125" style="12" customWidth="1"/>
    <col min="20" max="20" width="1.42578125" style="12" customWidth="1"/>
    <col min="21" max="21" width="11.42578125" style="12" customWidth="1"/>
    <col min="22" max="22" width="18.42578125" style="12" customWidth="1"/>
    <col min="23" max="23" width="1.42578125" style="12" customWidth="1"/>
    <col min="24" max="24" width="11.42578125" style="12" customWidth="1"/>
    <col min="25" max="25" width="18.42578125" style="12" customWidth="1"/>
    <col min="26" max="26" width="1.42578125" style="12" customWidth="1"/>
    <col min="27" max="27" width="11.42578125" style="12" customWidth="1"/>
    <col min="28" max="28" width="1.42578125" style="12" customWidth="1"/>
    <col min="29" max="29" width="11.42578125" style="12" customWidth="1"/>
    <col min="30" max="30" width="1.42578125" style="12" customWidth="1"/>
    <col min="31" max="31" width="18.42578125" style="12" customWidth="1"/>
    <col min="32" max="32" width="1.42578125" style="12" customWidth="1"/>
    <col min="33" max="33" width="18.42578125" style="12" customWidth="1"/>
    <col min="34" max="34" width="1.42578125" style="12" customWidth="1"/>
    <col min="35" max="35" width="8.5703125" style="12" customWidth="1"/>
    <col min="36" max="16384" width="9.140625" style="12"/>
  </cols>
  <sheetData>
    <row r="1" spans="1:35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5" spans="1:35" ht="21" x14ac:dyDescent="0.45">
      <c r="A5" s="13" t="s">
        <v>111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7" spans="1:35" ht="21" x14ac:dyDescent="0.45">
      <c r="C7" s="14" t="s">
        <v>112</v>
      </c>
      <c r="D7" s="15"/>
      <c r="E7" s="15"/>
      <c r="F7" s="15"/>
      <c r="G7" s="15"/>
      <c r="H7" s="15"/>
      <c r="I7" s="15"/>
      <c r="J7" s="15"/>
      <c r="K7" s="15"/>
      <c r="L7" s="15"/>
      <c r="M7" s="15"/>
      <c r="O7" s="14" t="s">
        <v>5</v>
      </c>
      <c r="P7" s="15"/>
      <c r="Q7" s="15"/>
      <c r="R7" s="15"/>
      <c r="S7" s="15"/>
      <c r="U7" s="14" t="s">
        <v>6</v>
      </c>
      <c r="V7" s="15"/>
      <c r="W7" s="15"/>
      <c r="X7" s="15"/>
      <c r="Y7" s="15"/>
      <c r="AA7" s="14" t="s">
        <v>7</v>
      </c>
      <c r="AB7" s="15"/>
      <c r="AC7" s="15"/>
      <c r="AD7" s="15"/>
      <c r="AE7" s="15"/>
      <c r="AF7" s="15"/>
      <c r="AG7" s="15"/>
      <c r="AH7" s="15"/>
      <c r="AI7" s="15"/>
    </row>
    <row r="8" spans="1:35" ht="18.75" x14ac:dyDescent="0.45">
      <c r="A8" s="16" t="s">
        <v>113</v>
      </c>
      <c r="C8" s="17" t="s">
        <v>114</v>
      </c>
      <c r="E8" s="17" t="s">
        <v>115</v>
      </c>
      <c r="G8" s="17" t="s">
        <v>116</v>
      </c>
      <c r="I8" s="17" t="s">
        <v>117</v>
      </c>
      <c r="K8" s="17" t="s">
        <v>118</v>
      </c>
      <c r="M8" s="17" t="s">
        <v>119</v>
      </c>
      <c r="O8" s="16" t="s">
        <v>9</v>
      </c>
      <c r="Q8" s="16" t="s">
        <v>10</v>
      </c>
      <c r="S8" s="16" t="s">
        <v>11</v>
      </c>
      <c r="U8" s="16" t="s">
        <v>12</v>
      </c>
      <c r="V8" s="11"/>
      <c r="X8" s="16" t="s">
        <v>13</v>
      </c>
      <c r="Y8" s="11"/>
      <c r="AA8" s="16" t="s">
        <v>9</v>
      </c>
      <c r="AC8" s="17" t="s">
        <v>120</v>
      </c>
      <c r="AE8" s="16" t="s">
        <v>10</v>
      </c>
      <c r="AG8" s="16" t="s">
        <v>11</v>
      </c>
      <c r="AI8" s="17" t="s">
        <v>15</v>
      </c>
    </row>
    <row r="9" spans="1:35" ht="18.75" x14ac:dyDescent="0.45">
      <c r="A9" s="18"/>
      <c r="C9" s="18"/>
      <c r="E9" s="18"/>
      <c r="G9" s="18"/>
      <c r="I9" s="18"/>
      <c r="K9" s="18"/>
      <c r="M9" s="18"/>
      <c r="O9" s="18"/>
      <c r="Q9" s="18"/>
      <c r="S9" s="18"/>
      <c r="U9" s="19" t="s">
        <v>9</v>
      </c>
      <c r="V9" s="19" t="s">
        <v>10</v>
      </c>
      <c r="X9" s="19" t="s">
        <v>9</v>
      </c>
      <c r="Y9" s="19" t="s">
        <v>16</v>
      </c>
      <c r="AA9" s="18"/>
      <c r="AC9" s="18"/>
      <c r="AE9" s="18"/>
      <c r="AG9" s="18"/>
      <c r="AI9" s="18"/>
    </row>
    <row r="10" spans="1:35" ht="18.75" x14ac:dyDescent="0.45">
      <c r="A10" s="24" t="s">
        <v>97</v>
      </c>
      <c r="O10" s="24">
        <f>SUM($O$9)</f>
        <v>0</v>
      </c>
      <c r="Q10" s="24">
        <f>SUM($Q$9)</f>
        <v>0</v>
      </c>
      <c r="S10" s="24">
        <f>SUM($S$9)</f>
        <v>0</v>
      </c>
      <c r="U10" s="24">
        <f>SUM($U$9)</f>
        <v>0</v>
      </c>
      <c r="V10" s="24">
        <f>SUM($V$9)</f>
        <v>0</v>
      </c>
      <c r="X10" s="24">
        <f>SUM($X$9)</f>
        <v>0</v>
      </c>
      <c r="Y10" s="24">
        <f>SUM($Y$9)</f>
        <v>0</v>
      </c>
      <c r="AA10" s="24">
        <f>SUM($AA$9)</f>
        <v>0</v>
      </c>
      <c r="AC10" s="24">
        <f>SUM($AC$9)</f>
        <v>0</v>
      </c>
      <c r="AE10" s="24">
        <f>SUM($AE$9)</f>
        <v>0</v>
      </c>
      <c r="AG10" s="24">
        <f>SUM($AG$9)</f>
        <v>0</v>
      </c>
      <c r="AI10" s="25">
        <f>SUM($AI$9)</f>
        <v>0</v>
      </c>
    </row>
    <row r="11" spans="1:35" ht="18.75" x14ac:dyDescent="0.45">
      <c r="O11" s="26"/>
      <c r="Q11" s="26"/>
      <c r="S11" s="26"/>
      <c r="U11" s="26"/>
      <c r="V11" s="26"/>
      <c r="X11" s="26"/>
      <c r="Y11" s="26"/>
      <c r="AA11" s="26"/>
      <c r="AC11" s="26"/>
      <c r="AE11" s="26"/>
      <c r="AG11" s="26"/>
      <c r="AI11" s="26"/>
    </row>
  </sheetData>
  <mergeCells count="25">
    <mergeCell ref="AG8:AG9"/>
    <mergeCell ref="AI8:AI9"/>
    <mergeCell ref="U8:V8"/>
    <mergeCell ref="X8:Y8"/>
    <mergeCell ref="AA8:AA9"/>
    <mergeCell ref="AC8:AC9"/>
    <mergeCell ref="AE8:AE9"/>
    <mergeCell ref="K8:K9"/>
    <mergeCell ref="M8:M9"/>
    <mergeCell ref="O8:O9"/>
    <mergeCell ref="Q8:Q9"/>
    <mergeCell ref="S8:S9"/>
    <mergeCell ref="A8:A9"/>
    <mergeCell ref="C8:C9"/>
    <mergeCell ref="E8:E9"/>
    <mergeCell ref="G8:G9"/>
    <mergeCell ref="I8:I9"/>
    <mergeCell ref="A1:AI1"/>
    <mergeCell ref="A2:AI2"/>
    <mergeCell ref="A3:AI3"/>
    <mergeCell ref="A5:AI5"/>
    <mergeCell ref="C7:M7"/>
    <mergeCell ref="O7:S7"/>
    <mergeCell ref="U7:Y7"/>
    <mergeCell ref="AA7:AI7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8.42578125" style="12" customWidth="1"/>
    <col min="2" max="2" width="1.42578125" style="12" customWidth="1"/>
    <col min="3" max="3" width="11.42578125" style="12" customWidth="1"/>
    <col min="4" max="4" width="1.42578125" style="12" customWidth="1"/>
    <col min="5" max="5" width="11.42578125" style="12" customWidth="1"/>
    <col min="6" max="6" width="1.42578125" style="12" customWidth="1"/>
    <col min="7" max="7" width="14.140625" style="12" customWidth="1"/>
    <col min="8" max="8" width="1.42578125" style="12" customWidth="1"/>
    <col min="9" max="9" width="8.5703125" style="12" customWidth="1"/>
    <col min="10" max="10" width="1.42578125" style="12" customWidth="1"/>
    <col min="11" max="11" width="21.28515625" style="12" customWidth="1"/>
    <col min="12" max="12" width="1.42578125" style="12" customWidth="1"/>
    <col min="13" max="13" width="28.42578125" style="12" customWidth="1"/>
    <col min="14" max="16384" width="9.140625" style="12"/>
  </cols>
  <sheetData>
    <row r="1" spans="1:13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spans="1:13" ht="21" x14ac:dyDescent="0.45">
      <c r="A5" s="13" t="s">
        <v>121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21" x14ac:dyDescent="0.45">
      <c r="A6" s="13" t="s">
        <v>122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8" spans="1:13" ht="21" x14ac:dyDescent="0.45">
      <c r="C8" s="14" t="s">
        <v>7</v>
      </c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ht="42" x14ac:dyDescent="0.45">
      <c r="A9" s="27" t="s">
        <v>123</v>
      </c>
      <c r="C9" s="27" t="s">
        <v>9</v>
      </c>
      <c r="E9" s="27" t="s">
        <v>124</v>
      </c>
      <c r="G9" s="27" t="s">
        <v>125</v>
      </c>
      <c r="I9" s="27" t="s">
        <v>126</v>
      </c>
      <c r="K9" s="28" t="s">
        <v>127</v>
      </c>
      <c r="M9" s="27" t="s">
        <v>128</v>
      </c>
    </row>
    <row r="10" spans="1:13" ht="18.75" x14ac:dyDescent="0.45">
      <c r="A10" s="24" t="s">
        <v>97</v>
      </c>
      <c r="K10" s="24">
        <f>SUM($K$9)</f>
        <v>0</v>
      </c>
    </row>
    <row r="11" spans="1:13" ht="18.75" x14ac:dyDescent="0.45">
      <c r="K11" s="26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7"/>
  <sheetViews>
    <sheetView rightToLeft="1" view="pageBreakPreview" zoomScale="89" zoomScaleNormal="100" zoomScaleSheetLayoutView="89" workbookViewId="0">
      <selection sqref="A1:W1"/>
    </sheetView>
  </sheetViews>
  <sheetFormatPr defaultRowHeight="18" x14ac:dyDescent="0.45"/>
  <cols>
    <col min="1" max="1" width="21.28515625" style="12" customWidth="1"/>
    <col min="2" max="2" width="1.42578125" style="12" customWidth="1"/>
    <col min="3" max="3" width="18.42578125" style="12" customWidth="1"/>
    <col min="4" max="4" width="1.42578125" style="12" customWidth="1"/>
    <col min="5" max="5" width="18.42578125" style="12" customWidth="1"/>
    <col min="6" max="6" width="1.42578125" style="12" customWidth="1"/>
    <col min="7" max="7" width="18.42578125" style="12" customWidth="1"/>
    <col min="8" max="8" width="1.42578125" style="12" customWidth="1"/>
    <col min="9" max="9" width="18.42578125" style="12" customWidth="1"/>
    <col min="10" max="10" width="1.42578125" style="12" customWidth="1"/>
    <col min="11" max="11" width="10.7109375" style="12" customWidth="1"/>
    <col min="12" max="16384" width="9.140625" style="12"/>
  </cols>
  <sheetData>
    <row r="1" spans="1:15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5" ht="20.100000000000001" customHeight="1" x14ac:dyDescent="0.4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5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5" spans="1:15" ht="19.5" x14ac:dyDescent="0.5">
      <c r="A5" s="39" t="s">
        <v>238</v>
      </c>
      <c r="B5" s="40"/>
      <c r="C5" s="40"/>
      <c r="D5" s="40"/>
      <c r="E5" s="40"/>
      <c r="F5" s="40"/>
      <c r="G5" s="40"/>
      <c r="H5" s="40"/>
      <c r="I5" s="40"/>
      <c r="J5" s="40"/>
      <c r="K5" s="40"/>
    </row>
    <row r="7" spans="1:15" ht="21" x14ac:dyDescent="0.45">
      <c r="C7" s="27" t="s">
        <v>5</v>
      </c>
      <c r="E7" s="14" t="s">
        <v>6</v>
      </c>
      <c r="F7" s="15"/>
      <c r="G7" s="15"/>
      <c r="I7" s="14" t="s">
        <v>7</v>
      </c>
      <c r="J7" s="15"/>
      <c r="K7" s="15"/>
    </row>
    <row r="8" spans="1:15" ht="63" x14ac:dyDescent="0.45">
      <c r="A8" s="27" t="s">
        <v>129</v>
      </c>
      <c r="C8" s="27" t="s">
        <v>130</v>
      </c>
      <c r="E8" s="27" t="s">
        <v>131</v>
      </c>
      <c r="G8" s="27" t="s">
        <v>132</v>
      </c>
      <c r="I8" s="27" t="s">
        <v>130</v>
      </c>
      <c r="K8" s="28" t="s">
        <v>15</v>
      </c>
      <c r="O8" s="37"/>
    </row>
    <row r="9" spans="1:15" ht="18.75" x14ac:dyDescent="0.45">
      <c r="A9" s="38" t="s">
        <v>237</v>
      </c>
      <c r="C9" s="21">
        <v>8103832</v>
      </c>
      <c r="E9" s="21">
        <v>34414</v>
      </c>
      <c r="G9" s="21">
        <v>0</v>
      </c>
      <c r="I9" s="21">
        <v>8138246</v>
      </c>
      <c r="K9" s="23">
        <v>4.0195156986800177E-6</v>
      </c>
    </row>
    <row r="10" spans="1:15" ht="18.75" x14ac:dyDescent="0.45">
      <c r="A10" s="38" t="s">
        <v>236</v>
      </c>
      <c r="C10" s="21">
        <v>186494837</v>
      </c>
      <c r="E10" s="21">
        <v>177443502480</v>
      </c>
      <c r="G10" s="21">
        <v>177202384948</v>
      </c>
      <c r="I10" s="21">
        <v>427612369</v>
      </c>
      <c r="K10" s="23">
        <v>2.1119964057921727E-4</v>
      </c>
    </row>
    <row r="11" spans="1:15" ht="18.75" x14ac:dyDescent="0.45">
      <c r="A11" s="38" t="s">
        <v>235</v>
      </c>
      <c r="C11" s="21">
        <v>96601308690</v>
      </c>
      <c r="E11" s="21">
        <v>79314904441</v>
      </c>
      <c r="G11" s="21">
        <v>112153260000</v>
      </c>
      <c r="I11" s="21">
        <v>63762953131</v>
      </c>
      <c r="K11" s="23">
        <v>3.149280460485622E-2</v>
      </c>
    </row>
    <row r="12" spans="1:15" ht="18.75" x14ac:dyDescent="0.45">
      <c r="A12" s="38" t="s">
        <v>234</v>
      </c>
      <c r="C12" s="21">
        <v>650000</v>
      </c>
      <c r="E12" s="21">
        <v>2760</v>
      </c>
      <c r="G12" s="21">
        <v>0</v>
      </c>
      <c r="I12" s="21">
        <v>652760</v>
      </c>
      <c r="K12" s="23">
        <v>3.2240105146371452E-7</v>
      </c>
    </row>
    <row r="13" spans="1:15" ht="18.75" x14ac:dyDescent="0.45">
      <c r="A13" s="38" t="s">
        <v>233</v>
      </c>
      <c r="C13" s="21">
        <v>16049478</v>
      </c>
      <c r="E13" s="21">
        <v>67868</v>
      </c>
      <c r="G13" s="21">
        <v>0</v>
      </c>
      <c r="I13" s="21">
        <v>16117346</v>
      </c>
      <c r="K13" s="23">
        <v>7.960428483982616E-6</v>
      </c>
    </row>
    <row r="14" spans="1:15" ht="18.75" x14ac:dyDescent="0.45">
      <c r="A14" s="38" t="s">
        <v>232</v>
      </c>
      <c r="C14" s="21">
        <v>9629371</v>
      </c>
      <c r="E14" s="21">
        <v>40891</v>
      </c>
      <c r="G14" s="21">
        <v>0</v>
      </c>
      <c r="I14" s="21">
        <v>9670262</v>
      </c>
      <c r="K14" s="23">
        <v>4.776185177905513E-6</v>
      </c>
    </row>
    <row r="15" spans="1:15" ht="18.75" x14ac:dyDescent="0.45">
      <c r="A15" s="38" t="s">
        <v>231</v>
      </c>
      <c r="C15" s="21">
        <v>3473821039</v>
      </c>
      <c r="E15" s="21">
        <v>542828204613</v>
      </c>
      <c r="G15" s="21">
        <v>545967646269</v>
      </c>
      <c r="I15" s="21">
        <v>334379383</v>
      </c>
      <c r="K15" s="23">
        <v>1.6515145638058108E-4</v>
      </c>
    </row>
    <row r="16" spans="1:15" ht="19.5" thickBot="1" x14ac:dyDescent="0.5">
      <c r="A16" s="24" t="s">
        <v>97</v>
      </c>
      <c r="C16" s="24">
        <f>SUM(C9:$C$15)</f>
        <v>100296057247</v>
      </c>
      <c r="E16" s="24">
        <f>SUM(E9:$E$15)</f>
        <v>799586757467</v>
      </c>
      <c r="G16" s="24">
        <f>SUM(G9:$G$15)</f>
        <v>835323291217</v>
      </c>
      <c r="I16" s="24">
        <f>SUM(I9:$I$15)</f>
        <v>64559523497</v>
      </c>
      <c r="K16" s="25">
        <f>SUM(K9:$K$15)</f>
        <v>3.1886234232228056E-2</v>
      </c>
    </row>
    <row r="17" spans="3:11" ht="19.5" thickTop="1" x14ac:dyDescent="0.45">
      <c r="C17" s="26"/>
      <c r="E17" s="26"/>
      <c r="G17" s="26"/>
      <c r="I17" s="26"/>
      <c r="K17" s="26"/>
    </row>
  </sheetData>
  <mergeCells count="6">
    <mergeCell ref="A1:K1"/>
    <mergeCell ref="A2:K2"/>
    <mergeCell ref="A3:K3"/>
    <mergeCell ref="A5:K5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4"/>
  <sheetViews>
    <sheetView rightToLeft="1" view="pageBreakPreview" zoomScale="78" zoomScaleNormal="100" zoomScaleSheetLayoutView="78" workbookViewId="0">
      <selection sqref="A1:W1"/>
    </sheetView>
  </sheetViews>
  <sheetFormatPr defaultRowHeight="18" x14ac:dyDescent="0.45"/>
  <cols>
    <col min="1" max="1" width="57.5703125" style="12" bestFit="1" customWidth="1"/>
    <col min="2" max="2" width="1.42578125" style="12" customWidth="1"/>
    <col min="3" max="3" width="11.42578125" style="12" customWidth="1"/>
    <col min="4" max="4" width="1.42578125" style="12" customWidth="1"/>
    <col min="5" max="5" width="21.28515625" style="12" customWidth="1"/>
    <col min="6" max="6" width="1.42578125" style="12" customWidth="1"/>
    <col min="7" max="7" width="11.42578125" style="12" customWidth="1"/>
    <col min="8" max="8" width="1.42578125" style="12" customWidth="1"/>
    <col min="9" max="9" width="11.42578125" style="12" customWidth="1"/>
    <col min="10" max="16384" width="9.140625" style="12"/>
  </cols>
  <sheetData>
    <row r="1" spans="1:12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12" ht="20.100000000000001" customHeight="1" x14ac:dyDescent="0.45">
      <c r="A2" s="10" t="s">
        <v>133</v>
      </c>
      <c r="B2" s="11"/>
      <c r="C2" s="11"/>
      <c r="D2" s="11"/>
      <c r="E2" s="11"/>
      <c r="F2" s="11"/>
      <c r="G2" s="11"/>
      <c r="H2" s="11"/>
      <c r="I2" s="11"/>
    </row>
    <row r="3" spans="1:12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</row>
    <row r="5" spans="1:12" ht="21" x14ac:dyDescent="0.45">
      <c r="A5" s="13" t="s">
        <v>134</v>
      </c>
      <c r="B5" s="11"/>
      <c r="C5" s="11"/>
      <c r="D5" s="11"/>
      <c r="E5" s="11"/>
      <c r="F5" s="11"/>
      <c r="G5" s="11"/>
      <c r="H5" s="11"/>
      <c r="I5" s="11"/>
      <c r="L5" s="37"/>
    </row>
    <row r="7" spans="1:12" ht="42" x14ac:dyDescent="0.45">
      <c r="A7" s="27" t="s">
        <v>135</v>
      </c>
      <c r="C7" s="27" t="s">
        <v>136</v>
      </c>
      <c r="E7" s="27" t="s">
        <v>130</v>
      </c>
      <c r="G7" s="28" t="s">
        <v>137</v>
      </c>
      <c r="I7" s="28" t="s">
        <v>138</v>
      </c>
    </row>
    <row r="8" spans="1:12" ht="21" x14ac:dyDescent="0.45">
      <c r="A8" s="34" t="s">
        <v>139</v>
      </c>
      <c r="C8" s="22" t="s">
        <v>239</v>
      </c>
      <c r="E8" s="21">
        <v>81423606527</v>
      </c>
      <c r="G8" s="23">
        <v>0.94681488577345796</v>
      </c>
      <c r="I8" s="23">
        <v>4.021547943849587E-2</v>
      </c>
    </row>
    <row r="9" spans="1:12" ht="21" x14ac:dyDescent="0.45">
      <c r="A9" s="34" t="s">
        <v>240</v>
      </c>
      <c r="C9" s="22" t="s">
        <v>241</v>
      </c>
      <c r="E9" s="21">
        <v>0</v>
      </c>
      <c r="G9" s="23">
        <v>0</v>
      </c>
      <c r="I9" s="23">
        <v>0</v>
      </c>
    </row>
    <row r="10" spans="1:12" ht="21" x14ac:dyDescent="0.45">
      <c r="A10" s="34" t="s">
        <v>140</v>
      </c>
      <c r="C10" s="22" t="s">
        <v>242</v>
      </c>
      <c r="E10" s="21">
        <v>0</v>
      </c>
      <c r="G10" s="23">
        <v>0</v>
      </c>
      <c r="I10" s="23">
        <v>0</v>
      </c>
    </row>
    <row r="11" spans="1:12" ht="21" x14ac:dyDescent="0.45">
      <c r="A11" s="34" t="s">
        <v>141</v>
      </c>
      <c r="C11" s="22" t="s">
        <v>243</v>
      </c>
      <c r="E11" s="21">
        <v>4573780872</v>
      </c>
      <c r="G11" s="23">
        <v>5.3185114226542013E-2</v>
      </c>
      <c r="I11" s="23">
        <v>2.2590106046593309E-3</v>
      </c>
    </row>
    <row r="12" spans="1:12" ht="21" x14ac:dyDescent="0.45">
      <c r="A12" s="34" t="s">
        <v>142</v>
      </c>
      <c r="C12" s="22" t="s">
        <v>244</v>
      </c>
      <c r="E12" s="21">
        <v>0</v>
      </c>
      <c r="G12" s="23">
        <v>0</v>
      </c>
      <c r="I12" s="23">
        <v>0</v>
      </c>
    </row>
    <row r="13" spans="1:12" ht="21" x14ac:dyDescent="0.45">
      <c r="A13" s="27" t="s">
        <v>97</v>
      </c>
      <c r="E13" s="24">
        <f>SUM(E8:$E$12)</f>
        <v>85997387399</v>
      </c>
      <c r="G13" s="25">
        <f>SUM(G8:$G$12)</f>
        <v>1</v>
      </c>
      <c r="I13" s="25">
        <f>SUM(I8:$I$12)</f>
        <v>4.2474490043155198E-2</v>
      </c>
    </row>
    <row r="14" spans="1:12" ht="18.75" x14ac:dyDescent="0.45">
      <c r="E14" s="26"/>
      <c r="G14" s="26"/>
      <c r="I14" s="26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73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17.5703125" style="12" bestFit="1" customWidth="1"/>
    <col min="2" max="2" width="1.42578125" style="12" customWidth="1"/>
    <col min="3" max="3" width="12.5703125" style="12" bestFit="1" customWidth="1"/>
    <col min="4" max="4" width="1.42578125" style="12" customWidth="1"/>
    <col min="5" max="5" width="17.5703125" style="12" bestFit="1" customWidth="1"/>
    <col min="6" max="6" width="1.42578125" style="12" customWidth="1"/>
    <col min="7" max="7" width="10.5703125" style="12" bestFit="1" customWidth="1"/>
    <col min="8" max="8" width="1.42578125" style="12" customWidth="1"/>
    <col min="9" max="9" width="17" style="12" bestFit="1" customWidth="1"/>
    <col min="10" max="10" width="1.42578125" style="12" customWidth="1"/>
    <col min="11" max="11" width="16.28515625" style="12" bestFit="1" customWidth="1"/>
    <col min="12" max="12" width="1.42578125" style="12" customWidth="1"/>
    <col min="13" max="13" width="17" style="12" bestFit="1" customWidth="1"/>
    <col min="14" max="14" width="1.42578125" style="12" customWidth="1"/>
    <col min="15" max="15" width="18.28515625" style="12" bestFit="1" customWidth="1"/>
    <col min="16" max="16" width="1.42578125" style="12" customWidth="1"/>
    <col min="17" max="17" width="16.5703125" style="12" bestFit="1" customWidth="1"/>
    <col min="18" max="18" width="1.42578125" style="12" customWidth="1"/>
    <col min="19" max="19" width="18.28515625" style="12" bestFit="1" customWidth="1"/>
    <col min="20" max="16384" width="9.140625" style="12"/>
  </cols>
  <sheetData>
    <row r="1" spans="1:19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20.100000000000001" customHeight="1" x14ac:dyDescent="0.45">
      <c r="A2" s="10" t="s">
        <v>133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5" spans="1:19" ht="21" x14ac:dyDescent="0.45">
      <c r="A5" s="13" t="s">
        <v>143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7" spans="1:19" ht="21" x14ac:dyDescent="0.45">
      <c r="C7" s="14" t="s">
        <v>144</v>
      </c>
      <c r="D7" s="15"/>
      <c r="E7" s="15"/>
      <c r="F7" s="15"/>
      <c r="G7" s="15"/>
      <c r="I7" s="14" t="s">
        <v>145</v>
      </c>
      <c r="J7" s="15"/>
      <c r="K7" s="15"/>
      <c r="L7" s="15"/>
      <c r="M7" s="15"/>
      <c r="O7" s="14" t="s">
        <v>7</v>
      </c>
      <c r="P7" s="15"/>
      <c r="Q7" s="15"/>
      <c r="R7" s="15"/>
      <c r="S7" s="15"/>
    </row>
    <row r="8" spans="1:19" ht="63" x14ac:dyDescent="0.45">
      <c r="A8" s="27" t="s">
        <v>99</v>
      </c>
      <c r="C8" s="28" t="s">
        <v>146</v>
      </c>
      <c r="E8" s="28" t="s">
        <v>147</v>
      </c>
      <c r="G8" s="28" t="s">
        <v>148</v>
      </c>
      <c r="I8" s="28" t="s">
        <v>149</v>
      </c>
      <c r="K8" s="28" t="s">
        <v>150</v>
      </c>
      <c r="M8" s="28" t="s">
        <v>151</v>
      </c>
      <c r="O8" s="28" t="s">
        <v>149</v>
      </c>
      <c r="Q8" s="28" t="s">
        <v>150</v>
      </c>
      <c r="S8" s="28" t="s">
        <v>151</v>
      </c>
    </row>
    <row r="9" spans="1:19" ht="37.5" x14ac:dyDescent="0.45">
      <c r="A9" s="29" t="s">
        <v>17</v>
      </c>
      <c r="C9" s="22" t="s">
        <v>152</v>
      </c>
      <c r="E9" s="21">
        <v>50000</v>
      </c>
      <c r="G9" s="21">
        <v>3980</v>
      </c>
      <c r="N9" s="22"/>
      <c r="O9" s="21">
        <v>199000000</v>
      </c>
      <c r="Q9" s="21">
        <v>-2423545</v>
      </c>
      <c r="S9" s="21">
        <v>196576455</v>
      </c>
    </row>
    <row r="10" spans="1:19" ht="18.75" x14ac:dyDescent="0.45">
      <c r="A10" s="29" t="s">
        <v>18</v>
      </c>
      <c r="C10" s="22" t="s">
        <v>153</v>
      </c>
      <c r="E10" s="21">
        <v>245000</v>
      </c>
      <c r="G10" s="21">
        <v>100</v>
      </c>
      <c r="I10" s="21">
        <v>24500000</v>
      </c>
      <c r="K10" s="21">
        <v>-1287800</v>
      </c>
      <c r="M10" s="21">
        <v>23212200</v>
      </c>
      <c r="O10" s="21">
        <v>24500000</v>
      </c>
      <c r="Q10" s="21">
        <v>-1287800</v>
      </c>
      <c r="S10" s="21">
        <v>23212200</v>
      </c>
    </row>
    <row r="11" spans="1:19" ht="18.75" x14ac:dyDescent="0.45">
      <c r="A11" s="29" t="s">
        <v>154</v>
      </c>
      <c r="C11" s="22" t="s">
        <v>155</v>
      </c>
      <c r="E11" s="21">
        <v>6813853</v>
      </c>
      <c r="G11" s="21">
        <v>637</v>
      </c>
      <c r="N11" s="22"/>
      <c r="O11" s="21">
        <v>4340424361</v>
      </c>
      <c r="Q11" s="21">
        <v>0</v>
      </c>
      <c r="S11" s="21">
        <v>4340424361</v>
      </c>
    </row>
    <row r="12" spans="1:19" ht="18.75" x14ac:dyDescent="0.45">
      <c r="A12" s="29" t="s">
        <v>20</v>
      </c>
      <c r="C12" s="22" t="s">
        <v>156</v>
      </c>
      <c r="E12" s="21">
        <v>19134677</v>
      </c>
      <c r="G12" s="21">
        <v>35</v>
      </c>
      <c r="N12" s="22"/>
      <c r="O12" s="21">
        <v>669713695</v>
      </c>
      <c r="Q12" s="21">
        <v>-24738764</v>
      </c>
      <c r="S12" s="21">
        <v>644974931</v>
      </c>
    </row>
    <row r="13" spans="1:19" ht="18.75" x14ac:dyDescent="0.45">
      <c r="A13" s="29" t="s">
        <v>21</v>
      </c>
      <c r="C13" s="22" t="s">
        <v>157</v>
      </c>
      <c r="E13" s="21">
        <v>2291471</v>
      </c>
      <c r="G13" s="21">
        <v>1940</v>
      </c>
      <c r="N13" s="22"/>
      <c r="O13" s="21">
        <v>4445453740</v>
      </c>
      <c r="Q13" s="21">
        <v>-118545433</v>
      </c>
      <c r="S13" s="21">
        <v>4326908307</v>
      </c>
    </row>
    <row r="14" spans="1:19" ht="18.75" x14ac:dyDescent="0.45">
      <c r="A14" s="29" t="s">
        <v>22</v>
      </c>
      <c r="C14" s="22" t="s">
        <v>158</v>
      </c>
      <c r="E14" s="21">
        <v>14265950</v>
      </c>
      <c r="G14" s="21">
        <v>135</v>
      </c>
      <c r="N14" s="22"/>
      <c r="O14" s="21">
        <v>1925903250</v>
      </c>
      <c r="Q14" s="21">
        <v>-82087680</v>
      </c>
      <c r="S14" s="21">
        <v>1843815570</v>
      </c>
    </row>
    <row r="15" spans="1:19" ht="18.75" x14ac:dyDescent="0.45">
      <c r="A15" s="29" t="s">
        <v>23</v>
      </c>
      <c r="C15" s="22" t="s">
        <v>159</v>
      </c>
      <c r="E15" s="21">
        <v>500000</v>
      </c>
      <c r="G15" s="21">
        <v>1425</v>
      </c>
      <c r="N15" s="22"/>
      <c r="O15" s="21">
        <v>712500000</v>
      </c>
      <c r="Q15" s="21">
        <v>-14813883</v>
      </c>
      <c r="S15" s="21">
        <v>697686117</v>
      </c>
    </row>
    <row r="16" spans="1:19" ht="18.75" x14ac:dyDescent="0.45">
      <c r="A16" s="29" t="s">
        <v>24</v>
      </c>
      <c r="C16" s="22" t="s">
        <v>160</v>
      </c>
      <c r="E16" s="21">
        <v>1750000</v>
      </c>
      <c r="G16" s="21">
        <v>400</v>
      </c>
      <c r="N16" s="22"/>
      <c r="O16" s="21">
        <v>700000000</v>
      </c>
      <c r="Q16" s="21">
        <v>-14553991</v>
      </c>
      <c r="S16" s="21">
        <v>685446009</v>
      </c>
    </row>
    <row r="17" spans="1:19" ht="18.75" x14ac:dyDescent="0.45">
      <c r="A17" s="29" t="s">
        <v>25</v>
      </c>
      <c r="C17" s="22" t="s">
        <v>161</v>
      </c>
      <c r="E17" s="21">
        <v>13509504</v>
      </c>
      <c r="G17" s="21">
        <v>50</v>
      </c>
      <c r="I17" s="21">
        <v>675475200</v>
      </c>
      <c r="K17" s="21">
        <v>-37987293</v>
      </c>
      <c r="M17" s="21">
        <v>637487907</v>
      </c>
      <c r="O17" s="21">
        <v>675475200</v>
      </c>
      <c r="Q17" s="21">
        <v>-37987293</v>
      </c>
      <c r="S17" s="21">
        <v>637487907</v>
      </c>
    </row>
    <row r="18" spans="1:19" ht="18.75" x14ac:dyDescent="0.45">
      <c r="A18" s="29" t="s">
        <v>26</v>
      </c>
      <c r="C18" s="22" t="s">
        <v>162</v>
      </c>
      <c r="E18" s="21">
        <v>1562500</v>
      </c>
      <c r="G18" s="21">
        <v>440</v>
      </c>
      <c r="N18" s="22"/>
      <c r="O18" s="21">
        <v>687500000</v>
      </c>
      <c r="Q18" s="21">
        <v>0</v>
      </c>
      <c r="S18" s="21">
        <v>687500000</v>
      </c>
    </row>
    <row r="19" spans="1:19" ht="18.75" x14ac:dyDescent="0.45">
      <c r="A19" s="29" t="s">
        <v>28</v>
      </c>
      <c r="C19" s="22" t="s">
        <v>163</v>
      </c>
      <c r="E19" s="21">
        <v>18000000</v>
      </c>
      <c r="G19" s="21">
        <v>1000</v>
      </c>
      <c r="N19" s="22"/>
      <c r="O19" s="21">
        <v>18000000000</v>
      </c>
      <c r="Q19" s="21">
        <v>0</v>
      </c>
      <c r="S19" s="21">
        <v>18000000000</v>
      </c>
    </row>
    <row r="20" spans="1:19" ht="18.75" x14ac:dyDescent="0.45">
      <c r="A20" s="29" t="s">
        <v>164</v>
      </c>
      <c r="C20" s="22" t="s">
        <v>165</v>
      </c>
      <c r="E20" s="21">
        <v>4739606</v>
      </c>
      <c r="G20" s="21">
        <v>460</v>
      </c>
      <c r="I20" s="21">
        <v>2180218760</v>
      </c>
      <c r="K20" s="21">
        <v>-46760724</v>
      </c>
      <c r="M20" s="21">
        <v>2133458036</v>
      </c>
      <c r="O20" s="21">
        <v>2180218760</v>
      </c>
      <c r="Q20" s="21">
        <v>-46760724</v>
      </c>
      <c r="S20" s="21">
        <v>2133458036</v>
      </c>
    </row>
    <row r="21" spans="1:19" ht="18.75" x14ac:dyDescent="0.45">
      <c r="A21" s="29" t="s">
        <v>30</v>
      </c>
      <c r="C21" s="22" t="s">
        <v>159</v>
      </c>
      <c r="E21" s="21">
        <v>9127149</v>
      </c>
      <c r="G21" s="21">
        <v>167</v>
      </c>
      <c r="N21" s="22"/>
      <c r="O21" s="21">
        <v>1524233883</v>
      </c>
      <c r="Q21" s="21">
        <v>-61129696</v>
      </c>
      <c r="S21" s="21">
        <v>1463104187</v>
      </c>
    </row>
    <row r="22" spans="1:19" ht="37.5" x14ac:dyDescent="0.45">
      <c r="A22" s="29" t="s">
        <v>31</v>
      </c>
      <c r="C22" s="22" t="s">
        <v>166</v>
      </c>
      <c r="E22" s="21">
        <v>842177</v>
      </c>
      <c r="G22" s="21">
        <v>35</v>
      </c>
      <c r="N22" s="22"/>
      <c r="O22" s="21">
        <v>29476195</v>
      </c>
      <c r="Q22" s="21">
        <v>-1639685</v>
      </c>
      <c r="S22" s="21">
        <v>27836510</v>
      </c>
    </row>
    <row r="23" spans="1:19" ht="37.5" x14ac:dyDescent="0.45">
      <c r="A23" s="29" t="s">
        <v>35</v>
      </c>
      <c r="C23" s="22" t="s">
        <v>167</v>
      </c>
      <c r="E23" s="21">
        <v>6645110</v>
      </c>
      <c r="G23" s="21">
        <v>1600</v>
      </c>
      <c r="N23" s="22"/>
      <c r="O23" s="21">
        <v>10632176000</v>
      </c>
      <c r="Q23" s="21">
        <v>0</v>
      </c>
      <c r="S23" s="21">
        <v>10632176000</v>
      </c>
    </row>
    <row r="24" spans="1:19" ht="18.75" x14ac:dyDescent="0.45">
      <c r="A24" s="29" t="s">
        <v>36</v>
      </c>
      <c r="C24" s="22" t="s">
        <v>168</v>
      </c>
      <c r="E24" s="21">
        <v>1000000</v>
      </c>
      <c r="G24" s="21">
        <v>600</v>
      </c>
      <c r="N24" s="22"/>
      <c r="O24" s="21">
        <v>600000000</v>
      </c>
      <c r="Q24" s="21">
        <v>0</v>
      </c>
      <c r="S24" s="21">
        <v>600000000</v>
      </c>
    </row>
    <row r="25" spans="1:19" ht="18.75" x14ac:dyDescent="0.45">
      <c r="A25" s="29" t="s">
        <v>37</v>
      </c>
      <c r="C25" s="22" t="s">
        <v>169</v>
      </c>
      <c r="E25" s="21">
        <v>31806527</v>
      </c>
      <c r="G25" s="21">
        <v>120</v>
      </c>
      <c r="N25" s="22"/>
      <c r="O25" s="21">
        <v>3816783240</v>
      </c>
      <c r="Q25" s="21">
        <v>-212317826</v>
      </c>
      <c r="S25" s="21">
        <v>3604465414</v>
      </c>
    </row>
    <row r="26" spans="1:19" ht="18.75" x14ac:dyDescent="0.45">
      <c r="A26" s="29" t="s">
        <v>39</v>
      </c>
      <c r="C26" s="22" t="s">
        <v>170</v>
      </c>
      <c r="E26" s="21">
        <v>236747</v>
      </c>
      <c r="G26" s="21">
        <v>2300</v>
      </c>
      <c r="N26" s="22"/>
      <c r="O26" s="21">
        <v>544518100</v>
      </c>
      <c r="Q26" s="21">
        <v>-14520483</v>
      </c>
      <c r="S26" s="21">
        <v>529997617</v>
      </c>
    </row>
    <row r="27" spans="1:19" ht="18.75" x14ac:dyDescent="0.45">
      <c r="A27" s="29" t="s">
        <v>40</v>
      </c>
      <c r="C27" s="22" t="s">
        <v>162</v>
      </c>
      <c r="E27" s="21">
        <v>2773715</v>
      </c>
      <c r="G27" s="21">
        <v>5375</v>
      </c>
      <c r="N27" s="22"/>
      <c r="O27" s="21">
        <v>14908718125</v>
      </c>
      <c r="Q27" s="21">
        <v>-368485351</v>
      </c>
      <c r="S27" s="21">
        <v>14540232774</v>
      </c>
    </row>
    <row r="28" spans="1:19" ht="37.5" x14ac:dyDescent="0.45">
      <c r="A28" s="29" t="s">
        <v>41</v>
      </c>
      <c r="C28" s="22" t="s">
        <v>171</v>
      </c>
      <c r="E28" s="21">
        <v>122374</v>
      </c>
      <c r="G28" s="21">
        <v>2400</v>
      </c>
      <c r="I28" s="21">
        <v>293697600</v>
      </c>
      <c r="K28" s="21">
        <v>-17231774</v>
      </c>
      <c r="M28" s="21">
        <v>276465826</v>
      </c>
      <c r="O28" s="21">
        <v>293697600</v>
      </c>
      <c r="Q28" s="21">
        <v>-17231774</v>
      </c>
      <c r="S28" s="21">
        <v>276465826</v>
      </c>
    </row>
    <row r="29" spans="1:19" ht="18.75" x14ac:dyDescent="0.45">
      <c r="A29" s="29" t="s">
        <v>42</v>
      </c>
      <c r="C29" s="22" t="s">
        <v>172</v>
      </c>
      <c r="E29" s="21">
        <v>2672602</v>
      </c>
      <c r="G29" s="21">
        <v>1150</v>
      </c>
      <c r="I29" s="21">
        <v>3073492300</v>
      </c>
      <c r="K29" s="21">
        <v>0</v>
      </c>
      <c r="M29" s="21">
        <v>3073492300</v>
      </c>
      <c r="O29" s="21">
        <v>3073492300</v>
      </c>
      <c r="Q29" s="21">
        <v>0</v>
      </c>
      <c r="S29" s="21">
        <v>3073492300</v>
      </c>
    </row>
    <row r="30" spans="1:19" ht="18.75" x14ac:dyDescent="0.45">
      <c r="A30" s="29" t="s">
        <v>43</v>
      </c>
      <c r="C30" s="22" t="s">
        <v>173</v>
      </c>
      <c r="E30" s="21">
        <v>27844387</v>
      </c>
      <c r="G30" s="21">
        <v>40</v>
      </c>
      <c r="N30" s="22"/>
      <c r="O30" s="21">
        <v>1113775480</v>
      </c>
      <c r="Q30" s="21">
        <v>-59911448</v>
      </c>
      <c r="S30" s="21">
        <v>1053864032</v>
      </c>
    </row>
    <row r="31" spans="1:19" ht="37.5" x14ac:dyDescent="0.45">
      <c r="A31" s="29" t="s">
        <v>44</v>
      </c>
      <c r="C31" s="22" t="s">
        <v>155</v>
      </c>
      <c r="E31" s="21">
        <v>15167887</v>
      </c>
      <c r="G31" s="21">
        <v>266</v>
      </c>
      <c r="N31" s="22"/>
      <c r="O31" s="21">
        <v>4034657942</v>
      </c>
      <c r="Q31" s="21">
        <v>-107590878</v>
      </c>
      <c r="S31" s="21">
        <v>3927067064</v>
      </c>
    </row>
    <row r="32" spans="1:19" ht="18.75" x14ac:dyDescent="0.45">
      <c r="A32" s="29" t="s">
        <v>45</v>
      </c>
      <c r="C32" s="22" t="s">
        <v>166</v>
      </c>
      <c r="E32" s="21">
        <v>10258397</v>
      </c>
      <c r="G32" s="21">
        <v>114</v>
      </c>
      <c r="N32" s="22"/>
      <c r="O32" s="21">
        <v>1169457258</v>
      </c>
      <c r="Q32" s="21">
        <v>-45423290</v>
      </c>
      <c r="S32" s="21">
        <v>1124033968</v>
      </c>
    </row>
    <row r="33" spans="1:19" ht="18.75" x14ac:dyDescent="0.45">
      <c r="A33" s="29" t="s">
        <v>48</v>
      </c>
      <c r="C33" s="22" t="s">
        <v>174</v>
      </c>
      <c r="E33" s="21">
        <v>1186353</v>
      </c>
      <c r="G33" s="21">
        <v>6810</v>
      </c>
      <c r="N33" s="22"/>
      <c r="O33" s="21">
        <v>8079063930</v>
      </c>
      <c r="Q33" s="21">
        <v>0</v>
      </c>
      <c r="S33" s="21">
        <v>8079063930</v>
      </c>
    </row>
    <row r="34" spans="1:19" ht="18.75" x14ac:dyDescent="0.45">
      <c r="A34" s="29" t="s">
        <v>49</v>
      </c>
      <c r="C34" s="22" t="s">
        <v>175</v>
      </c>
      <c r="E34" s="21">
        <v>100000</v>
      </c>
      <c r="G34" s="21">
        <v>14500</v>
      </c>
      <c r="N34" s="22"/>
      <c r="O34" s="21">
        <v>1450000000</v>
      </c>
      <c r="Q34" s="21">
        <v>0</v>
      </c>
      <c r="S34" s="21">
        <v>1450000000</v>
      </c>
    </row>
    <row r="35" spans="1:19" ht="18.75" x14ac:dyDescent="0.45">
      <c r="A35" s="29" t="s">
        <v>50</v>
      </c>
      <c r="C35" s="22" t="s">
        <v>163</v>
      </c>
      <c r="E35" s="21">
        <v>5530564</v>
      </c>
      <c r="G35" s="21">
        <v>1050</v>
      </c>
      <c r="N35" s="22"/>
      <c r="O35" s="21">
        <v>5807092200</v>
      </c>
      <c r="Q35" s="21">
        <v>-287330083</v>
      </c>
      <c r="S35" s="21">
        <v>5519762117</v>
      </c>
    </row>
    <row r="36" spans="1:19" ht="18.75" x14ac:dyDescent="0.45">
      <c r="A36" s="29" t="s">
        <v>51</v>
      </c>
      <c r="C36" s="22" t="s">
        <v>176</v>
      </c>
      <c r="E36" s="21">
        <v>5799792</v>
      </c>
      <c r="G36" s="21">
        <v>1076</v>
      </c>
      <c r="N36" s="22"/>
      <c r="O36" s="21">
        <v>6240576192</v>
      </c>
      <c r="Q36" s="21">
        <v>0</v>
      </c>
      <c r="S36" s="21">
        <v>6240576192</v>
      </c>
    </row>
    <row r="37" spans="1:19" ht="18.75" x14ac:dyDescent="0.45">
      <c r="A37" s="29" t="s">
        <v>56</v>
      </c>
      <c r="C37" s="22" t="s">
        <v>172</v>
      </c>
      <c r="E37" s="21">
        <v>9448213</v>
      </c>
      <c r="G37" s="21">
        <v>10</v>
      </c>
      <c r="I37" s="21">
        <v>94482130</v>
      </c>
      <c r="K37" s="21">
        <v>-6169768</v>
      </c>
      <c r="M37" s="21">
        <v>88312362</v>
      </c>
      <c r="O37" s="21">
        <v>94482130</v>
      </c>
      <c r="Q37" s="21">
        <v>-6169768</v>
      </c>
      <c r="S37" s="21">
        <v>88312362</v>
      </c>
    </row>
    <row r="38" spans="1:19" ht="18.75" x14ac:dyDescent="0.45">
      <c r="A38" s="29" t="s">
        <v>57</v>
      </c>
      <c r="C38" s="22" t="s">
        <v>177</v>
      </c>
      <c r="E38" s="21">
        <v>10148510</v>
      </c>
      <c r="G38" s="21">
        <v>560</v>
      </c>
      <c r="N38" s="22"/>
      <c r="O38" s="21">
        <v>5683165600</v>
      </c>
      <c r="Q38" s="21">
        <v>0</v>
      </c>
      <c r="S38" s="21">
        <v>5683165600</v>
      </c>
    </row>
    <row r="39" spans="1:19" ht="18.75" x14ac:dyDescent="0.45">
      <c r="A39" s="29" t="s">
        <v>58</v>
      </c>
      <c r="C39" s="22" t="s">
        <v>5</v>
      </c>
      <c r="E39" s="21">
        <v>249996</v>
      </c>
      <c r="G39" s="21">
        <v>118</v>
      </c>
      <c r="I39" s="21">
        <v>29499528</v>
      </c>
      <c r="K39" s="21">
        <v>0</v>
      </c>
      <c r="M39" s="21">
        <v>29499528</v>
      </c>
      <c r="O39" s="21">
        <v>29499528</v>
      </c>
      <c r="Q39" s="21">
        <v>0</v>
      </c>
      <c r="S39" s="21">
        <v>29499528</v>
      </c>
    </row>
    <row r="40" spans="1:19" ht="18.75" x14ac:dyDescent="0.45">
      <c r="A40" s="29" t="s">
        <v>59</v>
      </c>
      <c r="C40" s="22" t="s">
        <v>163</v>
      </c>
      <c r="E40" s="21">
        <v>3600000</v>
      </c>
      <c r="G40" s="21">
        <v>300</v>
      </c>
      <c r="N40" s="22"/>
      <c r="O40" s="21">
        <v>1080000000</v>
      </c>
      <c r="Q40" s="21">
        <v>-63365571</v>
      </c>
      <c r="S40" s="21">
        <v>1016634429</v>
      </c>
    </row>
    <row r="41" spans="1:19" ht="18.75" x14ac:dyDescent="0.45">
      <c r="A41" s="29" t="s">
        <v>60</v>
      </c>
      <c r="C41" s="22" t="s">
        <v>5</v>
      </c>
      <c r="E41" s="21">
        <v>22264729</v>
      </c>
      <c r="G41" s="21">
        <v>310</v>
      </c>
      <c r="I41" s="21">
        <v>6902065990</v>
      </c>
      <c r="K41" s="21">
        <v>-388157557</v>
      </c>
      <c r="M41" s="21">
        <v>6513908433</v>
      </c>
      <c r="O41" s="21">
        <v>6902065990</v>
      </c>
      <c r="Q41" s="21">
        <v>-388157557</v>
      </c>
      <c r="S41" s="21">
        <v>6513908433</v>
      </c>
    </row>
    <row r="42" spans="1:19" ht="18.75" x14ac:dyDescent="0.45">
      <c r="A42" s="29" t="s">
        <v>61</v>
      </c>
      <c r="C42" s="22" t="s">
        <v>178</v>
      </c>
      <c r="E42" s="21">
        <v>9664654</v>
      </c>
      <c r="G42" s="21">
        <v>1430</v>
      </c>
      <c r="N42" s="22"/>
      <c r="O42" s="21">
        <v>13820455220</v>
      </c>
      <c r="Q42" s="21">
        <v>-810871325</v>
      </c>
      <c r="S42" s="21">
        <v>13009583895</v>
      </c>
    </row>
    <row r="43" spans="1:19" ht="18.75" x14ac:dyDescent="0.45">
      <c r="A43" s="29" t="s">
        <v>62</v>
      </c>
      <c r="C43" s="22" t="s">
        <v>166</v>
      </c>
      <c r="E43" s="21">
        <v>14021442</v>
      </c>
      <c r="G43" s="21">
        <v>500</v>
      </c>
      <c r="N43" s="22"/>
      <c r="O43" s="21">
        <v>7010721000</v>
      </c>
      <c r="Q43" s="21">
        <v>-394268085</v>
      </c>
      <c r="S43" s="21">
        <v>6616452915</v>
      </c>
    </row>
    <row r="44" spans="1:19" ht="18.75" x14ac:dyDescent="0.45">
      <c r="A44" s="29" t="s">
        <v>63</v>
      </c>
      <c r="C44" s="22" t="s">
        <v>179</v>
      </c>
      <c r="E44" s="21">
        <v>800000</v>
      </c>
      <c r="G44" s="21">
        <v>730</v>
      </c>
      <c r="N44" s="22"/>
      <c r="O44" s="21">
        <v>584000000</v>
      </c>
      <c r="Q44" s="21">
        <v>-20829590</v>
      </c>
      <c r="S44" s="21">
        <v>563170410</v>
      </c>
    </row>
    <row r="45" spans="1:19" ht="18.75" x14ac:dyDescent="0.45">
      <c r="A45" s="29" t="s">
        <v>64</v>
      </c>
      <c r="C45" s="22" t="s">
        <v>180</v>
      </c>
      <c r="E45" s="21">
        <v>200000</v>
      </c>
      <c r="G45" s="21">
        <v>500</v>
      </c>
      <c r="I45" s="21">
        <v>100000000</v>
      </c>
      <c r="K45" s="21">
        <v>-1683502</v>
      </c>
      <c r="M45" s="21">
        <v>98316498</v>
      </c>
      <c r="O45" s="21">
        <v>100000000</v>
      </c>
      <c r="Q45" s="21">
        <v>-1683502</v>
      </c>
      <c r="S45" s="21">
        <v>98316498</v>
      </c>
    </row>
    <row r="46" spans="1:19" ht="18.75" x14ac:dyDescent="0.45">
      <c r="A46" s="29" t="s">
        <v>65</v>
      </c>
      <c r="C46" s="22" t="s">
        <v>181</v>
      </c>
      <c r="E46" s="21">
        <v>8231319</v>
      </c>
      <c r="G46" s="21">
        <v>400</v>
      </c>
      <c r="N46" s="22"/>
      <c r="O46" s="21">
        <v>3292527600</v>
      </c>
      <c r="Q46" s="21">
        <v>-72775225</v>
      </c>
      <c r="S46" s="21">
        <v>3219752375</v>
      </c>
    </row>
    <row r="47" spans="1:19" ht="18.75" x14ac:dyDescent="0.45">
      <c r="A47" s="29" t="s">
        <v>66</v>
      </c>
      <c r="C47" s="22" t="s">
        <v>163</v>
      </c>
      <c r="E47" s="21">
        <v>6256631</v>
      </c>
      <c r="G47" s="21">
        <v>700</v>
      </c>
      <c r="N47" s="22"/>
      <c r="O47" s="21">
        <v>4379641700</v>
      </c>
      <c r="Q47" s="21">
        <v>0</v>
      </c>
      <c r="S47" s="21">
        <v>4379641700</v>
      </c>
    </row>
    <row r="48" spans="1:19" ht="18.75" x14ac:dyDescent="0.45">
      <c r="A48" s="29" t="s">
        <v>67</v>
      </c>
      <c r="C48" s="22" t="s">
        <v>161</v>
      </c>
      <c r="E48" s="21">
        <v>3129644</v>
      </c>
      <c r="G48" s="21">
        <v>73</v>
      </c>
      <c r="I48" s="21">
        <v>228464012</v>
      </c>
      <c r="K48" s="21">
        <v>-9737810</v>
      </c>
      <c r="M48" s="21">
        <v>218726202</v>
      </c>
      <c r="O48" s="21">
        <v>228464012</v>
      </c>
      <c r="Q48" s="21">
        <v>-9737810</v>
      </c>
      <c r="S48" s="21">
        <v>218726202</v>
      </c>
    </row>
    <row r="49" spans="1:19" ht="18.75" x14ac:dyDescent="0.45">
      <c r="A49" s="29" t="s">
        <v>68</v>
      </c>
      <c r="C49" s="22" t="s">
        <v>163</v>
      </c>
      <c r="E49" s="21">
        <v>16300000</v>
      </c>
      <c r="G49" s="21">
        <v>800</v>
      </c>
      <c r="N49" s="22"/>
      <c r="O49" s="21">
        <v>13040000000</v>
      </c>
      <c r="Q49" s="21">
        <v>-725381630</v>
      </c>
      <c r="S49" s="21">
        <v>12314618370</v>
      </c>
    </row>
    <row r="50" spans="1:19" ht="18.75" x14ac:dyDescent="0.45">
      <c r="A50" s="29" t="s">
        <v>70</v>
      </c>
      <c r="C50" s="22" t="s">
        <v>168</v>
      </c>
      <c r="E50" s="21">
        <v>44699</v>
      </c>
      <c r="G50" s="21">
        <v>1300</v>
      </c>
      <c r="N50" s="22"/>
      <c r="O50" s="21">
        <v>58108700</v>
      </c>
      <c r="Q50" s="21">
        <v>-3232437</v>
      </c>
      <c r="S50" s="21">
        <v>54876263</v>
      </c>
    </row>
    <row r="51" spans="1:19" ht="18.75" x14ac:dyDescent="0.45">
      <c r="A51" s="29" t="s">
        <v>71</v>
      </c>
      <c r="C51" s="22" t="s">
        <v>160</v>
      </c>
      <c r="E51" s="21">
        <v>4274063</v>
      </c>
      <c r="G51" s="21">
        <v>670</v>
      </c>
      <c r="N51" s="22"/>
      <c r="O51" s="21">
        <v>2863622210</v>
      </c>
      <c r="Q51" s="21">
        <v>-32959768</v>
      </c>
      <c r="S51" s="21">
        <v>2830662442</v>
      </c>
    </row>
    <row r="52" spans="1:19" ht="18.75" x14ac:dyDescent="0.45">
      <c r="A52" s="29" t="s">
        <v>72</v>
      </c>
      <c r="C52" s="22" t="s">
        <v>182</v>
      </c>
      <c r="E52" s="21">
        <v>250000</v>
      </c>
      <c r="G52" s="21">
        <v>1480</v>
      </c>
      <c r="N52" s="22"/>
      <c r="O52" s="21">
        <v>370000000</v>
      </c>
      <c r="Q52" s="21">
        <v>-14371297</v>
      </c>
      <c r="S52" s="21">
        <v>355628703</v>
      </c>
    </row>
    <row r="53" spans="1:19" ht="18.75" x14ac:dyDescent="0.45">
      <c r="A53" s="29" t="s">
        <v>73</v>
      </c>
      <c r="C53" s="22" t="s">
        <v>165</v>
      </c>
      <c r="E53" s="21">
        <v>15800000</v>
      </c>
      <c r="G53" s="21">
        <v>1400</v>
      </c>
      <c r="I53" s="21">
        <v>22120000000</v>
      </c>
      <c r="K53" s="21">
        <v>-1324636188</v>
      </c>
      <c r="M53" s="21">
        <v>20795363812</v>
      </c>
      <c r="O53" s="21">
        <v>22120000000</v>
      </c>
      <c r="Q53" s="21">
        <v>-1324636188</v>
      </c>
      <c r="S53" s="21">
        <v>20795363812</v>
      </c>
    </row>
    <row r="54" spans="1:19" ht="37.5" x14ac:dyDescent="0.45">
      <c r="A54" s="29" t="s">
        <v>74</v>
      </c>
      <c r="C54" s="22" t="s">
        <v>183</v>
      </c>
      <c r="E54" s="21">
        <v>6668802</v>
      </c>
      <c r="G54" s="21">
        <v>350</v>
      </c>
      <c r="N54" s="22"/>
      <c r="O54" s="21">
        <v>2334080700</v>
      </c>
      <c r="Q54" s="21">
        <v>-131263750</v>
      </c>
      <c r="S54" s="21">
        <v>2202816950</v>
      </c>
    </row>
    <row r="55" spans="1:19" ht="18.75" x14ac:dyDescent="0.45">
      <c r="A55" s="29" t="s">
        <v>75</v>
      </c>
      <c r="C55" s="22" t="s">
        <v>163</v>
      </c>
      <c r="E55" s="21">
        <v>5155597</v>
      </c>
      <c r="G55" s="21">
        <v>380</v>
      </c>
      <c r="N55" s="22"/>
      <c r="O55" s="21">
        <v>1959126860</v>
      </c>
      <c r="Q55" s="21">
        <v>-108981184</v>
      </c>
      <c r="S55" s="21">
        <v>1850145676</v>
      </c>
    </row>
    <row r="56" spans="1:19" ht="18.75" x14ac:dyDescent="0.45">
      <c r="A56" s="29" t="s">
        <v>77</v>
      </c>
      <c r="C56" s="22" t="s">
        <v>184</v>
      </c>
      <c r="E56" s="21">
        <v>1207911</v>
      </c>
      <c r="G56" s="21">
        <v>2600</v>
      </c>
      <c r="N56" s="22"/>
      <c r="O56" s="21">
        <v>3140568600</v>
      </c>
      <c r="Q56" s="21">
        <v>-36147370</v>
      </c>
      <c r="S56" s="21">
        <v>3104421230</v>
      </c>
    </row>
    <row r="57" spans="1:19" ht="18.75" x14ac:dyDescent="0.45">
      <c r="A57" s="29" t="s">
        <v>185</v>
      </c>
      <c r="C57" s="22" t="s">
        <v>186</v>
      </c>
      <c r="E57" s="21">
        <v>411</v>
      </c>
      <c r="G57" s="21">
        <v>285</v>
      </c>
      <c r="N57" s="22"/>
      <c r="O57" s="21">
        <v>117135</v>
      </c>
      <c r="Q57" s="21">
        <v>-1972</v>
      </c>
      <c r="S57" s="21">
        <v>115163</v>
      </c>
    </row>
    <row r="58" spans="1:19" ht="37.5" x14ac:dyDescent="0.45">
      <c r="A58" s="29" t="s">
        <v>78</v>
      </c>
      <c r="C58" s="22" t="s">
        <v>153</v>
      </c>
      <c r="E58" s="21">
        <v>8036726</v>
      </c>
      <c r="G58" s="21">
        <v>410</v>
      </c>
      <c r="I58" s="21">
        <v>3295057660</v>
      </c>
      <c r="K58" s="21">
        <v>-189322228</v>
      </c>
      <c r="M58" s="21">
        <v>3105735432</v>
      </c>
      <c r="O58" s="21">
        <v>3295057660</v>
      </c>
      <c r="Q58" s="21">
        <v>-189322228</v>
      </c>
      <c r="S58" s="21">
        <v>3105735432</v>
      </c>
    </row>
    <row r="59" spans="1:19" ht="37.5" x14ac:dyDescent="0.45">
      <c r="A59" s="29" t="s">
        <v>79</v>
      </c>
      <c r="C59" s="22" t="s">
        <v>187</v>
      </c>
      <c r="E59" s="21">
        <v>700000</v>
      </c>
      <c r="G59" s="21">
        <v>722</v>
      </c>
      <c r="I59" s="21">
        <v>505400000</v>
      </c>
      <c r="K59" s="21">
        <v>-29652740</v>
      </c>
      <c r="M59" s="21">
        <v>475747260</v>
      </c>
      <c r="O59" s="21">
        <v>505400000</v>
      </c>
      <c r="Q59" s="21">
        <v>-29652740</v>
      </c>
      <c r="S59" s="21">
        <v>475747260</v>
      </c>
    </row>
    <row r="60" spans="1:19" ht="18.75" x14ac:dyDescent="0.45">
      <c r="A60" s="29" t="s">
        <v>81</v>
      </c>
      <c r="C60" s="22" t="s">
        <v>5</v>
      </c>
      <c r="E60" s="21">
        <v>10319249</v>
      </c>
      <c r="G60" s="21">
        <v>1000</v>
      </c>
      <c r="I60" s="21">
        <v>10319249000</v>
      </c>
      <c r="K60" s="21">
        <v>-592907141</v>
      </c>
      <c r="M60" s="21">
        <v>9726341859</v>
      </c>
      <c r="O60" s="21">
        <v>10319249000</v>
      </c>
      <c r="Q60" s="21">
        <v>-592907141</v>
      </c>
      <c r="S60" s="21">
        <v>9726341859</v>
      </c>
    </row>
    <row r="61" spans="1:19" ht="18.75" x14ac:dyDescent="0.45">
      <c r="A61" s="29" t="s">
        <v>82</v>
      </c>
      <c r="C61" s="22" t="s">
        <v>188</v>
      </c>
      <c r="E61" s="21">
        <v>1999999</v>
      </c>
      <c r="G61" s="21">
        <v>50</v>
      </c>
      <c r="I61" s="21">
        <v>99999950</v>
      </c>
      <c r="K61" s="21">
        <v>-5562740</v>
      </c>
      <c r="M61" s="21">
        <v>94437210</v>
      </c>
      <c r="O61" s="21">
        <v>99999950</v>
      </c>
      <c r="Q61" s="21">
        <v>-5562740</v>
      </c>
      <c r="S61" s="21">
        <v>94437210</v>
      </c>
    </row>
    <row r="62" spans="1:19" ht="18.75" x14ac:dyDescent="0.45">
      <c r="A62" s="29" t="s">
        <v>83</v>
      </c>
      <c r="C62" s="22" t="s">
        <v>155</v>
      </c>
      <c r="E62" s="21">
        <v>18635760</v>
      </c>
      <c r="G62" s="21">
        <v>390</v>
      </c>
      <c r="N62" s="22"/>
      <c r="O62" s="21">
        <v>7267946400</v>
      </c>
      <c r="Q62" s="21">
        <v>-193811904</v>
      </c>
      <c r="S62" s="21">
        <v>7074134496</v>
      </c>
    </row>
    <row r="63" spans="1:19" ht="18.75" x14ac:dyDescent="0.45">
      <c r="A63" s="29" t="s">
        <v>85</v>
      </c>
      <c r="C63" s="22" t="s">
        <v>183</v>
      </c>
      <c r="E63" s="21">
        <v>177678</v>
      </c>
      <c r="G63" s="21">
        <v>4100</v>
      </c>
      <c r="N63" s="22"/>
      <c r="O63" s="21">
        <v>728479800</v>
      </c>
      <c r="Q63" s="21">
        <v>-40523456</v>
      </c>
      <c r="S63" s="21">
        <v>687956344</v>
      </c>
    </row>
    <row r="64" spans="1:19" ht="37.5" x14ac:dyDescent="0.45">
      <c r="A64" s="29" t="s">
        <v>86</v>
      </c>
      <c r="C64" s="22" t="s">
        <v>189</v>
      </c>
      <c r="E64" s="21">
        <v>123</v>
      </c>
      <c r="G64" s="21">
        <v>400</v>
      </c>
      <c r="I64" s="21">
        <v>49200</v>
      </c>
      <c r="K64" s="21">
        <v>-500</v>
      </c>
      <c r="M64" s="21">
        <v>48700</v>
      </c>
      <c r="O64" s="21">
        <v>49200</v>
      </c>
      <c r="Q64" s="21">
        <v>-500</v>
      </c>
      <c r="S64" s="21">
        <v>48700</v>
      </c>
    </row>
    <row r="65" spans="1:19" ht="18.75" x14ac:dyDescent="0.45">
      <c r="A65" s="29" t="s">
        <v>87</v>
      </c>
      <c r="C65" s="22" t="s">
        <v>180</v>
      </c>
      <c r="E65" s="21">
        <v>2570924</v>
      </c>
      <c r="G65" s="21">
        <v>936</v>
      </c>
      <c r="I65" s="21">
        <v>2406384864</v>
      </c>
      <c r="K65" s="21">
        <v>-142646525</v>
      </c>
      <c r="M65" s="21">
        <v>2263738339</v>
      </c>
      <c r="O65" s="21">
        <v>2406384864</v>
      </c>
      <c r="Q65" s="21">
        <v>-142646525</v>
      </c>
      <c r="S65" s="21">
        <v>2263738339</v>
      </c>
    </row>
    <row r="66" spans="1:19" ht="18.75" x14ac:dyDescent="0.45">
      <c r="A66" s="29" t="s">
        <v>88</v>
      </c>
      <c r="C66" s="22" t="s">
        <v>190</v>
      </c>
      <c r="E66" s="21">
        <v>4613772</v>
      </c>
      <c r="G66" s="21">
        <v>220</v>
      </c>
      <c r="N66" s="22"/>
      <c r="O66" s="21">
        <v>1015029840</v>
      </c>
      <c r="Q66" s="21">
        <v>-27067462</v>
      </c>
      <c r="S66" s="21">
        <v>987962378</v>
      </c>
    </row>
    <row r="67" spans="1:19" ht="18.75" x14ac:dyDescent="0.45">
      <c r="A67" s="29" t="s">
        <v>89</v>
      </c>
      <c r="C67" s="22" t="s">
        <v>191</v>
      </c>
      <c r="E67" s="21">
        <v>6744759</v>
      </c>
      <c r="G67" s="21">
        <v>480</v>
      </c>
      <c r="N67" s="22"/>
      <c r="O67" s="21">
        <v>3237484320</v>
      </c>
      <c r="Q67" s="21">
        <v>-125748239</v>
      </c>
      <c r="S67" s="21">
        <v>3111736081</v>
      </c>
    </row>
    <row r="68" spans="1:19" ht="18.75" x14ac:dyDescent="0.45">
      <c r="A68" s="29" t="s">
        <v>91</v>
      </c>
      <c r="C68" s="22" t="s">
        <v>163</v>
      </c>
      <c r="E68" s="21">
        <v>3500000</v>
      </c>
      <c r="G68" s="21">
        <v>2280</v>
      </c>
      <c r="N68" s="22"/>
      <c r="O68" s="21">
        <v>7980000000</v>
      </c>
      <c r="Q68" s="21">
        <v>-389902280</v>
      </c>
      <c r="S68" s="21">
        <v>7590097720</v>
      </c>
    </row>
    <row r="69" spans="1:19" ht="18.75" x14ac:dyDescent="0.45">
      <c r="A69" s="29" t="s">
        <v>93</v>
      </c>
      <c r="C69" s="22" t="s">
        <v>192</v>
      </c>
      <c r="E69" s="21">
        <v>1947948</v>
      </c>
      <c r="G69" s="21">
        <v>5330</v>
      </c>
      <c r="N69" s="22"/>
      <c r="O69" s="21">
        <v>10382562840</v>
      </c>
      <c r="Q69" s="21">
        <v>-794617396</v>
      </c>
      <c r="S69" s="21">
        <v>9587945444</v>
      </c>
    </row>
    <row r="70" spans="1:19" ht="37.5" x14ac:dyDescent="0.45">
      <c r="A70" s="29" t="s">
        <v>94</v>
      </c>
      <c r="C70" s="22" t="s">
        <v>5</v>
      </c>
      <c r="E70" s="21">
        <v>450000</v>
      </c>
      <c r="G70" s="21">
        <v>45</v>
      </c>
      <c r="I70" s="21">
        <v>20250000</v>
      </c>
      <c r="K70" s="21">
        <v>-1001953</v>
      </c>
      <c r="M70" s="21">
        <v>19248047</v>
      </c>
      <c r="O70" s="21">
        <v>20250000</v>
      </c>
      <c r="Q70" s="21">
        <v>-1001953</v>
      </c>
      <c r="S70" s="21">
        <v>19248047</v>
      </c>
    </row>
    <row r="71" spans="1:19" ht="18.75" x14ac:dyDescent="0.45">
      <c r="A71" s="29" t="s">
        <v>95</v>
      </c>
      <c r="C71" s="22" t="s">
        <v>193</v>
      </c>
      <c r="E71" s="21">
        <v>2800000</v>
      </c>
      <c r="G71" s="21">
        <v>380</v>
      </c>
      <c r="N71" s="22"/>
      <c r="O71" s="21">
        <v>1064000000</v>
      </c>
      <c r="Q71" s="21">
        <v>-49342913</v>
      </c>
      <c r="S71" s="21">
        <v>1014657087</v>
      </c>
    </row>
    <row r="72" spans="1:19" ht="18.75" x14ac:dyDescent="0.45">
      <c r="A72" s="24" t="s">
        <v>97</v>
      </c>
      <c r="I72" s="24">
        <f>SUM(I9:$I$71)</f>
        <v>52368286194</v>
      </c>
      <c r="K72" s="24">
        <f>SUM(K9:$K$71)</f>
        <v>-2794746243</v>
      </c>
      <c r="M72" s="24">
        <f>SUM(M9:$M$71)</f>
        <v>49573539951</v>
      </c>
      <c r="O72" s="24">
        <f>SUM(O9:$O$71)</f>
        <v>235290948310</v>
      </c>
      <c r="Q72" s="24">
        <f>SUM(Q9:$Q$71)</f>
        <v>-8245721133</v>
      </c>
      <c r="S72" s="24">
        <f>SUM(S9:$S$71)</f>
        <v>227045227177</v>
      </c>
    </row>
    <row r="73" spans="1:19" ht="18.75" x14ac:dyDescent="0.45">
      <c r="I73" s="26"/>
      <c r="K73" s="26"/>
      <c r="M73" s="26"/>
      <c r="O73" s="26"/>
      <c r="Q73" s="26"/>
      <c r="S73" s="26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5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7"/>
  <sheetViews>
    <sheetView rightToLeft="1" view="pageBreakPreview" zoomScale="80" zoomScaleNormal="100" zoomScaleSheetLayoutView="80" workbookViewId="0">
      <selection sqref="A1:W1"/>
    </sheetView>
  </sheetViews>
  <sheetFormatPr defaultRowHeight="18" x14ac:dyDescent="0.45"/>
  <cols>
    <col min="1" max="1" width="21.28515625" style="12" customWidth="1"/>
    <col min="2" max="2" width="1.42578125" style="12" customWidth="1"/>
    <col min="3" max="3" width="18.42578125" style="12" customWidth="1"/>
    <col min="4" max="4" width="1.42578125" style="12" customWidth="1"/>
    <col min="5" max="5" width="14.140625" style="12" customWidth="1"/>
    <col min="6" max="6" width="1.42578125" style="12" customWidth="1"/>
    <col min="7" max="7" width="18.42578125" style="12" customWidth="1"/>
    <col min="8" max="8" width="1.42578125" style="12" customWidth="1"/>
    <col min="9" max="9" width="18.42578125" style="12" customWidth="1"/>
    <col min="10" max="10" width="1.42578125" style="12" customWidth="1"/>
    <col min="11" max="11" width="14.140625" style="12" customWidth="1"/>
    <col min="12" max="12" width="1.42578125" style="12" customWidth="1"/>
    <col min="13" max="13" width="18.42578125" style="12" customWidth="1"/>
    <col min="14" max="16384" width="9.140625" style="12"/>
  </cols>
  <sheetData>
    <row r="1" spans="1:13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0.100000000000001" customHeight="1" x14ac:dyDescent="0.45">
      <c r="A2" s="10" t="s">
        <v>133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spans="1:13" ht="21" x14ac:dyDescent="0.45">
      <c r="A5" s="13" t="s">
        <v>194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7" spans="1:13" ht="21" x14ac:dyDescent="0.45">
      <c r="C7" s="14" t="s">
        <v>145</v>
      </c>
      <c r="D7" s="15"/>
      <c r="E7" s="15"/>
      <c r="F7" s="15"/>
      <c r="G7" s="15"/>
      <c r="I7" s="14" t="s">
        <v>7</v>
      </c>
      <c r="J7" s="15"/>
      <c r="K7" s="15"/>
      <c r="L7" s="15"/>
      <c r="M7" s="15"/>
    </row>
    <row r="8" spans="1:13" ht="21" x14ac:dyDescent="0.45">
      <c r="A8" s="30" t="s">
        <v>135</v>
      </c>
      <c r="C8" s="28" t="s">
        <v>195</v>
      </c>
      <c r="E8" s="28" t="s">
        <v>150</v>
      </c>
      <c r="G8" s="28" t="s">
        <v>196</v>
      </c>
      <c r="I8" s="28" t="s">
        <v>195</v>
      </c>
      <c r="K8" s="28" t="s">
        <v>150</v>
      </c>
      <c r="M8" s="28" t="s">
        <v>196</v>
      </c>
    </row>
    <row r="9" spans="1:13" ht="18.75" x14ac:dyDescent="0.45">
      <c r="A9" s="41" t="s">
        <v>251</v>
      </c>
      <c r="C9" s="21">
        <v>34414</v>
      </c>
      <c r="E9" s="21">
        <v>0</v>
      </c>
      <c r="G9" s="21">
        <v>34414</v>
      </c>
      <c r="I9" s="21">
        <v>171535</v>
      </c>
      <c r="K9" s="21">
        <v>0</v>
      </c>
      <c r="M9" s="21">
        <v>171535</v>
      </c>
    </row>
    <row r="10" spans="1:13" ht="18.75" x14ac:dyDescent="0.45">
      <c r="A10" s="41" t="s">
        <v>250</v>
      </c>
      <c r="C10" s="21">
        <v>1110973092</v>
      </c>
      <c r="E10" s="21">
        <v>0</v>
      </c>
      <c r="G10" s="21">
        <v>1110973092</v>
      </c>
      <c r="I10" s="21">
        <v>4555752202</v>
      </c>
      <c r="K10" s="21">
        <v>0</v>
      </c>
      <c r="M10" s="21">
        <v>4555752202</v>
      </c>
    </row>
    <row r="11" spans="1:13" ht="18.75" x14ac:dyDescent="0.45">
      <c r="A11" s="41" t="s">
        <v>249</v>
      </c>
      <c r="C11" s="21">
        <v>5520</v>
      </c>
      <c r="E11" s="21">
        <v>0</v>
      </c>
      <c r="G11" s="21">
        <v>5520</v>
      </c>
      <c r="I11" s="21">
        <v>3160699</v>
      </c>
      <c r="K11" s="21">
        <v>0</v>
      </c>
      <c r="M11" s="21">
        <v>3160699</v>
      </c>
    </row>
    <row r="12" spans="1:13" ht="18.75" x14ac:dyDescent="0.45">
      <c r="A12" s="41" t="s">
        <v>248</v>
      </c>
      <c r="C12" s="21">
        <v>1010211</v>
      </c>
      <c r="E12" s="21">
        <v>0</v>
      </c>
      <c r="G12" s="21">
        <v>1010211</v>
      </c>
      <c r="I12" s="21">
        <v>10424046</v>
      </c>
      <c r="K12" s="21">
        <v>0</v>
      </c>
      <c r="M12" s="21">
        <v>10424046</v>
      </c>
    </row>
    <row r="13" spans="1:13" ht="18.75" x14ac:dyDescent="0.45">
      <c r="A13" s="41" t="s">
        <v>247</v>
      </c>
      <c r="C13" s="21">
        <v>67868</v>
      </c>
      <c r="E13" s="21">
        <v>0</v>
      </c>
      <c r="G13" s="21">
        <v>67868</v>
      </c>
      <c r="I13" s="21">
        <v>334898</v>
      </c>
      <c r="K13" s="21">
        <v>0</v>
      </c>
      <c r="M13" s="21">
        <v>334898</v>
      </c>
    </row>
    <row r="14" spans="1:13" ht="18.75" x14ac:dyDescent="0.45">
      <c r="A14" s="41" t="s">
        <v>246</v>
      </c>
      <c r="C14" s="21">
        <v>252205</v>
      </c>
      <c r="E14" s="21">
        <v>0</v>
      </c>
      <c r="G14" s="21">
        <v>252205</v>
      </c>
      <c r="I14" s="21">
        <v>3773475</v>
      </c>
      <c r="K14" s="21">
        <v>0</v>
      </c>
      <c r="M14" s="21">
        <v>3773475</v>
      </c>
    </row>
    <row r="15" spans="1:13" ht="18.75" x14ac:dyDescent="0.45">
      <c r="A15" s="41" t="s">
        <v>245</v>
      </c>
      <c r="C15" s="21">
        <v>40891</v>
      </c>
      <c r="E15" s="21">
        <v>0</v>
      </c>
      <c r="G15" s="21">
        <v>40891</v>
      </c>
      <c r="I15" s="21">
        <v>164017</v>
      </c>
      <c r="K15" s="21">
        <v>0</v>
      </c>
      <c r="M15" s="21">
        <v>164017</v>
      </c>
    </row>
    <row r="16" spans="1:13" ht="19.5" thickBot="1" x14ac:dyDescent="0.5">
      <c r="A16" s="24" t="s">
        <v>97</v>
      </c>
      <c r="C16" s="24">
        <f>SUM(C9:$C$15)</f>
        <v>1112384201</v>
      </c>
      <c r="E16" s="24">
        <f>SUM(E9:$E$15)</f>
        <v>0</v>
      </c>
      <c r="G16" s="24">
        <f>SUM(G9:$G$15)</f>
        <v>1112384201</v>
      </c>
      <c r="I16" s="24">
        <f>SUM(I9:$I$15)</f>
        <v>4573780872</v>
      </c>
      <c r="K16" s="24">
        <f>SUM(K9:$K$15)</f>
        <v>0</v>
      </c>
      <c r="M16" s="24">
        <f>SUM(M9:$M$15)</f>
        <v>4573780872</v>
      </c>
    </row>
    <row r="17" spans="3:13" ht="19.5" thickTop="1" x14ac:dyDescent="0.45">
      <c r="C17" s="26"/>
      <c r="E17" s="26"/>
      <c r="G17" s="26"/>
      <c r="I17" s="26"/>
      <c r="K17" s="26"/>
      <c r="M17" s="26"/>
    </row>
  </sheetData>
  <mergeCells count="6">
    <mergeCell ref="A1:M1"/>
    <mergeCell ref="A2:M2"/>
    <mergeCell ref="A3:M3"/>
    <mergeCell ref="A5:M5"/>
    <mergeCell ref="C7:G7"/>
    <mergeCell ref="I7:M7"/>
  </mergeCells>
  <pageMargins left="0.7" right="0.7" top="0.75" bottom="0.75" header="0.3" footer="0.3"/>
  <pageSetup paperSize="9" scale="9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76"/>
  <sheetViews>
    <sheetView rightToLeft="1" view="pageBreakPreview" topLeftCell="A55" zoomScale="60" zoomScaleNormal="100" workbookViewId="0">
      <selection sqref="A1:W1"/>
    </sheetView>
  </sheetViews>
  <sheetFormatPr defaultRowHeight="18" x14ac:dyDescent="0.45"/>
  <cols>
    <col min="1" max="1" width="21.140625" style="12" bestFit="1" customWidth="1"/>
    <col min="2" max="2" width="1.42578125" style="12" customWidth="1"/>
    <col min="3" max="3" width="13.7109375" style="12" bestFit="1" customWidth="1"/>
    <col min="4" max="4" width="1.42578125" style="12" customWidth="1"/>
    <col min="5" max="5" width="17.7109375" style="12" bestFit="1" customWidth="1"/>
    <col min="6" max="6" width="1.42578125" style="12" customWidth="1"/>
    <col min="7" max="7" width="18" style="12" bestFit="1" customWidth="1"/>
    <col min="8" max="8" width="1.42578125" style="12" customWidth="1"/>
    <col min="9" max="9" width="17.7109375" style="12" bestFit="1" customWidth="1"/>
    <col min="10" max="10" width="1.42578125" style="12" customWidth="1"/>
    <col min="11" max="11" width="14" style="12" bestFit="1" customWidth="1"/>
    <col min="12" max="12" width="1.42578125" style="12" customWidth="1"/>
    <col min="13" max="13" width="18" style="12" bestFit="1" customWidth="1"/>
    <col min="14" max="14" width="1.42578125" style="12" customWidth="1"/>
    <col min="15" max="15" width="18" style="12" bestFit="1" customWidth="1"/>
    <col min="16" max="16" width="1.42578125" style="12" customWidth="1"/>
    <col min="17" max="17" width="17.7109375" style="12" bestFit="1" customWidth="1"/>
    <col min="18" max="16384" width="9.140625" style="12"/>
  </cols>
  <sheetData>
    <row r="1" spans="1:17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0.100000000000001" customHeight="1" x14ac:dyDescent="0.45">
      <c r="A2" s="10" t="s">
        <v>133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5" spans="1:17" ht="21" x14ac:dyDescent="0.45">
      <c r="A5" s="13" t="s">
        <v>197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7" spans="1:17" ht="21" x14ac:dyDescent="0.45">
      <c r="C7" s="14" t="s">
        <v>145</v>
      </c>
      <c r="D7" s="15"/>
      <c r="E7" s="15"/>
      <c r="F7" s="15"/>
      <c r="G7" s="15"/>
      <c r="H7" s="15"/>
      <c r="I7" s="15"/>
      <c r="K7" s="14" t="s">
        <v>7</v>
      </c>
      <c r="L7" s="15"/>
      <c r="M7" s="15"/>
      <c r="N7" s="15"/>
      <c r="O7" s="15"/>
      <c r="P7" s="15"/>
      <c r="Q7" s="15"/>
    </row>
    <row r="8" spans="1:17" ht="42" x14ac:dyDescent="0.45">
      <c r="A8" s="30" t="s">
        <v>135</v>
      </c>
      <c r="C8" s="28" t="s">
        <v>9</v>
      </c>
      <c r="E8" s="28" t="s">
        <v>11</v>
      </c>
      <c r="G8" s="28" t="s">
        <v>198</v>
      </c>
      <c r="I8" s="28" t="s">
        <v>199</v>
      </c>
      <c r="K8" s="28" t="s">
        <v>9</v>
      </c>
      <c r="M8" s="28" t="s">
        <v>11</v>
      </c>
      <c r="O8" s="28" t="s">
        <v>198</v>
      </c>
      <c r="Q8" s="28" t="s">
        <v>199</v>
      </c>
    </row>
    <row r="9" spans="1:17" ht="18.75" x14ac:dyDescent="0.45">
      <c r="A9" s="29" t="s">
        <v>200</v>
      </c>
      <c r="J9" s="22"/>
      <c r="K9" s="21">
        <v>75</v>
      </c>
      <c r="M9" s="21">
        <v>7507566</v>
      </c>
      <c r="O9" s="21">
        <v>4739180</v>
      </c>
      <c r="Q9" s="21">
        <v>2768386</v>
      </c>
    </row>
    <row r="10" spans="1:17" ht="18.75" x14ac:dyDescent="0.45">
      <c r="A10" s="29" t="s">
        <v>154</v>
      </c>
      <c r="J10" s="22"/>
      <c r="K10" s="21">
        <v>6847087</v>
      </c>
      <c r="M10" s="21">
        <v>29901025067</v>
      </c>
      <c r="O10" s="21">
        <v>29115540893</v>
      </c>
      <c r="Q10" s="21">
        <v>785484174</v>
      </c>
    </row>
    <row r="11" spans="1:17" ht="18.75" x14ac:dyDescent="0.45">
      <c r="A11" s="29" t="s">
        <v>19</v>
      </c>
      <c r="C11" s="21">
        <v>697410</v>
      </c>
      <c r="E11" s="21">
        <v>6292796240</v>
      </c>
      <c r="G11" s="21">
        <v>5744125774</v>
      </c>
      <c r="I11" s="21">
        <v>548670466</v>
      </c>
      <c r="K11" s="21">
        <v>697410</v>
      </c>
      <c r="M11" s="21">
        <v>6292796240</v>
      </c>
      <c r="O11" s="21">
        <v>5744125774</v>
      </c>
      <c r="Q11" s="21">
        <v>548670466</v>
      </c>
    </row>
    <row r="12" spans="1:17" ht="18.75" x14ac:dyDescent="0.45">
      <c r="A12" s="29" t="s">
        <v>20</v>
      </c>
      <c r="C12" s="21">
        <v>2735618</v>
      </c>
      <c r="E12" s="21">
        <v>6017851619</v>
      </c>
      <c r="G12" s="21">
        <v>9027973439</v>
      </c>
      <c r="I12" s="21">
        <v>-3010121820</v>
      </c>
      <c r="K12" s="21">
        <v>2735618</v>
      </c>
      <c r="M12" s="21">
        <v>6017851619</v>
      </c>
      <c r="O12" s="21">
        <v>9027973439</v>
      </c>
      <c r="Q12" s="21">
        <v>-3010121820</v>
      </c>
    </row>
    <row r="13" spans="1:17" ht="18.75" x14ac:dyDescent="0.45">
      <c r="A13" s="29" t="s">
        <v>21</v>
      </c>
      <c r="C13" s="21">
        <v>387418</v>
      </c>
      <c r="E13" s="21">
        <v>4674141513</v>
      </c>
      <c r="G13" s="21">
        <v>6052954688</v>
      </c>
      <c r="I13" s="21">
        <v>-1378813175</v>
      </c>
      <c r="K13" s="21">
        <v>1221569</v>
      </c>
      <c r="M13" s="21">
        <v>16270811755</v>
      </c>
      <c r="O13" s="21">
        <v>19076417136</v>
      </c>
      <c r="Q13" s="21">
        <v>-2805605381</v>
      </c>
    </row>
    <row r="14" spans="1:17" ht="18.75" x14ac:dyDescent="0.45">
      <c r="A14" s="29" t="s">
        <v>22</v>
      </c>
      <c r="C14" s="21">
        <v>6000000</v>
      </c>
      <c r="E14" s="21">
        <v>17522660695</v>
      </c>
      <c r="G14" s="21">
        <v>14406258282</v>
      </c>
      <c r="I14" s="21">
        <v>3116402413</v>
      </c>
      <c r="K14" s="21">
        <v>6534050</v>
      </c>
      <c r="M14" s="21">
        <v>19373851199</v>
      </c>
      <c r="O14" s="21">
        <v>15686790358</v>
      </c>
      <c r="Q14" s="21">
        <v>3687060841</v>
      </c>
    </row>
    <row r="15" spans="1:17" ht="18.75" x14ac:dyDescent="0.45">
      <c r="A15" s="29" t="s">
        <v>23</v>
      </c>
      <c r="C15" s="21">
        <v>500000</v>
      </c>
      <c r="E15" s="21">
        <v>6011371915</v>
      </c>
      <c r="G15" s="21">
        <v>8791182875</v>
      </c>
      <c r="I15" s="21">
        <v>-2779810960</v>
      </c>
      <c r="K15" s="21">
        <v>500000</v>
      </c>
      <c r="M15" s="21">
        <v>6011371915</v>
      </c>
      <c r="O15" s="21">
        <v>8791182875</v>
      </c>
      <c r="Q15" s="21">
        <v>-2779810960</v>
      </c>
    </row>
    <row r="16" spans="1:17" ht="18.75" x14ac:dyDescent="0.45">
      <c r="A16" s="29" t="s">
        <v>25</v>
      </c>
      <c r="C16" s="21">
        <v>9600000</v>
      </c>
      <c r="E16" s="21">
        <v>13239276351</v>
      </c>
      <c r="G16" s="21">
        <v>12211985067</v>
      </c>
      <c r="I16" s="21">
        <v>1027291284</v>
      </c>
      <c r="K16" s="21">
        <v>9600000</v>
      </c>
      <c r="M16" s="21">
        <v>13239276351</v>
      </c>
      <c r="O16" s="21">
        <v>12211985067</v>
      </c>
      <c r="Q16" s="21">
        <v>1027291284</v>
      </c>
    </row>
    <row r="17" spans="1:17" ht="18.75" x14ac:dyDescent="0.45">
      <c r="A17" s="29" t="s">
        <v>27</v>
      </c>
      <c r="J17" s="22"/>
      <c r="K17" s="21">
        <v>7718165</v>
      </c>
      <c r="M17" s="21">
        <v>41216030217</v>
      </c>
      <c r="O17" s="21">
        <v>26897688874</v>
      </c>
      <c r="Q17" s="21">
        <v>14318341343</v>
      </c>
    </row>
    <row r="18" spans="1:17" ht="18.75" x14ac:dyDescent="0.45">
      <c r="A18" s="29" t="s">
        <v>28</v>
      </c>
      <c r="C18" s="21">
        <v>3381827</v>
      </c>
      <c r="E18" s="21">
        <v>22884247608</v>
      </c>
      <c r="G18" s="21">
        <v>20873681196</v>
      </c>
      <c r="I18" s="21">
        <v>2010566412</v>
      </c>
      <c r="K18" s="21">
        <v>7922891</v>
      </c>
      <c r="M18" s="21">
        <v>60143690489</v>
      </c>
      <c r="O18" s="21">
        <v>48863439929</v>
      </c>
      <c r="Q18" s="21">
        <v>11280250560</v>
      </c>
    </row>
    <row r="19" spans="1:17" ht="18.75" x14ac:dyDescent="0.45">
      <c r="A19" s="29" t="s">
        <v>164</v>
      </c>
      <c r="C19" s="21">
        <v>2400000</v>
      </c>
      <c r="E19" s="21">
        <v>9566737242</v>
      </c>
      <c r="G19" s="21">
        <v>10974306522</v>
      </c>
      <c r="I19" s="21">
        <v>-1407569280</v>
      </c>
      <c r="K19" s="21">
        <v>2415081</v>
      </c>
      <c r="M19" s="21">
        <v>9637318127</v>
      </c>
      <c r="O19" s="21">
        <v>11043203682</v>
      </c>
      <c r="Q19" s="21">
        <v>-1405885555</v>
      </c>
    </row>
    <row r="20" spans="1:17" ht="18.75" x14ac:dyDescent="0.45">
      <c r="A20" s="29" t="s">
        <v>30</v>
      </c>
      <c r="C20" s="21">
        <v>1361366</v>
      </c>
      <c r="E20" s="21">
        <v>2004222846</v>
      </c>
      <c r="G20" s="21">
        <v>1981364413</v>
      </c>
      <c r="I20" s="21">
        <v>22858433</v>
      </c>
      <c r="K20" s="21">
        <v>4561366</v>
      </c>
      <c r="M20" s="21">
        <v>7612255398</v>
      </c>
      <c r="O20" s="21">
        <v>6633351425</v>
      </c>
      <c r="Q20" s="21">
        <v>978903973</v>
      </c>
    </row>
    <row r="21" spans="1:17" ht="37.5" x14ac:dyDescent="0.45">
      <c r="A21" s="29" t="s">
        <v>32</v>
      </c>
      <c r="J21" s="22"/>
      <c r="K21" s="21">
        <v>750</v>
      </c>
      <c r="M21" s="21">
        <v>34443835</v>
      </c>
      <c r="O21" s="21">
        <v>35616912</v>
      </c>
      <c r="Q21" s="21">
        <v>-1173077</v>
      </c>
    </row>
    <row r="22" spans="1:17" ht="18.75" x14ac:dyDescent="0.45">
      <c r="A22" s="29" t="s">
        <v>34</v>
      </c>
      <c r="C22" s="21">
        <v>25000</v>
      </c>
      <c r="E22" s="21">
        <v>2712676136</v>
      </c>
      <c r="G22" s="21">
        <v>3132869915</v>
      </c>
      <c r="I22" s="21">
        <v>-420193779</v>
      </c>
      <c r="K22" s="21">
        <v>25000</v>
      </c>
      <c r="M22" s="21">
        <v>2712676136</v>
      </c>
      <c r="O22" s="21">
        <v>3132869915</v>
      </c>
      <c r="Q22" s="21">
        <v>-420193779</v>
      </c>
    </row>
    <row r="23" spans="1:17" ht="37.5" x14ac:dyDescent="0.45">
      <c r="A23" s="29" t="s">
        <v>35</v>
      </c>
      <c r="C23" s="21">
        <v>500000</v>
      </c>
      <c r="E23" s="21">
        <v>5096628745</v>
      </c>
      <c r="G23" s="21">
        <v>5675340585</v>
      </c>
      <c r="I23" s="21">
        <v>-578711840</v>
      </c>
      <c r="K23" s="21">
        <v>500000</v>
      </c>
      <c r="M23" s="21">
        <v>5096628745</v>
      </c>
      <c r="O23" s="21">
        <v>5675340585</v>
      </c>
      <c r="Q23" s="21">
        <v>-578711840</v>
      </c>
    </row>
    <row r="24" spans="1:17" ht="18.75" x14ac:dyDescent="0.45">
      <c r="A24" s="29" t="s">
        <v>37</v>
      </c>
      <c r="C24" s="21">
        <v>38666</v>
      </c>
      <c r="E24" s="21">
        <v>48011797</v>
      </c>
      <c r="G24" s="21">
        <v>66975520</v>
      </c>
      <c r="I24" s="21">
        <v>-18963723</v>
      </c>
      <c r="K24" s="21">
        <v>38666</v>
      </c>
      <c r="M24" s="21">
        <v>48011797</v>
      </c>
      <c r="O24" s="21">
        <v>66975520</v>
      </c>
      <c r="Q24" s="21">
        <v>-18963723</v>
      </c>
    </row>
    <row r="25" spans="1:17" ht="18.75" x14ac:dyDescent="0.45">
      <c r="A25" s="29" t="s">
        <v>38</v>
      </c>
      <c r="C25" s="21">
        <v>1837823</v>
      </c>
      <c r="E25" s="21">
        <v>9753274092</v>
      </c>
      <c r="G25" s="21">
        <v>12035619402</v>
      </c>
      <c r="I25" s="21">
        <v>-2282345310</v>
      </c>
      <c r="K25" s="21">
        <v>1837823</v>
      </c>
      <c r="M25" s="21">
        <v>9753274092</v>
      </c>
      <c r="O25" s="21">
        <v>12035619402</v>
      </c>
      <c r="Q25" s="21">
        <v>-2282345310</v>
      </c>
    </row>
    <row r="26" spans="1:17" ht="18.75" x14ac:dyDescent="0.45">
      <c r="A26" s="29" t="s">
        <v>39</v>
      </c>
      <c r="C26" s="21">
        <v>136747</v>
      </c>
      <c r="E26" s="21">
        <v>2362834299</v>
      </c>
      <c r="G26" s="21">
        <v>2924736332</v>
      </c>
      <c r="I26" s="21">
        <v>-561902033</v>
      </c>
      <c r="K26" s="21">
        <v>3036239</v>
      </c>
      <c r="M26" s="21">
        <v>77699713416</v>
      </c>
      <c r="O26" s="21">
        <v>64787828737</v>
      </c>
      <c r="Q26" s="21">
        <v>12911884679</v>
      </c>
    </row>
    <row r="27" spans="1:17" ht="37.5" x14ac:dyDescent="0.45">
      <c r="A27" s="29" t="s">
        <v>41</v>
      </c>
      <c r="C27" s="21">
        <v>150126</v>
      </c>
      <c r="E27" s="21">
        <v>4938968390</v>
      </c>
      <c r="G27" s="21">
        <v>4029568098</v>
      </c>
      <c r="I27" s="21">
        <v>909400292</v>
      </c>
      <c r="K27" s="21">
        <v>150126</v>
      </c>
      <c r="M27" s="21">
        <v>4938968390</v>
      </c>
      <c r="O27" s="21">
        <v>4029568098</v>
      </c>
      <c r="Q27" s="21">
        <v>909400292</v>
      </c>
    </row>
    <row r="28" spans="1:17" ht="18.75" x14ac:dyDescent="0.45">
      <c r="A28" s="29" t="s">
        <v>42</v>
      </c>
      <c r="C28" s="21">
        <v>100000</v>
      </c>
      <c r="E28" s="21">
        <v>1002919968</v>
      </c>
      <c r="G28" s="21">
        <v>1499512291</v>
      </c>
      <c r="I28" s="21">
        <v>-496592323</v>
      </c>
      <c r="K28" s="21">
        <v>100000</v>
      </c>
      <c r="M28" s="21">
        <v>1002919968</v>
      </c>
      <c r="O28" s="21">
        <v>1499512291</v>
      </c>
      <c r="Q28" s="21">
        <v>-496592323</v>
      </c>
    </row>
    <row r="29" spans="1:17" ht="18.75" x14ac:dyDescent="0.45">
      <c r="A29" s="29" t="s">
        <v>43</v>
      </c>
      <c r="C29" s="21">
        <v>1945044</v>
      </c>
      <c r="E29" s="21">
        <v>3537549852</v>
      </c>
      <c r="G29" s="21">
        <v>4505081285</v>
      </c>
      <c r="I29" s="21">
        <v>-967531433</v>
      </c>
      <c r="K29" s="21">
        <v>1945044</v>
      </c>
      <c r="M29" s="21">
        <v>3537549852</v>
      </c>
      <c r="O29" s="21">
        <v>4505081285</v>
      </c>
      <c r="Q29" s="21">
        <v>-967531433</v>
      </c>
    </row>
    <row r="30" spans="1:17" ht="18.75" x14ac:dyDescent="0.45">
      <c r="A30" s="29" t="s">
        <v>44</v>
      </c>
      <c r="C30" s="21">
        <v>3283699</v>
      </c>
      <c r="E30" s="21">
        <v>7165567833</v>
      </c>
      <c r="G30" s="21">
        <v>9466085838</v>
      </c>
      <c r="I30" s="21">
        <v>-2300518005</v>
      </c>
      <c r="K30" s="21">
        <v>3283699</v>
      </c>
      <c r="M30" s="21">
        <v>7165567833</v>
      </c>
      <c r="O30" s="21">
        <v>9466085838</v>
      </c>
      <c r="Q30" s="21">
        <v>-2300518005</v>
      </c>
    </row>
    <row r="31" spans="1:17" ht="18.75" x14ac:dyDescent="0.45">
      <c r="A31" s="29" t="s">
        <v>45</v>
      </c>
      <c r="C31" s="21">
        <v>10258397</v>
      </c>
      <c r="E31" s="21">
        <v>17418477479</v>
      </c>
      <c r="G31" s="21">
        <v>20331248787</v>
      </c>
      <c r="I31" s="21">
        <v>-2912771308</v>
      </c>
      <c r="K31" s="21">
        <v>10258397</v>
      </c>
      <c r="M31" s="21">
        <v>17418477479</v>
      </c>
      <c r="O31" s="21">
        <v>20331248787</v>
      </c>
      <c r="Q31" s="21">
        <v>-2912771308</v>
      </c>
    </row>
    <row r="32" spans="1:17" ht="18.75" x14ac:dyDescent="0.45">
      <c r="A32" s="29" t="s">
        <v>46</v>
      </c>
      <c r="C32" s="21">
        <v>3362092</v>
      </c>
      <c r="E32" s="21">
        <v>7372457892</v>
      </c>
      <c r="G32" s="21">
        <v>8065673225</v>
      </c>
      <c r="I32" s="21">
        <v>-693215333</v>
      </c>
      <c r="K32" s="21">
        <v>5362092</v>
      </c>
      <c r="M32" s="21">
        <v>12980888049</v>
      </c>
      <c r="O32" s="21">
        <v>12856362371</v>
      </c>
      <c r="Q32" s="21">
        <v>124525678</v>
      </c>
    </row>
    <row r="33" spans="1:17" ht="37.5" x14ac:dyDescent="0.45">
      <c r="A33" s="29" t="s">
        <v>47</v>
      </c>
      <c r="J33" s="22"/>
      <c r="K33" s="21">
        <v>3250000</v>
      </c>
      <c r="M33" s="21">
        <v>4477257642</v>
      </c>
      <c r="O33" s="21">
        <v>3912524843</v>
      </c>
      <c r="Q33" s="21">
        <v>564732799</v>
      </c>
    </row>
    <row r="34" spans="1:17" ht="18.75" x14ac:dyDescent="0.45">
      <c r="A34" s="29" t="s">
        <v>48</v>
      </c>
      <c r="C34" s="21">
        <v>1186353</v>
      </c>
      <c r="E34" s="21">
        <v>60228986918</v>
      </c>
      <c r="G34" s="21">
        <v>56481474431</v>
      </c>
      <c r="I34" s="21">
        <v>3747512487</v>
      </c>
      <c r="K34" s="21">
        <v>1186353</v>
      </c>
      <c r="M34" s="21">
        <v>60228986918</v>
      </c>
      <c r="O34" s="21">
        <v>56481474431</v>
      </c>
      <c r="Q34" s="21">
        <v>3747512487</v>
      </c>
    </row>
    <row r="35" spans="1:17" ht="18.75" x14ac:dyDescent="0.45">
      <c r="A35" s="29" t="s">
        <v>49</v>
      </c>
      <c r="C35" s="21">
        <v>15118</v>
      </c>
      <c r="E35" s="21">
        <v>1570544571</v>
      </c>
      <c r="G35" s="21">
        <v>1359504255</v>
      </c>
      <c r="I35" s="21">
        <v>211040316</v>
      </c>
      <c r="K35" s="21">
        <v>15118</v>
      </c>
      <c r="M35" s="21">
        <v>1570544571</v>
      </c>
      <c r="O35" s="21">
        <v>1359504255</v>
      </c>
      <c r="Q35" s="21">
        <v>211040316</v>
      </c>
    </row>
    <row r="36" spans="1:17" ht="18.75" x14ac:dyDescent="0.45">
      <c r="A36" s="29" t="s">
        <v>50</v>
      </c>
      <c r="J36" s="22"/>
      <c r="K36" s="21">
        <v>2633426</v>
      </c>
      <c r="M36" s="21">
        <v>30559895055</v>
      </c>
      <c r="O36" s="21">
        <v>21151800984</v>
      </c>
      <c r="Q36" s="21">
        <v>9408094071</v>
      </c>
    </row>
    <row r="37" spans="1:17" ht="18.75" x14ac:dyDescent="0.45">
      <c r="A37" s="29" t="s">
        <v>51</v>
      </c>
      <c r="C37" s="21">
        <v>300000</v>
      </c>
      <c r="E37" s="21">
        <v>2492951365</v>
      </c>
      <c r="G37" s="21">
        <v>2475173525</v>
      </c>
      <c r="I37" s="21">
        <v>17777840</v>
      </c>
      <c r="K37" s="21">
        <v>504159</v>
      </c>
      <c r="M37" s="21">
        <v>4858584658</v>
      </c>
      <c r="O37" s="21">
        <v>4155598399</v>
      </c>
      <c r="Q37" s="21">
        <v>702986259</v>
      </c>
    </row>
    <row r="38" spans="1:17" ht="18.75" x14ac:dyDescent="0.45">
      <c r="A38" s="29" t="s">
        <v>52</v>
      </c>
      <c r="C38" s="21">
        <v>700000</v>
      </c>
      <c r="E38" s="21">
        <v>11523027743</v>
      </c>
      <c r="G38" s="21">
        <v>8420214743</v>
      </c>
      <c r="I38" s="21">
        <v>3102813000</v>
      </c>
      <c r="K38" s="21">
        <v>2400000</v>
      </c>
      <c r="M38" s="21">
        <v>43028534304</v>
      </c>
      <c r="O38" s="21">
        <v>28848232994</v>
      </c>
      <c r="Q38" s="21">
        <v>14180301310</v>
      </c>
    </row>
    <row r="39" spans="1:17" ht="18.75" x14ac:dyDescent="0.45">
      <c r="A39" s="29" t="s">
        <v>53</v>
      </c>
      <c r="C39" s="21">
        <v>200000</v>
      </c>
      <c r="E39" s="21">
        <v>5291690299</v>
      </c>
      <c r="G39" s="21">
        <v>4664218559</v>
      </c>
      <c r="I39" s="21">
        <v>627471740</v>
      </c>
      <c r="K39" s="21">
        <v>200000</v>
      </c>
      <c r="M39" s="21">
        <v>5291690299</v>
      </c>
      <c r="O39" s="21">
        <v>4664218559</v>
      </c>
      <c r="Q39" s="21">
        <v>627471740</v>
      </c>
    </row>
    <row r="40" spans="1:17" ht="18.75" x14ac:dyDescent="0.45">
      <c r="A40" s="29" t="s">
        <v>54</v>
      </c>
      <c r="C40" s="21">
        <v>4064875</v>
      </c>
      <c r="E40" s="21">
        <v>5325321545</v>
      </c>
      <c r="G40" s="21">
        <v>6356454085</v>
      </c>
      <c r="I40" s="21">
        <v>-1031132540</v>
      </c>
      <c r="K40" s="21">
        <v>13369505</v>
      </c>
      <c r="M40" s="21">
        <v>22765951805</v>
      </c>
      <c r="O40" s="21">
        <v>20875153306</v>
      </c>
      <c r="Q40" s="21">
        <v>1890798499</v>
      </c>
    </row>
    <row r="41" spans="1:17" ht="18.75" x14ac:dyDescent="0.45">
      <c r="A41" s="29" t="s">
        <v>55</v>
      </c>
      <c r="C41" s="21">
        <v>6199</v>
      </c>
      <c r="E41" s="21">
        <v>156164327</v>
      </c>
      <c r="G41" s="21">
        <v>177766649</v>
      </c>
      <c r="I41" s="21">
        <v>-21602322</v>
      </c>
      <c r="K41" s="21">
        <v>6199</v>
      </c>
      <c r="M41" s="21">
        <v>156164327</v>
      </c>
      <c r="O41" s="21">
        <v>177766649</v>
      </c>
      <c r="Q41" s="21">
        <v>-21602322</v>
      </c>
    </row>
    <row r="42" spans="1:17" ht="18.75" x14ac:dyDescent="0.45">
      <c r="A42" s="29" t="s">
        <v>57</v>
      </c>
      <c r="C42" s="21">
        <v>10148510</v>
      </c>
      <c r="E42" s="21">
        <v>23061457106</v>
      </c>
      <c r="G42" s="21">
        <v>37934552149</v>
      </c>
      <c r="I42" s="21">
        <v>-14873095043</v>
      </c>
      <c r="K42" s="21">
        <v>10148510</v>
      </c>
      <c r="M42" s="21">
        <v>23061457106</v>
      </c>
      <c r="O42" s="21">
        <v>37934552149</v>
      </c>
      <c r="Q42" s="21">
        <v>-14873095043</v>
      </c>
    </row>
    <row r="43" spans="1:17" ht="18.75" x14ac:dyDescent="0.45">
      <c r="A43" s="29" t="s">
        <v>59</v>
      </c>
      <c r="C43" s="21">
        <v>1725000</v>
      </c>
      <c r="E43" s="21">
        <v>5627764648</v>
      </c>
      <c r="G43" s="21">
        <v>5404998493</v>
      </c>
      <c r="I43" s="21">
        <v>222766155</v>
      </c>
      <c r="K43" s="21">
        <v>1875000</v>
      </c>
      <c r="M43" s="21">
        <v>6181102605</v>
      </c>
      <c r="O43" s="21">
        <v>5874615480</v>
      </c>
      <c r="Q43" s="21">
        <v>306487125</v>
      </c>
    </row>
    <row r="44" spans="1:17" ht="18.75" x14ac:dyDescent="0.45">
      <c r="A44" s="29" t="s">
        <v>60</v>
      </c>
      <c r="C44" s="21">
        <v>658981</v>
      </c>
      <c r="E44" s="21">
        <v>2186026586</v>
      </c>
      <c r="G44" s="21">
        <v>2911103514</v>
      </c>
      <c r="I44" s="21">
        <v>-725076928</v>
      </c>
      <c r="K44" s="21">
        <v>790631</v>
      </c>
      <c r="M44" s="21">
        <v>2808690267</v>
      </c>
      <c r="O44" s="21">
        <v>3491565365</v>
      </c>
      <c r="Q44" s="21">
        <v>-682875098</v>
      </c>
    </row>
    <row r="45" spans="1:17" ht="18.75" x14ac:dyDescent="0.45">
      <c r="A45" s="29" t="s">
        <v>61</v>
      </c>
      <c r="C45" s="21">
        <v>2800000</v>
      </c>
      <c r="E45" s="21">
        <v>19706047321</v>
      </c>
      <c r="G45" s="21">
        <v>20911876865</v>
      </c>
      <c r="I45" s="21">
        <v>-1205829544</v>
      </c>
      <c r="K45" s="21">
        <v>2800000</v>
      </c>
      <c r="M45" s="21">
        <v>19706047321</v>
      </c>
      <c r="O45" s="21">
        <v>20911876865</v>
      </c>
      <c r="Q45" s="21">
        <v>-1205829544</v>
      </c>
    </row>
    <row r="46" spans="1:17" ht="18.75" x14ac:dyDescent="0.45">
      <c r="A46" s="29" t="s">
        <v>62</v>
      </c>
      <c r="C46" s="21">
        <v>1328533</v>
      </c>
      <c r="E46" s="21">
        <v>3226863571</v>
      </c>
      <c r="G46" s="21">
        <v>4886819311</v>
      </c>
      <c r="I46" s="21">
        <v>-1659955740</v>
      </c>
      <c r="K46" s="21">
        <v>1328533</v>
      </c>
      <c r="M46" s="21">
        <v>3226863571</v>
      </c>
      <c r="O46" s="21">
        <v>4886819311</v>
      </c>
      <c r="Q46" s="21">
        <v>-1659955740</v>
      </c>
    </row>
    <row r="47" spans="1:17" ht="18.75" x14ac:dyDescent="0.45">
      <c r="A47" s="29" t="s">
        <v>63</v>
      </c>
      <c r="C47" s="21">
        <v>800000</v>
      </c>
      <c r="E47" s="21">
        <v>5996109686</v>
      </c>
      <c r="G47" s="21">
        <v>7154632734</v>
      </c>
      <c r="I47" s="21">
        <v>-1158523048</v>
      </c>
      <c r="K47" s="21">
        <v>800000</v>
      </c>
      <c r="M47" s="21">
        <v>5996109686</v>
      </c>
      <c r="O47" s="21">
        <v>7154632734</v>
      </c>
      <c r="Q47" s="21">
        <v>-1158523048</v>
      </c>
    </row>
    <row r="48" spans="1:17" ht="18.75" x14ac:dyDescent="0.45">
      <c r="A48" s="29" t="s">
        <v>64</v>
      </c>
      <c r="C48" s="21">
        <v>200000</v>
      </c>
      <c r="E48" s="21">
        <v>885300938</v>
      </c>
      <c r="G48" s="21">
        <v>1054358238</v>
      </c>
      <c r="I48" s="21">
        <v>-169057300</v>
      </c>
      <c r="K48" s="21">
        <v>200000</v>
      </c>
      <c r="M48" s="21">
        <v>885300938</v>
      </c>
      <c r="O48" s="21">
        <v>1054358238</v>
      </c>
      <c r="Q48" s="21">
        <v>-169057300</v>
      </c>
    </row>
    <row r="49" spans="1:17" ht="18.75" x14ac:dyDescent="0.45">
      <c r="A49" s="29" t="s">
        <v>67</v>
      </c>
      <c r="C49" s="21">
        <v>1537022</v>
      </c>
      <c r="E49" s="21">
        <v>4464836919</v>
      </c>
      <c r="G49" s="21">
        <v>4984711049</v>
      </c>
      <c r="I49" s="21">
        <v>-519874130</v>
      </c>
      <c r="K49" s="21">
        <v>1537022</v>
      </c>
      <c r="M49" s="21">
        <v>4464836919</v>
      </c>
      <c r="O49" s="21">
        <v>4984711049</v>
      </c>
      <c r="Q49" s="21">
        <v>-519874130</v>
      </c>
    </row>
    <row r="50" spans="1:17" ht="18.75" x14ac:dyDescent="0.45">
      <c r="A50" s="29" t="s">
        <v>68</v>
      </c>
      <c r="J50" s="22"/>
      <c r="K50" s="21">
        <v>1404932</v>
      </c>
      <c r="M50" s="21">
        <v>11340170007</v>
      </c>
      <c r="O50" s="21">
        <v>7627237494</v>
      </c>
      <c r="Q50" s="21">
        <v>3712932513</v>
      </c>
    </row>
    <row r="51" spans="1:17" ht="18.75" x14ac:dyDescent="0.45">
      <c r="A51" s="29" t="s">
        <v>70</v>
      </c>
      <c r="C51" s="21">
        <v>44699</v>
      </c>
      <c r="E51" s="21">
        <v>396787065</v>
      </c>
      <c r="G51" s="21">
        <v>572588545</v>
      </c>
      <c r="I51" s="21">
        <v>-175801480</v>
      </c>
      <c r="K51" s="21">
        <v>444699</v>
      </c>
      <c r="M51" s="21">
        <v>4647411119</v>
      </c>
      <c r="O51" s="21">
        <v>5692349199</v>
      </c>
      <c r="Q51" s="21">
        <v>-1044938080</v>
      </c>
    </row>
    <row r="52" spans="1:17" ht="18.75" x14ac:dyDescent="0.45">
      <c r="A52" s="29" t="s">
        <v>71</v>
      </c>
      <c r="C52" s="21">
        <v>436904</v>
      </c>
      <c r="E52" s="21">
        <v>2676653949</v>
      </c>
      <c r="G52" s="21">
        <v>3783752120</v>
      </c>
      <c r="I52" s="21">
        <v>-1107098171</v>
      </c>
      <c r="K52" s="21">
        <v>436904</v>
      </c>
      <c r="M52" s="21">
        <v>2676653949</v>
      </c>
      <c r="O52" s="21">
        <v>3783752120</v>
      </c>
      <c r="Q52" s="21">
        <v>-1107098171</v>
      </c>
    </row>
    <row r="53" spans="1:17" ht="18.75" x14ac:dyDescent="0.45">
      <c r="A53" s="29" t="s">
        <v>73</v>
      </c>
      <c r="J53" s="22"/>
      <c r="K53" s="21">
        <v>500000</v>
      </c>
      <c r="M53" s="21">
        <v>5188941039</v>
      </c>
      <c r="O53" s="21">
        <v>4531630539</v>
      </c>
      <c r="Q53" s="21">
        <v>657310500</v>
      </c>
    </row>
    <row r="54" spans="1:17" ht="18.75" x14ac:dyDescent="0.45">
      <c r="A54" s="29" t="s">
        <v>74</v>
      </c>
      <c r="C54" s="21">
        <v>45824</v>
      </c>
      <c r="E54" s="21">
        <v>162390557</v>
      </c>
      <c r="G54" s="21">
        <v>156453454</v>
      </c>
      <c r="I54" s="21">
        <v>5937103</v>
      </c>
      <c r="K54" s="21">
        <v>1245824</v>
      </c>
      <c r="M54" s="21">
        <v>6164988855</v>
      </c>
      <c r="O54" s="21">
        <v>4243048452</v>
      </c>
      <c r="Q54" s="21">
        <v>1921940403</v>
      </c>
    </row>
    <row r="55" spans="1:17" ht="18.75" x14ac:dyDescent="0.45">
      <c r="A55" s="29" t="s">
        <v>75</v>
      </c>
      <c r="C55" s="21">
        <v>509996</v>
      </c>
      <c r="E55" s="21">
        <v>1511111738</v>
      </c>
      <c r="G55" s="21">
        <v>1214760264</v>
      </c>
      <c r="I55" s="21">
        <v>296351474</v>
      </c>
      <c r="K55" s="21">
        <v>509996</v>
      </c>
      <c r="M55" s="21">
        <v>1511111738</v>
      </c>
      <c r="O55" s="21">
        <v>1214760264</v>
      </c>
      <c r="Q55" s="21">
        <v>296351474</v>
      </c>
    </row>
    <row r="56" spans="1:17" ht="18.75" x14ac:dyDescent="0.45">
      <c r="A56" s="29" t="s">
        <v>76</v>
      </c>
      <c r="J56" s="22"/>
      <c r="K56" s="21">
        <v>200001</v>
      </c>
      <c r="M56" s="21">
        <v>1461253531</v>
      </c>
      <c r="O56" s="21">
        <v>1100700481</v>
      </c>
      <c r="Q56" s="21">
        <v>360553050</v>
      </c>
    </row>
    <row r="57" spans="1:17" ht="18.75" x14ac:dyDescent="0.45">
      <c r="A57" s="29" t="s">
        <v>77</v>
      </c>
      <c r="C57" s="21">
        <v>1207911</v>
      </c>
      <c r="E57" s="21">
        <v>29982260433</v>
      </c>
      <c r="G57" s="21">
        <v>41677775807</v>
      </c>
      <c r="I57" s="21">
        <v>-11695515374</v>
      </c>
      <c r="K57" s="21">
        <v>1313770</v>
      </c>
      <c r="M57" s="21">
        <v>34590634395</v>
      </c>
      <c r="O57" s="21">
        <v>45318479673</v>
      </c>
      <c r="Q57" s="21">
        <v>-10727845278</v>
      </c>
    </row>
    <row r="58" spans="1:17" ht="18.75" x14ac:dyDescent="0.45">
      <c r="A58" s="29" t="s">
        <v>185</v>
      </c>
      <c r="J58" s="22"/>
      <c r="K58" s="21">
        <v>411</v>
      </c>
      <c r="M58" s="21">
        <v>1101466</v>
      </c>
      <c r="O58" s="21">
        <v>992650</v>
      </c>
      <c r="Q58" s="21">
        <v>108816</v>
      </c>
    </row>
    <row r="59" spans="1:17" ht="18.75" x14ac:dyDescent="0.45">
      <c r="A59" s="29" t="s">
        <v>78</v>
      </c>
      <c r="C59" s="21">
        <v>934827</v>
      </c>
      <c r="E59" s="21">
        <v>3538668081</v>
      </c>
      <c r="G59" s="21">
        <v>3186640990</v>
      </c>
      <c r="I59" s="21">
        <v>352027091</v>
      </c>
      <c r="K59" s="21">
        <v>934827</v>
      </c>
      <c r="M59" s="21">
        <v>3538668081</v>
      </c>
      <c r="O59" s="21">
        <v>3186640990</v>
      </c>
      <c r="Q59" s="21">
        <v>352027091</v>
      </c>
    </row>
    <row r="60" spans="1:17" ht="18.75" x14ac:dyDescent="0.45">
      <c r="A60" s="29" t="s">
        <v>81</v>
      </c>
      <c r="C60" s="21">
        <v>303769</v>
      </c>
      <c r="E60" s="21">
        <v>3010770074</v>
      </c>
      <c r="G60" s="21">
        <v>2702652580</v>
      </c>
      <c r="I60" s="21">
        <v>308117494</v>
      </c>
      <c r="K60" s="21">
        <v>1284520</v>
      </c>
      <c r="M60" s="21">
        <v>13789527251</v>
      </c>
      <c r="O60" s="21">
        <v>11422124257</v>
      </c>
      <c r="Q60" s="21">
        <v>2367402994</v>
      </c>
    </row>
    <row r="61" spans="1:17" ht="18.75" x14ac:dyDescent="0.45">
      <c r="A61" s="29" t="s">
        <v>82</v>
      </c>
      <c r="C61" s="21">
        <v>1000000</v>
      </c>
      <c r="E61" s="21">
        <v>4284006369</v>
      </c>
      <c r="G61" s="21">
        <v>3549955462</v>
      </c>
      <c r="I61" s="21">
        <v>734050907</v>
      </c>
      <c r="K61" s="21">
        <v>1000000</v>
      </c>
      <c r="M61" s="21">
        <v>4284006369</v>
      </c>
      <c r="O61" s="21">
        <v>3549955462</v>
      </c>
      <c r="Q61" s="21">
        <v>734050907</v>
      </c>
    </row>
    <row r="62" spans="1:17" ht="18.75" x14ac:dyDescent="0.45">
      <c r="A62" s="29" t="s">
        <v>83</v>
      </c>
      <c r="C62" s="21">
        <v>5222286</v>
      </c>
      <c r="E62" s="21">
        <v>18877054318</v>
      </c>
      <c r="G62" s="21">
        <v>16493701767</v>
      </c>
      <c r="I62" s="21">
        <v>2383352551</v>
      </c>
      <c r="K62" s="21">
        <v>5222286</v>
      </c>
      <c r="M62" s="21">
        <v>18877054318</v>
      </c>
      <c r="O62" s="21">
        <v>16493701767</v>
      </c>
      <c r="Q62" s="21">
        <v>2383352551</v>
      </c>
    </row>
    <row r="63" spans="1:17" ht="18.75" x14ac:dyDescent="0.45">
      <c r="A63" s="29" t="s">
        <v>84</v>
      </c>
      <c r="C63" s="21">
        <v>18800000</v>
      </c>
      <c r="E63" s="21">
        <v>28091711753</v>
      </c>
      <c r="G63" s="21">
        <v>29246986666</v>
      </c>
      <c r="I63" s="21">
        <v>-1155274913</v>
      </c>
      <c r="K63" s="21">
        <v>18800000</v>
      </c>
      <c r="M63" s="21">
        <v>28091711753</v>
      </c>
      <c r="O63" s="21">
        <v>29246986666</v>
      </c>
      <c r="Q63" s="21">
        <v>-1155274913</v>
      </c>
    </row>
    <row r="64" spans="1:17" ht="18.75" x14ac:dyDescent="0.45">
      <c r="A64" s="29" t="s">
        <v>85</v>
      </c>
      <c r="C64" s="21">
        <v>177678</v>
      </c>
      <c r="E64" s="21">
        <v>5989000605</v>
      </c>
      <c r="G64" s="21">
        <v>6375488122</v>
      </c>
      <c r="I64" s="21">
        <v>-386487517</v>
      </c>
      <c r="K64" s="21">
        <v>177678</v>
      </c>
      <c r="M64" s="21">
        <v>5989000605</v>
      </c>
      <c r="O64" s="21">
        <v>6375488122</v>
      </c>
      <c r="Q64" s="21">
        <v>-386487517</v>
      </c>
    </row>
    <row r="65" spans="1:17" ht="18.75" x14ac:dyDescent="0.45">
      <c r="A65" s="29" t="s">
        <v>201</v>
      </c>
      <c r="J65" s="22"/>
      <c r="K65" s="21">
        <v>4260000</v>
      </c>
      <c r="M65" s="21">
        <v>14770469820</v>
      </c>
      <c r="O65" s="21">
        <v>14466092181</v>
      </c>
      <c r="Q65" s="21">
        <v>304377639</v>
      </c>
    </row>
    <row r="66" spans="1:17" ht="18.75" x14ac:dyDescent="0.45">
      <c r="A66" s="29" t="s">
        <v>87</v>
      </c>
      <c r="C66" s="21">
        <v>2570924</v>
      </c>
      <c r="E66" s="21">
        <v>24438590513</v>
      </c>
      <c r="G66" s="21">
        <v>23007700753</v>
      </c>
      <c r="I66" s="21">
        <v>1430889760</v>
      </c>
      <c r="K66" s="21">
        <v>3009494</v>
      </c>
      <c r="M66" s="21">
        <v>28410190787</v>
      </c>
      <c r="O66" s="21">
        <v>26933730534</v>
      </c>
      <c r="Q66" s="21">
        <v>1476460253</v>
      </c>
    </row>
    <row r="67" spans="1:17" ht="18.75" x14ac:dyDescent="0.45">
      <c r="A67" s="29" t="s">
        <v>88</v>
      </c>
      <c r="C67" s="21">
        <v>3146214</v>
      </c>
      <c r="E67" s="21">
        <v>18223860883</v>
      </c>
      <c r="G67" s="21">
        <v>21126603614</v>
      </c>
      <c r="I67" s="21">
        <v>-2902742731</v>
      </c>
      <c r="K67" s="21">
        <v>3146214</v>
      </c>
      <c r="M67" s="21">
        <v>18223860883</v>
      </c>
      <c r="O67" s="21">
        <v>21126603614</v>
      </c>
      <c r="Q67" s="21">
        <v>-2902742731</v>
      </c>
    </row>
    <row r="68" spans="1:17" ht="18.75" x14ac:dyDescent="0.45">
      <c r="A68" s="29" t="s">
        <v>202</v>
      </c>
      <c r="J68" s="22"/>
      <c r="K68" s="21">
        <v>400000</v>
      </c>
      <c r="M68" s="21">
        <v>1100960502</v>
      </c>
      <c r="O68" s="21">
        <v>1041139008</v>
      </c>
      <c r="Q68" s="21">
        <v>59821494</v>
      </c>
    </row>
    <row r="69" spans="1:17" ht="18.75" x14ac:dyDescent="0.45">
      <c r="A69" s="29" t="s">
        <v>90</v>
      </c>
      <c r="C69" s="21">
        <v>100000</v>
      </c>
      <c r="E69" s="21">
        <v>3089507415</v>
      </c>
      <c r="G69" s="21">
        <v>3569033865</v>
      </c>
      <c r="I69" s="21">
        <v>-479526450</v>
      </c>
      <c r="K69" s="21">
        <v>100000</v>
      </c>
      <c r="M69" s="21">
        <v>3089507415</v>
      </c>
      <c r="O69" s="21">
        <v>3569033865</v>
      </c>
      <c r="Q69" s="21">
        <v>-479526450</v>
      </c>
    </row>
    <row r="70" spans="1:17" ht="18.75" x14ac:dyDescent="0.45">
      <c r="A70" s="29" t="s">
        <v>91</v>
      </c>
      <c r="C70" s="21">
        <v>646044</v>
      </c>
      <c r="E70" s="21">
        <v>16291033253</v>
      </c>
      <c r="G70" s="21">
        <v>11956582970</v>
      </c>
      <c r="I70" s="21">
        <v>4334450283</v>
      </c>
      <c r="K70" s="21">
        <v>3278769</v>
      </c>
      <c r="M70" s="21">
        <v>91203347449</v>
      </c>
      <c r="O70" s="21">
        <v>60630408739</v>
      </c>
      <c r="Q70" s="21">
        <v>30572938710</v>
      </c>
    </row>
    <row r="71" spans="1:17" ht="18.75" x14ac:dyDescent="0.45">
      <c r="A71" s="29" t="s">
        <v>92</v>
      </c>
      <c r="C71" s="21">
        <v>50000</v>
      </c>
      <c r="E71" s="21">
        <v>12539941790</v>
      </c>
      <c r="G71" s="21">
        <v>12518560200</v>
      </c>
      <c r="I71" s="21">
        <v>21381590</v>
      </c>
      <c r="K71" s="21">
        <v>50000</v>
      </c>
      <c r="M71" s="21">
        <v>12539941790</v>
      </c>
      <c r="O71" s="21">
        <v>12518560200</v>
      </c>
      <c r="Q71" s="21">
        <v>21381590</v>
      </c>
    </row>
    <row r="72" spans="1:17" ht="18.75" x14ac:dyDescent="0.45">
      <c r="A72" s="29" t="s">
        <v>95</v>
      </c>
      <c r="C72" s="21">
        <v>2800000</v>
      </c>
      <c r="E72" s="21">
        <v>5594513564</v>
      </c>
      <c r="G72" s="21">
        <v>7377783335</v>
      </c>
      <c r="I72" s="21">
        <v>-1783269771</v>
      </c>
      <c r="K72" s="21">
        <v>2800000</v>
      </c>
      <c r="M72" s="21">
        <v>5594513564</v>
      </c>
      <c r="O72" s="21">
        <v>7377783335</v>
      </c>
      <c r="Q72" s="21">
        <v>-1783269771</v>
      </c>
    </row>
    <row r="73" spans="1:17" ht="18.75" x14ac:dyDescent="0.45">
      <c r="A73" s="24" t="s">
        <v>97</v>
      </c>
      <c r="C73" s="24">
        <f>SUM(C9:$C$72)</f>
        <v>112368900</v>
      </c>
      <c r="E73" s="24">
        <f>SUM(E9:$E$72)</f>
        <v>480063628415</v>
      </c>
      <c r="G73" s="24">
        <f>SUM(G9:$G$72)</f>
        <v>515491422648</v>
      </c>
      <c r="I73" s="24">
        <f>SUM(I9:$I$72)</f>
        <v>-35427794233</v>
      </c>
      <c r="K73" s="24">
        <f>SUM(K9:$K$72)</f>
        <v>170855929</v>
      </c>
      <c r="M73" s="24">
        <f>SUM(M9:$M$72)</f>
        <v>914465950213</v>
      </c>
      <c r="O73" s="24">
        <f>SUM(O9:$O$72)</f>
        <v>850889153596</v>
      </c>
      <c r="Q73" s="24">
        <f>SUM(Q9:$Q$72)</f>
        <v>63576796617</v>
      </c>
    </row>
    <row r="74" spans="1:17" ht="18.75" x14ac:dyDescent="0.45">
      <c r="C74" s="26"/>
      <c r="E74" s="26"/>
      <c r="G74" s="26"/>
      <c r="I74" s="26"/>
      <c r="K74" s="26"/>
      <c r="M74" s="26"/>
      <c r="O74" s="26"/>
      <c r="Q74" s="26"/>
    </row>
    <row r="76" spans="1:17" ht="18.75" x14ac:dyDescent="0.45">
      <c r="A76" s="31" t="s">
        <v>203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3"/>
    </row>
  </sheetData>
  <mergeCells count="7">
    <mergeCell ref="A76:Q76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80"/>
  <sheetViews>
    <sheetView rightToLeft="1" view="pageBreakPreview" topLeftCell="A19" zoomScale="69" zoomScaleNormal="100" zoomScaleSheetLayoutView="69" workbookViewId="0">
      <selection sqref="A1:W1"/>
    </sheetView>
  </sheetViews>
  <sheetFormatPr defaultRowHeight="18" x14ac:dyDescent="0.45"/>
  <cols>
    <col min="1" max="1" width="21.140625" style="12" bestFit="1" customWidth="1"/>
    <col min="2" max="2" width="1.42578125" style="12" customWidth="1"/>
    <col min="3" max="3" width="13.7109375" style="12" bestFit="1" customWidth="1"/>
    <col min="4" max="4" width="1.42578125" style="12" customWidth="1"/>
    <col min="5" max="5" width="19.7109375" style="12" bestFit="1" customWidth="1"/>
    <col min="6" max="6" width="1.42578125" style="12" customWidth="1"/>
    <col min="7" max="7" width="19.7109375" style="12" bestFit="1" customWidth="1"/>
    <col min="8" max="8" width="1.42578125" style="12" customWidth="1"/>
    <col min="9" max="9" width="18.42578125" style="12" bestFit="1" customWidth="1"/>
    <col min="10" max="10" width="1.42578125" style="12" customWidth="1"/>
    <col min="11" max="11" width="13.7109375" style="12" bestFit="1" customWidth="1"/>
    <col min="12" max="12" width="1.42578125" style="12" customWidth="1"/>
    <col min="13" max="13" width="19.85546875" style="12" bestFit="1" customWidth="1"/>
    <col min="14" max="14" width="1.42578125" style="12" customWidth="1"/>
    <col min="15" max="15" width="19.85546875" style="12" bestFit="1" customWidth="1"/>
    <col min="16" max="16" width="1.42578125" style="12" customWidth="1"/>
    <col min="17" max="17" width="19" style="12" bestFit="1" customWidth="1"/>
    <col min="18" max="16384" width="9.140625" style="12"/>
  </cols>
  <sheetData>
    <row r="1" spans="1:17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0.100000000000001" customHeight="1" x14ac:dyDescent="0.45">
      <c r="A2" s="10" t="s">
        <v>133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5" spans="1:17" ht="21" x14ac:dyDescent="0.45">
      <c r="A5" s="13" t="s">
        <v>204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7" spans="1:17" ht="21" x14ac:dyDescent="0.45">
      <c r="C7" s="14" t="s">
        <v>145</v>
      </c>
      <c r="D7" s="15"/>
      <c r="E7" s="15"/>
      <c r="F7" s="15"/>
      <c r="G7" s="15"/>
      <c r="H7" s="15"/>
      <c r="I7" s="15"/>
      <c r="K7" s="14" t="s">
        <v>7</v>
      </c>
      <c r="L7" s="15"/>
      <c r="M7" s="15"/>
      <c r="N7" s="15"/>
      <c r="O7" s="15"/>
      <c r="P7" s="15"/>
      <c r="Q7" s="15"/>
    </row>
    <row r="8" spans="1:17" ht="42" x14ac:dyDescent="0.45">
      <c r="A8" s="30" t="s">
        <v>135</v>
      </c>
      <c r="C8" s="28" t="s">
        <v>9</v>
      </c>
      <c r="E8" s="28" t="s">
        <v>11</v>
      </c>
      <c r="G8" s="28" t="s">
        <v>198</v>
      </c>
      <c r="I8" s="28" t="s">
        <v>205</v>
      </c>
      <c r="K8" s="28" t="s">
        <v>9</v>
      </c>
      <c r="M8" s="28" t="s">
        <v>11</v>
      </c>
      <c r="O8" s="28" t="s">
        <v>198</v>
      </c>
      <c r="Q8" s="28" t="s">
        <v>205</v>
      </c>
    </row>
    <row r="9" spans="1:17" ht="18.75" x14ac:dyDescent="0.45">
      <c r="A9" s="29" t="s">
        <v>17</v>
      </c>
      <c r="C9" s="21">
        <v>50000</v>
      </c>
      <c r="E9" s="21">
        <v>1391670000</v>
      </c>
      <c r="G9" s="21">
        <v>1341967500</v>
      </c>
      <c r="I9" s="21">
        <v>49702500</v>
      </c>
      <c r="K9" s="21">
        <v>50000</v>
      </c>
      <c r="M9" s="21">
        <v>1391670000</v>
      </c>
      <c r="O9" s="21">
        <v>1304690625</v>
      </c>
      <c r="Q9" s="21">
        <v>86979375</v>
      </c>
    </row>
    <row r="10" spans="1:17" ht="18.75" x14ac:dyDescent="0.45">
      <c r="A10" s="29" t="s">
        <v>18</v>
      </c>
      <c r="C10" s="21">
        <v>245000</v>
      </c>
      <c r="E10" s="21">
        <v>1590330892</v>
      </c>
      <c r="G10" s="21">
        <v>1799777227</v>
      </c>
      <c r="I10" s="21">
        <v>-209446335</v>
      </c>
      <c r="K10" s="21">
        <v>245000</v>
      </c>
      <c r="M10" s="21">
        <v>1590330892</v>
      </c>
      <c r="O10" s="21">
        <v>1736456242</v>
      </c>
      <c r="Q10" s="21">
        <v>-146125350</v>
      </c>
    </row>
    <row r="11" spans="1:17" ht="18.75" x14ac:dyDescent="0.45">
      <c r="A11" s="29" t="s">
        <v>19</v>
      </c>
      <c r="C11" s="21">
        <v>1198170</v>
      </c>
      <c r="E11" s="21">
        <v>10659815952</v>
      </c>
      <c r="G11" s="21">
        <v>12759732958</v>
      </c>
      <c r="I11" s="21">
        <v>-2099917006</v>
      </c>
      <c r="K11" s="21">
        <v>1198170</v>
      </c>
      <c r="M11" s="21">
        <v>10659815952</v>
      </c>
      <c r="O11" s="21">
        <v>9933281010</v>
      </c>
      <c r="Q11" s="21">
        <v>726534942</v>
      </c>
    </row>
    <row r="12" spans="1:17" ht="18.75" x14ac:dyDescent="0.45">
      <c r="A12" s="29" t="s">
        <v>20</v>
      </c>
      <c r="C12" s="21">
        <v>16399059</v>
      </c>
      <c r="E12" s="21">
        <v>35618743849</v>
      </c>
      <c r="G12" s="21">
        <v>42140069169</v>
      </c>
      <c r="I12" s="21">
        <v>-6521325320</v>
      </c>
      <c r="K12" s="21">
        <v>16399059</v>
      </c>
      <c r="M12" s="21">
        <v>35618743849</v>
      </c>
      <c r="O12" s="21">
        <v>54335424327</v>
      </c>
      <c r="Q12" s="21">
        <v>-18716680478</v>
      </c>
    </row>
    <row r="13" spans="1:17" ht="18.75" x14ac:dyDescent="0.45">
      <c r="A13" s="29" t="s">
        <v>21</v>
      </c>
      <c r="C13" s="21">
        <v>1169902</v>
      </c>
      <c r="E13" s="21">
        <v>14897275275</v>
      </c>
      <c r="G13" s="21">
        <v>15251251271</v>
      </c>
      <c r="I13" s="21">
        <v>-353975996</v>
      </c>
      <c r="K13" s="21">
        <v>1169902</v>
      </c>
      <c r="M13" s="21">
        <v>14897275275</v>
      </c>
      <c r="O13" s="21">
        <v>18362839703</v>
      </c>
      <c r="Q13" s="21">
        <v>-3465564428</v>
      </c>
    </row>
    <row r="14" spans="1:17" ht="18.75" x14ac:dyDescent="0.45">
      <c r="A14" s="29" t="s">
        <v>22</v>
      </c>
      <c r="C14" s="21">
        <v>8265950</v>
      </c>
      <c r="E14" s="21">
        <v>23138417555</v>
      </c>
      <c r="G14" s="21">
        <v>31024266156</v>
      </c>
      <c r="I14" s="21">
        <v>-7885848601</v>
      </c>
      <c r="K14" s="21">
        <v>8265950</v>
      </c>
      <c r="M14" s="21">
        <v>23138417555</v>
      </c>
      <c r="O14" s="21">
        <v>19991395565</v>
      </c>
      <c r="Q14" s="21">
        <v>3147021990</v>
      </c>
    </row>
    <row r="15" spans="1:17" ht="18.75" x14ac:dyDescent="0.45">
      <c r="A15" s="29" t="s">
        <v>24</v>
      </c>
      <c r="C15" s="21">
        <v>1750000</v>
      </c>
      <c r="E15" s="21">
        <v>6126827175</v>
      </c>
      <c r="G15" s="21">
        <v>6502578075</v>
      </c>
      <c r="I15" s="21">
        <v>-375750900</v>
      </c>
      <c r="K15" s="21">
        <v>1750000</v>
      </c>
      <c r="M15" s="21">
        <v>6126827175</v>
      </c>
      <c r="O15" s="21">
        <v>4695146662</v>
      </c>
      <c r="Q15" s="21">
        <v>1431680513</v>
      </c>
    </row>
    <row r="16" spans="1:17" ht="18.75" x14ac:dyDescent="0.45">
      <c r="A16" s="29" t="s">
        <v>25</v>
      </c>
      <c r="C16" s="21">
        <v>13509504</v>
      </c>
      <c r="E16" s="21">
        <v>17847303738</v>
      </c>
      <c r="G16" s="21">
        <v>22626214285</v>
      </c>
      <c r="I16" s="21">
        <v>-4778910547</v>
      </c>
      <c r="K16" s="21">
        <v>13509504</v>
      </c>
      <c r="M16" s="21">
        <v>17847303738</v>
      </c>
      <c r="O16" s="21">
        <v>17296709716</v>
      </c>
      <c r="Q16" s="21">
        <v>550594022</v>
      </c>
    </row>
    <row r="17" spans="1:17" ht="18.75" x14ac:dyDescent="0.45">
      <c r="A17" s="29" t="s">
        <v>26</v>
      </c>
      <c r="J17" s="22"/>
      <c r="K17" s="21">
        <v>2875000</v>
      </c>
      <c r="M17" s="21">
        <v>5507161256</v>
      </c>
      <c r="O17" s="21">
        <v>5893653906</v>
      </c>
      <c r="Q17" s="21">
        <v>-386492650</v>
      </c>
    </row>
    <row r="18" spans="1:17" ht="18.75" x14ac:dyDescent="0.45">
      <c r="A18" s="29" t="s">
        <v>27</v>
      </c>
      <c r="C18" s="21">
        <v>15000000</v>
      </c>
      <c r="E18" s="21">
        <v>57525673500</v>
      </c>
      <c r="G18" s="21">
        <v>65622210750</v>
      </c>
      <c r="I18" s="21">
        <v>-8096537250</v>
      </c>
      <c r="K18" s="21">
        <v>15000000</v>
      </c>
      <c r="M18" s="21">
        <v>57525673500</v>
      </c>
      <c r="O18" s="21">
        <v>52754233500</v>
      </c>
      <c r="Q18" s="21">
        <v>4771440000</v>
      </c>
    </row>
    <row r="19" spans="1:17" ht="18.75" x14ac:dyDescent="0.45">
      <c r="A19" s="29" t="s">
        <v>28</v>
      </c>
      <c r="C19" s="21">
        <v>14618173</v>
      </c>
      <c r="E19" s="21">
        <v>104333979171</v>
      </c>
      <c r="G19" s="21">
        <v>108355009942</v>
      </c>
      <c r="I19" s="21">
        <v>-4021030771</v>
      </c>
      <c r="K19" s="21">
        <v>14618173</v>
      </c>
      <c r="M19" s="21">
        <v>104333979171</v>
      </c>
      <c r="O19" s="21">
        <v>90819967942</v>
      </c>
      <c r="Q19" s="21">
        <v>13514011229</v>
      </c>
    </row>
    <row r="20" spans="1:17" ht="18.75" x14ac:dyDescent="0.45">
      <c r="A20" s="29" t="s">
        <v>164</v>
      </c>
      <c r="C20" s="21">
        <v>2339606</v>
      </c>
      <c r="E20" s="21">
        <v>8705040244</v>
      </c>
      <c r="G20" s="21">
        <v>11206263945</v>
      </c>
      <c r="I20" s="21">
        <v>-2501223701</v>
      </c>
      <c r="K20" s="21">
        <v>2339606</v>
      </c>
      <c r="M20" s="21">
        <v>8705040244</v>
      </c>
      <c r="O20" s="21">
        <v>10753969033</v>
      </c>
      <c r="Q20" s="21">
        <v>-2048928789</v>
      </c>
    </row>
    <row r="21" spans="1:17" ht="18.75" x14ac:dyDescent="0.45">
      <c r="A21" s="29" t="s">
        <v>30</v>
      </c>
      <c r="C21" s="21">
        <v>7765783</v>
      </c>
      <c r="E21" s="21">
        <v>12266407203</v>
      </c>
      <c r="G21" s="21">
        <v>11869942492</v>
      </c>
      <c r="I21" s="21">
        <v>396464711</v>
      </c>
      <c r="K21" s="21">
        <v>7765783</v>
      </c>
      <c r="M21" s="21">
        <v>12266407203</v>
      </c>
      <c r="O21" s="21">
        <v>11370937241</v>
      </c>
      <c r="Q21" s="21">
        <v>895469962</v>
      </c>
    </row>
    <row r="22" spans="1:17" ht="37.5" x14ac:dyDescent="0.45">
      <c r="A22" s="29" t="s">
        <v>31</v>
      </c>
      <c r="C22" s="21">
        <v>842177</v>
      </c>
      <c r="E22" s="21">
        <v>3132675347</v>
      </c>
      <c r="G22" s="21">
        <v>4014211195</v>
      </c>
      <c r="I22" s="21">
        <v>-881535848</v>
      </c>
      <c r="K22" s="21">
        <v>842177</v>
      </c>
      <c r="M22" s="21">
        <v>3132675347</v>
      </c>
      <c r="O22" s="21">
        <v>5324376058</v>
      </c>
      <c r="Q22" s="21">
        <v>-2191700711</v>
      </c>
    </row>
    <row r="23" spans="1:17" ht="37.5" x14ac:dyDescent="0.45">
      <c r="A23" s="29" t="s">
        <v>32</v>
      </c>
      <c r="C23" s="21">
        <v>285750</v>
      </c>
      <c r="E23" s="21">
        <v>12256748331</v>
      </c>
      <c r="G23" s="21">
        <v>13378744991</v>
      </c>
      <c r="I23" s="21">
        <v>-1121996660</v>
      </c>
      <c r="K23" s="21">
        <v>285750</v>
      </c>
      <c r="M23" s="21">
        <v>12256748331</v>
      </c>
      <c r="O23" s="21">
        <v>13648592289</v>
      </c>
      <c r="Q23" s="21">
        <v>-1391843958</v>
      </c>
    </row>
    <row r="24" spans="1:17" ht="37.5" x14ac:dyDescent="0.45">
      <c r="A24" s="29" t="s">
        <v>33</v>
      </c>
      <c r="C24" s="21">
        <v>250000</v>
      </c>
      <c r="E24" s="21">
        <v>865320525</v>
      </c>
      <c r="G24" s="21">
        <v>956524612</v>
      </c>
      <c r="I24" s="21">
        <v>-91204087</v>
      </c>
      <c r="K24" s="21">
        <v>250000</v>
      </c>
      <c r="M24" s="21">
        <v>865320525</v>
      </c>
      <c r="O24" s="21">
        <v>810399262</v>
      </c>
      <c r="Q24" s="21">
        <v>54921263</v>
      </c>
    </row>
    <row r="25" spans="1:17" ht="18.75" x14ac:dyDescent="0.45">
      <c r="A25" s="29" t="s">
        <v>34</v>
      </c>
      <c r="C25" s="21">
        <v>75000</v>
      </c>
      <c r="E25" s="21">
        <v>8566225875</v>
      </c>
      <c r="G25" s="21">
        <v>9028005721</v>
      </c>
      <c r="I25" s="21">
        <v>-461779846</v>
      </c>
      <c r="K25" s="21">
        <v>75000</v>
      </c>
      <c r="M25" s="21">
        <v>8566225875</v>
      </c>
      <c r="O25" s="21">
        <v>9447320338</v>
      </c>
      <c r="Q25" s="21">
        <v>-881094463</v>
      </c>
    </row>
    <row r="26" spans="1:17" ht="37.5" x14ac:dyDescent="0.45">
      <c r="A26" s="29" t="s">
        <v>35</v>
      </c>
      <c r="C26" s="21">
        <v>6145110</v>
      </c>
      <c r="E26" s="21">
        <v>58825303715</v>
      </c>
      <c r="G26" s="21">
        <v>73230733566</v>
      </c>
      <c r="I26" s="21">
        <v>-14405429851</v>
      </c>
      <c r="K26" s="21">
        <v>6145110</v>
      </c>
      <c r="M26" s="21">
        <v>58825303715</v>
      </c>
      <c r="O26" s="21">
        <v>70126114916</v>
      </c>
      <c r="Q26" s="21">
        <v>-11300811201</v>
      </c>
    </row>
    <row r="27" spans="1:17" ht="18.75" x14ac:dyDescent="0.45">
      <c r="A27" s="29" t="s">
        <v>36</v>
      </c>
      <c r="C27" s="21">
        <v>1000000</v>
      </c>
      <c r="E27" s="21">
        <v>5596501500</v>
      </c>
      <c r="G27" s="21">
        <v>5904657000</v>
      </c>
      <c r="I27" s="21">
        <v>-308155500</v>
      </c>
      <c r="K27" s="21">
        <v>1000000</v>
      </c>
      <c r="M27" s="21">
        <v>5596501500</v>
      </c>
      <c r="O27" s="21">
        <v>6391741500</v>
      </c>
      <c r="Q27" s="21">
        <v>-795240000</v>
      </c>
    </row>
    <row r="28" spans="1:17" ht="18.75" x14ac:dyDescent="0.45">
      <c r="A28" s="29" t="s">
        <v>37</v>
      </c>
      <c r="C28" s="21">
        <v>31767861</v>
      </c>
      <c r="E28" s="21">
        <v>36378826246</v>
      </c>
      <c r="G28" s="21">
        <v>46441753290</v>
      </c>
      <c r="I28" s="21">
        <v>-10062927044</v>
      </c>
      <c r="K28" s="21">
        <v>31767861</v>
      </c>
      <c r="M28" s="21">
        <v>36378826246</v>
      </c>
      <c r="O28" s="21">
        <v>55262973898</v>
      </c>
      <c r="Q28" s="21">
        <v>-18884147652</v>
      </c>
    </row>
    <row r="29" spans="1:17" ht="18.75" x14ac:dyDescent="0.45">
      <c r="A29" s="29" t="s">
        <v>38</v>
      </c>
      <c r="C29" s="21">
        <v>5491479</v>
      </c>
      <c r="E29" s="21">
        <v>28658724675</v>
      </c>
      <c r="G29" s="21">
        <v>29725877579</v>
      </c>
      <c r="I29" s="21">
        <v>-1067152904</v>
      </c>
      <c r="K29" s="21">
        <v>5491479</v>
      </c>
      <c r="M29" s="21">
        <v>28658724675</v>
      </c>
      <c r="O29" s="21">
        <v>36137287114</v>
      </c>
      <c r="Q29" s="21">
        <v>-7478562439</v>
      </c>
    </row>
    <row r="30" spans="1:17" ht="18.75" x14ac:dyDescent="0.45">
      <c r="A30" s="29" t="s">
        <v>40</v>
      </c>
      <c r="C30" s="21">
        <v>15959262</v>
      </c>
      <c r="E30" s="21">
        <v>77576448472</v>
      </c>
      <c r="G30" s="21">
        <v>80979298693</v>
      </c>
      <c r="I30" s="21">
        <v>-3402850221</v>
      </c>
      <c r="K30" s="21">
        <v>15959262</v>
      </c>
      <c r="M30" s="21">
        <v>77576448472</v>
      </c>
      <c r="O30" s="21">
        <v>65924924472</v>
      </c>
      <c r="Q30" s="21">
        <v>11651524000</v>
      </c>
    </row>
    <row r="31" spans="1:17" ht="37.5" x14ac:dyDescent="0.45">
      <c r="A31" s="29" t="s">
        <v>41</v>
      </c>
      <c r="C31" s="21">
        <v>122374</v>
      </c>
      <c r="E31" s="21">
        <v>3558141835</v>
      </c>
      <c r="G31" s="21">
        <v>5827939004</v>
      </c>
      <c r="I31" s="21">
        <v>-2269797169</v>
      </c>
      <c r="K31" s="21">
        <v>122374</v>
      </c>
      <c r="M31" s="21">
        <v>3558141835</v>
      </c>
      <c r="O31" s="21">
        <v>3308767792</v>
      </c>
      <c r="Q31" s="21">
        <v>249374043</v>
      </c>
    </row>
    <row r="32" spans="1:17" ht="18.75" x14ac:dyDescent="0.45">
      <c r="A32" s="29" t="s">
        <v>42</v>
      </c>
      <c r="C32" s="21">
        <v>2572602</v>
      </c>
      <c r="E32" s="21">
        <v>25240501829</v>
      </c>
      <c r="G32" s="21">
        <v>37282304911</v>
      </c>
      <c r="I32" s="21">
        <v>-12041803082</v>
      </c>
      <c r="K32" s="21">
        <v>2572602</v>
      </c>
      <c r="M32" s="21">
        <v>25240501829</v>
      </c>
      <c r="O32" s="21">
        <v>38730918071</v>
      </c>
      <c r="Q32" s="21">
        <v>-13490416242</v>
      </c>
    </row>
    <row r="33" spans="1:17" ht="18.75" x14ac:dyDescent="0.45">
      <c r="A33" s="29" t="s">
        <v>43</v>
      </c>
      <c r="C33" s="21">
        <v>25899343</v>
      </c>
      <c r="E33" s="21">
        <v>44256070842</v>
      </c>
      <c r="G33" s="21">
        <v>54484760314</v>
      </c>
      <c r="I33" s="21">
        <v>-10228689472</v>
      </c>
      <c r="K33" s="21">
        <v>25899343</v>
      </c>
      <c r="M33" s="21">
        <v>44256070842</v>
      </c>
      <c r="O33" s="21">
        <v>60269611310</v>
      </c>
      <c r="Q33" s="21">
        <v>-16013540468</v>
      </c>
    </row>
    <row r="34" spans="1:17" ht="18.75" x14ac:dyDescent="0.45">
      <c r="A34" s="29" t="s">
        <v>44</v>
      </c>
      <c r="C34" s="21">
        <v>11884188</v>
      </c>
      <c r="E34" s="21">
        <v>25221773569</v>
      </c>
      <c r="G34" s="21">
        <v>29361175166</v>
      </c>
      <c r="I34" s="21">
        <v>-4139401597</v>
      </c>
      <c r="K34" s="21">
        <v>11884188</v>
      </c>
      <c r="M34" s="21">
        <v>25221773569</v>
      </c>
      <c r="O34" s="21">
        <v>34414377175</v>
      </c>
      <c r="Q34" s="21">
        <v>-9192603606</v>
      </c>
    </row>
    <row r="35" spans="1:17" ht="18.75" x14ac:dyDescent="0.45">
      <c r="A35" s="29" t="s">
        <v>46</v>
      </c>
      <c r="C35" s="21">
        <v>2596227</v>
      </c>
      <c r="E35" s="21">
        <v>5288017092</v>
      </c>
      <c r="G35" s="21">
        <v>6815823569</v>
      </c>
      <c r="I35" s="21">
        <v>-1527806477</v>
      </c>
      <c r="K35" s="21">
        <v>2596227</v>
      </c>
      <c r="M35" s="21">
        <v>5288017092</v>
      </c>
      <c r="O35" s="21">
        <v>6262435719</v>
      </c>
      <c r="Q35" s="21">
        <v>-974418627</v>
      </c>
    </row>
    <row r="36" spans="1:17" ht="18.75" x14ac:dyDescent="0.45">
      <c r="A36" s="29" t="s">
        <v>206</v>
      </c>
      <c r="J36" s="22"/>
      <c r="K36" s="21">
        <v>0</v>
      </c>
      <c r="M36" s="21">
        <v>0</v>
      </c>
      <c r="O36" s="21">
        <v>-3981368184</v>
      </c>
      <c r="Q36" s="21">
        <v>3981368184</v>
      </c>
    </row>
    <row r="37" spans="1:17" ht="37.5" x14ac:dyDescent="0.45">
      <c r="A37" s="29" t="s">
        <v>47</v>
      </c>
      <c r="C37" s="21">
        <v>3250000</v>
      </c>
      <c r="E37" s="21">
        <v>3534344775</v>
      </c>
      <c r="G37" s="21">
        <v>3883256325</v>
      </c>
      <c r="I37" s="21">
        <v>-348911550</v>
      </c>
      <c r="K37" s="21">
        <v>3250000</v>
      </c>
      <c r="M37" s="21">
        <v>3534344775</v>
      </c>
      <c r="O37" s="21">
        <v>3939323661</v>
      </c>
      <c r="Q37" s="21">
        <v>-404978886</v>
      </c>
    </row>
    <row r="38" spans="1:17" ht="18.75" x14ac:dyDescent="0.45">
      <c r="A38" s="29" t="s">
        <v>49</v>
      </c>
      <c r="C38" s="21">
        <v>84882</v>
      </c>
      <c r="E38" s="21">
        <v>8965894930</v>
      </c>
      <c r="G38" s="21">
        <v>10777392066</v>
      </c>
      <c r="I38" s="21">
        <v>-1811497136</v>
      </c>
      <c r="K38" s="21">
        <v>84882</v>
      </c>
      <c r="M38" s="21">
        <v>8965894930</v>
      </c>
      <c r="O38" s="21">
        <v>7685896566</v>
      </c>
      <c r="Q38" s="21">
        <v>1279998364</v>
      </c>
    </row>
    <row r="39" spans="1:17" ht="18.75" x14ac:dyDescent="0.45">
      <c r="A39" s="29" t="s">
        <v>50</v>
      </c>
      <c r="C39" s="21">
        <v>5530564</v>
      </c>
      <c r="E39" s="21">
        <v>40627686296</v>
      </c>
      <c r="G39" s="21">
        <v>52392672584</v>
      </c>
      <c r="I39" s="21">
        <v>-11764986288</v>
      </c>
      <c r="K39" s="21">
        <v>5530564</v>
      </c>
      <c r="M39" s="21">
        <v>40627686296</v>
      </c>
      <c r="O39" s="21">
        <v>44805905726</v>
      </c>
      <c r="Q39" s="21">
        <v>-4178219430</v>
      </c>
    </row>
    <row r="40" spans="1:17" ht="18.75" x14ac:dyDescent="0.45">
      <c r="A40" s="29" t="s">
        <v>51</v>
      </c>
      <c r="C40" s="21">
        <v>5499792</v>
      </c>
      <c r="E40" s="21">
        <v>43736545901</v>
      </c>
      <c r="G40" s="21">
        <v>52049484178</v>
      </c>
      <c r="I40" s="21">
        <v>-8312938277</v>
      </c>
      <c r="K40" s="21">
        <v>5499792</v>
      </c>
      <c r="M40" s="21">
        <v>43736545901</v>
      </c>
      <c r="O40" s="21">
        <v>45650019783</v>
      </c>
      <c r="Q40" s="21">
        <v>-1913473882</v>
      </c>
    </row>
    <row r="41" spans="1:17" ht="18.75" x14ac:dyDescent="0.45">
      <c r="A41" s="29" t="s">
        <v>52</v>
      </c>
      <c r="C41" s="21">
        <v>3000000</v>
      </c>
      <c r="E41" s="21">
        <v>48251187000</v>
      </c>
      <c r="G41" s="21">
        <v>63378639900</v>
      </c>
      <c r="I41" s="21">
        <v>-15127452900</v>
      </c>
      <c r="K41" s="21">
        <v>3000000</v>
      </c>
      <c r="M41" s="21">
        <v>48251187000</v>
      </c>
      <c r="O41" s="21">
        <v>36382230000</v>
      </c>
      <c r="Q41" s="21">
        <v>11868957000</v>
      </c>
    </row>
    <row r="42" spans="1:17" ht="18.75" x14ac:dyDescent="0.45">
      <c r="A42" s="29" t="s">
        <v>54</v>
      </c>
      <c r="C42" s="21">
        <v>17819540</v>
      </c>
      <c r="E42" s="21">
        <v>22797292180</v>
      </c>
      <c r="G42" s="21">
        <v>25851399147</v>
      </c>
      <c r="I42" s="21">
        <v>-3054106967</v>
      </c>
      <c r="K42" s="21">
        <v>17819540</v>
      </c>
      <c r="M42" s="21">
        <v>22797292180</v>
      </c>
      <c r="O42" s="21">
        <v>28005065217</v>
      </c>
      <c r="Q42" s="21">
        <v>-5207773037</v>
      </c>
    </row>
    <row r="43" spans="1:17" ht="18.75" x14ac:dyDescent="0.45">
      <c r="A43" s="29" t="s">
        <v>55</v>
      </c>
      <c r="C43" s="21">
        <v>324775</v>
      </c>
      <c r="E43" s="21">
        <v>7796648518</v>
      </c>
      <c r="G43" s="21">
        <v>8569533736</v>
      </c>
      <c r="I43" s="21">
        <v>-772885218</v>
      </c>
      <c r="K43" s="21">
        <v>324775</v>
      </c>
      <c r="M43" s="21">
        <v>7796648518</v>
      </c>
      <c r="O43" s="21">
        <v>9362435074</v>
      </c>
      <c r="Q43" s="21">
        <v>-1565786556</v>
      </c>
    </row>
    <row r="44" spans="1:17" ht="18.75" x14ac:dyDescent="0.45">
      <c r="A44" s="29" t="s">
        <v>56</v>
      </c>
      <c r="C44" s="21">
        <v>9448213</v>
      </c>
      <c r="E44" s="21">
        <v>5898173571</v>
      </c>
      <c r="G44" s="21">
        <v>6799805200</v>
      </c>
      <c r="I44" s="21">
        <v>-901631629</v>
      </c>
      <c r="K44" s="21">
        <v>9448213</v>
      </c>
      <c r="M44" s="21">
        <v>5898173571</v>
      </c>
      <c r="O44" s="21">
        <v>7062781092</v>
      </c>
      <c r="Q44" s="21">
        <v>-1164607521</v>
      </c>
    </row>
    <row r="45" spans="1:17" ht="18.75" x14ac:dyDescent="0.45">
      <c r="A45" s="29" t="s">
        <v>58</v>
      </c>
      <c r="C45" s="21">
        <v>249996</v>
      </c>
      <c r="E45" s="21">
        <v>1491051143</v>
      </c>
      <c r="G45" s="21">
        <v>1744529837</v>
      </c>
      <c r="I45" s="21">
        <v>-253478694</v>
      </c>
      <c r="K45" s="21">
        <v>249996</v>
      </c>
      <c r="M45" s="21">
        <v>1491051143</v>
      </c>
      <c r="O45" s="21">
        <v>1732104411</v>
      </c>
      <c r="Q45" s="21">
        <v>-241053268</v>
      </c>
    </row>
    <row r="46" spans="1:17" ht="18.75" x14ac:dyDescent="0.45">
      <c r="A46" s="29" t="s">
        <v>59</v>
      </c>
      <c r="C46" s="21">
        <v>1875000</v>
      </c>
      <c r="E46" s="21">
        <v>6091041375</v>
      </c>
      <c r="G46" s="21">
        <v>7050560355</v>
      </c>
      <c r="I46" s="21">
        <v>-959518980</v>
      </c>
      <c r="K46" s="21">
        <v>1875000</v>
      </c>
      <c r="M46" s="21">
        <v>6091041375</v>
      </c>
      <c r="O46" s="21">
        <v>5911612875</v>
      </c>
      <c r="Q46" s="21">
        <v>179428500</v>
      </c>
    </row>
    <row r="47" spans="1:17" ht="18.75" x14ac:dyDescent="0.45">
      <c r="A47" s="29" t="s">
        <v>60</v>
      </c>
      <c r="C47" s="21">
        <v>21605748</v>
      </c>
      <c r="E47" s="21">
        <v>66149756902</v>
      </c>
      <c r="G47" s="21">
        <v>83303072926</v>
      </c>
      <c r="I47" s="21">
        <v>-17153316024</v>
      </c>
      <c r="K47" s="21">
        <v>21605748</v>
      </c>
      <c r="M47" s="21">
        <v>66149756902</v>
      </c>
      <c r="O47" s="21">
        <v>95874193121</v>
      </c>
      <c r="Q47" s="21">
        <v>-29724436219</v>
      </c>
    </row>
    <row r="48" spans="1:17" ht="18.75" x14ac:dyDescent="0.45">
      <c r="A48" s="29" t="s">
        <v>61</v>
      </c>
      <c r="C48" s="21">
        <v>10840509</v>
      </c>
      <c r="E48" s="21">
        <v>69181971177</v>
      </c>
      <c r="G48" s="21">
        <v>92190726018</v>
      </c>
      <c r="I48" s="21">
        <v>-23008754841</v>
      </c>
      <c r="K48" s="21">
        <v>10840509</v>
      </c>
      <c r="M48" s="21">
        <v>69181971177</v>
      </c>
      <c r="O48" s="21">
        <v>81419305870</v>
      </c>
      <c r="Q48" s="21">
        <v>-12237334693</v>
      </c>
    </row>
    <row r="49" spans="1:17" ht="18.75" x14ac:dyDescent="0.45">
      <c r="A49" s="29" t="s">
        <v>62</v>
      </c>
      <c r="C49" s="21">
        <v>12692909</v>
      </c>
      <c r="E49" s="21">
        <v>27909658255</v>
      </c>
      <c r="G49" s="21">
        <v>33799732175</v>
      </c>
      <c r="I49" s="21">
        <v>-5890073920</v>
      </c>
      <c r="K49" s="21">
        <v>12692909</v>
      </c>
      <c r="M49" s="21">
        <v>27909658255</v>
      </c>
      <c r="O49" s="21">
        <v>46873589701</v>
      </c>
      <c r="Q49" s="21">
        <v>-18963931446</v>
      </c>
    </row>
    <row r="50" spans="1:17" ht="18.75" x14ac:dyDescent="0.45">
      <c r="A50" s="29" t="s">
        <v>65</v>
      </c>
      <c r="C50" s="21">
        <v>8231319</v>
      </c>
      <c r="E50" s="21">
        <v>28695475680</v>
      </c>
      <c r="G50" s="21">
        <v>30217391414</v>
      </c>
      <c r="I50" s="21">
        <v>-1521915734</v>
      </c>
      <c r="K50" s="21">
        <v>8231319</v>
      </c>
      <c r="M50" s="21">
        <v>28695475680</v>
      </c>
      <c r="O50" s="21">
        <v>23663334949</v>
      </c>
      <c r="Q50" s="21">
        <v>5032140731</v>
      </c>
    </row>
    <row r="51" spans="1:17" ht="18.75" x14ac:dyDescent="0.45">
      <c r="A51" s="29" t="s">
        <v>66</v>
      </c>
      <c r="C51" s="21">
        <v>6256631</v>
      </c>
      <c r="E51" s="21">
        <v>27116601639</v>
      </c>
      <c r="G51" s="21">
        <v>29131688549</v>
      </c>
      <c r="I51" s="21">
        <v>-2015086910</v>
      </c>
      <c r="K51" s="21">
        <v>6256631</v>
      </c>
      <c r="M51" s="21">
        <v>27116601639</v>
      </c>
      <c r="O51" s="21">
        <v>33025035482</v>
      </c>
      <c r="Q51" s="21">
        <v>-5908433843</v>
      </c>
    </row>
    <row r="52" spans="1:17" ht="18.75" x14ac:dyDescent="0.45">
      <c r="A52" s="29" t="s">
        <v>67</v>
      </c>
      <c r="C52" s="21">
        <v>3129644</v>
      </c>
      <c r="E52" s="21">
        <v>8468203567</v>
      </c>
      <c r="G52" s="21">
        <v>10102098403</v>
      </c>
      <c r="I52" s="21">
        <v>-1633894836</v>
      </c>
      <c r="K52" s="21">
        <v>3129644</v>
      </c>
      <c r="M52" s="21">
        <v>8468203567</v>
      </c>
      <c r="O52" s="21">
        <v>10204154188</v>
      </c>
      <c r="Q52" s="21">
        <v>-1735950621</v>
      </c>
    </row>
    <row r="53" spans="1:17" ht="18.75" x14ac:dyDescent="0.45">
      <c r="A53" s="29" t="s">
        <v>68</v>
      </c>
      <c r="C53" s="21">
        <v>16300000</v>
      </c>
      <c r="E53" s="21">
        <v>57941981640</v>
      </c>
      <c r="G53" s="21">
        <v>76408934801</v>
      </c>
      <c r="I53" s="21">
        <v>-18466953161</v>
      </c>
      <c r="K53" s="21">
        <v>16300000</v>
      </c>
      <c r="M53" s="21">
        <v>57941981640</v>
      </c>
      <c r="O53" s="21">
        <v>70737879551</v>
      </c>
      <c r="Q53" s="21">
        <v>-12795897911</v>
      </c>
    </row>
    <row r="54" spans="1:17" ht="18.75" x14ac:dyDescent="0.45">
      <c r="A54" s="29" t="s">
        <v>69</v>
      </c>
      <c r="C54" s="21">
        <v>6360714</v>
      </c>
      <c r="E54" s="21">
        <v>16287707328</v>
      </c>
      <c r="G54" s="21">
        <v>18540733099</v>
      </c>
      <c r="I54" s="21">
        <v>-2253025771</v>
      </c>
      <c r="K54" s="21">
        <v>6360714</v>
      </c>
      <c r="M54" s="21">
        <v>16287707328</v>
      </c>
      <c r="O54" s="21">
        <v>18540733099</v>
      </c>
      <c r="Q54" s="21">
        <v>-2253025771</v>
      </c>
    </row>
    <row r="55" spans="1:17" ht="18.75" x14ac:dyDescent="0.45">
      <c r="A55" s="29" t="s">
        <v>71</v>
      </c>
      <c r="C55" s="21">
        <v>5888987</v>
      </c>
      <c r="E55" s="21">
        <v>24012892757</v>
      </c>
      <c r="G55" s="21">
        <v>26280543351</v>
      </c>
      <c r="I55" s="21">
        <v>-2267650594</v>
      </c>
      <c r="K55" s="21">
        <v>5888987</v>
      </c>
      <c r="M55" s="21">
        <v>24012892757</v>
      </c>
      <c r="O55" s="21">
        <v>33371942407</v>
      </c>
      <c r="Q55" s="21">
        <v>-9359049650</v>
      </c>
    </row>
    <row r="56" spans="1:17" ht="18.75" x14ac:dyDescent="0.45">
      <c r="A56" s="29" t="s">
        <v>72</v>
      </c>
      <c r="C56" s="21">
        <v>250000</v>
      </c>
      <c r="E56" s="21">
        <v>2606896125</v>
      </c>
      <c r="G56" s="21">
        <v>2778369750</v>
      </c>
      <c r="I56" s="21">
        <v>-171473625</v>
      </c>
      <c r="K56" s="21">
        <v>250000</v>
      </c>
      <c r="M56" s="21">
        <v>2606896125</v>
      </c>
      <c r="O56" s="21">
        <v>3484145250</v>
      </c>
      <c r="Q56" s="21">
        <v>-877249125</v>
      </c>
    </row>
    <row r="57" spans="1:17" ht="18.75" x14ac:dyDescent="0.45">
      <c r="A57" s="29" t="s">
        <v>73</v>
      </c>
      <c r="C57" s="21">
        <v>15800000</v>
      </c>
      <c r="E57" s="21">
        <v>92665341000</v>
      </c>
      <c r="G57" s="21">
        <v>132558555600</v>
      </c>
      <c r="I57" s="21">
        <v>-39893214600</v>
      </c>
      <c r="K57" s="21">
        <v>15800000</v>
      </c>
      <c r="M57" s="21">
        <v>92665341000</v>
      </c>
      <c r="O57" s="21">
        <v>144180988200</v>
      </c>
      <c r="Q57" s="21">
        <v>-51515647200</v>
      </c>
    </row>
    <row r="58" spans="1:17" ht="18.75" x14ac:dyDescent="0.45">
      <c r="A58" s="29" t="s">
        <v>74</v>
      </c>
      <c r="C58" s="21">
        <v>6622978</v>
      </c>
      <c r="E58" s="21">
        <v>21126680240</v>
      </c>
      <c r="G58" s="21">
        <v>26087271028</v>
      </c>
      <c r="I58" s="21">
        <v>-4960590788</v>
      </c>
      <c r="K58" s="21">
        <v>6622978</v>
      </c>
      <c r="M58" s="21">
        <v>21126680240</v>
      </c>
      <c r="O58" s="21">
        <v>22752822346</v>
      </c>
      <c r="Q58" s="21">
        <v>-1626142106</v>
      </c>
    </row>
    <row r="59" spans="1:17" ht="18.75" x14ac:dyDescent="0.45">
      <c r="A59" s="29" t="s">
        <v>75</v>
      </c>
      <c r="C59" s="21">
        <v>4645601</v>
      </c>
      <c r="E59" s="21">
        <v>14186372119</v>
      </c>
      <c r="G59" s="21">
        <v>14355955322</v>
      </c>
      <c r="I59" s="21">
        <v>-169583203</v>
      </c>
      <c r="K59" s="21">
        <v>4645601</v>
      </c>
      <c r="M59" s="21">
        <v>14186372119</v>
      </c>
      <c r="O59" s="21">
        <v>11147754653</v>
      </c>
      <c r="Q59" s="21">
        <v>3038617466</v>
      </c>
    </row>
    <row r="60" spans="1:17" ht="18.75" x14ac:dyDescent="0.45">
      <c r="A60" s="29" t="s">
        <v>76</v>
      </c>
      <c r="C60" s="21">
        <v>10319951</v>
      </c>
      <c r="E60" s="21">
        <v>59704745237</v>
      </c>
      <c r="G60" s="21">
        <v>72630514824</v>
      </c>
      <c r="I60" s="21">
        <v>-12925769587</v>
      </c>
      <c r="K60" s="21">
        <v>10319951</v>
      </c>
      <c r="M60" s="21">
        <v>59704745237</v>
      </c>
      <c r="O60" s="21">
        <v>57246929746</v>
      </c>
      <c r="Q60" s="21">
        <v>2457815491</v>
      </c>
    </row>
    <row r="61" spans="1:17" ht="18.75" x14ac:dyDescent="0.45">
      <c r="A61" s="29" t="s">
        <v>78</v>
      </c>
      <c r="C61" s="21">
        <v>8036726</v>
      </c>
      <c r="E61" s="21">
        <v>26563117372</v>
      </c>
      <c r="G61" s="21">
        <v>37137989285</v>
      </c>
      <c r="I61" s="21">
        <v>-10574871913</v>
      </c>
      <c r="K61" s="21">
        <v>8036726</v>
      </c>
      <c r="M61" s="21">
        <v>26563117372</v>
      </c>
      <c r="O61" s="21">
        <v>27577708622</v>
      </c>
      <c r="Q61" s="21">
        <v>-1014591250</v>
      </c>
    </row>
    <row r="62" spans="1:17" ht="37.5" x14ac:dyDescent="0.45">
      <c r="A62" s="29" t="s">
        <v>79</v>
      </c>
      <c r="C62" s="21">
        <v>700000</v>
      </c>
      <c r="E62" s="21">
        <v>10013065650</v>
      </c>
      <c r="G62" s="21">
        <v>11996195400</v>
      </c>
      <c r="I62" s="21">
        <v>-1983129750</v>
      </c>
      <c r="K62" s="21">
        <v>700000</v>
      </c>
      <c r="M62" s="21">
        <v>10013065650</v>
      </c>
      <c r="O62" s="21">
        <v>9581647950</v>
      </c>
      <c r="Q62" s="21">
        <v>431417700</v>
      </c>
    </row>
    <row r="63" spans="1:17" ht="18.75" x14ac:dyDescent="0.45">
      <c r="A63" s="29" t="s">
        <v>80</v>
      </c>
      <c r="C63" s="21">
        <v>7700000</v>
      </c>
      <c r="E63" s="21">
        <v>32270043960</v>
      </c>
      <c r="G63" s="21">
        <v>38959801650</v>
      </c>
      <c r="I63" s="21">
        <v>-6689757690</v>
      </c>
      <c r="K63" s="21">
        <v>7700000</v>
      </c>
      <c r="M63" s="21">
        <v>32270043960</v>
      </c>
      <c r="O63" s="21">
        <v>41638766400</v>
      </c>
      <c r="Q63" s="21">
        <v>-9368722440</v>
      </c>
    </row>
    <row r="64" spans="1:17" ht="18.75" x14ac:dyDescent="0.45">
      <c r="A64" s="29" t="s">
        <v>81</v>
      </c>
      <c r="C64" s="21">
        <v>10015480</v>
      </c>
      <c r="E64" s="21">
        <v>96970348088</v>
      </c>
      <c r="G64" s="21">
        <v>114731702628</v>
      </c>
      <c r="I64" s="21">
        <v>-17761354540</v>
      </c>
      <c r="K64" s="21">
        <v>10015480</v>
      </c>
      <c r="M64" s="21">
        <v>96970348088</v>
      </c>
      <c r="O64" s="21">
        <v>89702549924</v>
      </c>
      <c r="Q64" s="21">
        <v>7267798164</v>
      </c>
    </row>
    <row r="65" spans="1:17" ht="18.75" x14ac:dyDescent="0.45">
      <c r="A65" s="29" t="s">
        <v>82</v>
      </c>
      <c r="C65" s="21">
        <v>999999</v>
      </c>
      <c r="E65" s="21">
        <v>4319142931</v>
      </c>
      <c r="G65" s="21">
        <v>6583588070</v>
      </c>
      <c r="I65" s="21">
        <v>-2264445139</v>
      </c>
      <c r="K65" s="21">
        <v>999999</v>
      </c>
      <c r="M65" s="21">
        <v>4319142931</v>
      </c>
      <c r="O65" s="21">
        <v>3575594274</v>
      </c>
      <c r="Q65" s="21">
        <v>743548657</v>
      </c>
    </row>
    <row r="66" spans="1:17" ht="18.75" x14ac:dyDescent="0.45">
      <c r="A66" s="29" t="s">
        <v>83</v>
      </c>
      <c r="C66" s="21">
        <v>13413474</v>
      </c>
      <c r="E66" s="21">
        <v>44147760940</v>
      </c>
      <c r="G66" s="21">
        <v>61623864872</v>
      </c>
      <c r="I66" s="21">
        <v>-17476103932</v>
      </c>
      <c r="K66" s="21">
        <v>13413474</v>
      </c>
      <c r="M66" s="21">
        <v>44147760940</v>
      </c>
      <c r="O66" s="21">
        <v>42654390590</v>
      </c>
      <c r="Q66" s="21">
        <v>1493370350</v>
      </c>
    </row>
    <row r="67" spans="1:17" ht="18.75" x14ac:dyDescent="0.45">
      <c r="A67" s="29" t="s">
        <v>84</v>
      </c>
      <c r="C67" s="21">
        <v>6903048</v>
      </c>
      <c r="E67" s="21">
        <v>11150709155</v>
      </c>
      <c r="G67" s="21">
        <v>11822753031</v>
      </c>
      <c r="I67" s="21">
        <v>-672043876</v>
      </c>
      <c r="K67" s="21">
        <v>6903048</v>
      </c>
      <c r="M67" s="21">
        <v>11150709155</v>
      </c>
      <c r="O67" s="21">
        <v>10800748437</v>
      </c>
      <c r="Q67" s="21">
        <v>349960718</v>
      </c>
    </row>
    <row r="68" spans="1:17" ht="18.75" x14ac:dyDescent="0.45">
      <c r="A68" s="29" t="s">
        <v>86</v>
      </c>
      <c r="C68" s="21">
        <v>123</v>
      </c>
      <c r="E68" s="21">
        <v>5010549</v>
      </c>
      <c r="G68" s="21">
        <v>5048452</v>
      </c>
      <c r="I68" s="21">
        <v>-37903</v>
      </c>
      <c r="K68" s="21">
        <v>123</v>
      </c>
      <c r="M68" s="21">
        <v>5010549</v>
      </c>
      <c r="O68" s="21">
        <v>2749811</v>
      </c>
      <c r="Q68" s="21">
        <v>2260738</v>
      </c>
    </row>
    <row r="69" spans="1:17" ht="18.75" x14ac:dyDescent="0.45">
      <c r="A69" s="29" t="s">
        <v>88</v>
      </c>
      <c r="C69" s="21">
        <v>1467558</v>
      </c>
      <c r="E69" s="21">
        <v>8650838357</v>
      </c>
      <c r="G69" s="21">
        <v>7703995116</v>
      </c>
      <c r="I69" s="21">
        <v>946843241</v>
      </c>
      <c r="K69" s="21">
        <v>1467558</v>
      </c>
      <c r="M69" s="21">
        <v>8650838357</v>
      </c>
      <c r="O69" s="21">
        <v>9905428743</v>
      </c>
      <c r="Q69" s="21">
        <v>-1254590386</v>
      </c>
    </row>
    <row r="70" spans="1:17" ht="18.75" x14ac:dyDescent="0.45">
      <c r="A70" s="29" t="s">
        <v>89</v>
      </c>
      <c r="C70" s="21">
        <v>6744759</v>
      </c>
      <c r="E70" s="21">
        <v>32343123947</v>
      </c>
      <c r="G70" s="21">
        <v>36741359708</v>
      </c>
      <c r="I70" s="21">
        <v>-4398235761</v>
      </c>
      <c r="K70" s="21">
        <v>6744759</v>
      </c>
      <c r="M70" s="21">
        <v>32343123947</v>
      </c>
      <c r="O70" s="21">
        <v>47076364301</v>
      </c>
      <c r="Q70" s="21">
        <v>-14733240354</v>
      </c>
    </row>
    <row r="71" spans="1:17" ht="18.75" x14ac:dyDescent="0.45">
      <c r="A71" s="29" t="s">
        <v>90</v>
      </c>
      <c r="C71" s="21">
        <v>307809</v>
      </c>
      <c r="E71" s="21">
        <v>9488363405</v>
      </c>
      <c r="G71" s="21">
        <v>10394117232</v>
      </c>
      <c r="I71" s="21">
        <v>-905753827</v>
      </c>
      <c r="K71" s="21">
        <v>307809</v>
      </c>
      <c r="M71" s="21">
        <v>9488363405</v>
      </c>
      <c r="O71" s="21">
        <v>11042729290</v>
      </c>
      <c r="Q71" s="21">
        <v>-1554365885</v>
      </c>
    </row>
    <row r="72" spans="1:17" ht="18.75" x14ac:dyDescent="0.45">
      <c r="A72" s="29" t="s">
        <v>91</v>
      </c>
      <c r="C72" s="21">
        <v>2853956</v>
      </c>
      <c r="E72" s="21">
        <v>67520004091</v>
      </c>
      <c r="G72" s="21">
        <v>74751321533</v>
      </c>
      <c r="I72" s="21">
        <v>-7231317442</v>
      </c>
      <c r="K72" s="21">
        <v>2853956</v>
      </c>
      <c r="M72" s="21">
        <v>67520004091</v>
      </c>
      <c r="O72" s="21">
        <v>53250020033</v>
      </c>
      <c r="Q72" s="21">
        <v>14269984058</v>
      </c>
    </row>
    <row r="73" spans="1:17" ht="18.75" x14ac:dyDescent="0.45">
      <c r="A73" s="29" t="s">
        <v>93</v>
      </c>
      <c r="C73" s="21">
        <v>25140703</v>
      </c>
      <c r="E73" s="21">
        <v>56279992820</v>
      </c>
      <c r="G73" s="21">
        <v>63502425291</v>
      </c>
      <c r="I73" s="21">
        <v>-7222432471</v>
      </c>
      <c r="K73" s="21">
        <v>25140703</v>
      </c>
      <c r="M73" s="21">
        <v>56279992820</v>
      </c>
      <c r="O73" s="21">
        <v>57897095511</v>
      </c>
      <c r="Q73" s="21">
        <v>-1617102691</v>
      </c>
    </row>
    <row r="74" spans="1:17" ht="18.75" x14ac:dyDescent="0.45">
      <c r="A74" s="29" t="s">
        <v>94</v>
      </c>
      <c r="C74" s="21">
        <v>450000</v>
      </c>
      <c r="E74" s="21">
        <v>8628851025</v>
      </c>
      <c r="G74" s="21">
        <v>8691476175</v>
      </c>
      <c r="I74" s="21">
        <v>-62625150</v>
      </c>
      <c r="K74" s="21">
        <v>450000</v>
      </c>
      <c r="M74" s="21">
        <v>8628851025</v>
      </c>
      <c r="O74" s="21">
        <v>8423082675</v>
      </c>
      <c r="Q74" s="21">
        <v>205768350</v>
      </c>
    </row>
    <row r="75" spans="1:17" ht="18.75" x14ac:dyDescent="0.45">
      <c r="A75" s="29" t="s">
        <v>95</v>
      </c>
      <c r="C75" s="21">
        <v>753700</v>
      </c>
      <c r="E75" s="21">
        <v>1408525112</v>
      </c>
      <c r="G75" s="21">
        <v>28292080</v>
      </c>
      <c r="I75" s="21">
        <v>1380233032</v>
      </c>
      <c r="K75" s="21">
        <v>753700</v>
      </c>
      <c r="M75" s="21">
        <v>1408525112</v>
      </c>
      <c r="O75" s="21">
        <v>1994955009</v>
      </c>
      <c r="Q75" s="21">
        <v>-586429897</v>
      </c>
    </row>
    <row r="76" spans="1:17" ht="37.5" x14ac:dyDescent="0.45">
      <c r="A76" s="29" t="s">
        <v>96</v>
      </c>
      <c r="C76" s="21">
        <v>21600000</v>
      </c>
      <c r="E76" s="21">
        <v>20762921160</v>
      </c>
      <c r="G76" s="21">
        <v>24670730520</v>
      </c>
      <c r="I76" s="21">
        <v>-3907809360</v>
      </c>
      <c r="K76" s="21">
        <v>21600000</v>
      </c>
      <c r="M76" s="21">
        <v>20762921160</v>
      </c>
      <c r="O76" s="21">
        <v>28728840240</v>
      </c>
      <c r="Q76" s="21">
        <v>-7965919080</v>
      </c>
    </row>
    <row r="77" spans="1:17" ht="19.5" thickBot="1" x14ac:dyDescent="0.5">
      <c r="A77" s="24" t="s">
        <v>97</v>
      </c>
      <c r="C77" s="24">
        <f>SUM(C9:$C$76)</f>
        <v>470317608</v>
      </c>
      <c r="E77" s="24">
        <f>SUM(E9:$E$76)</f>
        <v>1765288732324</v>
      </c>
      <c r="G77" s="24">
        <f>SUM(G9:$G$76)</f>
        <v>2118158615012</v>
      </c>
      <c r="I77" s="24">
        <f>SUM(I9:$I$76)</f>
        <v>-352869882688</v>
      </c>
      <c r="K77" s="24">
        <f>SUM(K9:$K$76)</f>
        <v>473192608</v>
      </c>
      <c r="M77" s="24">
        <f>SUM(M9:$M$76)</f>
        <v>1770795893580</v>
      </c>
      <c r="O77" s="24">
        <f>SUM(O9:$O$76)</f>
        <v>1988240031980</v>
      </c>
      <c r="Q77" s="24">
        <f>SUM(Q9:$Q$76)</f>
        <v>-217444138400</v>
      </c>
    </row>
    <row r="78" spans="1:17" ht="19.5" thickTop="1" x14ac:dyDescent="0.45">
      <c r="C78" s="26"/>
      <c r="E78" s="26"/>
      <c r="G78" s="26"/>
      <c r="I78" s="26"/>
      <c r="K78" s="26"/>
      <c r="M78" s="26"/>
      <c r="O78" s="26"/>
      <c r="Q78" s="26"/>
    </row>
    <row r="80" spans="1:17" ht="18.75" x14ac:dyDescent="0.45">
      <c r="A80" s="31" t="s">
        <v>203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3"/>
    </row>
  </sheetData>
  <mergeCells count="7">
    <mergeCell ref="A80:Q80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94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1.140625" style="12" bestFit="1" customWidth="1"/>
    <col min="2" max="2" width="1.42578125" style="12" customWidth="1"/>
    <col min="3" max="3" width="17" style="12" customWidth="1"/>
    <col min="4" max="4" width="1.42578125" style="12" customWidth="1"/>
    <col min="5" max="5" width="19" style="12" bestFit="1" customWidth="1"/>
    <col min="6" max="6" width="1.42578125" style="12" customWidth="1"/>
    <col min="7" max="7" width="17.7109375" style="12" bestFit="1" customWidth="1"/>
    <col min="8" max="8" width="1.42578125" style="12" customWidth="1"/>
    <col min="9" max="9" width="18.28515625" style="12" bestFit="1" customWidth="1"/>
    <col min="10" max="10" width="1.42578125" style="12" customWidth="1"/>
    <col min="11" max="11" width="11.5703125" style="12" bestFit="1" customWidth="1"/>
    <col min="12" max="12" width="1.42578125" style="12" customWidth="1"/>
    <col min="13" max="13" width="18.28515625" style="12" bestFit="1" customWidth="1"/>
    <col min="14" max="14" width="1.42578125" style="12" customWidth="1"/>
    <col min="15" max="15" width="19" style="12" bestFit="1" customWidth="1"/>
    <col min="16" max="16" width="1.42578125" style="12" customWidth="1"/>
    <col min="17" max="17" width="17.7109375" style="12" bestFit="1" customWidth="1"/>
    <col min="18" max="18" width="1.42578125" style="12" customWidth="1"/>
    <col min="19" max="19" width="17.7109375" style="12" bestFit="1" customWidth="1"/>
    <col min="20" max="20" width="1.42578125" style="12" customWidth="1"/>
    <col min="21" max="21" width="11.5703125" style="12" bestFit="1" customWidth="1"/>
    <col min="22" max="16384" width="9.140625" style="12"/>
  </cols>
  <sheetData>
    <row r="1" spans="1:21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20.100000000000001" customHeight="1" x14ac:dyDescent="0.45">
      <c r="A2" s="10" t="s">
        <v>133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5" spans="1:21" ht="21" x14ac:dyDescent="0.45">
      <c r="A5" s="13" t="s">
        <v>207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7" spans="1:21" ht="21" x14ac:dyDescent="0.45">
      <c r="C7" s="14" t="s">
        <v>145</v>
      </c>
      <c r="D7" s="15"/>
      <c r="E7" s="15"/>
      <c r="F7" s="15"/>
      <c r="G7" s="15"/>
      <c r="H7" s="15"/>
      <c r="I7" s="15"/>
      <c r="J7" s="15"/>
      <c r="K7" s="15"/>
      <c r="M7" s="14" t="s">
        <v>7</v>
      </c>
      <c r="N7" s="15"/>
      <c r="O7" s="15"/>
      <c r="P7" s="15"/>
      <c r="Q7" s="15"/>
      <c r="R7" s="15"/>
      <c r="S7" s="15"/>
      <c r="T7" s="15"/>
      <c r="U7" s="15"/>
    </row>
    <row r="8" spans="1:21" ht="42" x14ac:dyDescent="0.45">
      <c r="A8" s="27" t="s">
        <v>208</v>
      </c>
      <c r="C8" s="28" t="s">
        <v>143</v>
      </c>
      <c r="E8" s="28" t="s">
        <v>209</v>
      </c>
      <c r="G8" s="28" t="s">
        <v>210</v>
      </c>
      <c r="I8" s="28" t="s">
        <v>211</v>
      </c>
      <c r="K8" s="28" t="s">
        <v>212</v>
      </c>
      <c r="M8" s="28" t="s">
        <v>143</v>
      </c>
      <c r="O8" s="28" t="s">
        <v>209</v>
      </c>
      <c r="Q8" s="28" t="s">
        <v>210</v>
      </c>
      <c r="S8" s="28" t="s">
        <v>211</v>
      </c>
      <c r="U8" s="28" t="s">
        <v>212</v>
      </c>
    </row>
    <row r="9" spans="1:21" ht="18.75" x14ac:dyDescent="0.45">
      <c r="A9" s="29" t="s">
        <v>17</v>
      </c>
      <c r="C9" s="21">
        <v>0</v>
      </c>
      <c r="E9" s="21">
        <v>49702500</v>
      </c>
      <c r="G9" s="21">
        <v>0</v>
      </c>
      <c r="I9" s="21">
        <v>49702500</v>
      </c>
      <c r="K9" s="23">
        <v>-1.4798668306294365E-4</v>
      </c>
      <c r="M9" s="21">
        <v>199000000</v>
      </c>
      <c r="O9" s="21">
        <v>86979375</v>
      </c>
      <c r="Q9" s="21">
        <v>0</v>
      </c>
      <c r="S9" s="21">
        <v>285979375</v>
      </c>
      <c r="U9" s="23">
        <v>3.32544259365867E-3</v>
      </c>
    </row>
    <row r="10" spans="1:21" ht="18.75" x14ac:dyDescent="0.45">
      <c r="A10" s="29" t="s">
        <v>18</v>
      </c>
      <c r="C10" s="21">
        <v>24500000</v>
      </c>
      <c r="E10" s="21">
        <v>-209446335</v>
      </c>
      <c r="G10" s="21">
        <v>0</v>
      </c>
      <c r="I10" s="21">
        <v>-184946335</v>
      </c>
      <c r="K10" s="23">
        <v>5.5066837002762446E-4</v>
      </c>
      <c r="M10" s="21">
        <v>24500000</v>
      </c>
      <c r="O10" s="21">
        <v>-146125350</v>
      </c>
      <c r="Q10" s="21">
        <v>0</v>
      </c>
      <c r="S10" s="21">
        <v>-121625350</v>
      </c>
      <c r="U10" s="23">
        <v>-1.4142912206820634E-3</v>
      </c>
    </row>
    <row r="11" spans="1:21" ht="18.75" x14ac:dyDescent="0.45">
      <c r="A11" s="29" t="s">
        <v>19</v>
      </c>
      <c r="C11" s="21">
        <v>0</v>
      </c>
      <c r="E11" s="21">
        <v>-2099917006</v>
      </c>
      <c r="G11" s="21">
        <v>548670466</v>
      </c>
      <c r="I11" s="21">
        <v>-1551246540</v>
      </c>
      <c r="K11" s="23">
        <v>4.6187582127150129E-3</v>
      </c>
      <c r="M11" s="21">
        <v>0</v>
      </c>
      <c r="O11" s="21">
        <v>726534942</v>
      </c>
      <c r="Q11" s="21">
        <v>548670466</v>
      </c>
      <c r="S11" s="21">
        <v>1275205408</v>
      </c>
      <c r="U11" s="23">
        <v>1.4828420334253415E-2</v>
      </c>
    </row>
    <row r="12" spans="1:21" ht="18.75" x14ac:dyDescent="0.45">
      <c r="A12" s="29" t="s">
        <v>20</v>
      </c>
      <c r="C12" s="21">
        <v>0</v>
      </c>
      <c r="E12" s="21">
        <v>-6521325320</v>
      </c>
      <c r="G12" s="21">
        <v>-3010121820</v>
      </c>
      <c r="I12" s="21">
        <v>-9531447140</v>
      </c>
      <c r="K12" s="23">
        <v>2.8379402384958115E-2</v>
      </c>
      <c r="M12" s="21">
        <v>669713695</v>
      </c>
      <c r="O12" s="21">
        <v>-18716680478</v>
      </c>
      <c r="Q12" s="21">
        <v>-3010121820</v>
      </c>
      <c r="S12" s="21">
        <v>-21057088603</v>
      </c>
      <c r="U12" s="23">
        <v>-0.24485730601677391</v>
      </c>
    </row>
    <row r="13" spans="1:21" ht="18.75" x14ac:dyDescent="0.45">
      <c r="A13" s="29" t="s">
        <v>21</v>
      </c>
      <c r="C13" s="21">
        <v>0</v>
      </c>
      <c r="E13" s="21">
        <v>-353975996</v>
      </c>
      <c r="G13" s="21">
        <v>-1378813175</v>
      </c>
      <c r="I13" s="21">
        <v>-1732789171</v>
      </c>
      <c r="K13" s="23">
        <v>5.1592922260183666E-3</v>
      </c>
      <c r="M13" s="21">
        <v>4445453740</v>
      </c>
      <c r="O13" s="21">
        <v>-3465564428</v>
      </c>
      <c r="Q13" s="21">
        <v>-2805605381</v>
      </c>
      <c r="S13" s="21">
        <v>-1825716069</v>
      </c>
      <c r="U13" s="23">
        <v>-2.1229901561186613E-2</v>
      </c>
    </row>
    <row r="14" spans="1:21" ht="18.75" x14ac:dyDescent="0.45">
      <c r="A14" s="29" t="s">
        <v>22</v>
      </c>
      <c r="C14" s="21">
        <v>0</v>
      </c>
      <c r="E14" s="21">
        <v>-7885848601</v>
      </c>
      <c r="G14" s="21">
        <v>3116402413</v>
      </c>
      <c r="I14" s="21">
        <v>-4769446188</v>
      </c>
      <c r="K14" s="23">
        <v>1.4200785099528612E-2</v>
      </c>
      <c r="M14" s="21">
        <v>1925903250</v>
      </c>
      <c r="O14" s="21">
        <v>3147021990</v>
      </c>
      <c r="Q14" s="21">
        <v>3687060841</v>
      </c>
      <c r="S14" s="21">
        <v>8759986081</v>
      </c>
      <c r="U14" s="23">
        <v>0.10186339778389435</v>
      </c>
    </row>
    <row r="15" spans="1:21" ht="18.75" x14ac:dyDescent="0.45">
      <c r="A15" s="29" t="s">
        <v>23</v>
      </c>
      <c r="C15" s="21">
        <v>0</v>
      </c>
      <c r="E15" s="21">
        <v>1843962750</v>
      </c>
      <c r="G15" s="21">
        <v>-2779810960</v>
      </c>
      <c r="I15" s="21">
        <v>-935848210</v>
      </c>
      <c r="K15" s="23">
        <v>2.7864407715566249E-3</v>
      </c>
      <c r="M15" s="21">
        <v>712500000</v>
      </c>
      <c r="O15" s="21">
        <v>0</v>
      </c>
      <c r="Q15" s="21">
        <v>-2779810960</v>
      </c>
      <c r="S15" s="21">
        <v>-2067310960</v>
      </c>
      <c r="U15" s="23">
        <v>-2.4039229824603246E-2</v>
      </c>
    </row>
    <row r="16" spans="1:21" ht="18.75" x14ac:dyDescent="0.45">
      <c r="A16" s="29" t="s">
        <v>213</v>
      </c>
      <c r="C16" s="21">
        <v>675475200</v>
      </c>
      <c r="E16" s="21">
        <v>-4778910547</v>
      </c>
      <c r="G16" s="21">
        <v>1027291284</v>
      </c>
      <c r="I16" s="21">
        <v>-3076144063</v>
      </c>
      <c r="K16" s="23">
        <v>9.1590635583147072E-3</v>
      </c>
      <c r="M16" s="21">
        <v>675475200</v>
      </c>
      <c r="O16" s="21">
        <v>550594022</v>
      </c>
      <c r="Q16" s="21">
        <v>1027291284</v>
      </c>
      <c r="S16" s="21">
        <v>2253360506</v>
      </c>
      <c r="U16" s="23">
        <v>2.6202662361649868E-2</v>
      </c>
    </row>
    <row r="17" spans="1:21" ht="18.75" x14ac:dyDescent="0.45">
      <c r="A17" s="29" t="s">
        <v>24</v>
      </c>
      <c r="C17" s="21">
        <v>0</v>
      </c>
      <c r="E17" s="21">
        <v>-375750900</v>
      </c>
      <c r="G17" s="21">
        <v>0</v>
      </c>
      <c r="I17" s="21">
        <v>-375750900</v>
      </c>
      <c r="K17" s="23">
        <v>1.118779323955854E-3</v>
      </c>
      <c r="M17" s="21">
        <v>700000000</v>
      </c>
      <c r="O17" s="21">
        <v>1431680513</v>
      </c>
      <c r="Q17" s="21">
        <v>0</v>
      </c>
      <c r="S17" s="21">
        <v>2131680513</v>
      </c>
      <c r="U17" s="23">
        <v>2.4787735737943916E-2</v>
      </c>
    </row>
    <row r="18" spans="1:21" ht="18.75" x14ac:dyDescent="0.45">
      <c r="A18" s="29" t="s">
        <v>214</v>
      </c>
      <c r="C18" s="21">
        <v>0</v>
      </c>
      <c r="E18" s="21">
        <v>0</v>
      </c>
      <c r="G18" s="21">
        <v>0</v>
      </c>
      <c r="I18" s="21">
        <v>0</v>
      </c>
      <c r="K18" s="23">
        <v>0</v>
      </c>
      <c r="M18" s="21">
        <v>687500000</v>
      </c>
      <c r="O18" s="21">
        <v>-386492650</v>
      </c>
      <c r="Q18" s="21">
        <v>0</v>
      </c>
      <c r="S18" s="21">
        <v>301007350</v>
      </c>
      <c r="U18" s="23">
        <v>3.5001917977278015E-3</v>
      </c>
    </row>
    <row r="19" spans="1:21" ht="18.75" x14ac:dyDescent="0.45">
      <c r="A19" s="29" t="s">
        <v>27</v>
      </c>
      <c r="C19" s="21">
        <v>0</v>
      </c>
      <c r="E19" s="21">
        <v>-8096537250</v>
      </c>
      <c r="G19" s="21">
        <v>0</v>
      </c>
      <c r="I19" s="21">
        <v>-8096537250</v>
      </c>
      <c r="K19" s="23">
        <v>2.410703067095352E-2</v>
      </c>
      <c r="M19" s="21">
        <v>0</v>
      </c>
      <c r="O19" s="21">
        <v>4771440000</v>
      </c>
      <c r="Q19" s="21">
        <v>14318341343</v>
      </c>
      <c r="S19" s="21">
        <v>19089781343</v>
      </c>
      <c r="U19" s="23">
        <v>0.22198094523999437</v>
      </c>
    </row>
    <row r="20" spans="1:21" ht="18.75" x14ac:dyDescent="0.45">
      <c r="A20" s="29" t="s">
        <v>28</v>
      </c>
      <c r="C20" s="21">
        <v>0</v>
      </c>
      <c r="E20" s="21">
        <v>-4021030771</v>
      </c>
      <c r="G20" s="21">
        <v>2010566412</v>
      </c>
      <c r="I20" s="21">
        <v>-2010464359</v>
      </c>
      <c r="K20" s="23">
        <v>5.986056071720279E-3</v>
      </c>
      <c r="M20" s="21">
        <v>18000000000</v>
      </c>
      <c r="O20" s="21">
        <v>13514011229</v>
      </c>
      <c r="Q20" s="21">
        <v>11280250560</v>
      </c>
      <c r="S20" s="21">
        <v>42794261789</v>
      </c>
      <c r="U20" s="23">
        <v>0.49762281254485674</v>
      </c>
    </row>
    <row r="21" spans="1:21" ht="18.75" x14ac:dyDescent="0.45">
      <c r="A21" s="29" t="s">
        <v>164</v>
      </c>
      <c r="C21" s="21">
        <v>2180218760</v>
      </c>
      <c r="E21" s="21">
        <v>-2501223701</v>
      </c>
      <c r="G21" s="21">
        <v>-1407569280</v>
      </c>
      <c r="I21" s="21">
        <v>-1728574221</v>
      </c>
      <c r="K21" s="23">
        <v>5.1467424253086209E-3</v>
      </c>
      <c r="M21" s="21">
        <v>2180218760</v>
      </c>
      <c r="O21" s="21">
        <v>-2048928789</v>
      </c>
      <c r="Q21" s="21">
        <v>-1405885555</v>
      </c>
      <c r="S21" s="21">
        <v>-1274595584</v>
      </c>
      <c r="U21" s="23">
        <v>-1.4821329142085326E-2</v>
      </c>
    </row>
    <row r="22" spans="1:21" ht="18.75" x14ac:dyDescent="0.45">
      <c r="A22" s="29" t="s">
        <v>30</v>
      </c>
      <c r="C22" s="21">
        <v>0</v>
      </c>
      <c r="E22" s="21">
        <v>396464711</v>
      </c>
      <c r="G22" s="21">
        <v>22858433</v>
      </c>
      <c r="I22" s="21">
        <v>419323144</v>
      </c>
      <c r="K22" s="23">
        <v>-1.2485134794443958E-3</v>
      </c>
      <c r="M22" s="21">
        <v>1524233883</v>
      </c>
      <c r="O22" s="21">
        <v>895469962</v>
      </c>
      <c r="Q22" s="21">
        <v>978903973</v>
      </c>
      <c r="S22" s="21">
        <v>3398607818</v>
      </c>
      <c r="U22" s="23">
        <v>3.9519896136280992E-2</v>
      </c>
    </row>
    <row r="23" spans="1:21" ht="37.5" x14ac:dyDescent="0.45">
      <c r="A23" s="29" t="s">
        <v>31</v>
      </c>
      <c r="C23" s="21">
        <v>0</v>
      </c>
      <c r="E23" s="21">
        <v>-881535848</v>
      </c>
      <c r="G23" s="21">
        <v>0</v>
      </c>
      <c r="I23" s="21">
        <v>-881535848</v>
      </c>
      <c r="K23" s="23">
        <v>2.6247284572526387E-3</v>
      </c>
      <c r="M23" s="21">
        <v>29476195</v>
      </c>
      <c r="O23" s="21">
        <v>-2191700711</v>
      </c>
      <c r="Q23" s="21">
        <v>0</v>
      </c>
      <c r="S23" s="21">
        <v>-2162224516</v>
      </c>
      <c r="U23" s="23">
        <v>-2.5142909353373481E-2</v>
      </c>
    </row>
    <row r="24" spans="1:21" ht="37.5" x14ac:dyDescent="0.45">
      <c r="A24" s="29" t="s">
        <v>32</v>
      </c>
      <c r="C24" s="21">
        <v>0</v>
      </c>
      <c r="E24" s="21">
        <v>-1121996660</v>
      </c>
      <c r="G24" s="21">
        <v>0</v>
      </c>
      <c r="I24" s="21">
        <v>-1121996660</v>
      </c>
      <c r="K24" s="23">
        <v>3.34068837827275E-3</v>
      </c>
      <c r="M24" s="21">
        <v>0</v>
      </c>
      <c r="O24" s="21">
        <v>-1391843958</v>
      </c>
      <c r="Q24" s="21">
        <v>-1173077</v>
      </c>
      <c r="S24" s="21">
        <v>-1393017035</v>
      </c>
      <c r="U24" s="23">
        <v>-1.6198364591436396E-2</v>
      </c>
    </row>
    <row r="25" spans="1:21" ht="37.5" x14ac:dyDescent="0.45">
      <c r="A25" s="29" t="s">
        <v>33</v>
      </c>
      <c r="C25" s="21">
        <v>0</v>
      </c>
      <c r="E25" s="21">
        <v>-91204087</v>
      </c>
      <c r="G25" s="21">
        <v>0</v>
      </c>
      <c r="I25" s="21">
        <v>-91204087</v>
      </c>
      <c r="K25" s="23">
        <v>2.7155556193177686E-4</v>
      </c>
      <c r="M25" s="21">
        <v>0</v>
      </c>
      <c r="O25" s="21">
        <v>54921263</v>
      </c>
      <c r="Q25" s="21">
        <v>0</v>
      </c>
      <c r="S25" s="21">
        <v>54921263</v>
      </c>
      <c r="U25" s="23">
        <v>6.386387384675205E-4</v>
      </c>
    </row>
    <row r="26" spans="1:21" ht="18.75" x14ac:dyDescent="0.45">
      <c r="A26" s="29" t="s">
        <v>34</v>
      </c>
      <c r="C26" s="21">
        <v>0</v>
      </c>
      <c r="E26" s="21">
        <v>-461779846</v>
      </c>
      <c r="G26" s="21">
        <v>-420193779</v>
      </c>
      <c r="I26" s="21">
        <v>-881973625</v>
      </c>
      <c r="K26" s="23">
        <v>2.6260319161561393E-3</v>
      </c>
      <c r="M26" s="21">
        <v>0</v>
      </c>
      <c r="O26" s="21">
        <v>-881094463</v>
      </c>
      <c r="Q26" s="21">
        <v>-420193779</v>
      </c>
      <c r="S26" s="21">
        <v>-1301288242</v>
      </c>
      <c r="U26" s="23">
        <v>-1.5131718315609338E-2</v>
      </c>
    </row>
    <row r="27" spans="1:21" ht="37.5" x14ac:dyDescent="0.45">
      <c r="A27" s="29" t="s">
        <v>35</v>
      </c>
      <c r="C27" s="21">
        <v>0</v>
      </c>
      <c r="E27" s="21">
        <v>-14405429851</v>
      </c>
      <c r="G27" s="21">
        <v>-578711840</v>
      </c>
      <c r="I27" s="21">
        <v>-14984141691</v>
      </c>
      <c r="K27" s="23">
        <v>4.4614524971505608E-2</v>
      </c>
      <c r="M27" s="21">
        <v>10632176000</v>
      </c>
      <c r="O27" s="21">
        <v>-11300811201</v>
      </c>
      <c r="Q27" s="21">
        <v>-578711840</v>
      </c>
      <c r="S27" s="21">
        <v>-1247347041</v>
      </c>
      <c r="U27" s="23">
        <v>-1.4504475993121909E-2</v>
      </c>
    </row>
    <row r="28" spans="1:21" ht="18.75" x14ac:dyDescent="0.45">
      <c r="A28" s="29" t="s">
        <v>36</v>
      </c>
      <c r="C28" s="21">
        <v>0</v>
      </c>
      <c r="E28" s="21">
        <v>-308155500</v>
      </c>
      <c r="G28" s="21">
        <v>0</v>
      </c>
      <c r="I28" s="21">
        <v>-308155500</v>
      </c>
      <c r="K28" s="23">
        <v>9.1751743499025071E-4</v>
      </c>
      <c r="M28" s="21">
        <v>600000000</v>
      </c>
      <c r="O28" s="21">
        <v>-795240000</v>
      </c>
      <c r="Q28" s="21">
        <v>0</v>
      </c>
      <c r="S28" s="21">
        <v>-195240000</v>
      </c>
      <c r="U28" s="23">
        <v>-2.2703015278144403E-3</v>
      </c>
    </row>
    <row r="29" spans="1:21" ht="18.75" x14ac:dyDescent="0.45">
      <c r="A29" s="29" t="s">
        <v>37</v>
      </c>
      <c r="C29" s="21">
        <v>0</v>
      </c>
      <c r="E29" s="21">
        <v>-10062927044</v>
      </c>
      <c r="G29" s="21">
        <v>-18963723</v>
      </c>
      <c r="I29" s="21">
        <v>-10081890767</v>
      </c>
      <c r="K29" s="23">
        <v>3.0018320479075437E-2</v>
      </c>
      <c r="M29" s="21">
        <v>3816783240</v>
      </c>
      <c r="O29" s="21">
        <v>-18884147652</v>
      </c>
      <c r="Q29" s="21">
        <v>-18963723</v>
      </c>
      <c r="S29" s="21">
        <v>-15086328135</v>
      </c>
      <c r="U29" s="23">
        <v>-0.17542774950829992</v>
      </c>
    </row>
    <row r="30" spans="1:21" ht="18.75" x14ac:dyDescent="0.45">
      <c r="A30" s="29" t="s">
        <v>38</v>
      </c>
      <c r="C30" s="21">
        <v>0</v>
      </c>
      <c r="E30" s="21">
        <v>-1067152904</v>
      </c>
      <c r="G30" s="21">
        <v>-2282345310</v>
      </c>
      <c r="I30" s="21">
        <v>-3349498214</v>
      </c>
      <c r="K30" s="23">
        <v>9.9729617346232848E-3</v>
      </c>
      <c r="M30" s="21">
        <v>0</v>
      </c>
      <c r="O30" s="21">
        <v>-7478562439</v>
      </c>
      <c r="Q30" s="21">
        <v>-2282345310</v>
      </c>
      <c r="S30" s="21">
        <v>-9760907749</v>
      </c>
      <c r="U30" s="23">
        <v>-0.11350237541185469</v>
      </c>
    </row>
    <row r="31" spans="1:21" ht="18.75" x14ac:dyDescent="0.45">
      <c r="A31" s="29" t="s">
        <v>39</v>
      </c>
      <c r="C31" s="21">
        <v>0</v>
      </c>
      <c r="E31" s="21">
        <v>153604692</v>
      </c>
      <c r="G31" s="21">
        <v>-561902033</v>
      </c>
      <c r="I31" s="21">
        <v>-408297341</v>
      </c>
      <c r="K31" s="23">
        <v>1.2156847079726298E-3</v>
      </c>
      <c r="M31" s="21">
        <v>544518100</v>
      </c>
      <c r="O31" s="21">
        <v>0</v>
      </c>
      <c r="Q31" s="21">
        <v>12911884679</v>
      </c>
      <c r="S31" s="21">
        <v>13456402779</v>
      </c>
      <c r="U31" s="23">
        <v>0.15647455330900523</v>
      </c>
    </row>
    <row r="32" spans="1:21" ht="18.75" x14ac:dyDescent="0.45">
      <c r="A32" s="29" t="s">
        <v>40</v>
      </c>
      <c r="C32" s="21">
        <v>0</v>
      </c>
      <c r="E32" s="21">
        <v>-3402850221</v>
      </c>
      <c r="G32" s="21">
        <v>0</v>
      </c>
      <c r="I32" s="21">
        <v>-3402850221</v>
      </c>
      <c r="K32" s="23">
        <v>1.0131814640426434E-2</v>
      </c>
      <c r="M32" s="21">
        <v>14908718125</v>
      </c>
      <c r="O32" s="21">
        <v>11651524000</v>
      </c>
      <c r="Q32" s="21">
        <v>0</v>
      </c>
      <c r="S32" s="21">
        <v>26560242125</v>
      </c>
      <c r="U32" s="23">
        <v>0.30884940727058469</v>
      </c>
    </row>
    <row r="33" spans="1:21" ht="37.5" x14ac:dyDescent="0.45">
      <c r="A33" s="29" t="s">
        <v>41</v>
      </c>
      <c r="C33" s="21">
        <v>293697600</v>
      </c>
      <c r="E33" s="21">
        <v>-2269797169</v>
      </c>
      <c r="G33" s="21">
        <v>909400292</v>
      </c>
      <c r="I33" s="21">
        <v>-1066699277</v>
      </c>
      <c r="K33" s="23">
        <v>3.1760432136989114E-3</v>
      </c>
      <c r="M33" s="21">
        <v>293697600</v>
      </c>
      <c r="O33" s="21">
        <v>249374043</v>
      </c>
      <c r="Q33" s="21">
        <v>909400292</v>
      </c>
      <c r="S33" s="21">
        <v>1452471935</v>
      </c>
      <c r="U33" s="23">
        <v>1.6889721640740096E-2</v>
      </c>
    </row>
    <row r="34" spans="1:21" ht="18.75" x14ac:dyDescent="0.45">
      <c r="A34" s="29" t="s">
        <v>42</v>
      </c>
      <c r="C34" s="21">
        <v>3073492300</v>
      </c>
      <c r="E34" s="21">
        <v>-12041803082</v>
      </c>
      <c r="G34" s="21">
        <v>-496592323</v>
      </c>
      <c r="I34" s="21">
        <v>-9464903105</v>
      </c>
      <c r="K34" s="23">
        <v>2.8181270882171042E-2</v>
      </c>
      <c r="M34" s="21">
        <v>3073492300</v>
      </c>
      <c r="O34" s="21">
        <v>-13490416242</v>
      </c>
      <c r="Q34" s="21">
        <v>-496592323</v>
      </c>
      <c r="S34" s="21">
        <v>-10913516265</v>
      </c>
      <c r="U34" s="23">
        <v>-0.12690520718222315</v>
      </c>
    </row>
    <row r="35" spans="1:21" ht="18.75" x14ac:dyDescent="0.45">
      <c r="A35" s="29" t="s">
        <v>43</v>
      </c>
      <c r="C35" s="21">
        <v>0</v>
      </c>
      <c r="E35" s="21">
        <v>-10228689472</v>
      </c>
      <c r="G35" s="21">
        <v>-967531433</v>
      </c>
      <c r="I35" s="21">
        <v>-11196220905</v>
      </c>
      <c r="K35" s="23">
        <v>3.3336182175362189E-2</v>
      </c>
      <c r="M35" s="21">
        <v>1113775480</v>
      </c>
      <c r="O35" s="21">
        <v>-16013540468</v>
      </c>
      <c r="Q35" s="21">
        <v>-967531433</v>
      </c>
      <c r="S35" s="21">
        <v>-15867296421</v>
      </c>
      <c r="U35" s="23">
        <v>-0.18450905197132197</v>
      </c>
    </row>
    <row r="36" spans="1:21" ht="18.75" x14ac:dyDescent="0.45">
      <c r="A36" s="29" t="s">
        <v>44</v>
      </c>
      <c r="C36" s="21">
        <v>0</v>
      </c>
      <c r="E36" s="21">
        <v>-4139401597</v>
      </c>
      <c r="G36" s="21">
        <v>-2300518005</v>
      </c>
      <c r="I36" s="21">
        <v>-6439919602</v>
      </c>
      <c r="K36" s="23">
        <v>1.9174535306916398E-2</v>
      </c>
      <c r="M36" s="21">
        <v>4034657942</v>
      </c>
      <c r="O36" s="21">
        <v>-9192603606</v>
      </c>
      <c r="Q36" s="21">
        <v>-2300518005</v>
      </c>
      <c r="S36" s="21">
        <v>-7458463669</v>
      </c>
      <c r="U36" s="23">
        <v>-8.6728956478586333E-2</v>
      </c>
    </row>
    <row r="37" spans="1:21" ht="18.75" x14ac:dyDescent="0.45">
      <c r="A37" s="29" t="s">
        <v>45</v>
      </c>
      <c r="C37" s="21">
        <v>0</v>
      </c>
      <c r="E37" s="21">
        <v>438486460</v>
      </c>
      <c r="G37" s="21">
        <v>-2912771308</v>
      </c>
      <c r="I37" s="21">
        <v>-2474284848</v>
      </c>
      <c r="K37" s="23">
        <v>7.3670581481498857E-3</v>
      </c>
      <c r="M37" s="21">
        <v>1169457258</v>
      </c>
      <c r="O37" s="21">
        <v>0</v>
      </c>
      <c r="Q37" s="21">
        <v>-2912771308</v>
      </c>
      <c r="S37" s="21">
        <v>-1743314050</v>
      </c>
      <c r="U37" s="23">
        <v>-2.027170944056228E-2</v>
      </c>
    </row>
    <row r="38" spans="1:21" ht="18.75" x14ac:dyDescent="0.45">
      <c r="A38" s="29" t="s">
        <v>46</v>
      </c>
      <c r="C38" s="21">
        <v>0</v>
      </c>
      <c r="E38" s="21">
        <v>-1527806477</v>
      </c>
      <c r="G38" s="21">
        <v>-693215333</v>
      </c>
      <c r="I38" s="21">
        <v>-2221021810</v>
      </c>
      <c r="K38" s="23">
        <v>6.6129802459102757E-3</v>
      </c>
      <c r="M38" s="21">
        <v>0</v>
      </c>
      <c r="O38" s="21">
        <v>3006949557</v>
      </c>
      <c r="Q38" s="21">
        <v>124525678</v>
      </c>
      <c r="S38" s="21">
        <v>3131475235</v>
      </c>
      <c r="U38" s="23">
        <v>3.6413608944548162E-2</v>
      </c>
    </row>
    <row r="39" spans="1:21" ht="37.5" x14ac:dyDescent="0.45">
      <c r="A39" s="29" t="s">
        <v>47</v>
      </c>
      <c r="C39" s="21">
        <v>0</v>
      </c>
      <c r="E39" s="21">
        <v>-348911550</v>
      </c>
      <c r="G39" s="21">
        <v>0</v>
      </c>
      <c r="I39" s="21">
        <v>-348911550</v>
      </c>
      <c r="K39" s="23">
        <v>1.0388665151018644E-3</v>
      </c>
      <c r="M39" s="21">
        <v>0</v>
      </c>
      <c r="O39" s="21">
        <v>-404978886</v>
      </c>
      <c r="Q39" s="21">
        <v>564732799</v>
      </c>
      <c r="S39" s="21">
        <v>159753913</v>
      </c>
      <c r="U39" s="23">
        <v>1.8576600735414628E-3</v>
      </c>
    </row>
    <row r="40" spans="1:21" ht="18.75" x14ac:dyDescent="0.45">
      <c r="A40" s="29" t="s">
        <v>48</v>
      </c>
      <c r="C40" s="21">
        <v>0</v>
      </c>
      <c r="E40" s="21">
        <v>-15484132842</v>
      </c>
      <c r="G40" s="21">
        <v>3747512487</v>
      </c>
      <c r="I40" s="21">
        <v>-11736620355</v>
      </c>
      <c r="K40" s="23">
        <v>3.4945194239836594E-2</v>
      </c>
      <c r="M40" s="21">
        <v>8079063930</v>
      </c>
      <c r="O40" s="21">
        <v>0</v>
      </c>
      <c r="Q40" s="21">
        <v>3747512487</v>
      </c>
      <c r="S40" s="21">
        <v>11826576417</v>
      </c>
      <c r="U40" s="23">
        <v>0.13752250823770401</v>
      </c>
    </row>
    <row r="41" spans="1:21" ht="18.75" x14ac:dyDescent="0.45">
      <c r="A41" s="29" t="s">
        <v>49</v>
      </c>
      <c r="C41" s="21">
        <v>0</v>
      </c>
      <c r="E41" s="21">
        <v>-1811497136</v>
      </c>
      <c r="G41" s="21">
        <v>211040316</v>
      </c>
      <c r="I41" s="21">
        <v>-1600456820</v>
      </c>
      <c r="K41" s="23">
        <v>4.7652793355921061E-3</v>
      </c>
      <c r="M41" s="21">
        <v>1450000000</v>
      </c>
      <c r="O41" s="21">
        <v>1279998364</v>
      </c>
      <c r="Q41" s="21">
        <v>211040316</v>
      </c>
      <c r="S41" s="21">
        <v>2941038680</v>
      </c>
      <c r="U41" s="23">
        <v>3.4199163125206745E-2</v>
      </c>
    </row>
    <row r="42" spans="1:21" ht="18.75" x14ac:dyDescent="0.45">
      <c r="A42" s="29" t="s">
        <v>50</v>
      </c>
      <c r="C42" s="21">
        <v>0</v>
      </c>
      <c r="E42" s="21">
        <v>-11764986288</v>
      </c>
      <c r="G42" s="21">
        <v>0</v>
      </c>
      <c r="I42" s="21">
        <v>-11764986288</v>
      </c>
      <c r="K42" s="23">
        <v>3.5029652372458808E-2</v>
      </c>
      <c r="M42" s="21">
        <v>5807092200</v>
      </c>
      <c r="O42" s="21">
        <v>-4178219430</v>
      </c>
      <c r="Q42" s="21">
        <v>9408094071</v>
      </c>
      <c r="S42" s="21">
        <v>11036966841</v>
      </c>
      <c r="U42" s="23">
        <v>0.12834072260581653</v>
      </c>
    </row>
    <row r="43" spans="1:21" ht="18.75" x14ac:dyDescent="0.45">
      <c r="A43" s="29" t="s">
        <v>51</v>
      </c>
      <c r="C43" s="21">
        <v>0</v>
      </c>
      <c r="E43" s="21">
        <v>-8312938277</v>
      </c>
      <c r="G43" s="21">
        <v>17777840</v>
      </c>
      <c r="I43" s="21">
        <v>-8295160437</v>
      </c>
      <c r="K43" s="23">
        <v>2.4698421176934524E-2</v>
      </c>
      <c r="M43" s="21">
        <v>6240576192</v>
      </c>
      <c r="O43" s="21">
        <v>-1913473882</v>
      </c>
      <c r="Q43" s="21">
        <v>702986259</v>
      </c>
      <c r="S43" s="21">
        <v>5030088569</v>
      </c>
      <c r="U43" s="23">
        <v>5.8491178873400183E-2</v>
      </c>
    </row>
    <row r="44" spans="1:21" ht="18.75" x14ac:dyDescent="0.45">
      <c r="A44" s="29" t="s">
        <v>52</v>
      </c>
      <c r="C44" s="21">
        <v>0</v>
      </c>
      <c r="E44" s="21">
        <v>-15127452900</v>
      </c>
      <c r="G44" s="21">
        <v>3102813000</v>
      </c>
      <c r="I44" s="21">
        <v>-12024639900</v>
      </c>
      <c r="K44" s="23">
        <v>3.580275788596804E-2</v>
      </c>
      <c r="M44" s="21">
        <v>0</v>
      </c>
      <c r="O44" s="21">
        <v>11868957000</v>
      </c>
      <c r="Q44" s="21">
        <v>14180301310</v>
      </c>
      <c r="S44" s="21">
        <v>26049258310</v>
      </c>
      <c r="U44" s="23">
        <v>0.30290755449511375</v>
      </c>
    </row>
    <row r="45" spans="1:21" ht="18.75" x14ac:dyDescent="0.45">
      <c r="A45" s="29" t="s">
        <v>53</v>
      </c>
      <c r="C45" s="21">
        <v>0</v>
      </c>
      <c r="E45" s="21">
        <v>-1129240800</v>
      </c>
      <c r="G45" s="21">
        <v>627471740</v>
      </c>
      <c r="I45" s="21">
        <v>-501769060</v>
      </c>
      <c r="K45" s="23">
        <v>1.4939920296365608E-3</v>
      </c>
      <c r="M45" s="21">
        <v>0</v>
      </c>
      <c r="O45" s="21">
        <v>0</v>
      </c>
      <c r="Q45" s="21">
        <v>627471740</v>
      </c>
      <c r="S45" s="21">
        <v>627471740</v>
      </c>
      <c r="U45" s="23">
        <v>7.2964046813275216E-3</v>
      </c>
    </row>
    <row r="46" spans="1:21" ht="18.75" x14ac:dyDescent="0.45">
      <c r="A46" s="29" t="s">
        <v>215</v>
      </c>
      <c r="C46" s="21">
        <v>94482130</v>
      </c>
      <c r="E46" s="21">
        <v>-901631629</v>
      </c>
      <c r="G46" s="21">
        <v>0</v>
      </c>
      <c r="I46" s="21">
        <v>-807149499</v>
      </c>
      <c r="K46" s="23">
        <v>2.4032468606795788E-3</v>
      </c>
      <c r="M46" s="21">
        <v>94482130</v>
      </c>
      <c r="O46" s="21">
        <v>-1164607521</v>
      </c>
      <c r="Q46" s="21">
        <v>0</v>
      </c>
      <c r="S46" s="21">
        <v>-1070125391</v>
      </c>
      <c r="U46" s="23">
        <v>-1.2443696528069686E-2</v>
      </c>
    </row>
    <row r="47" spans="1:21" ht="18.75" x14ac:dyDescent="0.45">
      <c r="A47" s="29" t="s">
        <v>54</v>
      </c>
      <c r="C47" s="21">
        <v>0</v>
      </c>
      <c r="E47" s="21">
        <v>-3054106967</v>
      </c>
      <c r="G47" s="21">
        <v>-1031132540</v>
      </c>
      <c r="I47" s="21">
        <v>-4085239507</v>
      </c>
      <c r="K47" s="23">
        <v>1.2163594269073491E-2</v>
      </c>
      <c r="M47" s="21">
        <v>0</v>
      </c>
      <c r="O47" s="21">
        <v>-5207773037</v>
      </c>
      <c r="Q47" s="21">
        <v>1890798499</v>
      </c>
      <c r="S47" s="21">
        <v>-3316974538</v>
      </c>
      <c r="U47" s="23">
        <v>-3.8570643112799619E-2</v>
      </c>
    </row>
    <row r="48" spans="1:21" ht="18.75" x14ac:dyDescent="0.45">
      <c r="A48" s="29" t="s">
        <v>55</v>
      </c>
      <c r="C48" s="21">
        <v>0</v>
      </c>
      <c r="E48" s="21">
        <v>-772885218</v>
      </c>
      <c r="G48" s="21">
        <v>-21602322</v>
      </c>
      <c r="I48" s="21">
        <v>-794487540</v>
      </c>
      <c r="K48" s="23">
        <v>2.3655465173670898E-3</v>
      </c>
      <c r="M48" s="21">
        <v>0</v>
      </c>
      <c r="O48" s="21">
        <v>-1565786556</v>
      </c>
      <c r="Q48" s="21">
        <v>-21602322</v>
      </c>
      <c r="S48" s="21">
        <v>-1587388878</v>
      </c>
      <c r="U48" s="23">
        <v>-1.8458570963732074E-2</v>
      </c>
    </row>
    <row r="49" spans="1:21" ht="18.75" x14ac:dyDescent="0.45">
      <c r="A49" s="29" t="s">
        <v>57</v>
      </c>
      <c r="C49" s="21">
        <v>0</v>
      </c>
      <c r="E49" s="21">
        <v>12529452946</v>
      </c>
      <c r="G49" s="21">
        <v>-14873095043</v>
      </c>
      <c r="I49" s="21">
        <v>-2343642097</v>
      </c>
      <c r="K49" s="23">
        <v>6.978075956374662E-3</v>
      </c>
      <c r="M49" s="21">
        <v>5683165600</v>
      </c>
      <c r="O49" s="21">
        <v>0</v>
      </c>
      <c r="Q49" s="21">
        <v>-14873095043</v>
      </c>
      <c r="S49" s="21">
        <v>-9189929443</v>
      </c>
      <c r="U49" s="23">
        <v>-0.10686289108251285</v>
      </c>
    </row>
    <row r="50" spans="1:21" ht="18.75" x14ac:dyDescent="0.45">
      <c r="A50" s="29" t="s">
        <v>58</v>
      </c>
      <c r="C50" s="21">
        <v>29499528</v>
      </c>
      <c r="E50" s="21">
        <v>-253478694</v>
      </c>
      <c r="G50" s="21">
        <v>0</v>
      </c>
      <c r="I50" s="21">
        <v>-223979166</v>
      </c>
      <c r="K50" s="23">
        <v>6.6688665261394183E-4</v>
      </c>
      <c r="M50" s="21">
        <v>29499528</v>
      </c>
      <c r="O50" s="21">
        <v>-241053268</v>
      </c>
      <c r="Q50" s="21">
        <v>0</v>
      </c>
      <c r="S50" s="21">
        <v>-211553740</v>
      </c>
      <c r="U50" s="23">
        <v>-2.4600019419015514E-3</v>
      </c>
    </row>
    <row r="51" spans="1:21" ht="18.75" x14ac:dyDescent="0.45">
      <c r="A51" s="29" t="s">
        <v>59</v>
      </c>
      <c r="C51" s="21">
        <v>0</v>
      </c>
      <c r="E51" s="21">
        <v>-959518980</v>
      </c>
      <c r="G51" s="21">
        <v>222766155</v>
      </c>
      <c r="I51" s="21">
        <v>-736752825</v>
      </c>
      <c r="K51" s="23">
        <v>2.1936443198833739E-3</v>
      </c>
      <c r="M51" s="21">
        <v>1080000000</v>
      </c>
      <c r="O51" s="21">
        <v>179428500</v>
      </c>
      <c r="Q51" s="21">
        <v>306487125</v>
      </c>
      <c r="S51" s="21">
        <v>1565915625</v>
      </c>
      <c r="U51" s="23">
        <v>1.820887438980744E-2</v>
      </c>
    </row>
    <row r="52" spans="1:21" ht="18.75" x14ac:dyDescent="0.45">
      <c r="A52" s="29" t="s">
        <v>60</v>
      </c>
      <c r="C52" s="21">
        <v>6902065990</v>
      </c>
      <c r="E52" s="21">
        <v>-17153316024</v>
      </c>
      <c r="G52" s="21">
        <v>-725076928</v>
      </c>
      <c r="I52" s="21">
        <v>-10976326962</v>
      </c>
      <c r="K52" s="23">
        <v>3.2681459067868561E-2</v>
      </c>
      <c r="M52" s="21">
        <v>6902065990</v>
      </c>
      <c r="O52" s="21">
        <v>-29724436219</v>
      </c>
      <c r="Q52" s="21">
        <v>-682875098</v>
      </c>
      <c r="S52" s="21">
        <v>-23505245327</v>
      </c>
      <c r="U52" s="23">
        <v>-0.27332510949365568</v>
      </c>
    </row>
    <row r="53" spans="1:21" ht="18.75" x14ac:dyDescent="0.45">
      <c r="A53" s="29" t="s">
        <v>61</v>
      </c>
      <c r="C53" s="21">
        <v>0</v>
      </c>
      <c r="E53" s="21">
        <v>-23008754841</v>
      </c>
      <c r="G53" s="21">
        <v>-1205829544</v>
      </c>
      <c r="I53" s="21">
        <v>-24214584385</v>
      </c>
      <c r="K53" s="23">
        <v>7.2097701823527982E-2</v>
      </c>
      <c r="M53" s="21">
        <v>13820455220</v>
      </c>
      <c r="O53" s="21">
        <v>-12237334693</v>
      </c>
      <c r="Q53" s="21">
        <v>-1205829544</v>
      </c>
      <c r="S53" s="21">
        <v>377290983</v>
      </c>
      <c r="U53" s="23">
        <v>4.3872377337405861E-3</v>
      </c>
    </row>
    <row r="54" spans="1:21" ht="18.75" x14ac:dyDescent="0.45">
      <c r="A54" s="29" t="s">
        <v>62</v>
      </c>
      <c r="C54" s="21">
        <v>0</v>
      </c>
      <c r="E54" s="21">
        <v>-5890073920</v>
      </c>
      <c r="G54" s="21">
        <v>-1659955740</v>
      </c>
      <c r="I54" s="21">
        <v>-7550029660</v>
      </c>
      <c r="K54" s="23">
        <v>2.2479831928177541E-2</v>
      </c>
      <c r="M54" s="21">
        <v>7010721000</v>
      </c>
      <c r="O54" s="21">
        <v>-18963931446</v>
      </c>
      <c r="Q54" s="21">
        <v>-1659955740</v>
      </c>
      <c r="S54" s="21">
        <v>-13613166186</v>
      </c>
      <c r="U54" s="23">
        <v>-0.15829743900055152</v>
      </c>
    </row>
    <row r="55" spans="1:21" ht="18.75" x14ac:dyDescent="0.45">
      <c r="A55" s="29" t="s">
        <v>63</v>
      </c>
      <c r="C55" s="21">
        <v>0</v>
      </c>
      <c r="E55" s="21">
        <v>582078648</v>
      </c>
      <c r="G55" s="21">
        <v>-1158523048</v>
      </c>
      <c r="I55" s="21">
        <v>-576444400</v>
      </c>
      <c r="K55" s="23">
        <v>1.7163340823139423E-3</v>
      </c>
      <c r="M55" s="21">
        <v>584000000</v>
      </c>
      <c r="O55" s="21">
        <v>0</v>
      </c>
      <c r="Q55" s="21">
        <v>-1158523048</v>
      </c>
      <c r="S55" s="21">
        <v>-574523048</v>
      </c>
      <c r="U55" s="23">
        <v>-6.6807035117752971E-3</v>
      </c>
    </row>
    <row r="56" spans="1:21" ht="18.75" x14ac:dyDescent="0.45">
      <c r="A56" s="29" t="s">
        <v>64</v>
      </c>
      <c r="C56" s="21">
        <v>100000000</v>
      </c>
      <c r="E56" s="21">
        <v>-11928600</v>
      </c>
      <c r="G56" s="21">
        <v>-169057300</v>
      </c>
      <c r="I56" s="21">
        <v>-80985900</v>
      </c>
      <c r="K56" s="23">
        <v>2.411314263038529E-4</v>
      </c>
      <c r="M56" s="21">
        <v>100000000</v>
      </c>
      <c r="O56" s="21">
        <v>0</v>
      </c>
      <c r="Q56" s="21">
        <v>-169057300</v>
      </c>
      <c r="S56" s="21">
        <v>-69057300</v>
      </c>
      <c r="U56" s="23">
        <v>-8.0301625536129964E-4</v>
      </c>
    </row>
    <row r="57" spans="1:21" ht="18.75" x14ac:dyDescent="0.45">
      <c r="A57" s="29" t="s">
        <v>65</v>
      </c>
      <c r="C57" s="21">
        <v>0</v>
      </c>
      <c r="E57" s="21">
        <v>-1521915734</v>
      </c>
      <c r="G57" s="21">
        <v>0</v>
      </c>
      <c r="I57" s="21">
        <v>-1521915734</v>
      </c>
      <c r="K57" s="23">
        <v>4.5314272194751821E-3</v>
      </c>
      <c r="M57" s="21">
        <v>3292527600</v>
      </c>
      <c r="O57" s="21">
        <v>5032140731</v>
      </c>
      <c r="Q57" s="21">
        <v>0</v>
      </c>
      <c r="S57" s="21">
        <v>8324668331</v>
      </c>
      <c r="U57" s="23">
        <v>9.6801409703020827E-2</v>
      </c>
    </row>
    <row r="58" spans="1:21" ht="18.75" x14ac:dyDescent="0.45">
      <c r="A58" s="29" t="s">
        <v>66</v>
      </c>
      <c r="C58" s="21">
        <v>0</v>
      </c>
      <c r="E58" s="21">
        <v>-2015086910</v>
      </c>
      <c r="G58" s="21">
        <v>0</v>
      </c>
      <c r="I58" s="21">
        <v>-2015086910</v>
      </c>
      <c r="K58" s="23">
        <v>5.9998194838178451E-3</v>
      </c>
      <c r="M58" s="21">
        <v>4379641700</v>
      </c>
      <c r="O58" s="21">
        <v>-5908433843</v>
      </c>
      <c r="Q58" s="21">
        <v>0</v>
      </c>
      <c r="S58" s="21">
        <v>-1528792143</v>
      </c>
      <c r="U58" s="23">
        <v>-1.7777192880370888E-2</v>
      </c>
    </row>
    <row r="59" spans="1:21" ht="18.75" x14ac:dyDescent="0.45">
      <c r="A59" s="29" t="s">
        <v>67</v>
      </c>
      <c r="C59" s="21">
        <v>228464012</v>
      </c>
      <c r="E59" s="21">
        <v>-1633894836</v>
      </c>
      <c r="G59" s="21">
        <v>-519874130</v>
      </c>
      <c r="I59" s="21">
        <v>-1925304954</v>
      </c>
      <c r="K59" s="23">
        <v>5.7324982451006151E-3</v>
      </c>
      <c r="M59" s="21">
        <v>228464012</v>
      </c>
      <c r="O59" s="21">
        <v>-1735950621</v>
      </c>
      <c r="Q59" s="21">
        <v>-519874130</v>
      </c>
      <c r="S59" s="21">
        <v>-2027360739</v>
      </c>
      <c r="U59" s="23">
        <v>-2.3574678258465032E-2</v>
      </c>
    </row>
    <row r="60" spans="1:21" ht="18.75" x14ac:dyDescent="0.45">
      <c r="A60" s="29" t="s">
        <v>68</v>
      </c>
      <c r="C60" s="21">
        <v>0</v>
      </c>
      <c r="E60" s="21">
        <v>-20719978932</v>
      </c>
      <c r="G60" s="21">
        <v>0</v>
      </c>
      <c r="I60" s="21">
        <v>-20719978932</v>
      </c>
      <c r="K60" s="23">
        <v>6.1692690614772977E-2</v>
      </c>
      <c r="M60" s="21">
        <v>13040000000</v>
      </c>
      <c r="O60" s="21">
        <v>-15048923682</v>
      </c>
      <c r="Q60" s="21">
        <v>3712932513</v>
      </c>
      <c r="S60" s="21">
        <v>1704008831</v>
      </c>
      <c r="U60" s="23">
        <v>1.981465812553062E-2</v>
      </c>
    </row>
    <row r="61" spans="1:21" ht="18.75" x14ac:dyDescent="0.45">
      <c r="A61" s="29" t="s">
        <v>70</v>
      </c>
      <c r="C61" s="21">
        <v>0</v>
      </c>
      <c r="E61" s="21">
        <v>161736269</v>
      </c>
      <c r="G61" s="21">
        <v>-175801480</v>
      </c>
      <c r="I61" s="21">
        <v>-14065211</v>
      </c>
      <c r="K61" s="23">
        <v>4.1878455258194832E-5</v>
      </c>
      <c r="M61" s="21">
        <v>58108700</v>
      </c>
      <c r="O61" s="21">
        <v>0</v>
      </c>
      <c r="Q61" s="21">
        <v>-1044938080</v>
      </c>
      <c r="S61" s="21">
        <v>-986829380</v>
      </c>
      <c r="U61" s="23">
        <v>-1.1475108835823483E-2</v>
      </c>
    </row>
    <row r="62" spans="1:21" ht="18.75" x14ac:dyDescent="0.45">
      <c r="A62" s="29" t="s">
        <v>71</v>
      </c>
      <c r="C62" s="21">
        <v>0</v>
      </c>
      <c r="E62" s="21">
        <v>-2267650594</v>
      </c>
      <c r="G62" s="21">
        <v>-1107098171</v>
      </c>
      <c r="I62" s="21">
        <v>-3374748765</v>
      </c>
      <c r="K62" s="23">
        <v>1.0048143974711845E-2</v>
      </c>
      <c r="M62" s="21">
        <v>2863622210</v>
      </c>
      <c r="O62" s="21">
        <v>-9359049650</v>
      </c>
      <c r="Q62" s="21">
        <v>-1107098171</v>
      </c>
      <c r="S62" s="21">
        <v>-7602525611</v>
      </c>
      <c r="U62" s="23">
        <v>-8.8404146229777256E-2</v>
      </c>
    </row>
    <row r="63" spans="1:21" ht="18.75" x14ac:dyDescent="0.45">
      <c r="A63" s="29" t="s">
        <v>72</v>
      </c>
      <c r="C63" s="21">
        <v>0</v>
      </c>
      <c r="E63" s="21">
        <v>-171473625</v>
      </c>
      <c r="G63" s="21">
        <v>0</v>
      </c>
      <c r="I63" s="21">
        <v>-171473625</v>
      </c>
      <c r="K63" s="23">
        <v>5.1055405656715556E-4</v>
      </c>
      <c r="M63" s="21">
        <v>370000000</v>
      </c>
      <c r="O63" s="21">
        <v>-877249125</v>
      </c>
      <c r="Q63" s="21">
        <v>0</v>
      </c>
      <c r="S63" s="21">
        <v>-507249125</v>
      </c>
      <c r="U63" s="23">
        <v>-5.8984248282628457E-3</v>
      </c>
    </row>
    <row r="64" spans="1:21" ht="18.75" x14ac:dyDescent="0.45">
      <c r="A64" s="29" t="s">
        <v>73</v>
      </c>
      <c r="C64" s="21">
        <v>22120000000</v>
      </c>
      <c r="E64" s="21">
        <v>-39893214600</v>
      </c>
      <c r="G64" s="21">
        <v>0</v>
      </c>
      <c r="I64" s="21">
        <v>-17773214600</v>
      </c>
      <c r="K64" s="23">
        <v>5.2918848669984066E-2</v>
      </c>
      <c r="M64" s="21">
        <v>22120000000</v>
      </c>
      <c r="O64" s="21">
        <v>-51515647200</v>
      </c>
      <c r="Q64" s="21">
        <v>657310500</v>
      </c>
      <c r="S64" s="21">
        <v>-28738336700</v>
      </c>
      <c r="U64" s="23">
        <v>-0.33417685779991702</v>
      </c>
    </row>
    <row r="65" spans="1:21" ht="18.75" x14ac:dyDescent="0.45">
      <c r="A65" s="29" t="s">
        <v>74</v>
      </c>
      <c r="C65" s="21">
        <v>0</v>
      </c>
      <c r="E65" s="21">
        <v>-4960590788</v>
      </c>
      <c r="G65" s="21">
        <v>5937103</v>
      </c>
      <c r="I65" s="21">
        <v>-4954653685</v>
      </c>
      <c r="K65" s="23">
        <v>1.475223106621882E-2</v>
      </c>
      <c r="M65" s="21">
        <v>2334080700</v>
      </c>
      <c r="O65" s="21">
        <v>-1626142106</v>
      </c>
      <c r="Q65" s="21">
        <v>1921940403</v>
      </c>
      <c r="S65" s="21">
        <v>2629878997</v>
      </c>
      <c r="U65" s="23">
        <v>3.0580917357386848E-2</v>
      </c>
    </row>
    <row r="66" spans="1:21" ht="18.75" x14ac:dyDescent="0.45">
      <c r="A66" s="29" t="s">
        <v>75</v>
      </c>
      <c r="C66" s="21">
        <v>0</v>
      </c>
      <c r="E66" s="21">
        <v>-169583203</v>
      </c>
      <c r="G66" s="21">
        <v>296351474</v>
      </c>
      <c r="I66" s="21">
        <v>126768271</v>
      </c>
      <c r="K66" s="23">
        <v>-3.7744612329187365E-4</v>
      </c>
      <c r="M66" s="21">
        <v>1959126860</v>
      </c>
      <c r="O66" s="21">
        <v>3038617466</v>
      </c>
      <c r="Q66" s="21">
        <v>296351474</v>
      </c>
      <c r="S66" s="21">
        <v>5294095800</v>
      </c>
      <c r="U66" s="23">
        <v>6.1561123658758508E-2</v>
      </c>
    </row>
    <row r="67" spans="1:21" ht="18.75" x14ac:dyDescent="0.45">
      <c r="A67" s="29" t="s">
        <v>76</v>
      </c>
      <c r="C67" s="21">
        <v>0</v>
      </c>
      <c r="E67" s="21">
        <v>-12925769587</v>
      </c>
      <c r="G67" s="21">
        <v>0</v>
      </c>
      <c r="I67" s="21">
        <v>-12925769587</v>
      </c>
      <c r="K67" s="23">
        <v>3.8485826009074089E-2</v>
      </c>
      <c r="M67" s="21">
        <v>0</v>
      </c>
      <c r="O67" s="21">
        <v>2457815491</v>
      </c>
      <c r="Q67" s="21">
        <v>360553050</v>
      </c>
      <c r="S67" s="21">
        <v>2818368541</v>
      </c>
      <c r="U67" s="23">
        <v>3.2772722826144518E-2</v>
      </c>
    </row>
    <row r="68" spans="1:21" ht="18.75" x14ac:dyDescent="0.45">
      <c r="A68" s="29" t="s">
        <v>77</v>
      </c>
      <c r="C68" s="21">
        <v>0</v>
      </c>
      <c r="E68" s="21">
        <v>4706837804</v>
      </c>
      <c r="G68" s="21">
        <v>-11695515374</v>
      </c>
      <c r="I68" s="21">
        <v>-6988677570</v>
      </c>
      <c r="K68" s="23">
        <v>2.0808434436511106E-2</v>
      </c>
      <c r="M68" s="21">
        <v>3140568600</v>
      </c>
      <c r="O68" s="21">
        <v>0</v>
      </c>
      <c r="Q68" s="21">
        <v>-10727845278</v>
      </c>
      <c r="S68" s="21">
        <v>-7587276678</v>
      </c>
      <c r="U68" s="23">
        <v>-8.8226827668583654E-2</v>
      </c>
    </row>
    <row r="69" spans="1:21" ht="18.75" x14ac:dyDescent="0.45">
      <c r="A69" s="29" t="s">
        <v>78</v>
      </c>
      <c r="C69" s="21">
        <v>3295057660</v>
      </c>
      <c r="E69" s="21">
        <v>-10574871913</v>
      </c>
      <c r="G69" s="21">
        <v>352027091</v>
      </c>
      <c r="I69" s="21">
        <v>-6927787162</v>
      </c>
      <c r="K69" s="23">
        <v>2.0627136322527516E-2</v>
      </c>
      <c r="M69" s="21">
        <v>3295057660</v>
      </c>
      <c r="O69" s="21">
        <v>-1014591250</v>
      </c>
      <c r="Q69" s="21">
        <v>352027091</v>
      </c>
      <c r="S69" s="21">
        <v>2632493501</v>
      </c>
      <c r="U69" s="23">
        <v>3.0611319490278042E-2</v>
      </c>
    </row>
    <row r="70" spans="1:21" ht="37.5" x14ac:dyDescent="0.45">
      <c r="A70" s="29" t="s">
        <v>79</v>
      </c>
      <c r="C70" s="21">
        <v>505400000</v>
      </c>
      <c r="E70" s="21">
        <v>-1983129750</v>
      </c>
      <c r="G70" s="21">
        <v>0</v>
      </c>
      <c r="I70" s="21">
        <v>-1477729750</v>
      </c>
      <c r="K70" s="23">
        <v>4.399865684139288E-3</v>
      </c>
      <c r="M70" s="21">
        <v>505400000</v>
      </c>
      <c r="O70" s="21">
        <v>431417700</v>
      </c>
      <c r="Q70" s="21">
        <v>0</v>
      </c>
      <c r="S70" s="21">
        <v>936817700</v>
      </c>
      <c r="U70" s="23">
        <v>1.0893560006113552E-2</v>
      </c>
    </row>
    <row r="71" spans="1:21" ht="18.75" x14ac:dyDescent="0.45">
      <c r="A71" s="29" t="s">
        <v>80</v>
      </c>
      <c r="C71" s="21">
        <v>0</v>
      </c>
      <c r="E71" s="21">
        <v>-6689757690</v>
      </c>
      <c r="G71" s="21">
        <v>0</v>
      </c>
      <c r="I71" s="21">
        <v>-6689757690</v>
      </c>
      <c r="K71" s="23">
        <v>1.9918415593539966E-2</v>
      </c>
      <c r="M71" s="21">
        <v>0</v>
      </c>
      <c r="O71" s="21">
        <v>-9368722440</v>
      </c>
      <c r="Q71" s="21">
        <v>0</v>
      </c>
      <c r="S71" s="21">
        <v>-9368722440</v>
      </c>
      <c r="U71" s="23">
        <v>-0.10894194257939679</v>
      </c>
    </row>
    <row r="72" spans="1:21" ht="18.75" x14ac:dyDescent="0.45">
      <c r="A72" s="29" t="s">
        <v>81</v>
      </c>
      <c r="C72" s="21">
        <v>10319249000</v>
      </c>
      <c r="E72" s="21">
        <v>-17761354540</v>
      </c>
      <c r="G72" s="21">
        <v>308117494</v>
      </c>
      <c r="I72" s="21">
        <v>-7133988046</v>
      </c>
      <c r="K72" s="23">
        <v>2.124108903854395E-2</v>
      </c>
      <c r="M72" s="21">
        <v>10319249000</v>
      </c>
      <c r="O72" s="21">
        <v>7267798164</v>
      </c>
      <c r="Q72" s="21">
        <v>2367402994</v>
      </c>
      <c r="S72" s="21">
        <v>19954450158</v>
      </c>
      <c r="U72" s="23">
        <v>0.23203553923583539</v>
      </c>
    </row>
    <row r="73" spans="1:21" ht="18.75" x14ac:dyDescent="0.45">
      <c r="A73" s="29" t="s">
        <v>82</v>
      </c>
      <c r="C73" s="21">
        <v>99999950</v>
      </c>
      <c r="E73" s="21">
        <v>-2264445139</v>
      </c>
      <c r="G73" s="21">
        <v>734050907</v>
      </c>
      <c r="I73" s="21">
        <v>-1430394282</v>
      </c>
      <c r="K73" s="23">
        <v>4.2589267192873767E-3</v>
      </c>
      <c r="M73" s="21">
        <v>99999950</v>
      </c>
      <c r="O73" s="21">
        <v>743548657</v>
      </c>
      <c r="Q73" s="21">
        <v>734050907</v>
      </c>
      <c r="S73" s="21">
        <v>1577599514</v>
      </c>
      <c r="U73" s="23">
        <v>1.8344737691628348E-2</v>
      </c>
    </row>
    <row r="74" spans="1:21" ht="18.75" x14ac:dyDescent="0.45">
      <c r="A74" s="29" t="s">
        <v>83</v>
      </c>
      <c r="C74" s="21">
        <v>0</v>
      </c>
      <c r="E74" s="21">
        <v>-17476103932</v>
      </c>
      <c r="G74" s="21">
        <v>2383352551</v>
      </c>
      <c r="I74" s="21">
        <v>-15092751381</v>
      </c>
      <c r="K74" s="23">
        <v>4.4937904837138012E-2</v>
      </c>
      <c r="M74" s="21">
        <v>7267946400</v>
      </c>
      <c r="O74" s="21">
        <v>1493370350</v>
      </c>
      <c r="Q74" s="21">
        <v>2383352551</v>
      </c>
      <c r="S74" s="21">
        <v>11144669301</v>
      </c>
      <c r="U74" s="23">
        <v>0.12959311483838859</v>
      </c>
    </row>
    <row r="75" spans="1:21" ht="18.75" x14ac:dyDescent="0.45">
      <c r="A75" s="29" t="s">
        <v>84</v>
      </c>
      <c r="C75" s="21">
        <v>0</v>
      </c>
      <c r="E75" s="21">
        <v>-672043876</v>
      </c>
      <c r="G75" s="21">
        <v>-1155274913</v>
      </c>
      <c r="I75" s="21">
        <v>-1827318789</v>
      </c>
      <c r="K75" s="23">
        <v>5.440749388515769E-3</v>
      </c>
      <c r="M75" s="21">
        <v>0</v>
      </c>
      <c r="O75" s="21">
        <v>349960718</v>
      </c>
      <c r="Q75" s="21">
        <v>-1155274913</v>
      </c>
      <c r="S75" s="21">
        <v>-805314195</v>
      </c>
      <c r="U75" s="23">
        <v>-9.3644030284734496E-3</v>
      </c>
    </row>
    <row r="76" spans="1:21" ht="18.75" x14ac:dyDescent="0.45">
      <c r="A76" s="29" t="s">
        <v>85</v>
      </c>
      <c r="C76" s="21">
        <v>0</v>
      </c>
      <c r="E76" s="21">
        <v>203113938</v>
      </c>
      <c r="G76" s="21">
        <v>-386487517</v>
      </c>
      <c r="I76" s="21">
        <v>-183373579</v>
      </c>
      <c r="K76" s="23">
        <v>5.4598556848429471E-4</v>
      </c>
      <c r="M76" s="21">
        <v>728479800</v>
      </c>
      <c r="O76" s="21">
        <v>0</v>
      </c>
      <c r="Q76" s="21">
        <v>-386487517</v>
      </c>
      <c r="S76" s="21">
        <v>341992283</v>
      </c>
      <c r="U76" s="23">
        <v>3.9767752642678161E-3</v>
      </c>
    </row>
    <row r="77" spans="1:21" ht="18.75" x14ac:dyDescent="0.45">
      <c r="A77" s="29" t="s">
        <v>86</v>
      </c>
      <c r="C77" s="21">
        <v>49200</v>
      </c>
      <c r="E77" s="21">
        <v>-37903</v>
      </c>
      <c r="G77" s="21">
        <v>0</v>
      </c>
      <c r="I77" s="21">
        <v>11297</v>
      </c>
      <c r="K77" s="23">
        <v>-3.3636246839939129E-8</v>
      </c>
      <c r="M77" s="21">
        <v>49200</v>
      </c>
      <c r="O77" s="21">
        <v>2260738</v>
      </c>
      <c r="Q77" s="21">
        <v>0</v>
      </c>
      <c r="S77" s="21">
        <v>2309938</v>
      </c>
      <c r="U77" s="23">
        <v>2.6860560185190702E-5</v>
      </c>
    </row>
    <row r="78" spans="1:21" ht="18.75" x14ac:dyDescent="0.45">
      <c r="A78" s="29" t="s">
        <v>87</v>
      </c>
      <c r="C78" s="21">
        <v>2406384864</v>
      </c>
      <c r="E78" s="21">
        <v>-4216784554</v>
      </c>
      <c r="G78" s="21">
        <v>1430889760</v>
      </c>
      <c r="I78" s="21">
        <v>-379509930</v>
      </c>
      <c r="K78" s="23">
        <v>1.1299716458960803E-3</v>
      </c>
      <c r="M78" s="21">
        <v>2406384864</v>
      </c>
      <c r="O78" s="21">
        <v>0</v>
      </c>
      <c r="Q78" s="21">
        <v>1476460253</v>
      </c>
      <c r="S78" s="21">
        <v>3882845117</v>
      </c>
      <c r="U78" s="23">
        <v>4.515073346338834E-2</v>
      </c>
    </row>
    <row r="79" spans="1:21" ht="18.75" x14ac:dyDescent="0.45">
      <c r="A79" s="29" t="s">
        <v>88</v>
      </c>
      <c r="C79" s="21">
        <v>0</v>
      </c>
      <c r="E79" s="21">
        <v>946843241</v>
      </c>
      <c r="G79" s="21">
        <v>-2902742731</v>
      </c>
      <c r="I79" s="21">
        <v>-1955899490</v>
      </c>
      <c r="K79" s="23">
        <v>5.8235919305790074E-3</v>
      </c>
      <c r="M79" s="21">
        <v>1015029840</v>
      </c>
      <c r="O79" s="21">
        <v>-1254590386</v>
      </c>
      <c r="Q79" s="21">
        <v>-2902742731</v>
      </c>
      <c r="S79" s="21">
        <v>-3142303277</v>
      </c>
      <c r="U79" s="23">
        <v>-3.653952023473378E-2</v>
      </c>
    </row>
    <row r="80" spans="1:21" ht="18.75" x14ac:dyDescent="0.45">
      <c r="A80" s="29" t="s">
        <v>89</v>
      </c>
      <c r="C80" s="21">
        <v>0</v>
      </c>
      <c r="E80" s="21">
        <v>-4398235761</v>
      </c>
      <c r="G80" s="21">
        <v>0</v>
      </c>
      <c r="I80" s="21">
        <v>-4398235761</v>
      </c>
      <c r="K80" s="23">
        <v>1.3095524804571436E-2</v>
      </c>
      <c r="M80" s="21">
        <v>3237484320</v>
      </c>
      <c r="O80" s="21">
        <v>-14733240354</v>
      </c>
      <c r="Q80" s="21">
        <v>0</v>
      </c>
      <c r="S80" s="21">
        <v>-11495756034</v>
      </c>
      <c r="U80" s="23">
        <v>-0.13367564273392887</v>
      </c>
    </row>
    <row r="81" spans="1:21" ht="18.75" x14ac:dyDescent="0.45">
      <c r="A81" s="29" t="s">
        <v>90</v>
      </c>
      <c r="C81" s="21">
        <v>0</v>
      </c>
      <c r="E81" s="21">
        <v>-905753827</v>
      </c>
      <c r="G81" s="21">
        <v>-479526450</v>
      </c>
      <c r="I81" s="21">
        <v>-1385280277</v>
      </c>
      <c r="K81" s="23">
        <v>4.1246020483023151E-3</v>
      </c>
      <c r="M81" s="21">
        <v>0</v>
      </c>
      <c r="O81" s="21">
        <v>-1554365885</v>
      </c>
      <c r="Q81" s="21">
        <v>-479526450</v>
      </c>
      <c r="S81" s="21">
        <v>-2033892335</v>
      </c>
      <c r="U81" s="23">
        <v>-2.3650629356487294E-2</v>
      </c>
    </row>
    <row r="82" spans="1:21" ht="18.75" x14ac:dyDescent="0.45">
      <c r="A82" s="29" t="s">
        <v>216</v>
      </c>
      <c r="C82" s="21">
        <v>0</v>
      </c>
      <c r="E82" s="21">
        <v>-7231317442</v>
      </c>
      <c r="G82" s="21">
        <v>4334450283</v>
      </c>
      <c r="I82" s="21">
        <v>-2896867159</v>
      </c>
      <c r="K82" s="23">
        <v>8.6252756327022378E-3</v>
      </c>
      <c r="M82" s="21">
        <v>7980000000</v>
      </c>
      <c r="O82" s="21">
        <v>14269984058</v>
      </c>
      <c r="Q82" s="21">
        <v>30572938710</v>
      </c>
      <c r="S82" s="21">
        <v>52822922768</v>
      </c>
      <c r="U82" s="23">
        <v>0.61423869219327287</v>
      </c>
    </row>
    <row r="83" spans="1:21" ht="18.75" x14ac:dyDescent="0.45">
      <c r="A83" s="29" t="s">
        <v>217</v>
      </c>
      <c r="C83" s="21">
        <v>0</v>
      </c>
      <c r="E83" s="21">
        <v>-818103150</v>
      </c>
      <c r="G83" s="21">
        <v>21381590</v>
      </c>
      <c r="I83" s="21">
        <v>-796721560</v>
      </c>
      <c r="K83" s="23">
        <v>2.3721981990671302E-3</v>
      </c>
      <c r="M83" s="21">
        <v>0</v>
      </c>
      <c r="O83" s="21">
        <v>0</v>
      </c>
      <c r="Q83" s="21">
        <v>21381590</v>
      </c>
      <c r="S83" s="21">
        <v>21381590</v>
      </c>
      <c r="U83" s="23">
        <v>2.4863069270693485E-4</v>
      </c>
    </row>
    <row r="84" spans="1:21" ht="18.75" x14ac:dyDescent="0.45">
      <c r="A84" s="29" t="s">
        <v>93</v>
      </c>
      <c r="C84" s="21">
        <v>0</v>
      </c>
      <c r="E84" s="21">
        <v>-7222432471</v>
      </c>
      <c r="G84" s="21">
        <v>0</v>
      </c>
      <c r="I84" s="21">
        <v>-7222432471</v>
      </c>
      <c r="K84" s="23">
        <v>2.1504427846273124E-2</v>
      </c>
      <c r="M84" s="21">
        <v>10382562840</v>
      </c>
      <c r="O84" s="21">
        <v>-1617102691</v>
      </c>
      <c r="Q84" s="21">
        <v>0</v>
      </c>
      <c r="S84" s="21">
        <v>8765460149</v>
      </c>
      <c r="U84" s="23">
        <v>0.10192705167112934</v>
      </c>
    </row>
    <row r="85" spans="1:21" ht="18.75" x14ac:dyDescent="0.45">
      <c r="A85" s="29" t="s">
        <v>94</v>
      </c>
      <c r="C85" s="21">
        <v>20250000</v>
      </c>
      <c r="E85" s="21">
        <v>-62625150</v>
      </c>
      <c r="G85" s="21">
        <v>0</v>
      </c>
      <c r="I85" s="21">
        <v>-42375150</v>
      </c>
      <c r="K85" s="23">
        <v>1.2616986857390868E-4</v>
      </c>
      <c r="M85" s="21">
        <v>20250000</v>
      </c>
      <c r="O85" s="21">
        <v>205768350</v>
      </c>
      <c r="Q85" s="21">
        <v>0</v>
      </c>
      <c r="S85" s="21">
        <v>226018350</v>
      </c>
      <c r="U85" s="23">
        <v>2.6282001911447392E-3</v>
      </c>
    </row>
    <row r="86" spans="1:21" ht="18.75" x14ac:dyDescent="0.45">
      <c r="A86" s="29" t="s">
        <v>95</v>
      </c>
      <c r="C86" s="21">
        <v>0</v>
      </c>
      <c r="E86" s="21">
        <v>1380233032</v>
      </c>
      <c r="G86" s="21">
        <v>-1783269771</v>
      </c>
      <c r="I86" s="21">
        <v>-403036739</v>
      </c>
      <c r="K86" s="23">
        <v>1.2000215312532637E-3</v>
      </c>
      <c r="M86" s="21">
        <v>1064000000</v>
      </c>
      <c r="O86" s="21">
        <v>-586429897</v>
      </c>
      <c r="Q86" s="21">
        <v>-1783269771</v>
      </c>
      <c r="S86" s="21">
        <v>-1305699668</v>
      </c>
      <c r="U86" s="23">
        <v>-1.5183015525134232E-2</v>
      </c>
    </row>
    <row r="87" spans="1:21" ht="37.5" x14ac:dyDescent="0.45">
      <c r="A87" s="29" t="s">
        <v>96</v>
      </c>
      <c r="C87" s="21">
        <v>0</v>
      </c>
      <c r="E87" s="21">
        <v>-3907809360</v>
      </c>
      <c r="G87" s="21">
        <v>0</v>
      </c>
      <c r="I87" s="21">
        <v>-3907809360</v>
      </c>
      <c r="K87" s="23">
        <v>1.1635304969140881E-2</v>
      </c>
      <c r="M87" s="21">
        <v>0</v>
      </c>
      <c r="O87" s="21">
        <v>-7965919080</v>
      </c>
      <c r="Q87" s="21">
        <v>0</v>
      </c>
      <c r="S87" s="21">
        <v>-7965919080</v>
      </c>
      <c r="U87" s="23">
        <v>-9.2629780054139521E-2</v>
      </c>
    </row>
    <row r="88" spans="1:21" ht="18.75" x14ac:dyDescent="0.45">
      <c r="A88" s="29" t="s">
        <v>200</v>
      </c>
      <c r="L88" s="22"/>
      <c r="M88" s="21">
        <v>0</v>
      </c>
      <c r="O88" s="21">
        <v>0</v>
      </c>
      <c r="Q88" s="21">
        <v>2768386</v>
      </c>
      <c r="S88" s="21">
        <v>2768386</v>
      </c>
      <c r="U88" s="23">
        <v>3.21915128323095E-5</v>
      </c>
    </row>
    <row r="89" spans="1:21" ht="18.75" x14ac:dyDescent="0.45">
      <c r="A89" s="29" t="s">
        <v>218</v>
      </c>
      <c r="L89" s="22"/>
      <c r="M89" s="21">
        <v>4340424361</v>
      </c>
      <c r="O89" s="21">
        <v>0</v>
      </c>
      <c r="Q89" s="21">
        <v>785484174</v>
      </c>
      <c r="S89" s="21">
        <v>5125908535</v>
      </c>
      <c r="U89" s="23">
        <v>5.9605398373527858E-2</v>
      </c>
    </row>
    <row r="90" spans="1:21" ht="18.75" x14ac:dyDescent="0.45">
      <c r="A90" s="29" t="s">
        <v>185</v>
      </c>
      <c r="L90" s="22"/>
      <c r="M90" s="21">
        <v>117135</v>
      </c>
      <c r="O90" s="21">
        <v>0</v>
      </c>
      <c r="Q90" s="21">
        <v>108816</v>
      </c>
      <c r="S90" s="21">
        <v>225951</v>
      </c>
      <c r="U90" s="23">
        <v>2.6274170278180734E-6</v>
      </c>
    </row>
    <row r="91" spans="1:21" ht="18.75" x14ac:dyDescent="0.45">
      <c r="A91" s="29" t="s">
        <v>201</v>
      </c>
      <c r="L91" s="22"/>
      <c r="M91" s="21">
        <v>0</v>
      </c>
      <c r="O91" s="21">
        <v>0</v>
      </c>
      <c r="Q91" s="21">
        <v>304377639</v>
      </c>
      <c r="S91" s="21">
        <v>304377639</v>
      </c>
      <c r="U91" s="23">
        <v>3.5393823952788988E-3</v>
      </c>
    </row>
    <row r="92" spans="1:21" ht="18.75" x14ac:dyDescent="0.45">
      <c r="A92" s="29" t="s">
        <v>202</v>
      </c>
      <c r="L92" s="22"/>
      <c r="M92" s="21">
        <v>0</v>
      </c>
      <c r="O92" s="21">
        <v>0</v>
      </c>
      <c r="Q92" s="21">
        <v>59821494</v>
      </c>
      <c r="S92" s="21">
        <v>59821494</v>
      </c>
      <c r="U92" s="23">
        <v>6.9561989973541472E-4</v>
      </c>
    </row>
    <row r="93" spans="1:21" ht="18.75" x14ac:dyDescent="0.45">
      <c r="A93" s="24" t="s">
        <v>97</v>
      </c>
      <c r="C93" s="24">
        <f>SUM(C9:$C$92)</f>
        <v>52368286194</v>
      </c>
      <c r="E93" s="24">
        <f>SUM(E9:$E$92)</f>
        <v>-353910799127</v>
      </c>
      <c r="G93" s="24">
        <f>SUM(G9:$G$92)</f>
        <v>-35427794233</v>
      </c>
      <c r="I93" s="24">
        <f>SUM(I9:$I$92)</f>
        <v>-336970307166</v>
      </c>
      <c r="K93" s="25">
        <f>SUM(K9:$K$92)</f>
        <v>1.0033120677671674</v>
      </c>
      <c r="M93" s="24">
        <f>SUM(M9:$M$92)</f>
        <v>235290948310</v>
      </c>
      <c r="O93" s="24">
        <f>SUM(O9:$O$92)</f>
        <v>-217444138400</v>
      </c>
      <c r="Q93" s="24">
        <f>SUM(Q9:$Q$92)</f>
        <v>63576796617</v>
      </c>
      <c r="S93" s="24">
        <f>SUM(S9:$S$92)</f>
        <v>81423606527</v>
      </c>
      <c r="U93" s="25">
        <f>SUM(U9:$U$92)</f>
        <v>0.9468148857734584</v>
      </c>
    </row>
    <row r="94" spans="1:21" ht="18.75" x14ac:dyDescent="0.45">
      <c r="C94" s="26"/>
      <c r="E94" s="26"/>
      <c r="G94" s="26"/>
      <c r="I94" s="26"/>
      <c r="K94" s="26"/>
      <c r="M94" s="26"/>
      <c r="O94" s="26"/>
      <c r="Q94" s="26"/>
      <c r="S94" s="26"/>
      <c r="U94" s="26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4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0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1.28515625" style="12" customWidth="1"/>
    <col min="2" max="2" width="1.42578125" style="12" customWidth="1"/>
    <col min="3" max="3" width="17" style="12" customWidth="1"/>
    <col min="4" max="4" width="1.42578125" style="12" customWidth="1"/>
    <col min="5" max="5" width="17" style="12" customWidth="1"/>
    <col min="6" max="6" width="1.42578125" style="12" customWidth="1"/>
    <col min="7" max="7" width="17" style="12" customWidth="1"/>
    <col min="8" max="8" width="1.42578125" style="12" customWidth="1"/>
    <col min="9" max="9" width="17" style="12" customWidth="1"/>
    <col min="10" max="10" width="1.42578125" style="12" customWidth="1"/>
    <col min="11" max="11" width="17" style="12" customWidth="1"/>
    <col min="12" max="12" width="1.42578125" style="12" customWidth="1"/>
    <col min="13" max="13" width="17" style="12" customWidth="1"/>
    <col min="14" max="14" width="1.42578125" style="12" customWidth="1"/>
    <col min="15" max="15" width="17" style="12" customWidth="1"/>
    <col min="16" max="16" width="1.42578125" style="12" customWidth="1"/>
    <col min="17" max="17" width="17" style="12" customWidth="1"/>
    <col min="18" max="16384" width="9.140625" style="12"/>
  </cols>
  <sheetData>
    <row r="1" spans="1:17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0.100000000000001" customHeight="1" x14ac:dyDescent="0.45">
      <c r="A2" s="10" t="s">
        <v>133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5" spans="1:17" ht="21" x14ac:dyDescent="0.45">
      <c r="A5" s="13" t="s">
        <v>219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7" spans="1:17" ht="21" x14ac:dyDescent="0.45">
      <c r="C7" s="14" t="s">
        <v>145</v>
      </c>
      <c r="D7" s="15"/>
      <c r="E7" s="15"/>
      <c r="F7" s="15"/>
      <c r="G7" s="15"/>
      <c r="H7" s="15"/>
      <c r="I7" s="15"/>
      <c r="J7" s="15"/>
      <c r="K7" s="15"/>
      <c r="M7" s="14" t="s">
        <v>7</v>
      </c>
      <c r="N7" s="15"/>
      <c r="O7" s="15"/>
      <c r="P7" s="15"/>
      <c r="Q7" s="15"/>
    </row>
    <row r="8" spans="1:17" ht="21" x14ac:dyDescent="0.45">
      <c r="C8" s="28" t="s">
        <v>220</v>
      </c>
      <c r="E8" s="28" t="s">
        <v>209</v>
      </c>
      <c r="G8" s="28" t="s">
        <v>210</v>
      </c>
      <c r="I8" s="28" t="s">
        <v>97</v>
      </c>
      <c r="K8" s="28" t="s">
        <v>220</v>
      </c>
      <c r="M8" s="28" t="s">
        <v>209</v>
      </c>
      <c r="O8" s="28" t="s">
        <v>210</v>
      </c>
      <c r="Q8" s="28" t="s">
        <v>97</v>
      </c>
    </row>
    <row r="9" spans="1:17" ht="18.75" x14ac:dyDescent="0.45">
      <c r="A9" s="24" t="s">
        <v>97</v>
      </c>
      <c r="C9" s="24">
        <f>SUM($C$8)</f>
        <v>0</v>
      </c>
      <c r="E9" s="24">
        <f>SUM($E$8)</f>
        <v>0</v>
      </c>
      <c r="G9" s="24">
        <f>SUM($G$8)</f>
        <v>0</v>
      </c>
      <c r="I9" s="24">
        <f>SUM($I$8)</f>
        <v>0</v>
      </c>
      <c r="K9" s="24">
        <f>SUM($K$8)</f>
        <v>0</v>
      </c>
      <c r="M9" s="24">
        <f>SUM($M$8)</f>
        <v>0</v>
      </c>
      <c r="O9" s="24">
        <f>SUM($O$8)</f>
        <v>0</v>
      </c>
      <c r="Q9" s="24">
        <f>SUM($Q$8)</f>
        <v>0</v>
      </c>
    </row>
    <row r="10" spans="1:17" ht="18.75" x14ac:dyDescent="0.45">
      <c r="C10" s="26"/>
      <c r="E10" s="26"/>
      <c r="G10" s="26"/>
      <c r="I10" s="26"/>
      <c r="K10" s="26"/>
      <c r="M10" s="26"/>
      <c r="O10" s="26"/>
      <c r="Q10" s="26"/>
    </row>
  </sheetData>
  <mergeCells count="6">
    <mergeCell ref="A1:Q1"/>
    <mergeCell ref="A2:Q2"/>
    <mergeCell ref="A3:Q3"/>
    <mergeCell ref="A5:Q5"/>
    <mergeCell ref="C7:K7"/>
    <mergeCell ref="M7:Q7"/>
  </mergeCells>
  <pageMargins left="0.7" right="0.7" top="0.75" bottom="0.75" header="0.3" footer="0.3"/>
  <pageSetup paperSize="9" scale="7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7"/>
  <sheetViews>
    <sheetView rightToLeft="1" view="pageBreakPreview" zoomScale="91" zoomScaleNormal="100" zoomScaleSheetLayoutView="91" workbookViewId="0">
      <selection sqref="A1:W1"/>
    </sheetView>
  </sheetViews>
  <sheetFormatPr defaultRowHeight="18" x14ac:dyDescent="0.45"/>
  <cols>
    <col min="1" max="1" width="25.5703125" style="12" customWidth="1"/>
    <col min="2" max="2" width="1.42578125" style="12" customWidth="1"/>
    <col min="3" max="3" width="17" style="12" customWidth="1"/>
    <col min="4" max="4" width="1.42578125" style="12" customWidth="1"/>
    <col min="5" max="5" width="14.140625" style="12" customWidth="1"/>
    <col min="6" max="6" width="1.42578125" style="12" customWidth="1"/>
    <col min="7" max="7" width="17" style="12" customWidth="1"/>
    <col min="8" max="8" width="1.42578125" style="12" customWidth="1"/>
    <col min="9" max="9" width="14.140625" style="12" customWidth="1"/>
    <col min="10" max="16384" width="9.140625" style="12"/>
  </cols>
  <sheetData>
    <row r="1" spans="1:9" ht="20.100000000000001" customHeight="1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20.100000000000001" customHeight="1" x14ac:dyDescent="0.45">
      <c r="A2" s="10" t="s">
        <v>133</v>
      </c>
      <c r="B2" s="11"/>
      <c r="C2" s="11"/>
      <c r="D2" s="11"/>
      <c r="E2" s="11"/>
      <c r="F2" s="11"/>
      <c r="G2" s="11"/>
      <c r="H2" s="11"/>
      <c r="I2" s="11"/>
    </row>
    <row r="3" spans="1:9" ht="20.100000000000001" customHeight="1" x14ac:dyDescent="0.45">
      <c r="A3" s="10" t="s">
        <v>2</v>
      </c>
      <c r="B3" s="11"/>
      <c r="C3" s="11"/>
      <c r="D3" s="11"/>
      <c r="E3" s="11"/>
      <c r="F3" s="11"/>
      <c r="G3" s="11"/>
      <c r="H3" s="11"/>
      <c r="I3" s="11"/>
    </row>
    <row r="5" spans="1:9" ht="21" x14ac:dyDescent="0.45">
      <c r="A5" s="13" t="s">
        <v>221</v>
      </c>
      <c r="B5" s="11"/>
      <c r="C5" s="11"/>
      <c r="D5" s="11"/>
      <c r="E5" s="11"/>
      <c r="F5" s="11"/>
      <c r="G5" s="11"/>
      <c r="H5" s="11"/>
      <c r="I5" s="11"/>
    </row>
    <row r="7" spans="1:9" ht="21" x14ac:dyDescent="0.45">
      <c r="A7" s="14" t="s">
        <v>222</v>
      </c>
      <c r="B7" s="15"/>
      <c r="C7" s="14" t="s">
        <v>145</v>
      </c>
      <c r="D7" s="15"/>
      <c r="E7" s="15"/>
      <c r="G7" s="14" t="s">
        <v>7</v>
      </c>
      <c r="H7" s="15"/>
      <c r="I7" s="15"/>
    </row>
    <row r="8" spans="1:9" ht="42" x14ac:dyDescent="0.45">
      <c r="A8" s="28" t="s">
        <v>223</v>
      </c>
      <c r="C8" s="28" t="s">
        <v>224</v>
      </c>
      <c r="E8" s="28" t="s">
        <v>225</v>
      </c>
      <c r="G8" s="28" t="s">
        <v>224</v>
      </c>
      <c r="I8" s="28" t="s">
        <v>225</v>
      </c>
    </row>
    <row r="9" spans="1:9" ht="18.75" x14ac:dyDescent="0.45">
      <c r="A9" s="41" t="s">
        <v>251</v>
      </c>
      <c r="C9" s="21">
        <v>34414</v>
      </c>
      <c r="E9" s="23">
        <f>C9/C16</f>
        <v>3.0937152801219979E-5</v>
      </c>
      <c r="G9" s="21">
        <v>171535</v>
      </c>
      <c r="I9" s="23">
        <f>G9/G16</f>
        <v>3.7503982984867403E-5</v>
      </c>
    </row>
    <row r="10" spans="1:9" ht="18.75" x14ac:dyDescent="0.45">
      <c r="A10" s="41" t="s">
        <v>246</v>
      </c>
      <c r="C10" s="21">
        <v>252205</v>
      </c>
      <c r="E10" s="23">
        <f>C10/C16</f>
        <v>2.2672472314266536E-4</v>
      </c>
      <c r="G10" s="21">
        <v>3773475</v>
      </c>
      <c r="I10" s="23">
        <f>G10/G16</f>
        <v>8.2502312760557631E-4</v>
      </c>
    </row>
    <row r="11" spans="1:9" ht="18.75" x14ac:dyDescent="0.45">
      <c r="A11" s="41" t="s">
        <v>250</v>
      </c>
      <c r="C11" s="21">
        <v>1110973092</v>
      </c>
      <c r="E11" s="23">
        <f>C11/C16</f>
        <v>0.99873145537420305</v>
      </c>
      <c r="G11" s="21">
        <v>4555752202</v>
      </c>
      <c r="I11" s="23">
        <f>G11/G16</f>
        <v>0.99605825672358539</v>
      </c>
    </row>
    <row r="12" spans="1:9" ht="18.75" x14ac:dyDescent="0.45">
      <c r="A12" s="41" t="s">
        <v>249</v>
      </c>
      <c r="C12" s="21">
        <v>5520</v>
      </c>
      <c r="E12" s="23">
        <f>C12/C16</f>
        <v>4.9623142750838115E-6</v>
      </c>
      <c r="G12" s="21">
        <v>3160699</v>
      </c>
      <c r="I12" s="23">
        <f>G12/G16</f>
        <v>6.9104731696905829E-4</v>
      </c>
    </row>
    <row r="13" spans="1:9" ht="18.75" x14ac:dyDescent="0.45">
      <c r="A13" s="41" t="s">
        <v>247</v>
      </c>
      <c r="C13" s="21">
        <v>67868</v>
      </c>
      <c r="E13" s="23">
        <f>C13/C16</f>
        <v>6.1011294424164515E-5</v>
      </c>
      <c r="G13" s="21">
        <v>334898</v>
      </c>
      <c r="I13" s="23">
        <f>G13/G16</f>
        <v>7.3221260347253476E-5</v>
      </c>
    </row>
    <row r="14" spans="1:9" ht="18.75" x14ac:dyDescent="0.45">
      <c r="A14" s="41" t="s">
        <v>245</v>
      </c>
      <c r="C14" s="21">
        <v>40891</v>
      </c>
      <c r="E14" s="23">
        <f>C14/C16</f>
        <v>3.675978134464713E-5</v>
      </c>
      <c r="G14" s="21">
        <v>164017</v>
      </c>
      <c r="I14" s="23">
        <f>G14/G16</f>
        <v>3.5860266285183762E-5</v>
      </c>
    </row>
    <row r="15" spans="1:9" ht="18.75" x14ac:dyDescent="0.45">
      <c r="A15" s="41" t="s">
        <v>252</v>
      </c>
      <c r="C15" s="21">
        <v>1010211</v>
      </c>
      <c r="E15" s="23">
        <f>C15/C16</f>
        <v>9.0814935980918345E-4</v>
      </c>
      <c r="G15" s="21">
        <v>10424046</v>
      </c>
      <c r="I15" s="23">
        <f>G15/G16</f>
        <v>2.279087322222725E-3</v>
      </c>
    </row>
    <row r="16" spans="1:9" ht="19.5" thickBot="1" x14ac:dyDescent="0.5">
      <c r="A16" s="24" t="s">
        <v>97</v>
      </c>
      <c r="C16" s="24">
        <f>SUM(C9:$C$15)</f>
        <v>1112384201</v>
      </c>
      <c r="E16" s="25">
        <f>SUM(E9:$E$15)</f>
        <v>1</v>
      </c>
      <c r="G16" s="24">
        <f>SUM(G9:$G$15)</f>
        <v>4573780872</v>
      </c>
      <c r="I16" s="25">
        <f>SUM(I9:$I$15)</f>
        <v>1</v>
      </c>
    </row>
    <row r="17" spans="3:9" ht="19.5" thickTop="1" x14ac:dyDescent="0.45">
      <c r="C17" s="26"/>
      <c r="E17" s="26"/>
      <c r="G17" s="26"/>
      <c r="I17" s="26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7" right="0.7" top="0.75" bottom="0.75" header="0.3" footer="0.3"/>
  <pageSetup paperSize="9" scale="9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0"/>
  <sheetViews>
    <sheetView rightToLeft="1" view="pageBreakPreview" zoomScale="60" zoomScaleNormal="100" workbookViewId="0">
      <selection sqref="A1:W1"/>
    </sheetView>
  </sheetViews>
  <sheetFormatPr defaultRowHeight="18" x14ac:dyDescent="0.45"/>
  <cols>
    <col min="1" max="1" width="25.5703125" style="12" customWidth="1"/>
    <col min="2" max="2" width="1.42578125" style="12" customWidth="1"/>
    <col min="3" max="3" width="18.42578125" style="12" customWidth="1"/>
    <col min="4" max="4" width="1.42578125" style="12" customWidth="1"/>
    <col min="5" max="5" width="18.42578125" style="12" customWidth="1"/>
    <col min="6" max="16384" width="9.140625" style="12"/>
  </cols>
  <sheetData>
    <row r="1" spans="1:5" ht="20.100000000000001" customHeight="1" x14ac:dyDescent="0.45">
      <c r="A1" s="10" t="s">
        <v>0</v>
      </c>
      <c r="B1" s="11"/>
      <c r="C1" s="11"/>
      <c r="D1" s="11"/>
      <c r="E1" s="11"/>
    </row>
    <row r="2" spans="1:5" ht="20.100000000000001" customHeight="1" x14ac:dyDescent="0.45">
      <c r="A2" s="10" t="s">
        <v>133</v>
      </c>
      <c r="B2" s="11"/>
      <c r="C2" s="11"/>
      <c r="D2" s="11"/>
      <c r="E2" s="11"/>
    </row>
    <row r="3" spans="1:5" ht="20.100000000000001" customHeight="1" x14ac:dyDescent="0.45">
      <c r="A3" s="10" t="s">
        <v>2</v>
      </c>
      <c r="B3" s="11"/>
      <c r="C3" s="11"/>
      <c r="D3" s="11"/>
      <c r="E3" s="11"/>
    </row>
    <row r="5" spans="1:5" ht="21" x14ac:dyDescent="0.45">
      <c r="A5" s="13" t="s">
        <v>226</v>
      </c>
      <c r="B5" s="11"/>
      <c r="C5" s="11"/>
      <c r="D5" s="11"/>
      <c r="E5" s="11"/>
    </row>
    <row r="7" spans="1:5" ht="21" x14ac:dyDescent="0.45">
      <c r="C7" s="27" t="s">
        <v>145</v>
      </c>
      <c r="E7" s="27" t="s">
        <v>7</v>
      </c>
    </row>
    <row r="8" spans="1:5" ht="21" x14ac:dyDescent="0.45">
      <c r="A8" s="28" t="s">
        <v>142</v>
      </c>
      <c r="C8" s="28" t="s">
        <v>130</v>
      </c>
      <c r="E8" s="28" t="s">
        <v>130</v>
      </c>
    </row>
    <row r="9" spans="1:5" ht="18.75" x14ac:dyDescent="0.45">
      <c r="A9" s="24" t="s">
        <v>97</v>
      </c>
      <c r="C9" s="24">
        <f>SUM($C$8)</f>
        <v>0</v>
      </c>
      <c r="E9" s="24">
        <f>SUM($E$8)</f>
        <v>0</v>
      </c>
    </row>
    <row r="10" spans="1:5" ht="18.75" x14ac:dyDescent="0.45">
      <c r="C10" s="26"/>
      <c r="E10" s="26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0</vt:lpstr>
      <vt:lpstr>1</vt:lpstr>
      <vt:lpstr>2</vt:lpstr>
      <vt:lpstr>3</vt:lpstr>
      <vt:lpstr>4</vt:lpstr>
      <vt:lpstr>5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'9'!Print_Area</vt:lpstr>
      <vt:lpstr>'1'!Print_Titles</vt:lpstr>
      <vt:lpstr>'10'!Print_Titles</vt:lpstr>
      <vt:lpstr>'11'!Print_Titles</vt:lpstr>
      <vt:lpstr>'12'!Print_Titles</vt:lpstr>
      <vt:lpstr>'8'!Print_Titles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Fatemeh Rezaei</cp:lastModifiedBy>
  <cp:lastPrinted>2025-08-23T07:33:33Z</cp:lastPrinted>
  <dcterms:created xsi:type="dcterms:W3CDTF">2025-08-23T07:16:47Z</dcterms:created>
  <dcterms:modified xsi:type="dcterms:W3CDTF">2025-08-23T07:34:07Z</dcterms:modified>
</cp:coreProperties>
</file>