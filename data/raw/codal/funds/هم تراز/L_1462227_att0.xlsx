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zaei\پرتفو\پرتفوی1404.09.30\پرتفوی مشترک1404.09.30\"/>
    </mc:Choice>
  </mc:AlternateContent>
  <xr:revisionPtr revIDLastSave="0" documentId="13_ncr:1_{07508254-5453-4875-A66C-B4A48F9EC0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'11'!$A$8:$Q$217</definedName>
    <definedName name="_xlnm.Print_Area" localSheetId="8">'9'!$A$1:$M$18</definedName>
    <definedName name="_xlnm.Print_Titles" localSheetId="1">'1'!$1:$10</definedName>
    <definedName name="_xlnm.Print_Titles" localSheetId="9">'10'!$1:$8</definedName>
    <definedName name="_xlnm.Print_Titles" localSheetId="10">'11'!$1:$8</definedName>
    <definedName name="_xlnm.Print_Titles" localSheetId="11">'12'!$1:$8</definedName>
    <definedName name="_xlnm.Print_Titles" localSheetId="7">'8'!$1:$8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6" l="1"/>
  <c r="C10" i="16"/>
  <c r="G16" i="15"/>
  <c r="I14" i="15" s="1"/>
  <c r="C16" i="15"/>
  <c r="E14" i="15" s="1"/>
  <c r="Q9" i="14"/>
  <c r="O9" i="14"/>
  <c r="M9" i="14"/>
  <c r="K9" i="14"/>
  <c r="I9" i="14"/>
  <c r="G9" i="14"/>
  <c r="E9" i="14"/>
  <c r="C9" i="14"/>
  <c r="U222" i="13"/>
  <c r="S222" i="13"/>
  <c r="Q222" i="13"/>
  <c r="O222" i="13"/>
  <c r="M222" i="13"/>
  <c r="K222" i="13"/>
  <c r="I222" i="13"/>
  <c r="G222" i="13"/>
  <c r="E222" i="13"/>
  <c r="C222" i="13"/>
  <c r="Q217" i="12"/>
  <c r="O217" i="12"/>
  <c r="M217" i="12"/>
  <c r="K217" i="12"/>
  <c r="I217" i="12"/>
  <c r="G217" i="12"/>
  <c r="E217" i="12"/>
  <c r="C217" i="12"/>
  <c r="Q153" i="11"/>
  <c r="O153" i="11"/>
  <c r="M153" i="11"/>
  <c r="K153" i="11"/>
  <c r="I153" i="11"/>
  <c r="G153" i="11"/>
  <c r="E153" i="11"/>
  <c r="C153" i="11"/>
  <c r="M16" i="10"/>
  <c r="K16" i="10"/>
  <c r="I16" i="10"/>
  <c r="G16" i="10"/>
  <c r="E16" i="10"/>
  <c r="C16" i="10"/>
  <c r="S86" i="9"/>
  <c r="Q86" i="9"/>
  <c r="O86" i="9"/>
  <c r="M86" i="9"/>
  <c r="K86" i="9"/>
  <c r="I86" i="9"/>
  <c r="E12" i="8"/>
  <c r="G12" i="8"/>
  <c r="I12" i="8"/>
  <c r="K16" i="6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219" i="2"/>
  <c r="U219" i="2"/>
  <c r="S219" i="2"/>
  <c r="Q219" i="2"/>
  <c r="O219" i="2"/>
  <c r="M219" i="2"/>
  <c r="L219" i="2"/>
  <c r="J219" i="2"/>
  <c r="I219" i="2"/>
  <c r="G219" i="2"/>
  <c r="E219" i="2"/>
  <c r="C219" i="2"/>
  <c r="E13" i="15" l="1"/>
  <c r="E15" i="15"/>
  <c r="E12" i="15"/>
  <c r="I15" i="15"/>
  <c r="E9" i="15"/>
  <c r="E10" i="15"/>
  <c r="E11" i="15"/>
  <c r="I11" i="15"/>
  <c r="E16" i="15"/>
  <c r="I12" i="15"/>
  <c r="I9" i="15"/>
  <c r="I13" i="15"/>
  <c r="I10" i="15"/>
  <c r="I16" i="15" l="1"/>
</calcChain>
</file>

<file path=xl/sharedStrings.xml><?xml version="1.0" encoding="utf-8"?>
<sst xmlns="http://schemas.openxmlformats.org/spreadsheetml/2006/main" count="1220" uniqueCount="417">
  <si>
    <t>‫شاخصی هم ‏وزن تراز</t>
  </si>
  <si>
    <t>‫صورت وضعیت پورتفوی</t>
  </si>
  <si>
    <t>‫برای ماه منتهی به 1404/09/30</t>
  </si>
  <si>
    <t>‫1- سرمایه گذاری ها</t>
  </si>
  <si>
    <t>‫1-1- سرمایه گذاری در سهام و حق تقدم سهام</t>
  </si>
  <si>
    <t>‫1404/08/30</t>
  </si>
  <si>
    <t>‫تغییرات طی دوره</t>
  </si>
  <si>
    <t>‫1404/09/30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</si>
  <si>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</si>
  <si>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</si>
  <si>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</si>
  <si>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</si>
  <si>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</si>
  <si>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</si>
  <si>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</si>
  <si>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</si>
  <si>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</si>
  <si>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‫آريان كيميا تك</t>
  </si>
  <si>
    <t>‫آلوميناي ايران</t>
  </si>
  <si>
    <t>‫آلومينيوم ايران</t>
  </si>
  <si>
    <t>‫آنتي بيوتيك سازي ايران</t>
  </si>
  <si>
    <t>‫آهن و فولاد غدير ايرانيان</t>
  </si>
  <si>
    <t>‫اخشان خراسان</t>
  </si>
  <si>
    <t>‫ارتباطات سیار</t>
  </si>
  <si>
    <t>‫افست</t>
  </si>
  <si>
    <t>‫اقتصاد نوين</t>
  </si>
  <si>
    <t>‫البرز دارو</t>
  </si>
  <si>
    <t>‫الكتريك خودرو</t>
  </si>
  <si>
    <t>‫املاح ايران</t>
  </si>
  <si>
    <t>‫ايران ترانسفو</t>
  </si>
  <si>
    <t>‫ايران ترانسفو (تقدم)</t>
  </si>
  <si>
    <t>‫ايران خودرو</t>
  </si>
  <si>
    <t>‫ايمن خودرو شرق</t>
  </si>
  <si>
    <t>‫ایرکا پارت صنعت</t>
  </si>
  <si>
    <t>‫بانك تجارت</t>
  </si>
  <si>
    <t>‫بانك خاورميانه</t>
  </si>
  <si>
    <t>‫بانك سينا</t>
  </si>
  <si>
    <t>‫بانك صادرات</t>
  </si>
  <si>
    <t>‫بانك ملت</t>
  </si>
  <si>
    <t>‫برق مپنا</t>
  </si>
  <si>
    <t>‫بهار رز عاليس چناران</t>
  </si>
  <si>
    <t>‫بهمن دیزل</t>
  </si>
  <si>
    <t>‫بيمه آسيا</t>
  </si>
  <si>
    <t>‫بيمه البرز</t>
  </si>
  <si>
    <t>‫بيمه ايران - معين</t>
  </si>
  <si>
    <t>‫بيمه پارسيان</t>
  </si>
  <si>
    <t>‫تامين سرمايه لوتوس پارسيان</t>
  </si>
  <si>
    <t>‫تامين سرمايه نوين</t>
  </si>
  <si>
    <t>‫تامين ماسه</t>
  </si>
  <si>
    <t>‫تايدواتر</t>
  </si>
  <si>
    <t>‫تجارت الکترونیک پارسیان</t>
  </si>
  <si>
    <t xml:space="preserve">‫تراكتور سازي </t>
  </si>
  <si>
    <t>‫توزيع دارو پخش</t>
  </si>
  <si>
    <t>‫توسعه سامانه ي نرم افزاري نگين</t>
  </si>
  <si>
    <t>‫توسعه معادن كروميت كاوندگان</t>
  </si>
  <si>
    <t>‫توسعه نيشكر و صنايع جانبي</t>
  </si>
  <si>
    <t>‫توسعه و عمران اميد</t>
  </si>
  <si>
    <t>‫توكا رنگ فولاد سپاهان</t>
  </si>
  <si>
    <t>‫توليد انرژي برق شمس پاسارگاد</t>
  </si>
  <si>
    <t>‫توليد ژلاتين كپسول ايران</t>
  </si>
  <si>
    <t>‫توليدات پتروشيمي قائد بصير</t>
  </si>
  <si>
    <t>‫توليدي برنا باطري</t>
  </si>
  <si>
    <t>‫توليدي و صنعتي گوهرفام</t>
  </si>
  <si>
    <t>‫توليدي چدن سازان</t>
  </si>
  <si>
    <t>‫حفاري شمال</t>
  </si>
  <si>
    <t>‫حمل و نقل ريلي پارسيان</t>
  </si>
  <si>
    <t>‫خاك چيني</t>
  </si>
  <si>
    <t>‫داده پردازي</t>
  </si>
  <si>
    <t>‫دارو ابوريحان</t>
  </si>
  <si>
    <t>‫داروسازي زاگرس</t>
  </si>
  <si>
    <t>‫داروسازي فارابي</t>
  </si>
  <si>
    <t>‫داروسازي‌ اكسير</t>
  </si>
  <si>
    <t>‫دارويي ره آورد تامين</t>
  </si>
  <si>
    <t>‫دارويي و نهاده هاي زاگرس دارو</t>
  </si>
  <si>
    <t>‫دارويي‌ رازك‌</t>
  </si>
  <si>
    <t>‫دريايي سينا</t>
  </si>
  <si>
    <t>‫رادياتور</t>
  </si>
  <si>
    <t>‫ريخته گري تراكتورسازي</t>
  </si>
  <si>
    <t>‫ريل سير كوثر</t>
  </si>
  <si>
    <t>‫س. و توسعه صنايع لاستيك</t>
  </si>
  <si>
    <t>‫سالمين</t>
  </si>
  <si>
    <t>‫سايپا</t>
  </si>
  <si>
    <t>‫سبحان_دارو</t>
  </si>
  <si>
    <t>‫سرمايه گذاري اميد</t>
  </si>
  <si>
    <t>‫سرمايه گذاري اميد (تقدم)</t>
  </si>
  <si>
    <t>‫سرمايه گذاري تامين اجتماعي</t>
  </si>
  <si>
    <t>‫سرمايه گذاري سپه</t>
  </si>
  <si>
    <t>‫سرمايه گذاري سپه (تقدم)</t>
  </si>
  <si>
    <t>‫سرمايه گذاري صدرتامين</t>
  </si>
  <si>
    <t>‫سرمايه گذاري غدير</t>
  </si>
  <si>
    <t>‫سرمايه گذاري كشاورزي كوثر</t>
  </si>
  <si>
    <t>‫سرمايه گذاري ملي ايران</t>
  </si>
  <si>
    <t>‫سرمايه گذاري ملي ايران (تقدم)</t>
  </si>
  <si>
    <t>‫سرمايه گذاري پايا تدبيرپارسا</t>
  </si>
  <si>
    <t>‫سرمایه گذاری مسکن تهران</t>
  </si>
  <si>
    <t>‫سنگ آهن گهرزمين</t>
  </si>
  <si>
    <t>‫سيمان اروميه</t>
  </si>
  <si>
    <t>‫سيمان بهبهان</t>
  </si>
  <si>
    <t>‫سيمان تهران</t>
  </si>
  <si>
    <t>‫سيمان خاش</t>
  </si>
  <si>
    <t>‫سيمان خزر</t>
  </si>
  <si>
    <t>‫سيمان ساوه</t>
  </si>
  <si>
    <t>‫سيمان سپاهان</t>
  </si>
  <si>
    <t>‫سيمان شمال</t>
  </si>
  <si>
    <t>‫سيمان صوفيان</t>
  </si>
  <si>
    <t>‫سيمان غرب</t>
  </si>
  <si>
    <t>‫سيمان فارس نو</t>
  </si>
  <si>
    <t>‫سيمان فارس و خوزستان</t>
  </si>
  <si>
    <t>‫سيمان قاين</t>
  </si>
  <si>
    <t>‫سيمان مازندران</t>
  </si>
  <si>
    <t>‫سيمان هگمتان</t>
  </si>
  <si>
    <t>‫سيمرغ</t>
  </si>
  <si>
    <t>‫سينا دارو</t>
  </si>
  <si>
    <t>‫سپيد ماكيان</t>
  </si>
  <si>
    <t>‫شرکت سرمایه گذاری خوارزمی</t>
  </si>
  <si>
    <t>‫شهد ايران</t>
  </si>
  <si>
    <t>‫شير و گوشت زاگرس شهركرد</t>
  </si>
  <si>
    <t>‫شير پاستوريزه پگاه گلپايگان</t>
  </si>
  <si>
    <t>‫شيشه همدان</t>
  </si>
  <si>
    <t>‫شيشه و گاز</t>
  </si>
  <si>
    <t>‫شیشه قزوین</t>
  </si>
  <si>
    <t>‫صنايع ارتباطي آوا</t>
  </si>
  <si>
    <t>‫صنايع الكترونيك ماديران</t>
  </si>
  <si>
    <t>‫صنايع غذايي رضوي</t>
  </si>
  <si>
    <t>‫صنايع چوب خزر كاسپين</t>
  </si>
  <si>
    <t>‫صندوق بازنشستگي</t>
  </si>
  <si>
    <t>‫صنعت غذايي كورش</t>
  </si>
  <si>
    <t>‫صنعتي آما</t>
  </si>
  <si>
    <t>‫صنعتي بارز</t>
  </si>
  <si>
    <t>‫صنعتي بهشهر</t>
  </si>
  <si>
    <t>‫صنعتي زر ماكارون</t>
  </si>
  <si>
    <t>‫صنعتي سپاهان</t>
  </si>
  <si>
    <t>‫صنعتی صبانور</t>
  </si>
  <si>
    <t>‫عطرين نخ قم</t>
  </si>
  <si>
    <t>‫عمران فارس</t>
  </si>
  <si>
    <t>‫غذايي مينو</t>
  </si>
  <si>
    <t>‫غلتك سازان سپاهان</t>
  </si>
  <si>
    <t>‫فجر انرژي خليج فارس</t>
  </si>
  <si>
    <t>‫فرآوري زغال سنگ پروده طبس</t>
  </si>
  <si>
    <t>‫فروشگاههاي زنجيره اي افق كوروش</t>
  </si>
  <si>
    <t>‫فن آوران</t>
  </si>
  <si>
    <t>‫فنرسازي زر</t>
  </si>
  <si>
    <t>‫فولاد آلياژي ايران</t>
  </si>
  <si>
    <t>‫فولاد ارفع</t>
  </si>
  <si>
    <t>‫فولاد خوزستان</t>
  </si>
  <si>
    <t>‫فولاد كاوه</t>
  </si>
  <si>
    <t>‫فولاد مباركه</t>
  </si>
  <si>
    <t>‫قاسم ايران</t>
  </si>
  <si>
    <t>‫قند اصفهان</t>
  </si>
  <si>
    <t>‫قند قزوين</t>
  </si>
  <si>
    <t>‫قند لرستان</t>
  </si>
  <si>
    <t>‫قند هكمتان</t>
  </si>
  <si>
    <t>‫قند پيرانشهر</t>
  </si>
  <si>
    <t>‫قند چهار محال</t>
  </si>
  <si>
    <t>‫كارخانجات داروپخش</t>
  </si>
  <si>
    <t>‫كاشي الوند</t>
  </si>
  <si>
    <t>‫كاشي حافظ</t>
  </si>
  <si>
    <t>‫كاشي سعدي</t>
  </si>
  <si>
    <t>‫كاشي وسراميك سينا</t>
  </si>
  <si>
    <t>‫كاشي پارس</t>
  </si>
  <si>
    <t>‫كاني كربن طبس</t>
  </si>
  <si>
    <t>‫كربن</t>
  </si>
  <si>
    <t>‫كشاورزي مكانيزه اصفهان كشت</t>
  </si>
  <si>
    <t>‫كشاورزي و دامپروري بينالود</t>
  </si>
  <si>
    <t>‫كشت و دام قيام اصفهان</t>
  </si>
  <si>
    <t>‫كشت و دامداري فكا</t>
  </si>
  <si>
    <t>‫كشت و صنعت شهداب</t>
  </si>
  <si>
    <t>‫كشتيراني ايران</t>
  </si>
  <si>
    <t>‫كوير تاير</t>
  </si>
  <si>
    <t>‫كيميا كالاي رازي</t>
  </si>
  <si>
    <t>‫مجتمع صنايع لاستيك يزد</t>
  </si>
  <si>
    <t>‫مديريت نيروگاهي ايرانيان مپنا</t>
  </si>
  <si>
    <t>‫ملي شيمي كشاورز</t>
  </si>
  <si>
    <t>‫ملي مس</t>
  </si>
  <si>
    <t>‫منگنز ايران</t>
  </si>
  <si>
    <t>‫مهرام</t>
  </si>
  <si>
    <t>‫مهرمام ميهن</t>
  </si>
  <si>
    <t>‫مواداوليه داروپخش</t>
  </si>
  <si>
    <t>‫موتورسازان</t>
  </si>
  <si>
    <t>‫موتوژن</t>
  </si>
  <si>
    <t>‫مپنا</t>
  </si>
  <si>
    <t>‫نخريسي و نساجي خسروي خراسان</t>
  </si>
  <si>
    <t>‫نساجي هديه البرز مشهد</t>
  </si>
  <si>
    <t>‫نسوز آذر</t>
  </si>
  <si>
    <t>‫نشاسته و گلوكز آردينه</t>
  </si>
  <si>
    <t>‫نفت اصفهان</t>
  </si>
  <si>
    <t>‫نفت بندر عباس</t>
  </si>
  <si>
    <t>‫نفت بهران</t>
  </si>
  <si>
    <t>‫نفت تبريز</t>
  </si>
  <si>
    <t>‫نفت سپاهان</t>
  </si>
  <si>
    <t>‫نفت لاوان</t>
  </si>
  <si>
    <t>‫نفت و گاز پارسیان</t>
  </si>
  <si>
    <t>‫نورد قطعات</t>
  </si>
  <si>
    <t>‫نيان الكترونيك</t>
  </si>
  <si>
    <t>‫نيان باتري خاوران</t>
  </si>
  <si>
    <t>‫نيروترانس</t>
  </si>
  <si>
    <t>‫نگين طبس</t>
  </si>
  <si>
    <t>‫همكاران سيستم</t>
  </si>
  <si>
    <t>‫پارس خزر</t>
  </si>
  <si>
    <t>‫پارس سوييچ</t>
  </si>
  <si>
    <t>‫پارس شهاب</t>
  </si>
  <si>
    <t>‫پارس فنر</t>
  </si>
  <si>
    <t>‫پارس فولاد سبزوار</t>
  </si>
  <si>
    <t>‫پارس مينو</t>
  </si>
  <si>
    <t>‫پاکدیس</t>
  </si>
  <si>
    <t>‫پتروشيمي جم</t>
  </si>
  <si>
    <t xml:space="preserve">‫پتروشيمي كرمانشاه </t>
  </si>
  <si>
    <t>‫پتروشيمي نوري</t>
  </si>
  <si>
    <t>‫پتروشيمی پردیس</t>
  </si>
  <si>
    <t>‫پتروشیمی تامین</t>
  </si>
  <si>
    <t>‫پخش البرز</t>
  </si>
  <si>
    <t>‫پخش هجرت</t>
  </si>
  <si>
    <t>‫پديده شيمي قرن</t>
  </si>
  <si>
    <t>‫پرتو بار فرابر خليج فارس</t>
  </si>
  <si>
    <t>‫پست بانك ايران</t>
  </si>
  <si>
    <t>‫پشم شيشه</t>
  </si>
  <si>
    <t>‫پلي پروپيلن جم - جم پيلن</t>
  </si>
  <si>
    <t>‫پمپ ايران</t>
  </si>
  <si>
    <t>‫پگاه آذربايجان</t>
  </si>
  <si>
    <t>‫پگاه اصفهان</t>
  </si>
  <si>
    <t>‫پگاه خراسان</t>
  </si>
  <si>
    <t>‫چادرملو</t>
  </si>
  <si>
    <t>‫کارت اعتباری ایران کیش</t>
  </si>
  <si>
    <t>‫گروه انتخاب الكترونيك آرمان</t>
  </si>
  <si>
    <t>‫گل گهر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</si>
  <si>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</si>
  <si>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</si>
  <si>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</si>
  <si>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</si>
  <si>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</si>
  <si>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</si>
  <si>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</si>
  <si>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محتشم-17150-4/11/08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</si>
  <si>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</si>
  <si>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</si>
  <si>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</si>
  <si>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</si>
  <si>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</si>
  <si>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</si>
  <si>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</si>
  <si>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</si>
  <si>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</si>
  <si>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</si>
  <si>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</si>
  <si>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</si>
  <si>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</si>
  <si>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</si>
  <si>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</si>
  <si>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</si>
  <si>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</si>
  <si>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</si>
  <si>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</si>
  <si>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</si>
  <si>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</si>
  <si>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</si>
  <si>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</si>
  <si>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</si>
  <si>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</si>
  <si>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</si>
  <si>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</si>
  <si>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</si>
  <si>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‫سپرده بانکی نزد بانک سپه</t>
  </si>
  <si>
    <t>‫سپرده بانکی نزد بانک پاسارگاد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</si>
  <si>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</si>
  <si>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</si>
  <si>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</si>
  <si>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</si>
  <si>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</si>
  <si>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</si>
  <si>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</si>
  <si>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</si>
  <si>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</si>
  <si>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</si>
  <si>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</si>
  <si>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</si>
  <si>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</si>
  <si>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</si>
  <si>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</si>
  <si>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</si>
  <si>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</si>
  <si>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</si>
  <si>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</si>
  <si>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</si>
  <si>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‫1404/05/14</t>
  </si>
  <si>
    <t>‫1404/03/21</t>
  </si>
  <si>
    <t>‫1404/03/26</t>
  </si>
  <si>
    <t>‫1404/03/12</t>
  </si>
  <si>
    <t>‫1404/04/05</t>
  </si>
  <si>
    <t>‫ايران ياسا</t>
  </si>
  <si>
    <t>‫1404/03/13</t>
  </si>
  <si>
    <t>‫1404/02/31</t>
  </si>
  <si>
    <t>‫1404/05/28</t>
  </si>
  <si>
    <t>‫1404/03/06</t>
  </si>
  <si>
    <t>‫1404/07/06</t>
  </si>
  <si>
    <t>‫1404/04/28</t>
  </si>
  <si>
    <t>‫تراكتور سازي</t>
  </si>
  <si>
    <t>‫1404/05/04</t>
  </si>
  <si>
    <t>‫1404/04/30</t>
  </si>
  <si>
    <t>‫1404/03/01</t>
  </si>
  <si>
    <t>‫1404/04/29</t>
  </si>
  <si>
    <t>‫1404/04/25</t>
  </si>
  <si>
    <t>‫1404/09/26</t>
  </si>
  <si>
    <t>‫1404/04/04</t>
  </si>
  <si>
    <t>‫1404/05/15</t>
  </si>
  <si>
    <t>‫1404/05/13</t>
  </si>
  <si>
    <t>‫1404/04/22</t>
  </si>
  <si>
    <t>‫زامياد</t>
  </si>
  <si>
    <t>‫1404/07/30</t>
  </si>
  <si>
    <t>‫1404/08/13</t>
  </si>
  <si>
    <t>‫1404/08/18</t>
  </si>
  <si>
    <t>‫سيمان آبيك</t>
  </si>
  <si>
    <t>‫1404/03/17</t>
  </si>
  <si>
    <t>‫1404/02/13</t>
  </si>
  <si>
    <t>‫1404/02/30</t>
  </si>
  <si>
    <t>‫1404/09/15</t>
  </si>
  <si>
    <t>‫1404/07/26</t>
  </si>
  <si>
    <t>‫1404/06/03</t>
  </si>
  <si>
    <t>‫صبا فولاد خليج فارس</t>
  </si>
  <si>
    <t>‫1404/01/31</t>
  </si>
  <si>
    <t>‫1404/04/31</t>
  </si>
  <si>
    <t>‫1404/04/19</t>
  </si>
  <si>
    <t>‫صنعتي مينو</t>
  </si>
  <si>
    <t>‫1404/03/25</t>
  </si>
  <si>
    <t>‫1404/05/08</t>
  </si>
  <si>
    <t>‫1404/03/03</t>
  </si>
  <si>
    <t>‫1404/08/24</t>
  </si>
  <si>
    <t>‫1404/08/27</t>
  </si>
  <si>
    <t>‫1404/03/28</t>
  </si>
  <si>
    <t>‫1404/04/26</t>
  </si>
  <si>
    <t>‫1404/07/15</t>
  </si>
  <si>
    <t>‫لاستيك سهند</t>
  </si>
  <si>
    <t>‫1404/02/20</t>
  </si>
  <si>
    <t>‫ليزينگ اقتصاد نوين</t>
  </si>
  <si>
    <t>‫1404/03/11</t>
  </si>
  <si>
    <t>‫1404/05/05</t>
  </si>
  <si>
    <t>‫1404/05/09</t>
  </si>
  <si>
    <t>‫1404/07/20</t>
  </si>
  <si>
    <t>‫مگسال</t>
  </si>
  <si>
    <t>‫1404/05/12</t>
  </si>
  <si>
    <t>‫1404/03/10</t>
  </si>
  <si>
    <t>‫1404/04/01</t>
  </si>
  <si>
    <t>‫1404/09/22</t>
  </si>
  <si>
    <t>‫1404/02/15</t>
  </si>
  <si>
    <t>‫1404/04/23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</si>
  <si>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</si>
  <si>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</si>
  <si>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</si>
  <si>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</si>
  <si>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</si>
  <si>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</si>
  <si>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‫پتروشيمي كرمانشاه</t>
  </si>
  <si>
    <t>‫گروه مالي مهرگان تامين پارس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</si>
  <si>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</si>
  <si>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</si>
  <si>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</si>
  <si>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</si>
  <si>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</si>
  <si>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</si>
  <si>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</si>
  <si>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</si>
  <si>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</si>
  <si>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</si>
  <si>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</si>
  <si>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</si>
  <si>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‫بهمن ديزل</t>
  </si>
  <si>
    <t>‫بيمه اتكايي ايران معين</t>
  </si>
  <si>
    <t>‫تجارت الكترونيك پارسيان</t>
  </si>
  <si>
    <t>‫توليد مواد اوليه داروپخش</t>
  </si>
  <si>
    <t>‫داروسازي اكسير</t>
  </si>
  <si>
    <t>‫شركت سرمايه گذاري خوارزمي</t>
  </si>
  <si>
    <t>‫شركت سرمايه گذاري مسكن تهران</t>
  </si>
  <si>
    <t>‫شركت پالايش نفت لاوان</t>
  </si>
  <si>
    <t>‫شركت پخش البرز</t>
  </si>
  <si>
    <t>‫شيشه قزوين</t>
  </si>
  <si>
    <t>‫صنعتي صبانور</t>
  </si>
  <si>
    <t>‫صنعتي پارس خزر</t>
  </si>
  <si>
    <t>‫كارت اعتباري ايران كيش</t>
  </si>
  <si>
    <t>‫كاشي و سراميك سعدي</t>
  </si>
  <si>
    <t>‫لامپ پارس شهاب</t>
  </si>
  <si>
    <t>‫معادن منگنز ايران</t>
  </si>
  <si>
    <t>‫نفت و گاز پارسيان</t>
  </si>
  <si>
    <t>‫پاكديس</t>
  </si>
  <si>
    <t>‫پتروشيمي تامين</t>
  </si>
  <si>
    <t>‫پتروشيمي فجر</t>
  </si>
  <si>
    <t>‫پتروشيمي پرديس</t>
  </si>
  <si>
    <t>‫پمپ سازي ايران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</si>
  <si>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</si>
  <si>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</si>
  <si>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</si>
  <si>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</si>
  <si>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</si>
  <si>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</si>
  <si>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</si>
  <si>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</si>
  <si>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‫كاريزما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</si>
  <si>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</si>
  <si>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</si>
  <si>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آذر 1404</t>
  </si>
  <si>
    <t>‫%22</t>
  </si>
  <si>
    <t>‫ بانک خاورميانه</t>
  </si>
  <si>
    <t>‫ بانک دي</t>
  </si>
  <si>
    <t>‫ بانک سامان</t>
  </si>
  <si>
    <t>‫ بانک ملت</t>
  </si>
  <si>
    <t>‫ بانک ملي</t>
  </si>
  <si>
    <t>‫3-1- سرمایه گذاری در  سپرده بانکی و گواهی سپرده بانکی</t>
  </si>
  <si>
    <t>1-2</t>
  </si>
  <si>
    <t>2-2</t>
  </si>
  <si>
    <t>3-2</t>
  </si>
  <si>
    <t>4-2</t>
  </si>
  <si>
    <t>‫بانک ملي</t>
  </si>
  <si>
    <t>‫بانک دي</t>
  </si>
  <si>
    <t>‫بانک سامان</t>
  </si>
  <si>
    <t>‫بانک پاسارگاد</t>
  </si>
  <si>
    <t>‫بانک سپه</t>
  </si>
  <si>
    <t>‫بانک خاورميانه</t>
  </si>
  <si>
    <t>‫بانک ملت</t>
  </si>
  <si>
    <t>بانک خاورميانه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</si>
</sst>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ptos Narrow"/>
      <family val="2"/>
      <scheme val="minor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sz val="22"/>
      <color rgb="FFFF0000"/>
      <name val="B Nazanin"/>
      <charset val="178"/>
    </font>
    <font>
      <b/>
      <sz val="14"/>
      <name val="B Nazanin"/>
      <charset val="178"/>
    </font>
    <font>
      <b/>
      <sz val="22"/>
      <color rgb="FFFF0000"/>
      <name val="B Nazanin"/>
      <charset val="178"/>
    </font>
    <font>
      <b/>
      <sz val="12"/>
      <color indexed="8"/>
      <name val="B Nazanin"/>
      <charset val="178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6"/>
  </cellStyleXfs>
  <cellXfs count="44">
    <xf numFmtId="0" fontId="0" fillId="0" borderId="0" xfId="0"/>
    <xf numFmtId="0" fontId="2" fillId="0" borderId="0" xfId="0" applyFont="1"/>
    <xf numFmtId="37" fontId="4" fillId="0" borderId="1" xfId="0" applyNumberFormat="1" applyFont="1" applyBorder="1" applyAlignment="1">
      <alignment horizontal="center" vertical="center"/>
    </xf>
    <xf numFmtId="37" fontId="4" fillId="0" borderId="0" xfId="0" applyNumberFormat="1" applyFont="1" applyAlignment="1">
      <alignment horizontal="right" vertical="center" wrapText="1"/>
    </xf>
    <xf numFmtId="37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7" fontId="4" fillId="0" borderId="3" xfId="0" applyNumberFormat="1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37" fontId="4" fillId="0" borderId="4" xfId="0" applyNumberFormat="1" applyFont="1" applyBorder="1" applyAlignment="1">
      <alignment horizontal="center" vertical="center"/>
    </xf>
    <xf numFmtId="37" fontId="3" fillId="0" borderId="1" xfId="0" applyNumberFormat="1" applyFont="1" applyBorder="1" applyAlignment="1">
      <alignment horizontal="center" vertical="center"/>
    </xf>
    <xf numFmtId="37" fontId="3" fillId="0" borderId="1" xfId="0" applyNumberFormat="1" applyFont="1" applyBorder="1" applyAlignment="1">
      <alignment horizontal="center" vertical="center" wrapText="1"/>
    </xf>
    <xf numFmtId="37" fontId="4" fillId="0" borderId="0" xfId="0" applyNumberFormat="1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/>
    </xf>
    <xf numFmtId="37" fontId="3" fillId="0" borderId="0" xfId="0" applyNumberFormat="1" applyFont="1" applyAlignment="1">
      <alignment horizontal="right" vertical="center"/>
    </xf>
    <xf numFmtId="0" fontId="6" fillId="3" borderId="6" xfId="1" applyFont="1" applyFill="1"/>
    <xf numFmtId="0" fontId="11" fillId="3" borderId="6" xfId="1" applyFont="1" applyFill="1" applyAlignment="1">
      <alignment horizontal="center"/>
    </xf>
    <xf numFmtId="0" fontId="11" fillId="3" borderId="6" xfId="1" applyFont="1" applyFill="1"/>
    <xf numFmtId="3" fontId="2" fillId="0" borderId="0" xfId="0" applyNumberFormat="1" applyFont="1"/>
    <xf numFmtId="37" fontId="0" fillId="0" borderId="0" xfId="0" applyNumberFormat="1" applyFont="1" applyAlignment="1">
      <alignment horizontal="right" vertical="center" wrapText="1"/>
    </xf>
    <xf numFmtId="37" fontId="2" fillId="0" borderId="0" xfId="0" applyNumberFormat="1" applyFont="1" applyAlignment="1">
      <alignment horizontal="center" vertical="center" wrapText="1"/>
    </xf>
    <xf numFmtId="0" fontId="12" fillId="3" borderId="6" xfId="1" applyFont="1" applyFill="1" applyAlignment="1">
      <alignment horizontal="center" vertical="center" wrapText="1"/>
    </xf>
    <xf numFmtId="0" fontId="7" fillId="3" borderId="6" xfId="1" applyFont="1" applyFill="1" applyAlignment="1">
      <alignment horizontal="center" vertical="center" wrapText="1"/>
    </xf>
    <xf numFmtId="0" fontId="8" fillId="3" borderId="6" xfId="1" applyFont="1" applyFill="1" applyAlignment="1">
      <alignment horizontal="center" vertical="center" wrapText="1"/>
    </xf>
    <xf numFmtId="0" fontId="9" fillId="3" borderId="6" xfId="1" applyFont="1" applyFill="1" applyAlignment="1">
      <alignment horizontal="center" vertical="center" wrapText="1"/>
    </xf>
    <xf numFmtId="0" fontId="10" fillId="3" borderId="6" xfId="1" applyFont="1" applyFill="1" applyAlignment="1">
      <alignment horizontal="center"/>
    </xf>
    <xf numFmtId="0" fontId="14" fillId="3" borderId="6" xfId="1" applyFont="1" applyFill="1" applyAlignment="1">
      <alignment horizontal="center" vertical="center" wrapText="1"/>
    </xf>
    <xf numFmtId="0" fontId="13" fillId="3" borderId="6" xfId="1" applyFont="1" applyFill="1" applyAlignment="1">
      <alignment horizontal="center"/>
    </xf>
    <xf numFmtId="37" fontId="3" fillId="0" borderId="1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/>
    <xf numFmtId="0" fontId="4" fillId="0" borderId="0" xfId="0" applyFont="1" applyAlignment="1">
      <alignment horizontal="center" vertical="center"/>
    </xf>
    <xf numFmtId="37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37" fontId="4" fillId="0" borderId="0" xfId="0" applyNumberFormat="1" applyFont="1" applyAlignment="1">
      <alignment horizontal="center" vertical="center" wrapText="1"/>
    </xf>
    <xf numFmtId="37" fontId="1" fillId="0" borderId="0" xfId="0" applyNumberFormat="1" applyFont="1" applyAlignment="1">
      <alignment horizontal="center" vertical="center"/>
    </xf>
    <xf numFmtId="37" fontId="3" fillId="0" borderId="0" xfId="0" applyNumberFormat="1" applyFont="1" applyAlignment="1">
      <alignment horizontal="right" vertical="center"/>
    </xf>
    <xf numFmtId="37" fontId="4" fillId="0" borderId="0" xfId="0" applyNumberFormat="1" applyFont="1" applyAlignment="1">
      <alignment horizontal="center" vertical="center"/>
    </xf>
    <xf numFmtId="37" fontId="2" fillId="0" borderId="4" xfId="0" applyNumberFormat="1" applyFont="1" applyBorder="1" applyAlignment="1">
      <alignment horizontal="center" vertical="center"/>
    </xf>
    <xf numFmtId="37" fontId="15" fillId="0" borderId="0" xfId="0" applyNumberFormat="1" applyFont="1" applyAlignment="1">
      <alignment horizontal="right" vertical="center"/>
    </xf>
    <xf numFmtId="0" fontId="15" fillId="0" borderId="0" xfId="0" applyFont="1"/>
    <xf numFmtId="37" fontId="4" fillId="0" borderId="5" xfId="0" applyNumberFormat="1" applyFont="1" applyBorder="1" applyAlignment="1">
      <alignment horizontal="center" vertical="center"/>
    </xf>
    <xf numFmtId="0" fontId="2" fillId="2" borderId="7" xfId="0" applyNumberFormat="1" applyFont="1" applyFill="1" applyBorder="1"/>
    <xf numFmtId="0" fontId="2" fillId="2" borderId="8" xfId="0" applyNumberFormat="1" applyFont="1" applyFill="1" applyBorder="1"/>
    <xf numFmtId="49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B11CD955-92AE-4A56-B262-71CA13594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activeCell="AM35" sqref="AM35"/>
    </sheetView>
  </sheetViews>
  <sheetFormatPr defaultRowHeight="15" x14ac:dyDescent="0.25"/>
  <sheetData>
    <row r="1" spans="1:11" ht="18" x14ac:dyDescent="0.4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8" x14ac:dyDescent="0.4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x14ac:dyDescent="0.4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x14ac:dyDescent="0.25">
      <c r="A4" s="22" t="s">
        <v>395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ht="66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1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3"/>
    </row>
    <row r="11" spans="1:1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30" x14ac:dyDescent="0.75">
      <c r="A13" s="15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25.5" x14ac:dyDescent="0.6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5" customHeight="1" x14ac:dyDescent="0.25">
      <c r="A15" s="26" t="s">
        <v>397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 ht="1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1:11" ht="1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ht="1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1:11" ht="26.2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1" ht="18" x14ac:dyDescent="0.4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39.950000000000003" customHeight="1" x14ac:dyDescent="0.65">
      <c r="A22" s="15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39.950000000000003" customHeight="1" x14ac:dyDescent="0.6">
      <c r="A23" s="15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39.950000000000003" customHeight="1" x14ac:dyDescent="0.65">
      <c r="A24" s="15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x14ac:dyDescent="0.25">
      <c r="A25" s="21" t="s">
        <v>396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8" x14ac:dyDescent="0.4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20"/>
  <sheetViews>
    <sheetView rightToLeft="1" view="pageBreakPreview" zoomScale="60" zoomScaleNormal="100" workbookViewId="0">
      <selection activeCell="AM35" sqref="AM35"/>
    </sheetView>
  </sheetViews>
  <sheetFormatPr defaultRowHeight="18" x14ac:dyDescent="0.45"/>
  <cols>
    <col min="1" max="1" width="18" style="1" bestFit="1" customWidth="1"/>
    <col min="2" max="2" width="1.42578125" style="1" customWidth="1"/>
    <col min="3" max="3" width="14" style="1" bestFit="1" customWidth="1"/>
    <col min="4" max="4" width="1.42578125" style="1" customWidth="1"/>
    <col min="5" max="5" width="19.85546875" style="1" bestFit="1" customWidth="1"/>
    <col min="6" max="6" width="1.42578125" style="1" customWidth="1"/>
    <col min="7" max="7" width="19.7109375" style="1" bestFit="1" customWidth="1"/>
    <col min="8" max="8" width="1.42578125" style="1" customWidth="1"/>
    <col min="9" max="9" width="13.7109375" style="1" bestFit="1" customWidth="1"/>
    <col min="10" max="10" width="18.28515625" style="1" bestFit="1" customWidth="1"/>
    <col min="11" max="11" width="1.42578125" style="1" customWidth="1"/>
    <col min="12" max="12" width="12.28515625" style="1" bestFit="1" customWidth="1"/>
    <col min="13" max="13" width="18.28515625" style="1" bestFit="1" customWidth="1"/>
    <col min="14" max="14" width="1.42578125" style="1" customWidth="1"/>
    <col min="15" max="15" width="13.42578125" style="1" bestFit="1" customWidth="1"/>
    <col min="16" max="16" width="1.42578125" style="1" customWidth="1"/>
    <col min="17" max="17" width="14.85546875" style="1" bestFit="1" customWidth="1"/>
    <col min="18" max="18" width="1.42578125" style="1" customWidth="1"/>
    <col min="19" max="19" width="19.85546875" style="1" bestFit="1" customWidth="1"/>
    <col min="20" max="20" width="1.42578125" style="1" customWidth="1"/>
    <col min="21" max="21" width="19.140625" style="1" bestFit="1" customWidth="1"/>
    <col min="22" max="22" width="1.42578125" style="1" customWidth="1"/>
    <col min="23" max="23" width="17.28515625" style="1" bestFit="1" customWidth="1"/>
    <col min="24" max="16384" width="9.140625" style="1"/>
  </cols>
  <sheetData>
    <row r="1" spans="1:2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7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5" spans="1:27" ht="21" x14ac:dyDescent="0.45">
      <c r="A5" s="35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AA5" s="18"/>
    </row>
    <row r="6" spans="1:27" ht="21" x14ac:dyDescent="0.45">
      <c r="A6" s="35" t="s">
        <v>4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8" spans="1:27" ht="21" x14ac:dyDescent="0.45">
      <c r="C8" s="28" t="s">
        <v>5</v>
      </c>
      <c r="D8" s="29"/>
      <c r="E8" s="29"/>
      <c r="F8" s="29"/>
      <c r="G8" s="29"/>
      <c r="I8" s="28" t="s">
        <v>6</v>
      </c>
      <c r="J8" s="29"/>
      <c r="K8" s="29"/>
      <c r="L8" s="29"/>
      <c r="M8" s="29"/>
      <c r="O8" s="28" t="s">
        <v>7</v>
      </c>
      <c r="P8" s="29"/>
      <c r="Q8" s="29"/>
      <c r="R8" s="29"/>
      <c r="S8" s="29"/>
      <c r="T8" s="29"/>
      <c r="U8" s="29"/>
      <c r="V8" s="29"/>
      <c r="W8" s="29"/>
    </row>
    <row r="9" spans="1:27" ht="18.75" x14ac:dyDescent="0.45">
      <c r="A9" s="30" t="s">
        <v>8</v>
      </c>
      <c r="C9" s="30" t="s">
        <v>9</v>
      </c>
      <c r="E9" s="30" t="s">
        <v>10</v>
      </c>
      <c r="G9" s="30" t="s">
        <v>11</v>
      </c>
      <c r="I9" s="30" t="s">
        <v>12</v>
      </c>
      <c r="J9" s="32"/>
      <c r="L9" s="30" t="s">
        <v>13</v>
      </c>
      <c r="M9" s="32"/>
      <c r="O9" s="30" t="s">
        <v>9</v>
      </c>
      <c r="Q9" s="33" t="s">
        <v>14</v>
      </c>
      <c r="S9" s="30" t="s">
        <v>10</v>
      </c>
      <c r="U9" s="30" t="s">
        <v>11</v>
      </c>
      <c r="W9" s="33" t="s">
        <v>15</v>
      </c>
    </row>
    <row r="10" spans="1:27" ht="18.75" x14ac:dyDescent="0.45">
      <c r="A10" s="31"/>
      <c r="C10" s="31"/>
      <c r="E10" s="31"/>
      <c r="G10" s="31"/>
      <c r="I10" s="2" t="s">
        <v>9</v>
      </c>
      <c r="J10" s="2" t="s">
        <v>10</v>
      </c>
      <c r="L10" s="2" t="s">
        <v>9</v>
      </c>
      <c r="M10" s="2" t="s">
        <v>16</v>
      </c>
      <c r="O10" s="31"/>
      <c r="Q10" s="31"/>
      <c r="S10" s="31"/>
      <c r="U10" s="31"/>
      <c r="W10" s="31"/>
    </row>
    <row r="11" spans="1:27" ht="18.75" x14ac:dyDescent="0.45">
      <c r="A11" s="3" t="s">
        <v>17</v>
      </c>
      <c r="C11" s="4">
        <v>1173278</v>
      </c>
      <c r="E11" s="4">
        <v>9887354817</v>
      </c>
      <c r="G11" s="4">
        <v>10699076676</v>
      </c>
      <c r="I11" s="4">
        <v>168272</v>
      </c>
      <c r="J11" s="4">
        <v>1539943476</v>
      </c>
      <c r="L11" s="4">
        <v>0</v>
      </c>
      <c r="M11" s="4">
        <v>0</v>
      </c>
      <c r="O11" s="4">
        <v>1341550</v>
      </c>
      <c r="Q11" s="4">
        <v>11030</v>
      </c>
      <c r="S11" s="4">
        <v>11427298293</v>
      </c>
      <c r="U11" s="4">
        <v>14536483618</v>
      </c>
      <c r="W11" s="5">
        <v>3.3270304343595834E-3</v>
      </c>
    </row>
    <row r="12" spans="1:27" ht="18.75" x14ac:dyDescent="0.45">
      <c r="A12" s="3" t="s">
        <v>18</v>
      </c>
      <c r="C12" s="4">
        <v>108909</v>
      </c>
      <c r="E12" s="4">
        <v>9972240615</v>
      </c>
      <c r="G12" s="4">
        <v>11449712787</v>
      </c>
      <c r="N12" s="6"/>
      <c r="O12" s="4">
        <v>108909</v>
      </c>
      <c r="Q12" s="4">
        <v>136100</v>
      </c>
      <c r="S12" s="4">
        <v>9972240615</v>
      </c>
      <c r="U12" s="4">
        <v>14734953643</v>
      </c>
      <c r="W12" s="5">
        <v>3.3724551622948498E-3</v>
      </c>
    </row>
    <row r="13" spans="1:27" ht="18.75" x14ac:dyDescent="0.45">
      <c r="A13" s="3" t="s">
        <v>19</v>
      </c>
      <c r="H13" s="6"/>
      <c r="I13" s="4">
        <v>2800000</v>
      </c>
      <c r="J13" s="4">
        <v>15777920621</v>
      </c>
      <c r="L13" s="4">
        <v>0</v>
      </c>
      <c r="M13" s="4">
        <v>0</v>
      </c>
      <c r="O13" s="4">
        <v>2800000</v>
      </c>
      <c r="Q13" s="4">
        <v>5740</v>
      </c>
      <c r="S13" s="4">
        <v>15777920621</v>
      </c>
      <c r="U13" s="4">
        <v>15975547000</v>
      </c>
      <c r="W13" s="5">
        <v>3.6563953478217265E-3</v>
      </c>
    </row>
    <row r="14" spans="1:27" ht="37.5" x14ac:dyDescent="0.45">
      <c r="A14" s="3" t="s">
        <v>20</v>
      </c>
      <c r="C14" s="4">
        <v>50000</v>
      </c>
      <c r="E14" s="4">
        <v>1000908000</v>
      </c>
      <c r="G14" s="4">
        <v>1364371250</v>
      </c>
      <c r="N14" s="6"/>
      <c r="O14" s="4">
        <v>50000</v>
      </c>
      <c r="Q14" s="4">
        <v>31950</v>
      </c>
      <c r="S14" s="4">
        <v>1000908000</v>
      </c>
      <c r="U14" s="4">
        <v>1590112675</v>
      </c>
      <c r="W14" s="5">
        <v>3.6393624502387058E-4</v>
      </c>
    </row>
    <row r="15" spans="1:27" ht="37.5" x14ac:dyDescent="0.45">
      <c r="A15" s="3" t="s">
        <v>21</v>
      </c>
      <c r="C15" s="4">
        <v>4847874</v>
      </c>
      <c r="E15" s="4">
        <v>21062120067</v>
      </c>
      <c r="G15" s="4">
        <v>21497677305</v>
      </c>
      <c r="I15" s="4">
        <v>0</v>
      </c>
      <c r="J15" s="4">
        <v>0</v>
      </c>
      <c r="L15" s="4">
        <v>1033332</v>
      </c>
      <c r="M15" s="4">
        <v>4676176480</v>
      </c>
      <c r="O15" s="4">
        <v>3814542</v>
      </c>
      <c r="Q15" s="4">
        <v>5089</v>
      </c>
      <c r="S15" s="4">
        <v>16572695909</v>
      </c>
      <c r="U15" s="4">
        <v>19265932955</v>
      </c>
      <c r="W15" s="5">
        <v>4.4094807913686645E-3</v>
      </c>
    </row>
    <row r="16" spans="1:27" ht="18.75" x14ac:dyDescent="0.45">
      <c r="A16" s="3" t="s">
        <v>22</v>
      </c>
      <c r="C16" s="4">
        <v>245000</v>
      </c>
      <c r="E16" s="4">
        <v>1829159370</v>
      </c>
      <c r="G16" s="4">
        <v>2693616142</v>
      </c>
      <c r="N16" s="6"/>
      <c r="O16" s="4">
        <v>245000</v>
      </c>
      <c r="Q16" s="4">
        <v>9780</v>
      </c>
      <c r="S16" s="4">
        <v>1829159370</v>
      </c>
      <c r="U16" s="4">
        <v>2365422839</v>
      </c>
      <c r="W16" s="5">
        <v>5.4138497192934062E-4</v>
      </c>
    </row>
    <row r="17" spans="1:23" ht="18.75" x14ac:dyDescent="0.45">
      <c r="A17" s="3" t="s">
        <v>23</v>
      </c>
      <c r="C17" s="4">
        <v>2124125</v>
      </c>
      <c r="E17" s="4">
        <v>8803931592</v>
      </c>
      <c r="G17" s="4">
        <v>9583736971</v>
      </c>
      <c r="N17" s="6"/>
      <c r="O17" s="4">
        <v>2124125</v>
      </c>
      <c r="Q17" s="4">
        <v>5350</v>
      </c>
      <c r="S17" s="4">
        <v>8803931592</v>
      </c>
      <c r="U17" s="4">
        <v>11170839223</v>
      </c>
      <c r="W17" s="5">
        <v>2.5567202529116323E-3</v>
      </c>
    </row>
    <row r="18" spans="1:23" ht="18.75" x14ac:dyDescent="0.45">
      <c r="A18" s="3" t="s">
        <v>24</v>
      </c>
      <c r="C18" s="4">
        <v>2598170</v>
      </c>
      <c r="E18" s="4">
        <v>24857803647</v>
      </c>
      <c r="G18" s="4">
        <v>28023796406</v>
      </c>
      <c r="I18" s="4">
        <v>200000</v>
      </c>
      <c r="J18" s="4">
        <v>2345231084</v>
      </c>
      <c r="L18" s="4">
        <v>0</v>
      </c>
      <c r="M18" s="4">
        <v>0</v>
      </c>
      <c r="O18" s="4">
        <v>2798170</v>
      </c>
      <c r="Q18" s="4">
        <v>12540</v>
      </c>
      <c r="S18" s="4">
        <v>27203034731</v>
      </c>
      <c r="U18" s="4">
        <v>34817813430</v>
      </c>
      <c r="W18" s="5">
        <v>7.9689096746907526E-3</v>
      </c>
    </row>
    <row r="19" spans="1:23" ht="18.75" x14ac:dyDescent="0.45">
      <c r="A19" s="3" t="s">
        <v>25</v>
      </c>
      <c r="C19" s="4">
        <v>5800000</v>
      </c>
      <c r="E19" s="4">
        <v>21899560946</v>
      </c>
      <c r="G19" s="4">
        <v>25098278926</v>
      </c>
      <c r="I19" s="4">
        <v>0</v>
      </c>
      <c r="J19" s="4">
        <v>0</v>
      </c>
      <c r="L19" s="4">
        <v>2000000</v>
      </c>
      <c r="M19" s="4">
        <v>9399174855</v>
      </c>
      <c r="O19" s="4">
        <v>3800000</v>
      </c>
      <c r="Q19" s="4">
        <v>4892</v>
      </c>
      <c r="S19" s="4">
        <v>14347988206</v>
      </c>
      <c r="U19" s="4">
        <v>18623121814</v>
      </c>
      <c r="W19" s="5">
        <v>4.2623577122352626E-3</v>
      </c>
    </row>
    <row r="20" spans="1:23" ht="18.75" x14ac:dyDescent="0.45">
      <c r="A20" s="3" t="s">
        <v>26</v>
      </c>
      <c r="C20" s="4">
        <v>2800000</v>
      </c>
      <c r="E20" s="4">
        <v>10433055504</v>
      </c>
      <c r="G20" s="4">
        <v>11477388636</v>
      </c>
      <c r="I20" s="4">
        <v>4000000</v>
      </c>
      <c r="J20" s="4">
        <v>18934306858</v>
      </c>
      <c r="L20" s="4">
        <v>0</v>
      </c>
      <c r="M20" s="4">
        <v>0</v>
      </c>
      <c r="O20" s="4">
        <v>6800000</v>
      </c>
      <c r="Q20" s="4">
        <v>4604</v>
      </c>
      <c r="S20" s="4">
        <v>29367362362</v>
      </c>
      <c r="U20" s="4">
        <v>30781803032</v>
      </c>
      <c r="W20" s="5">
        <v>7.0451698088190356E-3</v>
      </c>
    </row>
    <row r="21" spans="1:23" ht="18.75" x14ac:dyDescent="0.45">
      <c r="A21" s="3" t="s">
        <v>27</v>
      </c>
      <c r="C21" s="4">
        <v>7252455</v>
      </c>
      <c r="E21" s="4">
        <v>28604795566</v>
      </c>
      <c r="G21" s="4">
        <v>18955300539</v>
      </c>
      <c r="I21" s="4">
        <v>0</v>
      </c>
      <c r="J21" s="4">
        <v>0</v>
      </c>
      <c r="L21" s="4">
        <v>1435600</v>
      </c>
      <c r="M21" s="4">
        <v>3990315825</v>
      </c>
      <c r="O21" s="4">
        <v>5816855</v>
      </c>
      <c r="Q21" s="4">
        <v>3013</v>
      </c>
      <c r="S21" s="4">
        <v>22942568842</v>
      </c>
      <c r="U21" s="4">
        <v>17436881837</v>
      </c>
      <c r="W21" s="5">
        <v>3.9908576294335309E-3</v>
      </c>
    </row>
    <row r="22" spans="1:23" ht="18.75" x14ac:dyDescent="0.45">
      <c r="A22" s="3" t="s">
        <v>28</v>
      </c>
      <c r="C22" s="4">
        <v>2061711</v>
      </c>
      <c r="E22" s="4">
        <v>29164819361</v>
      </c>
      <c r="G22" s="4">
        <v>33837101529</v>
      </c>
      <c r="I22" s="4">
        <v>0</v>
      </c>
      <c r="J22" s="4">
        <v>0</v>
      </c>
      <c r="L22" s="4">
        <v>115125</v>
      </c>
      <c r="M22" s="4">
        <v>2242885592</v>
      </c>
      <c r="O22" s="4">
        <v>1946586</v>
      </c>
      <c r="Q22" s="4">
        <v>19410</v>
      </c>
      <c r="S22" s="4">
        <v>27536269177</v>
      </c>
      <c r="U22" s="4">
        <v>38341046971</v>
      </c>
      <c r="W22" s="5">
        <v>8.7752879932924167E-3</v>
      </c>
    </row>
    <row r="23" spans="1:23" ht="18.75" x14ac:dyDescent="0.45">
      <c r="A23" s="3" t="s">
        <v>29</v>
      </c>
      <c r="C23" s="4">
        <v>10698285</v>
      </c>
      <c r="E23" s="4">
        <v>27173797676</v>
      </c>
      <c r="G23" s="4">
        <v>34447580649</v>
      </c>
      <c r="N23" s="6"/>
      <c r="O23" s="4">
        <v>15409456</v>
      </c>
      <c r="Q23" s="4">
        <v>2495</v>
      </c>
      <c r="S23" s="4">
        <v>25670576373</v>
      </c>
      <c r="U23" s="4">
        <v>37614238627</v>
      </c>
      <c r="W23" s="5">
        <v>8.6089400962370225E-3</v>
      </c>
    </row>
    <row r="24" spans="1:23" ht="18.75" x14ac:dyDescent="0.45">
      <c r="A24" s="3" t="s">
        <v>30</v>
      </c>
      <c r="H24" s="6"/>
      <c r="N24" s="6"/>
      <c r="O24" s="4">
        <v>2257436</v>
      </c>
      <c r="Q24" s="4">
        <v>1313</v>
      </c>
      <c r="S24" s="4">
        <v>1503221303</v>
      </c>
      <c r="U24" s="4">
        <v>2941101644</v>
      </c>
      <c r="W24" s="5">
        <v>6.7314317115980016E-4</v>
      </c>
    </row>
    <row r="25" spans="1:23" ht="18.75" x14ac:dyDescent="0.45">
      <c r="A25" s="3" t="s">
        <v>31</v>
      </c>
      <c r="C25" s="4">
        <v>34000000</v>
      </c>
      <c r="E25" s="4">
        <v>13849868804</v>
      </c>
      <c r="G25" s="4">
        <v>18083128480</v>
      </c>
      <c r="I25" s="4">
        <v>15966373</v>
      </c>
      <c r="J25" s="4">
        <v>9989557998</v>
      </c>
      <c r="L25" s="4">
        <v>0</v>
      </c>
      <c r="M25" s="4">
        <v>0</v>
      </c>
      <c r="O25" s="4">
        <v>49966373</v>
      </c>
      <c r="Q25" s="4">
        <v>626</v>
      </c>
      <c r="S25" s="4">
        <v>23839426802</v>
      </c>
      <c r="U25" s="4">
        <v>30838842687</v>
      </c>
      <c r="W25" s="5">
        <v>7.058224731394354E-3</v>
      </c>
    </row>
    <row r="26" spans="1:23" ht="18.75" x14ac:dyDescent="0.45">
      <c r="A26" s="3" t="s">
        <v>32</v>
      </c>
      <c r="C26" s="4">
        <v>1750000</v>
      </c>
      <c r="E26" s="4">
        <v>4291393050</v>
      </c>
      <c r="G26" s="4">
        <v>6277348087</v>
      </c>
      <c r="N26" s="6"/>
      <c r="O26" s="4">
        <v>1750000</v>
      </c>
      <c r="Q26" s="4">
        <v>3763</v>
      </c>
      <c r="S26" s="4">
        <v>4291393050</v>
      </c>
      <c r="U26" s="4">
        <v>6529136600</v>
      </c>
      <c r="W26" s="5">
        <v>1.4943528812836622E-3</v>
      </c>
    </row>
    <row r="27" spans="1:23" ht="18.75" x14ac:dyDescent="0.45">
      <c r="A27" s="3" t="s">
        <v>33</v>
      </c>
      <c r="C27" s="4">
        <v>9109504</v>
      </c>
      <c r="E27" s="4">
        <v>18425777349</v>
      </c>
      <c r="G27" s="4">
        <v>13902116627</v>
      </c>
      <c r="N27" s="6"/>
      <c r="O27" s="4">
        <v>9109504</v>
      </c>
      <c r="Q27" s="4">
        <v>1821</v>
      </c>
      <c r="S27" s="4">
        <v>18425777349</v>
      </c>
      <c r="U27" s="4">
        <v>16523452012</v>
      </c>
      <c r="W27" s="5">
        <v>3.7817968340384429E-3</v>
      </c>
    </row>
    <row r="28" spans="1:23" ht="18.75" x14ac:dyDescent="0.45">
      <c r="A28" s="3" t="s">
        <v>34</v>
      </c>
      <c r="C28" s="4">
        <v>28966397</v>
      </c>
      <c r="E28" s="4">
        <v>11160852097</v>
      </c>
      <c r="G28" s="4">
        <v>13480226286</v>
      </c>
      <c r="N28" s="6"/>
      <c r="O28" s="4">
        <v>28966397</v>
      </c>
      <c r="Q28" s="4">
        <v>590</v>
      </c>
      <c r="S28" s="4">
        <v>11160852097</v>
      </c>
      <c r="U28" s="4">
        <v>16958067183</v>
      </c>
      <c r="W28" s="5">
        <v>3.8812691644279531E-3</v>
      </c>
    </row>
    <row r="29" spans="1:23" ht="18.75" x14ac:dyDescent="0.45">
      <c r="A29" s="3" t="s">
        <v>35</v>
      </c>
      <c r="H29" s="6"/>
      <c r="I29" s="4">
        <v>3600000</v>
      </c>
      <c r="J29" s="4">
        <v>9973298250</v>
      </c>
      <c r="L29" s="4">
        <v>0</v>
      </c>
      <c r="M29" s="4">
        <v>0</v>
      </c>
      <c r="O29" s="4">
        <v>3600000</v>
      </c>
      <c r="Q29" s="4">
        <v>2765</v>
      </c>
      <c r="S29" s="4">
        <v>9973298250</v>
      </c>
      <c r="U29" s="4">
        <v>9930638160</v>
      </c>
      <c r="W29" s="5">
        <v>2.272869853478251E-3</v>
      </c>
    </row>
    <row r="30" spans="1:23" ht="18.75" x14ac:dyDescent="0.45">
      <c r="A30" s="3" t="s">
        <v>36</v>
      </c>
      <c r="H30" s="6"/>
      <c r="I30" s="4">
        <v>5421007</v>
      </c>
      <c r="J30" s="4">
        <v>19979115074</v>
      </c>
      <c r="L30" s="4">
        <v>0</v>
      </c>
      <c r="M30" s="4">
        <v>0</v>
      </c>
      <c r="O30" s="4">
        <v>5421007</v>
      </c>
      <c r="Q30" s="4">
        <v>3626</v>
      </c>
      <c r="S30" s="4">
        <v>19979115074</v>
      </c>
      <c r="U30" s="4">
        <v>19327115699</v>
      </c>
      <c r="W30" s="5">
        <v>4.4234839613714544E-3</v>
      </c>
    </row>
    <row r="31" spans="1:23" ht="18.75" x14ac:dyDescent="0.45">
      <c r="A31" s="3" t="s">
        <v>37</v>
      </c>
      <c r="C31" s="4">
        <v>35600000</v>
      </c>
      <c r="E31" s="4">
        <v>18338590879</v>
      </c>
      <c r="G31" s="4">
        <v>19534621036</v>
      </c>
      <c r="N31" s="6"/>
      <c r="O31" s="4">
        <v>35600000</v>
      </c>
      <c r="Q31" s="4">
        <v>667</v>
      </c>
      <c r="S31" s="4">
        <v>18338590879</v>
      </c>
      <c r="U31" s="4">
        <v>23561649604</v>
      </c>
      <c r="W31" s="5">
        <v>5.3926607958445011E-3</v>
      </c>
    </row>
    <row r="32" spans="1:23" ht="18.75" x14ac:dyDescent="0.45">
      <c r="A32" s="3" t="s">
        <v>38</v>
      </c>
      <c r="C32" s="4">
        <v>13980938</v>
      </c>
      <c r="E32" s="4">
        <v>14363242088</v>
      </c>
      <c r="G32" s="4">
        <v>16564201227</v>
      </c>
      <c r="N32" s="6"/>
      <c r="O32" s="4">
        <v>13980938</v>
      </c>
      <c r="Q32" s="4">
        <v>1477</v>
      </c>
      <c r="S32" s="4">
        <v>14363242088</v>
      </c>
      <c r="U32" s="4">
        <v>20448603525</v>
      </c>
      <c r="W32" s="5">
        <v>4.6801639279244059E-3</v>
      </c>
    </row>
    <row r="33" spans="1:23" ht="18.75" x14ac:dyDescent="0.45">
      <c r="A33" s="3" t="s">
        <v>39</v>
      </c>
      <c r="C33" s="4">
        <v>5060139</v>
      </c>
      <c r="E33" s="4">
        <v>21069522683</v>
      </c>
      <c r="G33" s="4">
        <v>23649023631</v>
      </c>
      <c r="I33" s="4">
        <v>0</v>
      </c>
      <c r="J33" s="4">
        <v>0</v>
      </c>
      <c r="L33" s="4">
        <v>800000</v>
      </c>
      <c r="M33" s="4">
        <v>4070688460</v>
      </c>
      <c r="O33" s="4">
        <v>4260139</v>
      </c>
      <c r="Q33" s="4">
        <v>5400</v>
      </c>
      <c r="S33" s="4">
        <v>17738464357</v>
      </c>
      <c r="U33" s="4">
        <v>23080556365</v>
      </c>
      <c r="W33" s="5">
        <v>5.2825508208340618E-3</v>
      </c>
    </row>
    <row r="34" spans="1:23" ht="18.75" x14ac:dyDescent="0.45">
      <c r="A34" s="3" t="s">
        <v>40</v>
      </c>
      <c r="C34" s="4">
        <v>8573890</v>
      </c>
      <c r="E34" s="4">
        <v>35996596962</v>
      </c>
      <c r="G34" s="4">
        <v>45430657854</v>
      </c>
      <c r="I34" s="4">
        <v>0</v>
      </c>
      <c r="J34" s="4">
        <v>0</v>
      </c>
      <c r="L34" s="4">
        <v>3021678</v>
      </c>
      <c r="M34" s="4">
        <v>16842985919</v>
      </c>
      <c r="O34" s="4">
        <v>5552212</v>
      </c>
      <c r="Q34" s="4">
        <v>5520</v>
      </c>
      <c r="S34" s="4">
        <v>23310392086</v>
      </c>
      <c r="U34" s="4">
        <v>30301113707</v>
      </c>
      <c r="W34" s="5">
        <v>6.935152279423794E-3</v>
      </c>
    </row>
    <row r="35" spans="1:23" ht="18.75" x14ac:dyDescent="0.45">
      <c r="A35" s="3" t="s">
        <v>41</v>
      </c>
      <c r="C35" s="4">
        <v>17331416</v>
      </c>
      <c r="E35" s="4">
        <v>25036664105</v>
      </c>
      <c r="G35" s="4">
        <v>23801262710</v>
      </c>
      <c r="I35" s="4">
        <v>0</v>
      </c>
      <c r="J35" s="4">
        <v>0</v>
      </c>
      <c r="L35" s="4">
        <v>800000</v>
      </c>
      <c r="M35" s="4">
        <v>1234383886</v>
      </c>
      <c r="O35" s="4">
        <v>16531416</v>
      </c>
      <c r="Q35" s="4">
        <v>1813</v>
      </c>
      <c r="S35" s="4">
        <v>23880997927</v>
      </c>
      <c r="U35" s="4">
        <v>29231265371</v>
      </c>
      <c r="W35" s="5">
        <v>6.69029127537647E-3</v>
      </c>
    </row>
    <row r="36" spans="1:23" ht="18.75" x14ac:dyDescent="0.45">
      <c r="A36" s="3" t="s">
        <v>42</v>
      </c>
      <c r="C36" s="4">
        <v>9313038</v>
      </c>
      <c r="E36" s="4">
        <v>12506542821</v>
      </c>
      <c r="G36" s="4">
        <v>17253037020</v>
      </c>
      <c r="I36" s="4">
        <v>0</v>
      </c>
      <c r="J36" s="4">
        <v>0</v>
      </c>
      <c r="L36" s="4">
        <v>2902774</v>
      </c>
      <c r="M36" s="4">
        <v>6006479169</v>
      </c>
      <c r="O36" s="4">
        <v>6410264</v>
      </c>
      <c r="Q36" s="4">
        <v>2140</v>
      </c>
      <c r="S36" s="4">
        <v>8608387640</v>
      </c>
      <c r="U36" s="4">
        <v>13611925091</v>
      </c>
      <c r="W36" s="5">
        <v>3.1154225628474714E-3</v>
      </c>
    </row>
    <row r="37" spans="1:23" ht="18.75" x14ac:dyDescent="0.45">
      <c r="A37" s="3" t="s">
        <v>43</v>
      </c>
      <c r="C37" s="4">
        <v>9169979</v>
      </c>
      <c r="E37" s="4">
        <v>19362075938</v>
      </c>
      <c r="G37" s="4">
        <v>20900621358</v>
      </c>
      <c r="I37" s="4">
        <v>0</v>
      </c>
      <c r="J37" s="4">
        <v>0</v>
      </c>
      <c r="L37" s="4">
        <v>1728318</v>
      </c>
      <c r="M37" s="4">
        <v>4173174749</v>
      </c>
      <c r="O37" s="4">
        <v>7441661</v>
      </c>
      <c r="Q37" s="4">
        <v>2654</v>
      </c>
      <c r="S37" s="4">
        <v>15712795568</v>
      </c>
      <c r="U37" s="4">
        <v>19508889850</v>
      </c>
      <c r="W37" s="5">
        <v>4.465087429476218E-3</v>
      </c>
    </row>
    <row r="38" spans="1:23" ht="18.75" x14ac:dyDescent="0.45">
      <c r="A38" s="3" t="s">
        <v>44</v>
      </c>
      <c r="C38" s="4">
        <v>2875000</v>
      </c>
      <c r="E38" s="4">
        <v>4907321845</v>
      </c>
      <c r="G38" s="4">
        <v>5677024737</v>
      </c>
      <c r="N38" s="6"/>
      <c r="O38" s="4">
        <v>2875000</v>
      </c>
      <c r="Q38" s="4">
        <v>2257</v>
      </c>
      <c r="S38" s="4">
        <v>4907321845</v>
      </c>
      <c r="U38" s="4">
        <v>6475802087</v>
      </c>
      <c r="W38" s="5">
        <v>1.482145971234727E-3</v>
      </c>
    </row>
    <row r="39" spans="1:23" ht="18.75" x14ac:dyDescent="0.45">
      <c r="A39" s="3" t="s">
        <v>45</v>
      </c>
      <c r="C39" s="4">
        <v>7665640</v>
      </c>
      <c r="E39" s="4">
        <v>10065817059</v>
      </c>
      <c r="G39" s="4">
        <v>10588087367</v>
      </c>
      <c r="I39" s="4">
        <v>0</v>
      </c>
      <c r="J39" s="4">
        <v>0</v>
      </c>
      <c r="L39" s="4">
        <v>202395</v>
      </c>
      <c r="M39" s="4">
        <v>307531647</v>
      </c>
      <c r="O39" s="4">
        <v>7463245</v>
      </c>
      <c r="Q39" s="4">
        <v>1540</v>
      </c>
      <c r="S39" s="4">
        <v>9800050464</v>
      </c>
      <c r="U39" s="4">
        <v>11360120014</v>
      </c>
      <c r="W39" s="5">
        <v>2.6000417995005799E-3</v>
      </c>
    </row>
    <row r="40" spans="1:23" ht="37.5" x14ac:dyDescent="0.45">
      <c r="A40" s="3" t="s">
        <v>46</v>
      </c>
      <c r="C40" s="4">
        <v>8791020</v>
      </c>
      <c r="E40" s="4">
        <v>19419675973</v>
      </c>
      <c r="G40" s="4">
        <v>20499203726</v>
      </c>
      <c r="I40" s="4">
        <v>0</v>
      </c>
      <c r="J40" s="4">
        <v>0</v>
      </c>
      <c r="L40" s="4">
        <v>1525551</v>
      </c>
      <c r="M40" s="4">
        <v>4004320679</v>
      </c>
      <c r="O40" s="4">
        <v>7265469</v>
      </c>
      <c r="Q40" s="4">
        <v>2797</v>
      </c>
      <c r="S40" s="4">
        <v>16049679533</v>
      </c>
      <c r="U40" s="4">
        <v>20474431666</v>
      </c>
      <c r="W40" s="5">
        <v>4.6860753308075303E-3</v>
      </c>
    </row>
    <row r="41" spans="1:23" ht="18.75" x14ac:dyDescent="0.45">
      <c r="A41" s="3" t="s">
        <v>47</v>
      </c>
      <c r="C41" s="4">
        <v>12393399</v>
      </c>
      <c r="E41" s="4">
        <v>18510273240</v>
      </c>
      <c r="G41" s="4">
        <v>18606265813</v>
      </c>
      <c r="N41" s="6"/>
      <c r="O41" s="4">
        <v>12393399</v>
      </c>
      <c r="Q41" s="4">
        <v>1838</v>
      </c>
      <c r="S41" s="4">
        <v>18510273240</v>
      </c>
      <c r="U41" s="4">
        <v>22430818799</v>
      </c>
      <c r="W41" s="5">
        <v>5.1338424596350744E-3</v>
      </c>
    </row>
    <row r="42" spans="1:23" ht="18.75" x14ac:dyDescent="0.45">
      <c r="A42" s="3" t="s">
        <v>48</v>
      </c>
      <c r="C42" s="4">
        <v>4649989</v>
      </c>
      <c r="E42" s="4">
        <v>16320906989</v>
      </c>
      <c r="G42" s="4">
        <v>15392452736</v>
      </c>
      <c r="I42" s="4">
        <v>3757096</v>
      </c>
      <c r="J42" s="4">
        <v>13755366358</v>
      </c>
      <c r="L42" s="4">
        <v>0</v>
      </c>
      <c r="M42" s="4">
        <v>0</v>
      </c>
      <c r="O42" s="4">
        <v>8407085</v>
      </c>
      <c r="Q42" s="4">
        <v>3759</v>
      </c>
      <c r="S42" s="4">
        <v>30076273347</v>
      </c>
      <c r="U42" s="4">
        <v>31407999847</v>
      </c>
      <c r="W42" s="5">
        <v>7.1884902923797416E-3</v>
      </c>
    </row>
    <row r="43" spans="1:23" ht="18.75" x14ac:dyDescent="0.45">
      <c r="A43" s="3" t="s">
        <v>49</v>
      </c>
      <c r="C43" s="4">
        <v>3512494</v>
      </c>
      <c r="E43" s="4">
        <v>13365842778</v>
      </c>
      <c r="G43" s="4">
        <v>25024758586</v>
      </c>
      <c r="I43" s="4">
        <v>822978</v>
      </c>
      <c r="J43" s="4">
        <v>5726449572</v>
      </c>
      <c r="L43" s="4">
        <v>0</v>
      </c>
      <c r="M43" s="4">
        <v>0</v>
      </c>
      <c r="O43" s="4">
        <v>4335472</v>
      </c>
      <c r="Q43" s="4">
        <v>8110</v>
      </c>
      <c r="S43" s="4">
        <v>19092292350</v>
      </c>
      <c r="U43" s="4">
        <v>34888885880</v>
      </c>
      <c r="W43" s="5">
        <v>7.9851763462193259E-3</v>
      </c>
    </row>
    <row r="44" spans="1:23" ht="37.5" x14ac:dyDescent="0.45">
      <c r="A44" s="3" t="s">
        <v>50</v>
      </c>
      <c r="C44" s="4">
        <v>8160312</v>
      </c>
      <c r="E44" s="4">
        <v>15570948370</v>
      </c>
      <c r="G44" s="4">
        <v>22186417840</v>
      </c>
      <c r="I44" s="4">
        <v>0</v>
      </c>
      <c r="J44" s="4">
        <v>0</v>
      </c>
      <c r="L44" s="4">
        <v>1444129</v>
      </c>
      <c r="M44" s="4">
        <v>4246228114</v>
      </c>
      <c r="O44" s="4">
        <v>6716183</v>
      </c>
      <c r="Q44" s="4">
        <v>3159</v>
      </c>
      <c r="S44" s="4">
        <v>12815360336</v>
      </c>
      <c r="U44" s="4">
        <v>21159047425</v>
      </c>
      <c r="W44" s="5">
        <v>4.8427664210251627E-3</v>
      </c>
    </row>
    <row r="45" spans="1:23" ht="18.75" x14ac:dyDescent="0.45">
      <c r="A45" s="3" t="s">
        <v>51</v>
      </c>
      <c r="C45" s="4">
        <v>1916567</v>
      </c>
      <c r="E45" s="4">
        <v>6930571783</v>
      </c>
      <c r="G45" s="4">
        <v>6311914679</v>
      </c>
      <c r="N45" s="6"/>
      <c r="O45" s="4">
        <v>1916567</v>
      </c>
      <c r="Q45" s="4">
        <v>3912</v>
      </c>
      <c r="S45" s="4">
        <v>6930571783</v>
      </c>
      <c r="U45" s="4">
        <v>7380699268</v>
      </c>
      <c r="W45" s="5">
        <v>1.6892538619921072E-3</v>
      </c>
    </row>
    <row r="46" spans="1:23" ht="18.75" x14ac:dyDescent="0.45">
      <c r="A46" s="3" t="s">
        <v>52</v>
      </c>
      <c r="C46" s="4">
        <v>9400000</v>
      </c>
      <c r="E46" s="4">
        <v>20124120011</v>
      </c>
      <c r="G46" s="4">
        <v>21396913372</v>
      </c>
      <c r="I46" s="4">
        <v>0</v>
      </c>
      <c r="J46" s="4">
        <v>0</v>
      </c>
      <c r="L46" s="4">
        <v>800000</v>
      </c>
      <c r="M46" s="4">
        <v>1942467757</v>
      </c>
      <c r="O46" s="4">
        <v>8600000</v>
      </c>
      <c r="Q46" s="4">
        <v>2500</v>
      </c>
      <c r="S46" s="4">
        <v>18411428946</v>
      </c>
      <c r="U46" s="4">
        <v>21180201604</v>
      </c>
      <c r="W46" s="5">
        <v>4.8476080731878462E-3</v>
      </c>
    </row>
    <row r="47" spans="1:23" ht="37.5" x14ac:dyDescent="0.45">
      <c r="A47" s="3" t="s">
        <v>53</v>
      </c>
      <c r="H47" s="6"/>
      <c r="I47" s="4">
        <v>7348545</v>
      </c>
      <c r="J47" s="4">
        <v>28135300706</v>
      </c>
      <c r="L47" s="4">
        <v>0</v>
      </c>
      <c r="M47" s="4">
        <v>0</v>
      </c>
      <c r="O47" s="4">
        <v>7348545</v>
      </c>
      <c r="Q47" s="4">
        <v>3921</v>
      </c>
      <c r="S47" s="4">
        <v>28135300706</v>
      </c>
      <c r="U47" s="4">
        <v>28685708099</v>
      </c>
      <c r="W47" s="5">
        <v>6.5654271269807302E-3</v>
      </c>
    </row>
    <row r="48" spans="1:23" ht="37.5" x14ac:dyDescent="0.45">
      <c r="A48" s="3" t="s">
        <v>54</v>
      </c>
      <c r="C48" s="4">
        <v>842177</v>
      </c>
      <c r="E48" s="4">
        <v>2001916090</v>
      </c>
      <c r="G48" s="4">
        <v>3388629571</v>
      </c>
      <c r="N48" s="6"/>
      <c r="O48" s="4">
        <v>842177</v>
      </c>
      <c r="Q48" s="4">
        <v>4814</v>
      </c>
      <c r="S48" s="4">
        <v>2001916090</v>
      </c>
      <c r="U48" s="4">
        <v>3975267785</v>
      </c>
      <c r="W48" s="5">
        <v>9.0983743063192642E-4</v>
      </c>
    </row>
    <row r="49" spans="1:23" ht="37.5" x14ac:dyDescent="0.45">
      <c r="A49" s="3" t="s">
        <v>55</v>
      </c>
      <c r="C49" s="4">
        <v>285750</v>
      </c>
      <c r="E49" s="4">
        <v>12123197874</v>
      </c>
      <c r="G49" s="4">
        <v>16090960404</v>
      </c>
      <c r="N49" s="6"/>
      <c r="O49" s="4">
        <v>285750</v>
      </c>
      <c r="Q49" s="4">
        <v>59300</v>
      </c>
      <c r="S49" s="4">
        <v>12123197874</v>
      </c>
      <c r="U49" s="4">
        <v>17210947957</v>
      </c>
      <c r="W49" s="5">
        <v>3.9391471253896124E-3</v>
      </c>
    </row>
    <row r="50" spans="1:23" ht="18.75" x14ac:dyDescent="0.45">
      <c r="A50" s="3" t="s">
        <v>56</v>
      </c>
      <c r="C50" s="4">
        <v>10496746</v>
      </c>
      <c r="E50" s="4">
        <v>17246303416</v>
      </c>
      <c r="G50" s="4">
        <v>17800270916</v>
      </c>
      <c r="N50" s="6"/>
      <c r="O50" s="4">
        <v>10496746</v>
      </c>
      <c r="Q50" s="4">
        <v>2069</v>
      </c>
      <c r="S50" s="4">
        <v>17246303416</v>
      </c>
      <c r="U50" s="4">
        <v>21581135950</v>
      </c>
      <c r="W50" s="5">
        <v>4.9393717215622237E-3</v>
      </c>
    </row>
    <row r="51" spans="1:23" ht="18.75" x14ac:dyDescent="0.45">
      <c r="A51" s="3" t="s">
        <v>57</v>
      </c>
      <c r="C51" s="4">
        <v>1648155</v>
      </c>
      <c r="E51" s="4">
        <v>11910020869</v>
      </c>
      <c r="G51" s="4">
        <v>12625401961</v>
      </c>
      <c r="N51" s="6"/>
      <c r="O51" s="4">
        <v>1648155</v>
      </c>
      <c r="Q51" s="4">
        <v>8420</v>
      </c>
      <c r="S51" s="4">
        <v>11910020869</v>
      </c>
      <c r="U51" s="4">
        <v>13753838147</v>
      </c>
      <c r="W51" s="5">
        <v>3.1479028427248089E-3</v>
      </c>
    </row>
    <row r="52" spans="1:23" ht="37.5" x14ac:dyDescent="0.45">
      <c r="A52" s="3" t="s">
        <v>58</v>
      </c>
      <c r="C52" s="4">
        <v>250000</v>
      </c>
      <c r="E52" s="4">
        <v>800726400</v>
      </c>
      <c r="G52" s="4">
        <v>1180801300</v>
      </c>
      <c r="N52" s="6"/>
      <c r="O52" s="4">
        <v>250000</v>
      </c>
      <c r="Q52" s="4">
        <v>5560</v>
      </c>
      <c r="S52" s="4">
        <v>800726400</v>
      </c>
      <c r="U52" s="4">
        <v>1379255300</v>
      </c>
      <c r="W52" s="5">
        <v>3.1567636853864598E-4</v>
      </c>
    </row>
    <row r="53" spans="1:23" ht="37.5" x14ac:dyDescent="0.45">
      <c r="A53" s="3" t="s">
        <v>59</v>
      </c>
      <c r="C53" s="4">
        <v>114400</v>
      </c>
      <c r="E53" s="4">
        <v>13902770527</v>
      </c>
      <c r="G53" s="4">
        <v>13616206776</v>
      </c>
      <c r="N53" s="6"/>
      <c r="O53" s="4">
        <v>114400</v>
      </c>
      <c r="Q53" s="4">
        <v>145250</v>
      </c>
      <c r="S53" s="4">
        <v>13902770527</v>
      </c>
      <c r="U53" s="4">
        <v>16488153682</v>
      </c>
      <c r="W53" s="5">
        <v>3.7737179463735713E-3</v>
      </c>
    </row>
    <row r="54" spans="1:23" ht="37.5" x14ac:dyDescent="0.45">
      <c r="A54" s="3" t="s">
        <v>60</v>
      </c>
      <c r="C54" s="4">
        <v>2928206</v>
      </c>
      <c r="E54" s="4">
        <v>29648150360</v>
      </c>
      <c r="G54" s="4">
        <v>35070241579</v>
      </c>
      <c r="I54" s="4">
        <v>0</v>
      </c>
      <c r="J54" s="4">
        <v>0</v>
      </c>
      <c r="L54" s="4">
        <v>400000</v>
      </c>
      <c r="M54" s="4">
        <v>5809740890</v>
      </c>
      <c r="O54" s="4">
        <v>2528206</v>
      </c>
      <c r="Q54" s="4">
        <v>15250</v>
      </c>
      <c r="S54" s="4">
        <v>25598141535</v>
      </c>
      <c r="U54" s="4">
        <v>38031330589</v>
      </c>
      <c r="W54" s="5">
        <v>8.7044018109107453E-3</v>
      </c>
    </row>
    <row r="55" spans="1:23" ht="18.75" x14ac:dyDescent="0.45">
      <c r="A55" s="3" t="s">
        <v>61</v>
      </c>
      <c r="C55" s="4">
        <v>3439800</v>
      </c>
      <c r="E55" s="4">
        <v>24103658874</v>
      </c>
      <c r="G55" s="4">
        <v>23551151387</v>
      </c>
      <c r="I55" s="4">
        <v>0</v>
      </c>
      <c r="J55" s="4">
        <v>0</v>
      </c>
      <c r="L55" s="4">
        <v>756564</v>
      </c>
      <c r="M55" s="4">
        <v>5463167704</v>
      </c>
      <c r="O55" s="4">
        <v>2683236</v>
      </c>
      <c r="Q55" s="4">
        <v>7400</v>
      </c>
      <c r="S55" s="4">
        <v>18802199320</v>
      </c>
      <c r="U55" s="4">
        <v>19755709826</v>
      </c>
      <c r="W55" s="5">
        <v>4.5215782283199672E-3</v>
      </c>
    </row>
    <row r="56" spans="1:23" ht="37.5" x14ac:dyDescent="0.45">
      <c r="A56" s="3" t="s">
        <v>62</v>
      </c>
      <c r="C56" s="4">
        <v>3742054</v>
      </c>
      <c r="E56" s="4">
        <v>7179669122</v>
      </c>
      <c r="G56" s="4">
        <v>9156573457</v>
      </c>
      <c r="N56" s="6"/>
      <c r="O56" s="4">
        <v>3742054</v>
      </c>
      <c r="Q56" s="4">
        <v>2590</v>
      </c>
      <c r="S56" s="4">
        <v>7179669122</v>
      </c>
      <c r="U56" s="4">
        <v>9579870040</v>
      </c>
      <c r="W56" s="5">
        <v>2.1925879750466595E-3</v>
      </c>
    </row>
    <row r="57" spans="1:23" ht="18.75" x14ac:dyDescent="0.45">
      <c r="A57" s="3" t="s">
        <v>63</v>
      </c>
      <c r="C57" s="4">
        <v>28400000</v>
      </c>
      <c r="E57" s="4">
        <v>52885171123</v>
      </c>
      <c r="G57" s="4">
        <v>43876988676</v>
      </c>
      <c r="I57" s="4">
        <v>0</v>
      </c>
      <c r="J57" s="4">
        <v>0</v>
      </c>
      <c r="L57" s="4">
        <v>5607118</v>
      </c>
      <c r="M57" s="4">
        <v>10113603985</v>
      </c>
      <c r="O57" s="4">
        <v>22792882</v>
      </c>
      <c r="Q57" s="4">
        <v>1890</v>
      </c>
      <c r="S57" s="4">
        <v>42443854400</v>
      </c>
      <c r="U57" s="4">
        <v>42157515793</v>
      </c>
      <c r="W57" s="5">
        <v>9.6487803905084546E-3</v>
      </c>
    </row>
    <row r="58" spans="1:23" ht="18.75" x14ac:dyDescent="0.45">
      <c r="A58" s="3" t="s">
        <v>64</v>
      </c>
      <c r="C58" s="4">
        <v>4103659</v>
      </c>
      <c r="E58" s="4">
        <v>17039703252</v>
      </c>
      <c r="G58" s="4">
        <v>17256872040</v>
      </c>
      <c r="I58" s="4">
        <v>0</v>
      </c>
      <c r="J58" s="4">
        <v>0</v>
      </c>
      <c r="L58" s="4">
        <v>1262547</v>
      </c>
      <c r="M58" s="4">
        <v>5729138840</v>
      </c>
      <c r="O58" s="4">
        <v>2841112</v>
      </c>
      <c r="Q58" s="4">
        <v>5260</v>
      </c>
      <c r="S58" s="4">
        <v>11797204735</v>
      </c>
      <c r="U58" s="4">
        <v>14687772564</v>
      </c>
      <c r="W58" s="5">
        <v>3.3616566163820988E-3</v>
      </c>
    </row>
    <row r="59" spans="1:23" ht="37.5" x14ac:dyDescent="0.45">
      <c r="A59" s="3" t="s">
        <v>65</v>
      </c>
      <c r="C59" s="4">
        <v>4954671</v>
      </c>
      <c r="E59" s="4">
        <v>36023926711</v>
      </c>
      <c r="G59" s="4">
        <v>33087179476</v>
      </c>
      <c r="I59" s="4">
        <v>0</v>
      </c>
      <c r="J59" s="4">
        <v>0</v>
      </c>
      <c r="L59" s="4">
        <v>146870</v>
      </c>
      <c r="M59" s="4">
        <v>949401792</v>
      </c>
      <c r="O59" s="4">
        <v>4807801</v>
      </c>
      <c r="Q59" s="4">
        <v>6430</v>
      </c>
      <c r="S59" s="4">
        <v>34956078994</v>
      </c>
      <c r="U59" s="4">
        <v>30675193970</v>
      </c>
      <c r="W59" s="5">
        <v>7.0207697129517433E-3</v>
      </c>
    </row>
    <row r="60" spans="1:23" ht="18.75" x14ac:dyDescent="0.45">
      <c r="A60" s="3" t="s">
        <v>66</v>
      </c>
      <c r="C60" s="4">
        <v>898693</v>
      </c>
      <c r="E60" s="4">
        <v>15466598389</v>
      </c>
      <c r="G60" s="4">
        <v>17522810926</v>
      </c>
      <c r="N60" s="6"/>
      <c r="O60" s="4">
        <v>898693</v>
      </c>
      <c r="Q60" s="4">
        <v>24660</v>
      </c>
      <c r="S60" s="4">
        <v>15466598389</v>
      </c>
      <c r="U60" s="4">
        <v>21990458903</v>
      </c>
      <c r="W60" s="5">
        <v>5.0330553081778086E-3</v>
      </c>
    </row>
    <row r="61" spans="1:23" ht="18.75" x14ac:dyDescent="0.45">
      <c r="A61" s="3" t="s">
        <v>67</v>
      </c>
      <c r="C61" s="4">
        <v>5360107</v>
      </c>
      <c r="E61" s="4">
        <v>16722698863</v>
      </c>
      <c r="G61" s="4">
        <v>19679091480</v>
      </c>
      <c r="N61" s="6"/>
      <c r="O61" s="4">
        <v>5360107</v>
      </c>
      <c r="Q61" s="4">
        <v>4628</v>
      </c>
      <c r="S61" s="4">
        <v>16722698863</v>
      </c>
      <c r="U61" s="4">
        <v>24832885978</v>
      </c>
      <c r="W61" s="5">
        <v>5.6836143865963765E-3</v>
      </c>
    </row>
    <row r="62" spans="1:23" ht="18.75" x14ac:dyDescent="0.45">
      <c r="A62" s="3" t="s">
        <v>68</v>
      </c>
      <c r="C62" s="4">
        <v>40025</v>
      </c>
      <c r="E62" s="4">
        <v>688267606</v>
      </c>
      <c r="G62" s="4">
        <v>957543279</v>
      </c>
      <c r="N62" s="6"/>
      <c r="O62" s="4">
        <v>40025</v>
      </c>
      <c r="Q62" s="4">
        <v>30260</v>
      </c>
      <c r="S62" s="4">
        <v>688267606</v>
      </c>
      <c r="U62" s="4">
        <v>1208545913</v>
      </c>
      <c r="W62" s="5">
        <v>2.7660534277306191E-4</v>
      </c>
    </row>
    <row r="63" spans="1:23" ht="18.75" x14ac:dyDescent="0.45">
      <c r="A63" s="3" t="s">
        <v>69</v>
      </c>
      <c r="C63" s="4">
        <v>4005523</v>
      </c>
      <c r="E63" s="4">
        <v>16399560973</v>
      </c>
      <c r="G63" s="4">
        <v>20906187216</v>
      </c>
      <c r="I63" s="4">
        <v>0</v>
      </c>
      <c r="J63" s="4">
        <v>0</v>
      </c>
      <c r="L63" s="4">
        <v>213093</v>
      </c>
      <c r="M63" s="4">
        <v>1398601891</v>
      </c>
      <c r="O63" s="4">
        <v>3792430</v>
      </c>
      <c r="Q63" s="4">
        <v>6830</v>
      </c>
      <c r="S63" s="4">
        <v>15527107701</v>
      </c>
      <c r="U63" s="4">
        <v>25476285274</v>
      </c>
      <c r="W63" s="5">
        <v>5.8308720794119136E-3</v>
      </c>
    </row>
    <row r="64" spans="1:23" ht="18.75" x14ac:dyDescent="0.45">
      <c r="A64" s="3" t="s">
        <v>70</v>
      </c>
      <c r="C64" s="4">
        <v>6864837</v>
      </c>
      <c r="E64" s="4">
        <v>33423125364</v>
      </c>
      <c r="G64" s="4">
        <v>39303923344</v>
      </c>
      <c r="I64" s="4">
        <v>0</v>
      </c>
      <c r="J64" s="4">
        <v>0</v>
      </c>
      <c r="L64" s="4">
        <v>1135429</v>
      </c>
      <c r="M64" s="4">
        <v>7799635894</v>
      </c>
      <c r="O64" s="4">
        <v>5729408</v>
      </c>
      <c r="Q64" s="4">
        <v>7340</v>
      </c>
      <c r="S64" s="4">
        <v>27895013654</v>
      </c>
      <c r="U64" s="4">
        <v>41899332013</v>
      </c>
      <c r="W64" s="5">
        <v>9.5896887066947469E-3</v>
      </c>
    </row>
    <row r="65" spans="1:23" ht="18.75" x14ac:dyDescent="0.45">
      <c r="A65" s="3" t="s">
        <v>71</v>
      </c>
      <c r="C65" s="4">
        <v>2828938</v>
      </c>
      <c r="E65" s="4">
        <v>17264424131</v>
      </c>
      <c r="G65" s="4">
        <v>24842572237</v>
      </c>
      <c r="I65" s="4">
        <v>0</v>
      </c>
      <c r="J65" s="4">
        <v>0</v>
      </c>
      <c r="L65" s="4">
        <v>400000</v>
      </c>
      <c r="M65" s="4">
        <v>4211193908</v>
      </c>
      <c r="O65" s="4">
        <v>2428938</v>
      </c>
      <c r="Q65" s="4">
        <v>10990</v>
      </c>
      <c r="S65" s="4">
        <v>14823306774</v>
      </c>
      <c r="U65" s="4">
        <v>26728700010</v>
      </c>
      <c r="W65" s="5">
        <v>6.1175178771585431E-3</v>
      </c>
    </row>
    <row r="66" spans="1:23" ht="18.75" x14ac:dyDescent="0.45">
      <c r="A66" s="3" t="s">
        <v>72</v>
      </c>
      <c r="C66" s="4">
        <v>2232181</v>
      </c>
      <c r="E66" s="4">
        <v>19841676456</v>
      </c>
      <c r="G66" s="4">
        <v>20288724366</v>
      </c>
      <c r="N66" s="6"/>
      <c r="O66" s="4">
        <v>2232181</v>
      </c>
      <c r="Q66" s="4">
        <v>11920</v>
      </c>
      <c r="S66" s="4">
        <v>19841676456</v>
      </c>
      <c r="U66" s="4">
        <v>26113980380</v>
      </c>
      <c r="W66" s="5">
        <v>5.9768242285875937E-3</v>
      </c>
    </row>
    <row r="67" spans="1:23" ht="37.5" x14ac:dyDescent="0.45">
      <c r="A67" s="3" t="s">
        <v>73</v>
      </c>
      <c r="C67" s="4">
        <v>272374</v>
      </c>
      <c r="E67" s="4">
        <v>6749678917</v>
      </c>
      <c r="G67" s="4">
        <v>9635073771</v>
      </c>
      <c r="N67" s="6"/>
      <c r="O67" s="4">
        <v>272374</v>
      </c>
      <c r="Q67" s="4">
        <v>45200</v>
      </c>
      <c r="S67" s="4">
        <v>6749678917</v>
      </c>
      <c r="U67" s="4">
        <v>11959383292</v>
      </c>
      <c r="W67" s="5">
        <v>2.7371978832202546E-3</v>
      </c>
    </row>
    <row r="68" spans="1:23" ht="18.75" x14ac:dyDescent="0.45">
      <c r="A68" s="3" t="s">
        <v>74</v>
      </c>
      <c r="H68" s="6"/>
      <c r="I68" s="4">
        <v>6800000</v>
      </c>
      <c r="J68" s="4">
        <v>10902166072</v>
      </c>
      <c r="L68" s="4">
        <v>0</v>
      </c>
      <c r="M68" s="4">
        <v>0</v>
      </c>
      <c r="O68" s="4">
        <v>6800000</v>
      </c>
      <c r="Q68" s="4">
        <v>1840</v>
      </c>
      <c r="S68" s="4">
        <v>10902166072</v>
      </c>
      <c r="U68" s="4">
        <v>12449019420</v>
      </c>
      <c r="W68" s="5">
        <v>2.8492631076876634E-3</v>
      </c>
    </row>
    <row r="69" spans="1:23" ht="18.75" x14ac:dyDescent="0.45">
      <c r="A69" s="3" t="s">
        <v>75</v>
      </c>
      <c r="C69" s="4">
        <v>1472602</v>
      </c>
      <c r="E69" s="4">
        <v>19497472672</v>
      </c>
      <c r="G69" s="4">
        <v>16409486973</v>
      </c>
      <c r="I69" s="4">
        <v>0</v>
      </c>
      <c r="J69" s="4">
        <v>0</v>
      </c>
      <c r="L69" s="4">
        <v>347356</v>
      </c>
      <c r="M69" s="4">
        <v>3999497912</v>
      </c>
      <c r="O69" s="4">
        <v>1125246</v>
      </c>
      <c r="Q69" s="4">
        <v>13950</v>
      </c>
      <c r="S69" s="4">
        <v>14898426822</v>
      </c>
      <c r="U69" s="4">
        <v>15575842485</v>
      </c>
      <c r="W69" s="5">
        <v>3.5649131764037877E-3</v>
      </c>
    </row>
    <row r="70" spans="1:23" ht="18.75" x14ac:dyDescent="0.45">
      <c r="A70" s="3" t="s">
        <v>76</v>
      </c>
      <c r="C70" s="4">
        <v>15499343</v>
      </c>
      <c r="E70" s="4">
        <v>40717099132</v>
      </c>
      <c r="G70" s="4">
        <v>26299001564</v>
      </c>
      <c r="I70" s="4">
        <v>0</v>
      </c>
      <c r="J70" s="4">
        <v>0</v>
      </c>
      <c r="L70" s="4">
        <v>1200000</v>
      </c>
      <c r="M70" s="4">
        <v>2234988969</v>
      </c>
      <c r="O70" s="4">
        <v>14299343</v>
      </c>
      <c r="Q70" s="4">
        <v>2112</v>
      </c>
      <c r="S70" s="4">
        <v>37564673964</v>
      </c>
      <c r="U70" s="4">
        <v>30009331201</v>
      </c>
      <c r="W70" s="5">
        <v>6.8683707039626117E-3</v>
      </c>
    </row>
    <row r="71" spans="1:23" ht="37.5" x14ac:dyDescent="0.45">
      <c r="A71" s="3" t="s">
        <v>77</v>
      </c>
      <c r="C71" s="4">
        <v>7009755</v>
      </c>
      <c r="E71" s="4">
        <v>20419274318</v>
      </c>
      <c r="G71" s="4">
        <v>14599740577</v>
      </c>
      <c r="N71" s="6"/>
      <c r="O71" s="4">
        <v>7009755</v>
      </c>
      <c r="Q71" s="4">
        <v>2405</v>
      </c>
      <c r="S71" s="4">
        <v>20419274318</v>
      </c>
      <c r="U71" s="4">
        <v>16512522216</v>
      </c>
      <c r="W71" s="5">
        <v>3.779295282432915E-3</v>
      </c>
    </row>
    <row r="72" spans="1:23" ht="18.75" x14ac:dyDescent="0.45">
      <c r="A72" s="3" t="s">
        <v>78</v>
      </c>
      <c r="C72" s="4">
        <v>8045149</v>
      </c>
      <c r="E72" s="4">
        <v>24128062879</v>
      </c>
      <c r="G72" s="4">
        <v>29161752874</v>
      </c>
      <c r="I72" s="4">
        <v>2381634</v>
      </c>
      <c r="J72" s="4">
        <v>9990153443</v>
      </c>
      <c r="L72" s="4">
        <v>1065775</v>
      </c>
      <c r="M72" s="4">
        <v>4294200041</v>
      </c>
      <c r="O72" s="4">
        <v>9361008</v>
      </c>
      <c r="Q72" s="4">
        <v>4152</v>
      </c>
      <c r="S72" s="4">
        <v>30921869528</v>
      </c>
      <c r="U72" s="4">
        <v>38919432640</v>
      </c>
      <c r="W72" s="5">
        <v>8.9076657246701507E-3</v>
      </c>
    </row>
    <row r="73" spans="1:23" ht="37.5" x14ac:dyDescent="0.45">
      <c r="A73" s="3" t="s">
        <v>79</v>
      </c>
      <c r="C73" s="4">
        <v>562500</v>
      </c>
      <c r="E73" s="4">
        <v>4931974167</v>
      </c>
      <c r="G73" s="4">
        <v>5654078494</v>
      </c>
      <c r="N73" s="6"/>
      <c r="O73" s="4">
        <v>562500</v>
      </c>
      <c r="Q73" s="4">
        <v>9990</v>
      </c>
      <c r="S73" s="4">
        <v>4931974167</v>
      </c>
      <c r="U73" s="4">
        <v>5542448119</v>
      </c>
      <c r="W73" s="5">
        <v>1.2685250475526677E-3</v>
      </c>
    </row>
    <row r="74" spans="1:23" ht="18.75" x14ac:dyDescent="0.45">
      <c r="A74" s="3" t="s">
        <v>80</v>
      </c>
      <c r="H74" s="6"/>
      <c r="I74" s="4">
        <v>3773870</v>
      </c>
      <c r="J74" s="4">
        <v>19978179220</v>
      </c>
      <c r="L74" s="4">
        <v>0</v>
      </c>
      <c r="M74" s="4">
        <v>0</v>
      </c>
      <c r="O74" s="4">
        <v>3773870</v>
      </c>
      <c r="Q74" s="4">
        <v>5270</v>
      </c>
      <c r="S74" s="4">
        <v>19978179220</v>
      </c>
      <c r="U74" s="4">
        <v>19659664421</v>
      </c>
      <c r="W74" s="5">
        <v>4.4995958841772812E-3</v>
      </c>
    </row>
    <row r="75" spans="1:23" ht="18.75" x14ac:dyDescent="0.45">
      <c r="A75" s="3" t="s">
        <v>81</v>
      </c>
      <c r="C75" s="4">
        <v>25600000</v>
      </c>
      <c r="E75" s="4">
        <v>10028365723</v>
      </c>
      <c r="G75" s="4">
        <v>12320024320</v>
      </c>
      <c r="N75" s="6"/>
      <c r="O75" s="4">
        <v>25600000</v>
      </c>
      <c r="Q75" s="4">
        <v>557</v>
      </c>
      <c r="S75" s="4">
        <v>10028365723</v>
      </c>
      <c r="U75" s="4">
        <v>14047367936</v>
      </c>
      <c r="W75" s="5">
        <v>3.2150843267107218E-3</v>
      </c>
    </row>
    <row r="76" spans="1:23" ht="18.75" x14ac:dyDescent="0.45">
      <c r="A76" s="3" t="s">
        <v>82</v>
      </c>
      <c r="C76" s="4">
        <v>10240020</v>
      </c>
      <c r="E76" s="4">
        <v>26120875248</v>
      </c>
      <c r="G76" s="4">
        <v>28125273338</v>
      </c>
      <c r="N76" s="6"/>
      <c r="O76" s="4">
        <v>10240020</v>
      </c>
      <c r="Q76" s="4">
        <v>3668</v>
      </c>
      <c r="S76" s="4">
        <v>26120875248</v>
      </c>
      <c r="U76" s="4">
        <v>37818738210</v>
      </c>
      <c r="W76" s="5">
        <v>8.6557448362507873E-3</v>
      </c>
    </row>
    <row r="77" spans="1:23" ht="18.75" x14ac:dyDescent="0.45">
      <c r="A77" s="3" t="s">
        <v>83</v>
      </c>
      <c r="C77" s="4">
        <v>1975883</v>
      </c>
      <c r="E77" s="4">
        <v>24989771818</v>
      </c>
      <c r="G77" s="4">
        <v>26879955209</v>
      </c>
      <c r="N77" s="6"/>
      <c r="O77" s="4">
        <v>3522592</v>
      </c>
      <c r="Q77" s="4">
        <v>6050</v>
      </c>
      <c r="S77" s="4">
        <v>13420102259</v>
      </c>
      <c r="U77" s="4">
        <v>21042081430</v>
      </c>
      <c r="W77" s="5">
        <v>4.8159958872856087E-3</v>
      </c>
    </row>
    <row r="78" spans="1:23" ht="37.5" x14ac:dyDescent="0.45">
      <c r="A78" s="3" t="s">
        <v>84</v>
      </c>
      <c r="H78" s="6"/>
      <c r="N78" s="6"/>
      <c r="O78" s="4">
        <v>4117725</v>
      </c>
      <c r="Q78" s="4">
        <v>5050</v>
      </c>
      <c r="S78" s="4">
        <v>11569669559</v>
      </c>
      <c r="U78" s="4">
        <v>20511192828</v>
      </c>
      <c r="W78" s="5">
        <v>4.6944890234164481E-3</v>
      </c>
    </row>
    <row r="79" spans="1:23" ht="37.5" x14ac:dyDescent="0.45">
      <c r="A79" s="3" t="s">
        <v>85</v>
      </c>
      <c r="C79" s="4">
        <v>9659071</v>
      </c>
      <c r="E79" s="4">
        <v>12842972054</v>
      </c>
      <c r="G79" s="4">
        <v>12766429300</v>
      </c>
      <c r="I79" s="4">
        <v>12000000</v>
      </c>
      <c r="J79" s="4">
        <v>20817227402</v>
      </c>
      <c r="L79" s="4">
        <v>0</v>
      </c>
      <c r="M79" s="4">
        <v>0</v>
      </c>
      <c r="O79" s="4">
        <v>21659071</v>
      </c>
      <c r="Q79" s="4">
        <v>1715</v>
      </c>
      <c r="S79" s="4">
        <v>33660199456</v>
      </c>
      <c r="U79" s="4">
        <v>36858173544</v>
      </c>
      <c r="W79" s="5">
        <v>8.4358960776421271E-3</v>
      </c>
    </row>
    <row r="80" spans="1:23" ht="18.75" x14ac:dyDescent="0.45">
      <c r="A80" s="3" t="s">
        <v>86</v>
      </c>
      <c r="C80" s="4">
        <v>1400000</v>
      </c>
      <c r="E80" s="4">
        <v>9542847510</v>
      </c>
      <c r="G80" s="4">
        <v>9307492600</v>
      </c>
      <c r="I80" s="4">
        <v>0</v>
      </c>
      <c r="J80" s="4">
        <v>0</v>
      </c>
      <c r="L80" s="4">
        <v>400000</v>
      </c>
      <c r="M80" s="4">
        <v>2179645609</v>
      </c>
      <c r="O80" s="4">
        <v>1138157</v>
      </c>
      <c r="Q80" s="4">
        <v>5640</v>
      </c>
      <c r="S80" s="4">
        <v>4964658746</v>
      </c>
      <c r="U80" s="4">
        <v>6324410660</v>
      </c>
      <c r="W80" s="5">
        <v>1.4474963339244744E-3</v>
      </c>
    </row>
    <row r="81" spans="1:23" ht="37.5" x14ac:dyDescent="0.45">
      <c r="A81" s="3" t="s">
        <v>87</v>
      </c>
      <c r="H81" s="6"/>
      <c r="N81" s="6"/>
      <c r="O81" s="4">
        <v>842763</v>
      </c>
      <c r="Q81" s="4">
        <v>2955</v>
      </c>
      <c r="S81" s="4">
        <v>2833382469</v>
      </c>
      <c r="U81" s="4">
        <v>2468605401</v>
      </c>
      <c r="W81" s="5">
        <v>5.6500082931895776E-4</v>
      </c>
    </row>
    <row r="82" spans="1:23" ht="37.5" x14ac:dyDescent="0.45">
      <c r="A82" s="3" t="s">
        <v>88</v>
      </c>
      <c r="C82" s="4">
        <v>1674591</v>
      </c>
      <c r="E82" s="4">
        <v>17048981881</v>
      </c>
      <c r="G82" s="4">
        <v>15901956159</v>
      </c>
      <c r="N82" s="6"/>
      <c r="O82" s="4">
        <v>1674591</v>
      </c>
      <c r="Q82" s="4">
        <v>13480</v>
      </c>
      <c r="S82" s="4">
        <v>17048981881</v>
      </c>
      <c r="U82" s="4">
        <v>22515308877</v>
      </c>
      <c r="W82" s="5">
        <v>5.1531800840767467E-3</v>
      </c>
    </row>
    <row r="83" spans="1:23" ht="18.75" x14ac:dyDescent="0.45">
      <c r="A83" s="3" t="s">
        <v>89</v>
      </c>
      <c r="C83" s="4">
        <v>1818173</v>
      </c>
      <c r="E83" s="4">
        <v>17401566331</v>
      </c>
      <c r="G83" s="4">
        <v>20278292195</v>
      </c>
      <c r="I83" s="4">
        <v>0</v>
      </c>
      <c r="J83" s="4">
        <v>0</v>
      </c>
      <c r="L83" s="4">
        <v>558037</v>
      </c>
      <c r="M83" s="4">
        <v>7716292574</v>
      </c>
      <c r="O83" s="4">
        <v>1260136</v>
      </c>
      <c r="Q83" s="4">
        <v>14210</v>
      </c>
      <c r="S83" s="4">
        <v>12060645599</v>
      </c>
      <c r="U83" s="4">
        <v>17755611112</v>
      </c>
      <c r="W83" s="5">
        <v>4.0638066332031415E-3</v>
      </c>
    </row>
    <row r="84" spans="1:23" ht="37.5" x14ac:dyDescent="0.45">
      <c r="A84" s="3" t="s">
        <v>90</v>
      </c>
      <c r="C84" s="4">
        <v>717391</v>
      </c>
      <c r="E84" s="4">
        <v>23661448164</v>
      </c>
      <c r="G84" s="4">
        <v>23768523501</v>
      </c>
      <c r="I84" s="4">
        <v>0</v>
      </c>
      <c r="J84" s="4">
        <v>0</v>
      </c>
      <c r="L84" s="4">
        <v>100000</v>
      </c>
      <c r="M84" s="4">
        <v>4014724428</v>
      </c>
      <c r="O84" s="4">
        <v>617391</v>
      </c>
      <c r="Q84" s="4">
        <v>43590</v>
      </c>
      <c r="S84" s="4">
        <v>20363184293</v>
      </c>
      <c r="U84" s="4">
        <v>26495753047</v>
      </c>
      <c r="W84" s="5">
        <v>6.0642022572425305E-3</v>
      </c>
    </row>
    <row r="85" spans="1:23" ht="37.5" x14ac:dyDescent="0.45">
      <c r="A85" s="3" t="s">
        <v>91</v>
      </c>
      <c r="C85" s="4">
        <v>3034387</v>
      </c>
      <c r="E85" s="4">
        <v>11917128399</v>
      </c>
      <c r="G85" s="4">
        <v>12676020304</v>
      </c>
      <c r="N85" s="6"/>
      <c r="O85" s="4">
        <v>3734630</v>
      </c>
      <c r="Q85" s="4">
        <v>5290</v>
      </c>
      <c r="S85" s="4">
        <v>14667234348</v>
      </c>
      <c r="U85" s="4">
        <v>19936995848</v>
      </c>
      <c r="W85" s="5">
        <v>4.563069976143432E-3</v>
      </c>
    </row>
    <row r="86" spans="1:23" ht="37.5" x14ac:dyDescent="0.45">
      <c r="A86" s="3" t="s">
        <v>92</v>
      </c>
      <c r="C86" s="4">
        <v>700243</v>
      </c>
      <c r="E86" s="4">
        <v>2049862949</v>
      </c>
      <c r="G86" s="4">
        <v>2164395829</v>
      </c>
      <c r="N86" s="6"/>
      <c r="W86" s="5">
        <v>0</v>
      </c>
    </row>
    <row r="87" spans="1:23" ht="37.5" x14ac:dyDescent="0.45">
      <c r="A87" s="3" t="s">
        <v>93</v>
      </c>
      <c r="C87" s="4">
        <v>3250000</v>
      </c>
      <c r="E87" s="4">
        <v>3939323661</v>
      </c>
      <c r="G87" s="4">
        <v>3466743312</v>
      </c>
      <c r="N87" s="6"/>
      <c r="O87" s="4">
        <v>3250000</v>
      </c>
      <c r="Q87" s="4">
        <v>1186</v>
      </c>
      <c r="S87" s="4">
        <v>3939323661</v>
      </c>
      <c r="U87" s="4">
        <v>3815030082</v>
      </c>
      <c r="W87" s="5">
        <v>8.7316310631646858E-4</v>
      </c>
    </row>
    <row r="88" spans="1:23" ht="37.5" x14ac:dyDescent="0.45">
      <c r="A88" s="3" t="s">
        <v>94</v>
      </c>
      <c r="C88" s="4">
        <v>3296745</v>
      </c>
      <c r="E88" s="4">
        <v>14653139899</v>
      </c>
      <c r="G88" s="4">
        <v>16061892301</v>
      </c>
      <c r="N88" s="6"/>
      <c r="O88" s="4">
        <v>3296745</v>
      </c>
      <c r="Q88" s="4">
        <v>5960</v>
      </c>
      <c r="S88" s="4">
        <v>14653139899</v>
      </c>
      <c r="U88" s="4">
        <v>19365866074</v>
      </c>
      <c r="W88" s="5">
        <v>4.4323529341131294E-3</v>
      </c>
    </row>
    <row r="89" spans="1:23" ht="18.75" x14ac:dyDescent="0.45">
      <c r="A89" s="3" t="s">
        <v>95</v>
      </c>
      <c r="C89" s="4">
        <v>3674653</v>
      </c>
      <c r="E89" s="4">
        <v>23773873157</v>
      </c>
      <c r="G89" s="4">
        <v>22716124618</v>
      </c>
      <c r="I89" s="4">
        <v>0</v>
      </c>
      <c r="J89" s="4">
        <v>0</v>
      </c>
      <c r="L89" s="4">
        <v>600000</v>
      </c>
      <c r="M89" s="4">
        <v>4304467278</v>
      </c>
      <c r="O89" s="4">
        <v>3074653</v>
      </c>
      <c r="Q89" s="4">
        <v>7570</v>
      </c>
      <c r="S89" s="4">
        <v>19892057950</v>
      </c>
      <c r="U89" s="4">
        <v>23888436850</v>
      </c>
      <c r="W89" s="5">
        <v>5.4674540637058063E-3</v>
      </c>
    </row>
    <row r="90" spans="1:23" ht="18.75" x14ac:dyDescent="0.45">
      <c r="A90" s="3" t="s">
        <v>96</v>
      </c>
      <c r="C90" s="4">
        <v>84882</v>
      </c>
      <c r="E90" s="4">
        <v>8293870385</v>
      </c>
      <c r="G90" s="4">
        <v>10619196699</v>
      </c>
      <c r="N90" s="6"/>
      <c r="O90" s="4">
        <v>84882</v>
      </c>
      <c r="Q90" s="4">
        <v>126240</v>
      </c>
      <c r="S90" s="4">
        <v>8293870385</v>
      </c>
      <c r="U90" s="4">
        <v>10632672837</v>
      </c>
      <c r="W90" s="5">
        <v>2.4335476898610883E-3</v>
      </c>
    </row>
    <row r="91" spans="1:23" ht="18.75" x14ac:dyDescent="0.45">
      <c r="A91" s="3" t="s">
        <v>97</v>
      </c>
      <c r="C91" s="4">
        <v>1583350</v>
      </c>
      <c r="E91" s="4">
        <v>5228904026</v>
      </c>
      <c r="G91" s="4">
        <v>6912887100</v>
      </c>
      <c r="N91" s="6"/>
      <c r="O91" s="4">
        <v>1583350</v>
      </c>
      <c r="Q91" s="4">
        <v>4722</v>
      </c>
      <c r="S91" s="4">
        <v>5228904026</v>
      </c>
      <c r="U91" s="4">
        <v>7439209186</v>
      </c>
      <c r="W91" s="5">
        <v>1.7026452902778886E-3</v>
      </c>
    </row>
    <row r="92" spans="1:23" ht="18.75" x14ac:dyDescent="0.45">
      <c r="A92" s="3" t="s">
        <v>98</v>
      </c>
      <c r="C92" s="4">
        <v>4130564</v>
      </c>
      <c r="E92" s="4">
        <v>26692939619</v>
      </c>
      <c r="G92" s="4">
        <v>37420535179</v>
      </c>
      <c r="I92" s="4">
        <v>0</v>
      </c>
      <c r="J92" s="4">
        <v>0</v>
      </c>
      <c r="L92" s="4">
        <v>200000</v>
      </c>
      <c r="M92" s="4">
        <v>2143303210</v>
      </c>
      <c r="O92" s="4">
        <v>3930564</v>
      </c>
      <c r="Q92" s="4">
        <v>10520</v>
      </c>
      <c r="S92" s="4">
        <v>25400479818</v>
      </c>
      <c r="U92" s="4">
        <v>41302914040</v>
      </c>
      <c r="W92" s="5">
        <v>9.4531838407371383E-3</v>
      </c>
    </row>
    <row r="93" spans="1:23" ht="18.75" x14ac:dyDescent="0.45">
      <c r="A93" s="3" t="s">
        <v>99</v>
      </c>
      <c r="C93" s="4">
        <v>3663423</v>
      </c>
      <c r="E93" s="4">
        <v>24182480680</v>
      </c>
      <c r="G93" s="4">
        <v>30862039244</v>
      </c>
      <c r="I93" s="4">
        <v>0</v>
      </c>
      <c r="J93" s="4">
        <v>0</v>
      </c>
      <c r="L93" s="4">
        <v>1262188</v>
      </c>
      <c r="M93" s="4">
        <v>11158371954</v>
      </c>
      <c r="O93" s="4">
        <v>2401235</v>
      </c>
      <c r="Q93" s="4">
        <v>9310</v>
      </c>
      <c r="S93" s="4">
        <v>15850700014</v>
      </c>
      <c r="U93" s="4">
        <v>22397130462</v>
      </c>
      <c r="W93" s="5">
        <v>5.1261320583146901E-3</v>
      </c>
    </row>
    <row r="94" spans="1:23" ht="18.75" x14ac:dyDescent="0.45">
      <c r="A94" s="3" t="s">
        <v>100</v>
      </c>
      <c r="C94" s="4">
        <v>2784202</v>
      </c>
      <c r="E94" s="4">
        <v>12499781070</v>
      </c>
      <c r="G94" s="4">
        <v>11879524510</v>
      </c>
      <c r="I94" s="4">
        <v>1892705</v>
      </c>
      <c r="J94" s="4">
        <v>8188224309</v>
      </c>
      <c r="L94" s="4">
        <v>0</v>
      </c>
      <c r="M94" s="4">
        <v>0</v>
      </c>
      <c r="O94" s="4">
        <v>4676907</v>
      </c>
      <c r="Q94" s="4">
        <v>4875</v>
      </c>
      <c r="S94" s="4">
        <v>20688005379</v>
      </c>
      <c r="U94" s="4">
        <v>22776823130</v>
      </c>
      <c r="W94" s="5">
        <v>5.2130340282364228E-3</v>
      </c>
    </row>
    <row r="95" spans="1:23" ht="18.75" x14ac:dyDescent="0.45">
      <c r="A95" s="3" t="s">
        <v>101</v>
      </c>
      <c r="C95" s="4">
        <v>2300000</v>
      </c>
      <c r="E95" s="4">
        <v>13560777701</v>
      </c>
      <c r="G95" s="4">
        <v>18714212200</v>
      </c>
      <c r="N95" s="6"/>
      <c r="O95" s="4">
        <v>2300000</v>
      </c>
      <c r="Q95" s="4">
        <v>8940</v>
      </c>
      <c r="S95" s="4">
        <v>13560777701</v>
      </c>
      <c r="U95" s="4">
        <v>20425877950</v>
      </c>
      <c r="W95" s="5">
        <v>4.67496262328635E-3</v>
      </c>
    </row>
    <row r="96" spans="1:23" ht="18.75" x14ac:dyDescent="0.45">
      <c r="A96" s="3" t="s">
        <v>102</v>
      </c>
      <c r="C96" s="4">
        <v>1518421</v>
      </c>
      <c r="E96" s="4">
        <v>9807013120</v>
      </c>
      <c r="G96" s="4">
        <v>20385429185</v>
      </c>
      <c r="I96" s="4">
        <v>1620777</v>
      </c>
      <c r="J96" s="4">
        <v>18071192837</v>
      </c>
      <c r="L96" s="4">
        <v>0</v>
      </c>
      <c r="M96" s="4">
        <v>0</v>
      </c>
      <c r="O96" s="4">
        <v>3139198</v>
      </c>
      <c r="Q96" s="4">
        <v>11360</v>
      </c>
      <c r="S96" s="4">
        <v>27878205957</v>
      </c>
      <c r="U96" s="4">
        <v>35541374114</v>
      </c>
      <c r="W96" s="5">
        <v>8.1345142651842312E-3</v>
      </c>
    </row>
    <row r="97" spans="1:23" ht="18.75" x14ac:dyDescent="0.45">
      <c r="A97" s="3" t="s">
        <v>103</v>
      </c>
      <c r="C97" s="4">
        <v>327781</v>
      </c>
      <c r="E97" s="4">
        <v>8490452900</v>
      </c>
      <c r="G97" s="4">
        <v>9565521707</v>
      </c>
      <c r="N97" s="6"/>
      <c r="O97" s="4">
        <v>327781</v>
      </c>
      <c r="Q97" s="4">
        <v>30150</v>
      </c>
      <c r="S97" s="4">
        <v>8490452900</v>
      </c>
      <c r="U97" s="4">
        <v>9910283795</v>
      </c>
      <c r="W97" s="5">
        <v>2.2682112583457107E-3</v>
      </c>
    </row>
    <row r="98" spans="1:23" ht="18.75" x14ac:dyDescent="0.45">
      <c r="A98" s="3" t="s">
        <v>104</v>
      </c>
      <c r="C98" s="4">
        <v>104452</v>
      </c>
      <c r="E98" s="4">
        <v>12026316222</v>
      </c>
      <c r="G98" s="4">
        <v>14117429065</v>
      </c>
      <c r="N98" s="6"/>
      <c r="O98" s="4">
        <v>104452</v>
      </c>
      <c r="Q98" s="4">
        <v>138490</v>
      </c>
      <c r="S98" s="4">
        <v>12026316222</v>
      </c>
      <c r="U98" s="4">
        <v>14419034810</v>
      </c>
      <c r="W98" s="5">
        <v>3.3001493970355776E-3</v>
      </c>
    </row>
    <row r="99" spans="1:23" ht="18.75" x14ac:dyDescent="0.45">
      <c r="A99" s="3" t="s">
        <v>105</v>
      </c>
      <c r="C99" s="4">
        <v>2744247</v>
      </c>
      <c r="E99" s="4">
        <v>22039655642</v>
      </c>
      <c r="G99" s="4">
        <v>21103513273</v>
      </c>
      <c r="I99" s="4">
        <v>800000</v>
      </c>
      <c r="J99" s="4">
        <v>6288708568</v>
      </c>
      <c r="L99" s="4">
        <v>0</v>
      </c>
      <c r="M99" s="4">
        <v>0</v>
      </c>
      <c r="O99" s="4">
        <v>3544247</v>
      </c>
      <c r="Q99" s="4">
        <v>8300</v>
      </c>
      <c r="S99" s="4">
        <v>28328364210</v>
      </c>
      <c r="U99" s="4">
        <v>29295360256</v>
      </c>
      <c r="W99" s="5">
        <v>6.7049609601974756E-3</v>
      </c>
    </row>
    <row r="100" spans="1:23" ht="18.75" x14ac:dyDescent="0.45">
      <c r="A100" s="3" t="s">
        <v>106</v>
      </c>
      <c r="C100" s="4">
        <v>261325</v>
      </c>
      <c r="E100" s="4">
        <v>7340478709</v>
      </c>
      <c r="G100" s="4">
        <v>9319420182</v>
      </c>
      <c r="N100" s="6"/>
      <c r="O100" s="4">
        <v>261325</v>
      </c>
      <c r="Q100" s="4">
        <v>38360</v>
      </c>
      <c r="S100" s="4">
        <v>7340478709</v>
      </c>
      <c r="U100" s="4">
        <v>9957310378</v>
      </c>
      <c r="W100" s="5">
        <v>2.278974444063555E-3</v>
      </c>
    </row>
    <row r="101" spans="1:23" ht="37.5" x14ac:dyDescent="0.45">
      <c r="A101" s="3" t="s">
        <v>107</v>
      </c>
      <c r="C101" s="4">
        <v>1246759</v>
      </c>
      <c r="E101" s="4">
        <v>20649343800</v>
      </c>
      <c r="G101" s="4">
        <v>22515612263</v>
      </c>
      <c r="N101" s="6"/>
      <c r="O101" s="4">
        <v>1246759</v>
      </c>
      <c r="Q101" s="4">
        <v>18910</v>
      </c>
      <c r="S101" s="4">
        <v>20649343800</v>
      </c>
      <c r="U101" s="4">
        <v>23393968566</v>
      </c>
      <c r="W101" s="5">
        <v>5.3542828819451447E-3</v>
      </c>
    </row>
    <row r="102" spans="1:23" ht="18.75" x14ac:dyDescent="0.45">
      <c r="A102" s="3" t="s">
        <v>108</v>
      </c>
      <c r="C102" s="4">
        <v>1504289</v>
      </c>
      <c r="E102" s="4">
        <v>9141298952</v>
      </c>
      <c r="G102" s="4">
        <v>16329709656</v>
      </c>
      <c r="N102" s="6"/>
      <c r="O102" s="4">
        <v>1504289</v>
      </c>
      <c r="Q102" s="4">
        <v>11860</v>
      </c>
      <c r="S102" s="4">
        <v>9141298952</v>
      </c>
      <c r="U102" s="4">
        <v>17732810851</v>
      </c>
      <c r="W102" s="5">
        <v>4.0585882348441044E-3</v>
      </c>
    </row>
    <row r="103" spans="1:23" ht="18.75" x14ac:dyDescent="0.45">
      <c r="A103" s="3" t="s">
        <v>109</v>
      </c>
      <c r="C103" s="4">
        <v>414523</v>
      </c>
      <c r="E103" s="4">
        <v>17125366833</v>
      </c>
      <c r="G103" s="4">
        <v>18649191545</v>
      </c>
      <c r="N103" s="6"/>
      <c r="O103" s="4">
        <v>414523</v>
      </c>
      <c r="Q103" s="4">
        <v>46820</v>
      </c>
      <c r="S103" s="4">
        <v>17125366833</v>
      </c>
      <c r="U103" s="4">
        <v>19225037777</v>
      </c>
      <c r="W103" s="5">
        <v>4.400120927910622E-3</v>
      </c>
    </row>
    <row r="104" spans="1:23" ht="18.75" x14ac:dyDescent="0.45">
      <c r="A104" s="3" t="s">
        <v>110</v>
      </c>
      <c r="C104" s="4">
        <v>121110</v>
      </c>
      <c r="E104" s="4">
        <v>15342681196</v>
      </c>
      <c r="G104" s="4">
        <v>15373836754</v>
      </c>
      <c r="N104" s="6"/>
      <c r="O104" s="4">
        <v>121110</v>
      </c>
      <c r="Q104" s="4">
        <v>130500</v>
      </c>
      <c r="S104" s="4">
        <v>15342681196</v>
      </c>
      <c r="U104" s="4">
        <v>15695902591</v>
      </c>
      <c r="W104" s="5">
        <v>3.5923918732545046E-3</v>
      </c>
    </row>
    <row r="105" spans="1:23" ht="18.75" x14ac:dyDescent="0.45">
      <c r="A105" s="3" t="s">
        <v>111</v>
      </c>
      <c r="C105" s="4">
        <v>11021257</v>
      </c>
      <c r="E105" s="4">
        <v>17633290109</v>
      </c>
      <c r="G105" s="4">
        <v>21511235298</v>
      </c>
      <c r="I105" s="4">
        <v>0</v>
      </c>
      <c r="J105" s="4">
        <v>0</v>
      </c>
      <c r="L105" s="4">
        <v>3059613</v>
      </c>
      <c r="M105" s="4">
        <v>6152610276</v>
      </c>
      <c r="O105" s="4">
        <v>7961644</v>
      </c>
      <c r="Q105" s="4">
        <v>2193</v>
      </c>
      <c r="S105" s="4">
        <v>12738109491</v>
      </c>
      <c r="U105" s="4">
        <v>17143218067</v>
      </c>
      <c r="W105" s="5">
        <v>3.9236454806131004E-3</v>
      </c>
    </row>
    <row r="106" spans="1:23" ht="18.75" x14ac:dyDescent="0.45">
      <c r="A106" s="3" t="s">
        <v>112</v>
      </c>
      <c r="C106" s="4">
        <v>335481</v>
      </c>
      <c r="E106" s="4">
        <v>10071351424</v>
      </c>
      <c r="G106" s="4">
        <v>13432019981</v>
      </c>
      <c r="I106" s="4">
        <v>17144</v>
      </c>
      <c r="J106" s="4">
        <v>699228604</v>
      </c>
      <c r="L106" s="4">
        <v>0</v>
      </c>
      <c r="M106" s="4">
        <v>0</v>
      </c>
      <c r="O106" s="4">
        <v>352625</v>
      </c>
      <c r="Q106" s="4">
        <v>48450</v>
      </c>
      <c r="S106" s="4">
        <v>10770580028</v>
      </c>
      <c r="U106" s="4">
        <v>17047089450</v>
      </c>
      <c r="W106" s="5">
        <v>3.901644091365437E-3</v>
      </c>
    </row>
    <row r="107" spans="1:23" ht="18.75" x14ac:dyDescent="0.45">
      <c r="A107" s="3" t="s">
        <v>113</v>
      </c>
      <c r="C107" s="4">
        <v>1355746</v>
      </c>
      <c r="E107" s="4">
        <v>9317883651</v>
      </c>
      <c r="G107" s="4">
        <v>11017729223</v>
      </c>
      <c r="I107" s="4">
        <v>0</v>
      </c>
      <c r="J107" s="4">
        <v>0</v>
      </c>
      <c r="L107" s="4">
        <v>200000</v>
      </c>
      <c r="M107" s="4">
        <v>1805931406</v>
      </c>
      <c r="O107" s="4">
        <v>1155746</v>
      </c>
      <c r="Q107" s="4">
        <v>9780</v>
      </c>
      <c r="S107" s="4">
        <v>7943307049</v>
      </c>
      <c r="U107" s="4">
        <v>11330503384</v>
      </c>
      <c r="W107" s="5">
        <v>2.5932633080880379E-3</v>
      </c>
    </row>
    <row r="108" spans="1:23" ht="37.5" x14ac:dyDescent="0.45">
      <c r="A108" s="3" t="s">
        <v>114</v>
      </c>
      <c r="C108" s="4">
        <v>3864575</v>
      </c>
      <c r="E108" s="4">
        <v>8656213516</v>
      </c>
      <c r="G108" s="4">
        <v>11385229749</v>
      </c>
      <c r="I108" s="4">
        <v>0</v>
      </c>
      <c r="J108" s="4">
        <v>0</v>
      </c>
      <c r="L108" s="4">
        <v>1200000</v>
      </c>
      <c r="M108" s="4">
        <v>4003214109</v>
      </c>
      <c r="O108" s="4">
        <v>2664575</v>
      </c>
      <c r="Q108" s="4">
        <v>3612</v>
      </c>
      <c r="S108" s="4">
        <v>5968348429</v>
      </c>
      <c r="U108" s="4">
        <v>9486592473</v>
      </c>
      <c r="W108" s="5">
        <v>2.1712391184450716E-3</v>
      </c>
    </row>
    <row r="109" spans="1:23" ht="18.75" x14ac:dyDescent="0.45">
      <c r="A109" s="3" t="s">
        <v>115</v>
      </c>
      <c r="C109" s="4">
        <v>3083586</v>
      </c>
      <c r="E109" s="4">
        <v>17142551222</v>
      </c>
      <c r="G109" s="4">
        <v>18817461763</v>
      </c>
      <c r="N109" s="6"/>
      <c r="O109" s="4">
        <v>3083586</v>
      </c>
      <c r="Q109" s="4">
        <v>7300</v>
      </c>
      <c r="S109" s="4">
        <v>17142551222</v>
      </c>
      <c r="U109" s="4">
        <v>22213784130</v>
      </c>
      <c r="W109" s="5">
        <v>5.084168758068071E-3</v>
      </c>
    </row>
    <row r="110" spans="1:23" ht="37.5" x14ac:dyDescent="0.45">
      <c r="A110" s="3" t="s">
        <v>116</v>
      </c>
      <c r="C110" s="4">
        <v>800000</v>
      </c>
      <c r="E110" s="4">
        <v>10651662871</v>
      </c>
      <c r="G110" s="4">
        <v>11986621600</v>
      </c>
      <c r="I110" s="4">
        <v>300000</v>
      </c>
      <c r="J110" s="4">
        <v>5245833359</v>
      </c>
      <c r="L110" s="4">
        <v>0</v>
      </c>
      <c r="M110" s="4">
        <v>0</v>
      </c>
      <c r="O110" s="4">
        <v>1100000</v>
      </c>
      <c r="Q110" s="4">
        <v>17370</v>
      </c>
      <c r="S110" s="4">
        <v>15897496230</v>
      </c>
      <c r="U110" s="4">
        <v>18664598700</v>
      </c>
      <c r="W110" s="5">
        <v>4.2718507138215329E-3</v>
      </c>
    </row>
    <row r="111" spans="1:23" ht="37.5" x14ac:dyDescent="0.45">
      <c r="A111" s="3" t="s">
        <v>117</v>
      </c>
      <c r="C111" s="4">
        <v>2340418</v>
      </c>
      <c r="E111" s="4">
        <v>21735848086</v>
      </c>
      <c r="G111" s="4">
        <v>23919963659</v>
      </c>
      <c r="I111" s="4">
        <v>0</v>
      </c>
      <c r="J111" s="4">
        <v>0</v>
      </c>
      <c r="L111" s="4">
        <v>242403</v>
      </c>
      <c r="M111" s="4">
        <v>3132167412</v>
      </c>
      <c r="O111" s="4">
        <v>2098015</v>
      </c>
      <c r="Q111" s="4">
        <v>13340</v>
      </c>
      <c r="S111" s="4">
        <v>19484611433</v>
      </c>
      <c r="U111" s="4">
        <v>27417271021</v>
      </c>
      <c r="W111" s="5">
        <v>6.2751142237040041E-3</v>
      </c>
    </row>
    <row r="112" spans="1:23" ht="18.75" x14ac:dyDescent="0.45">
      <c r="A112" s="3" t="s">
        <v>118</v>
      </c>
      <c r="C112" s="4">
        <v>11000000</v>
      </c>
      <c r="E112" s="4">
        <v>26823969195</v>
      </c>
      <c r="G112" s="4">
        <v>18151595110</v>
      </c>
      <c r="I112" s="4">
        <v>0</v>
      </c>
      <c r="J112" s="4">
        <v>0</v>
      </c>
      <c r="L112" s="4">
        <v>362182</v>
      </c>
      <c r="M112" s="4">
        <v>623146641</v>
      </c>
      <c r="O112" s="4">
        <v>10637818</v>
      </c>
      <c r="Q112" s="4">
        <v>1822</v>
      </c>
      <c r="S112" s="4">
        <v>25940772939</v>
      </c>
      <c r="U112" s="4">
        <v>19285058667</v>
      </c>
      <c r="W112" s="5">
        <v>4.4138581791589278E-3</v>
      </c>
    </row>
    <row r="113" spans="1:23" ht="18.75" x14ac:dyDescent="0.45">
      <c r="A113" s="3" t="s">
        <v>119</v>
      </c>
      <c r="C113" s="4">
        <v>635696</v>
      </c>
      <c r="E113" s="4">
        <v>19028284660</v>
      </c>
      <c r="G113" s="4">
        <v>19011771587</v>
      </c>
      <c r="N113" s="6"/>
      <c r="O113" s="4">
        <v>635696</v>
      </c>
      <c r="Q113" s="4">
        <v>35670</v>
      </c>
      <c r="S113" s="4">
        <v>19028284660</v>
      </c>
      <c r="U113" s="4">
        <v>22323377454</v>
      </c>
      <c r="W113" s="5">
        <v>5.109251875411466E-3</v>
      </c>
    </row>
    <row r="114" spans="1:23" ht="18.75" x14ac:dyDescent="0.45">
      <c r="A114" s="3" t="s">
        <v>120</v>
      </c>
      <c r="C114" s="4">
        <v>9448213</v>
      </c>
      <c r="E114" s="4">
        <v>15392047456</v>
      </c>
      <c r="G114" s="4">
        <v>4893843080</v>
      </c>
      <c r="N114" s="6"/>
      <c r="O114" s="4">
        <v>9448213</v>
      </c>
      <c r="Q114" s="4">
        <v>682</v>
      </c>
      <c r="S114" s="4">
        <v>15392047456</v>
      </c>
      <c r="U114" s="4">
        <v>6375121253</v>
      </c>
      <c r="W114" s="5">
        <v>1.4591026955927467E-3</v>
      </c>
    </row>
    <row r="115" spans="1:23" ht="18.75" x14ac:dyDescent="0.45">
      <c r="A115" s="3" t="s">
        <v>121</v>
      </c>
      <c r="C115" s="4">
        <v>249996</v>
      </c>
      <c r="E115" s="4">
        <v>1764072098</v>
      </c>
      <c r="G115" s="4">
        <v>1877840929</v>
      </c>
      <c r="N115" s="6"/>
      <c r="O115" s="4">
        <v>249996</v>
      </c>
      <c r="Q115" s="4">
        <v>8640</v>
      </c>
      <c r="S115" s="4">
        <v>1764072098</v>
      </c>
      <c r="U115" s="4">
        <v>2165594625</v>
      </c>
      <c r="W115" s="5">
        <v>4.9564938916443594E-4</v>
      </c>
    </row>
    <row r="116" spans="1:23" ht="37.5" x14ac:dyDescent="0.45">
      <c r="A116" s="3" t="s">
        <v>122</v>
      </c>
      <c r="H116" s="6"/>
      <c r="I116" s="4">
        <v>8000000</v>
      </c>
      <c r="J116" s="4">
        <v>35372158228</v>
      </c>
      <c r="L116" s="4">
        <v>0</v>
      </c>
      <c r="M116" s="4">
        <v>0</v>
      </c>
      <c r="O116" s="4">
        <v>8000000</v>
      </c>
      <c r="Q116" s="4">
        <v>4433</v>
      </c>
      <c r="S116" s="4">
        <v>35372158228</v>
      </c>
      <c r="U116" s="4">
        <v>34927904000</v>
      </c>
      <c r="W116" s="5">
        <v>7.9941065989642714E-3</v>
      </c>
    </row>
    <row r="117" spans="1:23" ht="18.75" x14ac:dyDescent="0.45">
      <c r="A117" s="3" t="s">
        <v>123</v>
      </c>
      <c r="C117" s="4">
        <v>1875000</v>
      </c>
      <c r="E117" s="4">
        <v>5911612875</v>
      </c>
      <c r="G117" s="4">
        <v>6295953150</v>
      </c>
      <c r="N117" s="6"/>
      <c r="O117" s="4">
        <v>1875000</v>
      </c>
      <c r="Q117" s="4">
        <v>4265</v>
      </c>
      <c r="S117" s="4">
        <v>5911612875</v>
      </c>
      <c r="U117" s="4">
        <v>7871801944</v>
      </c>
      <c r="W117" s="5">
        <v>1.8016547419012084E-3</v>
      </c>
    </row>
    <row r="118" spans="1:23" ht="37.5" x14ac:dyDescent="0.45">
      <c r="A118" s="3" t="s">
        <v>124</v>
      </c>
      <c r="C118" s="4">
        <v>23792</v>
      </c>
      <c r="E118" s="4">
        <v>1265552380</v>
      </c>
      <c r="G118" s="4">
        <v>1512098026</v>
      </c>
      <c r="N118" s="6"/>
      <c r="O118" s="4">
        <v>23792</v>
      </c>
      <c r="Q118" s="4">
        <v>64300</v>
      </c>
      <c r="S118" s="4">
        <v>1265552380</v>
      </c>
      <c r="U118" s="4">
        <v>1518000048</v>
      </c>
      <c r="W118" s="5">
        <v>3.4743150350347051E-4</v>
      </c>
    </row>
    <row r="119" spans="1:23" ht="18.75" x14ac:dyDescent="0.45">
      <c r="A119" s="3" t="s">
        <v>125</v>
      </c>
      <c r="C119" s="4">
        <v>943421</v>
      </c>
      <c r="E119" s="4">
        <v>12470037471</v>
      </c>
      <c r="G119" s="4">
        <v>15024860109</v>
      </c>
      <c r="N119" s="6"/>
      <c r="O119" s="4">
        <v>943421</v>
      </c>
      <c r="Q119" s="4">
        <v>21220</v>
      </c>
      <c r="S119" s="4">
        <v>12470037471</v>
      </c>
      <c r="U119" s="4">
        <v>19658695469</v>
      </c>
      <c r="W119" s="5">
        <v>4.4993741157717893E-3</v>
      </c>
    </row>
    <row r="120" spans="1:23" ht="18.75" x14ac:dyDescent="0.45">
      <c r="A120" s="3" t="s">
        <v>126</v>
      </c>
      <c r="C120" s="4">
        <v>3733986</v>
      </c>
      <c r="E120" s="4">
        <v>14066948730</v>
      </c>
      <c r="G120" s="4">
        <v>18673816333</v>
      </c>
      <c r="N120" s="6"/>
      <c r="O120" s="4">
        <v>3733986</v>
      </c>
      <c r="Q120" s="4">
        <v>5660</v>
      </c>
      <c r="S120" s="4">
        <v>14066948730</v>
      </c>
      <c r="U120" s="4">
        <v>21193299489</v>
      </c>
      <c r="W120" s="5">
        <v>4.8506058450813721E-3</v>
      </c>
    </row>
    <row r="121" spans="1:23" ht="18.75" x14ac:dyDescent="0.45">
      <c r="A121" s="3" t="s">
        <v>127</v>
      </c>
      <c r="C121" s="4">
        <v>6358320</v>
      </c>
      <c r="E121" s="4">
        <v>32561373728</v>
      </c>
      <c r="G121" s="4">
        <v>22214588226</v>
      </c>
      <c r="I121" s="4">
        <v>0</v>
      </c>
      <c r="J121" s="4">
        <v>0</v>
      </c>
      <c r="L121" s="4">
        <v>500000</v>
      </c>
      <c r="M121" s="4">
        <v>1293920136</v>
      </c>
      <c r="O121" s="4">
        <v>8635517</v>
      </c>
      <c r="Q121" s="4">
        <v>2811</v>
      </c>
      <c r="S121" s="4">
        <v>30779242857</v>
      </c>
      <c r="U121" s="4">
        <v>24335291048</v>
      </c>
      <c r="W121" s="5">
        <v>5.5697275952926624E-3</v>
      </c>
    </row>
    <row r="122" spans="1:23" ht="18.75" x14ac:dyDescent="0.45">
      <c r="A122" s="3" t="s">
        <v>128</v>
      </c>
      <c r="C122" s="4">
        <v>5575855</v>
      </c>
      <c r="E122" s="4">
        <v>36903845675</v>
      </c>
      <c r="G122" s="4">
        <v>36792811712</v>
      </c>
      <c r="I122" s="4">
        <v>0</v>
      </c>
      <c r="J122" s="4">
        <v>0</v>
      </c>
      <c r="L122" s="4">
        <v>1946060</v>
      </c>
      <c r="M122" s="4">
        <v>14059171371</v>
      </c>
      <c r="O122" s="4">
        <v>3629795</v>
      </c>
      <c r="Q122" s="4">
        <v>7530</v>
      </c>
      <c r="S122" s="4">
        <v>24023830338</v>
      </c>
      <c r="U122" s="4">
        <v>26796920934</v>
      </c>
      <c r="W122" s="5">
        <v>6.1331319070967796E-3</v>
      </c>
    </row>
    <row r="123" spans="1:23" ht="18.75" x14ac:dyDescent="0.45">
      <c r="A123" s="3" t="s">
        <v>129</v>
      </c>
      <c r="C123" s="4">
        <v>6157463</v>
      </c>
      <c r="E123" s="4">
        <v>12101239129</v>
      </c>
      <c r="G123" s="4">
        <v>19630998851</v>
      </c>
      <c r="N123" s="6"/>
      <c r="O123" s="4">
        <v>6157463</v>
      </c>
      <c r="Q123" s="4">
        <v>3652</v>
      </c>
      <c r="S123" s="4">
        <v>12101239129</v>
      </c>
      <c r="U123" s="4">
        <v>21964967591</v>
      </c>
      <c r="W123" s="5">
        <v>5.0272209968639818E-3</v>
      </c>
    </row>
    <row r="124" spans="1:23" ht="18.75" x14ac:dyDescent="0.45">
      <c r="A124" s="3" t="s">
        <v>130</v>
      </c>
      <c r="C124" s="4">
        <v>10131711</v>
      </c>
      <c r="E124" s="4">
        <v>19444762475</v>
      </c>
      <c r="G124" s="4">
        <v>23122803610</v>
      </c>
      <c r="N124" s="6"/>
      <c r="O124" s="4">
        <v>10131711</v>
      </c>
      <c r="Q124" s="4">
        <v>2506</v>
      </c>
      <c r="S124" s="4">
        <v>19444762475</v>
      </c>
      <c r="U124" s="4">
        <v>25324496650</v>
      </c>
      <c r="W124" s="5">
        <v>5.7961315338364875E-3</v>
      </c>
    </row>
    <row r="125" spans="1:23" ht="18.75" x14ac:dyDescent="0.45">
      <c r="A125" s="3" t="s">
        <v>131</v>
      </c>
      <c r="C125" s="4">
        <v>5865914</v>
      </c>
      <c r="E125" s="4">
        <v>20246303729</v>
      </c>
      <c r="G125" s="4">
        <v>13864598895</v>
      </c>
      <c r="N125" s="6"/>
      <c r="O125" s="4">
        <v>5865914</v>
      </c>
      <c r="Q125" s="4">
        <v>3061</v>
      </c>
      <c r="S125" s="4">
        <v>20246303729</v>
      </c>
      <c r="U125" s="4">
        <v>17956459946</v>
      </c>
      <c r="W125" s="5">
        <v>4.1097758098612566E-3</v>
      </c>
    </row>
    <row r="126" spans="1:23" ht="18.75" x14ac:dyDescent="0.45">
      <c r="A126" s="3" t="s">
        <v>132</v>
      </c>
      <c r="C126" s="4">
        <v>9180289</v>
      </c>
      <c r="E126" s="4">
        <v>26190987651</v>
      </c>
      <c r="G126" s="4">
        <v>26070889198</v>
      </c>
      <c r="I126" s="4">
        <v>0</v>
      </c>
      <c r="J126" s="4">
        <v>0</v>
      </c>
      <c r="L126" s="4">
        <v>600000</v>
      </c>
      <c r="M126" s="4">
        <v>1861498520</v>
      </c>
      <c r="O126" s="4">
        <v>8580289</v>
      </c>
      <c r="Q126" s="4">
        <v>3318</v>
      </c>
      <c r="S126" s="4">
        <v>24479212282</v>
      </c>
      <c r="U126" s="4">
        <v>28325956119</v>
      </c>
      <c r="W126" s="5">
        <v>6.4830890720745877E-3</v>
      </c>
    </row>
    <row r="127" spans="1:23" ht="18.75" x14ac:dyDescent="0.45">
      <c r="A127" s="3" t="s">
        <v>133</v>
      </c>
      <c r="C127" s="4">
        <v>6451889</v>
      </c>
      <c r="E127" s="4">
        <v>23210973576</v>
      </c>
      <c r="G127" s="4">
        <v>24935851923</v>
      </c>
      <c r="I127" s="4">
        <v>0</v>
      </c>
      <c r="J127" s="4">
        <v>0</v>
      </c>
      <c r="L127" s="4">
        <v>762228</v>
      </c>
      <c r="M127" s="4">
        <v>3204911812</v>
      </c>
      <c r="O127" s="4">
        <v>5689661</v>
      </c>
      <c r="Q127" s="4">
        <v>4550</v>
      </c>
      <c r="S127" s="4">
        <v>20468822561</v>
      </c>
      <c r="U127" s="4">
        <v>25857214036</v>
      </c>
      <c r="W127" s="5">
        <v>5.9180569597310842E-3</v>
      </c>
    </row>
    <row r="128" spans="1:23" ht="18.75" x14ac:dyDescent="0.45">
      <c r="A128" s="3" t="s">
        <v>134</v>
      </c>
      <c r="C128" s="4">
        <v>1243266</v>
      </c>
      <c r="E128" s="4">
        <v>18248081922</v>
      </c>
      <c r="G128" s="4">
        <v>20120922083</v>
      </c>
      <c r="I128" s="4">
        <v>0</v>
      </c>
      <c r="J128" s="4">
        <v>0</v>
      </c>
      <c r="L128" s="4">
        <v>204953</v>
      </c>
      <c r="M128" s="4">
        <v>4006347223</v>
      </c>
      <c r="O128" s="4">
        <v>1038313</v>
      </c>
      <c r="Q128" s="4">
        <v>20640</v>
      </c>
      <c r="S128" s="4">
        <v>15239876812</v>
      </c>
      <c r="U128" s="4">
        <v>21378451941</v>
      </c>
      <c r="W128" s="5">
        <v>4.8929825201417367E-3</v>
      </c>
    </row>
    <row r="129" spans="1:23" ht="18.75" x14ac:dyDescent="0.45">
      <c r="A129" s="3" t="s">
        <v>135</v>
      </c>
      <c r="C129" s="4">
        <v>6863427</v>
      </c>
      <c r="E129" s="4">
        <v>20943339437</v>
      </c>
      <c r="G129" s="4">
        <v>24851050016</v>
      </c>
      <c r="I129" s="4">
        <v>0</v>
      </c>
      <c r="J129" s="4">
        <v>0</v>
      </c>
      <c r="L129" s="4">
        <v>84035</v>
      </c>
      <c r="M129" s="4">
        <v>341391275</v>
      </c>
      <c r="O129" s="4">
        <v>6779392</v>
      </c>
      <c r="Q129" s="4">
        <v>4313</v>
      </c>
      <c r="S129" s="4">
        <v>20686911631</v>
      </c>
      <c r="U129" s="4">
        <v>29336391615</v>
      </c>
      <c r="W129" s="5">
        <v>6.7143519920139392E-3</v>
      </c>
    </row>
    <row r="130" spans="1:23" ht="18.75" x14ac:dyDescent="0.45">
      <c r="A130" s="3" t="s">
        <v>136</v>
      </c>
      <c r="C130" s="4">
        <v>2589045</v>
      </c>
      <c r="E130" s="4">
        <v>8523271213</v>
      </c>
      <c r="G130" s="4">
        <v>10276126729</v>
      </c>
      <c r="N130" s="6"/>
      <c r="O130" s="4">
        <v>2589045</v>
      </c>
      <c r="Q130" s="4">
        <v>5550</v>
      </c>
      <c r="S130" s="4">
        <v>8523271213</v>
      </c>
      <c r="U130" s="4">
        <v>14103983935</v>
      </c>
      <c r="W130" s="5">
        <v>3.2280422852304443E-3</v>
      </c>
    </row>
    <row r="131" spans="1:23" ht="18.75" x14ac:dyDescent="0.45">
      <c r="A131" s="3" t="s">
        <v>137</v>
      </c>
      <c r="C131" s="4">
        <v>1716133</v>
      </c>
      <c r="E131" s="4">
        <v>21801577135</v>
      </c>
      <c r="G131" s="4">
        <v>24197744218</v>
      </c>
      <c r="I131" s="4">
        <v>0</v>
      </c>
      <c r="J131" s="4">
        <v>0</v>
      </c>
      <c r="L131" s="4">
        <v>339048</v>
      </c>
      <c r="M131" s="4">
        <v>5005410364</v>
      </c>
      <c r="O131" s="4">
        <v>1377085</v>
      </c>
      <c r="Q131" s="4">
        <v>14940</v>
      </c>
      <c r="S131" s="4">
        <v>17494346213</v>
      </c>
      <c r="U131" s="4">
        <v>19936361540</v>
      </c>
      <c r="W131" s="5">
        <v>4.562924799216452E-3</v>
      </c>
    </row>
    <row r="132" spans="1:23" ht="37.5" x14ac:dyDescent="0.45">
      <c r="A132" s="3" t="s">
        <v>138</v>
      </c>
      <c r="C132" s="4">
        <v>316099</v>
      </c>
      <c r="E132" s="4">
        <v>2474138629</v>
      </c>
      <c r="G132" s="4">
        <v>2590794882</v>
      </c>
      <c r="N132" s="6"/>
      <c r="O132" s="4">
        <v>316099</v>
      </c>
      <c r="Q132" s="4">
        <v>9910</v>
      </c>
      <c r="S132" s="4">
        <v>2474138629</v>
      </c>
      <c r="U132" s="4">
        <v>3064414770</v>
      </c>
      <c r="W132" s="5">
        <v>7.013664013397592E-4</v>
      </c>
    </row>
    <row r="133" spans="1:23" ht="37.5" x14ac:dyDescent="0.45">
      <c r="A133" s="3" t="s">
        <v>139</v>
      </c>
      <c r="C133" s="4">
        <v>582860</v>
      </c>
      <c r="E133" s="4">
        <v>12577058146</v>
      </c>
      <c r="G133" s="4">
        <v>15245424414</v>
      </c>
      <c r="N133" s="6"/>
      <c r="O133" s="4">
        <v>582860</v>
      </c>
      <c r="Q133" s="4">
        <v>31550</v>
      </c>
      <c r="S133" s="4">
        <v>12577058146</v>
      </c>
      <c r="U133" s="4">
        <v>18015742432</v>
      </c>
      <c r="W133" s="5">
        <v>4.1233440592625265E-3</v>
      </c>
    </row>
    <row r="134" spans="1:23" ht="18.75" x14ac:dyDescent="0.45">
      <c r="A134" s="3" t="s">
        <v>140</v>
      </c>
      <c r="C134" s="4">
        <v>2367900</v>
      </c>
      <c r="E134" s="4">
        <v>10511126850</v>
      </c>
      <c r="G134" s="4">
        <v>12429363544</v>
      </c>
      <c r="I134" s="4">
        <v>3000000</v>
      </c>
      <c r="J134" s="4">
        <v>17476433402</v>
      </c>
      <c r="L134" s="4">
        <v>0</v>
      </c>
      <c r="M134" s="4">
        <v>0</v>
      </c>
      <c r="O134" s="4">
        <v>5367900</v>
      </c>
      <c r="Q134" s="4">
        <v>5960</v>
      </c>
      <c r="S134" s="4">
        <v>27987560252</v>
      </c>
      <c r="U134" s="4">
        <v>31851908675</v>
      </c>
      <c r="W134" s="5">
        <v>7.2900897038775886E-3</v>
      </c>
    </row>
    <row r="135" spans="1:23" ht="18.75" x14ac:dyDescent="0.45">
      <c r="A135" s="3" t="s">
        <v>141</v>
      </c>
      <c r="H135" s="6"/>
      <c r="I135" s="4">
        <v>11200000</v>
      </c>
      <c r="J135" s="4">
        <v>21988020236</v>
      </c>
      <c r="L135" s="4">
        <v>0</v>
      </c>
      <c r="M135" s="4">
        <v>0</v>
      </c>
      <c r="O135" s="4">
        <v>11200000</v>
      </c>
      <c r="Q135" s="4">
        <v>1957</v>
      </c>
      <c r="S135" s="4">
        <v>21988020236</v>
      </c>
      <c r="U135" s="4">
        <v>21760084192</v>
      </c>
      <c r="W135" s="5">
        <v>4.9803284111547413E-3</v>
      </c>
    </row>
    <row r="136" spans="1:23" ht="18.75" x14ac:dyDescent="0.45">
      <c r="A136" s="3" t="s">
        <v>142</v>
      </c>
      <c r="C136" s="4">
        <v>4182068</v>
      </c>
      <c r="E136" s="4">
        <v>13912634555</v>
      </c>
      <c r="G136" s="4">
        <v>14656883850</v>
      </c>
      <c r="I136" s="4">
        <v>0</v>
      </c>
      <c r="J136" s="4">
        <v>0</v>
      </c>
      <c r="L136" s="4">
        <v>266267</v>
      </c>
      <c r="M136" s="4">
        <v>992761300</v>
      </c>
      <c r="O136" s="4">
        <v>3915801</v>
      </c>
      <c r="Q136" s="4">
        <v>4116</v>
      </c>
      <c r="S136" s="4">
        <v>13026834643</v>
      </c>
      <c r="U136" s="4">
        <v>15992849129</v>
      </c>
      <c r="W136" s="5">
        <v>3.6603553639628335E-3</v>
      </c>
    </row>
    <row r="137" spans="1:23" ht="18.75" x14ac:dyDescent="0.45">
      <c r="A137" s="3" t="s">
        <v>143</v>
      </c>
      <c r="H137" s="6"/>
      <c r="I137" s="4">
        <v>540150</v>
      </c>
      <c r="J137" s="4">
        <v>8499361036</v>
      </c>
      <c r="L137" s="4">
        <v>0</v>
      </c>
      <c r="M137" s="4">
        <v>0</v>
      </c>
      <c r="O137" s="4">
        <v>540150</v>
      </c>
      <c r="Q137" s="4">
        <v>15650</v>
      </c>
      <c r="S137" s="4">
        <v>8499361036</v>
      </c>
      <c r="U137" s="4">
        <v>8580953994</v>
      </c>
      <c r="W137" s="5">
        <v>1.9639615634778492E-3</v>
      </c>
    </row>
    <row r="138" spans="1:23" ht="18.75" x14ac:dyDescent="0.45">
      <c r="A138" s="3" t="s">
        <v>144</v>
      </c>
      <c r="C138" s="4">
        <v>8858150</v>
      </c>
      <c r="E138" s="4">
        <v>11344964033</v>
      </c>
      <c r="G138" s="4">
        <v>13536101811</v>
      </c>
      <c r="N138" s="6"/>
      <c r="O138" s="4">
        <v>8858150</v>
      </c>
      <c r="Q138" s="4">
        <v>1896</v>
      </c>
      <c r="S138" s="4">
        <v>11344964033</v>
      </c>
      <c r="U138" s="4">
        <v>16550960850</v>
      </c>
      <c r="W138" s="5">
        <v>3.7880929056087736E-3</v>
      </c>
    </row>
    <row r="139" spans="1:23" ht="18.75" x14ac:dyDescent="0.45">
      <c r="A139" s="3" t="s">
        <v>145</v>
      </c>
      <c r="C139" s="4">
        <v>3000000</v>
      </c>
      <c r="E139" s="4">
        <v>7822145005</v>
      </c>
      <c r="G139" s="4">
        <v>11416066350</v>
      </c>
      <c r="N139" s="6"/>
      <c r="O139" s="4">
        <v>3000000</v>
      </c>
      <c r="Q139" s="4">
        <v>4858</v>
      </c>
      <c r="S139" s="4">
        <v>7822145005</v>
      </c>
      <c r="U139" s="4">
        <v>14375015490</v>
      </c>
      <c r="W139" s="5">
        <v>3.2900744971362333E-3</v>
      </c>
    </row>
    <row r="140" spans="1:23" ht="18.75" x14ac:dyDescent="0.45">
      <c r="A140" s="3" t="s">
        <v>146</v>
      </c>
      <c r="C140" s="4">
        <v>4441456</v>
      </c>
      <c r="E140" s="4">
        <v>11625693660</v>
      </c>
      <c r="G140" s="4">
        <v>13529869284</v>
      </c>
      <c r="N140" s="6"/>
      <c r="O140" s="4">
        <v>4441456</v>
      </c>
      <c r="Q140" s="4">
        <v>3885</v>
      </c>
      <c r="S140" s="4">
        <v>11625693660</v>
      </c>
      <c r="U140" s="4">
        <v>17073196614</v>
      </c>
      <c r="W140" s="5">
        <v>3.9076193554984538E-3</v>
      </c>
    </row>
    <row r="141" spans="1:23" ht="18.75" x14ac:dyDescent="0.45">
      <c r="A141" s="3" t="s">
        <v>147</v>
      </c>
      <c r="C141" s="4">
        <v>5196510</v>
      </c>
      <c r="E141" s="4">
        <v>26726392187</v>
      </c>
      <c r="G141" s="4">
        <v>21605068697</v>
      </c>
      <c r="N141" s="6"/>
      <c r="O141" s="4">
        <v>6186321</v>
      </c>
      <c r="Q141" s="4">
        <v>3877</v>
      </c>
      <c r="S141" s="4">
        <v>26726392187</v>
      </c>
      <c r="U141" s="4">
        <v>24124307903</v>
      </c>
      <c r="W141" s="5">
        <v>5.5214389332614473E-3</v>
      </c>
    </row>
    <row r="142" spans="1:23" ht="18.75" x14ac:dyDescent="0.45">
      <c r="A142" s="3" t="s">
        <v>148</v>
      </c>
      <c r="C142" s="4">
        <v>15412467</v>
      </c>
      <c r="E142" s="4">
        <v>15455930566</v>
      </c>
      <c r="G142" s="4">
        <v>17832021183</v>
      </c>
      <c r="N142" s="6"/>
      <c r="O142" s="4">
        <v>15412467</v>
      </c>
      <c r="Q142" s="4">
        <v>1396</v>
      </c>
      <c r="S142" s="4">
        <v>15455930566</v>
      </c>
      <c r="U142" s="4">
        <v>21257726796</v>
      </c>
      <c r="W142" s="5">
        <v>4.8653516128217495E-3</v>
      </c>
    </row>
    <row r="143" spans="1:23" ht="18.75" x14ac:dyDescent="0.45">
      <c r="A143" s="3" t="s">
        <v>149</v>
      </c>
      <c r="C143" s="4">
        <v>1447708</v>
      </c>
      <c r="E143" s="4">
        <v>7589659743</v>
      </c>
      <c r="G143" s="4">
        <v>9581569838</v>
      </c>
      <c r="N143" s="6"/>
      <c r="O143" s="4">
        <v>1447708</v>
      </c>
      <c r="Q143" s="4">
        <v>7200</v>
      </c>
      <c r="S143" s="4">
        <v>7589659743</v>
      </c>
      <c r="U143" s="4">
        <v>10314193619</v>
      </c>
      <c r="W143" s="5">
        <v>2.360655917762574E-3</v>
      </c>
    </row>
    <row r="144" spans="1:23" ht="18.75" x14ac:dyDescent="0.45">
      <c r="A144" s="3" t="s">
        <v>150</v>
      </c>
      <c r="C144" s="4">
        <v>1375942</v>
      </c>
      <c r="E144" s="4">
        <v>10930235967</v>
      </c>
      <c r="G144" s="4">
        <v>10540162076</v>
      </c>
      <c r="N144" s="6"/>
      <c r="O144" s="4">
        <v>1375942</v>
      </c>
      <c r="Q144" s="4">
        <v>9880</v>
      </c>
      <c r="S144" s="4">
        <v>10930235967</v>
      </c>
      <c r="U144" s="4">
        <v>13448263788</v>
      </c>
      <c r="W144" s="5">
        <v>3.077964663790391E-3</v>
      </c>
    </row>
    <row r="145" spans="1:23" ht="18.75" x14ac:dyDescent="0.45">
      <c r="A145" s="3" t="s">
        <v>151</v>
      </c>
      <c r="C145" s="4">
        <v>4342474</v>
      </c>
      <c r="E145" s="4">
        <v>19318413279</v>
      </c>
      <c r="G145" s="4">
        <v>23181917917</v>
      </c>
      <c r="N145" s="6"/>
      <c r="O145" s="4">
        <v>4342474</v>
      </c>
      <c r="Q145" s="4">
        <v>5470</v>
      </c>
      <c r="S145" s="4">
        <v>19318413279</v>
      </c>
      <c r="U145" s="4">
        <v>23526630451</v>
      </c>
      <c r="W145" s="5">
        <v>5.384645804676195E-3</v>
      </c>
    </row>
    <row r="146" spans="1:23" ht="18.75" x14ac:dyDescent="0.45">
      <c r="A146" s="3" t="s">
        <v>152</v>
      </c>
      <c r="C146" s="4">
        <v>241083</v>
      </c>
      <c r="E146" s="4">
        <v>1966102194</v>
      </c>
      <c r="G146" s="4">
        <v>2329997233</v>
      </c>
      <c r="N146" s="6"/>
      <c r="O146" s="4">
        <v>241083</v>
      </c>
      <c r="Q146" s="4">
        <v>9800</v>
      </c>
      <c r="S146" s="4">
        <v>1966102194</v>
      </c>
      <c r="U146" s="4">
        <v>2382625507</v>
      </c>
      <c r="W146" s="5">
        <v>5.4532222398370354E-4</v>
      </c>
    </row>
    <row r="147" spans="1:23" ht="18.75" x14ac:dyDescent="0.45">
      <c r="A147" s="3" t="s">
        <v>153</v>
      </c>
      <c r="C147" s="4">
        <v>4912237</v>
      </c>
      <c r="E147" s="4">
        <v>17994298726</v>
      </c>
      <c r="G147" s="4">
        <v>17113545847</v>
      </c>
      <c r="N147" s="6"/>
      <c r="O147" s="4">
        <v>4912237</v>
      </c>
      <c r="Q147" s="4">
        <v>3956</v>
      </c>
      <c r="S147" s="4">
        <v>17994298726</v>
      </c>
      <c r="U147" s="4">
        <v>19204605707</v>
      </c>
      <c r="W147" s="5">
        <v>4.3954445480849811E-3</v>
      </c>
    </row>
    <row r="148" spans="1:23" ht="18.75" x14ac:dyDescent="0.45">
      <c r="A148" s="3" t="s">
        <v>154</v>
      </c>
      <c r="C148" s="4">
        <v>9197090</v>
      </c>
      <c r="E148" s="4">
        <v>13119139315</v>
      </c>
      <c r="G148" s="4">
        <v>18124229038</v>
      </c>
      <c r="N148" s="6"/>
      <c r="O148" s="4">
        <v>9197090</v>
      </c>
      <c r="Q148" s="4">
        <v>2545</v>
      </c>
      <c r="S148" s="4">
        <v>13119139315</v>
      </c>
      <c r="U148" s="4">
        <v>23088771131</v>
      </c>
      <c r="W148" s="5">
        <v>5.2844309713031409E-3</v>
      </c>
    </row>
    <row r="149" spans="1:23" ht="18.75" x14ac:dyDescent="0.45">
      <c r="A149" s="3" t="s">
        <v>155</v>
      </c>
      <c r="C149" s="4">
        <v>12665640</v>
      </c>
      <c r="E149" s="4">
        <v>49480294676</v>
      </c>
      <c r="G149" s="4">
        <v>44125316190</v>
      </c>
      <c r="N149" s="6"/>
      <c r="O149" s="4">
        <v>12665640</v>
      </c>
      <c r="Q149" s="4">
        <v>4113</v>
      </c>
      <c r="S149" s="4">
        <v>49480294676</v>
      </c>
      <c r="U149" s="4">
        <v>51540279606</v>
      </c>
      <c r="W149" s="5">
        <v>1.1796255776206561E-2</v>
      </c>
    </row>
    <row r="150" spans="1:23" ht="18.75" x14ac:dyDescent="0.45">
      <c r="A150" s="3" t="s">
        <v>156</v>
      </c>
      <c r="C150" s="4">
        <v>15084042</v>
      </c>
      <c r="E150" s="4">
        <v>19106127464</v>
      </c>
      <c r="G150" s="4">
        <v>20520363469</v>
      </c>
      <c r="I150" s="4">
        <v>6800000</v>
      </c>
      <c r="J150" s="4">
        <v>10847501255</v>
      </c>
      <c r="L150" s="4">
        <v>0</v>
      </c>
      <c r="M150" s="4">
        <v>0</v>
      </c>
      <c r="O150" s="4">
        <v>21884042</v>
      </c>
      <c r="Q150" s="4">
        <v>1660</v>
      </c>
      <c r="S150" s="4">
        <v>29953628719</v>
      </c>
      <c r="U150" s="4">
        <v>35677545138</v>
      </c>
      <c r="W150" s="5">
        <v>8.1656803403528447E-3</v>
      </c>
    </row>
    <row r="151" spans="1:23" ht="18.75" x14ac:dyDescent="0.45">
      <c r="A151" s="3" t="s">
        <v>157</v>
      </c>
      <c r="H151" s="6"/>
      <c r="I151" s="4">
        <v>2800000</v>
      </c>
      <c r="J151" s="4">
        <v>23138668746</v>
      </c>
      <c r="L151" s="4">
        <v>0</v>
      </c>
      <c r="M151" s="4">
        <v>0</v>
      </c>
      <c r="O151" s="4">
        <v>2800000</v>
      </c>
      <c r="Q151" s="4">
        <v>7980</v>
      </c>
      <c r="S151" s="4">
        <v>23138668746</v>
      </c>
      <c r="U151" s="4">
        <v>22226848000</v>
      </c>
      <c r="W151" s="5">
        <v>5.0871587447954454E-3</v>
      </c>
    </row>
    <row r="152" spans="1:23" ht="18.75" x14ac:dyDescent="0.45">
      <c r="A152" s="3" t="s">
        <v>158</v>
      </c>
      <c r="C152" s="4">
        <v>862852</v>
      </c>
      <c r="E152" s="4">
        <v>7777212626</v>
      </c>
      <c r="G152" s="4">
        <v>10787895141</v>
      </c>
      <c r="N152" s="6"/>
      <c r="O152" s="4">
        <v>862852</v>
      </c>
      <c r="Q152" s="4">
        <v>14490</v>
      </c>
      <c r="S152" s="4">
        <v>7777212626</v>
      </c>
      <c r="U152" s="4">
        <v>12594439486</v>
      </c>
      <c r="W152" s="5">
        <v>2.8825460527287521E-3</v>
      </c>
    </row>
    <row r="153" spans="1:23" ht="18.75" x14ac:dyDescent="0.45">
      <c r="A153" s="3" t="s">
        <v>159</v>
      </c>
      <c r="C153" s="4">
        <v>4684284</v>
      </c>
      <c r="E153" s="4">
        <v>35449885595</v>
      </c>
      <c r="G153" s="4">
        <v>33326694055</v>
      </c>
      <c r="I153" s="4">
        <v>0</v>
      </c>
      <c r="J153" s="4">
        <v>0</v>
      </c>
      <c r="L153" s="4">
        <v>400000</v>
      </c>
      <c r="M153" s="4">
        <v>3334027215</v>
      </c>
      <c r="O153" s="4">
        <v>4284284</v>
      </c>
      <c r="Q153" s="4">
        <v>8970</v>
      </c>
      <c r="S153" s="4">
        <v>32422751835</v>
      </c>
      <c r="U153" s="4">
        <v>38345521692</v>
      </c>
      <c r="W153" s="5">
        <v>8.776312142828405E-3</v>
      </c>
    </row>
    <row r="154" spans="1:23" ht="18.75" x14ac:dyDescent="0.45">
      <c r="A154" s="3" t="s">
        <v>160</v>
      </c>
      <c r="C154" s="4">
        <v>1644914</v>
      </c>
      <c r="E154" s="4">
        <v>18212734721</v>
      </c>
      <c r="G154" s="4">
        <v>19031438180</v>
      </c>
      <c r="I154" s="4">
        <v>0</v>
      </c>
      <c r="J154" s="4">
        <v>0</v>
      </c>
      <c r="L154" s="4">
        <v>463829</v>
      </c>
      <c r="M154" s="4">
        <v>5823084674</v>
      </c>
      <c r="O154" s="4">
        <v>1181085</v>
      </c>
      <c r="Q154" s="4">
        <v>12630</v>
      </c>
      <c r="S154" s="4">
        <v>13077150409</v>
      </c>
      <c r="U154" s="4">
        <v>14977587622</v>
      </c>
      <c r="W154" s="5">
        <v>3.4279878931640384E-3</v>
      </c>
    </row>
    <row r="155" spans="1:23" ht="18.75" x14ac:dyDescent="0.45">
      <c r="A155" s="3" t="s">
        <v>161</v>
      </c>
      <c r="C155" s="4">
        <v>3100000</v>
      </c>
      <c r="E155" s="4">
        <v>16707862255</v>
      </c>
      <c r="G155" s="4">
        <v>21809102330</v>
      </c>
      <c r="N155" s="6"/>
      <c r="O155" s="4">
        <v>3100000</v>
      </c>
      <c r="Q155" s="4">
        <v>7500</v>
      </c>
      <c r="S155" s="4">
        <v>16707862255</v>
      </c>
      <c r="U155" s="4">
        <v>23070277500</v>
      </c>
      <c r="W155" s="5">
        <v>5.2801982507363438E-3</v>
      </c>
    </row>
    <row r="156" spans="1:23" ht="37.5" x14ac:dyDescent="0.45">
      <c r="A156" s="3" t="s">
        <v>162</v>
      </c>
      <c r="C156" s="4">
        <v>1400000</v>
      </c>
      <c r="E156" s="4">
        <v>12092170716</v>
      </c>
      <c r="G156" s="4">
        <v>14794745700</v>
      </c>
      <c r="N156" s="6"/>
      <c r="O156" s="4">
        <v>1400000</v>
      </c>
      <c r="Q156" s="4">
        <v>12310</v>
      </c>
      <c r="S156" s="4">
        <v>12092170716</v>
      </c>
      <c r="U156" s="4">
        <v>17350833220</v>
      </c>
      <c r="W156" s="5">
        <v>3.9711632951559446E-3</v>
      </c>
    </row>
    <row r="157" spans="1:23" ht="37.5" x14ac:dyDescent="0.45">
      <c r="A157" s="3" t="s">
        <v>163</v>
      </c>
      <c r="C157" s="4">
        <v>2400000</v>
      </c>
      <c r="E157" s="4">
        <v>11849949912</v>
      </c>
      <c r="G157" s="4">
        <v>14407760400</v>
      </c>
      <c r="N157" s="6"/>
      <c r="O157" s="4">
        <v>2400000</v>
      </c>
      <c r="Q157" s="4">
        <v>6190</v>
      </c>
      <c r="S157" s="4">
        <v>11849949912</v>
      </c>
      <c r="U157" s="4">
        <v>14622090720</v>
      </c>
      <c r="W157" s="5">
        <v>3.3466237171118612E-3</v>
      </c>
    </row>
    <row r="158" spans="1:23" ht="18.75" x14ac:dyDescent="0.45">
      <c r="A158" s="3" t="s">
        <v>164</v>
      </c>
      <c r="C158" s="4">
        <v>4758999</v>
      </c>
      <c r="E158" s="4">
        <v>16361609659</v>
      </c>
      <c r="G158" s="4">
        <v>22095229657</v>
      </c>
      <c r="I158" s="4">
        <v>800000</v>
      </c>
      <c r="J158" s="4">
        <v>3912717934</v>
      </c>
      <c r="L158" s="4">
        <v>0</v>
      </c>
      <c r="M158" s="4">
        <v>0</v>
      </c>
      <c r="O158" s="4">
        <v>5558999</v>
      </c>
      <c r="Q158" s="4">
        <v>4998</v>
      </c>
      <c r="S158" s="4">
        <v>20274327593</v>
      </c>
      <c r="U158" s="4">
        <v>27320886376</v>
      </c>
      <c r="W158" s="5">
        <v>6.2530542361755991E-3</v>
      </c>
    </row>
    <row r="159" spans="1:23" ht="18.75" x14ac:dyDescent="0.45">
      <c r="A159" s="3" t="s">
        <v>165</v>
      </c>
      <c r="C159" s="4">
        <v>5341672</v>
      </c>
      <c r="E159" s="4">
        <v>10741844989</v>
      </c>
      <c r="G159" s="4">
        <v>24519561930</v>
      </c>
      <c r="I159" s="4">
        <v>0</v>
      </c>
      <c r="J159" s="4">
        <v>0</v>
      </c>
      <c r="L159" s="4">
        <v>3200000</v>
      </c>
      <c r="M159" s="4">
        <v>15498088959</v>
      </c>
      <c r="O159" s="4">
        <v>2141672</v>
      </c>
      <c r="Q159" s="4">
        <v>4683</v>
      </c>
      <c r="S159" s="4">
        <v>4306799190</v>
      </c>
      <c r="U159" s="4">
        <v>9894544172</v>
      </c>
      <c r="W159" s="5">
        <v>2.264608859985663E-3</v>
      </c>
    </row>
    <row r="160" spans="1:23" ht="18.75" x14ac:dyDescent="0.45">
      <c r="A160" s="3" t="s">
        <v>166</v>
      </c>
      <c r="C160" s="4">
        <v>13104132</v>
      </c>
      <c r="E160" s="4">
        <v>18159717549</v>
      </c>
      <c r="G160" s="4">
        <v>19764312331</v>
      </c>
      <c r="N160" s="6"/>
      <c r="O160" s="4">
        <v>13104132</v>
      </c>
      <c r="Q160" s="4">
        <v>1844</v>
      </c>
      <c r="S160" s="4">
        <v>18159717549</v>
      </c>
      <c r="U160" s="4">
        <v>23808194656</v>
      </c>
      <c r="W160" s="5">
        <v>5.449088671594938E-3</v>
      </c>
    </row>
    <row r="161" spans="1:23" ht="18.75" x14ac:dyDescent="0.45">
      <c r="A161" s="3" t="s">
        <v>167</v>
      </c>
      <c r="C161" s="4">
        <v>2851893</v>
      </c>
      <c r="E161" s="4">
        <v>17234991291</v>
      </c>
      <c r="G161" s="4">
        <v>16328222193</v>
      </c>
      <c r="N161" s="6"/>
      <c r="O161" s="4">
        <v>2851893</v>
      </c>
      <c r="Q161" s="4">
        <v>7540</v>
      </c>
      <c r="S161" s="4">
        <v>17234991291</v>
      </c>
      <c r="U161" s="4">
        <v>21337052918</v>
      </c>
      <c r="W161" s="5">
        <v>4.8835073394107378E-3</v>
      </c>
    </row>
    <row r="162" spans="1:23" ht="18.75" x14ac:dyDescent="0.45">
      <c r="A162" s="3" t="s">
        <v>168</v>
      </c>
      <c r="C162" s="4">
        <v>4067933</v>
      </c>
      <c r="E162" s="4">
        <v>18170844045</v>
      </c>
      <c r="G162" s="4">
        <v>26116076570</v>
      </c>
      <c r="N162" s="6"/>
      <c r="O162" s="4">
        <v>4067933</v>
      </c>
      <c r="Q162" s="4">
        <v>7030</v>
      </c>
      <c r="S162" s="4">
        <v>18170844045</v>
      </c>
      <c r="U162" s="4">
        <v>28093955630</v>
      </c>
      <c r="W162" s="5">
        <v>6.4299900759230344E-3</v>
      </c>
    </row>
    <row r="163" spans="1:23" ht="18.75" x14ac:dyDescent="0.45">
      <c r="A163" s="3" t="s">
        <v>169</v>
      </c>
      <c r="H163" s="6"/>
      <c r="I163" s="4">
        <v>267500</v>
      </c>
      <c r="J163" s="4">
        <v>7375847050</v>
      </c>
      <c r="L163" s="4">
        <v>0</v>
      </c>
      <c r="M163" s="4">
        <v>0</v>
      </c>
      <c r="O163" s="4">
        <v>267500</v>
      </c>
      <c r="Q163" s="4">
        <v>29700</v>
      </c>
      <c r="S163" s="4">
        <v>7375699925</v>
      </c>
      <c r="U163" s="4">
        <v>7883337082</v>
      </c>
      <c r="W163" s="5">
        <v>1.8042948408549205E-3</v>
      </c>
    </row>
    <row r="164" spans="1:23" ht="37.5" x14ac:dyDescent="0.45">
      <c r="A164" s="3" t="s">
        <v>170</v>
      </c>
      <c r="C164" s="4">
        <v>6019421</v>
      </c>
      <c r="E164" s="4">
        <v>20281050233</v>
      </c>
      <c r="G164" s="4">
        <v>21436705353</v>
      </c>
      <c r="I164" s="4">
        <v>0</v>
      </c>
      <c r="J164" s="4">
        <v>0</v>
      </c>
      <c r="L164" s="4">
        <v>1274323</v>
      </c>
      <c r="M164" s="4">
        <v>5005997703</v>
      </c>
      <c r="O164" s="4">
        <v>4745098</v>
      </c>
      <c r="Q164" s="4">
        <v>4044</v>
      </c>
      <c r="S164" s="4">
        <v>15987512902</v>
      </c>
      <c r="U164" s="4">
        <v>19040843979</v>
      </c>
      <c r="W164" s="5">
        <v>4.3579636643061382E-3</v>
      </c>
    </row>
    <row r="165" spans="1:23" ht="37.5" x14ac:dyDescent="0.45">
      <c r="A165" s="3" t="s">
        <v>171</v>
      </c>
      <c r="C165" s="4">
        <v>700000</v>
      </c>
      <c r="E165" s="4">
        <v>9143294580</v>
      </c>
      <c r="G165" s="4">
        <v>11669095200</v>
      </c>
      <c r="N165" s="6"/>
      <c r="O165" s="4">
        <v>700000</v>
      </c>
      <c r="Q165" s="4">
        <v>19420</v>
      </c>
      <c r="S165" s="4">
        <v>9143294580</v>
      </c>
      <c r="U165" s="4">
        <v>13412513590</v>
      </c>
      <c r="W165" s="5">
        <v>3.0697823550625016E-3</v>
      </c>
    </row>
    <row r="166" spans="1:23" ht="18.75" x14ac:dyDescent="0.45">
      <c r="A166" s="3" t="s">
        <v>172</v>
      </c>
      <c r="C166" s="4">
        <v>9226316</v>
      </c>
      <c r="E166" s="4">
        <v>44588125969</v>
      </c>
      <c r="G166" s="4">
        <v>32820662730</v>
      </c>
      <c r="N166" s="6"/>
      <c r="O166" s="4">
        <v>9226316</v>
      </c>
      <c r="Q166" s="4">
        <v>4403</v>
      </c>
      <c r="S166" s="4">
        <v>44588125969</v>
      </c>
      <c r="U166" s="4">
        <v>40153814988</v>
      </c>
      <c r="W166" s="5">
        <v>9.1901843686114475E-3</v>
      </c>
    </row>
    <row r="167" spans="1:23" ht="18.75" x14ac:dyDescent="0.45">
      <c r="A167" s="3" t="s">
        <v>173</v>
      </c>
      <c r="C167" s="4">
        <v>1493618</v>
      </c>
      <c r="E167" s="4">
        <v>10458639555</v>
      </c>
      <c r="G167" s="4">
        <v>12923670743</v>
      </c>
      <c r="I167" s="4">
        <v>0</v>
      </c>
      <c r="J167" s="4">
        <v>0</v>
      </c>
      <c r="L167" s="4">
        <v>100000</v>
      </c>
      <c r="M167" s="4">
        <v>1051806205</v>
      </c>
      <c r="O167" s="4">
        <v>1393618</v>
      </c>
      <c r="Q167" s="4">
        <v>11570</v>
      </c>
      <c r="S167" s="4">
        <v>9758417707</v>
      </c>
      <c r="U167" s="4">
        <v>16027177408</v>
      </c>
      <c r="W167" s="5">
        <v>3.6682122316891359E-3</v>
      </c>
    </row>
    <row r="168" spans="1:23" ht="18.75" x14ac:dyDescent="0.45">
      <c r="A168" s="3" t="s">
        <v>174</v>
      </c>
      <c r="C168" s="4">
        <v>1981269</v>
      </c>
      <c r="E168" s="4">
        <v>6248771988</v>
      </c>
      <c r="G168" s="4">
        <v>10537512318</v>
      </c>
      <c r="I168" s="4">
        <v>3236311</v>
      </c>
      <c r="J168" s="4">
        <v>17257184286</v>
      </c>
      <c r="L168" s="4">
        <v>0</v>
      </c>
      <c r="M168" s="4">
        <v>0</v>
      </c>
      <c r="O168" s="4">
        <v>5217580</v>
      </c>
      <c r="Q168" s="4">
        <v>5520</v>
      </c>
      <c r="S168" s="4">
        <v>23505956274</v>
      </c>
      <c r="U168" s="4">
        <v>28630182029</v>
      </c>
      <c r="W168" s="5">
        <v>6.552718625417008E-3</v>
      </c>
    </row>
    <row r="169" spans="1:23" ht="18.75" x14ac:dyDescent="0.45">
      <c r="A169" s="3" t="s">
        <v>175</v>
      </c>
      <c r="C169" s="4">
        <v>1709001</v>
      </c>
      <c r="E169" s="4">
        <v>13023691685</v>
      </c>
      <c r="G169" s="4">
        <v>25453814238</v>
      </c>
      <c r="N169" s="6"/>
      <c r="O169" s="4">
        <v>1709001</v>
      </c>
      <c r="Q169" s="4">
        <v>14650</v>
      </c>
      <c r="S169" s="4">
        <v>13023691685</v>
      </c>
      <c r="U169" s="4">
        <v>24843329686</v>
      </c>
      <c r="W169" s="5">
        <v>5.6860046850534633E-3</v>
      </c>
    </row>
    <row r="170" spans="1:23" ht="18.75" x14ac:dyDescent="0.45">
      <c r="A170" s="3" t="s">
        <v>176</v>
      </c>
      <c r="C170" s="4">
        <v>999999</v>
      </c>
      <c r="E170" s="4">
        <v>3088990714</v>
      </c>
      <c r="G170" s="4">
        <v>4546576593</v>
      </c>
      <c r="N170" s="6"/>
      <c r="O170" s="4">
        <v>999999</v>
      </c>
      <c r="Q170" s="4">
        <v>4698</v>
      </c>
      <c r="S170" s="4">
        <v>3088990714</v>
      </c>
      <c r="U170" s="4">
        <v>4651757108</v>
      </c>
      <c r="W170" s="5">
        <v>1.0646685868651539E-3</v>
      </c>
    </row>
    <row r="171" spans="1:23" ht="18.75" x14ac:dyDescent="0.45">
      <c r="A171" s="3" t="s">
        <v>177</v>
      </c>
      <c r="C171" s="4">
        <v>456086</v>
      </c>
      <c r="E171" s="4">
        <v>23355013073</v>
      </c>
      <c r="G171" s="4">
        <v>31000391183</v>
      </c>
      <c r="N171" s="6"/>
      <c r="O171" s="4">
        <v>1786071</v>
      </c>
      <c r="Q171" s="4">
        <v>17740</v>
      </c>
      <c r="S171" s="4">
        <v>23355013073</v>
      </c>
      <c r="U171" s="4">
        <v>31457697913</v>
      </c>
      <c r="W171" s="5">
        <v>7.1998649124361399E-3</v>
      </c>
    </row>
    <row r="172" spans="1:23" ht="18.75" x14ac:dyDescent="0.45">
      <c r="A172" s="3" t="s">
        <v>178</v>
      </c>
      <c r="C172" s="4">
        <v>6232316</v>
      </c>
      <c r="E172" s="4">
        <v>16760526050</v>
      </c>
      <c r="G172" s="4">
        <v>18873995882</v>
      </c>
      <c r="N172" s="6"/>
      <c r="O172" s="4">
        <v>6232316</v>
      </c>
      <c r="Q172" s="4">
        <v>3354</v>
      </c>
      <c r="S172" s="4">
        <v>16760526050</v>
      </c>
      <c r="U172" s="4">
        <v>20525161315</v>
      </c>
      <c r="W172" s="5">
        <v>4.6976860539082932E-3</v>
      </c>
    </row>
    <row r="173" spans="1:23" ht="18.75" x14ac:dyDescent="0.45">
      <c r="A173" s="3" t="s">
        <v>179</v>
      </c>
      <c r="C173" s="4">
        <v>8201572</v>
      </c>
      <c r="E173" s="4">
        <v>15893097431</v>
      </c>
      <c r="G173" s="4">
        <v>15137003358</v>
      </c>
      <c r="N173" s="6"/>
      <c r="O173" s="4">
        <v>8201572</v>
      </c>
      <c r="Q173" s="4">
        <v>2392</v>
      </c>
      <c r="S173" s="4">
        <v>15893097431</v>
      </c>
      <c r="U173" s="4">
        <v>19539755410</v>
      </c>
      <c r="W173" s="5">
        <v>4.4721517691192932E-3</v>
      </c>
    </row>
    <row r="174" spans="1:23" ht="18.75" x14ac:dyDescent="0.45">
      <c r="A174" s="3" t="s">
        <v>180</v>
      </c>
      <c r="C174" s="4">
        <v>845414</v>
      </c>
      <c r="E174" s="4">
        <v>9972258712</v>
      </c>
      <c r="G174" s="4">
        <v>11383587349</v>
      </c>
      <c r="N174" s="6"/>
      <c r="O174" s="4">
        <v>845414</v>
      </c>
      <c r="Q174" s="4">
        <v>15360</v>
      </c>
      <c r="S174" s="4">
        <v>9972258712</v>
      </c>
      <c r="U174" s="4">
        <v>12750960037</v>
      </c>
      <c r="W174" s="5">
        <v>2.9183696157350698E-3</v>
      </c>
    </row>
    <row r="175" spans="1:23" ht="37.5" x14ac:dyDescent="0.45">
      <c r="A175" s="3" t="s">
        <v>181</v>
      </c>
      <c r="C175" s="4">
        <v>826021</v>
      </c>
      <c r="E175" s="4">
        <v>15540795166</v>
      </c>
      <c r="G175" s="4">
        <v>15925524715</v>
      </c>
      <c r="I175" s="4">
        <v>0</v>
      </c>
      <c r="J175" s="4">
        <v>0</v>
      </c>
      <c r="L175" s="4">
        <v>30180</v>
      </c>
      <c r="M175" s="4">
        <v>588233810</v>
      </c>
      <c r="O175" s="4">
        <v>795841</v>
      </c>
      <c r="Q175" s="4">
        <v>21550</v>
      </c>
      <c r="S175" s="4">
        <v>14972987328</v>
      </c>
      <c r="U175" s="4">
        <v>16899347790</v>
      </c>
      <c r="W175" s="5">
        <v>3.8678297926560746E-3</v>
      </c>
    </row>
    <row r="176" spans="1:23" ht="37.5" x14ac:dyDescent="0.45">
      <c r="A176" s="3" t="s">
        <v>182</v>
      </c>
      <c r="C176" s="4">
        <v>500123</v>
      </c>
      <c r="E176" s="4">
        <v>16131517858</v>
      </c>
      <c r="G176" s="4">
        <v>19229960657</v>
      </c>
      <c r="I176" s="4">
        <v>0</v>
      </c>
      <c r="J176" s="4">
        <v>0</v>
      </c>
      <c r="L176" s="4">
        <v>21245</v>
      </c>
      <c r="M176" s="4">
        <v>864101020</v>
      </c>
      <c r="O176" s="4">
        <v>478878</v>
      </c>
      <c r="Q176" s="4">
        <v>38960</v>
      </c>
      <c r="S176" s="4">
        <v>15446258238</v>
      </c>
      <c r="U176" s="4">
        <v>18626909904</v>
      </c>
      <c r="W176" s="5">
        <v>4.2632247094437541E-3</v>
      </c>
    </row>
    <row r="177" spans="1:23" ht="18.75" x14ac:dyDescent="0.45">
      <c r="A177" s="3" t="s">
        <v>183</v>
      </c>
      <c r="C177" s="4">
        <v>5465017</v>
      </c>
      <c r="E177" s="4">
        <v>15778895158</v>
      </c>
      <c r="G177" s="4">
        <v>16805171725</v>
      </c>
      <c r="N177" s="6"/>
      <c r="O177" s="4">
        <v>5465017</v>
      </c>
      <c r="Q177" s="4">
        <v>3587</v>
      </c>
      <c r="S177" s="4">
        <v>15778895158</v>
      </c>
      <c r="U177" s="4">
        <v>19310492583</v>
      </c>
      <c r="W177" s="5">
        <v>4.419679353991895E-3</v>
      </c>
    </row>
    <row r="178" spans="1:23" ht="18.75" x14ac:dyDescent="0.45">
      <c r="A178" s="3" t="s">
        <v>184</v>
      </c>
      <c r="C178" s="4">
        <v>1689766</v>
      </c>
      <c r="E178" s="4">
        <v>30038175112</v>
      </c>
      <c r="G178" s="4">
        <v>26978169111</v>
      </c>
      <c r="I178" s="4">
        <v>800000</v>
      </c>
      <c r="J178" s="4">
        <v>14614538889</v>
      </c>
      <c r="L178" s="4">
        <v>446786</v>
      </c>
      <c r="M178" s="4">
        <v>7723642420</v>
      </c>
      <c r="O178" s="4">
        <v>2042980</v>
      </c>
      <c r="Q178" s="4">
        <v>18080</v>
      </c>
      <c r="S178" s="4">
        <v>36710409501</v>
      </c>
      <c r="U178" s="4">
        <v>36489379763</v>
      </c>
      <c r="W178" s="5">
        <v>8.3514885850439705E-3</v>
      </c>
    </row>
    <row r="179" spans="1:23" ht="18.75" x14ac:dyDescent="0.45">
      <c r="A179" s="3" t="s">
        <v>185</v>
      </c>
      <c r="C179" s="4">
        <v>3052977</v>
      </c>
      <c r="E179" s="4">
        <v>9377372255</v>
      </c>
      <c r="G179" s="4">
        <v>15852732394</v>
      </c>
      <c r="N179" s="6"/>
      <c r="O179" s="4">
        <v>3052977</v>
      </c>
      <c r="Q179" s="4">
        <v>6220</v>
      </c>
      <c r="S179" s="4">
        <v>9377372255</v>
      </c>
      <c r="U179" s="4">
        <v>18933609299</v>
      </c>
      <c r="W179" s="5">
        <v>4.3334203804312795E-3</v>
      </c>
    </row>
    <row r="180" spans="1:23" ht="18.75" x14ac:dyDescent="0.45">
      <c r="A180" s="3" t="s">
        <v>186</v>
      </c>
      <c r="C180" s="4">
        <v>5265617</v>
      </c>
      <c r="E180" s="4">
        <v>16236225789</v>
      </c>
      <c r="G180" s="4">
        <v>21584118828</v>
      </c>
      <c r="N180" s="6"/>
      <c r="O180" s="4">
        <v>5265617</v>
      </c>
      <c r="Q180" s="4">
        <v>6440</v>
      </c>
      <c r="S180" s="4">
        <v>16236225789</v>
      </c>
      <c r="U180" s="4">
        <v>33805192160</v>
      </c>
      <c r="W180" s="5">
        <v>7.7371464868178537E-3</v>
      </c>
    </row>
    <row r="181" spans="1:23" ht="18.75" x14ac:dyDescent="0.45">
      <c r="A181" s="3" t="s">
        <v>187</v>
      </c>
      <c r="C181" s="4">
        <v>1534515</v>
      </c>
      <c r="E181" s="4">
        <v>20828421657</v>
      </c>
      <c r="G181" s="4">
        <v>26783469771</v>
      </c>
      <c r="I181" s="4">
        <v>323613</v>
      </c>
      <c r="J181" s="4">
        <v>6992676831</v>
      </c>
      <c r="L181" s="4">
        <v>0</v>
      </c>
      <c r="M181" s="4">
        <v>0</v>
      </c>
      <c r="O181" s="4">
        <v>1858128</v>
      </c>
      <c r="Q181" s="4">
        <v>21130</v>
      </c>
      <c r="S181" s="4">
        <v>27821098488</v>
      </c>
      <c r="U181" s="4">
        <v>38719058082</v>
      </c>
      <c r="W181" s="5">
        <v>8.8618050976948717E-3</v>
      </c>
    </row>
    <row r="182" spans="1:23" ht="18.75" x14ac:dyDescent="0.45">
      <c r="A182" s="3" t="s">
        <v>188</v>
      </c>
      <c r="C182" s="4">
        <v>1035048</v>
      </c>
      <c r="E182" s="4">
        <v>19458637507</v>
      </c>
      <c r="G182" s="4">
        <v>21290685947</v>
      </c>
      <c r="N182" s="6"/>
      <c r="O182" s="4">
        <v>1035048</v>
      </c>
      <c r="Q182" s="4">
        <v>26550</v>
      </c>
      <c r="S182" s="4">
        <v>19458637507</v>
      </c>
      <c r="U182" s="4">
        <v>27268099946</v>
      </c>
      <c r="W182" s="5">
        <v>6.2409727683497953E-3</v>
      </c>
    </row>
    <row r="183" spans="1:23" ht="18.75" x14ac:dyDescent="0.45">
      <c r="A183" s="3" t="s">
        <v>189</v>
      </c>
      <c r="C183" s="4">
        <v>2000000</v>
      </c>
      <c r="E183" s="4">
        <v>11710857525</v>
      </c>
      <c r="G183" s="4">
        <v>15221421800</v>
      </c>
      <c r="N183" s="6"/>
      <c r="O183" s="4">
        <v>2000000</v>
      </c>
      <c r="Q183" s="4">
        <v>8820</v>
      </c>
      <c r="S183" s="4">
        <v>11710857525</v>
      </c>
      <c r="U183" s="4">
        <v>17821169200</v>
      </c>
      <c r="W183" s="5">
        <v>4.0788112078806345E-3</v>
      </c>
    </row>
    <row r="184" spans="1:23" ht="18.75" x14ac:dyDescent="0.45">
      <c r="A184" s="3" t="s">
        <v>190</v>
      </c>
      <c r="H184" s="6"/>
      <c r="I184" s="4">
        <v>950000</v>
      </c>
      <c r="J184" s="4">
        <v>25923368872</v>
      </c>
      <c r="L184" s="4">
        <v>0</v>
      </c>
      <c r="M184" s="4">
        <v>0</v>
      </c>
      <c r="O184" s="4">
        <v>950000</v>
      </c>
      <c r="Q184" s="4">
        <v>27450</v>
      </c>
      <c r="S184" s="4">
        <v>25923368872</v>
      </c>
      <c r="U184" s="4">
        <v>25970186575</v>
      </c>
      <c r="W184" s="5">
        <v>5.9439134932213747E-3</v>
      </c>
    </row>
    <row r="185" spans="1:23" ht="18.75" x14ac:dyDescent="0.45">
      <c r="A185" s="3" t="s">
        <v>191</v>
      </c>
      <c r="C185" s="4">
        <v>162629</v>
      </c>
      <c r="E185" s="4">
        <v>9859579712</v>
      </c>
      <c r="G185" s="4">
        <v>10561789404</v>
      </c>
      <c r="N185" s="6"/>
      <c r="O185" s="4">
        <v>162629</v>
      </c>
      <c r="Q185" s="4">
        <v>83890</v>
      </c>
      <c r="S185" s="4">
        <v>9859579712</v>
      </c>
      <c r="U185" s="4">
        <v>13550396581</v>
      </c>
      <c r="W185" s="5">
        <v>3.1013402558239681E-3</v>
      </c>
    </row>
    <row r="186" spans="1:23" ht="18.75" x14ac:dyDescent="0.45">
      <c r="A186" s="3" t="s">
        <v>192</v>
      </c>
      <c r="C186" s="4">
        <v>2067558</v>
      </c>
      <c r="E186" s="4">
        <v>17504816212</v>
      </c>
      <c r="G186" s="4">
        <v>12719769815</v>
      </c>
      <c r="N186" s="6"/>
      <c r="O186" s="4">
        <v>2067558</v>
      </c>
      <c r="Q186" s="4">
        <v>8420</v>
      </c>
      <c r="S186" s="4">
        <v>17504816212</v>
      </c>
      <c r="U186" s="4">
        <v>17417878344</v>
      </c>
      <c r="W186" s="5">
        <v>3.9865082144559059E-3</v>
      </c>
    </row>
    <row r="187" spans="1:23" ht="18.75" x14ac:dyDescent="0.45">
      <c r="A187" s="3" t="s">
        <v>193</v>
      </c>
      <c r="C187" s="4">
        <v>2076925</v>
      </c>
      <c r="E187" s="4">
        <v>13535117150</v>
      </c>
      <c r="G187" s="4">
        <v>12880439811</v>
      </c>
      <c r="I187" s="4">
        <v>2800000</v>
      </c>
      <c r="J187" s="4">
        <v>20943227788</v>
      </c>
      <c r="L187" s="4">
        <v>200000</v>
      </c>
      <c r="M187" s="4">
        <v>1445998446</v>
      </c>
      <c r="O187" s="4">
        <v>4676925</v>
      </c>
      <c r="Q187" s="4">
        <v>7430</v>
      </c>
      <c r="S187" s="4">
        <v>33174964493</v>
      </c>
      <c r="U187" s="4">
        <v>33924046023</v>
      </c>
      <c r="W187" s="5">
        <v>7.7643491054038612E-3</v>
      </c>
    </row>
    <row r="188" spans="1:23" ht="18.75" x14ac:dyDescent="0.45">
      <c r="A188" s="3" t="s">
        <v>194</v>
      </c>
      <c r="H188" s="6"/>
      <c r="I188" s="4">
        <v>515000</v>
      </c>
      <c r="J188" s="4">
        <v>8520137340</v>
      </c>
      <c r="L188" s="4">
        <v>0</v>
      </c>
      <c r="M188" s="4">
        <v>0</v>
      </c>
      <c r="O188" s="4">
        <v>515000</v>
      </c>
      <c r="Q188" s="4">
        <v>20260</v>
      </c>
      <c r="S188" s="4">
        <v>8519967390</v>
      </c>
      <c r="U188" s="4">
        <v>10353245953</v>
      </c>
      <c r="W188" s="5">
        <v>2.3695940012196963E-3</v>
      </c>
    </row>
    <row r="189" spans="1:23" ht="18.75" x14ac:dyDescent="0.45">
      <c r="A189" s="3" t="s">
        <v>195</v>
      </c>
      <c r="C189" s="4">
        <v>6854018</v>
      </c>
      <c r="E189" s="4">
        <v>21502035448</v>
      </c>
      <c r="G189" s="4">
        <v>23810428579</v>
      </c>
      <c r="N189" s="6"/>
      <c r="O189" s="4">
        <v>6854018</v>
      </c>
      <c r="Q189" s="4">
        <v>4314</v>
      </c>
      <c r="S189" s="4">
        <v>21502035448</v>
      </c>
      <c r="U189" s="4">
        <v>29026823530</v>
      </c>
      <c r="W189" s="5">
        <v>6.6434997510341418E-3</v>
      </c>
    </row>
    <row r="190" spans="1:23" ht="18.75" x14ac:dyDescent="0.45">
      <c r="A190" s="3" t="s">
        <v>196</v>
      </c>
      <c r="C190" s="4">
        <v>3200000</v>
      </c>
      <c r="E190" s="4">
        <v>22335025723</v>
      </c>
      <c r="G190" s="4">
        <v>21115505600</v>
      </c>
      <c r="I190" s="4">
        <v>0</v>
      </c>
      <c r="J190" s="4">
        <v>0</v>
      </c>
      <c r="L190" s="4">
        <v>476433</v>
      </c>
      <c r="M190" s="4">
        <v>3785988084</v>
      </c>
      <c r="O190" s="4">
        <v>2723567</v>
      </c>
      <c r="Q190" s="4">
        <v>8440</v>
      </c>
      <c r="S190" s="4">
        <v>19009668439</v>
      </c>
      <c r="U190" s="4">
        <v>22809216701</v>
      </c>
      <c r="W190" s="5">
        <v>5.2204480906346447E-3</v>
      </c>
    </row>
    <row r="191" spans="1:23" ht="18.75" x14ac:dyDescent="0.45">
      <c r="A191" s="3" t="s">
        <v>197</v>
      </c>
      <c r="C191" s="4">
        <v>700000</v>
      </c>
      <c r="E191" s="4">
        <v>19675168503</v>
      </c>
      <c r="G191" s="4">
        <v>21386395310</v>
      </c>
      <c r="I191" s="4">
        <v>0</v>
      </c>
      <c r="J191" s="4">
        <v>0</v>
      </c>
      <c r="L191" s="4">
        <v>279631</v>
      </c>
      <c r="M191" s="4">
        <v>10763682870</v>
      </c>
      <c r="O191" s="4">
        <v>420369</v>
      </c>
      <c r="Q191" s="4">
        <v>40880</v>
      </c>
      <c r="S191" s="4">
        <v>11815472726</v>
      </c>
      <c r="U191" s="4">
        <v>17448110677</v>
      </c>
      <c r="W191" s="5">
        <v>3.9934276245853365E-3</v>
      </c>
    </row>
    <row r="192" spans="1:23" ht="18.75" x14ac:dyDescent="0.45">
      <c r="A192" s="3" t="s">
        <v>198</v>
      </c>
      <c r="C192" s="4">
        <v>3014987</v>
      </c>
      <c r="E192" s="4">
        <v>14987389690</v>
      </c>
      <c r="G192" s="4">
        <v>15006272651</v>
      </c>
      <c r="N192" s="6"/>
      <c r="O192" s="4">
        <v>3014987</v>
      </c>
      <c r="Q192" s="4">
        <v>5480</v>
      </c>
      <c r="S192" s="4">
        <v>14987389690</v>
      </c>
      <c r="U192" s="4">
        <v>16454246328</v>
      </c>
      <c r="W192" s="5">
        <v>3.7659574176466025E-3</v>
      </c>
    </row>
    <row r="193" spans="1:23" ht="18.75" x14ac:dyDescent="0.45">
      <c r="A193" s="3" t="s">
        <v>199</v>
      </c>
      <c r="C193" s="4">
        <v>1641424</v>
      </c>
      <c r="E193" s="4">
        <v>7922461528</v>
      </c>
      <c r="G193" s="4">
        <v>9772414755</v>
      </c>
      <c r="N193" s="6"/>
      <c r="O193" s="4">
        <v>1641424</v>
      </c>
      <c r="Q193" s="4">
        <v>6050</v>
      </c>
      <c r="S193" s="4">
        <v>7922461528</v>
      </c>
      <c r="U193" s="4">
        <v>9853851545</v>
      </c>
      <c r="W193" s="5">
        <v>2.2552953552866725E-3</v>
      </c>
    </row>
    <row r="194" spans="1:23" ht="18.75" x14ac:dyDescent="0.45">
      <c r="A194" s="3" t="s">
        <v>200</v>
      </c>
      <c r="C194" s="4">
        <v>5657173</v>
      </c>
      <c r="E194" s="4">
        <v>30400555024</v>
      </c>
      <c r="G194" s="4">
        <v>38227547189</v>
      </c>
      <c r="I194" s="4">
        <v>0</v>
      </c>
      <c r="J194" s="4">
        <v>0</v>
      </c>
      <c r="L194" s="4">
        <v>2709144</v>
      </c>
      <c r="M194" s="4">
        <v>21492347516</v>
      </c>
      <c r="O194" s="4">
        <v>2948029</v>
      </c>
      <c r="Q194" s="4">
        <v>7980</v>
      </c>
      <c r="S194" s="4">
        <v>15842138437</v>
      </c>
      <c r="U194" s="4">
        <v>23226411442</v>
      </c>
      <c r="W194" s="5">
        <v>5.3159333288007055E-3</v>
      </c>
    </row>
    <row r="195" spans="1:23" ht="18.75" x14ac:dyDescent="0.45">
      <c r="A195" s="3" t="s">
        <v>201</v>
      </c>
      <c r="C195" s="4">
        <v>2000000</v>
      </c>
      <c r="E195" s="4">
        <v>5146668896</v>
      </c>
      <c r="G195" s="4">
        <v>6136197680</v>
      </c>
      <c r="N195" s="6"/>
      <c r="O195" s="4">
        <v>2000000</v>
      </c>
      <c r="Q195" s="4">
        <v>3334</v>
      </c>
      <c r="S195" s="4">
        <v>5146668896</v>
      </c>
      <c r="U195" s="4">
        <v>6548982000</v>
      </c>
      <c r="W195" s="5">
        <v>1.4988949873058009E-3</v>
      </c>
    </row>
    <row r="196" spans="1:23" ht="18.75" x14ac:dyDescent="0.45">
      <c r="A196" s="3" t="s">
        <v>202</v>
      </c>
      <c r="C196" s="4">
        <v>397412</v>
      </c>
      <c r="E196" s="4">
        <v>15259892367</v>
      </c>
      <c r="G196" s="4">
        <v>17327299830</v>
      </c>
      <c r="N196" s="6"/>
      <c r="O196" s="4">
        <v>397412</v>
      </c>
      <c r="Q196" s="4">
        <v>52100</v>
      </c>
      <c r="S196" s="4">
        <v>15259892367</v>
      </c>
      <c r="U196" s="4">
        <v>20545114273</v>
      </c>
      <c r="W196" s="5">
        <v>4.7022527772140107E-3</v>
      </c>
    </row>
    <row r="197" spans="1:23" ht="18.75" x14ac:dyDescent="0.45">
      <c r="A197" s="3" t="s">
        <v>203</v>
      </c>
      <c r="C197" s="4">
        <v>3934015</v>
      </c>
      <c r="E197" s="4">
        <v>15604841666</v>
      </c>
      <c r="G197" s="4">
        <v>21977296511</v>
      </c>
      <c r="I197" s="4">
        <v>0</v>
      </c>
      <c r="J197" s="4">
        <v>0</v>
      </c>
      <c r="L197" s="4">
        <v>400000</v>
      </c>
      <c r="M197" s="4">
        <v>2570202568</v>
      </c>
      <c r="O197" s="4">
        <v>4883366</v>
      </c>
      <c r="Q197" s="4">
        <v>4813</v>
      </c>
      <c r="S197" s="4">
        <v>14018183591</v>
      </c>
      <c r="U197" s="4">
        <v>23321957416</v>
      </c>
      <c r="W197" s="5">
        <v>5.3378013659224821E-3</v>
      </c>
    </row>
    <row r="198" spans="1:23" ht="18.75" x14ac:dyDescent="0.45">
      <c r="A198" s="3" t="s">
        <v>204</v>
      </c>
      <c r="C198" s="4">
        <v>961018</v>
      </c>
      <c r="E198" s="4">
        <v>14822066500</v>
      </c>
      <c r="G198" s="4">
        <v>27606411128</v>
      </c>
      <c r="I198" s="4">
        <v>0</v>
      </c>
      <c r="J198" s="4">
        <v>0</v>
      </c>
      <c r="L198" s="4">
        <v>48269</v>
      </c>
      <c r="M198" s="4">
        <v>1469490514</v>
      </c>
      <c r="O198" s="4">
        <v>912749</v>
      </c>
      <c r="Q198" s="4">
        <v>34400</v>
      </c>
      <c r="S198" s="4">
        <v>14077599354</v>
      </c>
      <c r="U198" s="4">
        <v>31744555431</v>
      </c>
      <c r="W198" s="5">
        <v>7.2655192837263929E-3</v>
      </c>
    </row>
    <row r="199" spans="1:23" ht="18.75" x14ac:dyDescent="0.45">
      <c r="A199" s="3" t="s">
        <v>205</v>
      </c>
      <c r="C199" s="4">
        <v>246131</v>
      </c>
      <c r="E199" s="4">
        <v>8999408991</v>
      </c>
      <c r="G199" s="4">
        <v>10917009809</v>
      </c>
      <c r="N199" s="6"/>
      <c r="O199" s="4">
        <v>246131</v>
      </c>
      <c r="Q199" s="4">
        <v>60620</v>
      </c>
      <c r="S199" s="4">
        <v>8999408991</v>
      </c>
      <c r="U199" s="4">
        <v>14885721429</v>
      </c>
      <c r="W199" s="5">
        <v>3.4069620640824246E-3</v>
      </c>
    </row>
    <row r="200" spans="1:23" ht="18.75" x14ac:dyDescent="0.45">
      <c r="A200" s="3" t="s">
        <v>206</v>
      </c>
      <c r="H200" s="6"/>
      <c r="I200" s="4">
        <v>1000000</v>
      </c>
      <c r="J200" s="4">
        <v>27462966882</v>
      </c>
      <c r="L200" s="4">
        <v>204007</v>
      </c>
      <c r="M200" s="4">
        <v>5429414666</v>
      </c>
      <c r="O200" s="4">
        <v>795993</v>
      </c>
      <c r="Q200" s="4">
        <v>29260</v>
      </c>
      <c r="S200" s="4">
        <v>21860329397</v>
      </c>
      <c r="U200" s="4">
        <v>23023835245</v>
      </c>
      <c r="W200" s="5">
        <v>5.2695688027979198E-3</v>
      </c>
    </row>
    <row r="201" spans="1:23" ht="18.75" x14ac:dyDescent="0.45">
      <c r="A201" s="3" t="s">
        <v>207</v>
      </c>
      <c r="C201" s="4">
        <v>292921</v>
      </c>
      <c r="E201" s="4">
        <v>9637966266</v>
      </c>
      <c r="G201" s="4">
        <v>12111665550</v>
      </c>
      <c r="N201" s="6"/>
      <c r="O201" s="4">
        <v>292921</v>
      </c>
      <c r="Q201" s="4">
        <v>51310</v>
      </c>
      <c r="S201" s="4">
        <v>9637966266</v>
      </c>
      <c r="U201" s="4">
        <v>14922316039</v>
      </c>
      <c r="W201" s="5">
        <v>3.415337637185452E-3</v>
      </c>
    </row>
    <row r="202" spans="1:23" ht="18.75" x14ac:dyDescent="0.45">
      <c r="A202" s="3" t="s">
        <v>208</v>
      </c>
      <c r="C202" s="4">
        <v>48341</v>
      </c>
      <c r="E202" s="4">
        <v>13238121345</v>
      </c>
      <c r="G202" s="4">
        <v>14375807024</v>
      </c>
      <c r="N202" s="6"/>
      <c r="O202" s="4">
        <v>48341</v>
      </c>
      <c r="Q202" s="4">
        <v>394960</v>
      </c>
      <c r="S202" s="4">
        <v>13238121345</v>
      </c>
      <c r="U202" s="4">
        <v>18950450720</v>
      </c>
      <c r="W202" s="5">
        <v>4.3372749522587791E-3</v>
      </c>
    </row>
    <row r="203" spans="1:23" ht="18.75" x14ac:dyDescent="0.45">
      <c r="A203" s="3" t="s">
        <v>209</v>
      </c>
      <c r="C203" s="4">
        <v>1036013</v>
      </c>
      <c r="E203" s="4">
        <v>15308591175</v>
      </c>
      <c r="G203" s="4">
        <v>16931236083</v>
      </c>
      <c r="N203" s="6"/>
      <c r="O203" s="4">
        <v>1036013</v>
      </c>
      <c r="Q203" s="4">
        <v>21680</v>
      </c>
      <c r="S203" s="4">
        <v>15308591175</v>
      </c>
      <c r="U203" s="4">
        <v>22554421352</v>
      </c>
      <c r="W203" s="5">
        <v>5.1621319322752339E-3</v>
      </c>
    </row>
    <row r="204" spans="1:23" ht="18.75" x14ac:dyDescent="0.45">
      <c r="A204" s="3" t="s">
        <v>210</v>
      </c>
      <c r="C204" s="4">
        <v>4658472</v>
      </c>
      <c r="E204" s="4">
        <v>25832654995</v>
      </c>
      <c r="G204" s="4">
        <v>32264784840</v>
      </c>
      <c r="N204" s="6"/>
      <c r="O204" s="4">
        <v>4658472</v>
      </c>
      <c r="Q204" s="4">
        <v>7820</v>
      </c>
      <c r="S204" s="4">
        <v>25832654995</v>
      </c>
      <c r="U204" s="4">
        <v>35916529829</v>
      </c>
      <c r="W204" s="5">
        <v>8.2203778422520295E-3</v>
      </c>
    </row>
    <row r="205" spans="1:23" ht="18.75" x14ac:dyDescent="0.45">
      <c r="A205" s="3" t="s">
        <v>211</v>
      </c>
      <c r="C205" s="4">
        <v>19289112</v>
      </c>
      <c r="E205" s="4">
        <v>50141125015</v>
      </c>
      <c r="G205" s="4">
        <v>47850017911</v>
      </c>
      <c r="I205" s="4">
        <v>0</v>
      </c>
      <c r="J205" s="4">
        <v>0</v>
      </c>
      <c r="L205" s="4">
        <v>6587045</v>
      </c>
      <c r="M205" s="4">
        <v>16899621672</v>
      </c>
      <c r="O205" s="4">
        <v>12702067</v>
      </c>
      <c r="Q205" s="4">
        <v>2882</v>
      </c>
      <c r="S205" s="4">
        <v>33018416265</v>
      </c>
      <c r="U205" s="4">
        <v>36173135663</v>
      </c>
      <c r="W205" s="5">
        <v>8.2791083744623815E-3</v>
      </c>
    </row>
    <row r="206" spans="1:23" ht="18.75" x14ac:dyDescent="0.45">
      <c r="A206" s="3" t="s">
        <v>212</v>
      </c>
      <c r="C206" s="4">
        <v>1488794</v>
      </c>
      <c r="E206" s="4">
        <v>18713188764</v>
      </c>
      <c r="G206" s="4">
        <v>22307012898</v>
      </c>
      <c r="I206" s="4">
        <v>503078</v>
      </c>
      <c r="J206" s="4">
        <v>8448934778</v>
      </c>
      <c r="L206" s="4">
        <v>0</v>
      </c>
      <c r="M206" s="4">
        <v>0</v>
      </c>
      <c r="O206" s="4">
        <v>1991872</v>
      </c>
      <c r="Q206" s="4">
        <v>16780</v>
      </c>
      <c r="S206" s="4">
        <v>27162123542</v>
      </c>
      <c r="U206" s="4">
        <v>32967600155</v>
      </c>
      <c r="W206" s="5">
        <v>7.5454430346321684E-3</v>
      </c>
    </row>
    <row r="207" spans="1:23" ht="37.5" x14ac:dyDescent="0.45">
      <c r="A207" s="3" t="s">
        <v>213</v>
      </c>
      <c r="C207" s="4">
        <v>450000</v>
      </c>
      <c r="E207" s="4">
        <v>2252043000</v>
      </c>
      <c r="G207" s="4">
        <v>6380792235</v>
      </c>
      <c r="N207" s="6"/>
      <c r="O207" s="4">
        <v>450000</v>
      </c>
      <c r="Q207" s="4">
        <v>15960</v>
      </c>
      <c r="S207" s="4">
        <v>2252043000</v>
      </c>
      <c r="U207" s="4">
        <v>7144344000</v>
      </c>
      <c r="W207" s="5">
        <v>1.6351581679699646E-3</v>
      </c>
    </row>
    <row r="208" spans="1:23" ht="18.75" x14ac:dyDescent="0.45">
      <c r="A208" s="3" t="s">
        <v>214</v>
      </c>
      <c r="C208" s="4">
        <v>2800000</v>
      </c>
      <c r="E208" s="4">
        <v>17527450310</v>
      </c>
      <c r="G208" s="4">
        <v>22337982240</v>
      </c>
      <c r="I208" s="4">
        <v>0</v>
      </c>
      <c r="J208" s="4">
        <v>0</v>
      </c>
      <c r="L208" s="4">
        <v>200000</v>
      </c>
      <c r="M208" s="4">
        <v>1585647480</v>
      </c>
      <c r="O208" s="4">
        <v>2600000</v>
      </c>
      <c r="Q208" s="4">
        <v>8190</v>
      </c>
      <c r="S208" s="4">
        <v>16275489574</v>
      </c>
      <c r="U208" s="4">
        <v>21000402280</v>
      </c>
      <c r="W208" s="5">
        <v>4.8064565926272682E-3</v>
      </c>
    </row>
    <row r="209" spans="1:23" ht="18.75" x14ac:dyDescent="0.45">
      <c r="A209" s="3" t="s">
        <v>215</v>
      </c>
      <c r="C209" s="4">
        <v>1405716</v>
      </c>
      <c r="E209" s="4">
        <v>7977806216</v>
      </c>
      <c r="G209" s="4">
        <v>11814377936</v>
      </c>
      <c r="N209" s="6"/>
      <c r="O209" s="4">
        <v>1405716</v>
      </c>
      <c r="Q209" s="4">
        <v>12480</v>
      </c>
      <c r="S209" s="4">
        <v>7977806216</v>
      </c>
      <c r="U209" s="4">
        <v>17491416684</v>
      </c>
      <c r="W209" s="5">
        <v>4.0033392653277492E-3</v>
      </c>
    </row>
    <row r="210" spans="1:23" ht="37.5" x14ac:dyDescent="0.45">
      <c r="A210" s="3" t="s">
        <v>216</v>
      </c>
      <c r="C210" s="4">
        <v>75470</v>
      </c>
      <c r="E210" s="4">
        <v>10314715141</v>
      </c>
      <c r="G210" s="4">
        <v>13788123904</v>
      </c>
      <c r="N210" s="6"/>
      <c r="O210" s="4">
        <v>75470</v>
      </c>
      <c r="Q210" s="4">
        <v>234750</v>
      </c>
      <c r="S210" s="4">
        <v>10314715141</v>
      </c>
      <c r="U210" s="4">
        <v>17588619711</v>
      </c>
      <c r="W210" s="5">
        <v>4.0255865596280317E-3</v>
      </c>
    </row>
    <row r="211" spans="1:23" ht="18.75" x14ac:dyDescent="0.45">
      <c r="A211" s="3" t="s">
        <v>217</v>
      </c>
      <c r="C211" s="4">
        <v>3667894</v>
      </c>
      <c r="E211" s="4">
        <v>11258241338</v>
      </c>
      <c r="G211" s="4">
        <v>12105113963</v>
      </c>
      <c r="I211" s="4">
        <v>0</v>
      </c>
      <c r="J211" s="4">
        <v>0</v>
      </c>
      <c r="L211" s="4">
        <v>400000</v>
      </c>
      <c r="M211" s="4">
        <v>1427282570</v>
      </c>
      <c r="O211" s="4">
        <v>3267894</v>
      </c>
      <c r="Q211" s="4">
        <v>3922</v>
      </c>
      <c r="S211" s="4">
        <v>10030480521</v>
      </c>
      <c r="U211" s="4">
        <v>12565203570</v>
      </c>
      <c r="W211" s="5">
        <v>2.8758546970429838E-3</v>
      </c>
    </row>
    <row r="212" spans="1:23" ht="18.75" x14ac:dyDescent="0.45">
      <c r="A212" s="3" t="s">
        <v>218</v>
      </c>
      <c r="C212" s="4">
        <v>1724465</v>
      </c>
      <c r="E212" s="4">
        <v>13637699241</v>
      </c>
      <c r="G212" s="4">
        <v>17419353135</v>
      </c>
      <c r="N212" s="6"/>
      <c r="O212" s="4">
        <v>1724465</v>
      </c>
      <c r="Q212" s="4">
        <v>10290</v>
      </c>
      <c r="S212" s="4">
        <v>13637699241</v>
      </c>
      <c r="U212" s="4">
        <v>17761580112</v>
      </c>
      <c r="W212" s="5">
        <v>4.0651727850996092E-3</v>
      </c>
    </row>
    <row r="213" spans="1:23" ht="18.75" x14ac:dyDescent="0.45">
      <c r="A213" s="3" t="s">
        <v>219</v>
      </c>
      <c r="C213" s="4">
        <v>1792838</v>
      </c>
      <c r="E213" s="4">
        <v>12418715001</v>
      </c>
      <c r="G213" s="4">
        <v>14890057262</v>
      </c>
      <c r="N213" s="6"/>
      <c r="O213" s="4">
        <v>1792838</v>
      </c>
      <c r="Q213" s="4">
        <v>9390</v>
      </c>
      <c r="S213" s="4">
        <v>12418715001</v>
      </c>
      <c r="U213" s="4">
        <v>16740195799</v>
      </c>
      <c r="W213" s="5">
        <v>3.8314039601328462E-3</v>
      </c>
    </row>
    <row r="214" spans="1:23" ht="18.75" x14ac:dyDescent="0.45">
      <c r="A214" s="3" t="s">
        <v>220</v>
      </c>
      <c r="C214" s="4">
        <v>2031330</v>
      </c>
      <c r="E214" s="4">
        <v>6332700327</v>
      </c>
      <c r="G214" s="4">
        <v>8507965024</v>
      </c>
      <c r="N214" s="6"/>
      <c r="O214" s="4">
        <v>2031330</v>
      </c>
      <c r="Q214" s="4">
        <v>4563</v>
      </c>
      <c r="S214" s="4">
        <v>6332700327</v>
      </c>
      <c r="U214" s="4">
        <v>9197309739</v>
      </c>
      <c r="W214" s="5">
        <v>2.1050296770530022E-3</v>
      </c>
    </row>
    <row r="215" spans="1:23" ht="18.75" x14ac:dyDescent="0.45">
      <c r="A215" s="3" t="s">
        <v>221</v>
      </c>
      <c r="C215" s="4">
        <v>7647274</v>
      </c>
      <c r="E215" s="4">
        <v>14833075791</v>
      </c>
      <c r="G215" s="4">
        <v>18818638219</v>
      </c>
      <c r="I215" s="4">
        <v>1865559</v>
      </c>
      <c r="J215" s="4">
        <v>4529463761</v>
      </c>
      <c r="L215" s="4">
        <v>0</v>
      </c>
      <c r="M215" s="4">
        <v>0</v>
      </c>
      <c r="O215" s="4">
        <v>9512833</v>
      </c>
      <c r="Q215" s="4">
        <v>3085</v>
      </c>
      <c r="S215" s="4">
        <v>19362539552</v>
      </c>
      <c r="U215" s="4">
        <v>29091918904</v>
      </c>
      <c r="W215" s="5">
        <v>6.658398422275778E-3</v>
      </c>
    </row>
    <row r="216" spans="1:23" ht="37.5" x14ac:dyDescent="0.45">
      <c r="A216" s="3" t="s">
        <v>222</v>
      </c>
      <c r="C216" s="4">
        <v>9752234</v>
      </c>
      <c r="E216" s="4">
        <v>13415884464</v>
      </c>
      <c r="G216" s="4">
        <v>14863640419</v>
      </c>
      <c r="N216" s="6"/>
      <c r="O216" s="4">
        <v>9752234</v>
      </c>
      <c r="Q216" s="4">
        <v>1854</v>
      </c>
      <c r="S216" s="4">
        <v>13415884464</v>
      </c>
      <c r="U216" s="4">
        <v>17815079435</v>
      </c>
      <c r="W216" s="5">
        <v>4.0774174159550541E-3</v>
      </c>
    </row>
    <row r="217" spans="1:23" ht="37.5" x14ac:dyDescent="0.45">
      <c r="A217" s="3" t="s">
        <v>223</v>
      </c>
      <c r="C217" s="4">
        <v>13988545</v>
      </c>
      <c r="E217" s="4">
        <v>18107126463</v>
      </c>
      <c r="G217" s="4">
        <v>14838162082</v>
      </c>
      <c r="I217" s="4">
        <v>14400000</v>
      </c>
      <c r="J217" s="4">
        <v>18480734118</v>
      </c>
      <c r="L217" s="4">
        <v>6390198</v>
      </c>
      <c r="M217" s="4">
        <v>7354252725</v>
      </c>
      <c r="O217" s="4">
        <v>21998347</v>
      </c>
      <c r="Q217" s="4">
        <v>1269</v>
      </c>
      <c r="S217" s="4">
        <v>28316226661</v>
      </c>
      <c r="U217" s="4">
        <v>27503657720</v>
      </c>
      <c r="W217" s="5">
        <v>6.2948859363306381E-3</v>
      </c>
    </row>
    <row r="218" spans="1:23" ht="18.75" x14ac:dyDescent="0.45">
      <c r="A218" s="3" t="s">
        <v>224</v>
      </c>
      <c r="C218" s="4">
        <v>10259149</v>
      </c>
      <c r="E218" s="4">
        <v>19267952256</v>
      </c>
      <c r="G218" s="4">
        <v>21978287035</v>
      </c>
      <c r="N218" s="6"/>
      <c r="O218" s="4">
        <v>10259149</v>
      </c>
      <c r="Q218" s="4">
        <v>2584</v>
      </c>
      <c r="S218" s="4">
        <v>19267952256</v>
      </c>
      <c r="U218" s="4">
        <v>25999326118</v>
      </c>
      <c r="W218" s="5">
        <v>5.9505827915848587E-3</v>
      </c>
    </row>
    <row r="219" spans="1:23" ht="18.75" x14ac:dyDescent="0.45">
      <c r="A219" s="7" t="s">
        <v>225</v>
      </c>
      <c r="C219" s="7">
        <f>SUM(C11:$C$218)</f>
        <v>903348497</v>
      </c>
      <c r="E219" s="7">
        <f>SUM(E11:$E$218)</f>
        <v>3078317500421</v>
      </c>
      <c r="G219" s="7">
        <f>SUM(G11:$G$218)</f>
        <v>3399261592075</v>
      </c>
      <c r="I219" s="7">
        <f>SUM(I11:$I$218)</f>
        <v>133471612</v>
      </c>
      <c r="J219" s="7">
        <f>SUM(J11:$J$218)</f>
        <v>508121345243</v>
      </c>
      <c r="L219" s="7">
        <f>SUM(L11:$L$218)</f>
        <v>67061758</v>
      </c>
      <c r="M219" s="7">
        <f>SUM(M11:$M$218)</f>
        <v>307252182973</v>
      </c>
      <c r="O219" s="7">
        <f>SUM(O11:$O$218)</f>
        <v>989818656</v>
      </c>
      <c r="Q219" s="7">
        <f>SUM(Q11:$Q$218)</f>
        <v>3522549</v>
      </c>
      <c r="S219" s="7">
        <f>SUM(S11:$S$218)</f>
        <v>3333892549071</v>
      </c>
      <c r="U219" s="7">
        <f>SUM(U11:$U$218)</f>
        <v>4174321966269</v>
      </c>
      <c r="W219" s="8">
        <f>SUM(W11:$W$218)</f>
        <v>0.95539585704176611</v>
      </c>
    </row>
    <row r="220" spans="1:23" ht="18.75" x14ac:dyDescent="0.45">
      <c r="C220" s="9"/>
      <c r="E220" s="9"/>
      <c r="G220" s="9"/>
      <c r="I220" s="9"/>
      <c r="J220" s="9"/>
      <c r="L220" s="9"/>
      <c r="M220" s="9"/>
      <c r="O220" s="9"/>
      <c r="Q220" s="9"/>
      <c r="S220" s="9"/>
      <c r="U220" s="9"/>
      <c r="W220" s="9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73" zoomScaleNormal="100" zoomScaleSheetLayoutView="73" workbookViewId="0">
      <selection activeCell="AM35" sqref="AM35"/>
    </sheetView>
  </sheetViews>
  <sheetFormatPr defaultRowHeight="18" x14ac:dyDescent="0.45"/>
  <cols>
    <col min="1" max="1" width="17" style="1" customWidth="1"/>
    <col min="2" max="2" width="1.42578125" style="1" customWidth="1"/>
    <col min="3" max="3" width="12.71093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1.42578125" style="1" customWidth="1"/>
    <col min="10" max="10" width="17" style="1" customWidth="1"/>
    <col min="11" max="11" width="1.42578125" style="1" customWidth="1"/>
    <col min="12" max="12" width="11.42578125" style="1" customWidth="1"/>
    <col min="13" max="13" width="17" style="1" customWidth="1"/>
    <col min="14" max="14" width="1.42578125" style="1" customWidth="1"/>
    <col min="15" max="15" width="12.7109375" style="1" customWidth="1"/>
    <col min="16" max="16" width="1.42578125" style="1" customWidth="1"/>
    <col min="17" max="17" width="11.42578125" style="1" customWidth="1"/>
    <col min="18" max="18" width="1.42578125" style="1" customWidth="1"/>
    <col min="19" max="19" width="17" style="1" customWidth="1"/>
    <col min="20" max="20" width="1.42578125" style="1" customWidth="1"/>
    <col min="21" max="21" width="17" style="1" customWidth="1"/>
    <col min="22" max="22" width="1.42578125" style="1" customWidth="1"/>
    <col min="23" max="23" width="8.5703125" style="1" customWidth="1"/>
    <col min="24" max="16384" width="9.140625" style="1"/>
  </cols>
  <sheetData>
    <row r="1" spans="1:24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4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4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5" spans="1:24" ht="21" x14ac:dyDescent="0.45">
      <c r="A5" s="35" t="s">
        <v>226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7" spans="1:24" ht="21" x14ac:dyDescent="0.45">
      <c r="A7" s="28" t="s">
        <v>227</v>
      </c>
      <c r="B7" s="29"/>
      <c r="C7" s="29"/>
      <c r="D7" s="29"/>
      <c r="E7" s="29"/>
      <c r="F7" s="29"/>
      <c r="G7" s="29"/>
      <c r="I7" s="28" t="s">
        <v>5</v>
      </c>
      <c r="J7" s="29"/>
      <c r="K7" s="29"/>
      <c r="L7" s="29"/>
      <c r="M7" s="29"/>
      <c r="O7" s="28" t="s">
        <v>7</v>
      </c>
      <c r="P7" s="29"/>
      <c r="Q7" s="29"/>
      <c r="R7" s="29"/>
      <c r="S7" s="29"/>
      <c r="T7" s="29"/>
      <c r="U7" s="29"/>
      <c r="V7" s="29"/>
      <c r="W7" s="29"/>
    </row>
    <row r="8" spans="1:24" x14ac:dyDescent="0.45">
      <c r="A8" s="30"/>
      <c r="B8" s="32"/>
      <c r="C8" s="32"/>
      <c r="D8" s="32"/>
      <c r="E8" s="32"/>
      <c r="F8" s="32"/>
      <c r="G8" s="32"/>
      <c r="I8" s="30" t="s">
        <v>228</v>
      </c>
      <c r="J8" s="30" t="s">
        <v>229</v>
      </c>
      <c r="L8" s="30" t="s">
        <v>230</v>
      </c>
      <c r="M8" s="30" t="s">
        <v>231</v>
      </c>
      <c r="O8" s="30" t="s">
        <v>228</v>
      </c>
      <c r="Q8" s="30" t="s">
        <v>229</v>
      </c>
      <c r="S8" s="33" t="s">
        <v>230</v>
      </c>
      <c r="U8" s="30" t="s">
        <v>231</v>
      </c>
    </row>
    <row r="9" spans="1:24" x14ac:dyDescent="0.45">
      <c r="A9" s="32"/>
      <c r="B9" s="32"/>
      <c r="C9" s="32"/>
      <c r="D9" s="32"/>
      <c r="E9" s="32"/>
      <c r="F9" s="32"/>
      <c r="G9" s="32"/>
      <c r="I9" s="32"/>
      <c r="J9" s="32"/>
      <c r="L9" s="32"/>
      <c r="M9" s="32"/>
      <c r="O9" s="32"/>
      <c r="Q9" s="32"/>
      <c r="S9" s="32"/>
      <c r="U9" s="32"/>
    </row>
    <row r="10" spans="1:24" x14ac:dyDescent="0.45">
      <c r="A10" s="30" t="s">
        <v>232</v>
      </c>
      <c r="B10" s="32"/>
      <c r="C10" s="32"/>
      <c r="D10" s="32"/>
      <c r="E10" s="32"/>
      <c r="F10" s="32"/>
      <c r="G10" s="32"/>
      <c r="I10" s="36">
        <v>123</v>
      </c>
      <c r="J10" s="36">
        <v>17150</v>
      </c>
      <c r="L10" s="30" t="s">
        <v>233</v>
      </c>
      <c r="M10" s="37" t="s">
        <v>398</v>
      </c>
      <c r="O10" s="36">
        <v>123</v>
      </c>
      <c r="Q10" s="36">
        <v>17150</v>
      </c>
      <c r="S10" s="30" t="s">
        <v>233</v>
      </c>
      <c r="U10" s="37" t="s">
        <v>398</v>
      </c>
    </row>
    <row r="11" spans="1:24" x14ac:dyDescent="0.45">
      <c r="A11" s="32"/>
      <c r="B11" s="32"/>
      <c r="C11" s="32"/>
      <c r="D11" s="32"/>
      <c r="E11" s="32"/>
      <c r="F11" s="32"/>
      <c r="G11" s="32"/>
      <c r="I11" s="32"/>
      <c r="J11" s="32"/>
      <c r="L11" s="32"/>
      <c r="M11" s="32"/>
      <c r="O11" s="32"/>
      <c r="Q11" s="32"/>
      <c r="S11" s="32"/>
      <c r="U11" s="32"/>
    </row>
    <row r="13" spans="1:24" ht="21" x14ac:dyDescent="0.45">
      <c r="A13" s="35" t="s">
        <v>234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5" spans="1:24" ht="21" x14ac:dyDescent="0.45">
      <c r="A15" s="28" t="s">
        <v>227</v>
      </c>
      <c r="B15" s="29"/>
      <c r="C15" s="29"/>
      <c r="D15" s="29"/>
      <c r="E15" s="29"/>
      <c r="F15" s="29"/>
      <c r="G15" s="29"/>
      <c r="I15" s="28" t="s">
        <v>5</v>
      </c>
      <c r="J15" s="29"/>
      <c r="K15" s="29"/>
      <c r="L15" s="29"/>
      <c r="M15" s="29"/>
      <c r="N15" s="29"/>
      <c r="O15" s="29"/>
      <c r="Q15" s="28" t="s">
        <v>7</v>
      </c>
      <c r="R15" s="29"/>
      <c r="S15" s="29"/>
      <c r="T15" s="29"/>
      <c r="U15" s="29"/>
      <c r="V15" s="29"/>
      <c r="W15" s="29"/>
      <c r="X15" s="29"/>
    </row>
    <row r="16" spans="1:24" x14ac:dyDescent="0.45">
      <c r="A16" s="30"/>
      <c r="B16" s="32"/>
      <c r="C16" s="32"/>
      <c r="D16" s="32"/>
      <c r="E16" s="32"/>
      <c r="F16" s="32"/>
      <c r="G16" s="32"/>
      <c r="I16" s="30" t="s">
        <v>235</v>
      </c>
      <c r="J16" s="30" t="s">
        <v>236</v>
      </c>
      <c r="L16" s="30" t="s">
        <v>237</v>
      </c>
      <c r="M16" s="30" t="s">
        <v>229</v>
      </c>
      <c r="O16" s="30" t="s">
        <v>230</v>
      </c>
      <c r="Q16" s="30" t="s">
        <v>235</v>
      </c>
      <c r="S16" s="30" t="s">
        <v>236</v>
      </c>
      <c r="U16" s="30" t="s">
        <v>237</v>
      </c>
      <c r="W16" s="30" t="s">
        <v>229</v>
      </c>
      <c r="X16" s="30" t="s">
        <v>230</v>
      </c>
    </row>
    <row r="17" spans="1:24" x14ac:dyDescent="0.45">
      <c r="A17" s="32"/>
      <c r="B17" s="32"/>
      <c r="C17" s="32"/>
      <c r="D17" s="32"/>
      <c r="E17" s="32"/>
      <c r="F17" s="32"/>
      <c r="G17" s="32"/>
      <c r="I17" s="32"/>
      <c r="J17" s="32"/>
      <c r="L17" s="32"/>
      <c r="M17" s="32"/>
      <c r="O17" s="32"/>
      <c r="Q17" s="32"/>
      <c r="S17" s="32"/>
      <c r="U17" s="32"/>
      <c r="W17" s="32"/>
      <c r="X17" s="32"/>
    </row>
    <row r="19" spans="1:24" ht="21" x14ac:dyDescent="0.45">
      <c r="A19" s="35" t="s">
        <v>238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1:24" ht="21" x14ac:dyDescent="0.45">
      <c r="A20" s="28" t="s">
        <v>227</v>
      </c>
      <c r="B20" s="29"/>
      <c r="C20" s="29"/>
      <c r="D20" s="29"/>
      <c r="E20" s="29"/>
      <c r="F20" s="29"/>
      <c r="G20" s="29"/>
      <c r="I20" s="28" t="s">
        <v>5</v>
      </c>
      <c r="J20" s="29"/>
      <c r="K20" s="29"/>
      <c r="L20" s="29"/>
      <c r="M20" s="29"/>
      <c r="O20" s="28" t="s">
        <v>7</v>
      </c>
      <c r="P20" s="29"/>
      <c r="Q20" s="29"/>
      <c r="R20" s="29"/>
      <c r="S20" s="29"/>
      <c r="T20" s="29"/>
      <c r="U20" s="29"/>
      <c r="V20" s="29"/>
      <c r="W20" s="29"/>
    </row>
    <row r="21" spans="1:24" x14ac:dyDescent="0.45">
      <c r="A21" s="30"/>
      <c r="B21" s="32"/>
      <c r="C21" s="32"/>
      <c r="D21" s="32"/>
      <c r="E21" s="32"/>
      <c r="F21" s="32"/>
      <c r="G21" s="32"/>
      <c r="I21" s="30" t="s">
        <v>236</v>
      </c>
      <c r="J21" s="30" t="s">
        <v>237</v>
      </c>
      <c r="L21" s="30" t="s">
        <v>229</v>
      </c>
      <c r="M21" s="30" t="s">
        <v>230</v>
      </c>
      <c r="O21" s="30" t="s">
        <v>236</v>
      </c>
      <c r="Q21" s="30" t="s">
        <v>237</v>
      </c>
      <c r="S21" s="30" t="s">
        <v>229</v>
      </c>
      <c r="U21" s="30" t="s">
        <v>230</v>
      </c>
    </row>
    <row r="22" spans="1:24" x14ac:dyDescent="0.45">
      <c r="A22" s="32"/>
      <c r="B22" s="32"/>
      <c r="C22" s="32"/>
      <c r="D22" s="32"/>
      <c r="E22" s="32"/>
      <c r="F22" s="32"/>
      <c r="G22" s="32"/>
      <c r="I22" s="32"/>
      <c r="J22" s="32"/>
      <c r="L22" s="32"/>
      <c r="M22" s="32"/>
      <c r="O22" s="32"/>
      <c r="Q22" s="32"/>
      <c r="S22" s="32"/>
      <c r="U22" s="32"/>
    </row>
  </sheetData>
  <mergeCells count="53">
    <mergeCell ref="L8:L9"/>
    <mergeCell ref="M8:M9"/>
    <mergeCell ref="A1:W1"/>
    <mergeCell ref="A2:W2"/>
    <mergeCell ref="A3:W3"/>
    <mergeCell ref="A5:W5"/>
    <mergeCell ref="A7:G7"/>
    <mergeCell ref="I7:M7"/>
    <mergeCell ref="O7:W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activeCell="AM35" sqref="AM35"/>
    </sheetView>
  </sheetViews>
  <sheetFormatPr defaultRowHeight="18" x14ac:dyDescent="0.45"/>
  <cols>
    <col min="1" max="1" width="17" style="1" customWidth="1"/>
    <col min="2" max="2" width="1.42578125" style="1" customWidth="1"/>
    <col min="3" max="3" width="8.5703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0" width="1.42578125" style="1" customWidth="1"/>
    <col min="11" max="11" width="7.140625" style="1" customWidth="1"/>
    <col min="12" max="12" width="1.42578125" style="1" customWidth="1"/>
    <col min="13" max="13" width="7.140625" style="1" customWidth="1"/>
    <col min="14" max="14" width="1.42578125" style="1" customWidth="1"/>
    <col min="15" max="15" width="11.42578125" style="1" customWidth="1"/>
    <col min="16" max="16" width="1.42578125" style="1" customWidth="1"/>
    <col min="17" max="17" width="18.42578125" style="1" customWidth="1"/>
    <col min="18" max="18" width="1.42578125" style="1" customWidth="1"/>
    <col min="19" max="19" width="18.42578125" style="1" customWidth="1"/>
    <col min="20" max="20" width="1.42578125" style="1" customWidth="1"/>
    <col min="21" max="21" width="11.42578125" style="1" customWidth="1"/>
    <col min="22" max="22" width="18.42578125" style="1" customWidth="1"/>
    <col min="23" max="23" width="1.42578125" style="1" customWidth="1"/>
    <col min="24" max="24" width="11.42578125" style="1" customWidth="1"/>
    <col min="25" max="25" width="18.42578125" style="1" customWidth="1"/>
    <col min="26" max="26" width="1.42578125" style="1" customWidth="1"/>
    <col min="27" max="27" width="11.42578125" style="1" customWidth="1"/>
    <col min="28" max="28" width="1.42578125" style="1" customWidth="1"/>
    <col min="29" max="29" width="11.42578125" style="1" customWidth="1"/>
    <col min="30" max="30" width="1.42578125" style="1" customWidth="1"/>
    <col min="31" max="31" width="18.42578125" style="1" customWidth="1"/>
    <col min="32" max="32" width="1.42578125" style="1" customWidth="1"/>
    <col min="33" max="33" width="18.42578125" style="1" customWidth="1"/>
    <col min="34" max="34" width="1.42578125" style="1" customWidth="1"/>
    <col min="35" max="35" width="8.5703125" style="1" customWidth="1"/>
    <col min="36" max="16384" width="9.140625" style="1"/>
  </cols>
  <sheetData>
    <row r="1" spans="1:35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</row>
    <row r="2" spans="1:35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5" spans="1:35" ht="21" x14ac:dyDescent="0.45">
      <c r="A5" s="35" t="s">
        <v>239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7" spans="1:35" ht="21" x14ac:dyDescent="0.45">
      <c r="C7" s="28" t="s">
        <v>240</v>
      </c>
      <c r="D7" s="29"/>
      <c r="E7" s="29"/>
      <c r="F7" s="29"/>
      <c r="G7" s="29"/>
      <c r="H7" s="29"/>
      <c r="I7" s="29"/>
      <c r="J7" s="29"/>
      <c r="K7" s="29"/>
      <c r="L7" s="29"/>
      <c r="M7" s="29"/>
      <c r="O7" s="28" t="s">
        <v>5</v>
      </c>
      <c r="P7" s="29"/>
      <c r="Q7" s="29"/>
      <c r="R7" s="29"/>
      <c r="S7" s="29"/>
      <c r="U7" s="28" t="s">
        <v>6</v>
      </c>
      <c r="V7" s="29"/>
      <c r="W7" s="29"/>
      <c r="X7" s="29"/>
      <c r="Y7" s="29"/>
      <c r="AA7" s="28" t="s">
        <v>7</v>
      </c>
      <c r="AB7" s="29"/>
      <c r="AC7" s="29"/>
      <c r="AD7" s="29"/>
      <c r="AE7" s="29"/>
      <c r="AF7" s="29"/>
      <c r="AG7" s="29"/>
      <c r="AH7" s="29"/>
      <c r="AI7" s="29"/>
    </row>
    <row r="8" spans="1:35" ht="18.75" x14ac:dyDescent="0.45">
      <c r="A8" s="30" t="s">
        <v>241</v>
      </c>
      <c r="C8" s="33" t="s">
        <v>242</v>
      </c>
      <c r="E8" s="33" t="s">
        <v>243</v>
      </c>
      <c r="G8" s="33" t="s">
        <v>244</v>
      </c>
      <c r="I8" s="33" t="s">
        <v>245</v>
      </c>
      <c r="K8" s="33" t="s">
        <v>246</v>
      </c>
      <c r="M8" s="33" t="s">
        <v>247</v>
      </c>
      <c r="O8" s="30" t="s">
        <v>9</v>
      </c>
      <c r="Q8" s="30" t="s">
        <v>10</v>
      </c>
      <c r="S8" s="30" t="s">
        <v>11</v>
      </c>
      <c r="U8" s="30" t="s">
        <v>12</v>
      </c>
      <c r="V8" s="32"/>
      <c r="X8" s="30" t="s">
        <v>13</v>
      </c>
      <c r="Y8" s="32"/>
      <c r="AA8" s="30" t="s">
        <v>9</v>
      </c>
      <c r="AC8" s="33" t="s">
        <v>248</v>
      </c>
      <c r="AE8" s="30" t="s">
        <v>10</v>
      </c>
      <c r="AG8" s="30" t="s">
        <v>11</v>
      </c>
      <c r="AI8" s="33" t="s">
        <v>15</v>
      </c>
    </row>
    <row r="9" spans="1:35" ht="18.75" x14ac:dyDescent="0.45">
      <c r="A9" s="31"/>
      <c r="C9" s="31"/>
      <c r="E9" s="31"/>
      <c r="G9" s="31"/>
      <c r="I9" s="31"/>
      <c r="K9" s="31"/>
      <c r="M9" s="31"/>
      <c r="O9" s="31"/>
      <c r="Q9" s="31"/>
      <c r="S9" s="31"/>
      <c r="U9" s="2" t="s">
        <v>9</v>
      </c>
      <c r="V9" s="2" t="s">
        <v>10</v>
      </c>
      <c r="X9" s="2" t="s">
        <v>9</v>
      </c>
      <c r="Y9" s="2" t="s">
        <v>16</v>
      </c>
      <c r="AA9" s="31"/>
      <c r="AC9" s="31"/>
      <c r="AE9" s="31"/>
      <c r="AG9" s="31"/>
      <c r="AI9" s="31"/>
    </row>
    <row r="10" spans="1:35" ht="18.75" x14ac:dyDescent="0.45">
      <c r="A10" s="7" t="s">
        <v>225</v>
      </c>
      <c r="O10" s="7">
        <f>SUM($O$9)</f>
        <v>0</v>
      </c>
      <c r="Q10" s="7">
        <f>SUM($Q$9)</f>
        <v>0</v>
      </c>
      <c r="S10" s="7">
        <f>SUM($S$9)</f>
        <v>0</v>
      </c>
      <c r="U10" s="7">
        <f>SUM($U$9)</f>
        <v>0</v>
      </c>
      <c r="V10" s="7">
        <f>SUM($V$9)</f>
        <v>0</v>
      </c>
      <c r="X10" s="7">
        <f>SUM($X$9)</f>
        <v>0</v>
      </c>
      <c r="Y10" s="7">
        <f>SUM($Y$9)</f>
        <v>0</v>
      </c>
      <c r="AA10" s="7">
        <f>SUM($AA$9)</f>
        <v>0</v>
      </c>
      <c r="AC10" s="7">
        <f>SUM($AC$9)</f>
        <v>0</v>
      </c>
      <c r="AE10" s="7">
        <f>SUM($AE$9)</f>
        <v>0</v>
      </c>
      <c r="AG10" s="7">
        <f>SUM($AG$9)</f>
        <v>0</v>
      </c>
      <c r="AI10" s="8">
        <f>SUM($AI$9)</f>
        <v>0</v>
      </c>
    </row>
    <row r="11" spans="1:35" ht="18.75" x14ac:dyDescent="0.45">
      <c r="O11" s="9"/>
      <c r="Q11" s="9"/>
      <c r="S11" s="9"/>
      <c r="U11" s="9"/>
      <c r="V11" s="9"/>
      <c r="X11" s="9"/>
      <c r="Y11" s="9"/>
      <c r="AA11" s="9"/>
      <c r="AC11" s="9"/>
      <c r="AE11" s="9"/>
      <c r="AG11" s="9"/>
      <c r="AI11" s="9"/>
    </row>
  </sheetData>
  <mergeCells count="25">
    <mergeCell ref="A1:AI1"/>
    <mergeCell ref="A2:AI2"/>
    <mergeCell ref="A3:AI3"/>
    <mergeCell ref="A5:AI5"/>
    <mergeCell ref="C7:M7"/>
    <mergeCell ref="O7:S7"/>
    <mergeCell ref="U7:Y7"/>
    <mergeCell ref="AA7:AI7"/>
    <mergeCell ref="A8:A9"/>
    <mergeCell ref="C8:C9"/>
    <mergeCell ref="E8:E9"/>
    <mergeCell ref="G8:G9"/>
    <mergeCell ref="I8:I9"/>
    <mergeCell ref="K8:K9"/>
    <mergeCell ref="M8:M9"/>
    <mergeCell ref="O8:O9"/>
    <mergeCell ref="Q8:Q9"/>
    <mergeCell ref="S8:S9"/>
    <mergeCell ref="AG8:AG9"/>
    <mergeCell ref="AI8:AI9"/>
    <mergeCell ref="U8:V8"/>
    <mergeCell ref="X8:Y8"/>
    <mergeCell ref="AA8:AA9"/>
    <mergeCell ref="AC8:AC9"/>
    <mergeCell ref="AE8:AE9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activeCell="AM35" sqref="AM35"/>
    </sheetView>
  </sheetViews>
  <sheetFormatPr defaultRowHeight="18" x14ac:dyDescent="0.45"/>
  <cols>
    <col min="1" max="1" width="28.425781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4.140625" style="1" customWidth="1"/>
    <col min="8" max="8" width="1.42578125" style="1" customWidth="1"/>
    <col min="9" max="9" width="8.5703125" style="1" customWidth="1"/>
    <col min="10" max="10" width="1.42578125" style="1" customWidth="1"/>
    <col min="11" max="11" width="21.28515625" style="1" customWidth="1"/>
    <col min="12" max="12" width="1.42578125" style="1" customWidth="1"/>
    <col min="13" max="13" width="28.42578125" style="1" customWidth="1"/>
    <col min="14" max="16384" width="9.140625" style="1"/>
  </cols>
  <sheetData>
    <row r="1" spans="1:13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5" spans="1:13" ht="21" x14ac:dyDescent="0.45">
      <c r="A5" s="35" t="s">
        <v>249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ht="21" x14ac:dyDescent="0.45">
      <c r="A6" s="35" t="s">
        <v>250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8" spans="1:13" ht="21" x14ac:dyDescent="0.45">
      <c r="C8" s="28" t="s">
        <v>7</v>
      </c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1:13" ht="42" x14ac:dyDescent="0.45">
      <c r="A9" s="10" t="s">
        <v>251</v>
      </c>
      <c r="C9" s="10" t="s">
        <v>9</v>
      </c>
      <c r="E9" s="10" t="s">
        <v>252</v>
      </c>
      <c r="G9" s="10" t="s">
        <v>253</v>
      </c>
      <c r="I9" s="10" t="s">
        <v>254</v>
      </c>
      <c r="K9" s="11" t="s">
        <v>255</v>
      </c>
      <c r="M9" s="10" t="s">
        <v>256</v>
      </c>
    </row>
    <row r="10" spans="1:13" ht="18.75" x14ac:dyDescent="0.45">
      <c r="A10" s="7" t="s">
        <v>225</v>
      </c>
      <c r="K10" s="7">
        <f>SUM($K$9)</f>
        <v>0</v>
      </c>
    </row>
    <row r="11" spans="1:13" ht="18.75" x14ac:dyDescent="0.45">
      <c r="K11" s="9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9"/>
  <sheetViews>
    <sheetView rightToLeft="1" view="pageBreakPreview" zoomScale="84" zoomScaleNormal="100" zoomScaleSheetLayoutView="84" workbookViewId="0">
      <selection activeCell="AM35" sqref="AM35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8.42578125" style="1" customWidth="1"/>
    <col min="6" max="6" width="1.42578125" style="1" customWidth="1"/>
    <col min="7" max="7" width="18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0.7109375" style="1" customWidth="1"/>
    <col min="12" max="16384" width="9.140625" style="1"/>
  </cols>
  <sheetData>
    <row r="1" spans="1:16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6" ht="20.100000000000001" customHeight="1" x14ac:dyDescent="0.4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6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5" spans="1:16" ht="21" x14ac:dyDescent="0.55000000000000004">
      <c r="A5" s="38" t="s">
        <v>404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6" x14ac:dyDescent="0.45">
      <c r="O6" s="18"/>
    </row>
    <row r="7" spans="1:16" ht="21" x14ac:dyDescent="0.45">
      <c r="C7" s="10" t="s">
        <v>5</v>
      </c>
      <c r="E7" s="28" t="s">
        <v>6</v>
      </c>
      <c r="F7" s="29"/>
      <c r="G7" s="29"/>
      <c r="I7" s="28" t="s">
        <v>7</v>
      </c>
      <c r="J7" s="29"/>
      <c r="K7" s="29"/>
      <c r="P7" s="18"/>
    </row>
    <row r="8" spans="1:16" ht="63" x14ac:dyDescent="0.45">
      <c r="A8" s="10" t="s">
        <v>257</v>
      </c>
      <c r="C8" s="10" t="s">
        <v>258</v>
      </c>
      <c r="E8" s="10" t="s">
        <v>259</v>
      </c>
      <c r="G8" s="10" t="s">
        <v>260</v>
      </c>
      <c r="I8" s="10" t="s">
        <v>258</v>
      </c>
      <c r="K8" s="11" t="s">
        <v>15</v>
      </c>
    </row>
    <row r="9" spans="1:16" ht="18.75" x14ac:dyDescent="0.45">
      <c r="A9" s="19" t="s">
        <v>399</v>
      </c>
      <c r="C9" s="4">
        <v>33633211</v>
      </c>
      <c r="E9" s="4">
        <v>508141768905</v>
      </c>
      <c r="G9" s="4">
        <v>410112268939</v>
      </c>
      <c r="I9" s="4">
        <v>98063133177</v>
      </c>
      <c r="K9" s="5">
        <v>2.2444150672349762E-2</v>
      </c>
    </row>
    <row r="10" spans="1:16" ht="18.75" x14ac:dyDescent="0.45">
      <c r="A10" s="19" t="s">
        <v>400</v>
      </c>
      <c r="C10" s="4">
        <v>166460011288</v>
      </c>
      <c r="E10" s="4">
        <v>76403108341</v>
      </c>
      <c r="G10" s="4">
        <v>224504165000</v>
      </c>
      <c r="I10" s="4">
        <v>18358954629</v>
      </c>
      <c r="K10" s="5">
        <v>4.2018965795879012E-3</v>
      </c>
    </row>
    <row r="11" spans="1:16" ht="18.75" x14ac:dyDescent="0.45">
      <c r="A11" s="19" t="s">
        <v>401</v>
      </c>
      <c r="C11" s="4">
        <v>1398292</v>
      </c>
      <c r="E11" s="4">
        <v>5862</v>
      </c>
      <c r="G11" s="4">
        <v>0</v>
      </c>
      <c r="I11" s="4">
        <v>1404154</v>
      </c>
      <c r="K11" s="5">
        <v>3.2137504607668635E-7</v>
      </c>
    </row>
    <row r="12" spans="1:16" ht="18.75" x14ac:dyDescent="0.45">
      <c r="A12" s="3" t="s">
        <v>261</v>
      </c>
      <c r="C12" s="4">
        <v>16320461</v>
      </c>
      <c r="E12" s="4">
        <v>66797</v>
      </c>
      <c r="G12" s="4">
        <v>0</v>
      </c>
      <c r="I12" s="4">
        <v>16387258</v>
      </c>
      <c r="K12" s="5">
        <v>3.7506254975028002E-6</v>
      </c>
    </row>
    <row r="13" spans="1:16" ht="18.75" x14ac:dyDescent="0.45">
      <c r="A13" s="19" t="s">
        <v>402</v>
      </c>
      <c r="C13" s="4">
        <v>9145247</v>
      </c>
      <c r="E13" s="4">
        <v>37429</v>
      </c>
      <c r="G13" s="4">
        <v>0</v>
      </c>
      <c r="I13" s="4">
        <v>9182676</v>
      </c>
      <c r="K13" s="5">
        <v>2.101680387341618E-6</v>
      </c>
    </row>
    <row r="14" spans="1:16" ht="18.75" x14ac:dyDescent="0.45">
      <c r="A14" s="19" t="s">
        <v>403</v>
      </c>
      <c r="C14" s="4">
        <v>7587738</v>
      </c>
      <c r="E14" s="4">
        <v>31182</v>
      </c>
      <c r="G14" s="4">
        <v>0</v>
      </c>
      <c r="I14" s="4">
        <v>7618920</v>
      </c>
      <c r="K14" s="5">
        <v>1.7437765131563826E-6</v>
      </c>
    </row>
    <row r="15" spans="1:16" ht="37.5" x14ac:dyDescent="0.45">
      <c r="A15" s="3" t="s">
        <v>262</v>
      </c>
      <c r="C15" s="4">
        <v>164184054</v>
      </c>
      <c r="E15" s="4">
        <v>91884070930</v>
      </c>
      <c r="G15" s="4">
        <v>82037389674</v>
      </c>
      <c r="I15" s="4">
        <v>10010865310</v>
      </c>
      <c r="K15" s="5">
        <v>2.2912318024011264E-3</v>
      </c>
    </row>
    <row r="16" spans="1:16" ht="19.5" thickBot="1" x14ac:dyDescent="0.5">
      <c r="A16" s="7" t="s">
        <v>225</v>
      </c>
      <c r="C16" s="7">
        <f>SUM(C9:$C$15)</f>
        <v>166692280291</v>
      </c>
      <c r="E16" s="7">
        <f>SUM(E9:$E$15)</f>
        <v>676429089446</v>
      </c>
      <c r="G16" s="7">
        <f>SUM(G9:$G$15)</f>
        <v>716653823613</v>
      </c>
      <c r="I16" s="7">
        <f>SUM(I9:$I$15)</f>
        <v>126467546124</v>
      </c>
      <c r="K16" s="8">
        <f>SUM(K9:$K$15)</f>
        <v>2.8945196511782866E-2</v>
      </c>
    </row>
    <row r="17" spans="3:11" ht="19.5" thickTop="1" x14ac:dyDescent="0.45">
      <c r="C17" s="9"/>
      <c r="E17" s="9"/>
      <c r="G17" s="9"/>
      <c r="I17" s="9"/>
      <c r="K17" s="9"/>
    </row>
    <row r="19" spans="3:11" ht="18.75" x14ac:dyDescent="0.45">
      <c r="C19" s="4"/>
      <c r="E19" s="4"/>
      <c r="G19" s="4"/>
      <c r="I19" s="4"/>
      <c r="K19" s="5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3"/>
  <sheetViews>
    <sheetView rightToLeft="1" view="pageBreakPreview" zoomScale="82" zoomScaleNormal="100" zoomScaleSheetLayoutView="82" workbookViewId="0">
      <selection activeCell="AM35" sqref="AM35"/>
    </sheetView>
  </sheetViews>
  <sheetFormatPr defaultRowHeight="18" x14ac:dyDescent="0.45"/>
  <cols>
    <col min="1" max="1" width="58.140625" style="1" bestFit="1" customWidth="1"/>
    <col min="2" max="2" width="1.42578125" style="1" customWidth="1"/>
    <col min="3" max="3" width="11.42578125" style="1" customWidth="1"/>
    <col min="4" max="4" width="1.42578125" style="1" customWidth="1"/>
    <col min="5" max="5" width="21.285156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6384" width="9.140625" style="1"/>
  </cols>
  <sheetData>
    <row r="1" spans="1:13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</row>
    <row r="2" spans="1:13" ht="20.100000000000001" customHeight="1" x14ac:dyDescent="0.45">
      <c r="A2" s="34" t="s">
        <v>263</v>
      </c>
      <c r="B2" s="32"/>
      <c r="C2" s="32"/>
      <c r="D2" s="32"/>
      <c r="E2" s="32"/>
      <c r="F2" s="32"/>
      <c r="G2" s="32"/>
      <c r="H2" s="32"/>
      <c r="I2" s="32"/>
    </row>
    <row r="3" spans="1:13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</row>
    <row r="5" spans="1:13" ht="21" x14ac:dyDescent="0.45">
      <c r="A5" s="35" t="s">
        <v>264</v>
      </c>
      <c r="B5" s="32"/>
      <c r="C5" s="32"/>
      <c r="D5" s="32"/>
      <c r="E5" s="32"/>
      <c r="F5" s="32"/>
      <c r="G5" s="32"/>
      <c r="H5" s="32"/>
      <c r="I5" s="32"/>
      <c r="M5" s="18"/>
    </row>
    <row r="7" spans="1:13" ht="42" x14ac:dyDescent="0.45">
      <c r="A7" s="10" t="s">
        <v>265</v>
      </c>
      <c r="C7" s="10" t="s">
        <v>266</v>
      </c>
      <c r="E7" s="10" t="s">
        <v>258</v>
      </c>
      <c r="G7" s="11" t="s">
        <v>267</v>
      </c>
      <c r="I7" s="11" t="s">
        <v>268</v>
      </c>
    </row>
    <row r="8" spans="1:13" ht="21" x14ac:dyDescent="0.45">
      <c r="A8" s="14" t="s">
        <v>269</v>
      </c>
      <c r="C8" s="43" t="s">
        <v>405</v>
      </c>
      <c r="E8" s="4">
        <v>1203980766056</v>
      </c>
      <c r="G8" s="5">
        <v>0.99005166441108783</v>
      </c>
      <c r="I8" s="5">
        <v>0.27556049704426377</v>
      </c>
    </row>
    <row r="9" spans="1:13" ht="21" x14ac:dyDescent="0.45">
      <c r="A9" s="14" t="s">
        <v>270</v>
      </c>
      <c r="C9" s="43" t="s">
        <v>406</v>
      </c>
      <c r="E9" s="4">
        <v>0</v>
      </c>
      <c r="G9" s="5">
        <v>0</v>
      </c>
      <c r="I9" s="5">
        <v>0</v>
      </c>
    </row>
    <row r="10" spans="1:13" ht="21" x14ac:dyDescent="0.45">
      <c r="A10" s="14" t="s">
        <v>271</v>
      </c>
      <c r="C10" s="43" t="s">
        <v>407</v>
      </c>
      <c r="E10" s="4">
        <v>12097959221</v>
      </c>
      <c r="G10" s="5">
        <v>9.9483355551972415E-3</v>
      </c>
      <c r="I10" s="5">
        <v>2.7689143798206948E-3</v>
      </c>
    </row>
    <row r="11" spans="1:13" ht="21" x14ac:dyDescent="0.45">
      <c r="A11" s="14" t="s">
        <v>272</v>
      </c>
      <c r="C11" s="43" t="s">
        <v>408</v>
      </c>
      <c r="E11" s="4">
        <v>41</v>
      </c>
      <c r="G11" s="5">
        <v>3.3714922518094919E-11</v>
      </c>
      <c r="I11" s="5">
        <v>9.383854540986345E-12</v>
      </c>
    </row>
    <row r="12" spans="1:13" ht="21" x14ac:dyDescent="0.45">
      <c r="A12" s="10" t="s">
        <v>225</v>
      </c>
      <c r="E12" s="7">
        <f>SUM(E8:$E$11)</f>
        <v>1216078725318</v>
      </c>
      <c r="G12" s="8">
        <f>SUM(G8:$G$11)</f>
        <v>1</v>
      </c>
      <c r="I12" s="8">
        <f>SUM(I8:$I$11)</f>
        <v>0.27832941143346829</v>
      </c>
    </row>
    <row r="13" spans="1:13" ht="18.75" x14ac:dyDescent="0.45">
      <c r="E13" s="9"/>
      <c r="G13" s="9"/>
      <c r="I13" s="9"/>
    </row>
  </sheetData>
  <mergeCells count="4">
    <mergeCell ref="A1:I1"/>
    <mergeCell ref="A2:I2"/>
    <mergeCell ref="A3:I3"/>
    <mergeCell ref="A5:I5"/>
  </mergeCells>
  <phoneticPr fontId="16" type="noConversion"/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87"/>
  <sheetViews>
    <sheetView rightToLeft="1" view="pageBreakPreview" topLeftCell="A58" zoomScale="80" zoomScaleNormal="100" zoomScaleSheetLayoutView="80" workbookViewId="0">
      <selection activeCell="AM35" sqref="AM35"/>
    </sheetView>
  </sheetViews>
  <sheetFormatPr defaultRowHeight="18" x14ac:dyDescent="0.45"/>
  <cols>
    <col min="1" max="1" width="17.5703125" style="1" bestFit="1" customWidth="1"/>
    <col min="2" max="2" width="1.42578125" style="1" customWidth="1"/>
    <col min="3" max="3" width="12.5703125" style="1" bestFit="1" customWidth="1"/>
    <col min="4" max="4" width="1.42578125" style="1" customWidth="1"/>
    <col min="5" max="5" width="17.5703125" style="1" bestFit="1" customWidth="1"/>
    <col min="6" max="6" width="1.42578125" style="1" customWidth="1"/>
    <col min="7" max="7" width="10.5703125" style="1" bestFit="1" customWidth="1"/>
    <col min="8" max="8" width="1.42578125" style="1" customWidth="1"/>
    <col min="9" max="9" width="15.5703125" style="1" bestFit="1" customWidth="1"/>
    <col min="10" max="10" width="1.42578125" style="1" customWidth="1"/>
    <col min="11" max="11" width="14.7109375" style="1" bestFit="1" customWidth="1"/>
    <col min="12" max="12" width="1.42578125" style="1" customWidth="1"/>
    <col min="13" max="13" width="16.140625" style="1" bestFit="1" customWidth="1"/>
    <col min="14" max="14" width="1.42578125" style="1" customWidth="1"/>
    <col min="15" max="15" width="17.7109375" style="1" bestFit="1" customWidth="1"/>
    <col min="16" max="16" width="1.42578125" style="1" customWidth="1"/>
    <col min="17" max="17" width="16.28515625" style="1" bestFit="1" customWidth="1"/>
    <col min="18" max="18" width="1.42578125" style="1" customWidth="1"/>
    <col min="19" max="19" width="17.5703125" style="1" bestFit="1" customWidth="1"/>
    <col min="20" max="16384" width="9.140625" style="1"/>
  </cols>
  <sheetData>
    <row r="1" spans="1:19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20.100000000000001" customHeight="1" x14ac:dyDescent="0.45">
      <c r="A2" s="34" t="s">
        <v>263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5" spans="1:19" ht="21" x14ac:dyDescent="0.45">
      <c r="A5" s="35" t="s">
        <v>273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7" spans="1:19" ht="21" x14ac:dyDescent="0.45">
      <c r="C7" s="28" t="s">
        <v>274</v>
      </c>
      <c r="D7" s="29"/>
      <c r="E7" s="29"/>
      <c r="F7" s="29"/>
      <c r="G7" s="29"/>
      <c r="I7" s="28" t="s">
        <v>275</v>
      </c>
      <c r="J7" s="29"/>
      <c r="K7" s="29"/>
      <c r="L7" s="29"/>
      <c r="M7" s="29"/>
      <c r="O7" s="28" t="s">
        <v>7</v>
      </c>
      <c r="P7" s="29"/>
      <c r="Q7" s="29"/>
      <c r="R7" s="29"/>
      <c r="S7" s="29"/>
    </row>
    <row r="8" spans="1:19" ht="42" x14ac:dyDescent="0.45">
      <c r="A8" s="10" t="s">
        <v>227</v>
      </c>
      <c r="C8" s="11" t="s">
        <v>276</v>
      </c>
      <c r="E8" s="11" t="s">
        <v>277</v>
      </c>
      <c r="G8" s="11" t="s">
        <v>278</v>
      </c>
      <c r="I8" s="11" t="s">
        <v>279</v>
      </c>
      <c r="K8" s="11" t="s">
        <v>280</v>
      </c>
      <c r="M8" s="11" t="s">
        <v>281</v>
      </c>
      <c r="O8" s="11" t="s">
        <v>279</v>
      </c>
      <c r="Q8" s="11" t="s">
        <v>280</v>
      </c>
      <c r="S8" s="11" t="s">
        <v>281</v>
      </c>
    </row>
    <row r="9" spans="1:19" ht="37.5" x14ac:dyDescent="0.45">
      <c r="A9" s="12" t="s">
        <v>20</v>
      </c>
      <c r="C9" s="6" t="s">
        <v>282</v>
      </c>
      <c r="E9" s="4">
        <v>50000</v>
      </c>
      <c r="G9" s="4">
        <v>3980</v>
      </c>
      <c r="N9" s="6"/>
      <c r="O9" s="4">
        <v>199000000</v>
      </c>
      <c r="Q9" s="4">
        <v>0</v>
      </c>
      <c r="S9" s="4">
        <v>199000000</v>
      </c>
    </row>
    <row r="10" spans="1:19" ht="18.75" x14ac:dyDescent="0.45">
      <c r="A10" s="12" t="s">
        <v>22</v>
      </c>
      <c r="C10" s="6" t="s">
        <v>283</v>
      </c>
      <c r="E10" s="4">
        <v>245000</v>
      </c>
      <c r="G10" s="4">
        <v>100</v>
      </c>
      <c r="N10" s="6"/>
      <c r="O10" s="4">
        <v>24500000</v>
      </c>
      <c r="Q10" s="4">
        <v>0</v>
      </c>
      <c r="S10" s="4">
        <v>24500000</v>
      </c>
    </row>
    <row r="11" spans="1:19" ht="18.75" x14ac:dyDescent="0.45">
      <c r="A11" s="12" t="s">
        <v>23</v>
      </c>
      <c r="C11" s="6" t="s">
        <v>284</v>
      </c>
      <c r="E11" s="4">
        <v>6813853</v>
      </c>
      <c r="G11" s="4">
        <v>637</v>
      </c>
      <c r="N11" s="6"/>
      <c r="O11" s="4">
        <v>4340424361</v>
      </c>
      <c r="Q11" s="4">
        <v>0</v>
      </c>
      <c r="S11" s="4">
        <v>4340424361</v>
      </c>
    </row>
    <row r="12" spans="1:19" ht="18.75" x14ac:dyDescent="0.45">
      <c r="A12" s="12" t="s">
        <v>27</v>
      </c>
      <c r="C12" s="6" t="s">
        <v>285</v>
      </c>
      <c r="E12" s="4">
        <v>19134677</v>
      </c>
      <c r="G12" s="4">
        <v>35</v>
      </c>
      <c r="N12" s="6"/>
      <c r="O12" s="4">
        <v>669713695</v>
      </c>
      <c r="Q12" s="4">
        <v>0</v>
      </c>
      <c r="S12" s="4">
        <v>669713695</v>
      </c>
    </row>
    <row r="13" spans="1:19" ht="18.75" x14ac:dyDescent="0.45">
      <c r="A13" s="12" t="s">
        <v>28</v>
      </c>
      <c r="C13" s="6" t="s">
        <v>286</v>
      </c>
      <c r="E13" s="4">
        <v>2291471</v>
      </c>
      <c r="G13" s="4">
        <v>1940</v>
      </c>
      <c r="N13" s="6"/>
      <c r="O13" s="4">
        <v>4445453740</v>
      </c>
      <c r="Q13" s="4">
        <v>0</v>
      </c>
      <c r="S13" s="4">
        <v>4445453740</v>
      </c>
    </row>
    <row r="14" spans="1:19" ht="18.75" x14ac:dyDescent="0.45">
      <c r="A14" s="12" t="s">
        <v>29</v>
      </c>
      <c r="C14" s="6" t="s">
        <v>287</v>
      </c>
      <c r="E14" s="4">
        <v>14265950</v>
      </c>
      <c r="G14" s="4">
        <v>135</v>
      </c>
      <c r="N14" s="6"/>
      <c r="O14" s="4">
        <v>1925903250</v>
      </c>
      <c r="Q14" s="4">
        <v>0</v>
      </c>
      <c r="S14" s="4">
        <v>1925903250</v>
      </c>
    </row>
    <row r="15" spans="1:19" ht="18.75" x14ac:dyDescent="0.45">
      <c r="A15" s="12" t="s">
        <v>288</v>
      </c>
      <c r="C15" s="6" t="s">
        <v>289</v>
      </c>
      <c r="E15" s="4">
        <v>500000</v>
      </c>
      <c r="G15" s="4">
        <v>1425</v>
      </c>
      <c r="N15" s="6"/>
      <c r="O15" s="4">
        <v>712500000</v>
      </c>
      <c r="Q15" s="4">
        <v>0</v>
      </c>
      <c r="S15" s="4">
        <v>712500000</v>
      </c>
    </row>
    <row r="16" spans="1:19" ht="18.75" x14ac:dyDescent="0.45">
      <c r="A16" s="12" t="s">
        <v>32</v>
      </c>
      <c r="C16" s="6" t="s">
        <v>290</v>
      </c>
      <c r="E16" s="4">
        <v>1750000</v>
      </c>
      <c r="G16" s="4">
        <v>400</v>
      </c>
      <c r="N16" s="6"/>
      <c r="O16" s="4">
        <v>700000000</v>
      </c>
      <c r="Q16" s="4">
        <v>0</v>
      </c>
      <c r="S16" s="4">
        <v>700000000</v>
      </c>
    </row>
    <row r="17" spans="1:19" ht="18.75" x14ac:dyDescent="0.45">
      <c r="A17" s="12" t="s">
        <v>33</v>
      </c>
      <c r="C17" s="6" t="s">
        <v>291</v>
      </c>
      <c r="E17" s="4">
        <v>13509504</v>
      </c>
      <c r="G17" s="4">
        <v>50</v>
      </c>
      <c r="N17" s="6"/>
      <c r="O17" s="4">
        <v>675475200</v>
      </c>
      <c r="Q17" s="4">
        <v>0</v>
      </c>
      <c r="S17" s="4">
        <v>675475200</v>
      </c>
    </row>
    <row r="18" spans="1:19" ht="18.75" x14ac:dyDescent="0.45">
      <c r="A18" s="12" t="s">
        <v>44</v>
      </c>
      <c r="C18" s="6" t="s">
        <v>292</v>
      </c>
      <c r="E18" s="4">
        <v>1562500</v>
      </c>
      <c r="G18" s="4">
        <v>440</v>
      </c>
      <c r="N18" s="6"/>
      <c r="O18" s="4">
        <v>687500000</v>
      </c>
      <c r="Q18" s="4">
        <v>0</v>
      </c>
      <c r="S18" s="4">
        <v>687500000</v>
      </c>
    </row>
    <row r="19" spans="1:19" ht="18.75" x14ac:dyDescent="0.45">
      <c r="A19" s="12" t="s">
        <v>48</v>
      </c>
      <c r="C19" s="6" t="s">
        <v>293</v>
      </c>
      <c r="E19" s="4">
        <v>8400000</v>
      </c>
      <c r="G19" s="4">
        <v>50</v>
      </c>
      <c r="N19" s="6"/>
      <c r="O19" s="4">
        <v>420000000</v>
      </c>
      <c r="Q19" s="4">
        <v>-9832776</v>
      </c>
      <c r="S19" s="4">
        <v>410167224</v>
      </c>
    </row>
    <row r="20" spans="1:19" ht="18.75" x14ac:dyDescent="0.45">
      <c r="A20" s="12" t="s">
        <v>49</v>
      </c>
      <c r="C20" s="6" t="s">
        <v>294</v>
      </c>
      <c r="E20" s="4">
        <v>18000000</v>
      </c>
      <c r="G20" s="4">
        <v>1000</v>
      </c>
      <c r="N20" s="6"/>
      <c r="O20" s="4">
        <v>18000000000</v>
      </c>
      <c r="Q20" s="4">
        <v>0</v>
      </c>
      <c r="S20" s="4">
        <v>18000000000</v>
      </c>
    </row>
    <row r="21" spans="1:19" ht="18.75" x14ac:dyDescent="0.45">
      <c r="A21" s="12" t="s">
        <v>295</v>
      </c>
      <c r="C21" s="6" t="s">
        <v>296</v>
      </c>
      <c r="E21" s="4">
        <v>4739606</v>
      </c>
      <c r="G21" s="4">
        <v>460</v>
      </c>
      <c r="N21" s="6"/>
      <c r="O21" s="4">
        <v>2180218760</v>
      </c>
      <c r="Q21" s="4">
        <v>0</v>
      </c>
      <c r="S21" s="4">
        <v>2180218760</v>
      </c>
    </row>
    <row r="22" spans="1:19" ht="18.75" x14ac:dyDescent="0.45">
      <c r="A22" s="12" t="s">
        <v>52</v>
      </c>
      <c r="C22" s="6" t="s">
        <v>289</v>
      </c>
      <c r="E22" s="4">
        <v>9127149</v>
      </c>
      <c r="G22" s="4">
        <v>167</v>
      </c>
      <c r="N22" s="6"/>
      <c r="O22" s="4">
        <v>1524233883</v>
      </c>
      <c r="Q22" s="4">
        <v>0</v>
      </c>
      <c r="S22" s="4">
        <v>1524233883</v>
      </c>
    </row>
    <row r="23" spans="1:19" ht="37.5" x14ac:dyDescent="0.45">
      <c r="A23" s="12" t="s">
        <v>54</v>
      </c>
      <c r="C23" s="6" t="s">
        <v>297</v>
      </c>
      <c r="E23" s="4">
        <v>842177</v>
      </c>
      <c r="G23" s="4">
        <v>35</v>
      </c>
      <c r="N23" s="6"/>
      <c r="O23" s="4">
        <v>29476195</v>
      </c>
      <c r="Q23" s="4">
        <v>0</v>
      </c>
      <c r="S23" s="4">
        <v>29476195</v>
      </c>
    </row>
    <row r="24" spans="1:19" ht="37.5" x14ac:dyDescent="0.45">
      <c r="A24" s="12" t="s">
        <v>60</v>
      </c>
      <c r="C24" s="6" t="s">
        <v>298</v>
      </c>
      <c r="E24" s="4">
        <v>6645110</v>
      </c>
      <c r="G24" s="4">
        <v>1600</v>
      </c>
      <c r="N24" s="6"/>
      <c r="O24" s="4">
        <v>10632176000</v>
      </c>
      <c r="Q24" s="4">
        <v>0</v>
      </c>
      <c r="S24" s="4">
        <v>10632176000</v>
      </c>
    </row>
    <row r="25" spans="1:19" ht="18.75" x14ac:dyDescent="0.45">
      <c r="A25" s="12" t="s">
        <v>61</v>
      </c>
      <c r="C25" s="6" t="s">
        <v>299</v>
      </c>
      <c r="E25" s="4">
        <v>1000000</v>
      </c>
      <c r="G25" s="4">
        <v>600</v>
      </c>
      <c r="N25" s="6"/>
      <c r="O25" s="4">
        <v>600000000</v>
      </c>
      <c r="Q25" s="4">
        <v>0</v>
      </c>
      <c r="S25" s="4">
        <v>600000000</v>
      </c>
    </row>
    <row r="26" spans="1:19" ht="18.75" x14ac:dyDescent="0.45">
      <c r="A26" s="12" t="s">
        <v>63</v>
      </c>
      <c r="C26" s="6" t="s">
        <v>300</v>
      </c>
      <c r="E26" s="4">
        <v>31806527</v>
      </c>
      <c r="G26" s="4">
        <v>120</v>
      </c>
      <c r="N26" s="6"/>
      <c r="O26" s="4">
        <v>3816783240</v>
      </c>
      <c r="Q26" s="4">
        <v>0</v>
      </c>
      <c r="S26" s="4">
        <v>3816783240</v>
      </c>
    </row>
    <row r="27" spans="1:19" ht="37.5" x14ac:dyDescent="0.45">
      <c r="A27" s="12" t="s">
        <v>65</v>
      </c>
      <c r="C27" s="6" t="s">
        <v>301</v>
      </c>
      <c r="E27" s="4">
        <v>4807801</v>
      </c>
      <c r="G27" s="4">
        <v>1055</v>
      </c>
      <c r="I27" s="4">
        <v>5072230055</v>
      </c>
      <c r="K27" s="4">
        <v>-364375077</v>
      </c>
      <c r="M27" s="4">
        <v>4707854978</v>
      </c>
      <c r="O27" s="4">
        <v>5072230055</v>
      </c>
      <c r="Q27" s="4">
        <v>-308022405</v>
      </c>
      <c r="S27" s="4">
        <v>4764207650</v>
      </c>
    </row>
    <row r="28" spans="1:19" ht="18.75" x14ac:dyDescent="0.45">
      <c r="A28" s="12" t="s">
        <v>66</v>
      </c>
      <c r="C28" s="6" t="s">
        <v>302</v>
      </c>
      <c r="E28" s="4">
        <v>236747</v>
      </c>
      <c r="G28" s="4">
        <v>2300</v>
      </c>
      <c r="N28" s="6"/>
      <c r="O28" s="4">
        <v>544518100</v>
      </c>
      <c r="Q28" s="4">
        <v>0</v>
      </c>
      <c r="S28" s="4">
        <v>544518100</v>
      </c>
    </row>
    <row r="29" spans="1:19" ht="18.75" x14ac:dyDescent="0.45">
      <c r="A29" s="12" t="s">
        <v>70</v>
      </c>
      <c r="C29" s="6" t="s">
        <v>292</v>
      </c>
      <c r="E29" s="4">
        <v>2773715</v>
      </c>
      <c r="G29" s="4">
        <v>5375</v>
      </c>
      <c r="N29" s="6"/>
      <c r="O29" s="4">
        <v>14908718125</v>
      </c>
      <c r="Q29" s="4">
        <v>0</v>
      </c>
      <c r="S29" s="4">
        <v>14908718125</v>
      </c>
    </row>
    <row r="30" spans="1:19" ht="37.5" x14ac:dyDescent="0.45">
      <c r="A30" s="12" t="s">
        <v>73</v>
      </c>
      <c r="C30" s="6" t="s">
        <v>303</v>
      </c>
      <c r="E30" s="4">
        <v>122374</v>
      </c>
      <c r="G30" s="4">
        <v>2400</v>
      </c>
      <c r="N30" s="6"/>
      <c r="O30" s="4">
        <v>293697600</v>
      </c>
      <c r="Q30" s="4">
        <v>0</v>
      </c>
      <c r="S30" s="4">
        <v>293697600</v>
      </c>
    </row>
    <row r="31" spans="1:19" ht="18.75" x14ac:dyDescent="0.45">
      <c r="A31" s="12" t="s">
        <v>75</v>
      </c>
      <c r="C31" s="6" t="s">
        <v>304</v>
      </c>
      <c r="E31" s="4">
        <v>2672602</v>
      </c>
      <c r="G31" s="4">
        <v>1150</v>
      </c>
      <c r="N31" s="6"/>
      <c r="O31" s="4">
        <v>3073492300</v>
      </c>
      <c r="Q31" s="4">
        <v>0</v>
      </c>
      <c r="S31" s="4">
        <v>3073492300</v>
      </c>
    </row>
    <row r="32" spans="1:19" ht="18.75" x14ac:dyDescent="0.45">
      <c r="A32" s="12" t="s">
        <v>76</v>
      </c>
      <c r="C32" s="6" t="s">
        <v>305</v>
      </c>
      <c r="E32" s="4">
        <v>27844387</v>
      </c>
      <c r="G32" s="4">
        <v>40</v>
      </c>
      <c r="N32" s="6"/>
      <c r="O32" s="4">
        <v>1113775480</v>
      </c>
      <c r="Q32" s="4">
        <v>0</v>
      </c>
      <c r="S32" s="4">
        <v>1113775480</v>
      </c>
    </row>
    <row r="33" spans="1:19" ht="37.5" x14ac:dyDescent="0.45">
      <c r="A33" s="12" t="s">
        <v>77</v>
      </c>
      <c r="C33" s="6" t="s">
        <v>284</v>
      </c>
      <c r="E33" s="4">
        <v>15167887</v>
      </c>
      <c r="G33" s="4">
        <v>266</v>
      </c>
      <c r="N33" s="6"/>
      <c r="O33" s="4">
        <v>4034657942</v>
      </c>
      <c r="Q33" s="4">
        <v>0</v>
      </c>
      <c r="S33" s="4">
        <v>4034657942</v>
      </c>
    </row>
    <row r="34" spans="1:19" ht="18.75" x14ac:dyDescent="0.45">
      <c r="A34" s="12" t="s">
        <v>306</v>
      </c>
      <c r="C34" s="6" t="s">
        <v>297</v>
      </c>
      <c r="E34" s="4">
        <v>10258397</v>
      </c>
      <c r="G34" s="4">
        <v>114</v>
      </c>
      <c r="N34" s="6"/>
      <c r="O34" s="4">
        <v>1169457258</v>
      </c>
      <c r="Q34" s="4">
        <v>0</v>
      </c>
      <c r="S34" s="4">
        <v>1169457258</v>
      </c>
    </row>
    <row r="35" spans="1:19" ht="37.5" x14ac:dyDescent="0.45">
      <c r="A35" s="12" t="s">
        <v>85</v>
      </c>
      <c r="C35" s="6" t="s">
        <v>307</v>
      </c>
      <c r="E35" s="4">
        <v>17200000</v>
      </c>
      <c r="G35" s="4">
        <v>190</v>
      </c>
      <c r="N35" s="6"/>
      <c r="O35" s="4">
        <v>3268000000</v>
      </c>
      <c r="Q35" s="4">
        <v>-65798658</v>
      </c>
      <c r="S35" s="4">
        <v>3202201342</v>
      </c>
    </row>
    <row r="36" spans="1:19" ht="37.5" x14ac:dyDescent="0.45">
      <c r="A36" s="12" t="s">
        <v>90</v>
      </c>
      <c r="C36" s="6" t="s">
        <v>308</v>
      </c>
      <c r="E36" s="4">
        <v>717391</v>
      </c>
      <c r="G36" s="4">
        <v>3870</v>
      </c>
      <c r="N36" s="6"/>
      <c r="O36" s="4">
        <v>2776303170</v>
      </c>
      <c r="Q36" s="4">
        <v>-88370393</v>
      </c>
      <c r="S36" s="4">
        <v>2687932777</v>
      </c>
    </row>
    <row r="37" spans="1:19" ht="37.5" x14ac:dyDescent="0.45">
      <c r="A37" s="12" t="s">
        <v>93</v>
      </c>
      <c r="C37" s="6" t="s">
        <v>309</v>
      </c>
      <c r="E37" s="4">
        <v>3250000</v>
      </c>
      <c r="G37" s="4">
        <v>170</v>
      </c>
      <c r="N37" s="6"/>
      <c r="O37" s="4">
        <v>552500000</v>
      </c>
      <c r="Q37" s="4">
        <v>0</v>
      </c>
      <c r="S37" s="4">
        <v>552500000</v>
      </c>
    </row>
    <row r="38" spans="1:19" ht="18.75" x14ac:dyDescent="0.45">
      <c r="A38" s="12" t="s">
        <v>310</v>
      </c>
      <c r="C38" s="6" t="s">
        <v>311</v>
      </c>
      <c r="E38" s="4">
        <v>1186353</v>
      </c>
      <c r="G38" s="4">
        <v>6810</v>
      </c>
      <c r="N38" s="6"/>
      <c r="O38" s="4">
        <v>8079063930</v>
      </c>
      <c r="Q38" s="4">
        <v>0</v>
      </c>
      <c r="S38" s="4">
        <v>8079063930</v>
      </c>
    </row>
    <row r="39" spans="1:19" ht="18.75" x14ac:dyDescent="0.45">
      <c r="A39" s="12" t="s">
        <v>96</v>
      </c>
      <c r="C39" s="6" t="s">
        <v>312</v>
      </c>
      <c r="E39" s="4">
        <v>100000</v>
      </c>
      <c r="G39" s="4">
        <v>14500</v>
      </c>
      <c r="N39" s="6"/>
      <c r="O39" s="4">
        <v>1450000000</v>
      </c>
      <c r="Q39" s="4">
        <v>0</v>
      </c>
      <c r="S39" s="4">
        <v>1450000000</v>
      </c>
    </row>
    <row r="40" spans="1:19" ht="18.75" x14ac:dyDescent="0.45">
      <c r="A40" s="12" t="s">
        <v>98</v>
      </c>
      <c r="C40" s="6" t="s">
        <v>294</v>
      </c>
      <c r="E40" s="4">
        <v>5530564</v>
      </c>
      <c r="G40" s="4">
        <v>1050</v>
      </c>
      <c r="N40" s="6"/>
      <c r="O40" s="4">
        <v>5807092200</v>
      </c>
      <c r="Q40" s="4">
        <v>0</v>
      </c>
      <c r="S40" s="4">
        <v>5807092200</v>
      </c>
    </row>
    <row r="41" spans="1:19" ht="18.75" x14ac:dyDescent="0.45">
      <c r="A41" s="12" t="s">
        <v>101</v>
      </c>
      <c r="C41" s="6" t="s">
        <v>313</v>
      </c>
      <c r="E41" s="4">
        <v>5799792</v>
      </c>
      <c r="G41" s="4">
        <v>1076</v>
      </c>
      <c r="N41" s="6"/>
      <c r="O41" s="4">
        <v>6240576192</v>
      </c>
      <c r="Q41" s="4">
        <v>0</v>
      </c>
      <c r="S41" s="4">
        <v>6240576192</v>
      </c>
    </row>
    <row r="42" spans="1:19" ht="18.75" x14ac:dyDescent="0.45">
      <c r="A42" s="12" t="s">
        <v>102</v>
      </c>
      <c r="C42" s="6" t="s">
        <v>314</v>
      </c>
      <c r="E42" s="4">
        <v>1518421</v>
      </c>
      <c r="G42" s="4">
        <v>1740</v>
      </c>
      <c r="I42" s="4">
        <v>2642052540</v>
      </c>
      <c r="K42" s="4">
        <v>-125812026</v>
      </c>
      <c r="M42" s="4">
        <v>2516240514</v>
      </c>
      <c r="O42" s="4">
        <v>2642052540</v>
      </c>
      <c r="Q42" s="4">
        <v>-125812026</v>
      </c>
      <c r="S42" s="4">
        <v>2516240514</v>
      </c>
    </row>
    <row r="43" spans="1:19" ht="18.75" x14ac:dyDescent="0.45">
      <c r="A43" s="12" t="s">
        <v>118</v>
      </c>
      <c r="C43" s="6" t="s">
        <v>315</v>
      </c>
      <c r="E43" s="4">
        <v>11000000</v>
      </c>
      <c r="G43" s="4">
        <v>150</v>
      </c>
      <c r="N43" s="6"/>
      <c r="O43" s="4">
        <v>1650000000</v>
      </c>
      <c r="Q43" s="4">
        <v>-63043478</v>
      </c>
      <c r="S43" s="4">
        <v>1586956522</v>
      </c>
    </row>
    <row r="44" spans="1:19" ht="18.75" x14ac:dyDescent="0.45">
      <c r="A44" s="12" t="s">
        <v>119</v>
      </c>
      <c r="C44" s="6" t="s">
        <v>316</v>
      </c>
      <c r="E44" s="4">
        <v>324775</v>
      </c>
      <c r="G44" s="4">
        <v>2720</v>
      </c>
      <c r="N44" s="6"/>
      <c r="O44" s="4">
        <v>883388000</v>
      </c>
      <c r="Q44" s="4">
        <v>-604646</v>
      </c>
      <c r="S44" s="4">
        <v>882783354</v>
      </c>
    </row>
    <row r="45" spans="1:19" ht="18.75" x14ac:dyDescent="0.45">
      <c r="A45" s="12" t="s">
        <v>120</v>
      </c>
      <c r="C45" s="6" t="s">
        <v>304</v>
      </c>
      <c r="E45" s="4">
        <v>9448213</v>
      </c>
      <c r="G45" s="4">
        <v>10</v>
      </c>
      <c r="N45" s="6"/>
      <c r="O45" s="4">
        <v>94482130</v>
      </c>
      <c r="Q45" s="4">
        <v>-1902325</v>
      </c>
      <c r="S45" s="4">
        <v>92579805</v>
      </c>
    </row>
    <row r="46" spans="1:19" ht="18.75" x14ac:dyDescent="0.45">
      <c r="A46" s="12" t="s">
        <v>317</v>
      </c>
      <c r="C46" s="6" t="s">
        <v>318</v>
      </c>
      <c r="E46" s="4">
        <v>10148510</v>
      </c>
      <c r="G46" s="4">
        <v>560</v>
      </c>
      <c r="N46" s="6"/>
      <c r="O46" s="4">
        <v>5683165600</v>
      </c>
      <c r="Q46" s="4">
        <v>0</v>
      </c>
      <c r="S46" s="4">
        <v>5683165600</v>
      </c>
    </row>
    <row r="47" spans="1:19" ht="18.75" x14ac:dyDescent="0.45">
      <c r="A47" s="12" t="s">
        <v>121</v>
      </c>
      <c r="C47" s="6" t="s">
        <v>319</v>
      </c>
      <c r="E47" s="4">
        <v>249996</v>
      </c>
      <c r="G47" s="4">
        <v>118</v>
      </c>
      <c r="N47" s="6"/>
      <c r="O47" s="4">
        <v>29499528</v>
      </c>
      <c r="Q47" s="4">
        <v>0</v>
      </c>
      <c r="S47" s="4">
        <v>29499528</v>
      </c>
    </row>
    <row r="48" spans="1:19" ht="18.75" x14ac:dyDescent="0.45">
      <c r="A48" s="12" t="s">
        <v>123</v>
      </c>
      <c r="C48" s="6" t="s">
        <v>294</v>
      </c>
      <c r="E48" s="4">
        <v>3600000</v>
      </c>
      <c r="G48" s="4">
        <v>300</v>
      </c>
      <c r="N48" s="6"/>
      <c r="O48" s="4">
        <v>1080000000</v>
      </c>
      <c r="Q48" s="4">
        <v>0</v>
      </c>
      <c r="S48" s="4">
        <v>1080000000</v>
      </c>
    </row>
    <row r="49" spans="1:19" ht="18.75" x14ac:dyDescent="0.45">
      <c r="A49" s="12" t="s">
        <v>127</v>
      </c>
      <c r="C49" s="6" t="s">
        <v>319</v>
      </c>
      <c r="E49" s="4">
        <v>22264729</v>
      </c>
      <c r="G49" s="4">
        <v>310</v>
      </c>
      <c r="N49" s="6"/>
      <c r="O49" s="4">
        <v>6902065990</v>
      </c>
      <c r="Q49" s="4">
        <v>0</v>
      </c>
      <c r="S49" s="4">
        <v>6902065990</v>
      </c>
    </row>
    <row r="50" spans="1:19" ht="18.75" x14ac:dyDescent="0.45">
      <c r="A50" s="12" t="s">
        <v>128</v>
      </c>
      <c r="C50" s="6" t="s">
        <v>320</v>
      </c>
      <c r="E50" s="4">
        <v>9664654</v>
      </c>
      <c r="G50" s="4">
        <v>1430</v>
      </c>
      <c r="N50" s="6"/>
      <c r="O50" s="4">
        <v>13820455220</v>
      </c>
      <c r="Q50" s="4">
        <v>0</v>
      </c>
      <c r="S50" s="4">
        <v>13820455220</v>
      </c>
    </row>
    <row r="51" spans="1:19" ht="18.75" x14ac:dyDescent="0.45">
      <c r="A51" s="12" t="s">
        <v>131</v>
      </c>
      <c r="C51" s="6" t="s">
        <v>297</v>
      </c>
      <c r="E51" s="4">
        <v>14021442</v>
      </c>
      <c r="G51" s="4">
        <v>500</v>
      </c>
      <c r="N51" s="6"/>
      <c r="O51" s="4">
        <v>7010721000</v>
      </c>
      <c r="Q51" s="4">
        <v>0</v>
      </c>
      <c r="S51" s="4">
        <v>7010721000</v>
      </c>
    </row>
    <row r="52" spans="1:19" ht="18.75" x14ac:dyDescent="0.45">
      <c r="A52" s="12" t="s">
        <v>321</v>
      </c>
      <c r="C52" s="6" t="s">
        <v>322</v>
      </c>
      <c r="E52" s="4">
        <v>800000</v>
      </c>
      <c r="G52" s="4">
        <v>730</v>
      </c>
      <c r="N52" s="6"/>
      <c r="O52" s="4">
        <v>584000000</v>
      </c>
      <c r="Q52" s="4">
        <v>0</v>
      </c>
      <c r="S52" s="4">
        <v>584000000</v>
      </c>
    </row>
    <row r="53" spans="1:19" ht="18.75" x14ac:dyDescent="0.45">
      <c r="A53" s="12" t="s">
        <v>140</v>
      </c>
      <c r="C53" s="6" t="s">
        <v>323</v>
      </c>
      <c r="E53" s="4">
        <v>200000</v>
      </c>
      <c r="G53" s="4">
        <v>500</v>
      </c>
      <c r="N53" s="6"/>
      <c r="O53" s="4">
        <v>100000000</v>
      </c>
      <c r="Q53" s="4">
        <v>0</v>
      </c>
      <c r="S53" s="4">
        <v>100000000</v>
      </c>
    </row>
    <row r="54" spans="1:19" ht="18.75" x14ac:dyDescent="0.45">
      <c r="A54" s="12" t="s">
        <v>147</v>
      </c>
      <c r="C54" s="6" t="s">
        <v>324</v>
      </c>
      <c r="E54" s="4">
        <v>8231319</v>
      </c>
      <c r="G54" s="4">
        <v>400</v>
      </c>
      <c r="N54" s="6"/>
      <c r="O54" s="4">
        <v>3292527600</v>
      </c>
      <c r="Q54" s="4">
        <v>0</v>
      </c>
      <c r="S54" s="4">
        <v>3292527600</v>
      </c>
    </row>
    <row r="55" spans="1:19" ht="18.75" x14ac:dyDescent="0.45">
      <c r="A55" s="12" t="s">
        <v>150</v>
      </c>
      <c r="C55" s="6" t="s">
        <v>325</v>
      </c>
      <c r="E55" s="4">
        <v>1375942</v>
      </c>
      <c r="G55" s="4">
        <v>1000</v>
      </c>
      <c r="N55" s="6"/>
      <c r="O55" s="4">
        <v>1375942000</v>
      </c>
      <c r="Q55" s="4">
        <v>-64665681</v>
      </c>
      <c r="S55" s="4">
        <v>1311276319</v>
      </c>
    </row>
    <row r="56" spans="1:19" ht="18.75" x14ac:dyDescent="0.45">
      <c r="A56" s="12" t="s">
        <v>151</v>
      </c>
      <c r="C56" s="6" t="s">
        <v>294</v>
      </c>
      <c r="E56" s="4">
        <v>6256631</v>
      </c>
      <c r="G56" s="4">
        <v>700</v>
      </c>
      <c r="N56" s="6"/>
      <c r="O56" s="4">
        <v>4379641700</v>
      </c>
      <c r="Q56" s="4">
        <v>0</v>
      </c>
      <c r="S56" s="4">
        <v>4379641700</v>
      </c>
    </row>
    <row r="57" spans="1:19" ht="18.75" x14ac:dyDescent="0.45">
      <c r="A57" s="12" t="s">
        <v>152</v>
      </c>
      <c r="C57" s="6" t="s">
        <v>326</v>
      </c>
      <c r="E57" s="4">
        <v>241083</v>
      </c>
      <c r="G57" s="4">
        <v>850</v>
      </c>
      <c r="I57" s="4">
        <v>204920550</v>
      </c>
      <c r="K57" s="4">
        <v>-9758121</v>
      </c>
      <c r="M57" s="4">
        <v>195162429</v>
      </c>
      <c r="O57" s="4">
        <v>204920550</v>
      </c>
      <c r="Q57" s="4">
        <v>-9758121</v>
      </c>
      <c r="S57" s="4">
        <v>195162429</v>
      </c>
    </row>
    <row r="58" spans="1:19" ht="18.75" x14ac:dyDescent="0.45">
      <c r="A58" s="12" t="s">
        <v>153</v>
      </c>
      <c r="C58" s="6" t="s">
        <v>291</v>
      </c>
      <c r="E58" s="4">
        <v>3129644</v>
      </c>
      <c r="G58" s="4">
        <v>73</v>
      </c>
      <c r="N58" s="6"/>
      <c r="O58" s="4">
        <v>228464012</v>
      </c>
      <c r="Q58" s="4">
        <v>0</v>
      </c>
      <c r="S58" s="4">
        <v>228464012</v>
      </c>
    </row>
    <row r="59" spans="1:19" ht="18.75" x14ac:dyDescent="0.45">
      <c r="A59" s="12" t="s">
        <v>155</v>
      </c>
      <c r="C59" s="6" t="s">
        <v>294</v>
      </c>
      <c r="E59" s="4">
        <v>16300000</v>
      </c>
      <c r="G59" s="4">
        <v>800</v>
      </c>
      <c r="N59" s="6"/>
      <c r="O59" s="4">
        <v>13040000000</v>
      </c>
      <c r="Q59" s="4">
        <v>-563984273</v>
      </c>
      <c r="S59" s="4">
        <v>12476015727</v>
      </c>
    </row>
    <row r="60" spans="1:19" ht="18.75" x14ac:dyDescent="0.45">
      <c r="A60" s="12" t="s">
        <v>158</v>
      </c>
      <c r="C60" s="6" t="s">
        <v>299</v>
      </c>
      <c r="E60" s="4">
        <v>44699</v>
      </c>
      <c r="G60" s="4">
        <v>1300</v>
      </c>
      <c r="N60" s="6"/>
      <c r="O60" s="4">
        <v>58108700</v>
      </c>
      <c r="Q60" s="4">
        <v>0</v>
      </c>
      <c r="S60" s="4">
        <v>58108700</v>
      </c>
    </row>
    <row r="61" spans="1:19" ht="18.75" x14ac:dyDescent="0.45">
      <c r="A61" s="12" t="s">
        <v>159</v>
      </c>
      <c r="C61" s="6" t="s">
        <v>290</v>
      </c>
      <c r="E61" s="4">
        <v>4274063</v>
      </c>
      <c r="G61" s="4">
        <v>670</v>
      </c>
      <c r="N61" s="6"/>
      <c r="O61" s="4">
        <v>2863622210</v>
      </c>
      <c r="Q61" s="4">
        <v>0</v>
      </c>
      <c r="S61" s="4">
        <v>2863622210</v>
      </c>
    </row>
    <row r="62" spans="1:19" ht="18.75" x14ac:dyDescent="0.45">
      <c r="A62" s="12" t="s">
        <v>160</v>
      </c>
      <c r="C62" s="6" t="s">
        <v>327</v>
      </c>
      <c r="E62" s="4">
        <v>250000</v>
      </c>
      <c r="G62" s="4">
        <v>1480</v>
      </c>
      <c r="N62" s="6"/>
      <c r="O62" s="4">
        <v>370000000</v>
      </c>
      <c r="Q62" s="4">
        <v>0</v>
      </c>
      <c r="S62" s="4">
        <v>370000000</v>
      </c>
    </row>
    <row r="63" spans="1:19" ht="18.75" x14ac:dyDescent="0.45">
      <c r="A63" s="12" t="s">
        <v>161</v>
      </c>
      <c r="C63" s="6" t="s">
        <v>296</v>
      </c>
      <c r="E63" s="4">
        <v>15800000</v>
      </c>
      <c r="G63" s="4">
        <v>1400</v>
      </c>
      <c r="N63" s="6"/>
      <c r="O63" s="4">
        <v>22120000000</v>
      </c>
      <c r="Q63" s="4">
        <v>0</v>
      </c>
      <c r="S63" s="4">
        <v>22120000000</v>
      </c>
    </row>
    <row r="64" spans="1:19" ht="37.5" x14ac:dyDescent="0.45">
      <c r="A64" s="12" t="s">
        <v>164</v>
      </c>
      <c r="C64" s="6" t="s">
        <v>328</v>
      </c>
      <c r="E64" s="4">
        <v>6668802</v>
      </c>
      <c r="G64" s="4">
        <v>350</v>
      </c>
      <c r="N64" s="6"/>
      <c r="O64" s="4">
        <v>2334080700</v>
      </c>
      <c r="Q64" s="4">
        <v>0</v>
      </c>
      <c r="S64" s="4">
        <v>2334080700</v>
      </c>
    </row>
    <row r="65" spans="1:19" ht="18.75" x14ac:dyDescent="0.45">
      <c r="A65" s="12" t="s">
        <v>165</v>
      </c>
      <c r="C65" s="6" t="s">
        <v>294</v>
      </c>
      <c r="E65" s="4">
        <v>5155597</v>
      </c>
      <c r="G65" s="4">
        <v>380</v>
      </c>
      <c r="N65" s="6"/>
      <c r="O65" s="4">
        <v>1959126860</v>
      </c>
      <c r="Q65" s="4">
        <v>0</v>
      </c>
      <c r="S65" s="4">
        <v>1959126860</v>
      </c>
    </row>
    <row r="66" spans="1:19" ht="18.75" x14ac:dyDescent="0.45">
      <c r="A66" s="12" t="s">
        <v>167</v>
      </c>
      <c r="C66" s="6" t="s">
        <v>329</v>
      </c>
      <c r="E66" s="4">
        <v>2851893</v>
      </c>
      <c r="G66" s="4">
        <v>1050</v>
      </c>
      <c r="N66" s="6"/>
      <c r="O66" s="4">
        <v>2994487650</v>
      </c>
      <c r="Q66" s="4">
        <v>0</v>
      </c>
      <c r="S66" s="4">
        <v>2994487650</v>
      </c>
    </row>
    <row r="67" spans="1:19" ht="18.75" x14ac:dyDescent="0.45">
      <c r="A67" s="12" t="s">
        <v>330</v>
      </c>
      <c r="C67" s="6" t="s">
        <v>331</v>
      </c>
      <c r="E67" s="4">
        <v>1207911</v>
      </c>
      <c r="G67" s="4">
        <v>2600</v>
      </c>
      <c r="N67" s="6"/>
      <c r="O67" s="4">
        <v>3140568600</v>
      </c>
      <c r="Q67" s="4">
        <v>0</v>
      </c>
      <c r="S67" s="4">
        <v>3140568600</v>
      </c>
    </row>
    <row r="68" spans="1:19" ht="18.75" x14ac:dyDescent="0.45">
      <c r="A68" s="12" t="s">
        <v>332</v>
      </c>
      <c r="C68" s="6" t="s">
        <v>333</v>
      </c>
      <c r="E68" s="4">
        <v>411</v>
      </c>
      <c r="G68" s="4">
        <v>285</v>
      </c>
      <c r="N68" s="6"/>
      <c r="O68" s="4">
        <v>117135</v>
      </c>
      <c r="Q68" s="4">
        <v>0</v>
      </c>
      <c r="S68" s="4">
        <v>117135</v>
      </c>
    </row>
    <row r="69" spans="1:19" ht="37.5" x14ac:dyDescent="0.45">
      <c r="A69" s="12" t="s">
        <v>170</v>
      </c>
      <c r="C69" s="6" t="s">
        <v>283</v>
      </c>
      <c r="E69" s="4">
        <v>8036726</v>
      </c>
      <c r="G69" s="4">
        <v>410</v>
      </c>
      <c r="N69" s="6"/>
      <c r="O69" s="4">
        <v>3295057660</v>
      </c>
      <c r="Q69" s="4">
        <v>0</v>
      </c>
      <c r="S69" s="4">
        <v>3295057660</v>
      </c>
    </row>
    <row r="70" spans="1:19" ht="37.5" x14ac:dyDescent="0.45">
      <c r="A70" s="12" t="s">
        <v>171</v>
      </c>
      <c r="C70" s="6" t="s">
        <v>334</v>
      </c>
      <c r="E70" s="4">
        <v>700000</v>
      </c>
      <c r="G70" s="4">
        <v>722</v>
      </c>
      <c r="N70" s="6"/>
      <c r="O70" s="4">
        <v>505400000</v>
      </c>
      <c r="Q70" s="4">
        <v>0</v>
      </c>
      <c r="S70" s="4">
        <v>505400000</v>
      </c>
    </row>
    <row r="71" spans="1:19" ht="18.75" x14ac:dyDescent="0.45">
      <c r="A71" s="12" t="s">
        <v>175</v>
      </c>
      <c r="C71" s="6" t="s">
        <v>319</v>
      </c>
      <c r="E71" s="4">
        <v>10319249</v>
      </c>
      <c r="G71" s="4">
        <v>1000</v>
      </c>
      <c r="N71" s="6"/>
      <c r="O71" s="4">
        <v>10319249000</v>
      </c>
      <c r="Q71" s="4">
        <v>0</v>
      </c>
      <c r="S71" s="4">
        <v>10319249000</v>
      </c>
    </row>
    <row r="72" spans="1:19" ht="18.75" x14ac:dyDescent="0.45">
      <c r="A72" s="12" t="s">
        <v>176</v>
      </c>
      <c r="C72" s="6" t="s">
        <v>335</v>
      </c>
      <c r="E72" s="4">
        <v>1999999</v>
      </c>
      <c r="G72" s="4">
        <v>50</v>
      </c>
      <c r="N72" s="6"/>
      <c r="O72" s="4">
        <v>99999950</v>
      </c>
      <c r="Q72" s="4">
        <v>0</v>
      </c>
      <c r="S72" s="4">
        <v>99999950</v>
      </c>
    </row>
    <row r="73" spans="1:19" ht="18.75" x14ac:dyDescent="0.45">
      <c r="A73" s="12" t="s">
        <v>178</v>
      </c>
      <c r="C73" s="6" t="s">
        <v>284</v>
      </c>
      <c r="E73" s="4">
        <v>18635760</v>
      </c>
      <c r="G73" s="4">
        <v>390</v>
      </c>
      <c r="N73" s="6"/>
      <c r="O73" s="4">
        <v>7267946400</v>
      </c>
      <c r="Q73" s="4">
        <v>0</v>
      </c>
      <c r="S73" s="4">
        <v>7267946400</v>
      </c>
    </row>
    <row r="74" spans="1:19" ht="18.75" x14ac:dyDescent="0.45">
      <c r="A74" s="12" t="s">
        <v>180</v>
      </c>
      <c r="C74" s="6" t="s">
        <v>336</v>
      </c>
      <c r="E74" s="4">
        <v>845414</v>
      </c>
      <c r="G74" s="4">
        <v>620</v>
      </c>
      <c r="N74" s="6"/>
      <c r="O74" s="4">
        <v>524156680</v>
      </c>
      <c r="Q74" s="4">
        <v>-17356181</v>
      </c>
      <c r="S74" s="4">
        <v>506800499</v>
      </c>
    </row>
    <row r="75" spans="1:19" ht="18.75" x14ac:dyDescent="0.45">
      <c r="A75" s="12" t="s">
        <v>337</v>
      </c>
      <c r="C75" s="6" t="s">
        <v>328</v>
      </c>
      <c r="E75" s="4">
        <v>177678</v>
      </c>
      <c r="G75" s="4">
        <v>4100</v>
      </c>
      <c r="N75" s="6"/>
      <c r="O75" s="4">
        <v>728479800</v>
      </c>
      <c r="Q75" s="4">
        <v>0</v>
      </c>
      <c r="S75" s="4">
        <v>728479800</v>
      </c>
    </row>
    <row r="76" spans="1:19" ht="37.5" x14ac:dyDescent="0.45">
      <c r="A76" s="12" t="s">
        <v>182</v>
      </c>
      <c r="C76" s="6" t="s">
        <v>338</v>
      </c>
      <c r="E76" s="4">
        <v>123</v>
      </c>
      <c r="G76" s="4">
        <v>400</v>
      </c>
      <c r="N76" s="6"/>
      <c r="O76" s="4">
        <v>49200</v>
      </c>
      <c r="Q76" s="4">
        <v>0</v>
      </c>
      <c r="S76" s="4">
        <v>49200</v>
      </c>
    </row>
    <row r="77" spans="1:19" ht="18.75" x14ac:dyDescent="0.45">
      <c r="A77" s="12" t="s">
        <v>186</v>
      </c>
      <c r="C77" s="6" t="s">
        <v>323</v>
      </c>
      <c r="E77" s="4">
        <v>2570924</v>
      </c>
      <c r="G77" s="4">
        <v>936</v>
      </c>
      <c r="N77" s="6"/>
      <c r="O77" s="4">
        <v>2406384864</v>
      </c>
      <c r="Q77" s="4">
        <v>0</v>
      </c>
      <c r="S77" s="4">
        <v>2406384864</v>
      </c>
    </row>
    <row r="78" spans="1:19" ht="18.75" x14ac:dyDescent="0.45">
      <c r="A78" s="12" t="s">
        <v>192</v>
      </c>
      <c r="C78" s="6" t="s">
        <v>339</v>
      </c>
      <c r="E78" s="4">
        <v>4613772</v>
      </c>
      <c r="G78" s="4">
        <v>220</v>
      </c>
      <c r="N78" s="6"/>
      <c r="O78" s="4">
        <v>1015029840</v>
      </c>
      <c r="Q78" s="4">
        <v>0</v>
      </c>
      <c r="S78" s="4">
        <v>1015029840</v>
      </c>
    </row>
    <row r="79" spans="1:19" ht="18.75" x14ac:dyDescent="0.45">
      <c r="A79" s="12" t="s">
        <v>196</v>
      </c>
      <c r="C79" s="6" t="s">
        <v>340</v>
      </c>
      <c r="E79" s="4">
        <v>6744759</v>
      </c>
      <c r="G79" s="4">
        <v>480</v>
      </c>
      <c r="N79" s="6"/>
      <c r="O79" s="4">
        <v>3237484320</v>
      </c>
      <c r="Q79" s="4">
        <v>0</v>
      </c>
      <c r="S79" s="4">
        <v>3237484320</v>
      </c>
    </row>
    <row r="80" spans="1:19" ht="18.75" x14ac:dyDescent="0.45">
      <c r="A80" s="12" t="s">
        <v>204</v>
      </c>
      <c r="C80" s="6" t="s">
        <v>294</v>
      </c>
      <c r="E80" s="4">
        <v>3500000</v>
      </c>
      <c r="G80" s="4">
        <v>2280</v>
      </c>
      <c r="N80" s="6"/>
      <c r="O80" s="4">
        <v>7980000000</v>
      </c>
      <c r="Q80" s="4">
        <v>0</v>
      </c>
      <c r="S80" s="4">
        <v>7980000000</v>
      </c>
    </row>
    <row r="81" spans="1:19" ht="18.75" x14ac:dyDescent="0.45">
      <c r="A81" s="12" t="s">
        <v>208</v>
      </c>
      <c r="C81" s="6" t="s">
        <v>341</v>
      </c>
      <c r="E81" s="4">
        <v>48341</v>
      </c>
      <c r="G81" s="4">
        <v>11000</v>
      </c>
      <c r="I81" s="4">
        <v>531751000</v>
      </c>
      <c r="K81" s="4">
        <v>0</v>
      </c>
      <c r="M81" s="4">
        <v>531751000</v>
      </c>
      <c r="O81" s="4">
        <v>3010453000</v>
      </c>
      <c r="Q81" s="4">
        <v>-17607649</v>
      </c>
      <c r="S81" s="4">
        <v>2992845351</v>
      </c>
    </row>
    <row r="82" spans="1:19" ht="18.75" x14ac:dyDescent="0.45">
      <c r="A82" s="12" t="s">
        <v>211</v>
      </c>
      <c r="C82" s="6" t="s">
        <v>342</v>
      </c>
      <c r="E82" s="4">
        <v>1947948</v>
      </c>
      <c r="G82" s="4">
        <v>5330</v>
      </c>
      <c r="N82" s="6"/>
      <c r="O82" s="4">
        <v>10382562840</v>
      </c>
      <c r="Q82" s="4">
        <v>0</v>
      </c>
      <c r="S82" s="4">
        <v>10382562840</v>
      </c>
    </row>
    <row r="83" spans="1:19" ht="37.5" x14ac:dyDescent="0.45">
      <c r="A83" s="12" t="s">
        <v>213</v>
      </c>
      <c r="C83" s="6" t="s">
        <v>319</v>
      </c>
      <c r="E83" s="4">
        <v>450000</v>
      </c>
      <c r="G83" s="4">
        <v>45</v>
      </c>
      <c r="N83" s="6"/>
      <c r="O83" s="4">
        <v>20250000</v>
      </c>
      <c r="Q83" s="4">
        <v>0</v>
      </c>
      <c r="S83" s="4">
        <v>20250000</v>
      </c>
    </row>
    <row r="84" spans="1:19" ht="18.75" x14ac:dyDescent="0.45">
      <c r="A84" s="12" t="s">
        <v>217</v>
      </c>
      <c r="C84" s="6" t="s">
        <v>307</v>
      </c>
      <c r="E84" s="4">
        <v>4067894</v>
      </c>
      <c r="G84" s="4">
        <v>200</v>
      </c>
      <c r="N84" s="6"/>
      <c r="O84" s="4">
        <v>813578800</v>
      </c>
      <c r="Q84" s="4">
        <v>-31600493</v>
      </c>
      <c r="S84" s="4">
        <v>781978307</v>
      </c>
    </row>
    <row r="85" spans="1:19" ht="18.75" x14ac:dyDescent="0.45">
      <c r="A85" s="12" t="s">
        <v>221</v>
      </c>
      <c r="C85" s="6" t="s">
        <v>343</v>
      </c>
      <c r="E85" s="4">
        <v>2800000</v>
      </c>
      <c r="G85" s="4">
        <v>380</v>
      </c>
      <c r="N85" s="6"/>
      <c r="O85" s="4">
        <v>1064000000</v>
      </c>
      <c r="Q85" s="4">
        <v>0</v>
      </c>
      <c r="S85" s="4">
        <v>1064000000</v>
      </c>
    </row>
    <row r="86" spans="1:19" ht="18.75" x14ac:dyDescent="0.45">
      <c r="A86" s="7" t="s">
        <v>225</v>
      </c>
      <c r="I86" s="7">
        <f>SUM(I9:$I$85)</f>
        <v>8450954145</v>
      </c>
      <c r="K86" s="7">
        <f>SUM(K9:$K$85)</f>
        <v>-499945224</v>
      </c>
      <c r="M86" s="7">
        <f>SUM(M9:$M$85)</f>
        <v>7951008921</v>
      </c>
      <c r="O86" s="7">
        <f>SUM(O9:$O$85)</f>
        <v>261478960755</v>
      </c>
      <c r="Q86" s="7">
        <f>SUM(Q9:$Q$85)</f>
        <v>-1368359105</v>
      </c>
      <c r="S86" s="7">
        <f>SUM(S9:$S$85)</f>
        <v>260110601650</v>
      </c>
    </row>
    <row r="87" spans="1:19" ht="18.75" x14ac:dyDescent="0.45">
      <c r="I87" s="9"/>
      <c r="K87" s="9"/>
      <c r="M87" s="9"/>
      <c r="O87" s="9"/>
      <c r="Q87" s="9"/>
      <c r="S87" s="9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rightToLeft="1" view="pageBreakPreview" topLeftCell="A2" zoomScale="87" zoomScaleNormal="100" zoomScaleSheetLayoutView="87" workbookViewId="0">
      <selection activeCell="AM35" sqref="AM35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4.140625" style="1" customWidth="1"/>
    <col min="6" max="6" width="1.42578125" style="1" customWidth="1"/>
    <col min="7" max="7" width="18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6384" width="9.140625" style="1"/>
  </cols>
  <sheetData>
    <row r="1" spans="1:13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20.100000000000001" customHeight="1" x14ac:dyDescent="0.45">
      <c r="A2" s="34" t="s">
        <v>263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5" spans="1:13" ht="21" x14ac:dyDescent="0.45">
      <c r="A5" s="35" t="s">
        <v>344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7" spans="1:13" ht="21" x14ac:dyDescent="0.45">
      <c r="C7" s="28" t="s">
        <v>275</v>
      </c>
      <c r="D7" s="29"/>
      <c r="E7" s="29"/>
      <c r="F7" s="29"/>
      <c r="G7" s="29"/>
      <c r="I7" s="28" t="s">
        <v>7</v>
      </c>
      <c r="J7" s="29"/>
      <c r="K7" s="29"/>
      <c r="L7" s="29"/>
      <c r="M7" s="29"/>
    </row>
    <row r="8" spans="1:13" ht="21" x14ac:dyDescent="0.45">
      <c r="A8" s="13" t="s">
        <v>265</v>
      </c>
      <c r="C8" s="11" t="s">
        <v>345</v>
      </c>
      <c r="E8" s="11" t="s">
        <v>280</v>
      </c>
      <c r="G8" s="11" t="s">
        <v>346</v>
      </c>
      <c r="I8" s="11" t="s">
        <v>345</v>
      </c>
      <c r="K8" s="11" t="s">
        <v>280</v>
      </c>
      <c r="M8" s="11" t="s">
        <v>346</v>
      </c>
    </row>
    <row r="9" spans="1:13" ht="18.75" x14ac:dyDescent="0.45">
      <c r="A9" s="20" t="s">
        <v>409</v>
      </c>
      <c r="C9" s="4">
        <v>31182</v>
      </c>
      <c r="E9" s="4">
        <v>0</v>
      </c>
      <c r="G9" s="4">
        <v>31182</v>
      </c>
      <c r="I9" s="4">
        <v>300209</v>
      </c>
      <c r="K9" s="4">
        <v>0</v>
      </c>
      <c r="M9" s="4">
        <v>300209</v>
      </c>
    </row>
    <row r="10" spans="1:13" ht="18.75" x14ac:dyDescent="0.45">
      <c r="A10" s="20" t="s">
        <v>410</v>
      </c>
      <c r="C10" s="4">
        <v>2394617470</v>
      </c>
      <c r="E10" s="4">
        <v>0</v>
      </c>
      <c r="G10" s="4">
        <v>2394617470</v>
      </c>
      <c r="I10" s="4">
        <v>12078132197</v>
      </c>
      <c r="K10" s="4">
        <v>0</v>
      </c>
      <c r="M10" s="4">
        <v>12078132197</v>
      </c>
    </row>
    <row r="11" spans="1:13" ht="18.75" x14ac:dyDescent="0.45">
      <c r="A11" s="20" t="s">
        <v>411</v>
      </c>
      <c r="C11" s="4">
        <v>5862</v>
      </c>
      <c r="E11" s="4">
        <v>0</v>
      </c>
      <c r="G11" s="4">
        <v>5862</v>
      </c>
      <c r="I11" s="4">
        <v>3169333</v>
      </c>
      <c r="K11" s="4">
        <v>0</v>
      </c>
      <c r="M11" s="4">
        <v>3169333</v>
      </c>
    </row>
    <row r="12" spans="1:13" ht="18.75" x14ac:dyDescent="0.45">
      <c r="A12" s="20" t="s">
        <v>412</v>
      </c>
      <c r="C12" s="4">
        <v>30930</v>
      </c>
      <c r="E12" s="4">
        <v>0</v>
      </c>
      <c r="G12" s="4">
        <v>30930</v>
      </c>
      <c r="I12" s="4">
        <v>11364838</v>
      </c>
      <c r="K12" s="4">
        <v>0</v>
      </c>
      <c r="M12" s="4">
        <v>11364838</v>
      </c>
    </row>
    <row r="13" spans="1:13" ht="18.75" x14ac:dyDescent="0.45">
      <c r="A13" s="20" t="s">
        <v>413</v>
      </c>
      <c r="C13" s="4">
        <v>66797</v>
      </c>
      <c r="E13" s="4">
        <v>0</v>
      </c>
      <c r="G13" s="4">
        <v>66797</v>
      </c>
      <c r="I13" s="4">
        <v>604810</v>
      </c>
      <c r="K13" s="4">
        <v>0</v>
      </c>
      <c r="M13" s="4">
        <v>604810</v>
      </c>
    </row>
    <row r="14" spans="1:13" ht="18.75" x14ac:dyDescent="0.45">
      <c r="A14" s="20" t="s">
        <v>414</v>
      </c>
      <c r="C14" s="4">
        <v>138218</v>
      </c>
      <c r="E14" s="4">
        <v>0</v>
      </c>
      <c r="G14" s="4">
        <v>138218</v>
      </c>
      <c r="I14" s="4">
        <v>4067003</v>
      </c>
      <c r="K14" s="4">
        <v>0</v>
      </c>
      <c r="M14" s="4">
        <v>4067003</v>
      </c>
    </row>
    <row r="15" spans="1:13" ht="18.75" x14ac:dyDescent="0.45">
      <c r="A15" s="20" t="s">
        <v>415</v>
      </c>
      <c r="C15" s="4">
        <v>37429</v>
      </c>
      <c r="E15" s="4">
        <v>0</v>
      </c>
      <c r="G15" s="4">
        <v>37429</v>
      </c>
      <c r="I15" s="4">
        <v>320831</v>
      </c>
      <c r="K15" s="4">
        <v>0</v>
      </c>
      <c r="M15" s="4">
        <v>320831</v>
      </c>
    </row>
    <row r="16" spans="1:13" ht="19.5" thickBot="1" x14ac:dyDescent="0.5">
      <c r="A16" s="7" t="s">
        <v>225</v>
      </c>
      <c r="C16" s="7">
        <f>SUM(C9:$C$15)</f>
        <v>2394927888</v>
      </c>
      <c r="E16" s="7">
        <f>SUM(E9:$E$15)</f>
        <v>0</v>
      </c>
      <c r="G16" s="7">
        <f>SUM(G9:$G$15)</f>
        <v>2394927888</v>
      </c>
      <c r="I16" s="7">
        <f>SUM(I9:$I$15)</f>
        <v>12097959221</v>
      </c>
      <c r="K16" s="7">
        <f>SUM(K9:$K$15)</f>
        <v>0</v>
      </c>
      <c r="M16" s="7">
        <f>SUM(M9:$M$15)</f>
        <v>12097959221</v>
      </c>
    </row>
    <row r="17" spans="3:13" ht="19.5" thickTop="1" x14ac:dyDescent="0.45">
      <c r="C17" s="9"/>
      <c r="E17" s="9"/>
      <c r="G17" s="9"/>
      <c r="I17" s="9"/>
      <c r="K17" s="9"/>
      <c r="M17" s="9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56"/>
  <sheetViews>
    <sheetView rightToLeft="1" view="pageBreakPreview" zoomScale="84" zoomScaleNormal="100" zoomScaleSheetLayoutView="84" workbookViewId="0">
      <selection activeCell="AM35" sqref="AM35"/>
    </sheetView>
  </sheetViews>
  <sheetFormatPr defaultRowHeight="18" x14ac:dyDescent="0.45"/>
  <cols>
    <col min="1" max="1" width="21.85546875" style="1" bestFit="1" customWidth="1"/>
    <col min="2" max="2" width="1.42578125" style="1" customWidth="1"/>
    <col min="3" max="3" width="12.28515625" style="1" customWidth="1"/>
    <col min="4" max="4" width="1.42578125" style="1" customWidth="1"/>
    <col min="5" max="5" width="18.28515625" style="1" bestFit="1" customWidth="1"/>
    <col min="6" max="6" width="1.42578125" style="1" customWidth="1"/>
    <col min="7" max="7" width="18.28515625" style="1" bestFit="1" customWidth="1"/>
    <col min="8" max="8" width="1.42578125" style="1" customWidth="1"/>
    <col min="9" max="9" width="17" style="1" customWidth="1"/>
    <col min="10" max="10" width="1.42578125" style="1" customWidth="1"/>
    <col min="11" max="11" width="14" style="1" bestFit="1" customWidth="1"/>
    <col min="12" max="12" width="1.42578125" style="1" customWidth="1"/>
    <col min="13" max="13" width="19.42578125" style="1" bestFit="1" customWidth="1"/>
    <col min="14" max="14" width="1.42578125" style="1" customWidth="1"/>
    <col min="15" max="15" width="19.85546875" style="1" bestFit="1" customWidth="1"/>
    <col min="16" max="16" width="1.42578125" style="1" customWidth="1"/>
    <col min="17" max="17" width="17.7109375" style="1" bestFit="1" customWidth="1"/>
    <col min="18" max="16384" width="9.140625" style="1"/>
  </cols>
  <sheetData>
    <row r="1" spans="1:1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0.100000000000001" customHeight="1" x14ac:dyDescent="0.45">
      <c r="A2" s="34" t="s">
        <v>263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5" spans="1:17" ht="21" x14ac:dyDescent="0.45">
      <c r="A5" s="35" t="s">
        <v>347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7" spans="1:17" ht="21" x14ac:dyDescent="0.45">
      <c r="C7" s="28" t="s">
        <v>275</v>
      </c>
      <c r="D7" s="29"/>
      <c r="E7" s="29"/>
      <c r="F7" s="29"/>
      <c r="G7" s="29"/>
      <c r="H7" s="29"/>
      <c r="I7" s="29"/>
      <c r="K7" s="28" t="s">
        <v>7</v>
      </c>
      <c r="L7" s="29"/>
      <c r="M7" s="29"/>
      <c r="N7" s="29"/>
      <c r="O7" s="29"/>
      <c r="P7" s="29"/>
      <c r="Q7" s="29"/>
    </row>
    <row r="8" spans="1:17" ht="42" x14ac:dyDescent="0.45">
      <c r="A8" s="13" t="s">
        <v>265</v>
      </c>
      <c r="C8" s="11" t="s">
        <v>9</v>
      </c>
      <c r="E8" s="11" t="s">
        <v>11</v>
      </c>
      <c r="G8" s="11" t="s">
        <v>348</v>
      </c>
      <c r="I8" s="11" t="s">
        <v>349</v>
      </c>
      <c r="K8" s="11" t="s">
        <v>9</v>
      </c>
      <c r="M8" s="11" t="s">
        <v>11</v>
      </c>
      <c r="O8" s="11" t="s">
        <v>348</v>
      </c>
      <c r="Q8" s="11" t="s">
        <v>349</v>
      </c>
    </row>
    <row r="9" spans="1:17" ht="18.75" x14ac:dyDescent="0.45">
      <c r="A9" s="12" t="s">
        <v>17</v>
      </c>
      <c r="J9" s="6"/>
      <c r="K9" s="4">
        <v>10400</v>
      </c>
      <c r="M9" s="4">
        <v>95937785</v>
      </c>
      <c r="O9" s="4">
        <v>87067836</v>
      </c>
      <c r="Q9" s="4">
        <v>8869949</v>
      </c>
    </row>
    <row r="10" spans="1:17" ht="18.75" x14ac:dyDescent="0.45">
      <c r="A10" s="12" t="s">
        <v>18</v>
      </c>
      <c r="J10" s="6"/>
      <c r="K10" s="4">
        <v>75</v>
      </c>
      <c r="M10" s="4">
        <v>7507566</v>
      </c>
      <c r="O10" s="4">
        <v>4739180</v>
      </c>
      <c r="Q10" s="4">
        <v>2768386</v>
      </c>
    </row>
    <row r="11" spans="1:17" ht="18.75" x14ac:dyDescent="0.45">
      <c r="A11" s="12" t="s">
        <v>21</v>
      </c>
      <c r="C11" s="4">
        <v>1033332</v>
      </c>
      <c r="E11" s="4">
        <v>4676176480</v>
      </c>
      <c r="G11" s="4">
        <v>4452995897</v>
      </c>
      <c r="I11" s="4">
        <v>223180583</v>
      </c>
      <c r="K11" s="4">
        <v>1871432</v>
      </c>
      <c r="M11" s="4">
        <v>8310873569</v>
      </c>
      <c r="O11" s="4">
        <v>8032213706</v>
      </c>
      <c r="Q11" s="4">
        <v>278659863</v>
      </c>
    </row>
    <row r="12" spans="1:17" ht="18.75" x14ac:dyDescent="0.45">
      <c r="A12" s="12" t="s">
        <v>23</v>
      </c>
      <c r="J12" s="6"/>
      <c r="K12" s="4">
        <v>6847087</v>
      </c>
      <c r="M12" s="4">
        <v>29901025067</v>
      </c>
      <c r="O12" s="4">
        <v>29115540893</v>
      </c>
      <c r="Q12" s="4">
        <v>785484174</v>
      </c>
    </row>
    <row r="13" spans="1:17" ht="18.75" x14ac:dyDescent="0.45">
      <c r="A13" s="12" t="s">
        <v>24</v>
      </c>
      <c r="J13" s="6"/>
      <c r="K13" s="4">
        <v>697410</v>
      </c>
      <c r="M13" s="4">
        <v>6292796240</v>
      </c>
      <c r="O13" s="4">
        <v>5744125774</v>
      </c>
      <c r="Q13" s="4">
        <v>548670466</v>
      </c>
    </row>
    <row r="14" spans="1:17" ht="18.75" x14ac:dyDescent="0.45">
      <c r="A14" s="12" t="s">
        <v>25</v>
      </c>
      <c r="C14" s="4">
        <v>2000000</v>
      </c>
      <c r="E14" s="4">
        <v>9399174855</v>
      </c>
      <c r="G14" s="4">
        <v>7478351185</v>
      </c>
      <c r="I14" s="4">
        <v>1920823670</v>
      </c>
      <c r="K14" s="4">
        <v>3200000</v>
      </c>
      <c r="M14" s="4">
        <v>14461074647</v>
      </c>
      <c r="O14" s="4">
        <v>11978996325</v>
      </c>
      <c r="Q14" s="4">
        <v>2482078322</v>
      </c>
    </row>
    <row r="15" spans="1:17" ht="18.75" x14ac:dyDescent="0.45">
      <c r="A15" s="12" t="s">
        <v>27</v>
      </c>
      <c r="C15" s="4">
        <v>1435600</v>
      </c>
      <c r="E15" s="4">
        <v>3990315825</v>
      </c>
      <c r="G15" s="4">
        <v>4725525152</v>
      </c>
      <c r="I15" s="4">
        <v>-735209327</v>
      </c>
      <c r="K15" s="4">
        <v>13317822</v>
      </c>
      <c r="M15" s="4">
        <v>29491094817</v>
      </c>
      <c r="O15" s="4">
        <v>43942560076</v>
      </c>
      <c r="Q15" s="4">
        <v>-14451465259</v>
      </c>
    </row>
    <row r="16" spans="1:17" ht="18.75" x14ac:dyDescent="0.45">
      <c r="A16" s="12" t="s">
        <v>28</v>
      </c>
      <c r="C16" s="4">
        <v>115125</v>
      </c>
      <c r="E16" s="4">
        <v>2242885592</v>
      </c>
      <c r="G16" s="4">
        <v>1701447650</v>
      </c>
      <c r="I16" s="4">
        <v>541437942</v>
      </c>
      <c r="K16" s="4">
        <v>1925551</v>
      </c>
      <c r="M16" s="4">
        <v>27515688762</v>
      </c>
      <c r="O16" s="4">
        <v>29455276896</v>
      </c>
      <c r="Q16" s="4">
        <v>-1939588134</v>
      </c>
    </row>
    <row r="17" spans="1:17" ht="18.75" x14ac:dyDescent="0.45">
      <c r="A17" s="12" t="s">
        <v>29</v>
      </c>
      <c r="J17" s="6"/>
      <c r="K17" s="4">
        <v>8134050</v>
      </c>
      <c r="M17" s="4">
        <v>24510849608</v>
      </c>
      <c r="O17" s="4">
        <v>19525680267</v>
      </c>
      <c r="Q17" s="4">
        <v>4985169341</v>
      </c>
    </row>
    <row r="18" spans="1:17" ht="18.75" x14ac:dyDescent="0.45">
      <c r="A18" s="12" t="s">
        <v>31</v>
      </c>
      <c r="J18" s="6"/>
      <c r="K18" s="4">
        <v>8000000</v>
      </c>
      <c r="M18" s="4">
        <v>4131669615</v>
      </c>
      <c r="O18" s="4">
        <v>3234062275</v>
      </c>
      <c r="Q18" s="4">
        <v>897607340</v>
      </c>
    </row>
    <row r="19" spans="1:17" ht="18.75" x14ac:dyDescent="0.45">
      <c r="A19" s="12" t="s">
        <v>288</v>
      </c>
      <c r="J19" s="6"/>
      <c r="K19" s="4">
        <v>500000</v>
      </c>
      <c r="M19" s="4">
        <v>6011371915</v>
      </c>
      <c r="O19" s="4">
        <v>8791182875</v>
      </c>
      <c r="Q19" s="4">
        <v>-2779810960</v>
      </c>
    </row>
    <row r="20" spans="1:17" ht="18.75" x14ac:dyDescent="0.45">
      <c r="A20" s="12" t="s">
        <v>33</v>
      </c>
      <c r="J20" s="6"/>
      <c r="K20" s="4">
        <v>14400000</v>
      </c>
      <c r="M20" s="4">
        <v>20314924338</v>
      </c>
      <c r="O20" s="4">
        <v>18332359372</v>
      </c>
      <c r="Q20" s="4">
        <v>1982564966</v>
      </c>
    </row>
    <row r="21" spans="1:17" ht="18.75" x14ac:dyDescent="0.45">
      <c r="A21" s="12" t="s">
        <v>37</v>
      </c>
      <c r="J21" s="6"/>
      <c r="K21" s="4">
        <v>8000000</v>
      </c>
      <c r="M21" s="4">
        <v>4635398678</v>
      </c>
      <c r="O21" s="4">
        <v>4093286129</v>
      </c>
      <c r="Q21" s="4">
        <v>542112549</v>
      </c>
    </row>
    <row r="22" spans="1:17" ht="18.75" x14ac:dyDescent="0.45">
      <c r="A22" s="12" t="s">
        <v>38</v>
      </c>
      <c r="J22" s="6"/>
      <c r="K22" s="4">
        <v>15341220</v>
      </c>
      <c r="M22" s="4">
        <v>19090920448</v>
      </c>
      <c r="O22" s="4">
        <v>15646450032</v>
      </c>
      <c r="Q22" s="4">
        <v>3444470416</v>
      </c>
    </row>
    <row r="23" spans="1:17" ht="18.75" x14ac:dyDescent="0.45">
      <c r="A23" s="12" t="s">
        <v>39</v>
      </c>
      <c r="C23" s="4">
        <v>800000</v>
      </c>
      <c r="E23" s="4">
        <v>4070688460</v>
      </c>
      <c r="G23" s="4">
        <v>3299346786</v>
      </c>
      <c r="I23" s="4">
        <v>771341674</v>
      </c>
      <c r="K23" s="4">
        <v>800000</v>
      </c>
      <c r="M23" s="4">
        <v>4070688460</v>
      </c>
      <c r="O23" s="4">
        <v>3299346786</v>
      </c>
      <c r="Q23" s="4">
        <v>771341674</v>
      </c>
    </row>
    <row r="24" spans="1:17" ht="18.75" x14ac:dyDescent="0.45">
      <c r="A24" s="12" t="s">
        <v>40</v>
      </c>
      <c r="C24" s="4">
        <v>3021678</v>
      </c>
      <c r="E24" s="4">
        <v>16842985919</v>
      </c>
      <c r="G24" s="4">
        <v>12554994805</v>
      </c>
      <c r="I24" s="4">
        <v>4287991114</v>
      </c>
      <c r="K24" s="4">
        <v>3217029</v>
      </c>
      <c r="M24" s="4">
        <v>17822284991</v>
      </c>
      <c r="O24" s="4">
        <v>13369294223</v>
      </c>
      <c r="Q24" s="4">
        <v>4452990768</v>
      </c>
    </row>
    <row r="25" spans="1:17" ht="18.75" x14ac:dyDescent="0.45">
      <c r="A25" s="12" t="s">
        <v>41</v>
      </c>
      <c r="C25" s="4">
        <v>800000</v>
      </c>
      <c r="E25" s="4">
        <v>1234383886</v>
      </c>
      <c r="G25" s="4">
        <v>1146050064</v>
      </c>
      <c r="I25" s="4">
        <v>88333822</v>
      </c>
      <c r="K25" s="4">
        <v>9912413</v>
      </c>
      <c r="M25" s="4">
        <v>14953502165</v>
      </c>
      <c r="O25" s="4">
        <v>14227567508</v>
      </c>
      <c r="Q25" s="4">
        <v>725934657</v>
      </c>
    </row>
    <row r="26" spans="1:17" ht="18.75" x14ac:dyDescent="0.45">
      <c r="A26" s="12" t="s">
        <v>42</v>
      </c>
      <c r="C26" s="4">
        <v>2902774</v>
      </c>
      <c r="E26" s="4">
        <v>6006479169</v>
      </c>
      <c r="G26" s="4">
        <v>3851363545</v>
      </c>
      <c r="I26" s="4">
        <v>2155115624</v>
      </c>
      <c r="K26" s="4">
        <v>2902774</v>
      </c>
      <c r="M26" s="4">
        <v>6006479169</v>
      </c>
      <c r="O26" s="4">
        <v>3851363545</v>
      </c>
      <c r="Q26" s="4">
        <v>2155115624</v>
      </c>
    </row>
    <row r="27" spans="1:17" ht="18.75" x14ac:dyDescent="0.45">
      <c r="A27" s="12" t="s">
        <v>43</v>
      </c>
      <c r="C27" s="4">
        <v>1728318</v>
      </c>
      <c r="E27" s="4">
        <v>4173174749</v>
      </c>
      <c r="G27" s="4">
        <v>3616770570</v>
      </c>
      <c r="I27" s="4">
        <v>556404179</v>
      </c>
      <c r="K27" s="4">
        <v>1728318</v>
      </c>
      <c r="M27" s="4">
        <v>4173174749</v>
      </c>
      <c r="O27" s="4">
        <v>3616770570</v>
      </c>
      <c r="Q27" s="4">
        <v>556404179</v>
      </c>
    </row>
    <row r="28" spans="1:17" ht="18.75" x14ac:dyDescent="0.45">
      <c r="A28" s="12" t="s">
        <v>45</v>
      </c>
      <c r="C28" s="4">
        <v>202395</v>
      </c>
      <c r="E28" s="4">
        <v>307531647</v>
      </c>
      <c r="G28" s="4">
        <v>263370866</v>
      </c>
      <c r="I28" s="4">
        <v>44160781</v>
      </c>
      <c r="K28" s="4">
        <v>202395</v>
      </c>
      <c r="M28" s="4">
        <v>307531647</v>
      </c>
      <c r="O28" s="4">
        <v>263370866</v>
      </c>
      <c r="Q28" s="4">
        <v>44160781</v>
      </c>
    </row>
    <row r="29" spans="1:17" ht="37.5" x14ac:dyDescent="0.45">
      <c r="A29" s="12" t="s">
        <v>46</v>
      </c>
      <c r="C29" s="4">
        <v>1525551</v>
      </c>
      <c r="E29" s="4">
        <v>4004320679</v>
      </c>
      <c r="G29" s="4">
        <v>3338802169</v>
      </c>
      <c r="I29" s="4">
        <v>665518510</v>
      </c>
      <c r="K29" s="4">
        <v>1525551</v>
      </c>
      <c r="M29" s="4">
        <v>4004320679</v>
      </c>
      <c r="O29" s="4">
        <v>3338802169</v>
      </c>
      <c r="Q29" s="4">
        <v>665518510</v>
      </c>
    </row>
    <row r="30" spans="1:17" ht="18.75" x14ac:dyDescent="0.45">
      <c r="A30" s="12" t="s">
        <v>48</v>
      </c>
      <c r="J30" s="6"/>
      <c r="K30" s="4">
        <v>18068176</v>
      </c>
      <c r="M30" s="4">
        <v>76564064921</v>
      </c>
      <c r="O30" s="4">
        <v>63086569761</v>
      </c>
      <c r="Q30" s="4">
        <v>13477495160</v>
      </c>
    </row>
    <row r="31" spans="1:17" ht="18.75" x14ac:dyDescent="0.45">
      <c r="A31" s="12" t="s">
        <v>49</v>
      </c>
      <c r="J31" s="6"/>
      <c r="K31" s="4">
        <v>19028570</v>
      </c>
      <c r="M31" s="4">
        <v>135350528252</v>
      </c>
      <c r="O31" s="4">
        <v>117410783655</v>
      </c>
      <c r="Q31" s="4">
        <v>17939744597</v>
      </c>
    </row>
    <row r="32" spans="1:17" ht="18.75" x14ac:dyDescent="0.45">
      <c r="A32" s="12" t="s">
        <v>50</v>
      </c>
      <c r="C32" s="4">
        <v>1444129</v>
      </c>
      <c r="E32" s="4">
        <v>4246228114</v>
      </c>
      <c r="G32" s="4">
        <v>2722509016</v>
      </c>
      <c r="I32" s="4">
        <v>1523719098</v>
      </c>
      <c r="K32" s="4">
        <v>2644129</v>
      </c>
      <c r="M32" s="4">
        <v>7066149235</v>
      </c>
      <c r="O32" s="4">
        <v>4995387936</v>
      </c>
      <c r="Q32" s="4">
        <v>2070761299</v>
      </c>
    </row>
    <row r="33" spans="1:17" ht="18.75" x14ac:dyDescent="0.45">
      <c r="A33" s="12" t="s">
        <v>295</v>
      </c>
      <c r="J33" s="6"/>
      <c r="K33" s="4">
        <v>2838120</v>
      </c>
      <c r="M33" s="4">
        <v>11214374490</v>
      </c>
      <c r="O33" s="4">
        <v>12978257492</v>
      </c>
      <c r="Q33" s="4">
        <v>-1763883002</v>
      </c>
    </row>
    <row r="34" spans="1:17" ht="18.75" x14ac:dyDescent="0.45">
      <c r="A34" s="12" t="s">
        <v>52</v>
      </c>
      <c r="C34" s="4">
        <v>800000</v>
      </c>
      <c r="E34" s="4">
        <v>1942467757</v>
      </c>
      <c r="G34" s="4">
        <v>1212155772</v>
      </c>
      <c r="I34" s="4">
        <v>730311985</v>
      </c>
      <c r="K34" s="4">
        <v>6127149</v>
      </c>
      <c r="M34" s="4">
        <v>10873928844</v>
      </c>
      <c r="O34" s="4">
        <v>8958897807</v>
      </c>
      <c r="Q34" s="4">
        <v>1915031037</v>
      </c>
    </row>
    <row r="35" spans="1:17" ht="18.75" x14ac:dyDescent="0.45">
      <c r="A35" s="12" t="s">
        <v>55</v>
      </c>
      <c r="J35" s="6"/>
      <c r="K35" s="4">
        <v>750</v>
      </c>
      <c r="M35" s="4">
        <v>34443835</v>
      </c>
      <c r="O35" s="4">
        <v>35616912</v>
      </c>
      <c r="Q35" s="4">
        <v>-1173077</v>
      </c>
    </row>
    <row r="36" spans="1:17" ht="18.75" x14ac:dyDescent="0.45">
      <c r="A36" s="12" t="s">
        <v>56</v>
      </c>
      <c r="J36" s="6"/>
      <c r="K36" s="4">
        <v>400000</v>
      </c>
      <c r="M36" s="4">
        <v>691452375</v>
      </c>
      <c r="O36" s="4">
        <v>653066951</v>
      </c>
      <c r="Q36" s="4">
        <v>38385424</v>
      </c>
    </row>
    <row r="37" spans="1:17" ht="18.75" x14ac:dyDescent="0.45">
      <c r="A37" s="12" t="s">
        <v>59</v>
      </c>
      <c r="J37" s="6"/>
      <c r="K37" s="4">
        <v>150000</v>
      </c>
      <c r="M37" s="4">
        <v>17732694239</v>
      </c>
      <c r="O37" s="4">
        <v>18233930268</v>
      </c>
      <c r="Q37" s="4">
        <v>-501236029</v>
      </c>
    </row>
    <row r="38" spans="1:17" ht="37.5" x14ac:dyDescent="0.45">
      <c r="A38" s="12" t="s">
        <v>60</v>
      </c>
      <c r="C38" s="4">
        <v>400000</v>
      </c>
      <c r="E38" s="4">
        <v>5809740890</v>
      </c>
      <c r="G38" s="4">
        <v>4519418490</v>
      </c>
      <c r="I38" s="4">
        <v>1290322400</v>
      </c>
      <c r="K38" s="4">
        <v>4116904</v>
      </c>
      <c r="M38" s="4">
        <v>44607700674</v>
      </c>
      <c r="O38" s="4">
        <v>46703360640</v>
      </c>
      <c r="Q38" s="4">
        <v>-2095659966</v>
      </c>
    </row>
    <row r="39" spans="1:17" ht="18.75" x14ac:dyDescent="0.45">
      <c r="A39" s="12" t="s">
        <v>61</v>
      </c>
      <c r="C39" s="4">
        <v>756564</v>
      </c>
      <c r="E39" s="4">
        <v>5463167704</v>
      </c>
      <c r="G39" s="4">
        <v>5231254162</v>
      </c>
      <c r="I39" s="4">
        <v>231913542</v>
      </c>
      <c r="K39" s="4">
        <v>1810386</v>
      </c>
      <c r="M39" s="4">
        <v>12602590809</v>
      </c>
      <c r="O39" s="4">
        <v>12534442754</v>
      </c>
      <c r="Q39" s="4">
        <v>68148055</v>
      </c>
    </row>
    <row r="40" spans="1:17" ht="18.75" x14ac:dyDescent="0.45">
      <c r="A40" s="12" t="s">
        <v>63</v>
      </c>
      <c r="C40" s="4">
        <v>5607118</v>
      </c>
      <c r="E40" s="4">
        <v>10113603985</v>
      </c>
      <c r="G40" s="4">
        <v>9675285322</v>
      </c>
      <c r="I40" s="4">
        <v>438318663</v>
      </c>
      <c r="K40" s="4">
        <v>9013645</v>
      </c>
      <c r="M40" s="4">
        <v>14980659311</v>
      </c>
      <c r="O40" s="4">
        <v>15572104885</v>
      </c>
      <c r="Q40" s="4">
        <v>-591445574</v>
      </c>
    </row>
    <row r="41" spans="1:17" ht="18.75" x14ac:dyDescent="0.45">
      <c r="A41" s="12" t="s">
        <v>64</v>
      </c>
      <c r="C41" s="4">
        <v>1262547</v>
      </c>
      <c r="E41" s="4">
        <v>5729138840</v>
      </c>
      <c r="G41" s="4">
        <v>5197867431</v>
      </c>
      <c r="I41" s="4">
        <v>531271409</v>
      </c>
      <c r="K41" s="4">
        <v>1262547</v>
      </c>
      <c r="M41" s="4">
        <v>5729138840</v>
      </c>
      <c r="O41" s="4">
        <v>5197867431</v>
      </c>
      <c r="Q41" s="4">
        <v>531271409</v>
      </c>
    </row>
    <row r="42" spans="1:17" ht="18.75" x14ac:dyDescent="0.45">
      <c r="A42" s="12" t="s">
        <v>65</v>
      </c>
      <c r="C42" s="4">
        <v>146870</v>
      </c>
      <c r="E42" s="4">
        <v>949401792</v>
      </c>
      <c r="G42" s="4">
        <v>944176288</v>
      </c>
      <c r="I42" s="4">
        <v>5225504</v>
      </c>
      <c r="K42" s="4">
        <v>2829940</v>
      </c>
      <c r="M42" s="4">
        <v>14807255415</v>
      </c>
      <c r="O42" s="4">
        <v>18489353018</v>
      </c>
      <c r="Q42" s="4">
        <v>-3682097603</v>
      </c>
    </row>
    <row r="43" spans="1:17" ht="18.75" x14ac:dyDescent="0.45">
      <c r="A43" s="12" t="s">
        <v>66</v>
      </c>
      <c r="J43" s="6"/>
      <c r="K43" s="4">
        <v>3289702</v>
      </c>
      <c r="M43" s="4">
        <v>82529668146</v>
      </c>
      <c r="O43" s="4">
        <v>69118784644</v>
      </c>
      <c r="Q43" s="4">
        <v>13410883502</v>
      </c>
    </row>
    <row r="44" spans="1:17" ht="18.75" x14ac:dyDescent="0.45">
      <c r="A44" s="12" t="s">
        <v>67</v>
      </c>
      <c r="J44" s="6"/>
      <c r="K44" s="4">
        <v>381629</v>
      </c>
      <c r="M44" s="4">
        <v>1317301965</v>
      </c>
      <c r="O44" s="4">
        <v>1180763495</v>
      </c>
      <c r="Q44" s="4">
        <v>136538470</v>
      </c>
    </row>
    <row r="45" spans="1:17" ht="18.75" x14ac:dyDescent="0.45">
      <c r="A45" s="12" t="s">
        <v>69</v>
      </c>
      <c r="C45" s="4">
        <v>213093</v>
      </c>
      <c r="E45" s="4">
        <v>1398601891</v>
      </c>
      <c r="G45" s="4">
        <v>861557873</v>
      </c>
      <c r="I45" s="4">
        <v>537044018</v>
      </c>
      <c r="K45" s="4">
        <v>1013093</v>
      </c>
      <c r="M45" s="4">
        <v>5398659146</v>
      </c>
      <c r="O45" s="4">
        <v>4113004828</v>
      </c>
      <c r="Q45" s="4">
        <v>1285654318</v>
      </c>
    </row>
    <row r="46" spans="1:17" ht="18.75" x14ac:dyDescent="0.45">
      <c r="A46" s="12" t="s">
        <v>70</v>
      </c>
      <c r="C46" s="4">
        <v>1135429</v>
      </c>
      <c r="E46" s="4">
        <v>7799635894</v>
      </c>
      <c r="G46" s="4">
        <v>4629498182</v>
      </c>
      <c r="I46" s="4">
        <v>3170137712</v>
      </c>
      <c r="K46" s="4">
        <v>10229854</v>
      </c>
      <c r="M46" s="4">
        <v>50570479576</v>
      </c>
      <c r="O46" s="4">
        <v>41940970668</v>
      </c>
      <c r="Q46" s="4">
        <v>8629508908</v>
      </c>
    </row>
    <row r="47" spans="1:17" ht="18.75" x14ac:dyDescent="0.45">
      <c r="A47" s="12" t="s">
        <v>71</v>
      </c>
      <c r="C47" s="4">
        <v>400000</v>
      </c>
      <c r="E47" s="4">
        <v>4211193908</v>
      </c>
      <c r="G47" s="4">
        <v>2408311265</v>
      </c>
      <c r="I47" s="4">
        <v>1802882643</v>
      </c>
      <c r="K47" s="4">
        <v>579966</v>
      </c>
      <c r="M47" s="4">
        <v>5762215334</v>
      </c>
      <c r="O47" s="4">
        <v>3497322786</v>
      </c>
      <c r="Q47" s="4">
        <v>2264892548</v>
      </c>
    </row>
    <row r="48" spans="1:17" ht="37.5" x14ac:dyDescent="0.45">
      <c r="A48" s="12" t="s">
        <v>73</v>
      </c>
      <c r="J48" s="6"/>
      <c r="K48" s="4">
        <v>150126</v>
      </c>
      <c r="M48" s="4">
        <v>4938968390</v>
      </c>
      <c r="O48" s="4">
        <v>4029568098</v>
      </c>
      <c r="Q48" s="4">
        <v>909400292</v>
      </c>
    </row>
    <row r="49" spans="1:17" ht="18.75" x14ac:dyDescent="0.45">
      <c r="A49" s="12" t="s">
        <v>75</v>
      </c>
      <c r="C49" s="4">
        <v>347356</v>
      </c>
      <c r="E49" s="4">
        <v>3999497912</v>
      </c>
      <c r="G49" s="4">
        <v>5198340970</v>
      </c>
      <c r="I49" s="4">
        <v>-1198843058</v>
      </c>
      <c r="K49" s="4">
        <v>1547356</v>
      </c>
      <c r="M49" s="4">
        <v>14217825552</v>
      </c>
      <c r="O49" s="4">
        <v>23203362482</v>
      </c>
      <c r="Q49" s="4">
        <v>-8985536930</v>
      </c>
    </row>
    <row r="50" spans="1:17" ht="18.75" x14ac:dyDescent="0.45">
      <c r="A50" s="12" t="s">
        <v>76</v>
      </c>
      <c r="C50" s="4">
        <v>1200000</v>
      </c>
      <c r="E50" s="4">
        <v>2234988969</v>
      </c>
      <c r="G50" s="4">
        <v>2775074229</v>
      </c>
      <c r="I50" s="4">
        <v>-540085260</v>
      </c>
      <c r="K50" s="4">
        <v>13545044</v>
      </c>
      <c r="M50" s="4">
        <v>23047570258</v>
      </c>
      <c r="O50" s="4">
        <v>31378293248</v>
      </c>
      <c r="Q50" s="4">
        <v>-8330722990</v>
      </c>
    </row>
    <row r="51" spans="1:17" ht="18.75" x14ac:dyDescent="0.45">
      <c r="A51" s="12" t="s">
        <v>77</v>
      </c>
      <c r="J51" s="6"/>
      <c r="K51" s="4">
        <v>8158132</v>
      </c>
      <c r="M51" s="4">
        <v>17490626959</v>
      </c>
      <c r="O51" s="4">
        <v>23519726997</v>
      </c>
      <c r="Q51" s="4">
        <v>-6029100038</v>
      </c>
    </row>
    <row r="52" spans="1:17" ht="18.75" x14ac:dyDescent="0.45">
      <c r="A52" s="12" t="s">
        <v>78</v>
      </c>
      <c r="C52" s="4">
        <v>1065775</v>
      </c>
      <c r="E52" s="4">
        <v>4294200041</v>
      </c>
      <c r="G52" s="4">
        <v>3162894095</v>
      </c>
      <c r="I52" s="4">
        <v>1131305946</v>
      </c>
      <c r="K52" s="4">
        <v>1465775</v>
      </c>
      <c r="M52" s="4">
        <v>5624636574</v>
      </c>
      <c r="O52" s="4">
        <v>4354563494</v>
      </c>
      <c r="Q52" s="4">
        <v>1270073080</v>
      </c>
    </row>
    <row r="53" spans="1:17" ht="18.75" x14ac:dyDescent="0.45">
      <c r="A53" s="12" t="s">
        <v>306</v>
      </c>
      <c r="J53" s="6"/>
      <c r="K53" s="4">
        <v>10258397</v>
      </c>
      <c r="M53" s="4">
        <v>17418477479</v>
      </c>
      <c r="O53" s="4">
        <v>20331248787</v>
      </c>
      <c r="Q53" s="4">
        <v>-2912771308</v>
      </c>
    </row>
    <row r="54" spans="1:17" ht="18.75" x14ac:dyDescent="0.45">
      <c r="A54" s="12" t="s">
        <v>79</v>
      </c>
      <c r="J54" s="6"/>
      <c r="K54" s="4">
        <v>562500</v>
      </c>
      <c r="M54" s="4">
        <v>5893474057</v>
      </c>
      <c r="O54" s="4">
        <v>4896698224</v>
      </c>
      <c r="Q54" s="4">
        <v>996775833</v>
      </c>
    </row>
    <row r="55" spans="1:17" ht="18.75" x14ac:dyDescent="0.45">
      <c r="A55" s="12" t="s">
        <v>81</v>
      </c>
      <c r="J55" s="6"/>
      <c r="K55" s="4">
        <v>3600000</v>
      </c>
      <c r="M55" s="4">
        <v>1829029226</v>
      </c>
      <c r="O55" s="4">
        <v>1399291156</v>
      </c>
      <c r="Q55" s="4">
        <v>429738070</v>
      </c>
    </row>
    <row r="56" spans="1:17" ht="18.75" x14ac:dyDescent="0.45">
      <c r="A56" s="12" t="s">
        <v>82</v>
      </c>
      <c r="J56" s="6"/>
      <c r="K56" s="4">
        <v>5362092</v>
      </c>
      <c r="M56" s="4">
        <v>12980888049</v>
      </c>
      <c r="O56" s="4">
        <v>12856362371</v>
      </c>
      <c r="Q56" s="4">
        <v>124525678</v>
      </c>
    </row>
    <row r="57" spans="1:17" ht="18.75" x14ac:dyDescent="0.45">
      <c r="A57" s="12" t="s">
        <v>83</v>
      </c>
      <c r="J57" s="6"/>
      <c r="K57" s="4">
        <v>324703</v>
      </c>
      <c r="M57" s="4">
        <v>4351143893</v>
      </c>
      <c r="O57" s="4">
        <v>3998814252</v>
      </c>
      <c r="Q57" s="4">
        <v>352329641</v>
      </c>
    </row>
    <row r="58" spans="1:17" ht="37.5" x14ac:dyDescent="0.45">
      <c r="A58" s="12" t="s">
        <v>85</v>
      </c>
      <c r="J58" s="6"/>
      <c r="K58" s="4">
        <v>7540929</v>
      </c>
      <c r="M58" s="4">
        <v>9697730171</v>
      </c>
      <c r="O58" s="4">
        <v>9968584275</v>
      </c>
      <c r="Q58" s="4">
        <v>-270854104</v>
      </c>
    </row>
    <row r="59" spans="1:17" ht="18.75" x14ac:dyDescent="0.45">
      <c r="A59" s="12" t="s">
        <v>86</v>
      </c>
      <c r="C59" s="4">
        <v>400000</v>
      </c>
      <c r="E59" s="4">
        <v>2179645609</v>
      </c>
      <c r="G59" s="4">
        <v>1727826394</v>
      </c>
      <c r="I59" s="4">
        <v>451819215</v>
      </c>
      <c r="K59" s="4">
        <v>1000000</v>
      </c>
      <c r="M59" s="4">
        <v>6259513219</v>
      </c>
      <c r="O59" s="4">
        <v>5793197794</v>
      </c>
      <c r="Q59" s="4">
        <v>466315425</v>
      </c>
    </row>
    <row r="60" spans="1:17" ht="18.75" x14ac:dyDescent="0.45">
      <c r="A60" s="12" t="s">
        <v>88</v>
      </c>
      <c r="J60" s="6"/>
      <c r="K60" s="4">
        <v>1000000</v>
      </c>
      <c r="M60" s="4">
        <v>10536445784</v>
      </c>
      <c r="O60" s="4">
        <v>10117915662</v>
      </c>
      <c r="Q60" s="4">
        <v>418530122</v>
      </c>
    </row>
    <row r="61" spans="1:17" ht="18.75" x14ac:dyDescent="0.45">
      <c r="A61" s="12" t="s">
        <v>89</v>
      </c>
      <c r="C61" s="4">
        <v>558037</v>
      </c>
      <c r="E61" s="4">
        <v>7716292574</v>
      </c>
      <c r="G61" s="4">
        <v>5280809286</v>
      </c>
      <c r="I61" s="4">
        <v>2435483288</v>
      </c>
      <c r="K61" s="4">
        <v>2156635</v>
      </c>
      <c r="M61" s="4">
        <v>23947501160</v>
      </c>
      <c r="O61" s="4">
        <v>20237576247</v>
      </c>
      <c r="Q61" s="4">
        <v>3709924913</v>
      </c>
    </row>
    <row r="62" spans="1:17" ht="37.5" x14ac:dyDescent="0.45">
      <c r="A62" s="12" t="s">
        <v>90</v>
      </c>
      <c r="C62" s="4">
        <v>100000</v>
      </c>
      <c r="E62" s="4">
        <v>4014724428</v>
      </c>
      <c r="G62" s="4">
        <v>3266988299</v>
      </c>
      <c r="I62" s="4">
        <v>747736129</v>
      </c>
      <c r="K62" s="4">
        <v>100000</v>
      </c>
      <c r="M62" s="4">
        <v>4014724428</v>
      </c>
      <c r="O62" s="4">
        <v>3266988299</v>
      </c>
      <c r="Q62" s="4">
        <v>747736129</v>
      </c>
    </row>
    <row r="63" spans="1:17" ht="37.5" x14ac:dyDescent="0.45">
      <c r="A63" s="12" t="s">
        <v>93</v>
      </c>
      <c r="J63" s="6"/>
      <c r="K63" s="4">
        <v>3250000</v>
      </c>
      <c r="M63" s="4">
        <v>4477257642</v>
      </c>
      <c r="O63" s="4">
        <v>3912524843</v>
      </c>
      <c r="Q63" s="4">
        <v>564732799</v>
      </c>
    </row>
    <row r="64" spans="1:17" ht="18.75" x14ac:dyDescent="0.45">
      <c r="A64" s="12" t="s">
        <v>94</v>
      </c>
      <c r="J64" s="6"/>
      <c r="K64" s="4">
        <v>400000</v>
      </c>
      <c r="M64" s="4">
        <v>1920504607</v>
      </c>
      <c r="O64" s="4">
        <v>1766396424</v>
      </c>
      <c r="Q64" s="4">
        <v>154108183</v>
      </c>
    </row>
    <row r="65" spans="1:17" ht="18.75" x14ac:dyDescent="0.45">
      <c r="A65" s="12" t="s">
        <v>95</v>
      </c>
      <c r="C65" s="4">
        <v>600000</v>
      </c>
      <c r="E65" s="4">
        <v>4304467278</v>
      </c>
      <c r="G65" s="4">
        <v>3848282485</v>
      </c>
      <c r="I65" s="4">
        <v>456184793</v>
      </c>
      <c r="K65" s="4">
        <v>1200000</v>
      </c>
      <c r="M65" s="4">
        <v>8186407166</v>
      </c>
      <c r="O65" s="4">
        <v>7706861999</v>
      </c>
      <c r="Q65" s="4">
        <v>479545167</v>
      </c>
    </row>
    <row r="66" spans="1:17" ht="18.75" x14ac:dyDescent="0.45">
      <c r="A66" s="12" t="s">
        <v>310</v>
      </c>
      <c r="J66" s="6"/>
      <c r="K66" s="4">
        <v>1186353</v>
      </c>
      <c r="M66" s="4">
        <v>60228986918</v>
      </c>
      <c r="O66" s="4">
        <v>56481474431</v>
      </c>
      <c r="Q66" s="4">
        <v>3747512487</v>
      </c>
    </row>
    <row r="67" spans="1:17" ht="18.75" x14ac:dyDescent="0.45">
      <c r="A67" s="12" t="s">
        <v>96</v>
      </c>
      <c r="J67" s="6"/>
      <c r="K67" s="4">
        <v>15118</v>
      </c>
      <c r="M67" s="4">
        <v>1570544571</v>
      </c>
      <c r="O67" s="4">
        <v>1359504255</v>
      </c>
      <c r="Q67" s="4">
        <v>211040316</v>
      </c>
    </row>
    <row r="68" spans="1:17" ht="18.75" x14ac:dyDescent="0.45">
      <c r="A68" s="12" t="s">
        <v>98</v>
      </c>
      <c r="C68" s="4">
        <v>200000</v>
      </c>
      <c r="E68" s="4">
        <v>2143303210</v>
      </c>
      <c r="G68" s="4">
        <v>1612984754</v>
      </c>
      <c r="I68" s="4">
        <v>530318456</v>
      </c>
      <c r="K68" s="4">
        <v>4633426</v>
      </c>
      <c r="M68" s="4">
        <v>47236907006</v>
      </c>
      <c r="O68" s="4">
        <v>37307406798</v>
      </c>
      <c r="Q68" s="4">
        <v>9929500208</v>
      </c>
    </row>
    <row r="69" spans="1:17" ht="18.75" x14ac:dyDescent="0.45">
      <c r="A69" s="12" t="s">
        <v>99</v>
      </c>
      <c r="C69" s="4">
        <v>1262188</v>
      </c>
      <c r="E69" s="4">
        <v>11158371954</v>
      </c>
      <c r="G69" s="4">
        <v>8244854850</v>
      </c>
      <c r="I69" s="4">
        <v>2913517104</v>
      </c>
      <c r="K69" s="4">
        <v>1662188</v>
      </c>
      <c r="M69" s="4">
        <v>13962229195</v>
      </c>
      <c r="O69" s="4">
        <v>10868496788</v>
      </c>
      <c r="Q69" s="4">
        <v>3093732407</v>
      </c>
    </row>
    <row r="70" spans="1:17" ht="18.75" x14ac:dyDescent="0.45">
      <c r="A70" s="12" t="s">
        <v>100</v>
      </c>
      <c r="J70" s="6"/>
      <c r="K70" s="4">
        <v>400000</v>
      </c>
      <c r="M70" s="4">
        <v>1637023421</v>
      </c>
      <c r="O70" s="4">
        <v>1786016677</v>
      </c>
      <c r="Q70" s="4">
        <v>-148993256</v>
      </c>
    </row>
    <row r="71" spans="1:17" ht="18.75" x14ac:dyDescent="0.45">
      <c r="A71" s="12" t="s">
        <v>101</v>
      </c>
      <c r="J71" s="6"/>
      <c r="K71" s="4">
        <v>4103951</v>
      </c>
      <c r="M71" s="4">
        <v>33721921379</v>
      </c>
      <c r="O71" s="4">
        <v>33875900986</v>
      </c>
      <c r="Q71" s="4">
        <v>-153979607</v>
      </c>
    </row>
    <row r="72" spans="1:17" ht="18.75" x14ac:dyDescent="0.45">
      <c r="A72" s="12" t="s">
        <v>102</v>
      </c>
      <c r="J72" s="6"/>
      <c r="K72" s="4">
        <v>4275243</v>
      </c>
      <c r="M72" s="4">
        <v>74407807280</v>
      </c>
      <c r="O72" s="4">
        <v>51402249741</v>
      </c>
      <c r="Q72" s="4">
        <v>23005557539</v>
      </c>
    </row>
    <row r="73" spans="1:17" ht="18.75" x14ac:dyDescent="0.45">
      <c r="A73" s="12" t="s">
        <v>103</v>
      </c>
      <c r="J73" s="6"/>
      <c r="K73" s="4">
        <v>200000</v>
      </c>
      <c r="M73" s="4">
        <v>5291690299</v>
      </c>
      <c r="O73" s="4">
        <v>4664218559</v>
      </c>
      <c r="Q73" s="4">
        <v>627471740</v>
      </c>
    </row>
    <row r="74" spans="1:17" ht="18.75" x14ac:dyDescent="0.45">
      <c r="A74" s="12" t="s">
        <v>105</v>
      </c>
      <c r="J74" s="6"/>
      <c r="K74" s="4">
        <v>313777</v>
      </c>
      <c r="M74" s="4">
        <v>2308678342</v>
      </c>
      <c r="O74" s="4">
        <v>2506193776</v>
      </c>
      <c r="Q74" s="4">
        <v>-197515434</v>
      </c>
    </row>
    <row r="75" spans="1:17" ht="18.75" x14ac:dyDescent="0.45">
      <c r="A75" s="12" t="s">
        <v>107</v>
      </c>
      <c r="J75" s="6"/>
      <c r="K75" s="4">
        <v>200000</v>
      </c>
      <c r="M75" s="4">
        <v>3333006138</v>
      </c>
      <c r="O75" s="4">
        <v>3292533594</v>
      </c>
      <c r="Q75" s="4">
        <v>40472544</v>
      </c>
    </row>
    <row r="76" spans="1:17" ht="18.75" x14ac:dyDescent="0.45">
      <c r="A76" s="12" t="s">
        <v>111</v>
      </c>
      <c r="C76" s="4">
        <v>3059613</v>
      </c>
      <c r="E76" s="4">
        <v>6152610276</v>
      </c>
      <c r="G76" s="4">
        <v>4847250717</v>
      </c>
      <c r="I76" s="4">
        <v>1305359559</v>
      </c>
      <c r="K76" s="4">
        <v>4659613</v>
      </c>
      <c r="M76" s="4">
        <v>9127032716</v>
      </c>
      <c r="O76" s="4">
        <v>7389342435</v>
      </c>
      <c r="Q76" s="4">
        <v>1737690281</v>
      </c>
    </row>
    <row r="77" spans="1:17" ht="18.75" x14ac:dyDescent="0.45">
      <c r="A77" s="12" t="s">
        <v>112</v>
      </c>
      <c r="J77" s="6"/>
      <c r="K77" s="4">
        <v>100000</v>
      </c>
      <c r="M77" s="4">
        <v>3993098857</v>
      </c>
      <c r="O77" s="4">
        <v>2978161992</v>
      </c>
      <c r="Q77" s="4">
        <v>1014936865</v>
      </c>
    </row>
    <row r="78" spans="1:17" ht="18.75" x14ac:dyDescent="0.45">
      <c r="A78" s="12" t="s">
        <v>113</v>
      </c>
      <c r="C78" s="4">
        <v>200000</v>
      </c>
      <c r="E78" s="4">
        <v>1805931406</v>
      </c>
      <c r="G78" s="4">
        <v>1360508008</v>
      </c>
      <c r="I78" s="4">
        <v>445423398</v>
      </c>
      <c r="K78" s="4">
        <v>200000</v>
      </c>
      <c r="M78" s="4">
        <v>1805931406</v>
      </c>
      <c r="O78" s="4">
        <v>1360508008</v>
      </c>
      <c r="Q78" s="4">
        <v>445423398</v>
      </c>
    </row>
    <row r="79" spans="1:17" ht="37.5" x14ac:dyDescent="0.45">
      <c r="A79" s="12" t="s">
        <v>114</v>
      </c>
      <c r="C79" s="4">
        <v>1200000</v>
      </c>
      <c r="E79" s="4">
        <v>4003214109</v>
      </c>
      <c r="G79" s="4">
        <v>2656679196</v>
      </c>
      <c r="I79" s="4">
        <v>1346534913</v>
      </c>
      <c r="K79" s="4">
        <v>4800000</v>
      </c>
      <c r="M79" s="4">
        <v>14629799689</v>
      </c>
      <c r="O79" s="4">
        <v>10656668281</v>
      </c>
      <c r="Q79" s="4">
        <v>3973131408</v>
      </c>
    </row>
    <row r="80" spans="1:17" ht="18.75" x14ac:dyDescent="0.45">
      <c r="A80" s="12" t="s">
        <v>117</v>
      </c>
      <c r="C80" s="4">
        <v>242403</v>
      </c>
      <c r="E80" s="4">
        <v>3132167412</v>
      </c>
      <c r="G80" s="4">
        <v>2226836405</v>
      </c>
      <c r="I80" s="4">
        <v>905331007</v>
      </c>
      <c r="K80" s="4">
        <v>501985</v>
      </c>
      <c r="M80" s="4">
        <v>5714877597</v>
      </c>
      <c r="O80" s="4">
        <v>4622158190</v>
      </c>
      <c r="Q80" s="4">
        <v>1092719407</v>
      </c>
    </row>
    <row r="81" spans="1:17" ht="18.75" x14ac:dyDescent="0.45">
      <c r="A81" s="12" t="s">
        <v>118</v>
      </c>
      <c r="C81" s="4">
        <v>362182</v>
      </c>
      <c r="E81" s="4">
        <v>623146641</v>
      </c>
      <c r="G81" s="4">
        <v>564348289</v>
      </c>
      <c r="I81" s="4">
        <v>58798352</v>
      </c>
      <c r="K81" s="4">
        <v>20551227</v>
      </c>
      <c r="M81" s="4">
        <v>33108236127</v>
      </c>
      <c r="O81" s="4">
        <v>32098868422</v>
      </c>
      <c r="Q81" s="4">
        <v>1009367705</v>
      </c>
    </row>
    <row r="82" spans="1:17" ht="18.75" x14ac:dyDescent="0.45">
      <c r="A82" s="12" t="s">
        <v>119</v>
      </c>
      <c r="J82" s="6"/>
      <c r="K82" s="4">
        <v>6199</v>
      </c>
      <c r="M82" s="4">
        <v>156164327</v>
      </c>
      <c r="O82" s="4">
        <v>177766649</v>
      </c>
      <c r="Q82" s="4">
        <v>-21602322</v>
      </c>
    </row>
    <row r="83" spans="1:17" ht="18.75" x14ac:dyDescent="0.45">
      <c r="A83" s="12" t="s">
        <v>317</v>
      </c>
      <c r="J83" s="6"/>
      <c r="K83" s="4">
        <v>10148510</v>
      </c>
      <c r="M83" s="4">
        <v>23061457106</v>
      </c>
      <c r="O83" s="4">
        <v>37934552149</v>
      </c>
      <c r="Q83" s="4">
        <v>-14873095043</v>
      </c>
    </row>
    <row r="84" spans="1:17" ht="18.75" x14ac:dyDescent="0.45">
      <c r="A84" s="12" t="s">
        <v>123</v>
      </c>
      <c r="J84" s="6"/>
      <c r="K84" s="4">
        <v>1875000</v>
      </c>
      <c r="M84" s="4">
        <v>6181102605</v>
      </c>
      <c r="O84" s="4">
        <v>5874615480</v>
      </c>
      <c r="Q84" s="4">
        <v>306487125</v>
      </c>
    </row>
    <row r="85" spans="1:17" ht="18.75" x14ac:dyDescent="0.45">
      <c r="A85" s="12" t="s">
        <v>127</v>
      </c>
      <c r="C85" s="4">
        <v>500000</v>
      </c>
      <c r="E85" s="4">
        <v>1293920136</v>
      </c>
      <c r="G85" s="4">
        <v>1534149018</v>
      </c>
      <c r="I85" s="4">
        <v>-240228882</v>
      </c>
      <c r="K85" s="4">
        <v>16538059</v>
      </c>
      <c r="M85" s="4">
        <v>52922449465</v>
      </c>
      <c r="O85" s="4">
        <v>72393033123</v>
      </c>
      <c r="Q85" s="4">
        <v>-19470583658</v>
      </c>
    </row>
    <row r="86" spans="1:17" ht="18.75" x14ac:dyDescent="0.45">
      <c r="A86" s="12" t="s">
        <v>128</v>
      </c>
      <c r="C86" s="4">
        <v>1946060</v>
      </c>
      <c r="E86" s="4">
        <v>14059171371</v>
      </c>
      <c r="G86" s="4">
        <v>14554317160</v>
      </c>
      <c r="I86" s="4">
        <v>-495145789</v>
      </c>
      <c r="K86" s="4">
        <v>10610714</v>
      </c>
      <c r="M86" s="4">
        <v>73970667239</v>
      </c>
      <c r="O86" s="4">
        <v>79302312497</v>
      </c>
      <c r="Q86" s="4">
        <v>-5331645258</v>
      </c>
    </row>
    <row r="87" spans="1:17" ht="18.75" x14ac:dyDescent="0.45">
      <c r="A87" s="12" t="s">
        <v>129</v>
      </c>
      <c r="J87" s="6"/>
      <c r="K87" s="4">
        <v>1200000</v>
      </c>
      <c r="M87" s="4">
        <v>3709770534</v>
      </c>
      <c r="O87" s="4">
        <v>2336150321</v>
      </c>
      <c r="Q87" s="4">
        <v>1373620213</v>
      </c>
    </row>
    <row r="88" spans="1:17" ht="18.75" x14ac:dyDescent="0.45">
      <c r="A88" s="12" t="s">
        <v>131</v>
      </c>
      <c r="J88" s="6"/>
      <c r="K88" s="4">
        <v>8155528</v>
      </c>
      <c r="M88" s="4">
        <v>19430540152</v>
      </c>
      <c r="O88" s="4">
        <v>30001212231</v>
      </c>
      <c r="Q88" s="4">
        <v>-10570672079</v>
      </c>
    </row>
    <row r="89" spans="1:17" ht="18.75" x14ac:dyDescent="0.45">
      <c r="A89" s="12" t="s">
        <v>321</v>
      </c>
      <c r="J89" s="6"/>
      <c r="K89" s="4">
        <v>800000</v>
      </c>
      <c r="M89" s="4">
        <v>5996109686</v>
      </c>
      <c r="O89" s="4">
        <v>7154632734</v>
      </c>
      <c r="Q89" s="4">
        <v>-1158523048</v>
      </c>
    </row>
    <row r="90" spans="1:17" ht="18.75" x14ac:dyDescent="0.45">
      <c r="A90" s="12" t="s">
        <v>132</v>
      </c>
      <c r="C90" s="4">
        <v>600000</v>
      </c>
      <c r="E90" s="4">
        <v>1861498520</v>
      </c>
      <c r="G90" s="4">
        <v>1697273889</v>
      </c>
      <c r="I90" s="4">
        <v>164224631</v>
      </c>
      <c r="K90" s="4">
        <v>600000</v>
      </c>
      <c r="M90" s="4">
        <v>1861498520</v>
      </c>
      <c r="O90" s="4">
        <v>1697273889</v>
      </c>
      <c r="Q90" s="4">
        <v>164224631</v>
      </c>
    </row>
    <row r="91" spans="1:17" ht="18.75" x14ac:dyDescent="0.45">
      <c r="A91" s="12" t="s">
        <v>133</v>
      </c>
      <c r="C91" s="4">
        <v>762228</v>
      </c>
      <c r="E91" s="4">
        <v>3204911812</v>
      </c>
      <c r="G91" s="4">
        <v>2717184212</v>
      </c>
      <c r="I91" s="4">
        <v>487727600</v>
      </c>
      <c r="K91" s="4">
        <v>3631276</v>
      </c>
      <c r="M91" s="4">
        <v>14046498447</v>
      </c>
      <c r="O91" s="4">
        <v>12656503582</v>
      </c>
      <c r="Q91" s="4">
        <v>1389994865</v>
      </c>
    </row>
    <row r="92" spans="1:17" ht="18.75" x14ac:dyDescent="0.45">
      <c r="A92" s="12" t="s">
        <v>134</v>
      </c>
      <c r="C92" s="4">
        <v>204953</v>
      </c>
      <c r="E92" s="4">
        <v>4006347223</v>
      </c>
      <c r="G92" s="4">
        <v>2976994813</v>
      </c>
      <c r="I92" s="4">
        <v>1029352410</v>
      </c>
      <c r="K92" s="4">
        <v>204953</v>
      </c>
      <c r="M92" s="4">
        <v>4006347223</v>
      </c>
      <c r="O92" s="4">
        <v>2976994813</v>
      </c>
      <c r="Q92" s="4">
        <v>1029352410</v>
      </c>
    </row>
    <row r="93" spans="1:17" ht="18.75" x14ac:dyDescent="0.45">
      <c r="A93" s="12" t="s">
        <v>135</v>
      </c>
      <c r="C93" s="4">
        <v>84035</v>
      </c>
      <c r="E93" s="4">
        <v>341391275</v>
      </c>
      <c r="G93" s="4">
        <v>253768327</v>
      </c>
      <c r="I93" s="4">
        <v>87622948</v>
      </c>
      <c r="K93" s="4">
        <v>539409</v>
      </c>
      <c r="M93" s="4">
        <v>1946461036</v>
      </c>
      <c r="O93" s="4">
        <v>1633707857</v>
      </c>
      <c r="Q93" s="4">
        <v>312753179</v>
      </c>
    </row>
    <row r="94" spans="1:17" ht="18.75" x14ac:dyDescent="0.45">
      <c r="A94" s="12" t="s">
        <v>136</v>
      </c>
      <c r="J94" s="6"/>
      <c r="K94" s="4">
        <v>800000</v>
      </c>
      <c r="M94" s="4">
        <v>3268436423</v>
      </c>
      <c r="O94" s="4">
        <v>2614078160</v>
      </c>
      <c r="Q94" s="4">
        <v>654358263</v>
      </c>
    </row>
    <row r="95" spans="1:17" ht="18.75" x14ac:dyDescent="0.45">
      <c r="A95" s="12" t="s">
        <v>137</v>
      </c>
      <c r="C95" s="4">
        <v>339048</v>
      </c>
      <c r="E95" s="4">
        <v>5005410364</v>
      </c>
      <c r="G95" s="4">
        <v>4268237746</v>
      </c>
      <c r="I95" s="4">
        <v>737172618</v>
      </c>
      <c r="K95" s="4">
        <v>1139048</v>
      </c>
      <c r="M95" s="4">
        <v>16432370410</v>
      </c>
      <c r="O95" s="4">
        <v>14240274673</v>
      </c>
      <c r="Q95" s="4">
        <v>2192095737</v>
      </c>
    </row>
    <row r="96" spans="1:17" ht="37.5" x14ac:dyDescent="0.45">
      <c r="A96" s="12" t="s">
        <v>139</v>
      </c>
      <c r="J96" s="6"/>
      <c r="K96" s="4">
        <v>300000</v>
      </c>
      <c r="M96" s="4">
        <v>6341843654</v>
      </c>
      <c r="O96" s="4">
        <v>6432566679</v>
      </c>
      <c r="Q96" s="4">
        <v>-90723025</v>
      </c>
    </row>
    <row r="97" spans="1:17" ht="18.75" x14ac:dyDescent="0.45">
      <c r="A97" s="12" t="s">
        <v>140</v>
      </c>
      <c r="J97" s="6"/>
      <c r="K97" s="4">
        <v>2328850</v>
      </c>
      <c r="M97" s="4">
        <v>12388606838</v>
      </c>
      <c r="O97" s="4">
        <v>10435486045</v>
      </c>
      <c r="Q97" s="4">
        <v>1953120793</v>
      </c>
    </row>
    <row r="98" spans="1:17" ht="18.75" x14ac:dyDescent="0.45">
      <c r="A98" s="12" t="s">
        <v>142</v>
      </c>
      <c r="C98" s="4">
        <v>266267</v>
      </c>
      <c r="E98" s="4">
        <v>992761300</v>
      </c>
      <c r="G98" s="4">
        <v>878066103</v>
      </c>
      <c r="I98" s="4">
        <v>114695197</v>
      </c>
      <c r="K98" s="4">
        <v>1466267</v>
      </c>
      <c r="M98" s="4">
        <v>5010614684</v>
      </c>
      <c r="O98" s="4">
        <v>4846099673</v>
      </c>
      <c r="Q98" s="4">
        <v>164515011</v>
      </c>
    </row>
    <row r="99" spans="1:17" ht="18.75" x14ac:dyDescent="0.45">
      <c r="A99" s="12" t="s">
        <v>144</v>
      </c>
      <c r="J99" s="6"/>
      <c r="K99" s="4">
        <v>3600000</v>
      </c>
      <c r="M99" s="4">
        <v>5579356894</v>
      </c>
      <c r="O99" s="4">
        <v>4577258897</v>
      </c>
      <c r="Q99" s="4">
        <v>1002097997</v>
      </c>
    </row>
    <row r="100" spans="1:17" ht="18.75" x14ac:dyDescent="0.45">
      <c r="A100" s="12" t="s">
        <v>146</v>
      </c>
      <c r="J100" s="6"/>
      <c r="K100" s="4">
        <v>9856287</v>
      </c>
      <c r="M100" s="4">
        <v>28338435472</v>
      </c>
      <c r="O100" s="4">
        <v>25076043041</v>
      </c>
      <c r="Q100" s="4">
        <v>3262392431</v>
      </c>
    </row>
    <row r="101" spans="1:17" ht="18.75" x14ac:dyDescent="0.45">
      <c r="A101" s="12" t="s">
        <v>147</v>
      </c>
      <c r="J101" s="6"/>
      <c r="K101" s="4">
        <v>3296006</v>
      </c>
      <c r="M101" s="4">
        <v>13580464920</v>
      </c>
      <c r="O101" s="4">
        <v>9537904341</v>
      </c>
      <c r="Q101" s="4">
        <v>4042560579</v>
      </c>
    </row>
    <row r="102" spans="1:17" ht="18.75" x14ac:dyDescent="0.45">
      <c r="A102" s="12" t="s">
        <v>148</v>
      </c>
      <c r="J102" s="6"/>
      <c r="K102" s="4">
        <v>400000</v>
      </c>
      <c r="M102" s="4">
        <v>453286827</v>
      </c>
      <c r="O102" s="4">
        <v>398414838</v>
      </c>
      <c r="Q102" s="4">
        <v>54871989</v>
      </c>
    </row>
    <row r="103" spans="1:17" ht="18.75" x14ac:dyDescent="0.45">
      <c r="A103" s="12" t="s">
        <v>151</v>
      </c>
      <c r="J103" s="6"/>
      <c r="K103" s="4">
        <v>2410435</v>
      </c>
      <c r="M103" s="4">
        <v>11361884136</v>
      </c>
      <c r="O103" s="4">
        <v>12658870197</v>
      </c>
      <c r="Q103" s="4">
        <v>-1296986061</v>
      </c>
    </row>
    <row r="104" spans="1:17" ht="18.75" x14ac:dyDescent="0.45">
      <c r="A104" s="12" t="s">
        <v>153</v>
      </c>
      <c r="J104" s="6"/>
      <c r="K104" s="4">
        <v>1537022</v>
      </c>
      <c r="M104" s="4">
        <v>4464836919</v>
      </c>
      <c r="O104" s="4">
        <v>4984711049</v>
      </c>
      <c r="Q104" s="4">
        <v>-519874130</v>
      </c>
    </row>
    <row r="105" spans="1:17" ht="18.75" x14ac:dyDescent="0.45">
      <c r="A105" s="12" t="s">
        <v>155</v>
      </c>
      <c r="J105" s="6"/>
      <c r="K105" s="4">
        <v>11800006</v>
      </c>
      <c r="M105" s="4">
        <v>48415656634</v>
      </c>
      <c r="O105" s="4">
        <v>51661554010</v>
      </c>
      <c r="Q105" s="4">
        <v>-3245897376</v>
      </c>
    </row>
    <row r="106" spans="1:17" ht="18.75" x14ac:dyDescent="0.45">
      <c r="A106" s="12" t="s">
        <v>158</v>
      </c>
      <c r="J106" s="6"/>
      <c r="K106" s="4">
        <v>444699</v>
      </c>
      <c r="M106" s="4">
        <v>4647411119</v>
      </c>
      <c r="O106" s="4">
        <v>5692349199</v>
      </c>
      <c r="Q106" s="4">
        <v>-1044938080</v>
      </c>
    </row>
    <row r="107" spans="1:17" ht="18.75" x14ac:dyDescent="0.45">
      <c r="A107" s="12" t="s">
        <v>159</v>
      </c>
      <c r="C107" s="4">
        <v>400000</v>
      </c>
      <c r="E107" s="4">
        <v>3334027215</v>
      </c>
      <c r="G107" s="4">
        <v>2329706024</v>
      </c>
      <c r="I107" s="4">
        <v>1004321191</v>
      </c>
      <c r="K107" s="4">
        <v>3241607</v>
      </c>
      <c r="M107" s="4">
        <v>20012916263</v>
      </c>
      <c r="O107" s="4">
        <v>19657757277</v>
      </c>
      <c r="Q107" s="4">
        <v>355158986</v>
      </c>
    </row>
    <row r="108" spans="1:17" ht="18.75" x14ac:dyDescent="0.45">
      <c r="A108" s="12" t="s">
        <v>160</v>
      </c>
      <c r="C108" s="4">
        <v>463829</v>
      </c>
      <c r="E108" s="4">
        <v>5823084674</v>
      </c>
      <c r="G108" s="4">
        <v>5111767969</v>
      </c>
      <c r="I108" s="4">
        <v>711316705</v>
      </c>
      <c r="K108" s="4">
        <v>563829</v>
      </c>
      <c r="M108" s="4">
        <v>6918527791</v>
      </c>
      <c r="O108" s="4">
        <v>6217071486</v>
      </c>
      <c r="Q108" s="4">
        <v>701456305</v>
      </c>
    </row>
    <row r="109" spans="1:17" ht="18.75" x14ac:dyDescent="0.45">
      <c r="A109" s="12" t="s">
        <v>161</v>
      </c>
      <c r="J109" s="6"/>
      <c r="K109" s="4">
        <v>13600000</v>
      </c>
      <c r="M109" s="4">
        <v>83964740939</v>
      </c>
      <c r="O109" s="4">
        <v>123462390802</v>
      </c>
      <c r="Q109" s="4">
        <v>-39497649863</v>
      </c>
    </row>
    <row r="110" spans="1:17" ht="18.75" x14ac:dyDescent="0.45">
      <c r="A110" s="12" t="s">
        <v>163</v>
      </c>
      <c r="J110" s="6"/>
      <c r="K110" s="4">
        <v>400000</v>
      </c>
      <c r="M110" s="4">
        <v>2171154321</v>
      </c>
      <c r="O110" s="4">
        <v>1961995973</v>
      </c>
      <c r="Q110" s="4">
        <v>209158348</v>
      </c>
    </row>
    <row r="111" spans="1:17" ht="18.75" x14ac:dyDescent="0.45">
      <c r="A111" s="12" t="s">
        <v>164</v>
      </c>
      <c r="J111" s="6"/>
      <c r="K111" s="4">
        <v>3509803</v>
      </c>
      <c r="M111" s="4">
        <v>15557848238</v>
      </c>
      <c r="O111" s="4">
        <v>12046786875</v>
      </c>
      <c r="Q111" s="4">
        <v>3511061363</v>
      </c>
    </row>
    <row r="112" spans="1:17" ht="18.75" x14ac:dyDescent="0.45">
      <c r="A112" s="12" t="s">
        <v>165</v>
      </c>
      <c r="C112" s="4">
        <v>3200000</v>
      </c>
      <c r="E112" s="4">
        <v>15498088959</v>
      </c>
      <c r="G112" s="4">
        <v>8161691375</v>
      </c>
      <c r="I112" s="4">
        <v>7336397584</v>
      </c>
      <c r="K112" s="4">
        <v>3813925</v>
      </c>
      <c r="M112" s="4">
        <v>17420282417</v>
      </c>
      <c r="O112" s="4">
        <v>9642986119</v>
      </c>
      <c r="Q112" s="4">
        <v>7777296298</v>
      </c>
    </row>
    <row r="113" spans="1:17" ht="18.75" x14ac:dyDescent="0.45">
      <c r="A113" s="12" t="s">
        <v>168</v>
      </c>
      <c r="J113" s="6"/>
      <c r="K113" s="4">
        <v>6452019</v>
      </c>
      <c r="M113" s="4">
        <v>37246543838</v>
      </c>
      <c r="O113" s="4">
        <v>35567757430</v>
      </c>
      <c r="Q113" s="4">
        <v>1678786408</v>
      </c>
    </row>
    <row r="114" spans="1:17" ht="18.75" x14ac:dyDescent="0.45">
      <c r="A114" s="12" t="s">
        <v>330</v>
      </c>
      <c r="J114" s="6"/>
      <c r="K114" s="4">
        <v>1313770</v>
      </c>
      <c r="M114" s="4">
        <v>34590634395</v>
      </c>
      <c r="O114" s="4">
        <v>45318479673</v>
      </c>
      <c r="Q114" s="4">
        <v>-10727845278</v>
      </c>
    </row>
    <row r="115" spans="1:17" ht="18.75" x14ac:dyDescent="0.45">
      <c r="A115" s="12" t="s">
        <v>332</v>
      </c>
      <c r="J115" s="6"/>
      <c r="K115" s="4">
        <v>411</v>
      </c>
      <c r="M115" s="4">
        <v>1101466</v>
      </c>
      <c r="O115" s="4">
        <v>992650</v>
      </c>
      <c r="Q115" s="4">
        <v>108816</v>
      </c>
    </row>
    <row r="116" spans="1:17" ht="18.75" x14ac:dyDescent="0.45">
      <c r="A116" s="12" t="s">
        <v>170</v>
      </c>
      <c r="C116" s="4">
        <v>1274323</v>
      </c>
      <c r="E116" s="4">
        <v>5005997703</v>
      </c>
      <c r="G116" s="4">
        <v>4333791442</v>
      </c>
      <c r="I116" s="4">
        <v>672206261</v>
      </c>
      <c r="K116" s="4">
        <v>4226455</v>
      </c>
      <c r="M116" s="4">
        <v>15953715691</v>
      </c>
      <c r="O116" s="4">
        <v>14398387606</v>
      </c>
      <c r="Q116" s="4">
        <v>1555328085</v>
      </c>
    </row>
    <row r="117" spans="1:17" ht="18.75" x14ac:dyDescent="0.45">
      <c r="A117" s="12" t="s">
        <v>172</v>
      </c>
      <c r="J117" s="6"/>
      <c r="K117" s="4">
        <v>571473</v>
      </c>
      <c r="M117" s="4">
        <v>2667536910</v>
      </c>
      <c r="O117" s="4">
        <v>3074348873</v>
      </c>
      <c r="Q117" s="4">
        <v>-406811963</v>
      </c>
    </row>
    <row r="118" spans="1:17" ht="18.75" x14ac:dyDescent="0.45">
      <c r="A118" s="12" t="s">
        <v>173</v>
      </c>
      <c r="C118" s="4">
        <v>100000</v>
      </c>
      <c r="E118" s="4">
        <v>1051806205</v>
      </c>
      <c r="G118" s="4">
        <v>692028053</v>
      </c>
      <c r="I118" s="4">
        <v>359778152</v>
      </c>
      <c r="K118" s="4">
        <v>2100000</v>
      </c>
      <c r="M118" s="4">
        <v>17240954284</v>
      </c>
      <c r="O118" s="4">
        <v>14599563083</v>
      </c>
      <c r="Q118" s="4">
        <v>2641391201</v>
      </c>
    </row>
    <row r="119" spans="1:17" ht="18.75" x14ac:dyDescent="0.45">
      <c r="A119" s="12" t="s">
        <v>175</v>
      </c>
      <c r="J119" s="6"/>
      <c r="K119" s="4">
        <v>9590999</v>
      </c>
      <c r="M119" s="4">
        <v>98431610004</v>
      </c>
      <c r="O119" s="4">
        <v>85311562654</v>
      </c>
      <c r="Q119" s="4">
        <v>13120047350</v>
      </c>
    </row>
    <row r="120" spans="1:17" ht="18.75" x14ac:dyDescent="0.45">
      <c r="A120" s="12" t="s">
        <v>176</v>
      </c>
      <c r="J120" s="6"/>
      <c r="K120" s="4">
        <v>1000000</v>
      </c>
      <c r="M120" s="4">
        <v>4284006369</v>
      </c>
      <c r="O120" s="4">
        <v>3549955462</v>
      </c>
      <c r="Q120" s="4">
        <v>734050907</v>
      </c>
    </row>
    <row r="121" spans="1:17" ht="18.75" x14ac:dyDescent="0.45">
      <c r="A121" s="12" t="s">
        <v>177</v>
      </c>
      <c r="J121" s="6"/>
      <c r="K121" s="4">
        <v>43914</v>
      </c>
      <c r="M121" s="4">
        <v>2950673506</v>
      </c>
      <c r="O121" s="4">
        <v>2231063574</v>
      </c>
      <c r="Q121" s="4">
        <v>719609932</v>
      </c>
    </row>
    <row r="122" spans="1:17" ht="18.75" x14ac:dyDescent="0.45">
      <c r="A122" s="12" t="s">
        <v>178</v>
      </c>
      <c r="J122" s="6"/>
      <c r="K122" s="4">
        <v>12403444</v>
      </c>
      <c r="M122" s="4">
        <v>40679472803</v>
      </c>
      <c r="O122" s="4">
        <v>39199039040</v>
      </c>
      <c r="Q122" s="4">
        <v>1480433763</v>
      </c>
    </row>
    <row r="123" spans="1:17" ht="18.75" x14ac:dyDescent="0.45">
      <c r="A123" s="12" t="s">
        <v>179</v>
      </c>
      <c r="J123" s="6"/>
      <c r="K123" s="4">
        <v>18800000</v>
      </c>
      <c r="M123" s="4">
        <v>28091711753</v>
      </c>
      <c r="O123" s="4">
        <v>29246986666</v>
      </c>
      <c r="Q123" s="4">
        <v>-1155274913</v>
      </c>
    </row>
    <row r="124" spans="1:17" ht="18.75" x14ac:dyDescent="0.45">
      <c r="A124" s="12" t="s">
        <v>337</v>
      </c>
      <c r="J124" s="6"/>
      <c r="K124" s="4">
        <v>177678</v>
      </c>
      <c r="M124" s="4">
        <v>5989000605</v>
      </c>
      <c r="O124" s="4">
        <v>6375488122</v>
      </c>
      <c r="Q124" s="4">
        <v>-386487517</v>
      </c>
    </row>
    <row r="125" spans="1:17" ht="37.5" x14ac:dyDescent="0.45">
      <c r="A125" s="12" t="s">
        <v>181</v>
      </c>
      <c r="C125" s="4">
        <v>30180</v>
      </c>
      <c r="E125" s="4">
        <v>588233810</v>
      </c>
      <c r="G125" s="4">
        <v>563225448</v>
      </c>
      <c r="I125" s="4">
        <v>25008362</v>
      </c>
      <c r="K125" s="4">
        <v>30180</v>
      </c>
      <c r="M125" s="4">
        <v>588233810</v>
      </c>
      <c r="O125" s="4">
        <v>563225448</v>
      </c>
      <c r="Q125" s="4">
        <v>25008362</v>
      </c>
    </row>
    <row r="126" spans="1:17" ht="18.75" x14ac:dyDescent="0.45">
      <c r="A126" s="12" t="s">
        <v>182</v>
      </c>
      <c r="C126" s="4">
        <v>21245</v>
      </c>
      <c r="E126" s="4">
        <v>864101020</v>
      </c>
      <c r="G126" s="4">
        <v>678574293</v>
      </c>
      <c r="I126" s="4">
        <v>185526727</v>
      </c>
      <c r="K126" s="4">
        <v>21245</v>
      </c>
      <c r="M126" s="4">
        <v>864101020</v>
      </c>
      <c r="O126" s="4">
        <v>678574293</v>
      </c>
      <c r="Q126" s="4">
        <v>185526727</v>
      </c>
    </row>
    <row r="127" spans="1:17" ht="18.75" x14ac:dyDescent="0.45">
      <c r="A127" s="12" t="s">
        <v>184</v>
      </c>
      <c r="C127" s="4">
        <v>446786</v>
      </c>
      <c r="E127" s="4">
        <v>7723642420</v>
      </c>
      <c r="G127" s="4">
        <v>7882135870</v>
      </c>
      <c r="I127" s="4">
        <v>-158493450</v>
      </c>
      <c r="K127" s="4">
        <v>541455</v>
      </c>
      <c r="M127" s="4">
        <v>9240585690</v>
      </c>
      <c r="O127" s="4">
        <v>9555942339</v>
      </c>
      <c r="Q127" s="4">
        <v>-315356649</v>
      </c>
    </row>
    <row r="128" spans="1:17" ht="18.75" x14ac:dyDescent="0.45">
      <c r="A128" s="12" t="s">
        <v>185</v>
      </c>
      <c r="J128" s="6"/>
      <c r="K128" s="4">
        <v>4260000</v>
      </c>
      <c r="M128" s="4">
        <v>14770469820</v>
      </c>
      <c r="O128" s="4">
        <v>14466092181</v>
      </c>
      <c r="Q128" s="4">
        <v>304377639</v>
      </c>
    </row>
    <row r="129" spans="1:17" ht="18.75" x14ac:dyDescent="0.45">
      <c r="A129" s="12" t="s">
        <v>186</v>
      </c>
      <c r="J129" s="6"/>
      <c r="K129" s="4">
        <v>3009494</v>
      </c>
      <c r="M129" s="4">
        <v>28410190787</v>
      </c>
      <c r="O129" s="4">
        <v>26933730534</v>
      </c>
      <c r="Q129" s="4">
        <v>1476460253</v>
      </c>
    </row>
    <row r="130" spans="1:17" ht="18.75" x14ac:dyDescent="0.45">
      <c r="A130" s="12" t="s">
        <v>191</v>
      </c>
      <c r="J130" s="6"/>
      <c r="K130" s="4">
        <v>237371</v>
      </c>
      <c r="M130" s="4">
        <v>15624371286</v>
      </c>
      <c r="O130" s="4">
        <v>14297382485</v>
      </c>
      <c r="Q130" s="4">
        <v>1326988801</v>
      </c>
    </row>
    <row r="131" spans="1:17" ht="18.75" x14ac:dyDescent="0.45">
      <c r="A131" s="12" t="s">
        <v>192</v>
      </c>
      <c r="J131" s="6"/>
      <c r="K131" s="4">
        <v>3146214</v>
      </c>
      <c r="M131" s="4">
        <v>18223860883</v>
      </c>
      <c r="O131" s="4">
        <v>21126603614</v>
      </c>
      <c r="Q131" s="4">
        <v>-2902742731</v>
      </c>
    </row>
    <row r="132" spans="1:17" ht="18.75" x14ac:dyDescent="0.45">
      <c r="A132" s="12" t="s">
        <v>193</v>
      </c>
      <c r="C132" s="4">
        <v>200000</v>
      </c>
      <c r="E132" s="4">
        <v>1445998446</v>
      </c>
      <c r="G132" s="4">
        <v>1292115821</v>
      </c>
      <c r="I132" s="4">
        <v>153882625</v>
      </c>
      <c r="K132" s="4">
        <v>400000</v>
      </c>
      <c r="M132" s="4">
        <v>2730311057</v>
      </c>
      <c r="O132" s="4">
        <v>2587808877</v>
      </c>
      <c r="Q132" s="4">
        <v>142502180</v>
      </c>
    </row>
    <row r="133" spans="1:17" ht="18.75" x14ac:dyDescent="0.45">
      <c r="A133" s="12" t="s">
        <v>195</v>
      </c>
      <c r="J133" s="6"/>
      <c r="K133" s="4">
        <v>400000</v>
      </c>
      <c r="M133" s="4">
        <v>1100960502</v>
      </c>
      <c r="O133" s="4">
        <v>1041139008</v>
      </c>
      <c r="Q133" s="4">
        <v>59821494</v>
      </c>
    </row>
    <row r="134" spans="1:17" ht="18.75" x14ac:dyDescent="0.45">
      <c r="A134" s="12" t="s">
        <v>196</v>
      </c>
      <c r="C134" s="4">
        <v>476433</v>
      </c>
      <c r="E134" s="4">
        <v>3785988084</v>
      </c>
      <c r="G134" s="4">
        <v>3295863778</v>
      </c>
      <c r="I134" s="4">
        <v>490124306</v>
      </c>
      <c r="K134" s="4">
        <v>4021192</v>
      </c>
      <c r="M134" s="4">
        <v>22550550705</v>
      </c>
      <c r="O134" s="4">
        <v>27924885047</v>
      </c>
      <c r="Q134" s="4">
        <v>-5374334342</v>
      </c>
    </row>
    <row r="135" spans="1:17" ht="18.75" x14ac:dyDescent="0.45">
      <c r="A135" s="12" t="s">
        <v>197</v>
      </c>
      <c r="C135" s="4">
        <v>279631</v>
      </c>
      <c r="E135" s="4">
        <v>10763682870</v>
      </c>
      <c r="G135" s="4">
        <v>7775844417</v>
      </c>
      <c r="I135" s="4">
        <v>2987838453</v>
      </c>
      <c r="K135" s="4">
        <v>479631</v>
      </c>
      <c r="M135" s="4">
        <v>16586827810</v>
      </c>
      <c r="O135" s="4">
        <v>13362466072</v>
      </c>
      <c r="Q135" s="4">
        <v>3224361738</v>
      </c>
    </row>
    <row r="136" spans="1:17" ht="18.75" x14ac:dyDescent="0.45">
      <c r="A136" s="12" t="s">
        <v>200</v>
      </c>
      <c r="C136" s="4">
        <v>2709144</v>
      </c>
      <c r="E136" s="4">
        <v>21492347516</v>
      </c>
      <c r="G136" s="4">
        <v>14390986623</v>
      </c>
      <c r="I136" s="4">
        <v>7101360893</v>
      </c>
      <c r="K136" s="4">
        <v>2709144</v>
      </c>
      <c r="M136" s="4">
        <v>21492347516</v>
      </c>
      <c r="O136" s="4">
        <v>14390986623</v>
      </c>
      <c r="Q136" s="4">
        <v>7101360893</v>
      </c>
    </row>
    <row r="137" spans="1:17" ht="18.75" x14ac:dyDescent="0.45">
      <c r="A137" s="12" t="s">
        <v>202</v>
      </c>
      <c r="J137" s="6"/>
      <c r="K137" s="4">
        <v>410397</v>
      </c>
      <c r="M137" s="4">
        <v>16360933038</v>
      </c>
      <c r="O137" s="4">
        <v>15107099583</v>
      </c>
      <c r="Q137" s="4">
        <v>1253833455</v>
      </c>
    </row>
    <row r="138" spans="1:17" ht="18.75" x14ac:dyDescent="0.45">
      <c r="A138" s="12" t="s">
        <v>203</v>
      </c>
      <c r="C138" s="4">
        <v>400000</v>
      </c>
      <c r="E138" s="4">
        <v>2570202568</v>
      </c>
      <c r="G138" s="4">
        <v>1566635643</v>
      </c>
      <c r="I138" s="4">
        <v>1003566925</v>
      </c>
      <c r="K138" s="4">
        <v>1200000</v>
      </c>
      <c r="M138" s="4">
        <v>7024201293</v>
      </c>
      <c r="O138" s="4">
        <v>4713291947</v>
      </c>
      <c r="Q138" s="4">
        <v>2310909346</v>
      </c>
    </row>
    <row r="139" spans="1:17" ht="18.75" x14ac:dyDescent="0.45">
      <c r="A139" s="12" t="s">
        <v>204</v>
      </c>
      <c r="C139" s="4">
        <v>48269</v>
      </c>
      <c r="E139" s="4">
        <v>1469490514</v>
      </c>
      <c r="G139" s="4">
        <v>889170739</v>
      </c>
      <c r="I139" s="4">
        <v>580319775</v>
      </c>
      <c r="K139" s="4">
        <v>5219976</v>
      </c>
      <c r="M139" s="4">
        <v>139680350598</v>
      </c>
      <c r="O139" s="4">
        <v>96557251517</v>
      </c>
      <c r="Q139" s="4">
        <v>43123099081</v>
      </c>
    </row>
    <row r="140" spans="1:17" ht="18.75" x14ac:dyDescent="0.45">
      <c r="A140" s="12" t="s">
        <v>205</v>
      </c>
      <c r="J140" s="6"/>
      <c r="K140" s="4">
        <v>278333</v>
      </c>
      <c r="M140" s="4">
        <v>11233412632</v>
      </c>
      <c r="O140" s="4">
        <v>10109587741</v>
      </c>
      <c r="Q140" s="4">
        <v>1123824891</v>
      </c>
    </row>
    <row r="141" spans="1:17" ht="18.75" x14ac:dyDescent="0.45">
      <c r="A141" s="12" t="s">
        <v>350</v>
      </c>
      <c r="C141" s="4">
        <v>204007</v>
      </c>
      <c r="E141" s="4">
        <v>5429414666</v>
      </c>
      <c r="G141" s="4">
        <v>5560341201</v>
      </c>
      <c r="I141" s="4">
        <v>-130926535</v>
      </c>
      <c r="K141" s="4">
        <v>204007</v>
      </c>
      <c r="M141" s="4">
        <v>5429414666</v>
      </c>
      <c r="O141" s="4">
        <v>5560341201</v>
      </c>
      <c r="Q141" s="4">
        <v>-130926535</v>
      </c>
    </row>
    <row r="142" spans="1:17" ht="18.75" x14ac:dyDescent="0.45">
      <c r="A142" s="12" t="s">
        <v>207</v>
      </c>
      <c r="J142" s="6"/>
      <c r="K142" s="4">
        <v>313138</v>
      </c>
      <c r="M142" s="4">
        <v>13117119461</v>
      </c>
      <c r="O142" s="4">
        <v>10224651314</v>
      </c>
      <c r="Q142" s="4">
        <v>2892468147</v>
      </c>
    </row>
    <row r="143" spans="1:17" ht="18.75" x14ac:dyDescent="0.45">
      <c r="A143" s="12" t="s">
        <v>208</v>
      </c>
      <c r="J143" s="6"/>
      <c r="K143" s="4">
        <v>66888</v>
      </c>
      <c r="M143" s="4">
        <v>17351055718</v>
      </c>
      <c r="O143" s="4">
        <v>17114520081</v>
      </c>
      <c r="Q143" s="4">
        <v>236535637</v>
      </c>
    </row>
    <row r="144" spans="1:17" ht="18.75" x14ac:dyDescent="0.45">
      <c r="A144" s="12" t="s">
        <v>211</v>
      </c>
      <c r="C144" s="4">
        <v>6587045</v>
      </c>
      <c r="E144" s="4">
        <v>16899621672</v>
      </c>
      <c r="G144" s="4">
        <v>14825528612</v>
      </c>
      <c r="I144" s="4">
        <v>2074093060</v>
      </c>
      <c r="K144" s="4">
        <v>15638636</v>
      </c>
      <c r="M144" s="4">
        <v>35988632875</v>
      </c>
      <c r="O144" s="4">
        <v>35404987129</v>
      </c>
      <c r="Q144" s="4">
        <v>583645746</v>
      </c>
    </row>
    <row r="145" spans="1:17" ht="18.75" x14ac:dyDescent="0.45">
      <c r="A145" s="12" t="s">
        <v>212</v>
      </c>
      <c r="J145" s="6"/>
      <c r="K145" s="4">
        <v>1569688</v>
      </c>
      <c r="M145" s="4">
        <v>20991550194</v>
      </c>
      <c r="O145" s="4">
        <v>19337309312</v>
      </c>
      <c r="Q145" s="4">
        <v>1654240882</v>
      </c>
    </row>
    <row r="146" spans="1:17" ht="18.75" x14ac:dyDescent="0.45">
      <c r="A146" s="12" t="s">
        <v>214</v>
      </c>
      <c r="C146" s="4">
        <v>200000</v>
      </c>
      <c r="E146" s="4">
        <v>1585647480</v>
      </c>
      <c r="G146" s="4">
        <v>1239608216</v>
      </c>
      <c r="I146" s="4">
        <v>346039264</v>
      </c>
      <c r="K146" s="4">
        <v>400000</v>
      </c>
      <c r="M146" s="4">
        <v>3172859568</v>
      </c>
      <c r="O146" s="4">
        <v>2482068520</v>
      </c>
      <c r="Q146" s="4">
        <v>690791048</v>
      </c>
    </row>
    <row r="147" spans="1:17" ht="18.75" x14ac:dyDescent="0.45">
      <c r="A147" s="12" t="s">
        <v>216</v>
      </c>
      <c r="J147" s="6"/>
      <c r="K147" s="4">
        <v>22615</v>
      </c>
      <c r="M147" s="4">
        <v>3798575984</v>
      </c>
      <c r="O147" s="4">
        <v>3068124327</v>
      </c>
      <c r="Q147" s="4">
        <v>730451657</v>
      </c>
    </row>
    <row r="148" spans="1:17" ht="18.75" x14ac:dyDescent="0.45">
      <c r="A148" s="12" t="s">
        <v>217</v>
      </c>
      <c r="C148" s="4">
        <v>400000</v>
      </c>
      <c r="E148" s="4">
        <v>1427282570</v>
      </c>
      <c r="G148" s="4">
        <v>1216641987</v>
      </c>
      <c r="I148" s="4">
        <v>210640583</v>
      </c>
      <c r="K148" s="4">
        <v>2000000</v>
      </c>
      <c r="M148" s="4">
        <v>6292250779</v>
      </c>
      <c r="O148" s="4">
        <v>5991618120</v>
      </c>
      <c r="Q148" s="4">
        <v>300632659</v>
      </c>
    </row>
    <row r="149" spans="1:17" ht="18.75" x14ac:dyDescent="0.45">
      <c r="A149" s="12" t="s">
        <v>221</v>
      </c>
      <c r="J149" s="6"/>
      <c r="K149" s="4">
        <v>3200000</v>
      </c>
      <c r="M149" s="4">
        <v>6511425291</v>
      </c>
      <c r="O149" s="4">
        <v>8137694993</v>
      </c>
      <c r="Q149" s="4">
        <v>-1626269702</v>
      </c>
    </row>
    <row r="150" spans="1:17" ht="37.5" x14ac:dyDescent="0.45">
      <c r="A150" s="12" t="s">
        <v>223</v>
      </c>
      <c r="C150" s="4">
        <v>6390198</v>
      </c>
      <c r="E150" s="4">
        <v>7354252725</v>
      </c>
      <c r="G150" s="4">
        <v>8441920773</v>
      </c>
      <c r="I150" s="4">
        <v>-1087668048</v>
      </c>
      <c r="K150" s="4">
        <v>14001653</v>
      </c>
      <c r="M150" s="4">
        <v>14622007930</v>
      </c>
      <c r="O150" s="4">
        <v>18521950235</v>
      </c>
      <c r="Q150" s="4">
        <v>-3899942305</v>
      </c>
    </row>
    <row r="151" spans="1:17" ht="37.5" x14ac:dyDescent="0.45">
      <c r="A151" s="12" t="s">
        <v>351</v>
      </c>
      <c r="J151" s="6"/>
      <c r="K151" s="4">
        <v>2283</v>
      </c>
      <c r="M151" s="4">
        <v>11846355</v>
      </c>
      <c r="O151" s="4">
        <v>11510074</v>
      </c>
      <c r="Q151" s="4">
        <v>336281</v>
      </c>
    </row>
    <row r="152" spans="1:17" ht="18.75" x14ac:dyDescent="0.45">
      <c r="A152" s="12" t="s">
        <v>224</v>
      </c>
      <c r="J152" s="6"/>
      <c r="K152" s="4">
        <v>3200000</v>
      </c>
      <c r="M152" s="4">
        <v>6285199307</v>
      </c>
      <c r="O152" s="4">
        <v>5972375577</v>
      </c>
      <c r="Q152" s="4">
        <v>312823730</v>
      </c>
    </row>
    <row r="153" spans="1:17" ht="18.75" x14ac:dyDescent="0.45">
      <c r="A153" s="7" t="s">
        <v>225</v>
      </c>
      <c r="C153" s="7">
        <f>SUM(C9:$C$152)</f>
        <v>67061758</v>
      </c>
      <c r="E153" s="7">
        <f>SUM(E9:$E$152)</f>
        <v>307252182973</v>
      </c>
      <c r="G153" s="7">
        <f>SUM(G9:$G$152)</f>
        <v>249732300019</v>
      </c>
      <c r="I153" s="7">
        <f>SUM(I9:$I$152)</f>
        <v>57519882954</v>
      </c>
      <c r="K153" s="7">
        <f>SUM(K9:$K$152)</f>
        <v>538223792</v>
      </c>
      <c r="M153" s="7">
        <f>SUM(M9:$M$152)</f>
        <v>2494651265315</v>
      </c>
      <c r="O153" s="7">
        <f>SUM(O9:$O$152)</f>
        <v>2404438418503</v>
      </c>
      <c r="Q153" s="7">
        <f>SUM(Q9:$Q$152)</f>
        <v>90212846812</v>
      </c>
    </row>
    <row r="154" spans="1:17" ht="18.75" x14ac:dyDescent="0.45">
      <c r="C154" s="9"/>
      <c r="E154" s="9"/>
      <c r="G154" s="9"/>
      <c r="I154" s="9"/>
      <c r="K154" s="9"/>
      <c r="M154" s="9"/>
      <c r="O154" s="9"/>
      <c r="Q154" s="9"/>
    </row>
    <row r="156" spans="1:17" ht="18.75" x14ac:dyDescent="0.45">
      <c r="A156" s="40" t="s">
        <v>352</v>
      </c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2"/>
    </row>
  </sheetData>
  <mergeCells count="7">
    <mergeCell ref="A156:Q156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20"/>
  <sheetViews>
    <sheetView rightToLeft="1" view="pageBreakPreview" topLeftCell="A184" zoomScale="84" zoomScaleNormal="100" zoomScaleSheetLayoutView="84" workbookViewId="0">
      <selection activeCell="AM35" sqref="AM35"/>
    </sheetView>
  </sheetViews>
  <sheetFormatPr defaultRowHeight="18" x14ac:dyDescent="0.45"/>
  <cols>
    <col min="1" max="1" width="22.5703125" style="1" bestFit="1" customWidth="1"/>
    <col min="2" max="2" width="1.42578125" style="1" customWidth="1"/>
    <col min="3" max="3" width="13.42578125" style="1" bestFit="1" customWidth="1"/>
    <col min="4" max="4" width="1.42578125" style="1" customWidth="1"/>
    <col min="5" max="5" width="19.140625" style="1" bestFit="1" customWidth="1"/>
    <col min="6" max="6" width="1.42578125" style="1" customWidth="1"/>
    <col min="7" max="7" width="19.7109375" style="1" bestFit="1" customWidth="1"/>
    <col min="8" max="8" width="1.42578125" style="1" customWidth="1"/>
    <col min="9" max="9" width="18.28515625" style="1" bestFit="1" customWidth="1"/>
    <col min="10" max="10" width="1.42578125" style="1" customWidth="1"/>
    <col min="11" max="11" width="13.42578125" style="1" bestFit="1" customWidth="1"/>
    <col min="12" max="12" width="1.42578125" style="1" customWidth="1"/>
    <col min="13" max="13" width="19.140625" style="1" bestFit="1" customWidth="1"/>
    <col min="14" max="14" width="1.42578125" style="1" customWidth="1"/>
    <col min="15" max="15" width="19.85546875" style="1" bestFit="1" customWidth="1"/>
    <col min="16" max="16" width="1.42578125" style="1" customWidth="1"/>
    <col min="17" max="17" width="18.28515625" style="1" bestFit="1" customWidth="1"/>
    <col min="18" max="16384" width="9.140625" style="1"/>
  </cols>
  <sheetData>
    <row r="1" spans="1:1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0.100000000000001" customHeight="1" x14ac:dyDescent="0.45">
      <c r="A2" s="34" t="s">
        <v>263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5" spans="1:17" ht="21" x14ac:dyDescent="0.45">
      <c r="A5" s="35" t="s">
        <v>353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7" spans="1:17" ht="21" x14ac:dyDescent="0.45">
      <c r="C7" s="28" t="s">
        <v>275</v>
      </c>
      <c r="D7" s="29"/>
      <c r="E7" s="29"/>
      <c r="F7" s="29"/>
      <c r="G7" s="29"/>
      <c r="H7" s="29"/>
      <c r="I7" s="29"/>
      <c r="K7" s="28" t="s">
        <v>7</v>
      </c>
      <c r="L7" s="29"/>
      <c r="M7" s="29"/>
      <c r="N7" s="29"/>
      <c r="O7" s="29"/>
      <c r="P7" s="29"/>
      <c r="Q7" s="29"/>
    </row>
    <row r="8" spans="1:17" ht="42" x14ac:dyDescent="0.45">
      <c r="A8" s="13" t="s">
        <v>265</v>
      </c>
      <c r="C8" s="11" t="s">
        <v>9</v>
      </c>
      <c r="E8" s="11" t="s">
        <v>11</v>
      </c>
      <c r="G8" s="11" t="s">
        <v>348</v>
      </c>
      <c r="I8" s="11" t="s">
        <v>354</v>
      </c>
      <c r="K8" s="11" t="s">
        <v>9</v>
      </c>
      <c r="M8" s="11" t="s">
        <v>11</v>
      </c>
      <c r="O8" s="11" t="s">
        <v>348</v>
      </c>
      <c r="Q8" s="11" t="s">
        <v>354</v>
      </c>
    </row>
    <row r="9" spans="1:17" ht="18.75" x14ac:dyDescent="0.45">
      <c r="A9" s="12" t="s">
        <v>17</v>
      </c>
      <c r="C9" s="4">
        <v>1341550</v>
      </c>
      <c r="E9" s="4">
        <v>14536483618</v>
      </c>
      <c r="G9" s="4">
        <v>12239020152</v>
      </c>
      <c r="I9" s="4">
        <v>2297463466</v>
      </c>
      <c r="K9" s="4">
        <v>1341550</v>
      </c>
      <c r="M9" s="4">
        <v>14536483618</v>
      </c>
      <c r="O9" s="4">
        <v>11427298293</v>
      </c>
      <c r="Q9" s="4">
        <v>3109185325</v>
      </c>
    </row>
    <row r="10" spans="1:17" ht="18.75" x14ac:dyDescent="0.45">
      <c r="A10" s="12" t="s">
        <v>18</v>
      </c>
      <c r="C10" s="4">
        <v>108909</v>
      </c>
      <c r="E10" s="4">
        <v>14734953643</v>
      </c>
      <c r="G10" s="4">
        <v>11449712787</v>
      </c>
      <c r="I10" s="4">
        <v>3285240856</v>
      </c>
      <c r="K10" s="4">
        <v>108909</v>
      </c>
      <c r="M10" s="4">
        <v>14734953643</v>
      </c>
      <c r="O10" s="4">
        <v>9972240615</v>
      </c>
      <c r="Q10" s="4">
        <v>4762713028</v>
      </c>
    </row>
    <row r="11" spans="1:17" ht="18.75" x14ac:dyDescent="0.45">
      <c r="A11" s="12" t="s">
        <v>19</v>
      </c>
      <c r="C11" s="4">
        <v>2800000</v>
      </c>
      <c r="E11" s="4">
        <v>15975547000</v>
      </c>
      <c r="G11" s="4">
        <v>15777920621</v>
      </c>
      <c r="I11" s="4">
        <v>197626379</v>
      </c>
      <c r="K11" s="4">
        <v>2800000</v>
      </c>
      <c r="M11" s="4">
        <v>15975547000</v>
      </c>
      <c r="O11" s="4">
        <v>15777920621</v>
      </c>
      <c r="Q11" s="4">
        <v>197626379</v>
      </c>
    </row>
    <row r="12" spans="1:17" ht="18.75" x14ac:dyDescent="0.45">
      <c r="A12" s="12" t="s">
        <v>20</v>
      </c>
      <c r="C12" s="4">
        <v>50000</v>
      </c>
      <c r="E12" s="4">
        <v>1590112675</v>
      </c>
      <c r="G12" s="4">
        <v>1364371250</v>
      </c>
      <c r="I12" s="4">
        <v>225741425</v>
      </c>
      <c r="K12" s="4">
        <v>50000</v>
      </c>
      <c r="M12" s="4">
        <v>1590112675</v>
      </c>
      <c r="O12" s="4">
        <v>1304690625</v>
      </c>
      <c r="Q12" s="4">
        <v>285422050</v>
      </c>
    </row>
    <row r="13" spans="1:17" ht="18.75" x14ac:dyDescent="0.45">
      <c r="A13" s="12" t="s">
        <v>21</v>
      </c>
      <c r="C13" s="4">
        <v>3814542</v>
      </c>
      <c r="E13" s="4">
        <v>19265932955</v>
      </c>
      <c r="G13" s="4">
        <v>17008253147</v>
      </c>
      <c r="I13" s="4">
        <v>2257679808</v>
      </c>
      <c r="K13" s="4">
        <v>3814542</v>
      </c>
      <c r="M13" s="4">
        <v>19265932955</v>
      </c>
      <c r="O13" s="4">
        <v>16572695909</v>
      </c>
      <c r="Q13" s="4">
        <v>2693237046</v>
      </c>
    </row>
    <row r="14" spans="1:17" ht="18.75" x14ac:dyDescent="0.45">
      <c r="A14" s="12" t="s">
        <v>22</v>
      </c>
      <c r="C14" s="4">
        <v>245000</v>
      </c>
      <c r="E14" s="4">
        <v>2365422839</v>
      </c>
      <c r="G14" s="4">
        <v>2693616142</v>
      </c>
      <c r="I14" s="4">
        <v>-328193303</v>
      </c>
      <c r="K14" s="4">
        <v>245000</v>
      </c>
      <c r="M14" s="4">
        <v>2365422839</v>
      </c>
      <c r="O14" s="4">
        <v>1736456242</v>
      </c>
      <c r="Q14" s="4">
        <v>628966597</v>
      </c>
    </row>
    <row r="15" spans="1:17" ht="18.75" x14ac:dyDescent="0.45">
      <c r="A15" s="12" t="s">
        <v>23</v>
      </c>
      <c r="C15" s="4">
        <v>2124125</v>
      </c>
      <c r="E15" s="4">
        <v>11170839223</v>
      </c>
      <c r="G15" s="4">
        <v>9583736971</v>
      </c>
      <c r="I15" s="4">
        <v>1587102252</v>
      </c>
      <c r="K15" s="4">
        <v>2124125</v>
      </c>
      <c r="M15" s="4">
        <v>11170839223</v>
      </c>
      <c r="O15" s="4">
        <v>8803931592</v>
      </c>
      <c r="Q15" s="4">
        <v>2366907631</v>
      </c>
    </row>
    <row r="16" spans="1:17" ht="18.75" x14ac:dyDescent="0.45">
      <c r="A16" s="12" t="s">
        <v>24</v>
      </c>
      <c r="C16" s="4">
        <v>2798170</v>
      </c>
      <c r="E16" s="4">
        <v>34817813430</v>
      </c>
      <c r="G16" s="4">
        <v>30369027490</v>
      </c>
      <c r="I16" s="4">
        <v>4448785940</v>
      </c>
      <c r="K16" s="4">
        <v>2798170</v>
      </c>
      <c r="M16" s="4">
        <v>34817813430</v>
      </c>
      <c r="O16" s="4">
        <v>25516180441</v>
      </c>
      <c r="Q16" s="4">
        <v>9301632989</v>
      </c>
    </row>
    <row r="17" spans="1:17" ht="18.75" x14ac:dyDescent="0.45">
      <c r="A17" s="12" t="s">
        <v>25</v>
      </c>
      <c r="C17" s="4">
        <v>3800000</v>
      </c>
      <c r="E17" s="4">
        <v>18623121814</v>
      </c>
      <c r="G17" s="4">
        <v>17546706186</v>
      </c>
      <c r="I17" s="4">
        <v>1076415628</v>
      </c>
      <c r="K17" s="4">
        <v>3800000</v>
      </c>
      <c r="M17" s="4">
        <v>18623121814</v>
      </c>
      <c r="O17" s="4">
        <v>14347988206</v>
      </c>
      <c r="Q17" s="4">
        <v>4275133608</v>
      </c>
    </row>
    <row r="18" spans="1:17" ht="18.75" x14ac:dyDescent="0.45">
      <c r="A18" s="12" t="s">
        <v>26</v>
      </c>
      <c r="C18" s="4">
        <v>6800000</v>
      </c>
      <c r="E18" s="4">
        <v>30781803032</v>
      </c>
      <c r="G18" s="4">
        <v>30411695494</v>
      </c>
      <c r="I18" s="4">
        <v>370107538</v>
      </c>
      <c r="K18" s="4">
        <v>6800000</v>
      </c>
      <c r="M18" s="4">
        <v>30781803032</v>
      </c>
      <c r="O18" s="4">
        <v>29367362362</v>
      </c>
      <c r="Q18" s="4">
        <v>1414440670</v>
      </c>
    </row>
    <row r="19" spans="1:17" ht="18.75" x14ac:dyDescent="0.45">
      <c r="A19" s="12" t="s">
        <v>27</v>
      </c>
      <c r="C19" s="4">
        <v>5816855</v>
      </c>
      <c r="E19" s="4">
        <v>17436881837</v>
      </c>
      <c r="G19" s="4">
        <v>14198690104</v>
      </c>
      <c r="I19" s="4">
        <v>3238191733</v>
      </c>
      <c r="K19" s="4">
        <v>5816855</v>
      </c>
      <c r="M19" s="4">
        <v>17436881837</v>
      </c>
      <c r="O19" s="4">
        <v>19273135408</v>
      </c>
      <c r="Q19" s="4">
        <v>-1836253571</v>
      </c>
    </row>
    <row r="20" spans="1:17" ht="18.75" x14ac:dyDescent="0.45">
      <c r="A20" s="12" t="s">
        <v>28</v>
      </c>
      <c r="C20" s="4">
        <v>1946586</v>
      </c>
      <c r="E20" s="4">
        <v>38341046971</v>
      </c>
      <c r="G20" s="4">
        <v>32118181361</v>
      </c>
      <c r="I20" s="4">
        <v>6222865610</v>
      </c>
      <c r="K20" s="4">
        <v>1946586</v>
      </c>
      <c r="M20" s="4">
        <v>38341046971</v>
      </c>
      <c r="O20" s="4">
        <v>29064286080</v>
      </c>
      <c r="Q20" s="4">
        <v>9276760891</v>
      </c>
    </row>
    <row r="21" spans="1:17" ht="18.75" x14ac:dyDescent="0.45">
      <c r="A21" s="12" t="s">
        <v>29</v>
      </c>
      <c r="C21" s="4">
        <v>15409456</v>
      </c>
      <c r="E21" s="4">
        <v>37614238627</v>
      </c>
      <c r="G21" s="4">
        <v>32944359346</v>
      </c>
      <c r="I21" s="4">
        <v>4669879281</v>
      </c>
      <c r="K21" s="4">
        <v>15409456</v>
      </c>
      <c r="M21" s="4">
        <v>37614238627</v>
      </c>
      <c r="O21" s="4">
        <v>29649046575</v>
      </c>
      <c r="Q21" s="4">
        <v>7965192052</v>
      </c>
    </row>
    <row r="22" spans="1:17" ht="18.75" x14ac:dyDescent="0.45">
      <c r="A22" s="12" t="s">
        <v>30</v>
      </c>
      <c r="C22" s="4">
        <v>2257436</v>
      </c>
      <c r="E22" s="4">
        <v>2941101644</v>
      </c>
      <c r="G22" s="4">
        <v>1503221303</v>
      </c>
      <c r="I22" s="4">
        <v>1437880341</v>
      </c>
      <c r="K22" s="4">
        <v>2257436</v>
      </c>
      <c r="M22" s="4">
        <v>2941101644</v>
      </c>
      <c r="O22" s="4">
        <v>1503221303</v>
      </c>
      <c r="Q22" s="4">
        <v>1437880341</v>
      </c>
    </row>
    <row r="23" spans="1:17" ht="18.75" x14ac:dyDescent="0.45">
      <c r="A23" s="12" t="s">
        <v>31</v>
      </c>
      <c r="C23" s="4">
        <v>49966373</v>
      </c>
      <c r="E23" s="4">
        <v>30838842687</v>
      </c>
      <c r="G23" s="4">
        <v>28072686478</v>
      </c>
      <c r="I23" s="4">
        <v>2766156209</v>
      </c>
      <c r="K23" s="4">
        <v>49966373</v>
      </c>
      <c r="M23" s="4">
        <v>30838842687</v>
      </c>
      <c r="O23" s="4">
        <v>23839426802</v>
      </c>
      <c r="Q23" s="4">
        <v>6999415885</v>
      </c>
    </row>
    <row r="24" spans="1:17" ht="18.75" x14ac:dyDescent="0.45">
      <c r="A24" s="12" t="s">
        <v>32</v>
      </c>
      <c r="C24" s="4">
        <v>1750000</v>
      </c>
      <c r="E24" s="4">
        <v>6529136600</v>
      </c>
      <c r="G24" s="4">
        <v>6277348087</v>
      </c>
      <c r="I24" s="4">
        <v>251788513</v>
      </c>
      <c r="K24" s="4">
        <v>1750000</v>
      </c>
      <c r="M24" s="4">
        <v>6529136600</v>
      </c>
      <c r="O24" s="4">
        <v>4695146662</v>
      </c>
      <c r="Q24" s="4">
        <v>1833989938</v>
      </c>
    </row>
    <row r="25" spans="1:17" ht="18.75" x14ac:dyDescent="0.45">
      <c r="A25" s="12" t="s">
        <v>33</v>
      </c>
      <c r="C25" s="4">
        <v>9109504</v>
      </c>
      <c r="E25" s="4">
        <v>16523452012</v>
      </c>
      <c r="G25" s="4">
        <v>13902116627</v>
      </c>
      <c r="I25" s="4">
        <v>2621335385</v>
      </c>
      <c r="K25" s="4">
        <v>9109504</v>
      </c>
      <c r="M25" s="4">
        <v>16523452012</v>
      </c>
      <c r="O25" s="4">
        <v>11695704176</v>
      </c>
      <c r="Q25" s="4">
        <v>4827747836</v>
      </c>
    </row>
    <row r="26" spans="1:17" ht="18.75" x14ac:dyDescent="0.45">
      <c r="A26" s="12" t="s">
        <v>34</v>
      </c>
      <c r="C26" s="4">
        <v>28966397</v>
      </c>
      <c r="E26" s="4">
        <v>16958067183</v>
      </c>
      <c r="G26" s="4">
        <v>13480226286</v>
      </c>
      <c r="I26" s="4">
        <v>3477840897</v>
      </c>
      <c r="K26" s="4">
        <v>28966397</v>
      </c>
      <c r="M26" s="4">
        <v>16958067183</v>
      </c>
      <c r="O26" s="4">
        <v>11160852097</v>
      </c>
      <c r="Q26" s="4">
        <v>5797215086</v>
      </c>
    </row>
    <row r="27" spans="1:17" ht="18.75" x14ac:dyDescent="0.45">
      <c r="A27" s="12" t="s">
        <v>35</v>
      </c>
      <c r="C27" s="4">
        <v>3600000</v>
      </c>
      <c r="E27" s="4">
        <v>9930638160</v>
      </c>
      <c r="G27" s="4">
        <v>9973298250</v>
      </c>
      <c r="I27" s="4">
        <v>-42660090</v>
      </c>
      <c r="K27" s="4">
        <v>3600000</v>
      </c>
      <c r="M27" s="4">
        <v>9930638160</v>
      </c>
      <c r="O27" s="4">
        <v>9973298250</v>
      </c>
      <c r="Q27" s="4">
        <v>-42660090</v>
      </c>
    </row>
    <row r="28" spans="1:17" ht="18.75" x14ac:dyDescent="0.45">
      <c r="A28" s="12" t="s">
        <v>36</v>
      </c>
      <c r="C28" s="4">
        <v>5421007</v>
      </c>
      <c r="E28" s="4">
        <v>19327115699</v>
      </c>
      <c r="G28" s="4">
        <v>19979115074</v>
      </c>
      <c r="I28" s="4">
        <v>-651999375</v>
      </c>
      <c r="K28" s="4">
        <v>5421007</v>
      </c>
      <c r="M28" s="4">
        <v>19327115699</v>
      </c>
      <c r="O28" s="4">
        <v>19979115074</v>
      </c>
      <c r="Q28" s="4">
        <v>-651999375</v>
      </c>
    </row>
    <row r="29" spans="1:17" ht="18.75" x14ac:dyDescent="0.45">
      <c r="A29" s="12" t="s">
        <v>37</v>
      </c>
      <c r="C29" s="4">
        <v>35600000</v>
      </c>
      <c r="E29" s="4">
        <v>23561649604</v>
      </c>
      <c r="G29" s="4">
        <v>19534621036</v>
      </c>
      <c r="I29" s="4">
        <v>4027028568</v>
      </c>
      <c r="K29" s="4">
        <v>35600000</v>
      </c>
      <c r="M29" s="4">
        <v>23561649604</v>
      </c>
      <c r="O29" s="4">
        <v>18338590879</v>
      </c>
      <c r="Q29" s="4">
        <v>5223058725</v>
      </c>
    </row>
    <row r="30" spans="1:17" ht="18.75" x14ac:dyDescent="0.45">
      <c r="A30" s="12" t="s">
        <v>38</v>
      </c>
      <c r="C30" s="4">
        <v>13980938</v>
      </c>
      <c r="E30" s="4">
        <v>20448603525</v>
      </c>
      <c r="G30" s="4">
        <v>16564201227</v>
      </c>
      <c r="I30" s="4">
        <v>3884402298</v>
      </c>
      <c r="K30" s="4">
        <v>13980938</v>
      </c>
      <c r="M30" s="4">
        <v>20448603525</v>
      </c>
      <c r="O30" s="4">
        <v>14363242088</v>
      </c>
      <c r="Q30" s="4">
        <v>6085361437</v>
      </c>
    </row>
    <row r="31" spans="1:17" ht="18.75" x14ac:dyDescent="0.45">
      <c r="A31" s="12" t="s">
        <v>39</v>
      </c>
      <c r="C31" s="4">
        <v>4260139</v>
      </c>
      <c r="E31" s="4">
        <v>23080556365</v>
      </c>
      <c r="G31" s="4">
        <v>20317965305</v>
      </c>
      <c r="I31" s="4">
        <v>2762591060</v>
      </c>
      <c r="K31" s="4">
        <v>4260139</v>
      </c>
      <c r="M31" s="4">
        <v>23080556365</v>
      </c>
      <c r="O31" s="4">
        <v>17738464357</v>
      </c>
      <c r="Q31" s="4">
        <v>5342092008</v>
      </c>
    </row>
    <row r="32" spans="1:17" ht="18.75" x14ac:dyDescent="0.45">
      <c r="A32" s="12" t="s">
        <v>40</v>
      </c>
      <c r="C32" s="4">
        <v>5552212</v>
      </c>
      <c r="E32" s="4">
        <v>30301113707</v>
      </c>
      <c r="G32" s="4">
        <v>32744452978</v>
      </c>
      <c r="I32" s="4">
        <v>-2443339271</v>
      </c>
      <c r="K32" s="4">
        <v>5552212</v>
      </c>
      <c r="M32" s="4">
        <v>30301113707</v>
      </c>
      <c r="O32" s="4">
        <v>23310392086</v>
      </c>
      <c r="Q32" s="4">
        <v>6990721621</v>
      </c>
    </row>
    <row r="33" spans="1:17" ht="18.75" x14ac:dyDescent="0.45">
      <c r="A33" s="12" t="s">
        <v>41</v>
      </c>
      <c r="C33" s="4">
        <v>16531416</v>
      </c>
      <c r="E33" s="4">
        <v>29231265371</v>
      </c>
      <c r="G33" s="4">
        <v>22645596532</v>
      </c>
      <c r="I33" s="4">
        <v>6585668839</v>
      </c>
      <c r="K33" s="4">
        <v>16531416</v>
      </c>
      <c r="M33" s="4">
        <v>29231265371</v>
      </c>
      <c r="O33" s="4">
        <v>23880997927</v>
      </c>
      <c r="Q33" s="4">
        <v>5350267444</v>
      </c>
    </row>
    <row r="34" spans="1:17" ht="18.75" x14ac:dyDescent="0.45">
      <c r="A34" s="12" t="s">
        <v>42</v>
      </c>
      <c r="C34" s="4">
        <v>6410264</v>
      </c>
      <c r="E34" s="4">
        <v>13611925091</v>
      </c>
      <c r="G34" s="4">
        <v>13354881839</v>
      </c>
      <c r="I34" s="4">
        <v>257043252</v>
      </c>
      <c r="K34" s="4">
        <v>6410264</v>
      </c>
      <c r="M34" s="4">
        <v>13611925091</v>
      </c>
      <c r="O34" s="4">
        <v>8608387640</v>
      </c>
      <c r="Q34" s="4">
        <v>5003537451</v>
      </c>
    </row>
    <row r="35" spans="1:17" ht="18.75" x14ac:dyDescent="0.45">
      <c r="A35" s="12" t="s">
        <v>43</v>
      </c>
      <c r="C35" s="4">
        <v>7441661</v>
      </c>
      <c r="E35" s="4">
        <v>19508889850</v>
      </c>
      <c r="G35" s="4">
        <v>17251340988</v>
      </c>
      <c r="I35" s="4">
        <v>2257548862</v>
      </c>
      <c r="K35" s="4">
        <v>7441661</v>
      </c>
      <c r="M35" s="4">
        <v>19508889850</v>
      </c>
      <c r="O35" s="4">
        <v>15712795568</v>
      </c>
      <c r="Q35" s="4">
        <v>3796094282</v>
      </c>
    </row>
    <row r="36" spans="1:17" ht="18.75" x14ac:dyDescent="0.45">
      <c r="A36" s="12" t="s">
        <v>44</v>
      </c>
      <c r="C36" s="4">
        <v>2875000</v>
      </c>
      <c r="E36" s="4">
        <v>6475802087</v>
      </c>
      <c r="G36" s="4">
        <v>5677024737</v>
      </c>
      <c r="I36" s="4">
        <v>798777350</v>
      </c>
      <c r="K36" s="4">
        <v>2875000</v>
      </c>
      <c r="M36" s="4">
        <v>6475802087</v>
      </c>
      <c r="O36" s="4">
        <v>5893653906</v>
      </c>
      <c r="Q36" s="4">
        <v>582148181</v>
      </c>
    </row>
    <row r="37" spans="1:17" ht="18.75" x14ac:dyDescent="0.45">
      <c r="A37" s="12" t="s">
        <v>45</v>
      </c>
      <c r="C37" s="4">
        <v>7463245</v>
      </c>
      <c r="E37" s="4">
        <v>11360120014</v>
      </c>
      <c r="G37" s="4">
        <v>10322320772</v>
      </c>
      <c r="I37" s="4">
        <v>1037799242</v>
      </c>
      <c r="K37" s="4">
        <v>7463245</v>
      </c>
      <c r="M37" s="4">
        <v>11360120014</v>
      </c>
      <c r="O37" s="4">
        <v>9800050464</v>
      </c>
      <c r="Q37" s="4">
        <v>1560069550</v>
      </c>
    </row>
    <row r="38" spans="1:17" ht="18.75" x14ac:dyDescent="0.45">
      <c r="A38" s="12" t="s">
        <v>46</v>
      </c>
      <c r="C38" s="4">
        <v>7265469</v>
      </c>
      <c r="E38" s="4">
        <v>20474431666</v>
      </c>
      <c r="G38" s="4">
        <v>17129207286</v>
      </c>
      <c r="I38" s="4">
        <v>3345224380</v>
      </c>
      <c r="K38" s="4">
        <v>7265469</v>
      </c>
      <c r="M38" s="4">
        <v>20474431666</v>
      </c>
      <c r="O38" s="4">
        <v>16049679533</v>
      </c>
      <c r="Q38" s="4">
        <v>4424752133</v>
      </c>
    </row>
    <row r="39" spans="1:17" ht="18.75" x14ac:dyDescent="0.45">
      <c r="A39" s="12" t="s">
        <v>47</v>
      </c>
      <c r="C39" s="4">
        <v>12393399</v>
      </c>
      <c r="E39" s="4">
        <v>22430818799</v>
      </c>
      <c r="G39" s="4">
        <v>18606265813</v>
      </c>
      <c r="I39" s="4">
        <v>3824552986</v>
      </c>
      <c r="K39" s="4">
        <v>12393399</v>
      </c>
      <c r="M39" s="4">
        <v>22430818799</v>
      </c>
      <c r="O39" s="4">
        <v>18510273240</v>
      </c>
      <c r="Q39" s="4">
        <v>3920545559</v>
      </c>
    </row>
    <row r="40" spans="1:17" ht="18.75" x14ac:dyDescent="0.45">
      <c r="A40" s="12" t="s">
        <v>48</v>
      </c>
      <c r="C40" s="4">
        <v>8407085</v>
      </c>
      <c r="E40" s="4">
        <v>31407999847</v>
      </c>
      <c r="G40" s="4">
        <v>29147819094</v>
      </c>
      <c r="I40" s="4">
        <v>2260180753</v>
      </c>
      <c r="K40" s="4">
        <v>8407085</v>
      </c>
      <c r="M40" s="4">
        <v>31407999847</v>
      </c>
      <c r="O40" s="4">
        <v>30109140058</v>
      </c>
      <c r="Q40" s="4">
        <v>1298859789</v>
      </c>
    </row>
    <row r="41" spans="1:17" ht="18.75" x14ac:dyDescent="0.45">
      <c r="A41" s="12" t="s">
        <v>49</v>
      </c>
      <c r="C41" s="4">
        <v>4335472</v>
      </c>
      <c r="E41" s="4">
        <v>34888885880</v>
      </c>
      <c r="G41" s="4">
        <v>30751208158</v>
      </c>
      <c r="I41" s="4">
        <v>4137677722</v>
      </c>
      <c r="K41" s="4">
        <v>4335472</v>
      </c>
      <c r="M41" s="4">
        <v>34888885880</v>
      </c>
      <c r="O41" s="4">
        <v>27548916201</v>
      </c>
      <c r="Q41" s="4">
        <v>7339969679</v>
      </c>
    </row>
    <row r="42" spans="1:17" ht="18.75" x14ac:dyDescent="0.45">
      <c r="A42" s="12" t="s">
        <v>50</v>
      </c>
      <c r="C42" s="4">
        <v>6716183</v>
      </c>
      <c r="E42" s="4">
        <v>21159047425</v>
      </c>
      <c r="G42" s="4">
        <v>19430829806</v>
      </c>
      <c r="I42" s="4">
        <v>1728217619</v>
      </c>
      <c r="K42" s="4">
        <v>6716183</v>
      </c>
      <c r="M42" s="4">
        <v>21159047425</v>
      </c>
      <c r="O42" s="4">
        <v>12815360336</v>
      </c>
      <c r="Q42" s="4">
        <v>8343687089</v>
      </c>
    </row>
    <row r="43" spans="1:17" ht="18.75" x14ac:dyDescent="0.45">
      <c r="A43" s="12" t="s">
        <v>295</v>
      </c>
      <c r="C43" s="4">
        <v>1916567</v>
      </c>
      <c r="E43" s="4">
        <v>7380699268</v>
      </c>
      <c r="G43" s="4">
        <v>6311914679</v>
      </c>
      <c r="I43" s="4">
        <v>1068784589</v>
      </c>
      <c r="K43" s="4">
        <v>1916567</v>
      </c>
      <c r="M43" s="4">
        <v>7380699268</v>
      </c>
      <c r="O43" s="4">
        <v>8809475685</v>
      </c>
      <c r="Q43" s="4">
        <v>-1428776417</v>
      </c>
    </row>
    <row r="44" spans="1:17" ht="18.75" x14ac:dyDescent="0.45">
      <c r="A44" s="12" t="s">
        <v>52</v>
      </c>
      <c r="C44" s="4">
        <v>8600000</v>
      </c>
      <c r="E44" s="4">
        <v>21180201604</v>
      </c>
      <c r="G44" s="4">
        <v>20169625357</v>
      </c>
      <c r="I44" s="4">
        <v>1010576247</v>
      </c>
      <c r="K44" s="4">
        <v>8600000</v>
      </c>
      <c r="M44" s="4">
        <v>21180201604</v>
      </c>
      <c r="O44" s="4">
        <v>13193346165</v>
      </c>
      <c r="Q44" s="4">
        <v>7986855439</v>
      </c>
    </row>
    <row r="45" spans="1:17" ht="37.5" x14ac:dyDescent="0.45">
      <c r="A45" s="12" t="s">
        <v>53</v>
      </c>
      <c r="C45" s="4">
        <v>7348545</v>
      </c>
      <c r="E45" s="4">
        <v>28685708099</v>
      </c>
      <c r="G45" s="4">
        <v>28135300706</v>
      </c>
      <c r="I45" s="4">
        <v>550407393</v>
      </c>
      <c r="K45" s="4">
        <v>7348545</v>
      </c>
      <c r="M45" s="4">
        <v>28685708099</v>
      </c>
      <c r="O45" s="4">
        <v>28135300706</v>
      </c>
      <c r="Q45" s="4">
        <v>550407393</v>
      </c>
    </row>
    <row r="46" spans="1:17" ht="37.5" x14ac:dyDescent="0.45">
      <c r="A46" s="12" t="s">
        <v>54</v>
      </c>
      <c r="C46" s="4">
        <v>842177</v>
      </c>
      <c r="E46" s="4">
        <v>3975267785</v>
      </c>
      <c r="G46" s="4">
        <v>3388629571</v>
      </c>
      <c r="I46" s="4">
        <v>586638214</v>
      </c>
      <c r="K46" s="4">
        <v>842177</v>
      </c>
      <c r="M46" s="4">
        <v>3975267785</v>
      </c>
      <c r="O46" s="4">
        <v>5324376058</v>
      </c>
      <c r="Q46" s="4">
        <v>-1349108273</v>
      </c>
    </row>
    <row r="47" spans="1:17" ht="18.75" x14ac:dyDescent="0.45">
      <c r="A47" s="12" t="s">
        <v>55</v>
      </c>
      <c r="C47" s="4">
        <v>285750</v>
      </c>
      <c r="E47" s="4">
        <v>17210947957</v>
      </c>
      <c r="G47" s="4">
        <v>16090960404</v>
      </c>
      <c r="I47" s="4">
        <v>1119987553</v>
      </c>
      <c r="K47" s="4">
        <v>285750</v>
      </c>
      <c r="M47" s="4">
        <v>17210947957</v>
      </c>
      <c r="O47" s="4">
        <v>13648592289</v>
      </c>
      <c r="Q47" s="4">
        <v>3562355668</v>
      </c>
    </row>
    <row r="48" spans="1:17" ht="18.75" x14ac:dyDescent="0.45">
      <c r="A48" s="12" t="s">
        <v>56</v>
      </c>
      <c r="C48" s="4">
        <v>10496746</v>
      </c>
      <c r="E48" s="4">
        <v>21581135950</v>
      </c>
      <c r="G48" s="4">
        <v>17800270916</v>
      </c>
      <c r="I48" s="4">
        <v>3780865034</v>
      </c>
      <c r="K48" s="4">
        <v>10496746</v>
      </c>
      <c r="M48" s="4">
        <v>21581135950</v>
      </c>
      <c r="O48" s="4">
        <v>17246303416</v>
      </c>
      <c r="Q48" s="4">
        <v>4334832534</v>
      </c>
    </row>
    <row r="49" spans="1:17" ht="18.75" x14ac:dyDescent="0.45">
      <c r="A49" s="12" t="s">
        <v>57</v>
      </c>
      <c r="C49" s="4">
        <v>1648155</v>
      </c>
      <c r="E49" s="4">
        <v>13753838147</v>
      </c>
      <c r="G49" s="4">
        <v>12625401961</v>
      </c>
      <c r="I49" s="4">
        <v>1128436186</v>
      </c>
      <c r="K49" s="4">
        <v>1648155</v>
      </c>
      <c r="M49" s="4">
        <v>13753838147</v>
      </c>
      <c r="O49" s="4">
        <v>11910020869</v>
      </c>
      <c r="Q49" s="4">
        <v>1843817278</v>
      </c>
    </row>
    <row r="50" spans="1:17" ht="37.5" x14ac:dyDescent="0.45">
      <c r="A50" s="12" t="s">
        <v>58</v>
      </c>
      <c r="C50" s="4">
        <v>250000</v>
      </c>
      <c r="E50" s="4">
        <v>1379255300</v>
      </c>
      <c r="G50" s="4">
        <v>1180801300</v>
      </c>
      <c r="I50" s="4">
        <v>198454000</v>
      </c>
      <c r="K50" s="4">
        <v>250000</v>
      </c>
      <c r="M50" s="4">
        <v>1379255300</v>
      </c>
      <c r="O50" s="4">
        <v>810399262</v>
      </c>
      <c r="Q50" s="4">
        <v>568856038</v>
      </c>
    </row>
    <row r="51" spans="1:17" ht="18.75" x14ac:dyDescent="0.45">
      <c r="A51" s="12" t="s">
        <v>59</v>
      </c>
      <c r="C51" s="4">
        <v>114400</v>
      </c>
      <c r="E51" s="4">
        <v>16488153682</v>
      </c>
      <c r="G51" s="4">
        <v>13616206776</v>
      </c>
      <c r="I51" s="4">
        <v>2871946906</v>
      </c>
      <c r="K51" s="4">
        <v>114400</v>
      </c>
      <c r="M51" s="4">
        <v>16488153682</v>
      </c>
      <c r="O51" s="4">
        <v>13902770527</v>
      </c>
      <c r="Q51" s="4">
        <v>2585383155</v>
      </c>
    </row>
    <row r="52" spans="1:17" ht="18.75" x14ac:dyDescent="0.45">
      <c r="A52" s="12" t="s">
        <v>60</v>
      </c>
      <c r="C52" s="4">
        <v>2528206</v>
      </c>
      <c r="E52" s="4">
        <v>38031330589</v>
      </c>
      <c r="G52" s="4">
        <v>30505563979</v>
      </c>
      <c r="I52" s="4">
        <v>7525766610</v>
      </c>
      <c r="K52" s="4">
        <v>2528206</v>
      </c>
      <c r="M52" s="4">
        <v>38031330589</v>
      </c>
      <c r="O52" s="4">
        <v>28851113240</v>
      </c>
      <c r="Q52" s="4">
        <v>9180217349</v>
      </c>
    </row>
    <row r="53" spans="1:17" ht="18.75" x14ac:dyDescent="0.45">
      <c r="A53" s="12" t="s">
        <v>61</v>
      </c>
      <c r="C53" s="4">
        <v>2683236</v>
      </c>
      <c r="E53" s="4">
        <v>19755709826</v>
      </c>
      <c r="G53" s="4">
        <v>18277338189</v>
      </c>
      <c r="I53" s="4">
        <v>1478371637</v>
      </c>
      <c r="K53" s="4">
        <v>2683236</v>
      </c>
      <c r="M53" s="4">
        <v>19755709826</v>
      </c>
      <c r="O53" s="4">
        <v>18704148531</v>
      </c>
      <c r="Q53" s="4">
        <v>1051561295</v>
      </c>
    </row>
    <row r="54" spans="1:17" ht="18.75" x14ac:dyDescent="0.45">
      <c r="A54" s="12" t="s">
        <v>62</v>
      </c>
      <c r="C54" s="4">
        <v>3742054</v>
      </c>
      <c r="E54" s="4">
        <v>9579870040</v>
      </c>
      <c r="G54" s="4">
        <v>9156573457</v>
      </c>
      <c r="I54" s="4">
        <v>423296583</v>
      </c>
      <c r="K54" s="4">
        <v>3742054</v>
      </c>
      <c r="M54" s="4">
        <v>9579870040</v>
      </c>
      <c r="O54" s="4">
        <v>7179669122</v>
      </c>
      <c r="Q54" s="4">
        <v>2400200918</v>
      </c>
    </row>
    <row r="55" spans="1:17" ht="18.75" x14ac:dyDescent="0.45">
      <c r="A55" s="12" t="s">
        <v>63</v>
      </c>
      <c r="C55" s="4">
        <v>22792882</v>
      </c>
      <c r="E55" s="4">
        <v>42157515793</v>
      </c>
      <c r="G55" s="4">
        <v>34122916293</v>
      </c>
      <c r="I55" s="4">
        <v>8034599500</v>
      </c>
      <c r="K55" s="4">
        <v>22792882</v>
      </c>
      <c r="M55" s="4">
        <v>42157515793</v>
      </c>
      <c r="O55" s="4">
        <v>39650212617</v>
      </c>
      <c r="Q55" s="4">
        <v>2507303176</v>
      </c>
    </row>
    <row r="56" spans="1:17" ht="18.75" x14ac:dyDescent="0.45">
      <c r="A56" s="12" t="s">
        <v>64</v>
      </c>
      <c r="C56" s="4">
        <v>2841112</v>
      </c>
      <c r="E56" s="4">
        <v>14687772564</v>
      </c>
      <c r="G56" s="4">
        <v>12014373523</v>
      </c>
      <c r="I56" s="4">
        <v>2673399041</v>
      </c>
      <c r="K56" s="4">
        <v>2841112</v>
      </c>
      <c r="M56" s="4">
        <v>14687772564</v>
      </c>
      <c r="O56" s="4">
        <v>11797204735</v>
      </c>
      <c r="Q56" s="4">
        <v>2890567829</v>
      </c>
    </row>
    <row r="57" spans="1:17" ht="18.75" x14ac:dyDescent="0.45">
      <c r="A57" s="12" t="s">
        <v>65</v>
      </c>
      <c r="C57" s="4">
        <v>4807801</v>
      </c>
      <c r="E57" s="4">
        <v>30675193970</v>
      </c>
      <c r="G57" s="4">
        <v>32135607280</v>
      </c>
      <c r="I57" s="4">
        <v>-1460413310</v>
      </c>
      <c r="K57" s="4">
        <v>4807801</v>
      </c>
      <c r="M57" s="4">
        <v>30675193970</v>
      </c>
      <c r="O57" s="4">
        <v>31149790688</v>
      </c>
      <c r="Q57" s="4">
        <v>-474596718</v>
      </c>
    </row>
    <row r="58" spans="1:17" ht="18.75" x14ac:dyDescent="0.45">
      <c r="A58" s="12" t="s">
        <v>66</v>
      </c>
      <c r="C58" s="4">
        <v>898693</v>
      </c>
      <c r="E58" s="4">
        <v>21990458903</v>
      </c>
      <c r="G58" s="4">
        <v>17522810926</v>
      </c>
      <c r="I58" s="4">
        <v>4467647977</v>
      </c>
      <c r="K58" s="4">
        <v>898693</v>
      </c>
      <c r="M58" s="4">
        <v>21990458903</v>
      </c>
      <c r="O58" s="4">
        <v>15466598389</v>
      </c>
      <c r="Q58" s="4">
        <v>6523860514</v>
      </c>
    </row>
    <row r="59" spans="1:17" ht="18.75" x14ac:dyDescent="0.45">
      <c r="A59" s="12" t="s">
        <v>67</v>
      </c>
      <c r="C59" s="4">
        <v>5360107</v>
      </c>
      <c r="E59" s="4">
        <v>24832885978</v>
      </c>
      <c r="G59" s="4">
        <v>19679091480</v>
      </c>
      <c r="I59" s="4">
        <v>5153794498</v>
      </c>
      <c r="K59" s="4">
        <v>5360107</v>
      </c>
      <c r="M59" s="4">
        <v>24832885978</v>
      </c>
      <c r="O59" s="4">
        <v>16722698863</v>
      </c>
      <c r="Q59" s="4">
        <v>8110187115</v>
      </c>
    </row>
    <row r="60" spans="1:17" ht="18.75" x14ac:dyDescent="0.45">
      <c r="A60" s="12" t="s">
        <v>68</v>
      </c>
      <c r="C60" s="4">
        <v>40025</v>
      </c>
      <c r="E60" s="4">
        <v>1208545913</v>
      </c>
      <c r="G60" s="4">
        <v>957543279</v>
      </c>
      <c r="I60" s="4">
        <v>251002634</v>
      </c>
      <c r="K60" s="4">
        <v>40025</v>
      </c>
      <c r="M60" s="4">
        <v>1208545913</v>
      </c>
      <c r="O60" s="4">
        <v>688267606</v>
      </c>
      <c r="Q60" s="4">
        <v>520278307</v>
      </c>
    </row>
    <row r="61" spans="1:17" ht="18.75" x14ac:dyDescent="0.45">
      <c r="A61" s="12" t="s">
        <v>69</v>
      </c>
      <c r="C61" s="4">
        <v>3792430</v>
      </c>
      <c r="E61" s="4">
        <v>25476285274</v>
      </c>
      <c r="G61" s="4">
        <v>20033733944</v>
      </c>
      <c r="I61" s="4">
        <v>5442551330</v>
      </c>
      <c r="K61" s="4">
        <v>3792430</v>
      </c>
      <c r="M61" s="4">
        <v>25476285274</v>
      </c>
      <c r="O61" s="4">
        <v>15527107701</v>
      </c>
      <c r="Q61" s="4">
        <v>9949177573</v>
      </c>
    </row>
    <row r="62" spans="1:17" ht="18.75" x14ac:dyDescent="0.45">
      <c r="A62" s="12" t="s">
        <v>70</v>
      </c>
      <c r="C62" s="4">
        <v>5729408</v>
      </c>
      <c r="E62" s="4">
        <v>41899332013</v>
      </c>
      <c r="G62" s="4">
        <v>34613664416</v>
      </c>
      <c r="I62" s="4">
        <v>7285667597</v>
      </c>
      <c r="K62" s="4">
        <v>5729408</v>
      </c>
      <c r="M62" s="4">
        <v>41899332013</v>
      </c>
      <c r="O62" s="4">
        <v>23667183963</v>
      </c>
      <c r="Q62" s="4">
        <v>18232148050</v>
      </c>
    </row>
    <row r="63" spans="1:17" ht="18.75" x14ac:dyDescent="0.45">
      <c r="A63" s="12" t="s">
        <v>71</v>
      </c>
      <c r="C63" s="4">
        <v>2428938</v>
      </c>
      <c r="E63" s="4">
        <v>26728700010</v>
      </c>
      <c r="G63" s="4">
        <v>22401454880</v>
      </c>
      <c r="I63" s="4">
        <v>4327245130</v>
      </c>
      <c r="K63" s="4">
        <v>2428938</v>
      </c>
      <c r="M63" s="4">
        <v>26728700010</v>
      </c>
      <c r="O63" s="4">
        <v>14823306774</v>
      </c>
      <c r="Q63" s="4">
        <v>11905393236</v>
      </c>
    </row>
    <row r="64" spans="1:17" ht="18.75" x14ac:dyDescent="0.45">
      <c r="A64" s="12" t="s">
        <v>72</v>
      </c>
      <c r="C64" s="4">
        <v>2232181</v>
      </c>
      <c r="E64" s="4">
        <v>26113980380</v>
      </c>
      <c r="G64" s="4">
        <v>20288724366</v>
      </c>
      <c r="I64" s="4">
        <v>5825256014</v>
      </c>
      <c r="K64" s="4">
        <v>2232181</v>
      </c>
      <c r="M64" s="4">
        <v>26113980380</v>
      </c>
      <c r="O64" s="4">
        <v>19841676456</v>
      </c>
      <c r="Q64" s="4">
        <v>6272303924</v>
      </c>
    </row>
    <row r="65" spans="1:17" ht="37.5" x14ac:dyDescent="0.45">
      <c r="A65" s="12" t="s">
        <v>73</v>
      </c>
      <c r="C65" s="4">
        <v>272374</v>
      </c>
      <c r="E65" s="4">
        <v>11959383292</v>
      </c>
      <c r="G65" s="4">
        <v>9635073771</v>
      </c>
      <c r="I65" s="4">
        <v>2324309521</v>
      </c>
      <c r="K65" s="4">
        <v>272374</v>
      </c>
      <c r="M65" s="4">
        <v>11959383292</v>
      </c>
      <c r="O65" s="4">
        <v>7766626587</v>
      </c>
      <c r="Q65" s="4">
        <v>4192756705</v>
      </c>
    </row>
    <row r="66" spans="1:17" ht="18.75" x14ac:dyDescent="0.45">
      <c r="A66" s="12" t="s">
        <v>74</v>
      </c>
      <c r="C66" s="4">
        <v>6800000</v>
      </c>
      <c r="E66" s="4">
        <v>12449019420</v>
      </c>
      <c r="G66" s="4">
        <v>10902166072</v>
      </c>
      <c r="I66" s="4">
        <v>1546853348</v>
      </c>
      <c r="K66" s="4">
        <v>6800000</v>
      </c>
      <c r="M66" s="4">
        <v>12449019420</v>
      </c>
      <c r="O66" s="4">
        <v>10902166072</v>
      </c>
      <c r="Q66" s="4">
        <v>1546853348</v>
      </c>
    </row>
    <row r="67" spans="1:17" ht="18.75" x14ac:dyDescent="0.45">
      <c r="A67" s="12" t="s">
        <v>75</v>
      </c>
      <c r="C67" s="4">
        <v>1125246</v>
      </c>
      <c r="E67" s="4">
        <v>15575842485</v>
      </c>
      <c r="G67" s="4">
        <v>11179989065</v>
      </c>
      <c r="I67" s="4">
        <v>4395853420</v>
      </c>
      <c r="K67" s="4">
        <v>1125246</v>
      </c>
      <c r="M67" s="4">
        <v>15575842485</v>
      </c>
      <c r="O67" s="4">
        <v>16940751284</v>
      </c>
      <c r="Q67" s="4">
        <v>-1364908799</v>
      </c>
    </row>
    <row r="68" spans="1:17" ht="18.75" x14ac:dyDescent="0.45">
      <c r="A68" s="12" t="s">
        <v>76</v>
      </c>
      <c r="C68" s="4">
        <v>14299343</v>
      </c>
      <c r="E68" s="4">
        <v>30009331201</v>
      </c>
      <c r="G68" s="4">
        <v>23506516304</v>
      </c>
      <c r="I68" s="4">
        <v>6502814897</v>
      </c>
      <c r="K68" s="4">
        <v>14299343</v>
      </c>
      <c r="M68" s="4">
        <v>30009331201</v>
      </c>
      <c r="O68" s="4">
        <v>33275587130</v>
      </c>
      <c r="Q68" s="4">
        <v>-3266255929</v>
      </c>
    </row>
    <row r="69" spans="1:17" ht="18.75" x14ac:dyDescent="0.45">
      <c r="A69" s="12" t="s">
        <v>77</v>
      </c>
      <c r="C69" s="4">
        <v>7009755</v>
      </c>
      <c r="E69" s="4">
        <v>16512522216</v>
      </c>
      <c r="G69" s="4">
        <v>14599740577</v>
      </c>
      <c r="I69" s="4">
        <v>1912781639</v>
      </c>
      <c r="K69" s="4">
        <v>7009755</v>
      </c>
      <c r="M69" s="4">
        <v>16512522216</v>
      </c>
      <c r="O69" s="4">
        <v>20298934388</v>
      </c>
      <c r="Q69" s="4">
        <v>-3786412172</v>
      </c>
    </row>
    <row r="70" spans="1:17" ht="18.75" x14ac:dyDescent="0.45">
      <c r="A70" s="12" t="s">
        <v>78</v>
      </c>
      <c r="C70" s="4">
        <v>9361008</v>
      </c>
      <c r="E70" s="4">
        <v>38919432640</v>
      </c>
      <c r="G70" s="4">
        <v>35955559523</v>
      </c>
      <c r="I70" s="4">
        <v>2963873117</v>
      </c>
      <c r="K70" s="4">
        <v>9361008</v>
      </c>
      <c r="M70" s="4">
        <v>38919432640</v>
      </c>
      <c r="O70" s="4">
        <v>30921869528</v>
      </c>
      <c r="Q70" s="4">
        <v>7997563112</v>
      </c>
    </row>
    <row r="71" spans="1:17" ht="18.75" x14ac:dyDescent="0.45">
      <c r="A71" s="12" t="s">
        <v>79</v>
      </c>
      <c r="C71" s="4">
        <v>562500</v>
      </c>
      <c r="E71" s="4">
        <v>5542448119</v>
      </c>
      <c r="G71" s="4">
        <v>5654078494</v>
      </c>
      <c r="I71" s="4">
        <v>-111630375</v>
      </c>
      <c r="K71" s="4">
        <v>562500</v>
      </c>
      <c r="M71" s="4">
        <v>5542448119</v>
      </c>
      <c r="O71" s="4">
        <v>4931974167</v>
      </c>
      <c r="Q71" s="4">
        <v>610473952</v>
      </c>
    </row>
    <row r="72" spans="1:17" ht="18.75" x14ac:dyDescent="0.45">
      <c r="A72" s="12" t="s">
        <v>80</v>
      </c>
      <c r="C72" s="4">
        <v>3773870</v>
      </c>
      <c r="E72" s="4">
        <v>19659664421</v>
      </c>
      <c r="G72" s="4">
        <v>19978179220</v>
      </c>
      <c r="I72" s="4">
        <v>-318514799</v>
      </c>
      <c r="K72" s="4">
        <v>3773870</v>
      </c>
      <c r="M72" s="4">
        <v>19659664421</v>
      </c>
      <c r="O72" s="4">
        <v>19978179220</v>
      </c>
      <c r="Q72" s="4">
        <v>-318514799</v>
      </c>
    </row>
    <row r="73" spans="1:17" ht="18.75" x14ac:dyDescent="0.45">
      <c r="A73" s="12" t="s">
        <v>81</v>
      </c>
      <c r="C73" s="4">
        <v>25600000</v>
      </c>
      <c r="E73" s="4">
        <v>14047367936</v>
      </c>
      <c r="G73" s="4">
        <v>12320024320</v>
      </c>
      <c r="I73" s="4">
        <v>1727343616</v>
      </c>
      <c r="K73" s="4">
        <v>25600000</v>
      </c>
      <c r="M73" s="4">
        <v>14047367936</v>
      </c>
      <c r="O73" s="4">
        <v>10028365723</v>
      </c>
      <c r="Q73" s="4">
        <v>4019002213</v>
      </c>
    </row>
    <row r="74" spans="1:17" ht="18.75" x14ac:dyDescent="0.45">
      <c r="A74" s="12" t="s">
        <v>82</v>
      </c>
      <c r="C74" s="4">
        <v>10240020</v>
      </c>
      <c r="E74" s="4">
        <v>37818738210</v>
      </c>
      <c r="G74" s="4">
        <v>28125273338</v>
      </c>
      <c r="I74" s="4">
        <v>9693464872</v>
      </c>
      <c r="K74" s="4">
        <v>10240020</v>
      </c>
      <c r="M74" s="4">
        <v>37818738210</v>
      </c>
      <c r="O74" s="4">
        <v>23756576900</v>
      </c>
      <c r="Q74" s="4">
        <v>14062161310</v>
      </c>
    </row>
    <row r="75" spans="1:17" ht="18.75" x14ac:dyDescent="0.45">
      <c r="A75" s="12" t="s">
        <v>355</v>
      </c>
      <c r="J75" s="6"/>
      <c r="K75" s="4">
        <v>0</v>
      </c>
      <c r="M75" s="4">
        <v>0</v>
      </c>
      <c r="O75" s="4">
        <v>-3981368184</v>
      </c>
      <c r="Q75" s="4">
        <v>3981368184</v>
      </c>
    </row>
    <row r="76" spans="1:17" ht="18.75" x14ac:dyDescent="0.45">
      <c r="A76" s="12" t="s">
        <v>83</v>
      </c>
      <c r="C76" s="4">
        <v>3522592</v>
      </c>
      <c r="E76" s="4">
        <v>21042081430</v>
      </c>
      <c r="G76" s="4">
        <v>15310285650</v>
      </c>
      <c r="I76" s="4">
        <v>5731795780</v>
      </c>
      <c r="K76" s="4">
        <v>3522592</v>
      </c>
      <c r="M76" s="4">
        <v>21042081430</v>
      </c>
      <c r="O76" s="4">
        <v>13420102259</v>
      </c>
      <c r="Q76" s="4">
        <v>7621979171</v>
      </c>
    </row>
    <row r="77" spans="1:17" ht="18.75" x14ac:dyDescent="0.45">
      <c r="A77" s="12" t="s">
        <v>84</v>
      </c>
      <c r="C77" s="4">
        <v>4117725</v>
      </c>
      <c r="E77" s="4">
        <v>20511192828</v>
      </c>
      <c r="G77" s="4">
        <v>11569669559</v>
      </c>
      <c r="I77" s="4">
        <v>8941523269</v>
      </c>
      <c r="K77" s="4">
        <v>4117725</v>
      </c>
      <c r="M77" s="4">
        <v>20511192828</v>
      </c>
      <c r="O77" s="4">
        <v>11569669559</v>
      </c>
      <c r="Q77" s="4">
        <v>8941523269</v>
      </c>
    </row>
    <row r="78" spans="1:17" ht="18.75" x14ac:dyDescent="0.45">
      <c r="A78" s="12" t="s">
        <v>85</v>
      </c>
      <c r="C78" s="4">
        <v>21659071</v>
      </c>
      <c r="E78" s="4">
        <v>36858173544</v>
      </c>
      <c r="G78" s="4">
        <v>33583656702</v>
      </c>
      <c r="I78" s="4">
        <v>3274516842</v>
      </c>
      <c r="K78" s="4">
        <v>21659071</v>
      </c>
      <c r="M78" s="4">
        <v>36858173544</v>
      </c>
      <c r="O78" s="4">
        <v>33660199456</v>
      </c>
      <c r="Q78" s="4">
        <v>3197974088</v>
      </c>
    </row>
    <row r="79" spans="1:17" ht="18.75" x14ac:dyDescent="0.45">
      <c r="A79" s="12" t="s">
        <v>86</v>
      </c>
      <c r="C79" s="4">
        <v>1138157</v>
      </c>
      <c r="E79" s="4">
        <v>6324410660</v>
      </c>
      <c r="G79" s="4">
        <v>4729303836</v>
      </c>
      <c r="I79" s="4">
        <v>1595106824</v>
      </c>
      <c r="K79" s="4">
        <v>1138157</v>
      </c>
      <c r="M79" s="4">
        <v>6324410660</v>
      </c>
      <c r="O79" s="4">
        <v>4964658746</v>
      </c>
      <c r="Q79" s="4">
        <v>1359751914</v>
      </c>
    </row>
    <row r="80" spans="1:17" ht="18.75" x14ac:dyDescent="0.45">
      <c r="A80" s="12" t="s">
        <v>87</v>
      </c>
      <c r="C80" s="4">
        <v>842763</v>
      </c>
      <c r="E80" s="4">
        <v>2468605401</v>
      </c>
      <c r="G80" s="4">
        <v>2833382469</v>
      </c>
      <c r="I80" s="4">
        <v>-364777068</v>
      </c>
      <c r="K80" s="4">
        <v>842763</v>
      </c>
      <c r="M80" s="4">
        <v>2468605401</v>
      </c>
      <c r="O80" s="4">
        <v>2833382469</v>
      </c>
      <c r="Q80" s="4">
        <v>-364777068</v>
      </c>
    </row>
    <row r="81" spans="1:17" ht="18.75" x14ac:dyDescent="0.45">
      <c r="A81" s="12" t="s">
        <v>88</v>
      </c>
      <c r="C81" s="4">
        <v>1674591</v>
      </c>
      <c r="E81" s="4">
        <v>22515308877</v>
      </c>
      <c r="G81" s="4">
        <v>15901956159</v>
      </c>
      <c r="I81" s="4">
        <v>6613352718</v>
      </c>
      <c r="K81" s="4">
        <v>1674591</v>
      </c>
      <c r="M81" s="4">
        <v>22515308877</v>
      </c>
      <c r="O81" s="4">
        <v>17048981881</v>
      </c>
      <c r="Q81" s="4">
        <v>5466326996</v>
      </c>
    </row>
    <row r="82" spans="1:17" ht="18.75" x14ac:dyDescent="0.45">
      <c r="A82" s="12" t="s">
        <v>89</v>
      </c>
      <c r="C82" s="4">
        <v>1260136</v>
      </c>
      <c r="E82" s="4">
        <v>17755611112</v>
      </c>
      <c r="G82" s="4">
        <v>14937371463</v>
      </c>
      <c r="I82" s="4">
        <v>2818239649</v>
      </c>
      <c r="K82" s="4">
        <v>1260136</v>
      </c>
      <c r="M82" s="4">
        <v>17755611112</v>
      </c>
      <c r="O82" s="4">
        <v>12060645599</v>
      </c>
      <c r="Q82" s="4">
        <v>5694965513</v>
      </c>
    </row>
    <row r="83" spans="1:17" ht="18.75" x14ac:dyDescent="0.45">
      <c r="A83" s="12" t="s">
        <v>90</v>
      </c>
      <c r="C83" s="4">
        <v>617391</v>
      </c>
      <c r="E83" s="4">
        <v>26495753047</v>
      </c>
      <c r="G83" s="4">
        <v>20470259630</v>
      </c>
      <c r="I83" s="4">
        <v>6025493417</v>
      </c>
      <c r="K83" s="4">
        <v>617391</v>
      </c>
      <c r="M83" s="4">
        <v>26495753047</v>
      </c>
      <c r="O83" s="4">
        <v>20363184293</v>
      </c>
      <c r="Q83" s="4">
        <v>6132568754</v>
      </c>
    </row>
    <row r="84" spans="1:17" ht="18.75" x14ac:dyDescent="0.45">
      <c r="A84" s="12" t="s">
        <v>91</v>
      </c>
      <c r="C84" s="4">
        <v>3734630</v>
      </c>
      <c r="E84" s="4">
        <v>19936995848</v>
      </c>
      <c r="G84" s="4">
        <v>15426126253</v>
      </c>
      <c r="I84" s="4">
        <v>4510869595</v>
      </c>
      <c r="K84" s="4">
        <v>3734630</v>
      </c>
      <c r="M84" s="4">
        <v>19936995848</v>
      </c>
      <c r="O84" s="4">
        <v>14667234348</v>
      </c>
      <c r="Q84" s="4">
        <v>5269761500</v>
      </c>
    </row>
    <row r="85" spans="1:17" ht="18.75" x14ac:dyDescent="0.45">
      <c r="A85" s="12" t="s">
        <v>93</v>
      </c>
      <c r="C85" s="4">
        <v>3250000</v>
      </c>
      <c r="E85" s="4">
        <v>3815030082</v>
      </c>
      <c r="G85" s="4">
        <v>3466743312</v>
      </c>
      <c r="I85" s="4">
        <v>348286770</v>
      </c>
      <c r="K85" s="4">
        <v>3250000</v>
      </c>
      <c r="M85" s="4">
        <v>3815030082</v>
      </c>
      <c r="O85" s="4">
        <v>3939323661</v>
      </c>
      <c r="Q85" s="4">
        <v>-124293579</v>
      </c>
    </row>
    <row r="86" spans="1:17" ht="18.75" x14ac:dyDescent="0.45">
      <c r="A86" s="12" t="s">
        <v>94</v>
      </c>
      <c r="C86" s="4">
        <v>3296745</v>
      </c>
      <c r="E86" s="4">
        <v>19365866074</v>
      </c>
      <c r="G86" s="4">
        <v>16061892301</v>
      </c>
      <c r="I86" s="4">
        <v>3303973773</v>
      </c>
      <c r="K86" s="4">
        <v>3296745</v>
      </c>
      <c r="M86" s="4">
        <v>19365866074</v>
      </c>
      <c r="O86" s="4">
        <v>14653139899</v>
      </c>
      <c r="Q86" s="4">
        <v>4712726175</v>
      </c>
    </row>
    <row r="87" spans="1:17" ht="18.75" x14ac:dyDescent="0.45">
      <c r="A87" s="12" t="s">
        <v>95</v>
      </c>
      <c r="C87" s="4">
        <v>3074653</v>
      </c>
      <c r="E87" s="4">
        <v>23888436850</v>
      </c>
      <c r="G87" s="4">
        <v>18834309411</v>
      </c>
      <c r="I87" s="4">
        <v>5054127439</v>
      </c>
      <c r="K87" s="4">
        <v>3074653</v>
      </c>
      <c r="M87" s="4">
        <v>23888436850</v>
      </c>
      <c r="O87" s="4">
        <v>19892057950</v>
      </c>
      <c r="Q87" s="4">
        <v>3996378900</v>
      </c>
    </row>
    <row r="88" spans="1:17" ht="18.75" x14ac:dyDescent="0.45">
      <c r="A88" s="12" t="s">
        <v>96</v>
      </c>
      <c r="C88" s="4">
        <v>84882</v>
      </c>
      <c r="E88" s="4">
        <v>10632672837</v>
      </c>
      <c r="G88" s="4">
        <v>10619196699</v>
      </c>
      <c r="I88" s="4">
        <v>13476138</v>
      </c>
      <c r="K88" s="4">
        <v>84882</v>
      </c>
      <c r="M88" s="4">
        <v>10632672837</v>
      </c>
      <c r="O88" s="4">
        <v>7685896566</v>
      </c>
      <c r="Q88" s="4">
        <v>2946776271</v>
      </c>
    </row>
    <row r="89" spans="1:17" ht="18.75" x14ac:dyDescent="0.45">
      <c r="A89" s="12" t="s">
        <v>97</v>
      </c>
      <c r="C89" s="4">
        <v>1583350</v>
      </c>
      <c r="E89" s="4">
        <v>7439209186</v>
      </c>
      <c r="G89" s="4">
        <v>6912887100</v>
      </c>
      <c r="I89" s="4">
        <v>526322086</v>
      </c>
      <c r="K89" s="4">
        <v>1583350</v>
      </c>
      <c r="M89" s="4">
        <v>7439209186</v>
      </c>
      <c r="O89" s="4">
        <v>5228904026</v>
      </c>
      <c r="Q89" s="4">
        <v>2210305160</v>
      </c>
    </row>
    <row r="90" spans="1:17" ht="18.75" x14ac:dyDescent="0.45">
      <c r="A90" s="12" t="s">
        <v>98</v>
      </c>
      <c r="C90" s="4">
        <v>3930564</v>
      </c>
      <c r="E90" s="4">
        <v>41302914040</v>
      </c>
      <c r="G90" s="4">
        <v>35790853635</v>
      </c>
      <c r="I90" s="4">
        <v>5512060405</v>
      </c>
      <c r="K90" s="4">
        <v>3930564</v>
      </c>
      <c r="M90" s="4">
        <v>41302914040</v>
      </c>
      <c r="O90" s="4">
        <v>32027838035</v>
      </c>
      <c r="Q90" s="4">
        <v>9275076005</v>
      </c>
    </row>
    <row r="91" spans="1:17" ht="18.75" x14ac:dyDescent="0.45">
      <c r="A91" s="12" t="s">
        <v>99</v>
      </c>
      <c r="C91" s="4">
        <v>2401235</v>
      </c>
      <c r="E91" s="4">
        <v>22397130462</v>
      </c>
      <c r="G91" s="4">
        <v>22530258578</v>
      </c>
      <c r="I91" s="4">
        <v>-133128116</v>
      </c>
      <c r="K91" s="4">
        <v>2401235</v>
      </c>
      <c r="M91" s="4">
        <v>22397130462</v>
      </c>
      <c r="O91" s="4">
        <v>15850700014</v>
      </c>
      <c r="Q91" s="4">
        <v>6546430448</v>
      </c>
    </row>
    <row r="92" spans="1:17" ht="18.75" x14ac:dyDescent="0.45">
      <c r="A92" s="12" t="s">
        <v>100</v>
      </c>
      <c r="C92" s="4">
        <v>4676907</v>
      </c>
      <c r="E92" s="4">
        <v>22776823130</v>
      </c>
      <c r="G92" s="4">
        <v>20067748819</v>
      </c>
      <c r="I92" s="4">
        <v>2709074311</v>
      </c>
      <c r="K92" s="4">
        <v>4676907</v>
      </c>
      <c r="M92" s="4">
        <v>22776823130</v>
      </c>
      <c r="O92" s="4">
        <v>20688005379</v>
      </c>
      <c r="Q92" s="4">
        <v>2088817751</v>
      </c>
    </row>
    <row r="93" spans="1:17" ht="18.75" x14ac:dyDescent="0.45">
      <c r="A93" s="12" t="s">
        <v>101</v>
      </c>
      <c r="C93" s="4">
        <v>2300000</v>
      </c>
      <c r="E93" s="4">
        <v>20425877950</v>
      </c>
      <c r="G93" s="4">
        <v>18714212200</v>
      </c>
      <c r="I93" s="4">
        <v>1711665750</v>
      </c>
      <c r="K93" s="4">
        <v>2300000</v>
      </c>
      <c r="M93" s="4">
        <v>20425877950</v>
      </c>
      <c r="O93" s="4">
        <v>19143056943</v>
      </c>
      <c r="Q93" s="4">
        <v>1282821007</v>
      </c>
    </row>
    <row r="94" spans="1:17" ht="18.75" x14ac:dyDescent="0.45">
      <c r="A94" s="12" t="s">
        <v>102</v>
      </c>
      <c r="C94" s="4">
        <v>3139198</v>
      </c>
      <c r="E94" s="4">
        <v>35541374114</v>
      </c>
      <c r="G94" s="4">
        <v>38456622022</v>
      </c>
      <c r="I94" s="4">
        <v>-2915247908</v>
      </c>
      <c r="K94" s="4">
        <v>3139198</v>
      </c>
      <c r="M94" s="4">
        <v>35541374114</v>
      </c>
      <c r="O94" s="4">
        <v>31711582126</v>
      </c>
      <c r="Q94" s="4">
        <v>3829791988</v>
      </c>
    </row>
    <row r="95" spans="1:17" ht="18.75" x14ac:dyDescent="0.45">
      <c r="A95" s="12" t="s">
        <v>103</v>
      </c>
      <c r="C95" s="4">
        <v>327781</v>
      </c>
      <c r="E95" s="4">
        <v>9910283795</v>
      </c>
      <c r="G95" s="4">
        <v>9565521707</v>
      </c>
      <c r="I95" s="4">
        <v>344762088</v>
      </c>
      <c r="K95" s="4">
        <v>327781</v>
      </c>
      <c r="M95" s="4">
        <v>9910283795</v>
      </c>
      <c r="O95" s="4">
        <v>8490452900</v>
      </c>
      <c r="Q95" s="4">
        <v>1419830895</v>
      </c>
    </row>
    <row r="96" spans="1:17" ht="18.75" x14ac:dyDescent="0.45">
      <c r="A96" s="12" t="s">
        <v>104</v>
      </c>
      <c r="C96" s="4">
        <v>104452</v>
      </c>
      <c r="E96" s="4">
        <v>14419034810</v>
      </c>
      <c r="G96" s="4">
        <v>14117429065</v>
      </c>
      <c r="I96" s="4">
        <v>301605745</v>
      </c>
      <c r="K96" s="4">
        <v>104452</v>
      </c>
      <c r="M96" s="4">
        <v>14419034810</v>
      </c>
      <c r="O96" s="4">
        <v>12026316222</v>
      </c>
      <c r="Q96" s="4">
        <v>2392718588</v>
      </c>
    </row>
    <row r="97" spans="1:17" ht="18.75" x14ac:dyDescent="0.45">
      <c r="A97" s="12" t="s">
        <v>105</v>
      </c>
      <c r="C97" s="4">
        <v>3544247</v>
      </c>
      <c r="E97" s="4">
        <v>29295360256</v>
      </c>
      <c r="G97" s="4">
        <v>27392221841</v>
      </c>
      <c r="I97" s="4">
        <v>1903138415</v>
      </c>
      <c r="K97" s="4">
        <v>3544247</v>
      </c>
      <c r="M97" s="4">
        <v>29295360256</v>
      </c>
      <c r="O97" s="4">
        <v>28328364210</v>
      </c>
      <c r="Q97" s="4">
        <v>966996046</v>
      </c>
    </row>
    <row r="98" spans="1:17" ht="18.75" x14ac:dyDescent="0.45">
      <c r="A98" s="12" t="s">
        <v>106</v>
      </c>
      <c r="C98" s="4">
        <v>261325</v>
      </c>
      <c r="E98" s="4">
        <v>9957310378</v>
      </c>
      <c r="G98" s="4">
        <v>9319420182</v>
      </c>
      <c r="I98" s="4">
        <v>637890196</v>
      </c>
      <c r="K98" s="4">
        <v>261325</v>
      </c>
      <c r="M98" s="4">
        <v>9957310378</v>
      </c>
      <c r="O98" s="4">
        <v>7340478709</v>
      </c>
      <c r="Q98" s="4">
        <v>2616831669</v>
      </c>
    </row>
    <row r="99" spans="1:17" ht="18.75" x14ac:dyDescent="0.45">
      <c r="A99" s="12" t="s">
        <v>107</v>
      </c>
      <c r="C99" s="4">
        <v>1246759</v>
      </c>
      <c r="E99" s="4">
        <v>23393968566</v>
      </c>
      <c r="G99" s="4">
        <v>22515612263</v>
      </c>
      <c r="I99" s="4">
        <v>878356303</v>
      </c>
      <c r="K99" s="4">
        <v>1246759</v>
      </c>
      <c r="M99" s="4">
        <v>23393968566</v>
      </c>
      <c r="O99" s="4">
        <v>20649343800</v>
      </c>
      <c r="Q99" s="4">
        <v>2744624766</v>
      </c>
    </row>
    <row r="100" spans="1:17" ht="18.75" x14ac:dyDescent="0.45">
      <c r="A100" s="12" t="s">
        <v>108</v>
      </c>
      <c r="C100" s="4">
        <v>1504289</v>
      </c>
      <c r="E100" s="4">
        <v>17732810851</v>
      </c>
      <c r="G100" s="4">
        <v>16329709656</v>
      </c>
      <c r="I100" s="4">
        <v>1403101195</v>
      </c>
      <c r="K100" s="4">
        <v>1504289</v>
      </c>
      <c r="M100" s="4">
        <v>17732810851</v>
      </c>
      <c r="O100" s="4">
        <v>9141298952</v>
      </c>
      <c r="Q100" s="4">
        <v>8591511899</v>
      </c>
    </row>
    <row r="101" spans="1:17" ht="18.75" x14ac:dyDescent="0.45">
      <c r="A101" s="12" t="s">
        <v>109</v>
      </c>
      <c r="C101" s="4">
        <v>414523</v>
      </c>
      <c r="E101" s="4">
        <v>19225037777</v>
      </c>
      <c r="G101" s="4">
        <v>18649191545</v>
      </c>
      <c r="I101" s="4">
        <v>575846232</v>
      </c>
      <c r="K101" s="4">
        <v>414523</v>
      </c>
      <c r="M101" s="4">
        <v>19225037777</v>
      </c>
      <c r="O101" s="4">
        <v>17125366833</v>
      </c>
      <c r="Q101" s="4">
        <v>2099670944</v>
      </c>
    </row>
    <row r="102" spans="1:17" ht="18.75" x14ac:dyDescent="0.45">
      <c r="A102" s="12" t="s">
        <v>110</v>
      </c>
      <c r="C102" s="4">
        <v>121110</v>
      </c>
      <c r="E102" s="4">
        <v>15695902591</v>
      </c>
      <c r="G102" s="4">
        <v>15373836754</v>
      </c>
      <c r="I102" s="4">
        <v>322065837</v>
      </c>
      <c r="K102" s="4">
        <v>121110</v>
      </c>
      <c r="M102" s="4">
        <v>15695902591</v>
      </c>
      <c r="O102" s="4">
        <v>15342681196</v>
      </c>
      <c r="Q102" s="4">
        <v>353221395</v>
      </c>
    </row>
    <row r="103" spans="1:17" ht="18.75" x14ac:dyDescent="0.45">
      <c r="A103" s="12" t="s">
        <v>111</v>
      </c>
      <c r="C103" s="4">
        <v>7961644</v>
      </c>
      <c r="E103" s="4">
        <v>17143218067</v>
      </c>
      <c r="G103" s="4">
        <v>16616054680</v>
      </c>
      <c r="I103" s="4">
        <v>527163387</v>
      </c>
      <c r="K103" s="4">
        <v>7961644</v>
      </c>
      <c r="M103" s="4">
        <v>17143218067</v>
      </c>
      <c r="O103" s="4">
        <v>12738109491</v>
      </c>
      <c r="Q103" s="4">
        <v>4405108576</v>
      </c>
    </row>
    <row r="104" spans="1:17" ht="18.75" x14ac:dyDescent="0.45">
      <c r="A104" s="12" t="s">
        <v>112</v>
      </c>
      <c r="C104" s="4">
        <v>352625</v>
      </c>
      <c r="E104" s="4">
        <v>17047089450</v>
      </c>
      <c r="G104" s="4">
        <v>14131248585</v>
      </c>
      <c r="I104" s="4">
        <v>2915840865</v>
      </c>
      <c r="K104" s="4">
        <v>352625</v>
      </c>
      <c r="M104" s="4">
        <v>17047089450</v>
      </c>
      <c r="O104" s="4">
        <v>10770580028</v>
      </c>
      <c r="Q104" s="4">
        <v>6276509422</v>
      </c>
    </row>
    <row r="105" spans="1:17" ht="18.75" x14ac:dyDescent="0.45">
      <c r="A105" s="12" t="s">
        <v>113</v>
      </c>
      <c r="C105" s="4">
        <v>1155746</v>
      </c>
      <c r="E105" s="4">
        <v>11330503384</v>
      </c>
      <c r="G105" s="4">
        <v>9643152621</v>
      </c>
      <c r="I105" s="4">
        <v>1687350763</v>
      </c>
      <c r="K105" s="4">
        <v>1155746</v>
      </c>
      <c r="M105" s="4">
        <v>11330503384</v>
      </c>
      <c r="O105" s="4">
        <v>7943307049</v>
      </c>
      <c r="Q105" s="4">
        <v>3387196335</v>
      </c>
    </row>
    <row r="106" spans="1:17" ht="37.5" x14ac:dyDescent="0.45">
      <c r="A106" s="12" t="s">
        <v>114</v>
      </c>
      <c r="C106" s="4">
        <v>2664575</v>
      </c>
      <c r="E106" s="4">
        <v>9486592473</v>
      </c>
      <c r="G106" s="4">
        <v>8697364662</v>
      </c>
      <c r="I106" s="4">
        <v>789227811</v>
      </c>
      <c r="K106" s="4">
        <v>2664575</v>
      </c>
      <c r="M106" s="4">
        <v>9486592473</v>
      </c>
      <c r="O106" s="4">
        <v>5968348429</v>
      </c>
      <c r="Q106" s="4">
        <v>3518244044</v>
      </c>
    </row>
    <row r="107" spans="1:17" ht="18.75" x14ac:dyDescent="0.45">
      <c r="A107" s="12" t="s">
        <v>115</v>
      </c>
      <c r="C107" s="4">
        <v>3083586</v>
      </c>
      <c r="E107" s="4">
        <v>22213784130</v>
      </c>
      <c r="G107" s="4">
        <v>18817461763</v>
      </c>
      <c r="I107" s="4">
        <v>3396322367</v>
      </c>
      <c r="K107" s="4">
        <v>3083586</v>
      </c>
      <c r="M107" s="4">
        <v>22213784130</v>
      </c>
      <c r="O107" s="4">
        <v>17142551222</v>
      </c>
      <c r="Q107" s="4">
        <v>5071232908</v>
      </c>
    </row>
    <row r="108" spans="1:17" ht="18.75" x14ac:dyDescent="0.45">
      <c r="A108" s="12" t="s">
        <v>116</v>
      </c>
      <c r="C108" s="4">
        <v>1100000</v>
      </c>
      <c r="E108" s="4">
        <v>18664598700</v>
      </c>
      <c r="G108" s="4">
        <v>17232454959</v>
      </c>
      <c r="I108" s="4">
        <v>1432143741</v>
      </c>
      <c r="K108" s="4">
        <v>1100000</v>
      </c>
      <c r="M108" s="4">
        <v>18664598700</v>
      </c>
      <c r="O108" s="4">
        <v>15897496230</v>
      </c>
      <c r="Q108" s="4">
        <v>2767102470</v>
      </c>
    </row>
    <row r="109" spans="1:17" ht="18.75" x14ac:dyDescent="0.45">
      <c r="A109" s="12" t="s">
        <v>117</v>
      </c>
      <c r="C109" s="4">
        <v>2098015</v>
      </c>
      <c r="E109" s="4">
        <v>27417271021</v>
      </c>
      <c r="G109" s="4">
        <v>21668727006</v>
      </c>
      <c r="I109" s="4">
        <v>5748544015</v>
      </c>
      <c r="K109" s="4">
        <v>2098015</v>
      </c>
      <c r="M109" s="4">
        <v>27417271021</v>
      </c>
      <c r="O109" s="4">
        <v>19484611433</v>
      </c>
      <c r="Q109" s="4">
        <v>7932659588</v>
      </c>
    </row>
    <row r="110" spans="1:17" ht="18.75" x14ac:dyDescent="0.45">
      <c r="A110" s="12" t="s">
        <v>118</v>
      </c>
      <c r="C110" s="4">
        <v>10637818</v>
      </c>
      <c r="E110" s="4">
        <v>19285058667</v>
      </c>
      <c r="G110" s="4">
        <v>17582392396</v>
      </c>
      <c r="I110" s="4">
        <v>1702666271</v>
      </c>
      <c r="K110" s="4">
        <v>10637818</v>
      </c>
      <c r="M110" s="4">
        <v>19285058667</v>
      </c>
      <c r="O110" s="4">
        <v>16718320836</v>
      </c>
      <c r="Q110" s="4">
        <v>2566737831</v>
      </c>
    </row>
    <row r="111" spans="1:17" ht="18.75" x14ac:dyDescent="0.45">
      <c r="A111" s="12" t="s">
        <v>119</v>
      </c>
      <c r="C111" s="4">
        <v>635696</v>
      </c>
      <c r="E111" s="4">
        <v>22323377454</v>
      </c>
      <c r="G111" s="4">
        <v>19011771587</v>
      </c>
      <c r="I111" s="4">
        <v>3311605867</v>
      </c>
      <c r="K111" s="4">
        <v>635696</v>
      </c>
      <c r="M111" s="4">
        <v>22323377454</v>
      </c>
      <c r="O111" s="4">
        <v>17885876182</v>
      </c>
      <c r="Q111" s="4">
        <v>4437501272</v>
      </c>
    </row>
    <row r="112" spans="1:17" ht="18.75" x14ac:dyDescent="0.45">
      <c r="A112" s="12" t="s">
        <v>120</v>
      </c>
      <c r="C112" s="4">
        <v>9448213</v>
      </c>
      <c r="E112" s="4">
        <v>6375121253</v>
      </c>
      <c r="G112" s="4">
        <v>4893843080</v>
      </c>
      <c r="I112" s="4">
        <v>1481278173</v>
      </c>
      <c r="K112" s="4">
        <v>9448213</v>
      </c>
      <c r="M112" s="4">
        <v>6375121253</v>
      </c>
      <c r="O112" s="4">
        <v>7062781092</v>
      </c>
      <c r="Q112" s="4">
        <v>-687659839</v>
      </c>
    </row>
    <row r="113" spans="1:17" ht="18.75" x14ac:dyDescent="0.45">
      <c r="A113" s="12" t="s">
        <v>121</v>
      </c>
      <c r="C113" s="4">
        <v>249996</v>
      </c>
      <c r="E113" s="4">
        <v>2165594625</v>
      </c>
      <c r="G113" s="4">
        <v>1877840929</v>
      </c>
      <c r="I113" s="4">
        <v>287753696</v>
      </c>
      <c r="K113" s="4">
        <v>249996</v>
      </c>
      <c r="M113" s="4">
        <v>2165594625</v>
      </c>
      <c r="O113" s="4">
        <v>1732104411</v>
      </c>
      <c r="Q113" s="4">
        <v>433490214</v>
      </c>
    </row>
    <row r="114" spans="1:17" ht="18.75" x14ac:dyDescent="0.45">
      <c r="A114" s="12" t="s">
        <v>122</v>
      </c>
      <c r="C114" s="4">
        <v>8000000</v>
      </c>
      <c r="E114" s="4">
        <v>34927904000</v>
      </c>
      <c r="G114" s="4">
        <v>35372158228</v>
      </c>
      <c r="I114" s="4">
        <v>-444254228</v>
      </c>
      <c r="K114" s="4">
        <v>8000000</v>
      </c>
      <c r="M114" s="4">
        <v>34927904000</v>
      </c>
      <c r="O114" s="4">
        <v>35372158228</v>
      </c>
      <c r="Q114" s="4">
        <v>-444254228</v>
      </c>
    </row>
    <row r="115" spans="1:17" ht="18.75" x14ac:dyDescent="0.45">
      <c r="A115" s="12" t="s">
        <v>123</v>
      </c>
      <c r="C115" s="4">
        <v>1875000</v>
      </c>
      <c r="E115" s="4">
        <v>7871801944</v>
      </c>
      <c r="G115" s="4">
        <v>6295953150</v>
      </c>
      <c r="I115" s="4">
        <v>1575848794</v>
      </c>
      <c r="K115" s="4">
        <v>1875000</v>
      </c>
      <c r="M115" s="4">
        <v>7871801944</v>
      </c>
      <c r="O115" s="4">
        <v>5911612875</v>
      </c>
      <c r="Q115" s="4">
        <v>1960189069</v>
      </c>
    </row>
    <row r="116" spans="1:17" ht="18.75" x14ac:dyDescent="0.45">
      <c r="A116" s="12" t="s">
        <v>124</v>
      </c>
      <c r="C116" s="4">
        <v>23792</v>
      </c>
      <c r="E116" s="4">
        <v>1518000048</v>
      </c>
      <c r="G116" s="4">
        <v>1512098026</v>
      </c>
      <c r="I116" s="4">
        <v>5902022</v>
      </c>
      <c r="K116" s="4">
        <v>23792</v>
      </c>
      <c r="M116" s="4">
        <v>1518000048</v>
      </c>
      <c r="O116" s="4">
        <v>1265552380</v>
      </c>
      <c r="Q116" s="4">
        <v>252447668</v>
      </c>
    </row>
    <row r="117" spans="1:17" ht="18.75" x14ac:dyDescent="0.45">
      <c r="A117" s="12" t="s">
        <v>125</v>
      </c>
      <c r="C117" s="4">
        <v>943421</v>
      </c>
      <c r="E117" s="4">
        <v>19658695469</v>
      </c>
      <c r="G117" s="4">
        <v>15024860109</v>
      </c>
      <c r="I117" s="4">
        <v>4633835360</v>
      </c>
      <c r="K117" s="4">
        <v>943421</v>
      </c>
      <c r="M117" s="4">
        <v>19658695469</v>
      </c>
      <c r="O117" s="4">
        <v>12470037471</v>
      </c>
      <c r="Q117" s="4">
        <v>7188657998</v>
      </c>
    </row>
    <row r="118" spans="1:17" ht="18.75" x14ac:dyDescent="0.45">
      <c r="A118" s="12" t="s">
        <v>126</v>
      </c>
      <c r="C118" s="4">
        <v>3733986</v>
      </c>
      <c r="E118" s="4">
        <v>21193299489</v>
      </c>
      <c r="G118" s="4">
        <v>18673816333</v>
      </c>
      <c r="I118" s="4">
        <v>2519483156</v>
      </c>
      <c r="K118" s="4">
        <v>3733986</v>
      </c>
      <c r="M118" s="4">
        <v>21193299489</v>
      </c>
      <c r="O118" s="4">
        <v>14066948730</v>
      </c>
      <c r="Q118" s="4">
        <v>7126350759</v>
      </c>
    </row>
    <row r="119" spans="1:17" ht="18.75" x14ac:dyDescent="0.45">
      <c r="A119" s="12" t="s">
        <v>127</v>
      </c>
      <c r="C119" s="4">
        <v>8635517</v>
      </c>
      <c r="E119" s="4">
        <v>24335291048</v>
      </c>
      <c r="G119" s="4">
        <v>20670359344</v>
      </c>
      <c r="I119" s="4">
        <v>3664931704</v>
      </c>
      <c r="K119" s="4">
        <v>8635517</v>
      </c>
      <c r="M119" s="4">
        <v>24335291048</v>
      </c>
      <c r="O119" s="4">
        <v>26670429532</v>
      </c>
      <c r="Q119" s="4">
        <v>-2335138484</v>
      </c>
    </row>
    <row r="120" spans="1:17" ht="18.75" x14ac:dyDescent="0.45">
      <c r="A120" s="12" t="s">
        <v>128</v>
      </c>
      <c r="C120" s="4">
        <v>3629795</v>
      </c>
      <c r="E120" s="4">
        <v>26796920934</v>
      </c>
      <c r="G120" s="4">
        <v>22128970773</v>
      </c>
      <c r="I120" s="4">
        <v>4667950161</v>
      </c>
      <c r="K120" s="4">
        <v>3629795</v>
      </c>
      <c r="M120" s="4">
        <v>26796920934</v>
      </c>
      <c r="O120" s="4">
        <v>27351025412</v>
      </c>
      <c r="Q120" s="4">
        <v>-554104478</v>
      </c>
    </row>
    <row r="121" spans="1:17" ht="18.75" x14ac:dyDescent="0.45">
      <c r="A121" s="12" t="s">
        <v>129</v>
      </c>
      <c r="C121" s="4">
        <v>6157463</v>
      </c>
      <c r="E121" s="4">
        <v>21964967591</v>
      </c>
      <c r="G121" s="4">
        <v>19630998851</v>
      </c>
      <c r="I121" s="4">
        <v>2333968740</v>
      </c>
      <c r="K121" s="4">
        <v>6157463</v>
      </c>
      <c r="M121" s="4">
        <v>21964967591</v>
      </c>
      <c r="O121" s="4">
        <v>12101239129</v>
      </c>
      <c r="Q121" s="4">
        <v>9863728462</v>
      </c>
    </row>
    <row r="122" spans="1:17" ht="18.75" x14ac:dyDescent="0.45">
      <c r="A122" s="12" t="s">
        <v>130</v>
      </c>
      <c r="C122" s="4">
        <v>10131711</v>
      </c>
      <c r="E122" s="4">
        <v>25324496650</v>
      </c>
      <c r="G122" s="4">
        <v>23122803610</v>
      </c>
      <c r="I122" s="4">
        <v>2201693040</v>
      </c>
      <c r="K122" s="4">
        <v>10131711</v>
      </c>
      <c r="M122" s="4">
        <v>25324496650</v>
      </c>
      <c r="O122" s="4">
        <v>19444762475</v>
      </c>
      <c r="Q122" s="4">
        <v>5879734175</v>
      </c>
    </row>
    <row r="123" spans="1:17" ht="18.75" x14ac:dyDescent="0.45">
      <c r="A123" s="12" t="s">
        <v>131</v>
      </c>
      <c r="C123" s="4">
        <v>5865914</v>
      </c>
      <c r="E123" s="4">
        <v>17956459946</v>
      </c>
      <c r="G123" s="4">
        <v>13864598895</v>
      </c>
      <c r="I123" s="4">
        <v>4091861051</v>
      </c>
      <c r="K123" s="4">
        <v>5865914</v>
      </c>
      <c r="M123" s="4">
        <v>17956459946</v>
      </c>
      <c r="O123" s="4">
        <v>21662208880</v>
      </c>
      <c r="Q123" s="4">
        <v>-3705748934</v>
      </c>
    </row>
    <row r="124" spans="1:17" ht="18.75" x14ac:dyDescent="0.45">
      <c r="A124" s="12" t="s">
        <v>132</v>
      </c>
      <c r="C124" s="4">
        <v>8580289</v>
      </c>
      <c r="E124" s="4">
        <v>28325956119</v>
      </c>
      <c r="G124" s="4">
        <v>24359113829</v>
      </c>
      <c r="I124" s="4">
        <v>3966842290</v>
      </c>
      <c r="K124" s="4">
        <v>8580289</v>
      </c>
      <c r="M124" s="4">
        <v>28325956119</v>
      </c>
      <c r="O124" s="4">
        <v>24479212282</v>
      </c>
      <c r="Q124" s="4">
        <v>3846743837</v>
      </c>
    </row>
    <row r="125" spans="1:17" ht="18.75" x14ac:dyDescent="0.45">
      <c r="A125" s="12" t="s">
        <v>133</v>
      </c>
      <c r="C125" s="4">
        <v>5689661</v>
      </c>
      <c r="E125" s="4">
        <v>25857214036</v>
      </c>
      <c r="G125" s="4">
        <v>22193700908</v>
      </c>
      <c r="I125" s="4">
        <v>3663513128</v>
      </c>
      <c r="K125" s="4">
        <v>5689661</v>
      </c>
      <c r="M125" s="4">
        <v>25857214036</v>
      </c>
      <c r="O125" s="4">
        <v>20468822561</v>
      </c>
      <c r="Q125" s="4">
        <v>5388391475</v>
      </c>
    </row>
    <row r="126" spans="1:17" ht="18.75" x14ac:dyDescent="0.45">
      <c r="A126" s="12" t="s">
        <v>134</v>
      </c>
      <c r="C126" s="4">
        <v>1038313</v>
      </c>
      <c r="E126" s="4">
        <v>21378451941</v>
      </c>
      <c r="G126" s="4">
        <v>17112716973</v>
      </c>
      <c r="I126" s="4">
        <v>4265734968</v>
      </c>
      <c r="K126" s="4">
        <v>1038313</v>
      </c>
      <c r="M126" s="4">
        <v>21378451941</v>
      </c>
      <c r="O126" s="4">
        <v>15239876812</v>
      </c>
      <c r="Q126" s="4">
        <v>6138575129</v>
      </c>
    </row>
    <row r="127" spans="1:17" ht="18.75" x14ac:dyDescent="0.45">
      <c r="A127" s="12" t="s">
        <v>135</v>
      </c>
      <c r="C127" s="4">
        <v>6779392</v>
      </c>
      <c r="E127" s="4">
        <v>29336391615</v>
      </c>
      <c r="G127" s="4">
        <v>24594622210</v>
      </c>
      <c r="I127" s="4">
        <v>4741769405</v>
      </c>
      <c r="K127" s="4">
        <v>6779392</v>
      </c>
      <c r="M127" s="4">
        <v>29336391615</v>
      </c>
      <c r="O127" s="4">
        <v>20686911631</v>
      </c>
      <c r="Q127" s="4">
        <v>8649479984</v>
      </c>
    </row>
    <row r="128" spans="1:17" ht="18.75" x14ac:dyDescent="0.45">
      <c r="A128" s="12" t="s">
        <v>136</v>
      </c>
      <c r="C128" s="4">
        <v>2589045</v>
      </c>
      <c r="E128" s="4">
        <v>14103983935</v>
      </c>
      <c r="G128" s="4">
        <v>10276126729</v>
      </c>
      <c r="I128" s="4">
        <v>3827857206</v>
      </c>
      <c r="K128" s="4">
        <v>2589045</v>
      </c>
      <c r="M128" s="4">
        <v>14103983935</v>
      </c>
      <c r="O128" s="4">
        <v>8523271213</v>
      </c>
      <c r="Q128" s="4">
        <v>5580712722</v>
      </c>
    </row>
    <row r="129" spans="1:17" ht="18.75" x14ac:dyDescent="0.45">
      <c r="A129" s="12" t="s">
        <v>137</v>
      </c>
      <c r="C129" s="4">
        <v>1377085</v>
      </c>
      <c r="E129" s="4">
        <v>19936361540</v>
      </c>
      <c r="G129" s="4">
        <v>19890513296</v>
      </c>
      <c r="I129" s="4">
        <v>45848244</v>
      </c>
      <c r="K129" s="4">
        <v>1377085</v>
      </c>
      <c r="M129" s="4">
        <v>19936361540</v>
      </c>
      <c r="O129" s="4">
        <v>17494346213</v>
      </c>
      <c r="Q129" s="4">
        <v>2442015327</v>
      </c>
    </row>
    <row r="130" spans="1:17" ht="37.5" x14ac:dyDescent="0.45">
      <c r="A130" s="12" t="s">
        <v>138</v>
      </c>
      <c r="C130" s="4">
        <v>316099</v>
      </c>
      <c r="E130" s="4">
        <v>3064414770</v>
      </c>
      <c r="G130" s="4">
        <v>2590794882</v>
      </c>
      <c r="I130" s="4">
        <v>473619888</v>
      </c>
      <c r="K130" s="4">
        <v>316099</v>
      </c>
      <c r="M130" s="4">
        <v>3064414770</v>
      </c>
      <c r="O130" s="4">
        <v>2474138629</v>
      </c>
      <c r="Q130" s="4">
        <v>590276141</v>
      </c>
    </row>
    <row r="131" spans="1:17" ht="37.5" x14ac:dyDescent="0.45">
      <c r="A131" s="12" t="s">
        <v>139</v>
      </c>
      <c r="C131" s="4">
        <v>582860</v>
      </c>
      <c r="E131" s="4">
        <v>18015742432</v>
      </c>
      <c r="G131" s="4">
        <v>15245424414</v>
      </c>
      <c r="I131" s="4">
        <v>2770318018</v>
      </c>
      <c r="K131" s="4">
        <v>582860</v>
      </c>
      <c r="M131" s="4">
        <v>18015742432</v>
      </c>
      <c r="O131" s="4">
        <v>12577058146</v>
      </c>
      <c r="Q131" s="4">
        <v>5438684286</v>
      </c>
    </row>
    <row r="132" spans="1:17" ht="18.75" x14ac:dyDescent="0.45">
      <c r="A132" s="12" t="s">
        <v>140</v>
      </c>
      <c r="C132" s="4">
        <v>5367900</v>
      </c>
      <c r="E132" s="4">
        <v>31851908675</v>
      </c>
      <c r="G132" s="4">
        <v>29905796946</v>
      </c>
      <c r="I132" s="4">
        <v>1946111729</v>
      </c>
      <c r="K132" s="4">
        <v>5367900</v>
      </c>
      <c r="M132" s="4">
        <v>31851908675</v>
      </c>
      <c r="O132" s="4">
        <v>27987560252</v>
      </c>
      <c r="Q132" s="4">
        <v>3864348423</v>
      </c>
    </row>
    <row r="133" spans="1:17" ht="18.75" x14ac:dyDescent="0.45">
      <c r="A133" s="12" t="s">
        <v>141</v>
      </c>
      <c r="C133" s="4">
        <v>11200000</v>
      </c>
      <c r="E133" s="4">
        <v>21760084192</v>
      </c>
      <c r="G133" s="4">
        <v>21988020236</v>
      </c>
      <c r="I133" s="4">
        <v>-227936044</v>
      </c>
      <c r="K133" s="4">
        <v>11200000</v>
      </c>
      <c r="M133" s="4">
        <v>21760084192</v>
      </c>
      <c r="O133" s="4">
        <v>21988020236</v>
      </c>
      <c r="Q133" s="4">
        <v>-227936044</v>
      </c>
    </row>
    <row r="134" spans="1:17" ht="18.75" x14ac:dyDescent="0.45">
      <c r="A134" s="12" t="s">
        <v>142</v>
      </c>
      <c r="C134" s="4">
        <v>3915801</v>
      </c>
      <c r="E134" s="4">
        <v>15992849129</v>
      </c>
      <c r="G134" s="4">
        <v>13771083938</v>
      </c>
      <c r="I134" s="4">
        <v>2221765191</v>
      </c>
      <c r="K134" s="4">
        <v>3915801</v>
      </c>
      <c r="M134" s="4">
        <v>15992849129</v>
      </c>
      <c r="O134" s="4">
        <v>13026834643</v>
      </c>
      <c r="Q134" s="4">
        <v>2966014486</v>
      </c>
    </row>
    <row r="135" spans="1:17" ht="18.75" x14ac:dyDescent="0.45">
      <c r="A135" s="12" t="s">
        <v>143</v>
      </c>
      <c r="C135" s="4">
        <v>540150</v>
      </c>
      <c r="E135" s="4">
        <v>8580953994</v>
      </c>
      <c r="G135" s="4">
        <v>8499361036</v>
      </c>
      <c r="I135" s="4">
        <v>81592958</v>
      </c>
      <c r="K135" s="4">
        <v>540150</v>
      </c>
      <c r="M135" s="4">
        <v>8580953994</v>
      </c>
      <c r="O135" s="4">
        <v>8499361036</v>
      </c>
      <c r="Q135" s="4">
        <v>81592958</v>
      </c>
    </row>
    <row r="136" spans="1:17" ht="18.75" x14ac:dyDescent="0.45">
      <c r="A136" s="12" t="s">
        <v>144</v>
      </c>
      <c r="C136" s="4">
        <v>8858150</v>
      </c>
      <c r="E136" s="4">
        <v>16550960850</v>
      </c>
      <c r="G136" s="4">
        <v>13536101811</v>
      </c>
      <c r="I136" s="4">
        <v>3014859039</v>
      </c>
      <c r="K136" s="4">
        <v>8858150</v>
      </c>
      <c r="M136" s="4">
        <v>16550960850</v>
      </c>
      <c r="O136" s="4">
        <v>11344964033</v>
      </c>
      <c r="Q136" s="4">
        <v>5205996817</v>
      </c>
    </row>
    <row r="137" spans="1:17" ht="18.75" x14ac:dyDescent="0.45">
      <c r="A137" s="12" t="s">
        <v>145</v>
      </c>
      <c r="C137" s="4">
        <v>3000000</v>
      </c>
      <c r="E137" s="4">
        <v>14375015490</v>
      </c>
      <c r="G137" s="4">
        <v>11416066350</v>
      </c>
      <c r="I137" s="4">
        <v>2958949140</v>
      </c>
      <c r="K137" s="4">
        <v>3000000</v>
      </c>
      <c r="M137" s="4">
        <v>14375015490</v>
      </c>
      <c r="O137" s="4">
        <v>7822145005</v>
      </c>
      <c r="Q137" s="4">
        <v>6552870485</v>
      </c>
    </row>
    <row r="138" spans="1:17" ht="18.75" x14ac:dyDescent="0.45">
      <c r="A138" s="12" t="s">
        <v>146</v>
      </c>
      <c r="C138" s="4">
        <v>4441456</v>
      </c>
      <c r="E138" s="4">
        <v>17073196614</v>
      </c>
      <c r="G138" s="4">
        <v>13529869284</v>
      </c>
      <c r="I138" s="4">
        <v>3543327330</v>
      </c>
      <c r="K138" s="4">
        <v>4441456</v>
      </c>
      <c r="M138" s="4">
        <v>17073196614</v>
      </c>
      <c r="O138" s="4">
        <v>11625693660</v>
      </c>
      <c r="Q138" s="4">
        <v>5447502954</v>
      </c>
    </row>
    <row r="139" spans="1:17" ht="18.75" x14ac:dyDescent="0.45">
      <c r="A139" s="12" t="s">
        <v>147</v>
      </c>
      <c r="C139" s="4">
        <v>6186321</v>
      </c>
      <c r="E139" s="4">
        <v>24124307903</v>
      </c>
      <c r="G139" s="4">
        <v>21605068697</v>
      </c>
      <c r="I139" s="4">
        <v>2519239206</v>
      </c>
      <c r="K139" s="4">
        <v>6186321</v>
      </c>
      <c r="M139" s="4">
        <v>24124307903</v>
      </c>
      <c r="O139" s="4">
        <v>15165695990</v>
      </c>
      <c r="Q139" s="4">
        <v>8958611913</v>
      </c>
    </row>
    <row r="140" spans="1:17" ht="18.75" x14ac:dyDescent="0.45">
      <c r="A140" s="12" t="s">
        <v>148</v>
      </c>
      <c r="C140" s="4">
        <v>15412467</v>
      </c>
      <c r="E140" s="4">
        <v>21257726796</v>
      </c>
      <c r="G140" s="4">
        <v>17832021183</v>
      </c>
      <c r="I140" s="4">
        <v>3425705613</v>
      </c>
      <c r="K140" s="4">
        <v>15412467</v>
      </c>
      <c r="M140" s="4">
        <v>21257726796</v>
      </c>
      <c r="O140" s="4">
        <v>15455930566</v>
      </c>
      <c r="Q140" s="4">
        <v>5801796230</v>
      </c>
    </row>
    <row r="141" spans="1:17" ht="18.75" x14ac:dyDescent="0.45">
      <c r="A141" s="12" t="s">
        <v>149</v>
      </c>
      <c r="C141" s="4">
        <v>1447708</v>
      </c>
      <c r="E141" s="4">
        <v>10314193619</v>
      </c>
      <c r="G141" s="4">
        <v>9581569838</v>
      </c>
      <c r="I141" s="4">
        <v>732623781</v>
      </c>
      <c r="K141" s="4">
        <v>1447708</v>
      </c>
      <c r="M141" s="4">
        <v>10314193619</v>
      </c>
      <c r="O141" s="4">
        <v>7589659743</v>
      </c>
      <c r="Q141" s="4">
        <v>2724533876</v>
      </c>
    </row>
    <row r="142" spans="1:17" ht="18.75" x14ac:dyDescent="0.45">
      <c r="A142" s="12" t="s">
        <v>150</v>
      </c>
      <c r="C142" s="4">
        <v>1375942</v>
      </c>
      <c r="E142" s="4">
        <v>13448263788</v>
      </c>
      <c r="G142" s="4">
        <v>10540162076</v>
      </c>
      <c r="I142" s="4">
        <v>2908101712</v>
      </c>
      <c r="K142" s="4">
        <v>1375942</v>
      </c>
      <c r="M142" s="4">
        <v>13448263788</v>
      </c>
      <c r="O142" s="4">
        <v>10930235967</v>
      </c>
      <c r="Q142" s="4">
        <v>2518027821</v>
      </c>
    </row>
    <row r="143" spans="1:17" ht="18.75" x14ac:dyDescent="0.45">
      <c r="A143" s="12" t="s">
        <v>151</v>
      </c>
      <c r="C143" s="4">
        <v>4342474</v>
      </c>
      <c r="E143" s="4">
        <v>23526630451</v>
      </c>
      <c r="G143" s="4">
        <v>23181917917</v>
      </c>
      <c r="I143" s="4">
        <v>344712534</v>
      </c>
      <c r="K143" s="4">
        <v>4342474</v>
      </c>
      <c r="M143" s="4">
        <v>23526630451</v>
      </c>
      <c r="O143" s="4">
        <v>22962913506</v>
      </c>
      <c r="Q143" s="4">
        <v>563716945</v>
      </c>
    </row>
    <row r="144" spans="1:17" ht="18.75" x14ac:dyDescent="0.45">
      <c r="A144" s="12" t="s">
        <v>152</v>
      </c>
      <c r="C144" s="4">
        <v>241083</v>
      </c>
      <c r="E144" s="4">
        <v>2382625507</v>
      </c>
      <c r="G144" s="4">
        <v>2329997233</v>
      </c>
      <c r="I144" s="4">
        <v>52628274</v>
      </c>
      <c r="K144" s="4">
        <v>241083</v>
      </c>
      <c r="M144" s="4">
        <v>2382625507</v>
      </c>
      <c r="O144" s="4">
        <v>1966102194</v>
      </c>
      <c r="Q144" s="4">
        <v>416523313</v>
      </c>
    </row>
    <row r="145" spans="1:17" ht="18.75" x14ac:dyDescent="0.45">
      <c r="A145" s="12" t="s">
        <v>153</v>
      </c>
      <c r="C145" s="4">
        <v>4912237</v>
      </c>
      <c r="E145" s="4">
        <v>19204605707</v>
      </c>
      <c r="G145" s="4">
        <v>17113545847</v>
      </c>
      <c r="I145" s="4">
        <v>2091059860</v>
      </c>
      <c r="K145" s="4">
        <v>4912237</v>
      </c>
      <c r="M145" s="4">
        <v>19204605707</v>
      </c>
      <c r="O145" s="4">
        <v>15435382580</v>
      </c>
      <c r="Q145" s="4">
        <v>3769223127</v>
      </c>
    </row>
    <row r="146" spans="1:17" ht="18.75" x14ac:dyDescent="0.45">
      <c r="A146" s="12" t="s">
        <v>154</v>
      </c>
      <c r="C146" s="4">
        <v>9197090</v>
      </c>
      <c r="E146" s="4">
        <v>23088771131</v>
      </c>
      <c r="G146" s="4">
        <v>18124229038</v>
      </c>
      <c r="I146" s="4">
        <v>4964542093</v>
      </c>
      <c r="K146" s="4">
        <v>9197090</v>
      </c>
      <c r="M146" s="4">
        <v>23088771131</v>
      </c>
      <c r="O146" s="4">
        <v>13119139315</v>
      </c>
      <c r="Q146" s="4">
        <v>9969631816</v>
      </c>
    </row>
    <row r="147" spans="1:17" ht="18.75" x14ac:dyDescent="0.45">
      <c r="A147" s="12" t="s">
        <v>155</v>
      </c>
      <c r="C147" s="4">
        <v>12665640</v>
      </c>
      <c r="E147" s="4">
        <v>51540279606</v>
      </c>
      <c r="G147" s="4">
        <v>44125316190</v>
      </c>
      <c r="I147" s="4">
        <v>7414963416</v>
      </c>
      <c r="K147" s="4">
        <v>12665640</v>
      </c>
      <c r="M147" s="4">
        <v>51540279606</v>
      </c>
      <c r="O147" s="4">
        <v>52792157663</v>
      </c>
      <c r="Q147" s="4">
        <v>-1251878057</v>
      </c>
    </row>
    <row r="148" spans="1:17" ht="18.75" x14ac:dyDescent="0.45">
      <c r="A148" s="12" t="s">
        <v>156</v>
      </c>
      <c r="C148" s="4">
        <v>21884042</v>
      </c>
      <c r="E148" s="4">
        <v>35677545138</v>
      </c>
      <c r="G148" s="4">
        <v>31367864724</v>
      </c>
      <c r="I148" s="4">
        <v>4309680414</v>
      </c>
      <c r="K148" s="4">
        <v>21884042</v>
      </c>
      <c r="M148" s="4">
        <v>35677545138</v>
      </c>
      <c r="O148" s="4">
        <v>29953628719</v>
      </c>
      <c r="Q148" s="4">
        <v>5723916419</v>
      </c>
    </row>
    <row r="149" spans="1:17" ht="18.75" x14ac:dyDescent="0.45">
      <c r="A149" s="12" t="s">
        <v>157</v>
      </c>
      <c r="C149" s="4">
        <v>2800000</v>
      </c>
      <c r="E149" s="4">
        <v>22226848000</v>
      </c>
      <c r="G149" s="4">
        <v>23138668746</v>
      </c>
      <c r="I149" s="4">
        <v>-911820746</v>
      </c>
      <c r="K149" s="4">
        <v>2800000</v>
      </c>
      <c r="M149" s="4">
        <v>22226848000</v>
      </c>
      <c r="O149" s="4">
        <v>23138668746</v>
      </c>
      <c r="Q149" s="4">
        <v>-911820746</v>
      </c>
    </row>
    <row r="150" spans="1:17" ht="18.75" x14ac:dyDescent="0.45">
      <c r="A150" s="12" t="s">
        <v>158</v>
      </c>
      <c r="C150" s="4">
        <v>862852</v>
      </c>
      <c r="E150" s="4">
        <v>12594439486</v>
      </c>
      <c r="G150" s="4">
        <v>10787895141</v>
      </c>
      <c r="I150" s="4">
        <v>1806544345</v>
      </c>
      <c r="K150" s="4">
        <v>862852</v>
      </c>
      <c r="M150" s="4">
        <v>12594439486</v>
      </c>
      <c r="O150" s="4">
        <v>7777212626</v>
      </c>
      <c r="Q150" s="4">
        <v>4817226860</v>
      </c>
    </row>
    <row r="151" spans="1:17" ht="18.75" x14ac:dyDescent="0.45">
      <c r="A151" s="12" t="s">
        <v>159</v>
      </c>
      <c r="C151" s="4">
        <v>4284284</v>
      </c>
      <c r="E151" s="4">
        <v>38345521692</v>
      </c>
      <c r="G151" s="4">
        <v>30971015246</v>
      </c>
      <c r="I151" s="4">
        <v>7374506446</v>
      </c>
      <c r="K151" s="4">
        <v>4284284</v>
      </c>
      <c r="M151" s="4">
        <v>38345521692</v>
      </c>
      <c r="O151" s="4">
        <v>25230992574</v>
      </c>
      <c r="Q151" s="4">
        <v>13114529118</v>
      </c>
    </row>
    <row r="152" spans="1:17" ht="18.75" x14ac:dyDescent="0.45">
      <c r="A152" s="12" t="s">
        <v>160</v>
      </c>
      <c r="C152" s="4">
        <v>1181085</v>
      </c>
      <c r="E152" s="4">
        <v>14977587622</v>
      </c>
      <c r="G152" s="4">
        <v>13874307205</v>
      </c>
      <c r="I152" s="4">
        <v>1103280417</v>
      </c>
      <c r="K152" s="4">
        <v>1181085</v>
      </c>
      <c r="M152" s="4">
        <v>14977587622</v>
      </c>
      <c r="O152" s="4">
        <v>13132016407</v>
      </c>
      <c r="Q152" s="4">
        <v>1845571215</v>
      </c>
    </row>
    <row r="153" spans="1:17" ht="18.75" x14ac:dyDescent="0.45">
      <c r="A153" s="12" t="s">
        <v>161</v>
      </c>
      <c r="C153" s="4">
        <v>3100000</v>
      </c>
      <c r="E153" s="4">
        <v>23070277500</v>
      </c>
      <c r="G153" s="4">
        <v>21809102330</v>
      </c>
      <c r="I153" s="4">
        <v>1261175170</v>
      </c>
      <c r="K153" s="4">
        <v>3100000</v>
      </c>
      <c r="M153" s="4">
        <v>23070277500</v>
      </c>
      <c r="O153" s="4">
        <v>27745458691</v>
      </c>
      <c r="Q153" s="4">
        <v>-4675181191</v>
      </c>
    </row>
    <row r="154" spans="1:17" ht="37.5" x14ac:dyDescent="0.45">
      <c r="A154" s="12" t="s">
        <v>162</v>
      </c>
      <c r="C154" s="4">
        <v>1400000</v>
      </c>
      <c r="E154" s="4">
        <v>17350833220</v>
      </c>
      <c r="G154" s="4">
        <v>14794745700</v>
      </c>
      <c r="I154" s="4">
        <v>2556087520</v>
      </c>
      <c r="K154" s="4">
        <v>1400000</v>
      </c>
      <c r="M154" s="4">
        <v>17350833220</v>
      </c>
      <c r="O154" s="4">
        <v>12092170716</v>
      </c>
      <c r="Q154" s="4">
        <v>5258662504</v>
      </c>
    </row>
    <row r="155" spans="1:17" ht="18.75" x14ac:dyDescent="0.45">
      <c r="A155" s="12" t="s">
        <v>163</v>
      </c>
      <c r="C155" s="4">
        <v>2400000</v>
      </c>
      <c r="E155" s="4">
        <v>14622090720</v>
      </c>
      <c r="G155" s="4">
        <v>14407760400</v>
      </c>
      <c r="I155" s="4">
        <v>214330320</v>
      </c>
      <c r="K155" s="4">
        <v>2400000</v>
      </c>
      <c r="M155" s="4">
        <v>14622090720</v>
      </c>
      <c r="O155" s="4">
        <v>11849949912</v>
      </c>
      <c r="Q155" s="4">
        <v>2772140808</v>
      </c>
    </row>
    <row r="156" spans="1:17" ht="18.75" x14ac:dyDescent="0.45">
      <c r="A156" s="12" t="s">
        <v>164</v>
      </c>
      <c r="C156" s="4">
        <v>5558999</v>
      </c>
      <c r="E156" s="4">
        <v>27320886376</v>
      </c>
      <c r="G156" s="4">
        <v>26007947591</v>
      </c>
      <c r="I156" s="4">
        <v>1312938785</v>
      </c>
      <c r="K156" s="4">
        <v>5558999</v>
      </c>
      <c r="M156" s="4">
        <v>27320886376</v>
      </c>
      <c r="O156" s="4">
        <v>20595581613</v>
      </c>
      <c r="Q156" s="4">
        <v>6725304763</v>
      </c>
    </row>
    <row r="157" spans="1:17" ht="18.75" x14ac:dyDescent="0.45">
      <c r="A157" s="12" t="s">
        <v>165</v>
      </c>
      <c r="C157" s="4">
        <v>2141672</v>
      </c>
      <c r="E157" s="4">
        <v>9894544172</v>
      </c>
      <c r="G157" s="4">
        <v>16237137294</v>
      </c>
      <c r="I157" s="4">
        <v>-6342593122</v>
      </c>
      <c r="K157" s="4">
        <v>2141672</v>
      </c>
      <c r="M157" s="4">
        <v>9894544172</v>
      </c>
      <c r="O157" s="4">
        <v>5543199042</v>
      </c>
      <c r="Q157" s="4">
        <v>4351345130</v>
      </c>
    </row>
    <row r="158" spans="1:17" ht="18.75" x14ac:dyDescent="0.45">
      <c r="A158" s="12" t="s">
        <v>166</v>
      </c>
      <c r="C158" s="4">
        <v>13104132</v>
      </c>
      <c r="E158" s="4">
        <v>23808194656</v>
      </c>
      <c r="G158" s="4">
        <v>19764312331</v>
      </c>
      <c r="I158" s="4">
        <v>4043882325</v>
      </c>
      <c r="K158" s="4">
        <v>13104132</v>
      </c>
      <c r="M158" s="4">
        <v>23808194656</v>
      </c>
      <c r="O158" s="4">
        <v>18159717549</v>
      </c>
      <c r="Q158" s="4">
        <v>5648477107</v>
      </c>
    </row>
    <row r="159" spans="1:17" ht="18.75" x14ac:dyDescent="0.45">
      <c r="A159" s="12" t="s">
        <v>167</v>
      </c>
      <c r="C159" s="4">
        <v>2851893</v>
      </c>
      <c r="E159" s="4">
        <v>21337052918</v>
      </c>
      <c r="G159" s="4">
        <v>16328222193</v>
      </c>
      <c r="I159" s="4">
        <v>5008830725</v>
      </c>
      <c r="K159" s="4">
        <v>2851893</v>
      </c>
      <c r="M159" s="4">
        <v>21337052918</v>
      </c>
      <c r="O159" s="4">
        <v>17234991291</v>
      </c>
      <c r="Q159" s="4">
        <v>4102061627</v>
      </c>
    </row>
    <row r="160" spans="1:17" ht="18.75" x14ac:dyDescent="0.45">
      <c r="A160" s="12" t="s">
        <v>168</v>
      </c>
      <c r="C160" s="4">
        <v>4067933</v>
      </c>
      <c r="E160" s="4">
        <v>28093955630</v>
      </c>
      <c r="G160" s="4">
        <v>26116076570</v>
      </c>
      <c r="I160" s="4">
        <v>1977879060</v>
      </c>
      <c r="K160" s="4">
        <v>4067933</v>
      </c>
      <c r="M160" s="4">
        <v>28093955630</v>
      </c>
      <c r="O160" s="4">
        <v>22565676394</v>
      </c>
      <c r="Q160" s="4">
        <v>5528279236</v>
      </c>
    </row>
    <row r="161" spans="1:17" ht="18.75" x14ac:dyDescent="0.45">
      <c r="A161" s="12" t="s">
        <v>169</v>
      </c>
      <c r="C161" s="4">
        <v>267500</v>
      </c>
      <c r="E161" s="4">
        <v>7883337082</v>
      </c>
      <c r="G161" s="4">
        <v>7375699925</v>
      </c>
      <c r="I161" s="4">
        <v>507637157</v>
      </c>
      <c r="K161" s="4">
        <v>267500</v>
      </c>
      <c r="M161" s="4">
        <v>7883337082</v>
      </c>
      <c r="O161" s="4">
        <v>7375699925</v>
      </c>
      <c r="Q161" s="4">
        <v>507637157</v>
      </c>
    </row>
    <row r="162" spans="1:17" ht="18.75" x14ac:dyDescent="0.45">
      <c r="A162" s="12" t="s">
        <v>170</v>
      </c>
      <c r="C162" s="4">
        <v>4745098</v>
      </c>
      <c r="E162" s="4">
        <v>19040843979</v>
      </c>
      <c r="G162" s="4">
        <v>17063916187</v>
      </c>
      <c r="I162" s="4">
        <v>1976927792</v>
      </c>
      <c r="K162" s="4">
        <v>4745098</v>
      </c>
      <c r="M162" s="4">
        <v>19040843979</v>
      </c>
      <c r="O162" s="4">
        <v>16282616830</v>
      </c>
      <c r="Q162" s="4">
        <v>2758227149</v>
      </c>
    </row>
    <row r="163" spans="1:17" ht="37.5" x14ac:dyDescent="0.45">
      <c r="A163" s="12" t="s">
        <v>171</v>
      </c>
      <c r="C163" s="4">
        <v>700000</v>
      </c>
      <c r="E163" s="4">
        <v>13412513590</v>
      </c>
      <c r="G163" s="4">
        <v>11669095200</v>
      </c>
      <c r="I163" s="4">
        <v>1743418390</v>
      </c>
      <c r="K163" s="4">
        <v>700000</v>
      </c>
      <c r="M163" s="4">
        <v>13412513590</v>
      </c>
      <c r="O163" s="4">
        <v>9581647950</v>
      </c>
      <c r="Q163" s="4">
        <v>3830865640</v>
      </c>
    </row>
    <row r="164" spans="1:17" ht="18.75" x14ac:dyDescent="0.45">
      <c r="A164" s="12" t="s">
        <v>172</v>
      </c>
      <c r="C164" s="4">
        <v>9226316</v>
      </c>
      <c r="E164" s="4">
        <v>40153814988</v>
      </c>
      <c r="G164" s="4">
        <v>32820662730</v>
      </c>
      <c r="I164" s="4">
        <v>7333152258</v>
      </c>
      <c r="K164" s="4">
        <v>9226316</v>
      </c>
      <c r="M164" s="4">
        <v>40153814988</v>
      </c>
      <c r="O164" s="4">
        <v>38548450718</v>
      </c>
      <c r="Q164" s="4">
        <v>1605364270</v>
      </c>
    </row>
    <row r="165" spans="1:17" ht="18.75" x14ac:dyDescent="0.45">
      <c r="A165" s="12" t="s">
        <v>173</v>
      </c>
      <c r="C165" s="4">
        <v>1393618</v>
      </c>
      <c r="E165" s="4">
        <v>16027177408</v>
      </c>
      <c r="G165" s="4">
        <v>12223448895</v>
      </c>
      <c r="I165" s="4">
        <v>3803728513</v>
      </c>
      <c r="K165" s="4">
        <v>1393618</v>
      </c>
      <c r="M165" s="4">
        <v>16027177408</v>
      </c>
      <c r="O165" s="4">
        <v>9758417707</v>
      </c>
      <c r="Q165" s="4">
        <v>6268759701</v>
      </c>
    </row>
    <row r="166" spans="1:17" ht="18.75" x14ac:dyDescent="0.45">
      <c r="A166" s="12" t="s">
        <v>174</v>
      </c>
      <c r="C166" s="4">
        <v>5217580</v>
      </c>
      <c r="E166" s="4">
        <v>28630182029</v>
      </c>
      <c r="G166" s="4">
        <v>27794696604</v>
      </c>
      <c r="I166" s="4">
        <v>835485425</v>
      </c>
      <c r="K166" s="4">
        <v>5217580</v>
      </c>
      <c r="M166" s="4">
        <v>28630182029</v>
      </c>
      <c r="O166" s="4">
        <v>23505956274</v>
      </c>
      <c r="Q166" s="4">
        <v>5124225755</v>
      </c>
    </row>
    <row r="167" spans="1:17" ht="18.75" x14ac:dyDescent="0.45">
      <c r="A167" s="12" t="s">
        <v>175</v>
      </c>
      <c r="C167" s="4">
        <v>1709001</v>
      </c>
      <c r="E167" s="4">
        <v>24843329686</v>
      </c>
      <c r="G167" s="4">
        <v>25453814238</v>
      </c>
      <c r="I167" s="4">
        <v>-610484552</v>
      </c>
      <c r="K167" s="4">
        <v>1709001</v>
      </c>
      <c r="M167" s="4">
        <v>24843329686</v>
      </c>
      <c r="O167" s="4">
        <v>15306480320</v>
      </c>
      <c r="Q167" s="4">
        <v>9536849366</v>
      </c>
    </row>
    <row r="168" spans="1:17" ht="18.75" x14ac:dyDescent="0.45">
      <c r="A168" s="12" t="s">
        <v>176</v>
      </c>
      <c r="C168" s="4">
        <v>999999</v>
      </c>
      <c r="E168" s="4">
        <v>4651757108</v>
      </c>
      <c r="G168" s="4">
        <v>4546576593</v>
      </c>
      <c r="I168" s="4">
        <v>105180515</v>
      </c>
      <c r="K168" s="4">
        <v>999999</v>
      </c>
      <c r="M168" s="4">
        <v>4651757108</v>
      </c>
      <c r="O168" s="4">
        <v>3575594274</v>
      </c>
      <c r="Q168" s="4">
        <v>1076162834</v>
      </c>
    </row>
    <row r="169" spans="1:17" ht="18.75" x14ac:dyDescent="0.45">
      <c r="A169" s="12" t="s">
        <v>177</v>
      </c>
      <c r="C169" s="4">
        <v>1786071</v>
      </c>
      <c r="E169" s="4">
        <v>31457697913</v>
      </c>
      <c r="G169" s="4">
        <v>31000391183</v>
      </c>
      <c r="I169" s="4">
        <v>457306730</v>
      </c>
      <c r="K169" s="4">
        <v>1786071</v>
      </c>
      <c r="M169" s="4">
        <v>31457697913</v>
      </c>
      <c r="O169" s="4">
        <v>23355013073</v>
      </c>
      <c r="Q169" s="4">
        <v>8102684840</v>
      </c>
    </row>
    <row r="170" spans="1:17" ht="18.75" x14ac:dyDescent="0.45">
      <c r="A170" s="12" t="s">
        <v>178</v>
      </c>
      <c r="C170" s="4">
        <v>6232316</v>
      </c>
      <c r="E170" s="4">
        <v>20525161315</v>
      </c>
      <c r="G170" s="4">
        <v>18873995882</v>
      </c>
      <c r="I170" s="4">
        <v>1651165433</v>
      </c>
      <c r="K170" s="4">
        <v>6232316</v>
      </c>
      <c r="M170" s="4">
        <v>20525161315</v>
      </c>
      <c r="O170" s="4">
        <v>19818552670</v>
      </c>
      <c r="Q170" s="4">
        <v>706608645</v>
      </c>
    </row>
    <row r="171" spans="1:17" ht="18.75" x14ac:dyDescent="0.45">
      <c r="A171" s="12" t="s">
        <v>179</v>
      </c>
      <c r="C171" s="4">
        <v>8201572</v>
      </c>
      <c r="E171" s="4">
        <v>19539755410</v>
      </c>
      <c r="G171" s="4">
        <v>15137003358</v>
      </c>
      <c r="I171" s="4">
        <v>4402752052</v>
      </c>
      <c r="K171" s="4">
        <v>8201572</v>
      </c>
      <c r="M171" s="4">
        <v>19539755410</v>
      </c>
      <c r="O171" s="4">
        <v>13042680222</v>
      </c>
      <c r="Q171" s="4">
        <v>6497075188</v>
      </c>
    </row>
    <row r="172" spans="1:17" ht="18.75" x14ac:dyDescent="0.45">
      <c r="A172" s="12" t="s">
        <v>180</v>
      </c>
      <c r="C172" s="4">
        <v>845414</v>
      </c>
      <c r="E172" s="4">
        <v>12750960037</v>
      </c>
      <c r="G172" s="4">
        <v>11383587349</v>
      </c>
      <c r="I172" s="4">
        <v>1367372688</v>
      </c>
      <c r="K172" s="4">
        <v>845414</v>
      </c>
      <c r="M172" s="4">
        <v>12750960037</v>
      </c>
      <c r="O172" s="4">
        <v>9972258712</v>
      </c>
      <c r="Q172" s="4">
        <v>2778701325</v>
      </c>
    </row>
    <row r="173" spans="1:17" ht="37.5" x14ac:dyDescent="0.45">
      <c r="A173" s="12" t="s">
        <v>181</v>
      </c>
      <c r="C173" s="4">
        <v>795841</v>
      </c>
      <c r="E173" s="4">
        <v>16899347790</v>
      </c>
      <c r="G173" s="4">
        <v>15357716877</v>
      </c>
      <c r="I173" s="4">
        <v>1541630913</v>
      </c>
      <c r="K173" s="4">
        <v>795841</v>
      </c>
      <c r="M173" s="4">
        <v>16899347790</v>
      </c>
      <c r="O173" s="4">
        <v>14972987328</v>
      </c>
      <c r="Q173" s="4">
        <v>1926360462</v>
      </c>
    </row>
    <row r="174" spans="1:17" ht="18.75" x14ac:dyDescent="0.45">
      <c r="A174" s="12" t="s">
        <v>182</v>
      </c>
      <c r="C174" s="4">
        <v>478878</v>
      </c>
      <c r="E174" s="4">
        <v>18626909904</v>
      </c>
      <c r="G174" s="4">
        <v>18544654834</v>
      </c>
      <c r="I174" s="4">
        <v>82255070</v>
      </c>
      <c r="K174" s="4">
        <v>478878</v>
      </c>
      <c r="M174" s="4">
        <v>18626909904</v>
      </c>
      <c r="O174" s="4">
        <v>15447299685</v>
      </c>
      <c r="Q174" s="4">
        <v>3179610219</v>
      </c>
    </row>
    <row r="175" spans="1:17" ht="18.75" x14ac:dyDescent="0.45">
      <c r="A175" s="12" t="s">
        <v>183</v>
      </c>
      <c r="C175" s="4">
        <v>5465017</v>
      </c>
      <c r="E175" s="4">
        <v>19310492583</v>
      </c>
      <c r="G175" s="4">
        <v>16805171725</v>
      </c>
      <c r="I175" s="4">
        <v>2505320858</v>
      </c>
      <c r="K175" s="4">
        <v>5465017</v>
      </c>
      <c r="M175" s="4">
        <v>19310492583</v>
      </c>
      <c r="O175" s="4">
        <v>15778895158</v>
      </c>
      <c r="Q175" s="4">
        <v>3531597425</v>
      </c>
    </row>
    <row r="176" spans="1:17" ht="18.75" x14ac:dyDescent="0.45">
      <c r="A176" s="12" t="s">
        <v>184</v>
      </c>
      <c r="C176" s="4">
        <v>2042980</v>
      </c>
      <c r="E176" s="4">
        <v>36489379763</v>
      </c>
      <c r="G176" s="4">
        <v>33650403500</v>
      </c>
      <c r="I176" s="4">
        <v>2838976263</v>
      </c>
      <c r="K176" s="4">
        <v>2042980</v>
      </c>
      <c r="M176" s="4">
        <v>36489379763</v>
      </c>
      <c r="O176" s="4">
        <v>36710409501</v>
      </c>
      <c r="Q176" s="4">
        <v>-221029738</v>
      </c>
    </row>
    <row r="177" spans="1:17" ht="18.75" x14ac:dyDescent="0.45">
      <c r="A177" s="12" t="s">
        <v>185</v>
      </c>
      <c r="C177" s="4">
        <v>3052977</v>
      </c>
      <c r="E177" s="4">
        <v>18933609299</v>
      </c>
      <c r="G177" s="4">
        <v>15852732394</v>
      </c>
      <c r="I177" s="4">
        <v>3080876905</v>
      </c>
      <c r="K177" s="4">
        <v>3052977</v>
      </c>
      <c r="M177" s="4">
        <v>18933609299</v>
      </c>
      <c r="O177" s="4">
        <v>9377372255</v>
      </c>
      <c r="Q177" s="4">
        <v>9556237044</v>
      </c>
    </row>
    <row r="178" spans="1:17" ht="18.75" x14ac:dyDescent="0.45">
      <c r="A178" s="12" t="s">
        <v>186</v>
      </c>
      <c r="C178" s="4">
        <v>5265617</v>
      </c>
      <c r="E178" s="4">
        <v>33805192160</v>
      </c>
      <c r="G178" s="4">
        <v>21584118828</v>
      </c>
      <c r="I178" s="4">
        <v>12221073332</v>
      </c>
      <c r="K178" s="4">
        <v>5265617</v>
      </c>
      <c r="M178" s="4">
        <v>33805192160</v>
      </c>
      <c r="O178" s="4">
        <v>16236225789</v>
      </c>
      <c r="Q178" s="4">
        <v>17568966371</v>
      </c>
    </row>
    <row r="179" spans="1:17" ht="18.75" x14ac:dyDescent="0.45">
      <c r="A179" s="12" t="s">
        <v>187</v>
      </c>
      <c r="C179" s="4">
        <v>1858128</v>
      </c>
      <c r="E179" s="4">
        <v>38719058082</v>
      </c>
      <c r="G179" s="4">
        <v>33776146602</v>
      </c>
      <c r="I179" s="4">
        <v>4942911480</v>
      </c>
      <c r="K179" s="4">
        <v>1858128</v>
      </c>
      <c r="M179" s="4">
        <v>38719058082</v>
      </c>
      <c r="O179" s="4">
        <v>27821098488</v>
      </c>
      <c r="Q179" s="4">
        <v>10897959594</v>
      </c>
    </row>
    <row r="180" spans="1:17" ht="18.75" x14ac:dyDescent="0.45">
      <c r="A180" s="12" t="s">
        <v>188</v>
      </c>
      <c r="C180" s="4">
        <v>1035048</v>
      </c>
      <c r="E180" s="4">
        <v>27268099946</v>
      </c>
      <c r="G180" s="4">
        <v>21290685947</v>
      </c>
      <c r="I180" s="4">
        <v>5977413999</v>
      </c>
      <c r="K180" s="4">
        <v>1035048</v>
      </c>
      <c r="M180" s="4">
        <v>27268099946</v>
      </c>
      <c r="O180" s="4">
        <v>19458637507</v>
      </c>
      <c r="Q180" s="4">
        <v>7809462439</v>
      </c>
    </row>
    <row r="181" spans="1:17" ht="18.75" x14ac:dyDescent="0.45">
      <c r="A181" s="12" t="s">
        <v>189</v>
      </c>
      <c r="C181" s="4">
        <v>2000000</v>
      </c>
      <c r="E181" s="4">
        <v>17821169200</v>
      </c>
      <c r="G181" s="4">
        <v>15221421800</v>
      </c>
      <c r="I181" s="4">
        <v>2599747400</v>
      </c>
      <c r="K181" s="4">
        <v>2000000</v>
      </c>
      <c r="M181" s="4">
        <v>17821169200</v>
      </c>
      <c r="O181" s="4">
        <v>11710857525</v>
      </c>
      <c r="Q181" s="4">
        <v>6110311675</v>
      </c>
    </row>
    <row r="182" spans="1:17" ht="18.75" x14ac:dyDescent="0.45">
      <c r="A182" s="12" t="s">
        <v>190</v>
      </c>
      <c r="C182" s="4">
        <v>950000</v>
      </c>
      <c r="E182" s="4">
        <v>25970186575</v>
      </c>
      <c r="G182" s="4">
        <v>25923368872</v>
      </c>
      <c r="I182" s="4">
        <v>46817703</v>
      </c>
      <c r="K182" s="4">
        <v>950000</v>
      </c>
      <c r="M182" s="4">
        <v>25970186575</v>
      </c>
      <c r="O182" s="4">
        <v>25923368872</v>
      </c>
      <c r="Q182" s="4">
        <v>46817703</v>
      </c>
    </row>
    <row r="183" spans="1:17" ht="18.75" x14ac:dyDescent="0.45">
      <c r="A183" s="12" t="s">
        <v>191</v>
      </c>
      <c r="C183" s="4">
        <v>162629</v>
      </c>
      <c r="E183" s="4">
        <v>13550396581</v>
      </c>
      <c r="G183" s="4">
        <v>10561789404</v>
      </c>
      <c r="I183" s="4">
        <v>2988607177</v>
      </c>
      <c r="K183" s="4">
        <v>162629</v>
      </c>
      <c r="M183" s="4">
        <v>13550396581</v>
      </c>
      <c r="O183" s="4">
        <v>9859579712</v>
      </c>
      <c r="Q183" s="4">
        <v>3690816869</v>
      </c>
    </row>
    <row r="184" spans="1:17" ht="18.75" x14ac:dyDescent="0.45">
      <c r="A184" s="12" t="s">
        <v>192</v>
      </c>
      <c r="C184" s="4">
        <v>2067558</v>
      </c>
      <c r="E184" s="4">
        <v>17417878344</v>
      </c>
      <c r="G184" s="4">
        <v>12719769815</v>
      </c>
      <c r="I184" s="4">
        <v>4698108529</v>
      </c>
      <c r="K184" s="4">
        <v>2067558</v>
      </c>
      <c r="M184" s="4">
        <v>17417878344</v>
      </c>
      <c r="O184" s="4">
        <v>13646897589</v>
      </c>
      <c r="Q184" s="4">
        <v>3770980755</v>
      </c>
    </row>
    <row r="185" spans="1:17" ht="18.75" x14ac:dyDescent="0.45">
      <c r="A185" s="12" t="s">
        <v>193</v>
      </c>
      <c r="C185" s="4">
        <v>4676925</v>
      </c>
      <c r="E185" s="4">
        <v>33924046023</v>
      </c>
      <c r="G185" s="4">
        <v>32520287154</v>
      </c>
      <c r="I185" s="4">
        <v>1403758869</v>
      </c>
      <c r="K185" s="4">
        <v>4676925</v>
      </c>
      <c r="M185" s="4">
        <v>33924046023</v>
      </c>
      <c r="O185" s="4">
        <v>33174964493</v>
      </c>
      <c r="Q185" s="4">
        <v>749081530</v>
      </c>
    </row>
    <row r="186" spans="1:17" ht="18.75" x14ac:dyDescent="0.45">
      <c r="A186" s="12" t="s">
        <v>194</v>
      </c>
      <c r="C186" s="4">
        <v>515000</v>
      </c>
      <c r="E186" s="4">
        <v>10353245953</v>
      </c>
      <c r="G186" s="4">
        <v>8519967390</v>
      </c>
      <c r="I186" s="4">
        <v>1833278563</v>
      </c>
      <c r="K186" s="4">
        <v>515000</v>
      </c>
      <c r="M186" s="4">
        <v>10353245953</v>
      </c>
      <c r="O186" s="4">
        <v>8519967390</v>
      </c>
      <c r="Q186" s="4">
        <v>1833278563</v>
      </c>
    </row>
    <row r="187" spans="1:17" ht="18.75" x14ac:dyDescent="0.45">
      <c r="A187" s="12" t="s">
        <v>195</v>
      </c>
      <c r="C187" s="4">
        <v>6854018</v>
      </c>
      <c r="E187" s="4">
        <v>29026823530</v>
      </c>
      <c r="G187" s="4">
        <v>23810428579</v>
      </c>
      <c r="I187" s="4">
        <v>5216394951</v>
      </c>
      <c r="K187" s="4">
        <v>6854018</v>
      </c>
      <c r="M187" s="4">
        <v>29026823530</v>
      </c>
      <c r="O187" s="4">
        <v>21502035448</v>
      </c>
      <c r="Q187" s="4">
        <v>7524788082</v>
      </c>
    </row>
    <row r="188" spans="1:17" ht="18.75" x14ac:dyDescent="0.45">
      <c r="A188" s="12" t="s">
        <v>196</v>
      </c>
      <c r="C188" s="4">
        <v>2723567</v>
      </c>
      <c r="E188" s="4">
        <v>22809216701</v>
      </c>
      <c r="G188" s="4">
        <v>17790148316</v>
      </c>
      <c r="I188" s="4">
        <v>5019068385</v>
      </c>
      <c r="K188" s="4">
        <v>2723567</v>
      </c>
      <c r="M188" s="4">
        <v>22809216701</v>
      </c>
      <c r="O188" s="4">
        <v>19009668439</v>
      </c>
      <c r="Q188" s="4">
        <v>3799548262</v>
      </c>
    </row>
    <row r="189" spans="1:17" ht="18.75" x14ac:dyDescent="0.45">
      <c r="A189" s="12" t="s">
        <v>197</v>
      </c>
      <c r="C189" s="4">
        <v>420369</v>
      </c>
      <c r="E189" s="4">
        <v>17448110677</v>
      </c>
      <c r="G189" s="4">
        <v>13526699533</v>
      </c>
      <c r="I189" s="4">
        <v>3921411144</v>
      </c>
      <c r="K189" s="4">
        <v>420369</v>
      </c>
      <c r="M189" s="4">
        <v>17448110677</v>
      </c>
      <c r="O189" s="4">
        <v>11815472726</v>
      </c>
      <c r="Q189" s="4">
        <v>5632637951</v>
      </c>
    </row>
    <row r="190" spans="1:17" ht="18.75" x14ac:dyDescent="0.45">
      <c r="A190" s="12" t="s">
        <v>198</v>
      </c>
      <c r="C190" s="4">
        <v>3014987</v>
      </c>
      <c r="E190" s="4">
        <v>16454246328</v>
      </c>
      <c r="G190" s="4">
        <v>15006272651</v>
      </c>
      <c r="I190" s="4">
        <v>1447973677</v>
      </c>
      <c r="K190" s="4">
        <v>3014987</v>
      </c>
      <c r="M190" s="4">
        <v>16454246328</v>
      </c>
      <c r="O190" s="4">
        <v>14987389690</v>
      </c>
      <c r="Q190" s="4">
        <v>1466856638</v>
      </c>
    </row>
    <row r="191" spans="1:17" ht="18.75" x14ac:dyDescent="0.45">
      <c r="A191" s="12" t="s">
        <v>199</v>
      </c>
      <c r="C191" s="4">
        <v>1641424</v>
      </c>
      <c r="E191" s="4">
        <v>9853851545</v>
      </c>
      <c r="G191" s="4">
        <v>9772414755</v>
      </c>
      <c r="I191" s="4">
        <v>81436790</v>
      </c>
      <c r="K191" s="4">
        <v>1641424</v>
      </c>
      <c r="M191" s="4">
        <v>9853851545</v>
      </c>
      <c r="O191" s="4">
        <v>7922461528</v>
      </c>
      <c r="Q191" s="4">
        <v>1931390017</v>
      </c>
    </row>
    <row r="192" spans="1:17" ht="18.75" x14ac:dyDescent="0.45">
      <c r="A192" s="12" t="s">
        <v>200</v>
      </c>
      <c r="C192" s="4">
        <v>2948029</v>
      </c>
      <c r="E192" s="4">
        <v>23226411442</v>
      </c>
      <c r="G192" s="4">
        <v>23669130602</v>
      </c>
      <c r="I192" s="4">
        <v>-442719160</v>
      </c>
      <c r="K192" s="4">
        <v>2948029</v>
      </c>
      <c r="M192" s="4">
        <v>23226411442</v>
      </c>
      <c r="O192" s="4">
        <v>15842138437</v>
      </c>
      <c r="Q192" s="4">
        <v>7384273005</v>
      </c>
    </row>
    <row r="193" spans="1:17" ht="18.75" x14ac:dyDescent="0.45">
      <c r="A193" s="12" t="s">
        <v>201</v>
      </c>
      <c r="C193" s="4">
        <v>2000000</v>
      </c>
      <c r="E193" s="4">
        <v>6548982000</v>
      </c>
      <c r="G193" s="4">
        <v>6136197680</v>
      </c>
      <c r="I193" s="4">
        <v>412784320</v>
      </c>
      <c r="K193" s="4">
        <v>2000000</v>
      </c>
      <c r="M193" s="4">
        <v>6548982000</v>
      </c>
      <c r="O193" s="4">
        <v>5146668896</v>
      </c>
      <c r="Q193" s="4">
        <v>1402313104</v>
      </c>
    </row>
    <row r="194" spans="1:17" ht="18.75" x14ac:dyDescent="0.45">
      <c r="A194" s="12" t="s">
        <v>202</v>
      </c>
      <c r="C194" s="4">
        <v>397412</v>
      </c>
      <c r="E194" s="4">
        <v>20545114273</v>
      </c>
      <c r="G194" s="4">
        <v>17327299830</v>
      </c>
      <c r="I194" s="4">
        <v>3217814443</v>
      </c>
      <c r="K194" s="4">
        <v>397412</v>
      </c>
      <c r="M194" s="4">
        <v>20545114273</v>
      </c>
      <c r="O194" s="4">
        <v>14874290767</v>
      </c>
      <c r="Q194" s="4">
        <v>5670823506</v>
      </c>
    </row>
    <row r="195" spans="1:17" ht="18.75" x14ac:dyDescent="0.45">
      <c r="A195" s="12" t="s">
        <v>203</v>
      </c>
      <c r="C195" s="4">
        <v>4883366</v>
      </c>
      <c r="E195" s="4">
        <v>23321957416</v>
      </c>
      <c r="G195" s="4">
        <v>20390638436</v>
      </c>
      <c r="I195" s="4">
        <v>2931318980</v>
      </c>
      <c r="K195" s="4">
        <v>4883366</v>
      </c>
      <c r="M195" s="4">
        <v>23321957416</v>
      </c>
      <c r="O195" s="4">
        <v>14018183591</v>
      </c>
      <c r="Q195" s="4">
        <v>9303773825</v>
      </c>
    </row>
    <row r="196" spans="1:17" ht="18.75" x14ac:dyDescent="0.45">
      <c r="A196" s="12" t="s">
        <v>204</v>
      </c>
      <c r="C196" s="4">
        <v>912749</v>
      </c>
      <c r="E196" s="4">
        <v>31744555431</v>
      </c>
      <c r="G196" s="4">
        <v>26705792753</v>
      </c>
      <c r="I196" s="4">
        <v>5038762678</v>
      </c>
      <c r="K196" s="4">
        <v>912749</v>
      </c>
      <c r="M196" s="4">
        <v>31744555431</v>
      </c>
      <c r="O196" s="4">
        <v>17030361554</v>
      </c>
      <c r="Q196" s="4">
        <v>14714193877</v>
      </c>
    </row>
    <row r="197" spans="1:17" ht="18.75" x14ac:dyDescent="0.45">
      <c r="A197" s="12" t="s">
        <v>205</v>
      </c>
      <c r="C197" s="4">
        <v>246131</v>
      </c>
      <c r="E197" s="4">
        <v>14885721429</v>
      </c>
      <c r="G197" s="4">
        <v>10917009809</v>
      </c>
      <c r="I197" s="4">
        <v>3968711620</v>
      </c>
      <c r="K197" s="4">
        <v>246131</v>
      </c>
      <c r="M197" s="4">
        <v>14885721429</v>
      </c>
      <c r="O197" s="4">
        <v>8999408991</v>
      </c>
      <c r="Q197" s="4">
        <v>5886312438</v>
      </c>
    </row>
    <row r="198" spans="1:17" ht="18.75" x14ac:dyDescent="0.45">
      <c r="A198" s="12" t="s">
        <v>350</v>
      </c>
      <c r="C198" s="4">
        <v>795993</v>
      </c>
      <c r="E198" s="4">
        <v>23023835245</v>
      </c>
      <c r="G198" s="4">
        <v>21860329397</v>
      </c>
      <c r="I198" s="4">
        <v>1163505848</v>
      </c>
      <c r="K198" s="4">
        <v>795993</v>
      </c>
      <c r="M198" s="4">
        <v>23023835245</v>
      </c>
      <c r="O198" s="4">
        <v>21860329397</v>
      </c>
      <c r="Q198" s="4">
        <v>1163505848</v>
      </c>
    </row>
    <row r="199" spans="1:17" ht="18.75" x14ac:dyDescent="0.45">
      <c r="A199" s="12" t="s">
        <v>207</v>
      </c>
      <c r="C199" s="4">
        <v>292921</v>
      </c>
      <c r="E199" s="4">
        <v>14922316039</v>
      </c>
      <c r="G199" s="4">
        <v>12111665550</v>
      </c>
      <c r="I199" s="4">
        <v>2810650489</v>
      </c>
      <c r="K199" s="4">
        <v>292921</v>
      </c>
      <c r="M199" s="4">
        <v>14922316039</v>
      </c>
      <c r="O199" s="4">
        <v>9637966266</v>
      </c>
      <c r="Q199" s="4">
        <v>5284349773</v>
      </c>
    </row>
    <row r="200" spans="1:17" ht="18.75" x14ac:dyDescent="0.45">
      <c r="A200" s="12" t="s">
        <v>208</v>
      </c>
      <c r="C200" s="4">
        <v>48341</v>
      </c>
      <c r="E200" s="4">
        <v>18950450720</v>
      </c>
      <c r="G200" s="4">
        <v>14375807024</v>
      </c>
      <c r="I200" s="4">
        <v>4574643696</v>
      </c>
      <c r="K200" s="4">
        <v>48341</v>
      </c>
      <c r="M200" s="4">
        <v>18950450720</v>
      </c>
      <c r="O200" s="4">
        <v>13238121345</v>
      </c>
      <c r="Q200" s="4">
        <v>5712329375</v>
      </c>
    </row>
    <row r="201" spans="1:17" ht="18.75" x14ac:dyDescent="0.45">
      <c r="A201" s="12" t="s">
        <v>209</v>
      </c>
      <c r="C201" s="4">
        <v>1036013</v>
      </c>
      <c r="E201" s="4">
        <v>22554421352</v>
      </c>
      <c r="G201" s="4">
        <v>16931236083</v>
      </c>
      <c r="I201" s="4">
        <v>5623185269</v>
      </c>
      <c r="K201" s="4">
        <v>1036013</v>
      </c>
      <c r="M201" s="4">
        <v>22554421352</v>
      </c>
      <c r="O201" s="4">
        <v>15308591175</v>
      </c>
      <c r="Q201" s="4">
        <v>7245830177</v>
      </c>
    </row>
    <row r="202" spans="1:17" ht="18.75" x14ac:dyDescent="0.45">
      <c r="A202" s="12" t="s">
        <v>210</v>
      </c>
      <c r="C202" s="4">
        <v>4658472</v>
      </c>
      <c r="E202" s="4">
        <v>35916529829</v>
      </c>
      <c r="G202" s="4">
        <v>32264784840</v>
      </c>
      <c r="I202" s="4">
        <v>3651744989</v>
      </c>
      <c r="K202" s="4">
        <v>4658472</v>
      </c>
      <c r="M202" s="4">
        <v>35916529829</v>
      </c>
      <c r="O202" s="4">
        <v>25832654995</v>
      </c>
      <c r="Q202" s="4">
        <v>10083874834</v>
      </c>
    </row>
    <row r="203" spans="1:17" ht="18.75" x14ac:dyDescent="0.45">
      <c r="A203" s="12" t="s">
        <v>211</v>
      </c>
      <c r="C203" s="4">
        <v>12702067</v>
      </c>
      <c r="E203" s="4">
        <v>36173135663</v>
      </c>
      <c r="G203" s="4">
        <v>32892837735</v>
      </c>
      <c r="I203" s="4">
        <v>3280297928</v>
      </c>
      <c r="K203" s="4">
        <v>12702067</v>
      </c>
      <c r="M203" s="4">
        <v>36173135663</v>
      </c>
      <c r="O203" s="4">
        <v>28842539367</v>
      </c>
      <c r="Q203" s="4">
        <v>7330596296</v>
      </c>
    </row>
    <row r="204" spans="1:17" ht="18.75" x14ac:dyDescent="0.45">
      <c r="A204" s="12" t="s">
        <v>212</v>
      </c>
      <c r="C204" s="4">
        <v>1991872</v>
      </c>
      <c r="E204" s="4">
        <v>32967600155</v>
      </c>
      <c r="G204" s="4">
        <v>30755947676</v>
      </c>
      <c r="I204" s="4">
        <v>2211652479</v>
      </c>
      <c r="K204" s="4">
        <v>1991872</v>
      </c>
      <c r="M204" s="4">
        <v>32967600155</v>
      </c>
      <c r="O204" s="4">
        <v>27162123542</v>
      </c>
      <c r="Q204" s="4">
        <v>5805476613</v>
      </c>
    </row>
    <row r="205" spans="1:17" ht="18.75" x14ac:dyDescent="0.45">
      <c r="A205" s="12" t="s">
        <v>213</v>
      </c>
      <c r="C205" s="4">
        <v>450000</v>
      </c>
      <c r="E205" s="4">
        <v>7144344000</v>
      </c>
      <c r="G205" s="4">
        <v>6380792235</v>
      </c>
      <c r="I205" s="4">
        <v>763551765</v>
      </c>
      <c r="K205" s="4">
        <v>450000</v>
      </c>
      <c r="M205" s="4">
        <v>7144344000</v>
      </c>
      <c r="O205" s="4">
        <v>8423082675</v>
      </c>
      <c r="Q205" s="4">
        <v>-1278738675</v>
      </c>
    </row>
    <row r="206" spans="1:17" ht="18.75" x14ac:dyDescent="0.45">
      <c r="A206" s="12" t="s">
        <v>214</v>
      </c>
      <c r="C206" s="4">
        <v>2600000</v>
      </c>
      <c r="E206" s="4">
        <v>21000402280</v>
      </c>
      <c r="G206" s="4">
        <v>21086021504</v>
      </c>
      <c r="I206" s="4">
        <v>-85619224</v>
      </c>
      <c r="K206" s="4">
        <v>2600000</v>
      </c>
      <c r="M206" s="4">
        <v>21000402280</v>
      </c>
      <c r="O206" s="4">
        <v>16275489574</v>
      </c>
      <c r="Q206" s="4">
        <v>4724912706</v>
      </c>
    </row>
    <row r="207" spans="1:17" ht="18.75" x14ac:dyDescent="0.45">
      <c r="A207" s="12" t="s">
        <v>215</v>
      </c>
      <c r="C207" s="4">
        <v>1405716</v>
      </c>
      <c r="E207" s="4">
        <v>17491416684</v>
      </c>
      <c r="G207" s="4">
        <v>11814377936</v>
      </c>
      <c r="I207" s="4">
        <v>5677038748</v>
      </c>
      <c r="K207" s="4">
        <v>1405716</v>
      </c>
      <c r="M207" s="4">
        <v>17491416684</v>
      </c>
      <c r="O207" s="4">
        <v>7977806216</v>
      </c>
      <c r="Q207" s="4">
        <v>9513610468</v>
      </c>
    </row>
    <row r="208" spans="1:17" ht="18.75" x14ac:dyDescent="0.45">
      <c r="A208" s="12" t="s">
        <v>216</v>
      </c>
      <c r="C208" s="4">
        <v>75470</v>
      </c>
      <c r="E208" s="4">
        <v>17588619711</v>
      </c>
      <c r="G208" s="4">
        <v>13788123904</v>
      </c>
      <c r="I208" s="4">
        <v>3800495807</v>
      </c>
      <c r="K208" s="4">
        <v>75470</v>
      </c>
      <c r="M208" s="4">
        <v>17588619711</v>
      </c>
      <c r="O208" s="4">
        <v>10314715141</v>
      </c>
      <c r="Q208" s="4">
        <v>7273904570</v>
      </c>
    </row>
    <row r="209" spans="1:17" ht="18.75" x14ac:dyDescent="0.45">
      <c r="A209" s="12" t="s">
        <v>217</v>
      </c>
      <c r="C209" s="4">
        <v>3267894</v>
      </c>
      <c r="E209" s="4">
        <v>12565203570</v>
      </c>
      <c r="G209" s="4">
        <v>10877353146</v>
      </c>
      <c r="I209" s="4">
        <v>1687850424</v>
      </c>
      <c r="K209" s="4">
        <v>3267894</v>
      </c>
      <c r="M209" s="4">
        <v>12565203570</v>
      </c>
      <c r="O209" s="4">
        <v>10030480521</v>
      </c>
      <c r="Q209" s="4">
        <v>2534723049</v>
      </c>
    </row>
    <row r="210" spans="1:17" ht="18.75" x14ac:dyDescent="0.45">
      <c r="A210" s="12" t="s">
        <v>218</v>
      </c>
      <c r="C210" s="4">
        <v>1724465</v>
      </c>
      <c r="E210" s="4">
        <v>17761580112</v>
      </c>
      <c r="G210" s="4">
        <v>17419353135</v>
      </c>
      <c r="I210" s="4">
        <v>342226977</v>
      </c>
      <c r="K210" s="4">
        <v>1724465</v>
      </c>
      <c r="M210" s="4">
        <v>17761580112</v>
      </c>
      <c r="O210" s="4">
        <v>13637699241</v>
      </c>
      <c r="Q210" s="4">
        <v>4123880871</v>
      </c>
    </row>
    <row r="211" spans="1:17" ht="18.75" x14ac:dyDescent="0.45">
      <c r="A211" s="12" t="s">
        <v>219</v>
      </c>
      <c r="C211" s="4">
        <v>1792838</v>
      </c>
      <c r="E211" s="4">
        <v>16740195799</v>
      </c>
      <c r="G211" s="4">
        <v>14890057262</v>
      </c>
      <c r="I211" s="4">
        <v>1850138537</v>
      </c>
      <c r="K211" s="4">
        <v>1792838</v>
      </c>
      <c r="M211" s="4">
        <v>16740195799</v>
      </c>
      <c r="O211" s="4">
        <v>12418715001</v>
      </c>
      <c r="Q211" s="4">
        <v>4321480798</v>
      </c>
    </row>
    <row r="212" spans="1:17" ht="18.75" x14ac:dyDescent="0.45">
      <c r="A212" s="12" t="s">
        <v>220</v>
      </c>
      <c r="C212" s="4">
        <v>2031330</v>
      </c>
      <c r="E212" s="4">
        <v>9197309739</v>
      </c>
      <c r="G212" s="4">
        <v>8507965024</v>
      </c>
      <c r="I212" s="4">
        <v>689344715</v>
      </c>
      <c r="K212" s="4">
        <v>2031330</v>
      </c>
      <c r="M212" s="4">
        <v>9197309739</v>
      </c>
      <c r="O212" s="4">
        <v>6332700327</v>
      </c>
      <c r="Q212" s="4">
        <v>2864609412</v>
      </c>
    </row>
    <row r="213" spans="1:17" ht="18.75" x14ac:dyDescent="0.45">
      <c r="A213" s="12" t="s">
        <v>221</v>
      </c>
      <c r="C213" s="4">
        <v>9512833</v>
      </c>
      <c r="E213" s="4">
        <v>29091918904</v>
      </c>
      <c r="G213" s="4">
        <v>23348101980</v>
      </c>
      <c r="I213" s="4">
        <v>5743816924</v>
      </c>
      <c r="K213" s="4">
        <v>9512833</v>
      </c>
      <c r="M213" s="4">
        <v>29091918904</v>
      </c>
      <c r="O213" s="4">
        <v>19162521243</v>
      </c>
      <c r="Q213" s="4">
        <v>9929397661</v>
      </c>
    </row>
    <row r="214" spans="1:17" ht="18.75" x14ac:dyDescent="0.45">
      <c r="A214" s="12" t="s">
        <v>222</v>
      </c>
      <c r="C214" s="4">
        <v>9752234</v>
      </c>
      <c r="E214" s="4">
        <v>17815079435</v>
      </c>
      <c r="G214" s="4">
        <v>14863640419</v>
      </c>
      <c r="I214" s="4">
        <v>2951439016</v>
      </c>
      <c r="K214" s="4">
        <v>9752234</v>
      </c>
      <c r="M214" s="4">
        <v>17815079435</v>
      </c>
      <c r="O214" s="4">
        <v>13415884464</v>
      </c>
      <c r="Q214" s="4">
        <v>4399194971</v>
      </c>
    </row>
    <row r="215" spans="1:17" ht="18.75" x14ac:dyDescent="0.45">
      <c r="A215" s="12" t="s">
        <v>223</v>
      </c>
      <c r="C215" s="4">
        <v>21998347</v>
      </c>
      <c r="E215" s="4">
        <v>27503657720</v>
      </c>
      <c r="G215" s="4">
        <v>24819684281</v>
      </c>
      <c r="I215" s="4">
        <v>2683973439</v>
      </c>
      <c r="K215" s="4">
        <v>21998347</v>
      </c>
      <c r="M215" s="4">
        <v>27503657720</v>
      </c>
      <c r="O215" s="4">
        <v>28586831205</v>
      </c>
      <c r="Q215" s="4">
        <v>-1083173485</v>
      </c>
    </row>
    <row r="216" spans="1:17" ht="18.75" x14ac:dyDescent="0.45">
      <c r="A216" s="12" t="s">
        <v>224</v>
      </c>
      <c r="C216" s="4">
        <v>10259149</v>
      </c>
      <c r="E216" s="4">
        <v>25999326118</v>
      </c>
      <c r="G216" s="4">
        <v>21978287035</v>
      </c>
      <c r="I216" s="4">
        <v>4021039083</v>
      </c>
      <c r="K216" s="4">
        <v>10259149</v>
      </c>
      <c r="M216" s="4">
        <v>25999326118</v>
      </c>
      <c r="O216" s="4">
        <v>19267952256</v>
      </c>
      <c r="Q216" s="4">
        <v>6731373862</v>
      </c>
    </row>
    <row r="217" spans="1:17" ht="19.5" thickBot="1" x14ac:dyDescent="0.5">
      <c r="A217" s="7" t="s">
        <v>225</v>
      </c>
      <c r="C217" s="7">
        <f>SUM(C9:$C$216)</f>
        <v>989818656</v>
      </c>
      <c r="E217" s="7">
        <f>SUM(E9:$E$216)</f>
        <v>4174321966269</v>
      </c>
      <c r="G217" s="7">
        <f>SUM(G9:$G$216)</f>
        <v>3655842474219</v>
      </c>
      <c r="I217" s="7">
        <f>SUM(I9:$I$216)</f>
        <v>518479492050</v>
      </c>
      <c r="K217" s="7">
        <f>SUM(K9:$K$216)</f>
        <v>989818656</v>
      </c>
      <c r="M217" s="7">
        <f>SUM(M9:$M$216)</f>
        <v>4174321966269</v>
      </c>
      <c r="O217" s="7">
        <f>SUM(O9:$O$216)</f>
        <v>3322033007780</v>
      </c>
      <c r="Q217" s="7">
        <f>SUM(Q9:$Q$216)</f>
        <v>852288958489</v>
      </c>
    </row>
    <row r="218" spans="1:17" ht="19.5" thickTop="1" x14ac:dyDescent="0.45">
      <c r="C218" s="9"/>
      <c r="E218" s="9"/>
      <c r="G218" s="9"/>
      <c r="I218" s="9"/>
      <c r="K218" s="9"/>
      <c r="M218" s="9"/>
      <c r="O218" s="9"/>
      <c r="Q218" s="9"/>
    </row>
    <row r="220" spans="1:17" ht="18.75" x14ac:dyDescent="0.45">
      <c r="A220" s="40" t="s">
        <v>352</v>
      </c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2"/>
    </row>
  </sheetData>
  <mergeCells count="7">
    <mergeCell ref="A220:Q220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223"/>
  <sheetViews>
    <sheetView rightToLeft="1" view="pageBreakPreview" zoomScale="68" zoomScaleNormal="100" zoomScaleSheetLayoutView="68" workbookViewId="0">
      <selection activeCell="AM35" sqref="AM35"/>
    </sheetView>
  </sheetViews>
  <sheetFormatPr defaultRowHeight="18" x14ac:dyDescent="0.45"/>
  <cols>
    <col min="1" max="1" width="21.85546875" style="1" bestFit="1" customWidth="1"/>
    <col min="2" max="2" width="1.42578125" style="1" customWidth="1"/>
    <col min="3" max="3" width="15.5703125" style="1" bestFit="1" customWidth="1"/>
    <col min="4" max="4" width="1.42578125" style="1" customWidth="1"/>
    <col min="5" max="5" width="18" style="1" bestFit="1" customWidth="1"/>
    <col min="6" max="6" width="1.42578125" style="1" customWidth="1"/>
    <col min="7" max="7" width="17" style="1" customWidth="1"/>
    <col min="8" max="8" width="1.42578125" style="1" customWidth="1"/>
    <col min="9" max="9" width="17.7109375" style="1" bestFit="1" customWidth="1"/>
    <col min="10" max="10" width="1.42578125" style="1" customWidth="1"/>
    <col min="11" max="11" width="11.5703125" style="1" bestFit="1" customWidth="1"/>
    <col min="12" max="12" width="1.42578125" style="1" customWidth="1"/>
    <col min="13" max="13" width="17.7109375" style="1" bestFit="1" customWidth="1"/>
    <col min="14" max="14" width="1.42578125" style="1" customWidth="1"/>
    <col min="15" max="15" width="18.28515625" style="1" bestFit="1" customWidth="1"/>
    <col min="16" max="16" width="1.42578125" style="1" customWidth="1"/>
    <col min="17" max="17" width="17.7109375" style="1" bestFit="1" customWidth="1"/>
    <col min="18" max="18" width="1.42578125" style="1" customWidth="1"/>
    <col min="19" max="19" width="19.140625" style="1" bestFit="1" customWidth="1"/>
    <col min="20" max="20" width="1.42578125" style="1" customWidth="1"/>
    <col min="21" max="21" width="11.5703125" style="1" bestFit="1" customWidth="1"/>
    <col min="22" max="16384" width="9.140625" style="1"/>
  </cols>
  <sheetData>
    <row r="1" spans="1:2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7" ht="20.100000000000001" customHeight="1" x14ac:dyDescent="0.45">
      <c r="A2" s="34" t="s">
        <v>263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5" spans="1:27" ht="21" x14ac:dyDescent="0.45">
      <c r="A5" s="35" t="s">
        <v>356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7" x14ac:dyDescent="0.45">
      <c r="AA6" s="18"/>
    </row>
    <row r="7" spans="1:27" ht="21" x14ac:dyDescent="0.45">
      <c r="C7" s="28" t="s">
        <v>275</v>
      </c>
      <c r="D7" s="29"/>
      <c r="E7" s="29"/>
      <c r="F7" s="29"/>
      <c r="G7" s="29"/>
      <c r="H7" s="29"/>
      <c r="I7" s="29"/>
      <c r="J7" s="29"/>
      <c r="K7" s="29"/>
      <c r="M7" s="28" t="s">
        <v>7</v>
      </c>
      <c r="N7" s="29"/>
      <c r="O7" s="29"/>
      <c r="P7" s="29"/>
      <c r="Q7" s="29"/>
      <c r="R7" s="29"/>
      <c r="S7" s="29"/>
      <c r="T7" s="29"/>
      <c r="U7" s="29"/>
    </row>
    <row r="8" spans="1:27" ht="42" x14ac:dyDescent="0.45">
      <c r="A8" s="10" t="s">
        <v>357</v>
      </c>
      <c r="C8" s="11" t="s">
        <v>273</v>
      </c>
      <c r="E8" s="11" t="s">
        <v>358</v>
      </c>
      <c r="G8" s="11" t="s">
        <v>359</v>
      </c>
      <c r="I8" s="11" t="s">
        <v>360</v>
      </c>
      <c r="K8" s="11" t="s">
        <v>361</v>
      </c>
      <c r="M8" s="11" t="s">
        <v>273</v>
      </c>
      <c r="O8" s="11" t="s">
        <v>358</v>
      </c>
      <c r="Q8" s="11" t="s">
        <v>359</v>
      </c>
      <c r="S8" s="11" t="s">
        <v>360</v>
      </c>
      <c r="U8" s="11" t="s">
        <v>361</v>
      </c>
    </row>
    <row r="9" spans="1:27" ht="18.75" x14ac:dyDescent="0.45">
      <c r="A9" s="12" t="s">
        <v>17</v>
      </c>
      <c r="C9" s="4">
        <v>0</v>
      </c>
      <c r="E9" s="4">
        <v>2297463466</v>
      </c>
      <c r="G9" s="4">
        <v>0</v>
      </c>
      <c r="I9" s="4">
        <v>2297463466</v>
      </c>
      <c r="K9" s="5">
        <v>3.9157033563231138E-3</v>
      </c>
      <c r="M9" s="4">
        <v>0</v>
      </c>
      <c r="O9" s="4">
        <v>3109185325</v>
      </c>
      <c r="Q9" s="4">
        <v>8869949</v>
      </c>
      <c r="S9" s="4">
        <v>3118055274</v>
      </c>
      <c r="U9" s="5">
        <v>2.5640241943913956E-3</v>
      </c>
    </row>
    <row r="10" spans="1:27" ht="18.75" x14ac:dyDescent="0.45">
      <c r="A10" s="12" t="s">
        <v>18</v>
      </c>
      <c r="C10" s="4">
        <v>0</v>
      </c>
      <c r="E10" s="4">
        <v>3285240856</v>
      </c>
      <c r="G10" s="4">
        <v>0</v>
      </c>
      <c r="I10" s="4">
        <v>3285240856</v>
      </c>
      <c r="K10" s="5">
        <v>5.5992309938951695E-3</v>
      </c>
      <c r="M10" s="4">
        <v>0</v>
      </c>
      <c r="O10" s="4">
        <v>4762713028</v>
      </c>
      <c r="Q10" s="4">
        <v>2768386</v>
      </c>
      <c r="S10" s="4">
        <v>4765481414</v>
      </c>
      <c r="U10" s="5">
        <v>3.9187277227910097E-3</v>
      </c>
    </row>
    <row r="11" spans="1:27" ht="18.75" x14ac:dyDescent="0.45">
      <c r="A11" s="12" t="s">
        <v>19</v>
      </c>
      <c r="C11" s="4">
        <v>0</v>
      </c>
      <c r="E11" s="4">
        <v>197626379</v>
      </c>
      <c r="G11" s="4">
        <v>0</v>
      </c>
      <c r="I11" s="4">
        <v>197626379</v>
      </c>
      <c r="K11" s="5">
        <v>3.3682636829720266E-4</v>
      </c>
      <c r="M11" s="4">
        <v>0</v>
      </c>
      <c r="O11" s="4">
        <v>197626379</v>
      </c>
      <c r="Q11" s="4">
        <v>0</v>
      </c>
      <c r="S11" s="4">
        <v>197626379</v>
      </c>
      <c r="U11" s="5">
        <v>1.625111720857722E-4</v>
      </c>
    </row>
    <row r="12" spans="1:27" ht="18.75" x14ac:dyDescent="0.45">
      <c r="A12" s="12" t="s">
        <v>20</v>
      </c>
      <c r="C12" s="4">
        <v>0</v>
      </c>
      <c r="E12" s="4">
        <v>225741425</v>
      </c>
      <c r="G12" s="4">
        <v>0</v>
      </c>
      <c r="I12" s="4">
        <v>225741425</v>
      </c>
      <c r="K12" s="5">
        <v>3.84744510028114E-4</v>
      </c>
      <c r="M12" s="4">
        <v>199000000</v>
      </c>
      <c r="O12" s="4">
        <v>285422050</v>
      </c>
      <c r="Q12" s="4">
        <v>0</v>
      </c>
      <c r="S12" s="4">
        <v>484422050</v>
      </c>
      <c r="U12" s="5">
        <v>3.9834760687333415E-4</v>
      </c>
    </row>
    <row r="13" spans="1:27" ht="18.75" x14ac:dyDescent="0.45">
      <c r="A13" s="12" t="s">
        <v>21</v>
      </c>
      <c r="C13" s="4">
        <v>0</v>
      </c>
      <c r="E13" s="4">
        <v>2257679808</v>
      </c>
      <c r="G13" s="4">
        <v>223180583</v>
      </c>
      <c r="I13" s="4">
        <v>2480860391</v>
      </c>
      <c r="K13" s="5">
        <v>4.2282776215462016E-3</v>
      </c>
      <c r="M13" s="4">
        <v>0</v>
      </c>
      <c r="O13" s="4">
        <v>2693237046</v>
      </c>
      <c r="Q13" s="4">
        <v>278659863</v>
      </c>
      <c r="S13" s="4">
        <v>2971896909</v>
      </c>
      <c r="U13" s="5">
        <v>2.4438359516756286E-3</v>
      </c>
    </row>
    <row r="14" spans="1:27" ht="18.75" x14ac:dyDescent="0.45">
      <c r="A14" s="12" t="s">
        <v>22</v>
      </c>
      <c r="C14" s="4">
        <v>0</v>
      </c>
      <c r="E14" s="4">
        <v>-328193303</v>
      </c>
      <c r="G14" s="4">
        <v>0</v>
      </c>
      <c r="I14" s="4">
        <v>-328193303</v>
      </c>
      <c r="K14" s="5">
        <v>-5.5935932696997621E-4</v>
      </c>
      <c r="M14" s="4">
        <v>24500000</v>
      </c>
      <c r="O14" s="4">
        <v>628966597</v>
      </c>
      <c r="Q14" s="4">
        <v>0</v>
      </c>
      <c r="S14" s="4">
        <v>653466597</v>
      </c>
      <c r="U14" s="5">
        <v>5.3735550453702814E-4</v>
      </c>
    </row>
    <row r="15" spans="1:27" ht="18.75" x14ac:dyDescent="0.45">
      <c r="A15" s="12" t="s">
        <v>362</v>
      </c>
      <c r="C15" s="4">
        <v>0</v>
      </c>
      <c r="E15" s="4">
        <v>1587102252</v>
      </c>
      <c r="G15" s="4">
        <v>0</v>
      </c>
      <c r="I15" s="4">
        <v>1587102252</v>
      </c>
      <c r="K15" s="5">
        <v>2.7049925741819709E-3</v>
      </c>
      <c r="M15" s="4">
        <v>4340424361</v>
      </c>
      <c r="O15" s="4">
        <v>2366907631</v>
      </c>
      <c r="Q15" s="4">
        <v>785484174</v>
      </c>
      <c r="S15" s="4">
        <v>7492816166</v>
      </c>
      <c r="U15" s="5">
        <v>6.1614564994882685E-3</v>
      </c>
    </row>
    <row r="16" spans="1:27" ht="18.75" x14ac:dyDescent="0.45">
      <c r="A16" s="12" t="s">
        <v>24</v>
      </c>
      <c r="C16" s="4">
        <v>0</v>
      </c>
      <c r="E16" s="4">
        <v>4448785940</v>
      </c>
      <c r="G16" s="4">
        <v>0</v>
      </c>
      <c r="I16" s="4">
        <v>4448785940</v>
      </c>
      <c r="K16" s="5">
        <v>7.5823299454464881E-3</v>
      </c>
      <c r="M16" s="4">
        <v>0</v>
      </c>
      <c r="O16" s="4">
        <v>9301632989</v>
      </c>
      <c r="Q16" s="4">
        <v>548670466</v>
      </c>
      <c r="S16" s="4">
        <v>9850303455</v>
      </c>
      <c r="U16" s="5">
        <v>8.100054091830431E-3</v>
      </c>
    </row>
    <row r="17" spans="1:21" ht="18.75" x14ac:dyDescent="0.45">
      <c r="A17" s="12" t="s">
        <v>25</v>
      </c>
      <c r="C17" s="4">
        <v>0</v>
      </c>
      <c r="E17" s="4">
        <v>1076415628</v>
      </c>
      <c r="G17" s="4">
        <v>1920823670</v>
      </c>
      <c r="I17" s="4">
        <v>2997239298</v>
      </c>
      <c r="K17" s="5">
        <v>5.1083728436020033E-3</v>
      </c>
      <c r="M17" s="4">
        <v>0</v>
      </c>
      <c r="O17" s="4">
        <v>4275133608</v>
      </c>
      <c r="Q17" s="4">
        <v>2482078322</v>
      </c>
      <c r="S17" s="4">
        <v>6757211930</v>
      </c>
      <c r="U17" s="5">
        <v>5.5565579672755272E-3</v>
      </c>
    </row>
    <row r="18" spans="1:21" ht="18.75" x14ac:dyDescent="0.45">
      <c r="A18" s="12" t="s">
        <v>26</v>
      </c>
      <c r="C18" s="4">
        <v>0</v>
      </c>
      <c r="E18" s="4">
        <v>370107538</v>
      </c>
      <c r="G18" s="4">
        <v>0</v>
      </c>
      <c r="I18" s="4">
        <v>370107538</v>
      </c>
      <c r="K18" s="5">
        <v>6.3079624559613543E-4</v>
      </c>
      <c r="M18" s="4">
        <v>0</v>
      </c>
      <c r="O18" s="4">
        <v>1414440670</v>
      </c>
      <c r="Q18" s="4">
        <v>0</v>
      </c>
      <c r="S18" s="4">
        <v>1414440670</v>
      </c>
      <c r="U18" s="5">
        <v>1.1631160389144453E-3</v>
      </c>
    </row>
    <row r="19" spans="1:21" ht="18.75" x14ac:dyDescent="0.45">
      <c r="A19" s="12" t="s">
        <v>27</v>
      </c>
      <c r="C19" s="4">
        <v>0</v>
      </c>
      <c r="E19" s="4">
        <v>3238191733</v>
      </c>
      <c r="G19" s="4">
        <v>-735209327</v>
      </c>
      <c r="I19" s="4">
        <v>2502982406</v>
      </c>
      <c r="K19" s="5">
        <v>4.2659814848136973E-3</v>
      </c>
      <c r="M19" s="4">
        <v>669713695</v>
      </c>
      <c r="O19" s="4">
        <v>-1836253571</v>
      </c>
      <c r="Q19" s="4">
        <v>-14451465259</v>
      </c>
      <c r="S19" s="4">
        <v>-15618005135</v>
      </c>
      <c r="U19" s="5">
        <v>-1.2842922756432526E-2</v>
      </c>
    </row>
    <row r="20" spans="1:21" ht="18.75" x14ac:dyDescent="0.45">
      <c r="A20" s="12" t="s">
        <v>28</v>
      </c>
      <c r="C20" s="4">
        <v>0</v>
      </c>
      <c r="E20" s="4">
        <v>6222865610</v>
      </c>
      <c r="G20" s="4">
        <v>541437942</v>
      </c>
      <c r="I20" s="4">
        <v>6764303552</v>
      </c>
      <c r="K20" s="5">
        <v>1.1528804054442694E-2</v>
      </c>
      <c r="M20" s="4">
        <v>4445453740</v>
      </c>
      <c r="O20" s="4">
        <v>9276760891</v>
      </c>
      <c r="Q20" s="4">
        <v>-1939588134</v>
      </c>
      <c r="S20" s="4">
        <v>11782626497</v>
      </c>
      <c r="U20" s="5">
        <v>9.6890326684391983E-3</v>
      </c>
    </row>
    <row r="21" spans="1:21" ht="18.75" x14ac:dyDescent="0.45">
      <c r="A21" s="12" t="s">
        <v>29</v>
      </c>
      <c r="C21" s="4">
        <v>0</v>
      </c>
      <c r="E21" s="4">
        <v>6107759622</v>
      </c>
      <c r="G21" s="4">
        <v>0</v>
      </c>
      <c r="I21" s="4">
        <v>6107759622</v>
      </c>
      <c r="K21" s="5">
        <v>1.0409817263871213E-2</v>
      </c>
      <c r="M21" s="4">
        <v>1925903250</v>
      </c>
      <c r="O21" s="4">
        <v>9403072393</v>
      </c>
      <c r="Q21" s="4">
        <v>4985169341</v>
      </c>
      <c r="S21" s="4">
        <v>16314144984</v>
      </c>
      <c r="U21" s="5">
        <v>1.3415369124012849E-2</v>
      </c>
    </row>
    <row r="22" spans="1:21" ht="18.75" x14ac:dyDescent="0.45">
      <c r="A22" s="12" t="s">
        <v>31</v>
      </c>
      <c r="C22" s="4">
        <v>0</v>
      </c>
      <c r="E22" s="4">
        <v>2766156209</v>
      </c>
      <c r="G22" s="4">
        <v>0</v>
      </c>
      <c r="I22" s="4">
        <v>2766156209</v>
      </c>
      <c r="K22" s="5">
        <v>4.7145242185519572E-3</v>
      </c>
      <c r="M22" s="4">
        <v>0</v>
      </c>
      <c r="O22" s="4">
        <v>6999415885</v>
      </c>
      <c r="Q22" s="4">
        <v>897607340</v>
      </c>
      <c r="S22" s="4">
        <v>7897023225</v>
      </c>
      <c r="U22" s="5">
        <v>6.4938421013285615E-3</v>
      </c>
    </row>
    <row r="23" spans="1:21" ht="18.75" x14ac:dyDescent="0.45">
      <c r="A23" s="12" t="s">
        <v>363</v>
      </c>
      <c r="C23" s="4">
        <v>0</v>
      </c>
      <c r="E23" s="4">
        <v>2621335385</v>
      </c>
      <c r="G23" s="4">
        <v>0</v>
      </c>
      <c r="I23" s="4">
        <v>2621335385</v>
      </c>
      <c r="K23" s="5">
        <v>4.4676974920362204E-3</v>
      </c>
      <c r="M23" s="4">
        <v>675475200</v>
      </c>
      <c r="O23" s="4">
        <v>4827747836</v>
      </c>
      <c r="Q23" s="4">
        <v>1982564966</v>
      </c>
      <c r="S23" s="4">
        <v>7485788002</v>
      </c>
      <c r="U23" s="5">
        <v>6.1556771335198671E-3</v>
      </c>
    </row>
    <row r="24" spans="1:21" ht="18.75" x14ac:dyDescent="0.45">
      <c r="A24" s="12" t="s">
        <v>32</v>
      </c>
      <c r="C24" s="4">
        <v>0</v>
      </c>
      <c r="E24" s="4">
        <v>251788513</v>
      </c>
      <c r="G24" s="4">
        <v>0</v>
      </c>
      <c r="I24" s="4">
        <v>251788513</v>
      </c>
      <c r="K24" s="5">
        <v>4.2913810819122992E-4</v>
      </c>
      <c r="M24" s="4">
        <v>700000000</v>
      </c>
      <c r="O24" s="4">
        <v>1833989938</v>
      </c>
      <c r="Q24" s="4">
        <v>0</v>
      </c>
      <c r="S24" s="4">
        <v>2533989938</v>
      </c>
      <c r="U24" s="5">
        <v>2.0837384005195645E-3</v>
      </c>
    </row>
    <row r="25" spans="1:21" ht="18.75" x14ac:dyDescent="0.45">
      <c r="A25" s="12" t="s">
        <v>34</v>
      </c>
      <c r="C25" s="4">
        <v>0</v>
      </c>
      <c r="E25" s="4">
        <v>3477840897</v>
      </c>
      <c r="G25" s="4">
        <v>0</v>
      </c>
      <c r="I25" s="4">
        <v>3477840897</v>
      </c>
      <c r="K25" s="5">
        <v>5.9274906759891385E-3</v>
      </c>
      <c r="M25" s="4">
        <v>0</v>
      </c>
      <c r="O25" s="4">
        <v>5797215086</v>
      </c>
      <c r="Q25" s="4">
        <v>0</v>
      </c>
      <c r="S25" s="4">
        <v>5797215086</v>
      </c>
      <c r="U25" s="5">
        <v>4.7671379864688036E-3</v>
      </c>
    </row>
    <row r="26" spans="1:21" ht="18.75" x14ac:dyDescent="0.45">
      <c r="A26" s="12" t="s">
        <v>35</v>
      </c>
      <c r="C26" s="4">
        <v>0</v>
      </c>
      <c r="E26" s="4">
        <v>-42660090</v>
      </c>
      <c r="G26" s="4">
        <v>0</v>
      </c>
      <c r="I26" s="4">
        <v>-42660090</v>
      </c>
      <c r="K26" s="5">
        <v>-7.2708123574595336E-5</v>
      </c>
      <c r="M26" s="4">
        <v>0</v>
      </c>
      <c r="O26" s="4">
        <v>-42660090</v>
      </c>
      <c r="Q26" s="4">
        <v>0</v>
      </c>
      <c r="S26" s="4">
        <v>-42660090</v>
      </c>
      <c r="U26" s="5">
        <v>-3.5080039730852576E-5</v>
      </c>
    </row>
    <row r="27" spans="1:21" ht="18.75" x14ac:dyDescent="0.45">
      <c r="A27" s="12" t="s">
        <v>36</v>
      </c>
      <c r="C27" s="4">
        <v>0</v>
      </c>
      <c r="E27" s="4">
        <v>-651999375</v>
      </c>
      <c r="G27" s="4">
        <v>0</v>
      </c>
      <c r="I27" s="4">
        <v>-651999375</v>
      </c>
      <c r="K27" s="5">
        <v>-1.1112412357324826E-3</v>
      </c>
      <c r="M27" s="4">
        <v>0</v>
      </c>
      <c r="O27" s="4">
        <v>-651999375</v>
      </c>
      <c r="Q27" s="4">
        <v>0</v>
      </c>
      <c r="S27" s="4">
        <v>-651999375</v>
      </c>
      <c r="U27" s="5">
        <v>-5.3614898560905636E-4</v>
      </c>
    </row>
    <row r="28" spans="1:21" ht="18.75" x14ac:dyDescent="0.45">
      <c r="A28" s="12" t="s">
        <v>37</v>
      </c>
      <c r="C28" s="4">
        <v>0</v>
      </c>
      <c r="E28" s="4">
        <v>4027028568</v>
      </c>
      <c r="G28" s="4">
        <v>0</v>
      </c>
      <c r="I28" s="4">
        <v>4027028568</v>
      </c>
      <c r="K28" s="5">
        <v>6.8635038219696607E-3</v>
      </c>
      <c r="M28" s="4">
        <v>0</v>
      </c>
      <c r="O28" s="4">
        <v>5223058725</v>
      </c>
      <c r="Q28" s="4">
        <v>542112549</v>
      </c>
      <c r="S28" s="4">
        <v>5765171274</v>
      </c>
      <c r="U28" s="5">
        <v>4.740787873328209E-3</v>
      </c>
    </row>
    <row r="29" spans="1:21" ht="18.75" x14ac:dyDescent="0.45">
      <c r="A29" s="12" t="s">
        <v>38</v>
      </c>
      <c r="C29" s="4">
        <v>0</v>
      </c>
      <c r="E29" s="4">
        <v>3884402298</v>
      </c>
      <c r="G29" s="4">
        <v>0</v>
      </c>
      <c r="I29" s="4">
        <v>3884402298</v>
      </c>
      <c r="K29" s="5">
        <v>6.6204174040989158E-3</v>
      </c>
      <c r="M29" s="4">
        <v>0</v>
      </c>
      <c r="O29" s="4">
        <v>6085361437</v>
      </c>
      <c r="Q29" s="4">
        <v>3444470416</v>
      </c>
      <c r="S29" s="4">
        <v>9529831853</v>
      </c>
      <c r="U29" s="5">
        <v>7.8365254276675095E-3</v>
      </c>
    </row>
    <row r="30" spans="1:21" ht="18.75" x14ac:dyDescent="0.45">
      <c r="A30" s="12" t="s">
        <v>39</v>
      </c>
      <c r="C30" s="4">
        <v>0</v>
      </c>
      <c r="E30" s="4">
        <v>2762591060</v>
      </c>
      <c r="G30" s="4">
        <v>771341674</v>
      </c>
      <c r="I30" s="4">
        <v>3533932734</v>
      </c>
      <c r="K30" s="5">
        <v>6.0230913232480181E-3</v>
      </c>
      <c r="M30" s="4">
        <v>0</v>
      </c>
      <c r="O30" s="4">
        <v>5342092008</v>
      </c>
      <c r="Q30" s="4">
        <v>771341674</v>
      </c>
      <c r="S30" s="4">
        <v>6113433682</v>
      </c>
      <c r="U30" s="5">
        <v>5.0271693392229689E-3</v>
      </c>
    </row>
    <row r="31" spans="1:21" ht="18.75" x14ac:dyDescent="0.45">
      <c r="A31" s="12" t="s">
        <v>40</v>
      </c>
      <c r="C31" s="4">
        <v>0</v>
      </c>
      <c r="E31" s="4">
        <v>-2443339271</v>
      </c>
      <c r="G31" s="4">
        <v>4287991114</v>
      </c>
      <c r="I31" s="4">
        <v>1844651843</v>
      </c>
      <c r="K31" s="5">
        <v>3.1439496295706136E-3</v>
      </c>
      <c r="M31" s="4">
        <v>0</v>
      </c>
      <c r="O31" s="4">
        <v>6990721621</v>
      </c>
      <c r="Q31" s="4">
        <v>4452990768</v>
      </c>
      <c r="S31" s="4">
        <v>11443712389</v>
      </c>
      <c r="U31" s="5">
        <v>9.4103384515731182E-3</v>
      </c>
    </row>
    <row r="32" spans="1:21" ht="18.75" x14ac:dyDescent="0.45">
      <c r="A32" s="12" t="s">
        <v>364</v>
      </c>
      <c r="C32" s="4">
        <v>0</v>
      </c>
      <c r="E32" s="4">
        <v>6585668839</v>
      </c>
      <c r="G32" s="4">
        <v>88333822</v>
      </c>
      <c r="I32" s="4">
        <v>6674002661</v>
      </c>
      <c r="K32" s="5">
        <v>1.1374898885894665E-2</v>
      </c>
      <c r="M32" s="4">
        <v>0</v>
      </c>
      <c r="O32" s="4">
        <v>5350267444</v>
      </c>
      <c r="Q32" s="4">
        <v>725934657</v>
      </c>
      <c r="S32" s="4">
        <v>6076202101</v>
      </c>
      <c r="U32" s="5">
        <v>4.9965532448658671E-3</v>
      </c>
    </row>
    <row r="33" spans="1:21" ht="18.75" x14ac:dyDescent="0.45">
      <c r="A33" s="12" t="s">
        <v>42</v>
      </c>
      <c r="C33" s="4">
        <v>0</v>
      </c>
      <c r="E33" s="4">
        <v>257043252</v>
      </c>
      <c r="G33" s="4">
        <v>2155115624</v>
      </c>
      <c r="I33" s="4">
        <v>2412158876</v>
      </c>
      <c r="K33" s="5">
        <v>4.1111855515955312E-3</v>
      </c>
      <c r="M33" s="4">
        <v>0</v>
      </c>
      <c r="O33" s="4">
        <v>5003537451</v>
      </c>
      <c r="Q33" s="4">
        <v>2155115624</v>
      </c>
      <c r="S33" s="4">
        <v>7158653075</v>
      </c>
      <c r="U33" s="5">
        <v>5.8866691160377295E-3</v>
      </c>
    </row>
    <row r="34" spans="1:21" ht="18.75" x14ac:dyDescent="0.45">
      <c r="A34" s="12" t="s">
        <v>365</v>
      </c>
      <c r="C34" s="4">
        <v>0</v>
      </c>
      <c r="E34" s="4">
        <v>798777350</v>
      </c>
      <c r="G34" s="4">
        <v>0</v>
      </c>
      <c r="I34" s="4">
        <v>798777350</v>
      </c>
      <c r="K34" s="5">
        <v>1.3614036508687111E-3</v>
      </c>
      <c r="M34" s="4">
        <v>687500000</v>
      </c>
      <c r="O34" s="4">
        <v>582148181</v>
      </c>
      <c r="Q34" s="4">
        <v>0</v>
      </c>
      <c r="S34" s="4">
        <v>1269648181</v>
      </c>
      <c r="U34" s="5">
        <v>1.0440509767720768E-3</v>
      </c>
    </row>
    <row r="35" spans="1:21" ht="18.75" x14ac:dyDescent="0.45">
      <c r="A35" s="12" t="s">
        <v>43</v>
      </c>
      <c r="C35" s="4">
        <v>0</v>
      </c>
      <c r="E35" s="4">
        <v>2257548862</v>
      </c>
      <c r="G35" s="4">
        <v>556404179</v>
      </c>
      <c r="I35" s="4">
        <v>2813953041</v>
      </c>
      <c r="K35" s="5">
        <v>4.7959871964202688E-3</v>
      </c>
      <c r="M35" s="4">
        <v>0</v>
      </c>
      <c r="O35" s="4">
        <v>3796094282</v>
      </c>
      <c r="Q35" s="4">
        <v>556404179</v>
      </c>
      <c r="S35" s="4">
        <v>4352498461</v>
      </c>
      <c r="U35" s="5">
        <v>3.5791255700668868E-3</v>
      </c>
    </row>
    <row r="36" spans="1:21" ht="18.75" x14ac:dyDescent="0.45">
      <c r="A36" s="12" t="s">
        <v>45</v>
      </c>
      <c r="C36" s="4">
        <v>0</v>
      </c>
      <c r="E36" s="4">
        <v>1037799242</v>
      </c>
      <c r="G36" s="4">
        <v>44160781</v>
      </c>
      <c r="I36" s="4">
        <v>1081960023</v>
      </c>
      <c r="K36" s="5">
        <v>1.844048689420393E-3</v>
      </c>
      <c r="M36" s="4">
        <v>0</v>
      </c>
      <c r="O36" s="4">
        <v>1560069550</v>
      </c>
      <c r="Q36" s="4">
        <v>44160781</v>
      </c>
      <c r="S36" s="4">
        <v>1604230331</v>
      </c>
      <c r="U36" s="5">
        <v>1.319182958801043E-3</v>
      </c>
    </row>
    <row r="37" spans="1:21" ht="37.5" x14ac:dyDescent="0.45">
      <c r="A37" s="12" t="s">
        <v>46</v>
      </c>
      <c r="C37" s="4">
        <v>0</v>
      </c>
      <c r="E37" s="4">
        <v>3345224380</v>
      </c>
      <c r="G37" s="4">
        <v>665518510</v>
      </c>
      <c r="I37" s="4">
        <v>4010742890</v>
      </c>
      <c r="K37" s="5">
        <v>6.8357471742804491E-3</v>
      </c>
      <c r="M37" s="4">
        <v>0</v>
      </c>
      <c r="O37" s="4">
        <v>4424752133</v>
      </c>
      <c r="Q37" s="4">
        <v>665518510</v>
      </c>
      <c r="S37" s="4">
        <v>5090270643</v>
      </c>
      <c r="U37" s="5">
        <v>4.1858068371921509E-3</v>
      </c>
    </row>
    <row r="38" spans="1:21" ht="18.75" x14ac:dyDescent="0.45">
      <c r="A38" s="12" t="s">
        <v>47</v>
      </c>
      <c r="C38" s="4">
        <v>0</v>
      </c>
      <c r="E38" s="4">
        <v>3824552986</v>
      </c>
      <c r="G38" s="4">
        <v>0</v>
      </c>
      <c r="I38" s="4">
        <v>3824552986</v>
      </c>
      <c r="K38" s="5">
        <v>6.5184126691639798E-3</v>
      </c>
      <c r="M38" s="4">
        <v>0</v>
      </c>
      <c r="O38" s="4">
        <v>3920545559</v>
      </c>
      <c r="Q38" s="4">
        <v>0</v>
      </c>
      <c r="S38" s="4">
        <v>3920545559</v>
      </c>
      <c r="U38" s="5">
        <v>3.2239241402523444E-3</v>
      </c>
    </row>
    <row r="39" spans="1:21" ht="18.75" x14ac:dyDescent="0.45">
      <c r="A39" s="12" t="s">
        <v>48</v>
      </c>
      <c r="C39" s="4">
        <v>0</v>
      </c>
      <c r="E39" s="4">
        <v>2260180753</v>
      </c>
      <c r="G39" s="4">
        <v>0</v>
      </c>
      <c r="I39" s="4">
        <v>2260180753</v>
      </c>
      <c r="K39" s="5">
        <v>3.8521602155561778E-3</v>
      </c>
      <c r="M39" s="4">
        <v>420000000</v>
      </c>
      <c r="O39" s="4">
        <v>1298859789</v>
      </c>
      <c r="Q39" s="4">
        <v>13477495160</v>
      </c>
      <c r="S39" s="4">
        <v>15196354949</v>
      </c>
      <c r="U39" s="5">
        <v>1.2496193406414712E-2</v>
      </c>
    </row>
    <row r="40" spans="1:21" ht="18.75" x14ac:dyDescent="0.45">
      <c r="A40" s="12" t="s">
        <v>49</v>
      </c>
      <c r="C40" s="4">
        <v>0</v>
      </c>
      <c r="E40" s="4">
        <v>4137677722</v>
      </c>
      <c r="G40" s="4">
        <v>0</v>
      </c>
      <c r="I40" s="4">
        <v>4137677722</v>
      </c>
      <c r="K40" s="5">
        <v>7.0520897429664619E-3</v>
      </c>
      <c r="M40" s="4">
        <v>18000000000</v>
      </c>
      <c r="O40" s="4">
        <v>7339969679</v>
      </c>
      <c r="Q40" s="4">
        <v>17939744597</v>
      </c>
      <c r="S40" s="4">
        <v>43279714276</v>
      </c>
      <c r="U40" s="5">
        <v>3.5589566180990885E-2</v>
      </c>
    </row>
    <row r="41" spans="1:21" ht="18.75" x14ac:dyDescent="0.45">
      <c r="A41" s="12" t="s">
        <v>366</v>
      </c>
      <c r="C41" s="4">
        <v>0</v>
      </c>
      <c r="E41" s="4">
        <v>1728217619</v>
      </c>
      <c r="G41" s="4">
        <v>1523719098</v>
      </c>
      <c r="I41" s="4">
        <v>3251936717</v>
      </c>
      <c r="K41" s="5">
        <v>5.5424687729538277E-3</v>
      </c>
      <c r="M41" s="4">
        <v>0</v>
      </c>
      <c r="O41" s="4">
        <v>8343687089</v>
      </c>
      <c r="Q41" s="4">
        <v>2070761299</v>
      </c>
      <c r="S41" s="4">
        <v>10414448388</v>
      </c>
      <c r="U41" s="5">
        <v>8.5639590358565481E-3</v>
      </c>
    </row>
    <row r="42" spans="1:21" ht="18.75" x14ac:dyDescent="0.45">
      <c r="A42" s="12" t="s">
        <v>295</v>
      </c>
      <c r="C42" s="4">
        <v>0</v>
      </c>
      <c r="E42" s="4">
        <v>1068784589</v>
      </c>
      <c r="G42" s="4">
        <v>0</v>
      </c>
      <c r="I42" s="4">
        <v>1068784589</v>
      </c>
      <c r="K42" s="5">
        <v>1.8215930151960554E-3</v>
      </c>
      <c r="M42" s="4">
        <v>2180218760</v>
      </c>
      <c r="O42" s="4">
        <v>-1428776417</v>
      </c>
      <c r="Q42" s="4">
        <v>-1763883002</v>
      </c>
      <c r="S42" s="4">
        <v>-1012440659</v>
      </c>
      <c r="U42" s="5">
        <v>-8.3254532615497452E-4</v>
      </c>
    </row>
    <row r="43" spans="1:21" ht="18.75" x14ac:dyDescent="0.45">
      <c r="A43" s="12" t="s">
        <v>52</v>
      </c>
      <c r="C43" s="4">
        <v>0</v>
      </c>
      <c r="E43" s="4">
        <v>1010576247</v>
      </c>
      <c r="G43" s="4">
        <v>730311985</v>
      </c>
      <c r="I43" s="4">
        <v>1740888232</v>
      </c>
      <c r="K43" s="5">
        <v>2.9670991482159273E-3</v>
      </c>
      <c r="M43" s="4">
        <v>1524233883</v>
      </c>
      <c r="O43" s="4">
        <v>7986855439</v>
      </c>
      <c r="Q43" s="4">
        <v>1915031037</v>
      </c>
      <c r="S43" s="4">
        <v>11426120359</v>
      </c>
      <c r="U43" s="5">
        <v>9.3958722581978498E-3</v>
      </c>
    </row>
    <row r="44" spans="1:21" ht="37.5" x14ac:dyDescent="0.45">
      <c r="A44" s="12" t="s">
        <v>53</v>
      </c>
      <c r="C44" s="4">
        <v>0</v>
      </c>
      <c r="E44" s="4">
        <v>550407393</v>
      </c>
      <c r="G44" s="4">
        <v>0</v>
      </c>
      <c r="I44" s="4">
        <v>550407393</v>
      </c>
      <c r="K44" s="5">
        <v>9.3809199058452202E-4</v>
      </c>
      <c r="M44" s="4">
        <v>0</v>
      </c>
      <c r="O44" s="4">
        <v>550407393</v>
      </c>
      <c r="Q44" s="4">
        <v>0</v>
      </c>
      <c r="S44" s="4">
        <v>550407393</v>
      </c>
      <c r="U44" s="5">
        <v>4.5260835630199069E-4</v>
      </c>
    </row>
    <row r="45" spans="1:21" ht="37.5" x14ac:dyDescent="0.45">
      <c r="A45" s="12" t="s">
        <v>54</v>
      </c>
      <c r="C45" s="4">
        <v>0</v>
      </c>
      <c r="E45" s="4">
        <v>586638214</v>
      </c>
      <c r="G45" s="4">
        <v>0</v>
      </c>
      <c r="I45" s="4">
        <v>586638214</v>
      </c>
      <c r="K45" s="5">
        <v>9.998423293783934E-4</v>
      </c>
      <c r="M45" s="4">
        <v>29476195</v>
      </c>
      <c r="O45" s="4">
        <v>-1349108273</v>
      </c>
      <c r="Q45" s="4">
        <v>0</v>
      </c>
      <c r="S45" s="4">
        <v>-1319632078</v>
      </c>
      <c r="U45" s="5">
        <v>-1.0851534941990874E-3</v>
      </c>
    </row>
    <row r="46" spans="1:21" ht="18.75" x14ac:dyDescent="0.45">
      <c r="A46" s="12" t="s">
        <v>55</v>
      </c>
      <c r="C46" s="4">
        <v>0</v>
      </c>
      <c r="E46" s="4">
        <v>1119987553</v>
      </c>
      <c r="G46" s="4">
        <v>0</v>
      </c>
      <c r="I46" s="4">
        <v>1119987553</v>
      </c>
      <c r="K46" s="5">
        <v>1.9088612660107527E-3</v>
      </c>
      <c r="M46" s="4">
        <v>0</v>
      </c>
      <c r="O46" s="4">
        <v>3562355668</v>
      </c>
      <c r="Q46" s="4">
        <v>-1173077</v>
      </c>
      <c r="S46" s="4">
        <v>3561182591</v>
      </c>
      <c r="U46" s="5">
        <v>2.9284145153256952E-3</v>
      </c>
    </row>
    <row r="47" spans="1:21" ht="18.75" x14ac:dyDescent="0.45">
      <c r="A47" s="12" t="s">
        <v>56</v>
      </c>
      <c r="C47" s="4">
        <v>0</v>
      </c>
      <c r="E47" s="4">
        <v>3780865034</v>
      </c>
      <c r="G47" s="4">
        <v>0</v>
      </c>
      <c r="I47" s="4">
        <v>3780865034</v>
      </c>
      <c r="K47" s="5">
        <v>6.4439526993716753E-3</v>
      </c>
      <c r="M47" s="4">
        <v>0</v>
      </c>
      <c r="O47" s="4">
        <v>4334832534</v>
      </c>
      <c r="Q47" s="4">
        <v>38385424</v>
      </c>
      <c r="S47" s="4">
        <v>4373217958</v>
      </c>
      <c r="U47" s="5">
        <v>3.5961635270417383E-3</v>
      </c>
    </row>
    <row r="48" spans="1:21" ht="18.75" x14ac:dyDescent="0.45">
      <c r="A48" s="12" t="s">
        <v>57</v>
      </c>
      <c r="C48" s="4">
        <v>0</v>
      </c>
      <c r="E48" s="4">
        <v>1128436186</v>
      </c>
      <c r="G48" s="4">
        <v>0</v>
      </c>
      <c r="I48" s="4">
        <v>1128436186</v>
      </c>
      <c r="K48" s="5">
        <v>1.9232607727206635E-3</v>
      </c>
      <c r="M48" s="4">
        <v>0</v>
      </c>
      <c r="O48" s="4">
        <v>1843817278</v>
      </c>
      <c r="Q48" s="4">
        <v>0</v>
      </c>
      <c r="S48" s="4">
        <v>1843817278</v>
      </c>
      <c r="U48" s="5">
        <v>1.5161989430559676E-3</v>
      </c>
    </row>
    <row r="49" spans="1:21" ht="37.5" x14ac:dyDescent="0.45">
      <c r="A49" s="12" t="s">
        <v>58</v>
      </c>
      <c r="C49" s="4">
        <v>0</v>
      </c>
      <c r="E49" s="4">
        <v>198454000</v>
      </c>
      <c r="G49" s="4">
        <v>0</v>
      </c>
      <c r="I49" s="4">
        <v>198454000</v>
      </c>
      <c r="K49" s="5">
        <v>3.3823693189284745E-4</v>
      </c>
      <c r="M49" s="4">
        <v>0</v>
      </c>
      <c r="O49" s="4">
        <v>568856038</v>
      </c>
      <c r="Q49" s="4">
        <v>0</v>
      </c>
      <c r="S49" s="4">
        <v>568856038</v>
      </c>
      <c r="U49" s="5">
        <v>4.6777895719805993E-4</v>
      </c>
    </row>
    <row r="50" spans="1:21" ht="18.75" x14ac:dyDescent="0.45">
      <c r="A50" s="12" t="s">
        <v>367</v>
      </c>
      <c r="C50" s="4">
        <v>0</v>
      </c>
      <c r="E50" s="4">
        <v>457306730</v>
      </c>
      <c r="G50" s="4">
        <v>0</v>
      </c>
      <c r="I50" s="4">
        <v>457306730</v>
      </c>
      <c r="K50" s="5">
        <v>7.7941500442999781E-4</v>
      </c>
      <c r="M50" s="4">
        <v>0</v>
      </c>
      <c r="O50" s="4">
        <v>8102684840</v>
      </c>
      <c r="Q50" s="4">
        <v>719609932</v>
      </c>
      <c r="S50" s="4">
        <v>8822294772</v>
      </c>
      <c r="U50" s="5">
        <v>7.2547069431652157E-3</v>
      </c>
    </row>
    <row r="51" spans="1:21" ht="18.75" x14ac:dyDescent="0.45">
      <c r="A51" s="12" t="s">
        <v>59</v>
      </c>
      <c r="C51" s="4">
        <v>0</v>
      </c>
      <c r="E51" s="4">
        <v>2871946906</v>
      </c>
      <c r="G51" s="4">
        <v>0</v>
      </c>
      <c r="I51" s="4">
        <v>2871946906</v>
      </c>
      <c r="K51" s="5">
        <v>4.8948295828987881E-3</v>
      </c>
      <c r="M51" s="4">
        <v>0</v>
      </c>
      <c r="O51" s="4">
        <v>2585383155</v>
      </c>
      <c r="Q51" s="4">
        <v>-501236029</v>
      </c>
      <c r="S51" s="4">
        <v>2084147126</v>
      </c>
      <c r="U51" s="5">
        <v>1.7138258260829316E-3</v>
      </c>
    </row>
    <row r="52" spans="1:21" ht="18.75" x14ac:dyDescent="0.45">
      <c r="A52" s="12" t="s">
        <v>60</v>
      </c>
      <c r="C52" s="4">
        <v>0</v>
      </c>
      <c r="E52" s="4">
        <v>7525766610</v>
      </c>
      <c r="G52" s="4">
        <v>1290322400</v>
      </c>
      <c r="I52" s="4">
        <v>8816089010</v>
      </c>
      <c r="K52" s="5">
        <v>1.5025783798949132E-2</v>
      </c>
      <c r="M52" s="4">
        <v>10632176000</v>
      </c>
      <c r="O52" s="4">
        <v>9180217349</v>
      </c>
      <c r="Q52" s="4">
        <v>-2095659966</v>
      </c>
      <c r="S52" s="4">
        <v>17716733383</v>
      </c>
      <c r="U52" s="5">
        <v>1.4568738860526601E-2</v>
      </c>
    </row>
    <row r="53" spans="1:21" ht="18.75" x14ac:dyDescent="0.45">
      <c r="A53" s="12" t="s">
        <v>61</v>
      </c>
      <c r="C53" s="4">
        <v>0</v>
      </c>
      <c r="E53" s="4">
        <v>1478371637</v>
      </c>
      <c r="G53" s="4">
        <v>231913542</v>
      </c>
      <c r="I53" s="4">
        <v>1710285179</v>
      </c>
      <c r="K53" s="5">
        <v>2.9149405484735478E-3</v>
      </c>
      <c r="M53" s="4">
        <v>600000000</v>
      </c>
      <c r="O53" s="4">
        <v>1051561295</v>
      </c>
      <c r="Q53" s="4">
        <v>68148055</v>
      </c>
      <c r="S53" s="4">
        <v>1719709350</v>
      </c>
      <c r="U53" s="5">
        <v>1.4141431094852042E-3</v>
      </c>
    </row>
    <row r="54" spans="1:21" ht="18.75" x14ac:dyDescent="0.45">
      <c r="A54" s="12" t="s">
        <v>62</v>
      </c>
      <c r="C54" s="4">
        <v>0</v>
      </c>
      <c r="E54" s="4">
        <v>423296583</v>
      </c>
      <c r="G54" s="4">
        <v>0</v>
      </c>
      <c r="I54" s="4">
        <v>423296583</v>
      </c>
      <c r="K54" s="5">
        <v>7.2144949214753072E-4</v>
      </c>
      <c r="M54" s="4">
        <v>0</v>
      </c>
      <c r="O54" s="4">
        <v>2400200918</v>
      </c>
      <c r="Q54" s="4">
        <v>0</v>
      </c>
      <c r="S54" s="4">
        <v>2400200918</v>
      </c>
      <c r="U54" s="5">
        <v>1.9737216580056169E-3</v>
      </c>
    </row>
    <row r="55" spans="1:21" ht="18.75" x14ac:dyDescent="0.45">
      <c r="A55" s="12" t="s">
        <v>63</v>
      </c>
      <c r="C55" s="4">
        <v>0</v>
      </c>
      <c r="E55" s="4">
        <v>8034599500</v>
      </c>
      <c r="G55" s="4">
        <v>438318663</v>
      </c>
      <c r="I55" s="4">
        <v>8472918163</v>
      </c>
      <c r="K55" s="5">
        <v>1.4440897354713442E-2</v>
      </c>
      <c r="M55" s="4">
        <v>3816783240</v>
      </c>
      <c r="O55" s="4">
        <v>2507303176</v>
      </c>
      <c r="Q55" s="4">
        <v>-591445574</v>
      </c>
      <c r="S55" s="4">
        <v>5732640842</v>
      </c>
      <c r="U55" s="5">
        <v>4.7140376051730826E-3</v>
      </c>
    </row>
    <row r="56" spans="1:21" ht="18.75" x14ac:dyDescent="0.45">
      <c r="A56" s="12" t="s">
        <v>64</v>
      </c>
      <c r="C56" s="4">
        <v>0</v>
      </c>
      <c r="E56" s="4">
        <v>2673399041</v>
      </c>
      <c r="G56" s="4">
        <v>531271409</v>
      </c>
      <c r="I56" s="4">
        <v>3204670450</v>
      </c>
      <c r="K56" s="5">
        <v>5.4619100685079202E-3</v>
      </c>
      <c r="M56" s="4">
        <v>0</v>
      </c>
      <c r="O56" s="4">
        <v>2890567829</v>
      </c>
      <c r="Q56" s="4">
        <v>531271409</v>
      </c>
      <c r="S56" s="4">
        <v>3421839238</v>
      </c>
      <c r="U56" s="5">
        <v>2.8138303604523644E-3</v>
      </c>
    </row>
    <row r="57" spans="1:21" ht="18.75" x14ac:dyDescent="0.45">
      <c r="A57" s="12" t="s">
        <v>65</v>
      </c>
      <c r="C57" s="4">
        <v>5072230055</v>
      </c>
      <c r="E57" s="4">
        <v>-1460413310</v>
      </c>
      <c r="G57" s="4">
        <v>5225504</v>
      </c>
      <c r="I57" s="4">
        <v>3617042249</v>
      </c>
      <c r="K57" s="5">
        <v>6.1647398028186117E-3</v>
      </c>
      <c r="M57" s="4">
        <v>5072230055</v>
      </c>
      <c r="O57" s="4">
        <v>-474596718</v>
      </c>
      <c r="Q57" s="4">
        <v>-3682097603</v>
      </c>
      <c r="S57" s="4">
        <v>915535734</v>
      </c>
      <c r="U57" s="5">
        <v>7.5285893498432089E-4</v>
      </c>
    </row>
    <row r="58" spans="1:21" ht="18.75" x14ac:dyDescent="0.45">
      <c r="A58" s="12" t="s">
        <v>66</v>
      </c>
      <c r="C58" s="4">
        <v>0</v>
      </c>
      <c r="E58" s="4">
        <v>4467647977</v>
      </c>
      <c r="G58" s="4">
        <v>0</v>
      </c>
      <c r="I58" s="4">
        <v>4467647977</v>
      </c>
      <c r="K58" s="5">
        <v>7.6144776347051042E-3</v>
      </c>
      <c r="M58" s="4">
        <v>544518100</v>
      </c>
      <c r="O58" s="4">
        <v>6523860514</v>
      </c>
      <c r="Q58" s="4">
        <v>13410883502</v>
      </c>
      <c r="S58" s="4">
        <v>20479262116</v>
      </c>
      <c r="U58" s="5">
        <v>1.6840408182163331E-2</v>
      </c>
    </row>
    <row r="59" spans="1:21" ht="18.75" x14ac:dyDescent="0.45">
      <c r="A59" s="12" t="s">
        <v>67</v>
      </c>
      <c r="C59" s="4">
        <v>0</v>
      </c>
      <c r="E59" s="4">
        <v>5153794498</v>
      </c>
      <c r="G59" s="4">
        <v>0</v>
      </c>
      <c r="I59" s="4">
        <v>5153794498</v>
      </c>
      <c r="K59" s="5">
        <v>8.7839178782476452E-3</v>
      </c>
      <c r="M59" s="4">
        <v>0</v>
      </c>
      <c r="O59" s="4">
        <v>8110187115</v>
      </c>
      <c r="Q59" s="4">
        <v>136538470</v>
      </c>
      <c r="S59" s="4">
        <v>8246725585</v>
      </c>
      <c r="U59" s="5">
        <v>6.7814076616162433E-3</v>
      </c>
    </row>
    <row r="60" spans="1:21" ht="18.75" x14ac:dyDescent="0.45">
      <c r="A60" s="12" t="s">
        <v>68</v>
      </c>
      <c r="C60" s="4">
        <v>0</v>
      </c>
      <c r="E60" s="4">
        <v>251002634</v>
      </c>
      <c r="G60" s="4">
        <v>0</v>
      </c>
      <c r="I60" s="4">
        <v>251002634</v>
      </c>
      <c r="K60" s="5">
        <v>4.2779868796387739E-4</v>
      </c>
      <c r="M60" s="4">
        <v>0</v>
      </c>
      <c r="O60" s="4">
        <v>520278307</v>
      </c>
      <c r="Q60" s="4">
        <v>0</v>
      </c>
      <c r="S60" s="4">
        <v>520278307</v>
      </c>
      <c r="U60" s="5">
        <v>4.2783275142318535E-4</v>
      </c>
    </row>
    <row r="61" spans="1:21" ht="18.75" x14ac:dyDescent="0.45">
      <c r="A61" s="12" t="s">
        <v>368</v>
      </c>
      <c r="C61" s="4">
        <v>0</v>
      </c>
      <c r="E61" s="4">
        <v>4327245130</v>
      </c>
      <c r="G61" s="4">
        <v>1802882643</v>
      </c>
      <c r="I61" s="4">
        <v>6130127773</v>
      </c>
      <c r="K61" s="5">
        <v>1.0447940631333476E-2</v>
      </c>
      <c r="M61" s="4">
        <v>0</v>
      </c>
      <c r="O61" s="4">
        <v>11905393236</v>
      </c>
      <c r="Q61" s="4">
        <v>2264892548</v>
      </c>
      <c r="S61" s="4">
        <v>14170285784</v>
      </c>
      <c r="U61" s="5">
        <v>1.1652441152849314E-2</v>
      </c>
    </row>
    <row r="62" spans="1:21" ht="18.75" x14ac:dyDescent="0.45">
      <c r="A62" s="12" t="s">
        <v>69</v>
      </c>
      <c r="C62" s="4">
        <v>0</v>
      </c>
      <c r="E62" s="4">
        <v>5442551330</v>
      </c>
      <c r="G62" s="4">
        <v>537044018</v>
      </c>
      <c r="I62" s="4">
        <v>5979595348</v>
      </c>
      <c r="K62" s="5">
        <v>1.0191379284208248E-2</v>
      </c>
      <c r="M62" s="4">
        <v>0</v>
      </c>
      <c r="O62" s="4">
        <v>9949177573</v>
      </c>
      <c r="Q62" s="4">
        <v>1285654318</v>
      </c>
      <c r="S62" s="4">
        <v>11234831891</v>
      </c>
      <c r="U62" s="5">
        <v>9.2385728465582146E-3</v>
      </c>
    </row>
    <row r="63" spans="1:21" ht="18.75" x14ac:dyDescent="0.45">
      <c r="A63" s="12" t="s">
        <v>70</v>
      </c>
      <c r="C63" s="4">
        <v>0</v>
      </c>
      <c r="E63" s="4">
        <v>7285667597</v>
      </c>
      <c r="G63" s="4">
        <v>3170137712</v>
      </c>
      <c r="I63" s="4">
        <v>10455805309</v>
      </c>
      <c r="K63" s="5">
        <v>1.7820449616460773E-2</v>
      </c>
      <c r="M63" s="4">
        <v>14908718125</v>
      </c>
      <c r="O63" s="4">
        <v>18232148050</v>
      </c>
      <c r="Q63" s="4">
        <v>8629508908</v>
      </c>
      <c r="S63" s="4">
        <v>41770375083</v>
      </c>
      <c r="U63" s="5">
        <v>3.4348413645734328E-2</v>
      </c>
    </row>
    <row r="64" spans="1:21" ht="18.75" x14ac:dyDescent="0.45">
      <c r="A64" s="12" t="s">
        <v>72</v>
      </c>
      <c r="C64" s="4">
        <v>0</v>
      </c>
      <c r="E64" s="4">
        <v>5825256014</v>
      </c>
      <c r="G64" s="4">
        <v>0</v>
      </c>
      <c r="I64" s="4">
        <v>5825256014</v>
      </c>
      <c r="K64" s="5">
        <v>9.9283295961064937E-3</v>
      </c>
      <c r="M64" s="4">
        <v>0</v>
      </c>
      <c r="O64" s="4">
        <v>6272303924</v>
      </c>
      <c r="Q64" s="4">
        <v>0</v>
      </c>
      <c r="S64" s="4">
        <v>6272303924</v>
      </c>
      <c r="U64" s="5">
        <v>5.157810751404944E-3</v>
      </c>
    </row>
    <row r="65" spans="1:21" ht="37.5" x14ac:dyDescent="0.45">
      <c r="A65" s="12" t="s">
        <v>73</v>
      </c>
      <c r="C65" s="4">
        <v>0</v>
      </c>
      <c r="E65" s="4">
        <v>2324309521</v>
      </c>
      <c r="G65" s="4">
        <v>0</v>
      </c>
      <c r="I65" s="4">
        <v>2324309521</v>
      </c>
      <c r="K65" s="5">
        <v>3.9614586813688513E-3</v>
      </c>
      <c r="M65" s="4">
        <v>293697600</v>
      </c>
      <c r="O65" s="4">
        <v>4192756705</v>
      </c>
      <c r="Q65" s="4">
        <v>909400292</v>
      </c>
      <c r="S65" s="4">
        <v>5395854597</v>
      </c>
      <c r="U65" s="5">
        <v>4.4370931623600313E-3</v>
      </c>
    </row>
    <row r="66" spans="1:21" ht="18.75" x14ac:dyDescent="0.45">
      <c r="A66" s="12" t="s">
        <v>74</v>
      </c>
      <c r="C66" s="4">
        <v>0</v>
      </c>
      <c r="E66" s="4">
        <v>1546853348</v>
      </c>
      <c r="G66" s="4">
        <v>0</v>
      </c>
      <c r="I66" s="4">
        <v>1546853348</v>
      </c>
      <c r="K66" s="5">
        <v>2.6363939780286571E-3</v>
      </c>
      <c r="M66" s="4">
        <v>0</v>
      </c>
      <c r="O66" s="4">
        <v>1546853348</v>
      </c>
      <c r="Q66" s="4">
        <v>0</v>
      </c>
      <c r="S66" s="4">
        <v>1546853348</v>
      </c>
      <c r="U66" s="5">
        <v>1.2720009945042857E-3</v>
      </c>
    </row>
    <row r="67" spans="1:21" ht="18.75" x14ac:dyDescent="0.45">
      <c r="A67" s="12" t="s">
        <v>75</v>
      </c>
      <c r="C67" s="4">
        <v>0</v>
      </c>
      <c r="E67" s="4">
        <v>4395853420</v>
      </c>
      <c r="G67" s="4">
        <v>-1198843058</v>
      </c>
      <c r="I67" s="4">
        <v>3197010362</v>
      </c>
      <c r="K67" s="5">
        <v>5.4488545258474085E-3</v>
      </c>
      <c r="M67" s="4">
        <v>3073492300</v>
      </c>
      <c r="O67" s="4">
        <v>-1364908799</v>
      </c>
      <c r="Q67" s="4">
        <v>-8985536930</v>
      </c>
      <c r="S67" s="4">
        <v>-7276953429</v>
      </c>
      <c r="U67" s="5">
        <v>-5.9839492933297586E-3</v>
      </c>
    </row>
    <row r="68" spans="1:21" ht="18.75" x14ac:dyDescent="0.45">
      <c r="A68" s="12" t="s">
        <v>76</v>
      </c>
      <c r="C68" s="4">
        <v>0</v>
      </c>
      <c r="E68" s="4">
        <v>6502814897</v>
      </c>
      <c r="G68" s="4">
        <v>-540085260</v>
      </c>
      <c r="I68" s="4">
        <v>5962729637</v>
      </c>
      <c r="K68" s="5">
        <v>1.0162634051847945E-2</v>
      </c>
      <c r="M68" s="4">
        <v>1113775480</v>
      </c>
      <c r="O68" s="4">
        <v>-3266255929</v>
      </c>
      <c r="Q68" s="4">
        <v>-8330722990</v>
      </c>
      <c r="S68" s="4">
        <v>-10483203439</v>
      </c>
      <c r="U68" s="5">
        <v>-8.620497358227102E-3</v>
      </c>
    </row>
    <row r="69" spans="1:21" ht="18.75" x14ac:dyDescent="0.45">
      <c r="A69" s="12" t="s">
        <v>77</v>
      </c>
      <c r="C69" s="4">
        <v>0</v>
      </c>
      <c r="E69" s="4">
        <v>1912781639</v>
      </c>
      <c r="G69" s="4">
        <v>0</v>
      </c>
      <c r="I69" s="4">
        <v>1912781639</v>
      </c>
      <c r="K69" s="5">
        <v>3.2600672848938908E-3</v>
      </c>
      <c r="M69" s="4">
        <v>4034657942</v>
      </c>
      <c r="O69" s="4">
        <v>-3786412172</v>
      </c>
      <c r="Q69" s="4">
        <v>-6029100038</v>
      </c>
      <c r="S69" s="4">
        <v>-5780854268</v>
      </c>
      <c r="U69" s="5">
        <v>-4.7536842374150809E-3</v>
      </c>
    </row>
    <row r="70" spans="1:21" ht="18.75" x14ac:dyDescent="0.45">
      <c r="A70" s="12" t="s">
        <v>78</v>
      </c>
      <c r="C70" s="4">
        <v>0</v>
      </c>
      <c r="E70" s="4">
        <v>2963873117</v>
      </c>
      <c r="G70" s="4">
        <v>1131305946</v>
      </c>
      <c r="I70" s="4">
        <v>4095179063</v>
      </c>
      <c r="K70" s="5">
        <v>6.9796567558272748E-3</v>
      </c>
      <c r="M70" s="4">
        <v>0</v>
      </c>
      <c r="O70" s="4">
        <v>7997563112</v>
      </c>
      <c r="Q70" s="4">
        <v>1270073080</v>
      </c>
      <c r="S70" s="4">
        <v>9267636192</v>
      </c>
      <c r="U70" s="5">
        <v>7.6209179546139561E-3</v>
      </c>
    </row>
    <row r="71" spans="1:21" ht="18.75" x14ac:dyDescent="0.45">
      <c r="A71" s="12" t="s">
        <v>79</v>
      </c>
      <c r="C71" s="4">
        <v>0</v>
      </c>
      <c r="E71" s="4">
        <v>-111630375</v>
      </c>
      <c r="G71" s="4">
        <v>0</v>
      </c>
      <c r="I71" s="4">
        <v>-111630375</v>
      </c>
      <c r="K71" s="5">
        <v>-1.902582741897267E-4</v>
      </c>
      <c r="M71" s="4">
        <v>0</v>
      </c>
      <c r="O71" s="4">
        <v>610473952</v>
      </c>
      <c r="Q71" s="4">
        <v>996775833</v>
      </c>
      <c r="S71" s="4">
        <v>1607249785</v>
      </c>
      <c r="U71" s="5">
        <v>1.3216659016707247E-3</v>
      </c>
    </row>
    <row r="72" spans="1:21" ht="18.75" x14ac:dyDescent="0.45">
      <c r="A72" s="12" t="s">
        <v>80</v>
      </c>
      <c r="C72" s="4">
        <v>0</v>
      </c>
      <c r="E72" s="4">
        <v>-318514799</v>
      </c>
      <c r="G72" s="4">
        <v>0</v>
      </c>
      <c r="I72" s="4">
        <v>-318514799</v>
      </c>
      <c r="K72" s="5">
        <v>-5.4286367811294805E-4</v>
      </c>
      <c r="M72" s="4">
        <v>0</v>
      </c>
      <c r="O72" s="4">
        <v>-318514799</v>
      </c>
      <c r="Q72" s="4">
        <v>0</v>
      </c>
      <c r="S72" s="4">
        <v>-318514799</v>
      </c>
      <c r="U72" s="5">
        <v>-2.6191955534516037E-4</v>
      </c>
    </row>
    <row r="73" spans="1:21" ht="18.75" x14ac:dyDescent="0.45">
      <c r="A73" s="12" t="s">
        <v>81</v>
      </c>
      <c r="C73" s="4">
        <v>0</v>
      </c>
      <c r="E73" s="4">
        <v>1727343616</v>
      </c>
      <c r="G73" s="4">
        <v>0</v>
      </c>
      <c r="I73" s="4">
        <v>1727343616</v>
      </c>
      <c r="K73" s="5">
        <v>2.9440142551953445E-3</v>
      </c>
      <c r="M73" s="4">
        <v>0</v>
      </c>
      <c r="O73" s="4">
        <v>4019002213</v>
      </c>
      <c r="Q73" s="4">
        <v>429738070</v>
      </c>
      <c r="S73" s="4">
        <v>4448740283</v>
      </c>
      <c r="U73" s="5">
        <v>3.6582666815725036E-3</v>
      </c>
    </row>
    <row r="74" spans="1:21" ht="18.75" x14ac:dyDescent="0.45">
      <c r="A74" s="12" t="s">
        <v>82</v>
      </c>
      <c r="C74" s="4">
        <v>0</v>
      </c>
      <c r="E74" s="4">
        <v>9693464872</v>
      </c>
      <c r="G74" s="4">
        <v>0</v>
      </c>
      <c r="I74" s="4">
        <v>9693464872</v>
      </c>
      <c r="K74" s="5">
        <v>1.6521147559214595E-2</v>
      </c>
      <c r="M74" s="4">
        <v>0</v>
      </c>
      <c r="O74" s="4">
        <v>18043529494</v>
      </c>
      <c r="Q74" s="4">
        <v>124525678</v>
      </c>
      <c r="S74" s="4">
        <v>18168055172</v>
      </c>
      <c r="U74" s="5">
        <v>1.4939867620206186E-2</v>
      </c>
    </row>
    <row r="75" spans="1:21" ht="18.75" x14ac:dyDescent="0.45">
      <c r="A75" s="12" t="s">
        <v>83</v>
      </c>
      <c r="C75" s="4">
        <v>0</v>
      </c>
      <c r="E75" s="4">
        <v>14673319049</v>
      </c>
      <c r="G75" s="4">
        <v>0</v>
      </c>
      <c r="I75" s="4">
        <v>14673319049</v>
      </c>
      <c r="K75" s="5">
        <v>2.5008608623754796E-2</v>
      </c>
      <c r="M75" s="4">
        <v>0</v>
      </c>
      <c r="O75" s="4">
        <v>16563502440</v>
      </c>
      <c r="Q75" s="4">
        <v>352329641</v>
      </c>
      <c r="S75" s="4">
        <v>16915832081</v>
      </c>
      <c r="U75" s="5">
        <v>1.3910145559512666E-2</v>
      </c>
    </row>
    <row r="76" spans="1:21" ht="37.5" x14ac:dyDescent="0.45">
      <c r="A76" s="12" t="s">
        <v>85</v>
      </c>
      <c r="C76" s="4">
        <v>0</v>
      </c>
      <c r="E76" s="4">
        <v>3274516842</v>
      </c>
      <c r="G76" s="4">
        <v>0</v>
      </c>
      <c r="I76" s="4">
        <v>3274516842</v>
      </c>
      <c r="K76" s="5">
        <v>5.5809534202864945E-3</v>
      </c>
      <c r="M76" s="4">
        <v>3268000000</v>
      </c>
      <c r="O76" s="4">
        <v>3197974088</v>
      </c>
      <c r="Q76" s="4">
        <v>-270854104</v>
      </c>
      <c r="S76" s="4">
        <v>6195119984</v>
      </c>
      <c r="U76" s="5">
        <v>5.0943412256307663E-3</v>
      </c>
    </row>
    <row r="77" spans="1:21" ht="18.75" x14ac:dyDescent="0.45">
      <c r="A77" s="12" t="s">
        <v>86</v>
      </c>
      <c r="C77" s="4">
        <v>0</v>
      </c>
      <c r="E77" s="4">
        <v>1230329756</v>
      </c>
      <c r="G77" s="4">
        <v>451819215</v>
      </c>
      <c r="I77" s="4">
        <v>1682148971</v>
      </c>
      <c r="K77" s="5">
        <v>2.8669863390899174E-3</v>
      </c>
      <c r="M77" s="4">
        <v>0</v>
      </c>
      <c r="O77" s="4">
        <v>994974846</v>
      </c>
      <c r="Q77" s="4">
        <v>466315425</v>
      </c>
      <c r="S77" s="4">
        <v>1461290271</v>
      </c>
      <c r="U77" s="5">
        <v>1.2016411771514858E-3</v>
      </c>
    </row>
    <row r="78" spans="1:21" ht="18.75" x14ac:dyDescent="0.45">
      <c r="A78" s="12" t="s">
        <v>88</v>
      </c>
      <c r="C78" s="4">
        <v>0</v>
      </c>
      <c r="E78" s="4">
        <v>6613352718</v>
      </c>
      <c r="G78" s="4">
        <v>0</v>
      </c>
      <c r="I78" s="4">
        <v>6613352718</v>
      </c>
      <c r="K78" s="5">
        <v>1.1271529588023138E-2</v>
      </c>
      <c r="M78" s="4">
        <v>0</v>
      </c>
      <c r="O78" s="4">
        <v>5466326996</v>
      </c>
      <c r="Q78" s="4">
        <v>418530122</v>
      </c>
      <c r="S78" s="4">
        <v>5884857118</v>
      </c>
      <c r="U78" s="5">
        <v>4.8392073600836425E-3</v>
      </c>
    </row>
    <row r="79" spans="1:21" ht="18.75" x14ac:dyDescent="0.45">
      <c r="A79" s="12" t="s">
        <v>89</v>
      </c>
      <c r="C79" s="4">
        <v>0</v>
      </c>
      <c r="E79" s="4">
        <v>2818239649</v>
      </c>
      <c r="G79" s="4">
        <v>2435483288</v>
      </c>
      <c r="I79" s="4">
        <v>5253722937</v>
      </c>
      <c r="K79" s="5">
        <v>8.9542318483172914E-3</v>
      </c>
      <c r="M79" s="4">
        <v>0</v>
      </c>
      <c r="O79" s="4">
        <v>5694965513</v>
      </c>
      <c r="Q79" s="4">
        <v>3709924913</v>
      </c>
      <c r="S79" s="4">
        <v>9404890426</v>
      </c>
      <c r="U79" s="5">
        <v>7.7337841952137241E-3</v>
      </c>
    </row>
    <row r="80" spans="1:21" ht="18.75" x14ac:dyDescent="0.45">
      <c r="A80" s="12" t="s">
        <v>90</v>
      </c>
      <c r="C80" s="4">
        <v>0</v>
      </c>
      <c r="E80" s="4">
        <v>6025493417</v>
      </c>
      <c r="G80" s="4">
        <v>747736129</v>
      </c>
      <c r="I80" s="4">
        <v>6773229546</v>
      </c>
      <c r="K80" s="5">
        <v>1.1544017155839763E-2</v>
      </c>
      <c r="M80" s="4">
        <v>2776303170</v>
      </c>
      <c r="O80" s="4">
        <v>6132568754</v>
      </c>
      <c r="Q80" s="4">
        <v>747736129</v>
      </c>
      <c r="S80" s="4">
        <v>9656608053</v>
      </c>
      <c r="U80" s="5">
        <v>7.9407754218172293E-3</v>
      </c>
    </row>
    <row r="81" spans="1:21" ht="18.75" x14ac:dyDescent="0.45">
      <c r="A81" s="12" t="s">
        <v>91</v>
      </c>
      <c r="C81" s="4">
        <v>0</v>
      </c>
      <c r="E81" s="4">
        <v>4396336715</v>
      </c>
      <c r="G81" s="4">
        <v>0</v>
      </c>
      <c r="I81" s="4">
        <v>4396336715</v>
      </c>
      <c r="K81" s="5">
        <v>7.4929376180348081E-3</v>
      </c>
      <c r="M81" s="4">
        <v>0</v>
      </c>
      <c r="O81" s="4">
        <v>5269761500</v>
      </c>
      <c r="Q81" s="4">
        <v>0</v>
      </c>
      <c r="S81" s="4">
        <v>5269761500</v>
      </c>
      <c r="U81" s="5">
        <v>4.3334048941790155E-3</v>
      </c>
    </row>
    <row r="82" spans="1:21" ht="18.75" x14ac:dyDescent="0.45">
      <c r="A82" s="12" t="s">
        <v>93</v>
      </c>
      <c r="C82" s="4">
        <v>0</v>
      </c>
      <c r="E82" s="4">
        <v>348286770</v>
      </c>
      <c r="G82" s="4">
        <v>0</v>
      </c>
      <c r="I82" s="4">
        <v>348286770</v>
      </c>
      <c r="K82" s="5">
        <v>5.9360581547194733E-4</v>
      </c>
      <c r="M82" s="4">
        <v>552500000</v>
      </c>
      <c r="O82" s="4">
        <v>-124293579</v>
      </c>
      <c r="Q82" s="4">
        <v>564732799</v>
      </c>
      <c r="S82" s="4">
        <v>992939220</v>
      </c>
      <c r="U82" s="5">
        <v>8.1650899676774633E-4</v>
      </c>
    </row>
    <row r="83" spans="1:21" ht="18.75" x14ac:dyDescent="0.45">
      <c r="A83" s="12" t="s">
        <v>95</v>
      </c>
      <c r="C83" s="4">
        <v>0</v>
      </c>
      <c r="E83" s="4">
        <v>5054127439</v>
      </c>
      <c r="G83" s="4">
        <v>456184793</v>
      </c>
      <c r="I83" s="4">
        <v>5510312232</v>
      </c>
      <c r="K83" s="5">
        <v>9.3915522142325597E-3</v>
      </c>
      <c r="M83" s="4">
        <v>0</v>
      </c>
      <c r="O83" s="4">
        <v>3996378900</v>
      </c>
      <c r="Q83" s="4">
        <v>479545167</v>
      </c>
      <c r="S83" s="4">
        <v>4475924067</v>
      </c>
      <c r="U83" s="5">
        <v>3.6806203198971044E-3</v>
      </c>
    </row>
    <row r="84" spans="1:21" ht="18.75" x14ac:dyDescent="0.45">
      <c r="A84" s="12" t="s">
        <v>96</v>
      </c>
      <c r="C84" s="4">
        <v>0</v>
      </c>
      <c r="E84" s="4">
        <v>13476138</v>
      </c>
      <c r="G84" s="4">
        <v>0</v>
      </c>
      <c r="I84" s="4">
        <v>13476138</v>
      </c>
      <c r="K84" s="5">
        <v>2.2968181900514041E-5</v>
      </c>
      <c r="M84" s="4">
        <v>1450000000</v>
      </c>
      <c r="O84" s="4">
        <v>2946776271</v>
      </c>
      <c r="Q84" s="4">
        <v>211040316</v>
      </c>
      <c r="S84" s="4">
        <v>4607816587</v>
      </c>
      <c r="U84" s="5">
        <v>3.7890775416657943E-3</v>
      </c>
    </row>
    <row r="85" spans="1:21" ht="18.75" x14ac:dyDescent="0.45">
      <c r="A85" s="12" t="s">
        <v>97</v>
      </c>
      <c r="C85" s="4">
        <v>0</v>
      </c>
      <c r="E85" s="4">
        <v>526322086</v>
      </c>
      <c r="G85" s="4">
        <v>0</v>
      </c>
      <c r="I85" s="4">
        <v>526322086</v>
      </c>
      <c r="K85" s="5">
        <v>8.9704197222572192E-4</v>
      </c>
      <c r="M85" s="4">
        <v>0</v>
      </c>
      <c r="O85" s="4">
        <v>2210305160</v>
      </c>
      <c r="Q85" s="4">
        <v>0</v>
      </c>
      <c r="S85" s="4">
        <v>2210305160</v>
      </c>
      <c r="U85" s="5">
        <v>1.8175674929450094E-3</v>
      </c>
    </row>
    <row r="86" spans="1:21" ht="18.75" x14ac:dyDescent="0.45">
      <c r="A86" s="12" t="s">
        <v>98</v>
      </c>
      <c r="C86" s="4">
        <v>0</v>
      </c>
      <c r="E86" s="4">
        <v>5512060405</v>
      </c>
      <c r="G86" s="4">
        <v>530318456</v>
      </c>
      <c r="I86" s="4">
        <v>6042378861</v>
      </c>
      <c r="K86" s="5">
        <v>1.0298384952073721E-2</v>
      </c>
      <c r="M86" s="4">
        <v>5807092200</v>
      </c>
      <c r="O86" s="4">
        <v>9275076005</v>
      </c>
      <c r="Q86" s="4">
        <v>9929500208</v>
      </c>
      <c r="S86" s="4">
        <v>25011668413</v>
      </c>
      <c r="U86" s="5">
        <v>2.0567474697379927E-2</v>
      </c>
    </row>
    <row r="87" spans="1:21" ht="18.75" x14ac:dyDescent="0.45">
      <c r="A87" s="12" t="s">
        <v>99</v>
      </c>
      <c r="C87" s="4">
        <v>0</v>
      </c>
      <c r="E87" s="4">
        <v>-133128116</v>
      </c>
      <c r="G87" s="4">
        <v>2913517104</v>
      </c>
      <c r="I87" s="4">
        <v>2780388988</v>
      </c>
      <c r="K87" s="5">
        <v>4.7387819886209352E-3</v>
      </c>
      <c r="M87" s="4">
        <v>0</v>
      </c>
      <c r="O87" s="4">
        <v>6546430448</v>
      </c>
      <c r="Q87" s="4">
        <v>3093732407</v>
      </c>
      <c r="S87" s="4">
        <v>9640162855</v>
      </c>
      <c r="U87" s="5">
        <v>7.9272522858083328E-3</v>
      </c>
    </row>
    <row r="88" spans="1:21" ht="18.75" x14ac:dyDescent="0.45">
      <c r="A88" s="12" t="s">
        <v>100</v>
      </c>
      <c r="C88" s="4">
        <v>0</v>
      </c>
      <c r="E88" s="4">
        <v>2709074311</v>
      </c>
      <c r="G88" s="4">
        <v>0</v>
      </c>
      <c r="I88" s="4">
        <v>2709074311</v>
      </c>
      <c r="K88" s="5">
        <v>4.6172361515634339E-3</v>
      </c>
      <c r="M88" s="4">
        <v>0</v>
      </c>
      <c r="O88" s="4">
        <v>2088817751</v>
      </c>
      <c r="Q88" s="4">
        <v>-148993256</v>
      </c>
      <c r="S88" s="4">
        <v>1939824495</v>
      </c>
      <c r="U88" s="5">
        <v>1.5951471353079902E-3</v>
      </c>
    </row>
    <row r="89" spans="1:21" ht="18.75" x14ac:dyDescent="0.45">
      <c r="A89" s="12" t="s">
        <v>101</v>
      </c>
      <c r="C89" s="4">
        <v>0</v>
      </c>
      <c r="E89" s="4">
        <v>1711665750</v>
      </c>
      <c r="G89" s="4">
        <v>0</v>
      </c>
      <c r="I89" s="4">
        <v>1711665750</v>
      </c>
      <c r="K89" s="5">
        <v>2.9172935375758094E-3</v>
      </c>
      <c r="M89" s="4">
        <v>6240576192</v>
      </c>
      <c r="O89" s="4">
        <v>1282821007</v>
      </c>
      <c r="Q89" s="4">
        <v>-153979607</v>
      </c>
      <c r="S89" s="4">
        <v>7369417592</v>
      </c>
      <c r="U89" s="5">
        <v>6.0599839784820884E-3</v>
      </c>
    </row>
    <row r="90" spans="1:21" ht="18.75" x14ac:dyDescent="0.45">
      <c r="A90" s="12" t="s">
        <v>102</v>
      </c>
      <c r="C90" s="4">
        <v>2642052540</v>
      </c>
      <c r="E90" s="4">
        <v>-2915247908</v>
      </c>
      <c r="G90" s="4">
        <v>0</v>
      </c>
      <c r="I90" s="4">
        <v>-273195368</v>
      </c>
      <c r="K90" s="5">
        <v>-4.6562308182076151E-4</v>
      </c>
      <c r="M90" s="4">
        <v>2642052540</v>
      </c>
      <c r="O90" s="4">
        <v>3829791988</v>
      </c>
      <c r="Q90" s="4">
        <v>23005557539</v>
      </c>
      <c r="S90" s="4">
        <v>29477402067</v>
      </c>
      <c r="U90" s="5">
        <v>2.4239715285942338E-2</v>
      </c>
    </row>
    <row r="91" spans="1:21" ht="18.75" x14ac:dyDescent="0.45">
      <c r="A91" s="12" t="s">
        <v>103</v>
      </c>
      <c r="C91" s="4">
        <v>0</v>
      </c>
      <c r="E91" s="4">
        <v>344762088</v>
      </c>
      <c r="G91" s="4">
        <v>0</v>
      </c>
      <c r="I91" s="4">
        <v>344762088</v>
      </c>
      <c r="K91" s="5">
        <v>5.87598490723754E-4</v>
      </c>
      <c r="M91" s="4">
        <v>0</v>
      </c>
      <c r="O91" s="4">
        <v>1419830895</v>
      </c>
      <c r="Q91" s="4">
        <v>627471740</v>
      </c>
      <c r="S91" s="4">
        <v>2047302635</v>
      </c>
      <c r="U91" s="5">
        <v>1.68352804171016E-3</v>
      </c>
    </row>
    <row r="92" spans="1:21" ht="18.75" x14ac:dyDescent="0.45">
      <c r="A92" s="12" t="s">
        <v>104</v>
      </c>
      <c r="C92" s="4">
        <v>0</v>
      </c>
      <c r="E92" s="4">
        <v>301605745</v>
      </c>
      <c r="G92" s="4">
        <v>0</v>
      </c>
      <c r="I92" s="4">
        <v>301605745</v>
      </c>
      <c r="K92" s="5">
        <v>5.1404457370502247E-4</v>
      </c>
      <c r="M92" s="4">
        <v>0</v>
      </c>
      <c r="O92" s="4">
        <v>2392718588</v>
      </c>
      <c r="Q92" s="4">
        <v>0</v>
      </c>
      <c r="S92" s="4">
        <v>2392718588</v>
      </c>
      <c r="U92" s="5">
        <v>1.9675688244396457E-3</v>
      </c>
    </row>
    <row r="93" spans="1:21" ht="18.75" x14ac:dyDescent="0.45">
      <c r="A93" s="12" t="s">
        <v>105</v>
      </c>
      <c r="C93" s="4">
        <v>0</v>
      </c>
      <c r="E93" s="4">
        <v>1903138415</v>
      </c>
      <c r="G93" s="4">
        <v>0</v>
      </c>
      <c r="I93" s="4">
        <v>1903138415</v>
      </c>
      <c r="K93" s="5">
        <v>3.2436317658349877E-3</v>
      </c>
      <c r="M93" s="4">
        <v>0</v>
      </c>
      <c r="O93" s="4">
        <v>966996046</v>
      </c>
      <c r="Q93" s="4">
        <v>-197515434</v>
      </c>
      <c r="S93" s="4">
        <v>769480612</v>
      </c>
      <c r="U93" s="5">
        <v>6.3275559055503069E-4</v>
      </c>
    </row>
    <row r="94" spans="1:21" ht="18.75" x14ac:dyDescent="0.45">
      <c r="A94" s="12" t="s">
        <v>106</v>
      </c>
      <c r="C94" s="4">
        <v>0</v>
      </c>
      <c r="E94" s="4">
        <v>637890196</v>
      </c>
      <c r="G94" s="4">
        <v>0</v>
      </c>
      <c r="I94" s="4">
        <v>637890196</v>
      </c>
      <c r="K94" s="5">
        <v>1.0871941244800665E-3</v>
      </c>
      <c r="M94" s="4">
        <v>0</v>
      </c>
      <c r="O94" s="4">
        <v>2616831669</v>
      </c>
      <c r="Q94" s="4">
        <v>0</v>
      </c>
      <c r="S94" s="4">
        <v>2616831669</v>
      </c>
      <c r="U94" s="5">
        <v>2.1518604137373658E-3</v>
      </c>
    </row>
    <row r="95" spans="1:21" ht="18.75" x14ac:dyDescent="0.45">
      <c r="A95" s="12" t="s">
        <v>107</v>
      </c>
      <c r="C95" s="4">
        <v>0</v>
      </c>
      <c r="E95" s="4">
        <v>878356303</v>
      </c>
      <c r="G95" s="4">
        <v>0</v>
      </c>
      <c r="I95" s="4">
        <v>878356303</v>
      </c>
      <c r="K95" s="5">
        <v>1.4970347840580905E-3</v>
      </c>
      <c r="M95" s="4">
        <v>0</v>
      </c>
      <c r="O95" s="4">
        <v>2744624766</v>
      </c>
      <c r="Q95" s="4">
        <v>40472544</v>
      </c>
      <c r="S95" s="4">
        <v>2785097310</v>
      </c>
      <c r="U95" s="5">
        <v>2.2902278051708433E-3</v>
      </c>
    </row>
    <row r="96" spans="1:21" ht="18.75" x14ac:dyDescent="0.45">
      <c r="A96" s="12" t="s">
        <v>108</v>
      </c>
      <c r="C96" s="4">
        <v>0</v>
      </c>
      <c r="E96" s="4">
        <v>1403101195</v>
      </c>
      <c r="G96" s="4">
        <v>0</v>
      </c>
      <c r="I96" s="4">
        <v>1403101195</v>
      </c>
      <c r="K96" s="5">
        <v>2.391388650931641E-3</v>
      </c>
      <c r="M96" s="4">
        <v>0</v>
      </c>
      <c r="O96" s="4">
        <v>8591511899</v>
      </c>
      <c r="Q96" s="4">
        <v>0</v>
      </c>
      <c r="S96" s="4">
        <v>8591511899</v>
      </c>
      <c r="U96" s="5">
        <v>7.0649306826359882E-3</v>
      </c>
    </row>
    <row r="97" spans="1:21" ht="18.75" x14ac:dyDescent="0.45">
      <c r="A97" s="12" t="s">
        <v>109</v>
      </c>
      <c r="C97" s="4">
        <v>0</v>
      </c>
      <c r="E97" s="4">
        <v>575846232</v>
      </c>
      <c r="G97" s="4">
        <v>0</v>
      </c>
      <c r="I97" s="4">
        <v>575846232</v>
      </c>
      <c r="K97" s="5">
        <v>9.81448913872922E-4</v>
      </c>
      <c r="M97" s="4">
        <v>0</v>
      </c>
      <c r="O97" s="4">
        <v>2099670944</v>
      </c>
      <c r="Q97" s="4">
        <v>0</v>
      </c>
      <c r="S97" s="4">
        <v>2099670944</v>
      </c>
      <c r="U97" s="5">
        <v>1.7265912973281757E-3</v>
      </c>
    </row>
    <row r="98" spans="1:21" ht="18.75" x14ac:dyDescent="0.45">
      <c r="A98" s="12" t="s">
        <v>110</v>
      </c>
      <c r="C98" s="4">
        <v>0</v>
      </c>
      <c r="E98" s="4">
        <v>322065837</v>
      </c>
      <c r="G98" s="4">
        <v>0</v>
      </c>
      <c r="I98" s="4">
        <v>322065837</v>
      </c>
      <c r="K98" s="5">
        <v>5.4891592295636224E-4</v>
      </c>
      <c r="M98" s="4">
        <v>0</v>
      </c>
      <c r="O98" s="4">
        <v>353221395</v>
      </c>
      <c r="Q98" s="4">
        <v>0</v>
      </c>
      <c r="S98" s="4">
        <v>353221395</v>
      </c>
      <c r="U98" s="5">
        <v>2.9045931619898536E-4</v>
      </c>
    </row>
    <row r="99" spans="1:21" ht="18.75" x14ac:dyDescent="0.45">
      <c r="A99" s="12" t="s">
        <v>111</v>
      </c>
      <c r="C99" s="4">
        <v>0</v>
      </c>
      <c r="E99" s="4">
        <v>527163387</v>
      </c>
      <c r="G99" s="4">
        <v>1305359559</v>
      </c>
      <c r="I99" s="4">
        <v>1832522946</v>
      </c>
      <c r="K99" s="5">
        <v>3.1232776304749828E-3</v>
      </c>
      <c r="M99" s="4">
        <v>0</v>
      </c>
      <c r="O99" s="4">
        <v>4405108576</v>
      </c>
      <c r="Q99" s="4">
        <v>1737690281</v>
      </c>
      <c r="S99" s="4">
        <v>6142798857</v>
      </c>
      <c r="U99" s="5">
        <v>5.0513167684877319E-3</v>
      </c>
    </row>
    <row r="100" spans="1:21" ht="18.75" x14ac:dyDescent="0.45">
      <c r="A100" s="12" t="s">
        <v>112</v>
      </c>
      <c r="C100" s="4">
        <v>0</v>
      </c>
      <c r="E100" s="4">
        <v>2915840865</v>
      </c>
      <c r="G100" s="4">
        <v>0</v>
      </c>
      <c r="I100" s="4">
        <v>2915840865</v>
      </c>
      <c r="K100" s="5">
        <v>4.9696406626492107E-3</v>
      </c>
      <c r="M100" s="4">
        <v>0</v>
      </c>
      <c r="O100" s="4">
        <v>6276509422</v>
      </c>
      <c r="Q100" s="4">
        <v>1014936865</v>
      </c>
      <c r="S100" s="4">
        <v>7291446287</v>
      </c>
      <c r="U100" s="5">
        <v>5.9958669905135573E-3</v>
      </c>
    </row>
    <row r="101" spans="1:21" ht="18.75" x14ac:dyDescent="0.45">
      <c r="A101" s="12" t="s">
        <v>113</v>
      </c>
      <c r="C101" s="4">
        <v>0</v>
      </c>
      <c r="E101" s="4">
        <v>1687350763</v>
      </c>
      <c r="G101" s="4">
        <v>445423398</v>
      </c>
      <c r="I101" s="4">
        <v>2132774161</v>
      </c>
      <c r="K101" s="5">
        <v>3.6350135982997668E-3</v>
      </c>
      <c r="M101" s="4">
        <v>0</v>
      </c>
      <c r="O101" s="4">
        <v>3387196335</v>
      </c>
      <c r="Q101" s="4">
        <v>445423398</v>
      </c>
      <c r="S101" s="4">
        <v>3832619733</v>
      </c>
      <c r="U101" s="5">
        <v>3.1516213985223569E-3</v>
      </c>
    </row>
    <row r="102" spans="1:21" ht="37.5" x14ac:dyDescent="0.45">
      <c r="A102" s="12" t="s">
        <v>369</v>
      </c>
      <c r="C102" s="4">
        <v>0</v>
      </c>
      <c r="E102" s="4">
        <v>789227811</v>
      </c>
      <c r="G102" s="4">
        <v>1346534913</v>
      </c>
      <c r="I102" s="4">
        <v>2135762724</v>
      </c>
      <c r="K102" s="5">
        <v>3.640107183613686E-3</v>
      </c>
      <c r="M102" s="4">
        <v>0</v>
      </c>
      <c r="O102" s="4">
        <v>3518244044</v>
      </c>
      <c r="Q102" s="4">
        <v>3973131408</v>
      </c>
      <c r="S102" s="4">
        <v>7491375452</v>
      </c>
      <c r="U102" s="5">
        <v>6.1602717784911779E-3</v>
      </c>
    </row>
    <row r="103" spans="1:21" ht="37.5" x14ac:dyDescent="0.45">
      <c r="A103" s="12" t="s">
        <v>370</v>
      </c>
      <c r="C103" s="4">
        <v>0</v>
      </c>
      <c r="E103" s="4">
        <v>3303973773</v>
      </c>
      <c r="G103" s="4">
        <v>0</v>
      </c>
      <c r="I103" s="4">
        <v>3303973773</v>
      </c>
      <c r="K103" s="5">
        <v>5.6311586162735711E-3</v>
      </c>
      <c r="M103" s="4">
        <v>0</v>
      </c>
      <c r="O103" s="4">
        <v>4712726175</v>
      </c>
      <c r="Q103" s="4">
        <v>154108183</v>
      </c>
      <c r="S103" s="4">
        <v>4866834358</v>
      </c>
      <c r="U103" s="5">
        <v>4.0020717875212733E-3</v>
      </c>
    </row>
    <row r="104" spans="1:21" ht="18.75" x14ac:dyDescent="0.45">
      <c r="A104" s="12" t="s">
        <v>371</v>
      </c>
      <c r="C104" s="4">
        <v>0</v>
      </c>
      <c r="E104" s="4">
        <v>46817703</v>
      </c>
      <c r="G104" s="4">
        <v>0</v>
      </c>
      <c r="I104" s="4">
        <v>46817703</v>
      </c>
      <c r="K104" s="5">
        <v>7.9794190195161407E-5</v>
      </c>
      <c r="M104" s="4">
        <v>0</v>
      </c>
      <c r="O104" s="4">
        <v>46817703</v>
      </c>
      <c r="Q104" s="4">
        <v>0</v>
      </c>
      <c r="S104" s="4">
        <v>46817703</v>
      </c>
      <c r="U104" s="5">
        <v>3.8498908027321461E-5</v>
      </c>
    </row>
    <row r="105" spans="1:21" ht="18.75" x14ac:dyDescent="0.45">
      <c r="A105" s="12" t="s">
        <v>372</v>
      </c>
      <c r="C105" s="4">
        <v>0</v>
      </c>
      <c r="E105" s="4">
        <v>3651744989</v>
      </c>
      <c r="G105" s="4">
        <v>0</v>
      </c>
      <c r="I105" s="4">
        <v>3651744989</v>
      </c>
      <c r="K105" s="5">
        <v>6.2238857424614267E-3</v>
      </c>
      <c r="M105" s="4">
        <v>0</v>
      </c>
      <c r="O105" s="4">
        <v>10083874834</v>
      </c>
      <c r="Q105" s="4">
        <v>0</v>
      </c>
      <c r="S105" s="4">
        <v>10083874834</v>
      </c>
      <c r="U105" s="5">
        <v>8.2921233831823715E-3</v>
      </c>
    </row>
    <row r="106" spans="1:21" ht="18.75" x14ac:dyDescent="0.45">
      <c r="A106" s="12" t="s">
        <v>115</v>
      </c>
      <c r="C106" s="4">
        <v>0</v>
      </c>
      <c r="E106" s="4">
        <v>3396322367</v>
      </c>
      <c r="G106" s="4">
        <v>0</v>
      </c>
      <c r="I106" s="4">
        <v>3396322367</v>
      </c>
      <c r="K106" s="5">
        <v>5.788553806590613E-3</v>
      </c>
      <c r="M106" s="4">
        <v>0</v>
      </c>
      <c r="O106" s="4">
        <v>5071232908</v>
      </c>
      <c r="Q106" s="4">
        <v>0</v>
      </c>
      <c r="S106" s="4">
        <v>5071232908</v>
      </c>
      <c r="U106" s="5">
        <v>4.1701518186447115E-3</v>
      </c>
    </row>
    <row r="107" spans="1:21" ht="18.75" x14ac:dyDescent="0.45">
      <c r="A107" s="12" t="s">
        <v>116</v>
      </c>
      <c r="C107" s="4">
        <v>0</v>
      </c>
      <c r="E107" s="4">
        <v>1432143741</v>
      </c>
      <c r="G107" s="4">
        <v>0</v>
      </c>
      <c r="I107" s="4">
        <v>1432143741</v>
      </c>
      <c r="K107" s="5">
        <v>2.4408875859664447E-3</v>
      </c>
      <c r="M107" s="4">
        <v>0</v>
      </c>
      <c r="O107" s="4">
        <v>2767102470</v>
      </c>
      <c r="Q107" s="4">
        <v>0</v>
      </c>
      <c r="S107" s="4">
        <v>2767102470</v>
      </c>
      <c r="U107" s="5">
        <v>2.2754303750165627E-3</v>
      </c>
    </row>
    <row r="108" spans="1:21" ht="18.75" x14ac:dyDescent="0.45">
      <c r="A108" s="12" t="s">
        <v>117</v>
      </c>
      <c r="C108" s="4">
        <v>0</v>
      </c>
      <c r="E108" s="4">
        <v>5748544015</v>
      </c>
      <c r="G108" s="4">
        <v>905331007</v>
      </c>
      <c r="I108" s="4">
        <v>6653875022</v>
      </c>
      <c r="K108" s="5">
        <v>1.1340594156024736E-2</v>
      </c>
      <c r="M108" s="4">
        <v>0</v>
      </c>
      <c r="O108" s="4">
        <v>7932659588</v>
      </c>
      <c r="Q108" s="4">
        <v>1092719407</v>
      </c>
      <c r="S108" s="4">
        <v>9025378995</v>
      </c>
      <c r="U108" s="5">
        <v>7.4217061832406433E-3</v>
      </c>
    </row>
    <row r="109" spans="1:21" ht="18.75" x14ac:dyDescent="0.45">
      <c r="A109" s="12" t="s">
        <v>373</v>
      </c>
      <c r="C109" s="4">
        <v>0</v>
      </c>
      <c r="E109" s="4">
        <v>1481278173</v>
      </c>
      <c r="G109" s="4">
        <v>0</v>
      </c>
      <c r="I109" s="4">
        <v>1481278173</v>
      </c>
      <c r="K109" s="5">
        <v>2.5246303149110754E-3</v>
      </c>
      <c r="M109" s="4">
        <v>94482130</v>
      </c>
      <c r="O109" s="4">
        <v>-687659839</v>
      </c>
      <c r="Q109" s="4">
        <v>0</v>
      </c>
      <c r="S109" s="4">
        <v>-593177709</v>
      </c>
      <c r="U109" s="5">
        <v>-4.8777903654624518E-4</v>
      </c>
    </row>
    <row r="110" spans="1:21" ht="18.75" x14ac:dyDescent="0.45">
      <c r="A110" s="12" t="s">
        <v>118</v>
      </c>
      <c r="C110" s="4">
        <v>0</v>
      </c>
      <c r="E110" s="4">
        <v>1702666271</v>
      </c>
      <c r="G110" s="4">
        <v>58798352</v>
      </c>
      <c r="I110" s="4">
        <v>1761464623</v>
      </c>
      <c r="K110" s="5">
        <v>3.0021687127561613E-3</v>
      </c>
      <c r="M110" s="4">
        <v>1650000000</v>
      </c>
      <c r="O110" s="4">
        <v>2566737831</v>
      </c>
      <c r="Q110" s="4">
        <v>1009367705</v>
      </c>
      <c r="S110" s="4">
        <v>5226105536</v>
      </c>
      <c r="U110" s="5">
        <v>4.2975059321372416E-3</v>
      </c>
    </row>
    <row r="111" spans="1:21" ht="18.75" x14ac:dyDescent="0.45">
      <c r="A111" s="12" t="s">
        <v>119</v>
      </c>
      <c r="C111" s="4">
        <v>0</v>
      </c>
      <c r="E111" s="4">
        <v>3311605867</v>
      </c>
      <c r="G111" s="4">
        <v>0</v>
      </c>
      <c r="I111" s="4">
        <v>3311605867</v>
      </c>
      <c r="K111" s="5">
        <v>5.6441664470982351E-3</v>
      </c>
      <c r="M111" s="4">
        <v>883388000</v>
      </c>
      <c r="O111" s="4">
        <v>4437501272</v>
      </c>
      <c r="Q111" s="4">
        <v>-21602322</v>
      </c>
      <c r="S111" s="4">
        <v>5299286950</v>
      </c>
      <c r="U111" s="5">
        <v>4.3576841200097935E-3</v>
      </c>
    </row>
    <row r="112" spans="1:21" ht="18.75" x14ac:dyDescent="0.45">
      <c r="A112" s="12" t="s">
        <v>121</v>
      </c>
      <c r="C112" s="4">
        <v>0</v>
      </c>
      <c r="E112" s="4">
        <v>287753696</v>
      </c>
      <c r="G112" s="4">
        <v>0</v>
      </c>
      <c r="I112" s="4">
        <v>287753696</v>
      </c>
      <c r="K112" s="5">
        <v>4.9043570437414788E-4</v>
      </c>
      <c r="M112" s="4">
        <v>29499528</v>
      </c>
      <c r="O112" s="4">
        <v>433490214</v>
      </c>
      <c r="Q112" s="4">
        <v>0</v>
      </c>
      <c r="S112" s="4">
        <v>462989742</v>
      </c>
      <c r="U112" s="5">
        <v>3.8072349459031111E-4</v>
      </c>
    </row>
    <row r="113" spans="1:21" ht="18.75" x14ac:dyDescent="0.45">
      <c r="A113" s="12" t="s">
        <v>122</v>
      </c>
      <c r="C113" s="4">
        <v>0</v>
      </c>
      <c r="E113" s="4">
        <v>-444254228</v>
      </c>
      <c r="G113" s="4">
        <v>0</v>
      </c>
      <c r="I113" s="4">
        <v>-444254228</v>
      </c>
      <c r="K113" s="5">
        <v>-7.5716885051017131E-4</v>
      </c>
      <c r="M113" s="4">
        <v>0</v>
      </c>
      <c r="O113" s="4">
        <v>-444254228</v>
      </c>
      <c r="Q113" s="4">
        <v>0</v>
      </c>
      <c r="S113" s="4">
        <v>-444254228</v>
      </c>
      <c r="U113" s="5">
        <v>-3.653169969599042E-4</v>
      </c>
    </row>
    <row r="114" spans="1:21" ht="18.75" x14ac:dyDescent="0.45">
      <c r="A114" s="12" t="s">
        <v>123</v>
      </c>
      <c r="C114" s="4">
        <v>0</v>
      </c>
      <c r="E114" s="4">
        <v>1575848794</v>
      </c>
      <c r="G114" s="4">
        <v>0</v>
      </c>
      <c r="I114" s="4">
        <v>1575848794</v>
      </c>
      <c r="K114" s="5">
        <v>2.6858126377377316E-3</v>
      </c>
      <c r="M114" s="4">
        <v>1080000000</v>
      </c>
      <c r="O114" s="4">
        <v>1960189069</v>
      </c>
      <c r="Q114" s="4">
        <v>306487125</v>
      </c>
      <c r="S114" s="4">
        <v>3346676194</v>
      </c>
      <c r="U114" s="5">
        <v>2.7520226481429948E-3</v>
      </c>
    </row>
    <row r="115" spans="1:21" ht="18.75" x14ac:dyDescent="0.45">
      <c r="A115" s="12" t="s">
        <v>124</v>
      </c>
      <c r="C115" s="4">
        <v>0</v>
      </c>
      <c r="E115" s="4">
        <v>5902022</v>
      </c>
      <c r="G115" s="4">
        <v>0</v>
      </c>
      <c r="I115" s="4">
        <v>5902022</v>
      </c>
      <c r="K115" s="5">
        <v>1.0059166422667657E-5</v>
      </c>
      <c r="M115" s="4">
        <v>0</v>
      </c>
      <c r="O115" s="4">
        <v>252447668</v>
      </c>
      <c r="Q115" s="4">
        <v>0</v>
      </c>
      <c r="S115" s="4">
        <v>252447668</v>
      </c>
      <c r="U115" s="5">
        <v>2.0759155040228657E-4</v>
      </c>
    </row>
    <row r="116" spans="1:21" ht="18.75" x14ac:dyDescent="0.45">
      <c r="A116" s="12" t="s">
        <v>125</v>
      </c>
      <c r="C116" s="4">
        <v>0</v>
      </c>
      <c r="E116" s="4">
        <v>4633835360</v>
      </c>
      <c r="G116" s="4">
        <v>0</v>
      </c>
      <c r="I116" s="4">
        <v>4633835360</v>
      </c>
      <c r="K116" s="5">
        <v>7.8977206559857106E-3</v>
      </c>
      <c r="M116" s="4">
        <v>0</v>
      </c>
      <c r="O116" s="4">
        <v>7188657998</v>
      </c>
      <c r="Q116" s="4">
        <v>0</v>
      </c>
      <c r="S116" s="4">
        <v>7188657998</v>
      </c>
      <c r="U116" s="5">
        <v>5.9113426197964225E-3</v>
      </c>
    </row>
    <row r="117" spans="1:21" ht="18.75" x14ac:dyDescent="0.45">
      <c r="A117" s="12" t="s">
        <v>126</v>
      </c>
      <c r="C117" s="4">
        <v>0</v>
      </c>
      <c r="E117" s="4">
        <v>2519483156</v>
      </c>
      <c r="G117" s="4">
        <v>0</v>
      </c>
      <c r="I117" s="4">
        <v>2519483156</v>
      </c>
      <c r="K117" s="5">
        <v>4.2941046924786013E-3</v>
      </c>
      <c r="M117" s="4">
        <v>0</v>
      </c>
      <c r="O117" s="4">
        <v>7126350759</v>
      </c>
      <c r="Q117" s="4">
        <v>0</v>
      </c>
      <c r="S117" s="4">
        <v>7126350759</v>
      </c>
      <c r="U117" s="5">
        <v>5.8601064311329734E-3</v>
      </c>
    </row>
    <row r="118" spans="1:21" ht="18.75" x14ac:dyDescent="0.45">
      <c r="A118" s="12" t="s">
        <v>127</v>
      </c>
      <c r="C118" s="4">
        <v>0</v>
      </c>
      <c r="E118" s="4">
        <v>3664931704</v>
      </c>
      <c r="G118" s="4">
        <v>-240228882</v>
      </c>
      <c r="I118" s="4">
        <v>3424702822</v>
      </c>
      <c r="K118" s="5">
        <v>5.8369243006341854E-3</v>
      </c>
      <c r="M118" s="4">
        <v>6902065990</v>
      </c>
      <c r="O118" s="4">
        <v>-2335138484</v>
      </c>
      <c r="Q118" s="4">
        <v>-19470583658</v>
      </c>
      <c r="S118" s="4">
        <v>-14903656152</v>
      </c>
      <c r="U118" s="5">
        <v>-1.2255502741488015E-2</v>
      </c>
    </row>
    <row r="119" spans="1:21" ht="18.75" x14ac:dyDescent="0.45">
      <c r="A119" s="12" t="s">
        <v>128</v>
      </c>
      <c r="C119" s="4">
        <v>0</v>
      </c>
      <c r="E119" s="4">
        <v>4667950161</v>
      </c>
      <c r="G119" s="4">
        <v>-495145789</v>
      </c>
      <c r="I119" s="4">
        <v>4172804372</v>
      </c>
      <c r="K119" s="5">
        <v>7.1119581775844288E-3</v>
      </c>
      <c r="M119" s="4">
        <v>13820455220</v>
      </c>
      <c r="O119" s="4">
        <v>-554104478</v>
      </c>
      <c r="Q119" s="4">
        <v>-5331645258</v>
      </c>
      <c r="S119" s="4">
        <v>7934705484</v>
      </c>
      <c r="U119" s="5">
        <v>6.5248287950478738E-3</v>
      </c>
    </row>
    <row r="120" spans="1:21" ht="18.75" x14ac:dyDescent="0.45">
      <c r="A120" s="12" t="s">
        <v>129</v>
      </c>
      <c r="C120" s="4">
        <v>0</v>
      </c>
      <c r="E120" s="4">
        <v>2333968740</v>
      </c>
      <c r="G120" s="4">
        <v>0</v>
      </c>
      <c r="I120" s="4">
        <v>2333968740</v>
      </c>
      <c r="K120" s="5">
        <v>3.9779214616556735E-3</v>
      </c>
      <c r="M120" s="4">
        <v>0</v>
      </c>
      <c r="O120" s="4">
        <v>9863728462</v>
      </c>
      <c r="Q120" s="4">
        <v>1373620213</v>
      </c>
      <c r="S120" s="4">
        <v>11237348675</v>
      </c>
      <c r="U120" s="5">
        <v>9.2406424362546716E-3</v>
      </c>
    </row>
    <row r="121" spans="1:21" ht="18.75" x14ac:dyDescent="0.45">
      <c r="A121" s="12" t="s">
        <v>130</v>
      </c>
      <c r="C121" s="4">
        <v>0</v>
      </c>
      <c r="E121" s="4">
        <v>2201693040</v>
      </c>
      <c r="G121" s="4">
        <v>0</v>
      </c>
      <c r="I121" s="4">
        <v>2201693040</v>
      </c>
      <c r="K121" s="5">
        <v>3.7524761346177768E-3</v>
      </c>
      <c r="M121" s="4">
        <v>0</v>
      </c>
      <c r="O121" s="4">
        <v>5879734175</v>
      </c>
      <c r="Q121" s="4">
        <v>0</v>
      </c>
      <c r="S121" s="4">
        <v>5879734175</v>
      </c>
      <c r="U121" s="5">
        <v>4.834994686271213E-3</v>
      </c>
    </row>
    <row r="122" spans="1:21" ht="18.75" x14ac:dyDescent="0.45">
      <c r="A122" s="12" t="s">
        <v>131</v>
      </c>
      <c r="C122" s="4">
        <v>0</v>
      </c>
      <c r="E122" s="4">
        <v>4091861051</v>
      </c>
      <c r="G122" s="4">
        <v>0</v>
      </c>
      <c r="I122" s="4">
        <v>4091861051</v>
      </c>
      <c r="K122" s="5">
        <v>6.9740016710274537E-3</v>
      </c>
      <c r="M122" s="4">
        <v>7010721000</v>
      </c>
      <c r="O122" s="4">
        <v>-3705748934</v>
      </c>
      <c r="Q122" s="4">
        <v>-10570672079</v>
      </c>
      <c r="S122" s="4">
        <v>-7265700013</v>
      </c>
      <c r="U122" s="5">
        <v>-5.974695438488201E-3</v>
      </c>
    </row>
    <row r="123" spans="1:21" ht="18.75" x14ac:dyDescent="0.45">
      <c r="A123" s="12" t="s">
        <v>374</v>
      </c>
      <c r="C123" s="4">
        <v>0</v>
      </c>
      <c r="E123" s="4">
        <v>3966842290</v>
      </c>
      <c r="G123" s="4">
        <v>164224631</v>
      </c>
      <c r="I123" s="4">
        <v>4131066921</v>
      </c>
      <c r="K123" s="5">
        <v>7.040822562422889E-3</v>
      </c>
      <c r="M123" s="4">
        <v>0</v>
      </c>
      <c r="O123" s="4">
        <v>3846743837</v>
      </c>
      <c r="Q123" s="4">
        <v>164224631</v>
      </c>
      <c r="S123" s="4">
        <v>4010968468</v>
      </c>
      <c r="U123" s="5">
        <v>3.2982802712473625E-3</v>
      </c>
    </row>
    <row r="124" spans="1:21" ht="18.75" x14ac:dyDescent="0.45">
      <c r="A124" s="12" t="s">
        <v>375</v>
      </c>
      <c r="C124" s="4">
        <v>0</v>
      </c>
      <c r="E124" s="4">
        <v>1447973677</v>
      </c>
      <c r="G124" s="4">
        <v>0</v>
      </c>
      <c r="I124" s="4">
        <v>1447973677</v>
      </c>
      <c r="K124" s="5">
        <v>2.4678674855134436E-3</v>
      </c>
      <c r="M124" s="4">
        <v>0</v>
      </c>
      <c r="O124" s="4">
        <v>1466856638</v>
      </c>
      <c r="Q124" s="4">
        <v>0</v>
      </c>
      <c r="S124" s="4">
        <v>1466856638</v>
      </c>
      <c r="U124" s="5">
        <v>1.2062184852517854E-3</v>
      </c>
    </row>
    <row r="125" spans="1:21" ht="18.75" x14ac:dyDescent="0.45">
      <c r="A125" s="12" t="s">
        <v>133</v>
      </c>
      <c r="C125" s="4">
        <v>0</v>
      </c>
      <c r="E125" s="4">
        <v>3663513128</v>
      </c>
      <c r="G125" s="4">
        <v>487727600</v>
      </c>
      <c r="I125" s="4">
        <v>4151240728</v>
      </c>
      <c r="K125" s="5">
        <v>7.0752059791556257E-3</v>
      </c>
      <c r="M125" s="4">
        <v>0</v>
      </c>
      <c r="O125" s="4">
        <v>5388391475</v>
      </c>
      <c r="Q125" s="4">
        <v>1389994865</v>
      </c>
      <c r="S125" s="4">
        <v>6778386340</v>
      </c>
      <c r="U125" s="5">
        <v>5.5739700061173897E-3</v>
      </c>
    </row>
    <row r="126" spans="1:21" ht="18.75" x14ac:dyDescent="0.45">
      <c r="A126" s="12" t="s">
        <v>134</v>
      </c>
      <c r="C126" s="4">
        <v>0</v>
      </c>
      <c r="E126" s="4">
        <v>4265734968</v>
      </c>
      <c r="G126" s="4">
        <v>1029352410</v>
      </c>
      <c r="I126" s="4">
        <v>5295087378</v>
      </c>
      <c r="K126" s="5">
        <v>9.0247317203949653E-3</v>
      </c>
      <c r="M126" s="4">
        <v>0</v>
      </c>
      <c r="O126" s="4">
        <v>6138575129</v>
      </c>
      <c r="Q126" s="4">
        <v>1029352410</v>
      </c>
      <c r="S126" s="4">
        <v>7167927539</v>
      </c>
      <c r="U126" s="5">
        <v>5.894295648602531E-3</v>
      </c>
    </row>
    <row r="127" spans="1:21" ht="18.75" x14ac:dyDescent="0.45">
      <c r="A127" s="12" t="s">
        <v>135</v>
      </c>
      <c r="C127" s="4">
        <v>0</v>
      </c>
      <c r="E127" s="4">
        <v>4741769405</v>
      </c>
      <c r="G127" s="4">
        <v>87622948</v>
      </c>
      <c r="I127" s="4">
        <v>4829392353</v>
      </c>
      <c r="K127" s="5">
        <v>8.2310200468899558E-3</v>
      </c>
      <c r="M127" s="4">
        <v>0</v>
      </c>
      <c r="O127" s="4">
        <v>8649479984</v>
      </c>
      <c r="Q127" s="4">
        <v>312753179</v>
      </c>
      <c r="S127" s="4">
        <v>8962233163</v>
      </c>
      <c r="U127" s="5">
        <v>7.3697804068206278E-3</v>
      </c>
    </row>
    <row r="128" spans="1:21" ht="18.75" x14ac:dyDescent="0.45">
      <c r="A128" s="12" t="s">
        <v>136</v>
      </c>
      <c r="C128" s="4">
        <v>0</v>
      </c>
      <c r="E128" s="4">
        <v>3827857206</v>
      </c>
      <c r="G128" s="4">
        <v>0</v>
      </c>
      <c r="I128" s="4">
        <v>3827857206</v>
      </c>
      <c r="K128" s="5">
        <v>6.5240442474395451E-3</v>
      </c>
      <c r="M128" s="4">
        <v>0</v>
      </c>
      <c r="O128" s="4">
        <v>5580712722</v>
      </c>
      <c r="Q128" s="4">
        <v>654358263</v>
      </c>
      <c r="S128" s="4">
        <v>6235070985</v>
      </c>
      <c r="U128" s="5">
        <v>5.127193540343823E-3</v>
      </c>
    </row>
    <row r="129" spans="1:21" ht="37.5" x14ac:dyDescent="0.45">
      <c r="A129" s="12" t="s">
        <v>138</v>
      </c>
      <c r="C129" s="4">
        <v>0</v>
      </c>
      <c r="E129" s="4">
        <v>473619888</v>
      </c>
      <c r="G129" s="4">
        <v>0</v>
      </c>
      <c r="I129" s="4">
        <v>473619888</v>
      </c>
      <c r="K129" s="5">
        <v>8.072184879143482E-4</v>
      </c>
      <c r="M129" s="4">
        <v>0</v>
      </c>
      <c r="O129" s="4">
        <v>590276141</v>
      </c>
      <c r="Q129" s="4">
        <v>0</v>
      </c>
      <c r="S129" s="4">
        <v>590276141</v>
      </c>
      <c r="U129" s="5">
        <v>4.8539303312427002E-4</v>
      </c>
    </row>
    <row r="130" spans="1:21" ht="37.5" x14ac:dyDescent="0.45">
      <c r="A130" s="12" t="s">
        <v>139</v>
      </c>
      <c r="C130" s="4">
        <v>0</v>
      </c>
      <c r="E130" s="4">
        <v>2770318018</v>
      </c>
      <c r="G130" s="4">
        <v>0</v>
      </c>
      <c r="I130" s="4">
        <v>2770318018</v>
      </c>
      <c r="K130" s="5">
        <v>4.7216174366643869E-3</v>
      </c>
      <c r="M130" s="4">
        <v>0</v>
      </c>
      <c r="O130" s="4">
        <v>5438684286</v>
      </c>
      <c r="Q130" s="4">
        <v>-90723025</v>
      </c>
      <c r="S130" s="4">
        <v>5347961261</v>
      </c>
      <c r="U130" s="5">
        <v>4.3977097449850776E-3</v>
      </c>
    </row>
    <row r="131" spans="1:21" ht="18.75" x14ac:dyDescent="0.45">
      <c r="A131" s="12" t="s">
        <v>140</v>
      </c>
      <c r="C131" s="4">
        <v>0</v>
      </c>
      <c r="E131" s="4">
        <v>1946111729</v>
      </c>
      <c r="G131" s="4">
        <v>0</v>
      </c>
      <c r="I131" s="4">
        <v>1946111729</v>
      </c>
      <c r="K131" s="5">
        <v>3.3168737356649128E-3</v>
      </c>
      <c r="M131" s="4">
        <v>100000000</v>
      </c>
      <c r="O131" s="4">
        <v>3864348423</v>
      </c>
      <c r="Q131" s="4">
        <v>1953120793</v>
      </c>
      <c r="S131" s="4">
        <v>5917469216</v>
      </c>
      <c r="U131" s="5">
        <v>4.8660247834305332E-3</v>
      </c>
    </row>
    <row r="132" spans="1:21" ht="18.75" x14ac:dyDescent="0.45">
      <c r="A132" s="12" t="s">
        <v>141</v>
      </c>
      <c r="C132" s="4">
        <v>0</v>
      </c>
      <c r="E132" s="4">
        <v>-227936044</v>
      </c>
      <c r="G132" s="4">
        <v>0</v>
      </c>
      <c r="I132" s="4">
        <v>-227936044</v>
      </c>
      <c r="K132" s="5">
        <v>-3.8848492945646386E-4</v>
      </c>
      <c r="M132" s="4">
        <v>0</v>
      </c>
      <c r="O132" s="4">
        <v>-227936044</v>
      </c>
      <c r="Q132" s="4">
        <v>0</v>
      </c>
      <c r="S132" s="4">
        <v>-227936044</v>
      </c>
      <c r="U132" s="5">
        <v>-1.8743526981807496E-4</v>
      </c>
    </row>
    <row r="133" spans="1:21" ht="18.75" x14ac:dyDescent="0.45">
      <c r="A133" s="12" t="s">
        <v>142</v>
      </c>
      <c r="C133" s="4">
        <v>0</v>
      </c>
      <c r="E133" s="4">
        <v>2221765191</v>
      </c>
      <c r="G133" s="4">
        <v>114695197</v>
      </c>
      <c r="I133" s="4">
        <v>2336460388</v>
      </c>
      <c r="K133" s="5">
        <v>3.9821681252395621E-3</v>
      </c>
      <c r="M133" s="4">
        <v>0</v>
      </c>
      <c r="O133" s="4">
        <v>2966014486</v>
      </c>
      <c r="Q133" s="4">
        <v>164515011</v>
      </c>
      <c r="S133" s="4">
        <v>3130529497</v>
      </c>
      <c r="U133" s="5">
        <v>2.5742819373650158E-3</v>
      </c>
    </row>
    <row r="134" spans="1:21" ht="18.75" x14ac:dyDescent="0.45">
      <c r="A134" s="12" t="s">
        <v>143</v>
      </c>
      <c r="C134" s="4">
        <v>0</v>
      </c>
      <c r="E134" s="4">
        <v>81592958</v>
      </c>
      <c r="G134" s="4">
        <v>0</v>
      </c>
      <c r="I134" s="4">
        <v>81592958</v>
      </c>
      <c r="K134" s="5">
        <v>1.3906372145677066E-4</v>
      </c>
      <c r="M134" s="4">
        <v>0</v>
      </c>
      <c r="O134" s="4">
        <v>81592958</v>
      </c>
      <c r="Q134" s="4">
        <v>0</v>
      </c>
      <c r="S134" s="4">
        <v>81592958</v>
      </c>
      <c r="U134" s="5">
        <v>6.709512821932129E-5</v>
      </c>
    </row>
    <row r="135" spans="1:21" ht="18.75" x14ac:dyDescent="0.45">
      <c r="A135" s="12" t="s">
        <v>144</v>
      </c>
      <c r="C135" s="4">
        <v>0</v>
      </c>
      <c r="E135" s="4">
        <v>3014859039</v>
      </c>
      <c r="G135" s="4">
        <v>0</v>
      </c>
      <c r="I135" s="4">
        <v>3014859039</v>
      </c>
      <c r="K135" s="5">
        <v>5.1384032140484879E-3</v>
      </c>
      <c r="M135" s="4">
        <v>0</v>
      </c>
      <c r="O135" s="4">
        <v>5205996817</v>
      </c>
      <c r="Q135" s="4">
        <v>1002097997</v>
      </c>
      <c r="S135" s="4">
        <v>6208094814</v>
      </c>
      <c r="U135" s="5">
        <v>5.1050106253413873E-3</v>
      </c>
    </row>
    <row r="136" spans="1:21" ht="18.75" x14ac:dyDescent="0.45">
      <c r="A136" s="12" t="s">
        <v>145</v>
      </c>
      <c r="C136" s="4">
        <v>0</v>
      </c>
      <c r="E136" s="4">
        <v>2958949140</v>
      </c>
      <c r="G136" s="4">
        <v>0</v>
      </c>
      <c r="I136" s="4">
        <v>2958949140</v>
      </c>
      <c r="K136" s="5">
        <v>5.0431126545223562E-3</v>
      </c>
      <c r="M136" s="4">
        <v>0</v>
      </c>
      <c r="O136" s="4">
        <v>6552870485</v>
      </c>
      <c r="Q136" s="4">
        <v>0</v>
      </c>
      <c r="S136" s="4">
        <v>6552870485</v>
      </c>
      <c r="U136" s="5">
        <v>5.3885248944606353E-3</v>
      </c>
    </row>
    <row r="137" spans="1:21" ht="18.75" x14ac:dyDescent="0.45">
      <c r="A137" s="12" t="s">
        <v>146</v>
      </c>
      <c r="C137" s="4">
        <v>0</v>
      </c>
      <c r="E137" s="4">
        <v>3543327330</v>
      </c>
      <c r="G137" s="4">
        <v>0</v>
      </c>
      <c r="I137" s="4">
        <v>3543327330</v>
      </c>
      <c r="K137" s="5">
        <v>6.0391030908486356E-3</v>
      </c>
      <c r="M137" s="4">
        <v>0</v>
      </c>
      <c r="O137" s="4">
        <v>5447502954</v>
      </c>
      <c r="Q137" s="4">
        <v>3262392431</v>
      </c>
      <c r="S137" s="4">
        <v>8709895385</v>
      </c>
      <c r="U137" s="5">
        <v>7.1622792206338408E-3</v>
      </c>
    </row>
    <row r="138" spans="1:21" ht="18.75" x14ac:dyDescent="0.45">
      <c r="A138" s="12" t="s">
        <v>147</v>
      </c>
      <c r="C138" s="4">
        <v>0</v>
      </c>
      <c r="E138" s="4">
        <v>2519239206</v>
      </c>
      <c r="G138" s="4">
        <v>0</v>
      </c>
      <c r="I138" s="4">
        <v>2519239206</v>
      </c>
      <c r="K138" s="5">
        <v>4.2936889140133888E-3</v>
      </c>
      <c r="M138" s="4">
        <v>3292527600</v>
      </c>
      <c r="O138" s="4">
        <v>8958611913</v>
      </c>
      <c r="Q138" s="4">
        <v>4042560579</v>
      </c>
      <c r="S138" s="4">
        <v>16293700092</v>
      </c>
      <c r="U138" s="5">
        <v>1.3398556978898926E-2</v>
      </c>
    </row>
    <row r="139" spans="1:21" ht="18.75" x14ac:dyDescent="0.45">
      <c r="A139" s="12" t="s">
        <v>148</v>
      </c>
      <c r="C139" s="4">
        <v>0</v>
      </c>
      <c r="E139" s="4">
        <v>3425705613</v>
      </c>
      <c r="G139" s="4">
        <v>0</v>
      </c>
      <c r="I139" s="4">
        <v>3425705613</v>
      </c>
      <c r="K139" s="5">
        <v>5.8386334168584473E-3</v>
      </c>
      <c r="M139" s="4">
        <v>0</v>
      </c>
      <c r="O139" s="4">
        <v>5801796230</v>
      </c>
      <c r="Q139" s="4">
        <v>54871989</v>
      </c>
      <c r="S139" s="4">
        <v>5856668219</v>
      </c>
      <c r="U139" s="5">
        <v>4.8160272004335106E-3</v>
      </c>
    </row>
    <row r="140" spans="1:21" ht="18.75" x14ac:dyDescent="0.45">
      <c r="A140" s="12" t="s">
        <v>149</v>
      </c>
      <c r="C140" s="4">
        <v>0</v>
      </c>
      <c r="E140" s="4">
        <v>732623781</v>
      </c>
      <c r="G140" s="4">
        <v>0</v>
      </c>
      <c r="I140" s="4">
        <v>732623781</v>
      </c>
      <c r="K140" s="5">
        <v>1.2486541965250255E-3</v>
      </c>
      <c r="M140" s="4">
        <v>0</v>
      </c>
      <c r="O140" s="4">
        <v>2724533876</v>
      </c>
      <c r="Q140" s="4">
        <v>0</v>
      </c>
      <c r="S140" s="4">
        <v>2724533876</v>
      </c>
      <c r="U140" s="5">
        <v>2.2404255738357275E-3</v>
      </c>
    </row>
    <row r="141" spans="1:21" ht="18.75" x14ac:dyDescent="0.45">
      <c r="A141" s="12" t="s">
        <v>150</v>
      </c>
      <c r="C141" s="4">
        <v>0</v>
      </c>
      <c r="E141" s="4">
        <v>2908101712</v>
      </c>
      <c r="G141" s="4">
        <v>0</v>
      </c>
      <c r="I141" s="4">
        <v>2908101712</v>
      </c>
      <c r="K141" s="5">
        <v>4.9564503648161142E-3</v>
      </c>
      <c r="M141" s="4">
        <v>1375942000</v>
      </c>
      <c r="O141" s="4">
        <v>2518027821</v>
      </c>
      <c r="Q141" s="4">
        <v>0</v>
      </c>
      <c r="S141" s="4">
        <v>3893969821</v>
      </c>
      <c r="U141" s="5">
        <v>3.2020705073857298E-3</v>
      </c>
    </row>
    <row r="142" spans="1:21" ht="18.75" x14ac:dyDescent="0.45">
      <c r="A142" s="12" t="s">
        <v>151</v>
      </c>
      <c r="C142" s="4">
        <v>0</v>
      </c>
      <c r="E142" s="4">
        <v>344712534</v>
      </c>
      <c r="G142" s="4">
        <v>0</v>
      </c>
      <c r="I142" s="4">
        <v>344712534</v>
      </c>
      <c r="K142" s="5">
        <v>5.8751403290016255E-4</v>
      </c>
      <c r="M142" s="4">
        <v>4379641700</v>
      </c>
      <c r="O142" s="4">
        <v>563716945</v>
      </c>
      <c r="Q142" s="4">
        <v>-1296986061</v>
      </c>
      <c r="S142" s="4">
        <v>3646372584</v>
      </c>
      <c r="U142" s="5">
        <v>2.9984675400406232E-3</v>
      </c>
    </row>
    <row r="143" spans="1:21" ht="18.75" x14ac:dyDescent="0.45">
      <c r="A143" s="12" t="s">
        <v>152</v>
      </c>
      <c r="C143" s="4">
        <v>204920550</v>
      </c>
      <c r="E143" s="4">
        <v>52628274</v>
      </c>
      <c r="G143" s="4">
        <v>0</v>
      </c>
      <c r="I143" s="4">
        <v>257548824</v>
      </c>
      <c r="K143" s="5">
        <v>4.3895574814501576E-4</v>
      </c>
      <c r="M143" s="4">
        <v>204920550</v>
      </c>
      <c r="O143" s="4">
        <v>416523313</v>
      </c>
      <c r="Q143" s="4">
        <v>0</v>
      </c>
      <c r="S143" s="4">
        <v>621443863</v>
      </c>
      <c r="U143" s="5">
        <v>5.1102272415586806E-4</v>
      </c>
    </row>
    <row r="144" spans="1:21" ht="18.75" x14ac:dyDescent="0.45">
      <c r="A144" s="12" t="s">
        <v>153</v>
      </c>
      <c r="C144" s="4">
        <v>0</v>
      </c>
      <c r="E144" s="4">
        <v>2091059860</v>
      </c>
      <c r="G144" s="4">
        <v>0</v>
      </c>
      <c r="I144" s="4">
        <v>2091059860</v>
      </c>
      <c r="K144" s="5">
        <v>3.5639174390573493E-3</v>
      </c>
      <c r="M144" s="4">
        <v>228464012</v>
      </c>
      <c r="O144" s="4">
        <v>3769223127</v>
      </c>
      <c r="Q144" s="4">
        <v>-519874130</v>
      </c>
      <c r="S144" s="4">
        <v>3477813009</v>
      </c>
      <c r="U144" s="5">
        <v>2.8598584422160375E-3</v>
      </c>
    </row>
    <row r="145" spans="1:21" ht="18.75" x14ac:dyDescent="0.45">
      <c r="A145" s="12" t="s">
        <v>376</v>
      </c>
      <c r="C145" s="4">
        <v>0</v>
      </c>
      <c r="E145" s="4">
        <v>2951439016</v>
      </c>
      <c r="G145" s="4">
        <v>0</v>
      </c>
      <c r="I145" s="4">
        <v>2951439016</v>
      </c>
      <c r="K145" s="5">
        <v>5.0303127044085015E-3</v>
      </c>
      <c r="M145" s="4">
        <v>0</v>
      </c>
      <c r="O145" s="4">
        <v>4399194971</v>
      </c>
      <c r="Q145" s="4">
        <v>0</v>
      </c>
      <c r="S145" s="4">
        <v>4399194971</v>
      </c>
      <c r="U145" s="5">
        <v>3.6175248192501907E-3</v>
      </c>
    </row>
    <row r="146" spans="1:21" ht="18.75" x14ac:dyDescent="0.45">
      <c r="A146" s="12" t="s">
        <v>154</v>
      </c>
      <c r="C146" s="4">
        <v>0</v>
      </c>
      <c r="E146" s="4">
        <v>4964542093</v>
      </c>
      <c r="G146" s="4">
        <v>0</v>
      </c>
      <c r="I146" s="4">
        <v>4964542093</v>
      </c>
      <c r="K146" s="5">
        <v>8.4613637708950955E-3</v>
      </c>
      <c r="M146" s="4">
        <v>0</v>
      </c>
      <c r="O146" s="4">
        <v>9969631816</v>
      </c>
      <c r="Q146" s="4">
        <v>0</v>
      </c>
      <c r="S146" s="4">
        <v>9969631816</v>
      </c>
      <c r="U146" s="5">
        <v>8.1981796148871688E-3</v>
      </c>
    </row>
    <row r="147" spans="1:21" ht="18.75" x14ac:dyDescent="0.45">
      <c r="A147" s="12" t="s">
        <v>155</v>
      </c>
      <c r="C147" s="4">
        <v>0</v>
      </c>
      <c r="E147" s="4">
        <v>7414963416</v>
      </c>
      <c r="G147" s="4">
        <v>0</v>
      </c>
      <c r="I147" s="4">
        <v>7414963416</v>
      </c>
      <c r="K147" s="5">
        <v>1.2637762282068124E-2</v>
      </c>
      <c r="M147" s="4">
        <v>13040000000</v>
      </c>
      <c r="O147" s="4">
        <v>-1251878057</v>
      </c>
      <c r="Q147" s="4">
        <v>-3245897376</v>
      </c>
      <c r="S147" s="4">
        <v>8542224567</v>
      </c>
      <c r="U147" s="5">
        <v>7.0244009611846805E-3</v>
      </c>
    </row>
    <row r="148" spans="1:21" ht="18.75" x14ac:dyDescent="0.45">
      <c r="A148" s="12" t="s">
        <v>156</v>
      </c>
      <c r="C148" s="4">
        <v>0</v>
      </c>
      <c r="E148" s="4">
        <v>4309680414</v>
      </c>
      <c r="G148" s="4">
        <v>0</v>
      </c>
      <c r="I148" s="4">
        <v>4309680414</v>
      </c>
      <c r="K148" s="5">
        <v>7.3452441405567875E-3</v>
      </c>
      <c r="M148" s="4">
        <v>0</v>
      </c>
      <c r="O148" s="4">
        <v>5723916419</v>
      </c>
      <c r="Q148" s="4">
        <v>0</v>
      </c>
      <c r="S148" s="4">
        <v>5723916419</v>
      </c>
      <c r="U148" s="5">
        <v>4.7068633796740564E-3</v>
      </c>
    </row>
    <row r="149" spans="1:21" ht="18.75" x14ac:dyDescent="0.45">
      <c r="A149" s="12" t="s">
        <v>377</v>
      </c>
      <c r="C149" s="4">
        <v>0</v>
      </c>
      <c r="E149" s="4">
        <v>-911820746</v>
      </c>
      <c r="G149" s="4">
        <v>0</v>
      </c>
      <c r="I149" s="4">
        <v>-911820746</v>
      </c>
      <c r="K149" s="5">
        <v>-1.5540702206218438E-3</v>
      </c>
      <c r="M149" s="4">
        <v>0</v>
      </c>
      <c r="O149" s="4">
        <v>-911820746</v>
      </c>
      <c r="Q149" s="4">
        <v>0</v>
      </c>
      <c r="S149" s="4">
        <v>-911820746</v>
      </c>
      <c r="U149" s="5">
        <v>-7.498040439458904E-4</v>
      </c>
    </row>
    <row r="150" spans="1:21" ht="18.75" x14ac:dyDescent="0.45">
      <c r="A150" s="12" t="s">
        <v>158</v>
      </c>
      <c r="C150" s="4">
        <v>0</v>
      </c>
      <c r="E150" s="4">
        <v>1806544345</v>
      </c>
      <c r="G150" s="4">
        <v>0</v>
      </c>
      <c r="I150" s="4">
        <v>1806544345</v>
      </c>
      <c r="K150" s="5">
        <v>3.0790007587711697E-3</v>
      </c>
      <c r="M150" s="4">
        <v>58108700</v>
      </c>
      <c r="O150" s="4">
        <v>4817226860</v>
      </c>
      <c r="Q150" s="4">
        <v>-1044938080</v>
      </c>
      <c r="S150" s="4">
        <v>3830397480</v>
      </c>
      <c r="U150" s="5">
        <v>3.1497940061391712E-3</v>
      </c>
    </row>
    <row r="151" spans="1:21" ht="18.75" x14ac:dyDescent="0.45">
      <c r="A151" s="12" t="s">
        <v>159</v>
      </c>
      <c r="C151" s="4">
        <v>0</v>
      </c>
      <c r="E151" s="4">
        <v>7374506446</v>
      </c>
      <c r="G151" s="4">
        <v>1004321191</v>
      </c>
      <c r="I151" s="4">
        <v>8378827637</v>
      </c>
      <c r="K151" s="5">
        <v>1.4280533286292425E-2</v>
      </c>
      <c r="M151" s="4">
        <v>2863622210</v>
      </c>
      <c r="O151" s="4">
        <v>13114529118</v>
      </c>
      <c r="Q151" s="4">
        <v>355158986</v>
      </c>
      <c r="S151" s="4">
        <v>16333310314</v>
      </c>
      <c r="U151" s="5">
        <v>1.3431129065866111E-2</v>
      </c>
    </row>
    <row r="152" spans="1:21" ht="18.75" x14ac:dyDescent="0.45">
      <c r="A152" s="12" t="s">
        <v>160</v>
      </c>
      <c r="C152" s="4">
        <v>0</v>
      </c>
      <c r="E152" s="4">
        <v>1103280417</v>
      </c>
      <c r="G152" s="4">
        <v>711316705</v>
      </c>
      <c r="I152" s="4">
        <v>1814597122</v>
      </c>
      <c r="K152" s="5">
        <v>3.092725584603339E-3</v>
      </c>
      <c r="M152" s="4">
        <v>370000000</v>
      </c>
      <c r="O152" s="4">
        <v>1845571215</v>
      </c>
      <c r="Q152" s="4">
        <v>701456305</v>
      </c>
      <c r="S152" s="4">
        <v>2917027520</v>
      </c>
      <c r="U152" s="5">
        <v>2.3987160199987942E-3</v>
      </c>
    </row>
    <row r="153" spans="1:21" ht="18.75" x14ac:dyDescent="0.45">
      <c r="A153" s="12" t="s">
        <v>161</v>
      </c>
      <c r="C153" s="4">
        <v>0</v>
      </c>
      <c r="E153" s="4">
        <v>1261175170</v>
      </c>
      <c r="G153" s="4">
        <v>0</v>
      </c>
      <c r="I153" s="4">
        <v>1261175170</v>
      </c>
      <c r="K153" s="5">
        <v>2.1494957021790458E-3</v>
      </c>
      <c r="M153" s="4">
        <v>22120000000</v>
      </c>
      <c r="O153" s="4">
        <v>-4675181191</v>
      </c>
      <c r="Q153" s="4">
        <v>-39497649863</v>
      </c>
      <c r="S153" s="4">
        <v>-22052831054</v>
      </c>
      <c r="U153" s="5">
        <v>-1.8134377811957255E-2</v>
      </c>
    </row>
    <row r="154" spans="1:21" ht="37.5" x14ac:dyDescent="0.45">
      <c r="A154" s="12" t="s">
        <v>162</v>
      </c>
      <c r="C154" s="4">
        <v>0</v>
      </c>
      <c r="E154" s="4">
        <v>2556087520</v>
      </c>
      <c r="G154" s="4">
        <v>0</v>
      </c>
      <c r="I154" s="4">
        <v>2556087520</v>
      </c>
      <c r="K154" s="5">
        <v>4.3564916827798757E-3</v>
      </c>
      <c r="M154" s="4">
        <v>0</v>
      </c>
      <c r="O154" s="4">
        <v>5258662504</v>
      </c>
      <c r="Q154" s="4">
        <v>0</v>
      </c>
      <c r="S154" s="4">
        <v>5258662504</v>
      </c>
      <c r="U154" s="5">
        <v>4.3242780212480727E-3</v>
      </c>
    </row>
    <row r="155" spans="1:21" ht="18.75" x14ac:dyDescent="0.45">
      <c r="A155" s="12" t="s">
        <v>163</v>
      </c>
      <c r="C155" s="4">
        <v>0</v>
      </c>
      <c r="E155" s="4">
        <v>214330320</v>
      </c>
      <c r="G155" s="4">
        <v>0</v>
      </c>
      <c r="I155" s="4">
        <v>214330320</v>
      </c>
      <c r="K155" s="5">
        <v>3.6529588644427526E-4</v>
      </c>
      <c r="M155" s="4">
        <v>0</v>
      </c>
      <c r="O155" s="4">
        <v>2772140808</v>
      </c>
      <c r="Q155" s="4">
        <v>209158348</v>
      </c>
      <c r="S155" s="4">
        <v>2981299156</v>
      </c>
      <c r="U155" s="5">
        <v>2.4515675621415065E-3</v>
      </c>
    </row>
    <row r="156" spans="1:21" ht="18.75" x14ac:dyDescent="0.45">
      <c r="A156" s="12" t="s">
        <v>164</v>
      </c>
      <c r="C156" s="4">
        <v>0</v>
      </c>
      <c r="E156" s="4">
        <v>1312938785</v>
      </c>
      <c r="G156" s="4">
        <v>0</v>
      </c>
      <c r="I156" s="4">
        <v>1312938785</v>
      </c>
      <c r="K156" s="5">
        <v>2.2377195037717704E-3</v>
      </c>
      <c r="M156" s="4">
        <v>2334080700</v>
      </c>
      <c r="O156" s="4">
        <v>6725304763</v>
      </c>
      <c r="Q156" s="4">
        <v>3511061363</v>
      </c>
      <c r="S156" s="4">
        <v>12570446826</v>
      </c>
      <c r="U156" s="5">
        <v>1.0336869286742004E-2</v>
      </c>
    </row>
    <row r="157" spans="1:21" ht="18.75" x14ac:dyDescent="0.45">
      <c r="A157" s="12" t="s">
        <v>165</v>
      </c>
      <c r="C157" s="4">
        <v>0</v>
      </c>
      <c r="E157" s="4">
        <v>-6342593122</v>
      </c>
      <c r="G157" s="4">
        <v>7336397584</v>
      </c>
      <c r="I157" s="4">
        <v>993804462</v>
      </c>
      <c r="K157" s="5">
        <v>1.6937999341323528E-3</v>
      </c>
      <c r="M157" s="4">
        <v>1959126860</v>
      </c>
      <c r="O157" s="4">
        <v>4351345130</v>
      </c>
      <c r="Q157" s="4">
        <v>7777296298</v>
      </c>
      <c r="S157" s="4">
        <v>14087768288</v>
      </c>
      <c r="U157" s="5">
        <v>1.1584585762994992E-2</v>
      </c>
    </row>
    <row r="158" spans="1:21" ht="18.75" x14ac:dyDescent="0.45">
      <c r="A158" s="12" t="s">
        <v>166</v>
      </c>
      <c r="C158" s="4">
        <v>0</v>
      </c>
      <c r="E158" s="4">
        <v>4043882325</v>
      </c>
      <c r="G158" s="4">
        <v>0</v>
      </c>
      <c r="I158" s="4">
        <v>4043882325</v>
      </c>
      <c r="K158" s="5">
        <v>6.8922286804182064E-3</v>
      </c>
      <c r="M158" s="4">
        <v>0</v>
      </c>
      <c r="O158" s="4">
        <v>5648477107</v>
      </c>
      <c r="Q158" s="4">
        <v>0</v>
      </c>
      <c r="S158" s="4">
        <v>5648477107</v>
      </c>
      <c r="U158" s="5">
        <v>4.6448284879936083E-3</v>
      </c>
    </row>
    <row r="159" spans="1:21" ht="18.75" x14ac:dyDescent="0.45">
      <c r="A159" s="12" t="s">
        <v>167</v>
      </c>
      <c r="C159" s="4">
        <v>0</v>
      </c>
      <c r="E159" s="4">
        <v>5008830725</v>
      </c>
      <c r="G159" s="4">
        <v>0</v>
      </c>
      <c r="I159" s="4">
        <v>5008830725</v>
      </c>
      <c r="K159" s="5">
        <v>8.5368475152661407E-3</v>
      </c>
      <c r="M159" s="4">
        <v>2994487650</v>
      </c>
      <c r="O159" s="4">
        <v>4102061627</v>
      </c>
      <c r="Q159" s="4">
        <v>0</v>
      </c>
      <c r="S159" s="4">
        <v>7096549277</v>
      </c>
      <c r="U159" s="5">
        <v>5.8356002199975001E-3</v>
      </c>
    </row>
    <row r="160" spans="1:21" ht="18.75" x14ac:dyDescent="0.45">
      <c r="A160" s="12" t="s">
        <v>168</v>
      </c>
      <c r="C160" s="4">
        <v>0</v>
      </c>
      <c r="E160" s="4">
        <v>1977879060</v>
      </c>
      <c r="G160" s="4">
        <v>0</v>
      </c>
      <c r="I160" s="4">
        <v>1977879060</v>
      </c>
      <c r="K160" s="5">
        <v>3.3710166835110864E-3</v>
      </c>
      <c r="M160" s="4">
        <v>0</v>
      </c>
      <c r="O160" s="4">
        <v>5528279236</v>
      </c>
      <c r="Q160" s="4">
        <v>1678786408</v>
      </c>
      <c r="S160" s="4">
        <v>7207065644</v>
      </c>
      <c r="U160" s="5">
        <v>5.9264795065922891E-3</v>
      </c>
    </row>
    <row r="161" spans="1:21" ht="18.75" x14ac:dyDescent="0.45">
      <c r="A161" s="12" t="s">
        <v>169</v>
      </c>
      <c r="C161" s="4">
        <v>0</v>
      </c>
      <c r="E161" s="4">
        <v>507637157</v>
      </c>
      <c r="G161" s="4">
        <v>0</v>
      </c>
      <c r="I161" s="4">
        <v>507637157</v>
      </c>
      <c r="K161" s="5">
        <v>8.6519613864415794E-4</v>
      </c>
      <c r="M161" s="4">
        <v>0</v>
      </c>
      <c r="O161" s="4">
        <v>507637157</v>
      </c>
      <c r="Q161" s="4">
        <v>0</v>
      </c>
      <c r="S161" s="4">
        <v>507637157</v>
      </c>
      <c r="U161" s="5">
        <v>4.1743774184295083E-4</v>
      </c>
    </row>
    <row r="162" spans="1:21" ht="18.75" x14ac:dyDescent="0.45">
      <c r="A162" s="12" t="s">
        <v>378</v>
      </c>
      <c r="C162" s="4">
        <v>0</v>
      </c>
      <c r="E162" s="4">
        <v>-442719160</v>
      </c>
      <c r="G162" s="4">
        <v>7101360893</v>
      </c>
      <c r="I162" s="4">
        <v>6658641733</v>
      </c>
      <c r="K162" s="5">
        <v>1.1348718344521112E-2</v>
      </c>
      <c r="M162" s="4">
        <v>0</v>
      </c>
      <c r="O162" s="4">
        <v>7384273005</v>
      </c>
      <c r="Q162" s="4">
        <v>7101360893</v>
      </c>
      <c r="S162" s="4">
        <v>14485633898</v>
      </c>
      <c r="U162" s="5">
        <v>1.191175669503803E-2</v>
      </c>
    </row>
    <row r="163" spans="1:21" ht="18.75" x14ac:dyDescent="0.45">
      <c r="A163" s="12" t="s">
        <v>170</v>
      </c>
      <c r="C163" s="4">
        <v>0</v>
      </c>
      <c r="E163" s="4">
        <v>1976927792</v>
      </c>
      <c r="G163" s="4">
        <v>672206261</v>
      </c>
      <c r="I163" s="4">
        <v>2649134053</v>
      </c>
      <c r="K163" s="5">
        <v>4.5150764119623894E-3</v>
      </c>
      <c r="M163" s="4">
        <v>3295057660</v>
      </c>
      <c r="O163" s="4">
        <v>2758227149</v>
      </c>
      <c r="Q163" s="4">
        <v>1555328085</v>
      </c>
      <c r="S163" s="4">
        <v>7608612894</v>
      </c>
      <c r="U163" s="5">
        <v>6.2566779071070227E-3</v>
      </c>
    </row>
    <row r="164" spans="1:21" ht="37.5" x14ac:dyDescent="0.45">
      <c r="A164" s="12" t="s">
        <v>171</v>
      </c>
      <c r="C164" s="4">
        <v>0</v>
      </c>
      <c r="E164" s="4">
        <v>1743418390</v>
      </c>
      <c r="G164" s="4">
        <v>0</v>
      </c>
      <c r="I164" s="4">
        <v>1743418390</v>
      </c>
      <c r="K164" s="5">
        <v>2.9714114466786652E-3</v>
      </c>
      <c r="M164" s="4">
        <v>505400000</v>
      </c>
      <c r="O164" s="4">
        <v>3830865640</v>
      </c>
      <c r="Q164" s="4">
        <v>0</v>
      </c>
      <c r="S164" s="4">
        <v>4336265640</v>
      </c>
      <c r="U164" s="5">
        <v>3.5657770748896895E-3</v>
      </c>
    </row>
    <row r="165" spans="1:21" ht="18.75" x14ac:dyDescent="0.45">
      <c r="A165" s="12" t="s">
        <v>379</v>
      </c>
      <c r="C165" s="4">
        <v>0</v>
      </c>
      <c r="E165" s="4">
        <v>835485425</v>
      </c>
      <c r="G165" s="4">
        <v>0</v>
      </c>
      <c r="I165" s="4">
        <v>835485425</v>
      </c>
      <c r="K165" s="5">
        <v>1.4239674019832895E-3</v>
      </c>
      <c r="M165" s="4">
        <v>0</v>
      </c>
      <c r="O165" s="4">
        <v>5124225755</v>
      </c>
      <c r="Q165" s="4">
        <v>0</v>
      </c>
      <c r="S165" s="4">
        <v>5124225755</v>
      </c>
      <c r="U165" s="5">
        <v>4.2137286413427176E-3</v>
      </c>
    </row>
    <row r="166" spans="1:21" ht="18.75" x14ac:dyDescent="0.45">
      <c r="A166" s="12" t="s">
        <v>172</v>
      </c>
      <c r="C166" s="4">
        <v>0</v>
      </c>
      <c r="E166" s="4">
        <v>7333152258</v>
      </c>
      <c r="G166" s="4">
        <v>0</v>
      </c>
      <c r="I166" s="4">
        <v>7333152258</v>
      </c>
      <c r="K166" s="5">
        <v>1.2498326669399592E-2</v>
      </c>
      <c r="M166" s="4">
        <v>0</v>
      </c>
      <c r="O166" s="4">
        <v>1605364270</v>
      </c>
      <c r="Q166" s="4">
        <v>-406811963</v>
      </c>
      <c r="S166" s="4">
        <v>1198552307</v>
      </c>
      <c r="U166" s="5">
        <v>9.8558776010704654E-4</v>
      </c>
    </row>
    <row r="167" spans="1:21" ht="18.75" x14ac:dyDescent="0.45">
      <c r="A167" s="12" t="s">
        <v>173</v>
      </c>
      <c r="C167" s="4">
        <v>0</v>
      </c>
      <c r="E167" s="4">
        <v>3803728513</v>
      </c>
      <c r="G167" s="4">
        <v>359778152</v>
      </c>
      <c r="I167" s="4">
        <v>4163506665</v>
      </c>
      <c r="K167" s="5">
        <v>7.0961115436575803E-3</v>
      </c>
      <c r="M167" s="4">
        <v>0</v>
      </c>
      <c r="O167" s="4">
        <v>6268759701</v>
      </c>
      <c r="Q167" s="4">
        <v>2641391201</v>
      </c>
      <c r="S167" s="4">
        <v>8910150902</v>
      </c>
      <c r="U167" s="5">
        <v>7.3269523728161836E-3</v>
      </c>
    </row>
    <row r="168" spans="1:21" ht="18.75" x14ac:dyDescent="0.45">
      <c r="A168" s="12" t="s">
        <v>175</v>
      </c>
      <c r="C168" s="4">
        <v>0</v>
      </c>
      <c r="E168" s="4">
        <v>-610484552</v>
      </c>
      <c r="G168" s="4">
        <v>0</v>
      </c>
      <c r="I168" s="4">
        <v>-610484552</v>
      </c>
      <c r="K168" s="5">
        <v>-1.0404850586859399E-3</v>
      </c>
      <c r="M168" s="4">
        <v>10319249000</v>
      </c>
      <c r="O168" s="4">
        <v>9536849366</v>
      </c>
      <c r="Q168" s="4">
        <v>13120047350</v>
      </c>
      <c r="S168" s="4">
        <v>32976145716</v>
      </c>
      <c r="U168" s="5">
        <v>2.7116785311227989E-2</v>
      </c>
    </row>
    <row r="169" spans="1:21" ht="18.75" x14ac:dyDescent="0.45">
      <c r="A169" s="12" t="s">
        <v>176</v>
      </c>
      <c r="C169" s="4">
        <v>0</v>
      </c>
      <c r="E169" s="4">
        <v>105180515</v>
      </c>
      <c r="G169" s="4">
        <v>0</v>
      </c>
      <c r="I169" s="4">
        <v>105180515</v>
      </c>
      <c r="K169" s="5">
        <v>1.7926539494547664E-4</v>
      </c>
      <c r="M169" s="4">
        <v>99999950</v>
      </c>
      <c r="O169" s="4">
        <v>1076162834</v>
      </c>
      <c r="Q169" s="4">
        <v>734050907</v>
      </c>
      <c r="S169" s="4">
        <v>1910213691</v>
      </c>
      <c r="U169" s="5">
        <v>1.5707977215870513E-3</v>
      </c>
    </row>
    <row r="170" spans="1:21" ht="18.75" x14ac:dyDescent="0.45">
      <c r="A170" s="12" t="s">
        <v>178</v>
      </c>
      <c r="C170" s="4">
        <v>0</v>
      </c>
      <c r="E170" s="4">
        <v>1651165433</v>
      </c>
      <c r="G170" s="4">
        <v>0</v>
      </c>
      <c r="I170" s="4">
        <v>1651165433</v>
      </c>
      <c r="K170" s="5">
        <v>2.8141792561774768E-3</v>
      </c>
      <c r="M170" s="4">
        <v>7267946400</v>
      </c>
      <c r="O170" s="4">
        <v>706608645</v>
      </c>
      <c r="Q170" s="4">
        <v>1480433763</v>
      </c>
      <c r="S170" s="4">
        <v>9454988808</v>
      </c>
      <c r="U170" s="5">
        <v>7.7749808553945025E-3</v>
      </c>
    </row>
    <row r="171" spans="1:21" ht="18.75" x14ac:dyDescent="0.45">
      <c r="A171" s="12" t="s">
        <v>179</v>
      </c>
      <c r="C171" s="4">
        <v>0</v>
      </c>
      <c r="E171" s="4">
        <v>4402752052</v>
      </c>
      <c r="G171" s="4">
        <v>0</v>
      </c>
      <c r="I171" s="4">
        <v>4402752052</v>
      </c>
      <c r="K171" s="5">
        <v>7.5038716576809657E-3</v>
      </c>
      <c r="M171" s="4">
        <v>0</v>
      </c>
      <c r="O171" s="4">
        <v>6497075188</v>
      </c>
      <c r="Q171" s="4">
        <v>-1155274913</v>
      </c>
      <c r="S171" s="4">
        <v>5341800275</v>
      </c>
      <c r="U171" s="5">
        <v>4.3926434726527588E-3</v>
      </c>
    </row>
    <row r="172" spans="1:21" ht="18.75" x14ac:dyDescent="0.45">
      <c r="A172" s="12" t="s">
        <v>180</v>
      </c>
      <c r="C172" s="4">
        <v>0</v>
      </c>
      <c r="E172" s="4">
        <v>1367372688</v>
      </c>
      <c r="G172" s="4">
        <v>0</v>
      </c>
      <c r="I172" s="4">
        <v>1367372688</v>
      </c>
      <c r="K172" s="5">
        <v>2.3304944357039705E-3</v>
      </c>
      <c r="M172" s="4">
        <v>524156680</v>
      </c>
      <c r="O172" s="4">
        <v>2778701325</v>
      </c>
      <c r="Q172" s="4">
        <v>0</v>
      </c>
      <c r="S172" s="4">
        <v>3302858005</v>
      </c>
      <c r="U172" s="5">
        <v>2.7159902860205989E-3</v>
      </c>
    </row>
    <row r="173" spans="1:21" ht="37.5" x14ac:dyDescent="0.45">
      <c r="A173" s="12" t="s">
        <v>181</v>
      </c>
      <c r="C173" s="4">
        <v>0</v>
      </c>
      <c r="E173" s="4">
        <v>1541630913</v>
      </c>
      <c r="G173" s="4">
        <v>25008362</v>
      </c>
      <c r="I173" s="4">
        <v>1566639275</v>
      </c>
      <c r="K173" s="5">
        <v>2.6701163078538853E-3</v>
      </c>
      <c r="M173" s="4">
        <v>0</v>
      </c>
      <c r="O173" s="4">
        <v>1926360462</v>
      </c>
      <c r="Q173" s="4">
        <v>25008362</v>
      </c>
      <c r="S173" s="4">
        <v>1951368824</v>
      </c>
      <c r="U173" s="5">
        <v>1.6046402123264876E-3</v>
      </c>
    </row>
    <row r="174" spans="1:21" ht="18.75" x14ac:dyDescent="0.45">
      <c r="A174" s="12" t="s">
        <v>182</v>
      </c>
      <c r="C174" s="4">
        <v>0</v>
      </c>
      <c r="E174" s="4">
        <v>82255070</v>
      </c>
      <c r="G174" s="4">
        <v>185526727</v>
      </c>
      <c r="I174" s="4">
        <v>267781797</v>
      </c>
      <c r="K174" s="5">
        <v>4.563964114305245E-4</v>
      </c>
      <c r="M174" s="4">
        <v>49200</v>
      </c>
      <c r="O174" s="4">
        <v>3179610219</v>
      </c>
      <c r="Q174" s="4">
        <v>185526727</v>
      </c>
      <c r="S174" s="4">
        <v>3365186146</v>
      </c>
      <c r="U174" s="5">
        <v>2.7672436627160109E-3</v>
      </c>
    </row>
    <row r="175" spans="1:21" ht="18.75" x14ac:dyDescent="0.45">
      <c r="A175" s="12" t="s">
        <v>183</v>
      </c>
      <c r="C175" s="4">
        <v>0</v>
      </c>
      <c r="E175" s="4">
        <v>2505320858</v>
      </c>
      <c r="G175" s="4">
        <v>0</v>
      </c>
      <c r="I175" s="4">
        <v>2505320858</v>
      </c>
      <c r="K175" s="5">
        <v>4.2699670473614849E-3</v>
      </c>
      <c r="M175" s="4">
        <v>0</v>
      </c>
      <c r="O175" s="4">
        <v>3531597425</v>
      </c>
      <c r="Q175" s="4">
        <v>0</v>
      </c>
      <c r="S175" s="4">
        <v>3531597425</v>
      </c>
      <c r="U175" s="5">
        <v>2.9040861841214275E-3</v>
      </c>
    </row>
    <row r="176" spans="1:21" ht="18.75" x14ac:dyDescent="0.45">
      <c r="A176" s="12" t="s">
        <v>184</v>
      </c>
      <c r="C176" s="4">
        <v>0</v>
      </c>
      <c r="E176" s="4">
        <v>2838976263</v>
      </c>
      <c r="G176" s="4">
        <v>-158493450</v>
      </c>
      <c r="I176" s="4">
        <v>2680482813</v>
      </c>
      <c r="K176" s="5">
        <v>4.5685059644080201E-3</v>
      </c>
      <c r="M176" s="4">
        <v>0</v>
      </c>
      <c r="O176" s="4">
        <v>-221029738</v>
      </c>
      <c r="Q176" s="4">
        <v>-315356649</v>
      </c>
      <c r="S176" s="4">
        <v>-536386387</v>
      </c>
      <c r="U176" s="5">
        <v>-4.4107867018209447E-4</v>
      </c>
    </row>
    <row r="177" spans="1:21" ht="18.75" x14ac:dyDescent="0.45">
      <c r="A177" s="12" t="s">
        <v>185</v>
      </c>
      <c r="C177" s="4">
        <v>0</v>
      </c>
      <c r="E177" s="4">
        <v>3080876905</v>
      </c>
      <c r="G177" s="4">
        <v>0</v>
      </c>
      <c r="I177" s="4">
        <v>3080876905</v>
      </c>
      <c r="K177" s="5">
        <v>5.2509213817143099E-3</v>
      </c>
      <c r="M177" s="4">
        <v>0</v>
      </c>
      <c r="O177" s="4">
        <v>9556237044</v>
      </c>
      <c r="Q177" s="4">
        <v>304377639</v>
      </c>
      <c r="S177" s="4">
        <v>9860614683</v>
      </c>
      <c r="U177" s="5">
        <v>8.1085331711740014E-3</v>
      </c>
    </row>
    <row r="178" spans="1:21" ht="18.75" x14ac:dyDescent="0.45">
      <c r="A178" s="12" t="s">
        <v>186</v>
      </c>
      <c r="C178" s="4">
        <v>0</v>
      </c>
      <c r="E178" s="4">
        <v>12221073332</v>
      </c>
      <c r="G178" s="4">
        <v>0</v>
      </c>
      <c r="I178" s="4">
        <v>12221073332</v>
      </c>
      <c r="K178" s="5">
        <v>2.0829100689596473E-2</v>
      </c>
      <c r="M178" s="4">
        <v>2406384864</v>
      </c>
      <c r="O178" s="4">
        <v>17568966371</v>
      </c>
      <c r="Q178" s="4">
        <v>1476460253</v>
      </c>
      <c r="S178" s="4">
        <v>21451811488</v>
      </c>
      <c r="U178" s="5">
        <v>1.7640150297334109E-2</v>
      </c>
    </row>
    <row r="179" spans="1:21" ht="18.75" x14ac:dyDescent="0.45">
      <c r="A179" s="12" t="s">
        <v>187</v>
      </c>
      <c r="C179" s="4">
        <v>0</v>
      </c>
      <c r="E179" s="4">
        <v>4942911480</v>
      </c>
      <c r="G179" s="4">
        <v>0</v>
      </c>
      <c r="I179" s="4">
        <v>4942911480</v>
      </c>
      <c r="K179" s="5">
        <v>8.424497433224494E-3</v>
      </c>
      <c r="M179" s="4">
        <v>0</v>
      </c>
      <c r="O179" s="4">
        <v>10897959594</v>
      </c>
      <c r="Q179" s="4">
        <v>0</v>
      </c>
      <c r="S179" s="4">
        <v>10897959594</v>
      </c>
      <c r="U179" s="5">
        <v>8.9615576418790033E-3</v>
      </c>
    </row>
    <row r="180" spans="1:21" ht="18.75" x14ac:dyDescent="0.45">
      <c r="A180" s="12" t="s">
        <v>188</v>
      </c>
      <c r="C180" s="4">
        <v>0</v>
      </c>
      <c r="E180" s="4">
        <v>5977413999</v>
      </c>
      <c r="G180" s="4">
        <v>0</v>
      </c>
      <c r="I180" s="4">
        <v>5977413999</v>
      </c>
      <c r="K180" s="5">
        <v>1.0187661481628569E-2</v>
      </c>
      <c r="M180" s="4">
        <v>0</v>
      </c>
      <c r="O180" s="4">
        <v>7809462439</v>
      </c>
      <c r="Q180" s="4">
        <v>0</v>
      </c>
      <c r="S180" s="4">
        <v>7809462439</v>
      </c>
      <c r="U180" s="5">
        <v>6.4218395375331104E-3</v>
      </c>
    </row>
    <row r="181" spans="1:21" ht="18.75" x14ac:dyDescent="0.45">
      <c r="A181" s="12" t="s">
        <v>189</v>
      </c>
      <c r="C181" s="4">
        <v>0</v>
      </c>
      <c r="E181" s="4">
        <v>2599747400</v>
      </c>
      <c r="G181" s="4">
        <v>0</v>
      </c>
      <c r="I181" s="4">
        <v>2599747400</v>
      </c>
      <c r="K181" s="5">
        <v>4.430903807796302E-3</v>
      </c>
      <c r="M181" s="4">
        <v>0</v>
      </c>
      <c r="O181" s="4">
        <v>6110311675</v>
      </c>
      <c r="Q181" s="4">
        <v>0</v>
      </c>
      <c r="S181" s="4">
        <v>6110311675</v>
      </c>
      <c r="U181" s="5">
        <v>5.0246020654642872E-3</v>
      </c>
    </row>
    <row r="182" spans="1:21" ht="18.75" x14ac:dyDescent="0.45">
      <c r="A182" s="12" t="s">
        <v>380</v>
      </c>
      <c r="C182" s="4">
        <v>0</v>
      </c>
      <c r="E182" s="4">
        <v>2988607177</v>
      </c>
      <c r="G182" s="4">
        <v>0</v>
      </c>
      <c r="I182" s="4">
        <v>2988607177</v>
      </c>
      <c r="K182" s="5">
        <v>5.093660607402341E-3</v>
      </c>
      <c r="M182" s="4">
        <v>0</v>
      </c>
      <c r="O182" s="4">
        <v>3690816869</v>
      </c>
      <c r="Q182" s="4">
        <v>1326988801</v>
      </c>
      <c r="S182" s="4">
        <v>5017805670</v>
      </c>
      <c r="U182" s="5">
        <v>4.1262177896318865E-3</v>
      </c>
    </row>
    <row r="183" spans="1:21" ht="18.75" x14ac:dyDescent="0.45">
      <c r="A183" s="12" t="s">
        <v>192</v>
      </c>
      <c r="C183" s="4">
        <v>0</v>
      </c>
      <c r="E183" s="4">
        <v>4698108529</v>
      </c>
      <c r="G183" s="4">
        <v>0</v>
      </c>
      <c r="I183" s="4">
        <v>4698108529</v>
      </c>
      <c r="K183" s="5">
        <v>8.0072652329939379E-3</v>
      </c>
      <c r="M183" s="4">
        <v>1015029840</v>
      </c>
      <c r="O183" s="4">
        <v>3770980755</v>
      </c>
      <c r="Q183" s="4">
        <v>-2902742731</v>
      </c>
      <c r="S183" s="4">
        <v>1883267864</v>
      </c>
      <c r="U183" s="5">
        <v>1.5486397589165393E-3</v>
      </c>
    </row>
    <row r="184" spans="1:21" ht="18.75" x14ac:dyDescent="0.45">
      <c r="A184" s="12" t="s">
        <v>193</v>
      </c>
      <c r="C184" s="4">
        <v>0</v>
      </c>
      <c r="E184" s="4">
        <v>1403758869</v>
      </c>
      <c r="G184" s="4">
        <v>153882625</v>
      </c>
      <c r="I184" s="4">
        <v>1557641494</v>
      </c>
      <c r="K184" s="5">
        <v>2.6547808556116339E-3</v>
      </c>
      <c r="M184" s="4">
        <v>0</v>
      </c>
      <c r="O184" s="4">
        <v>749081530</v>
      </c>
      <c r="Q184" s="4">
        <v>142502180</v>
      </c>
      <c r="S184" s="4">
        <v>891583710</v>
      </c>
      <c r="U184" s="5">
        <v>7.3316282197672213E-4</v>
      </c>
    </row>
    <row r="185" spans="1:21" ht="18.75" x14ac:dyDescent="0.45">
      <c r="A185" s="12" t="s">
        <v>194</v>
      </c>
      <c r="C185" s="4">
        <v>0</v>
      </c>
      <c r="E185" s="4">
        <v>1833278563</v>
      </c>
      <c r="G185" s="4">
        <v>0</v>
      </c>
      <c r="I185" s="4">
        <v>1833278563</v>
      </c>
      <c r="K185" s="5">
        <v>3.1245654733794647E-3</v>
      </c>
      <c r="M185" s="4">
        <v>0</v>
      </c>
      <c r="O185" s="4">
        <v>1833278563</v>
      </c>
      <c r="Q185" s="4">
        <v>0</v>
      </c>
      <c r="S185" s="4">
        <v>1833278563</v>
      </c>
      <c r="U185" s="5">
        <v>1.5075327976982777E-3</v>
      </c>
    </row>
    <row r="186" spans="1:21" ht="18.75" x14ac:dyDescent="0.45">
      <c r="A186" s="12" t="s">
        <v>195</v>
      </c>
      <c r="C186" s="4">
        <v>0</v>
      </c>
      <c r="E186" s="4">
        <v>5216394951</v>
      </c>
      <c r="G186" s="4">
        <v>0</v>
      </c>
      <c r="I186" s="4">
        <v>5216394951</v>
      </c>
      <c r="K186" s="5">
        <v>8.8906115460891718E-3</v>
      </c>
      <c r="M186" s="4">
        <v>0</v>
      </c>
      <c r="O186" s="4">
        <v>7524788082</v>
      </c>
      <c r="Q186" s="4">
        <v>59821494</v>
      </c>
      <c r="S186" s="4">
        <v>7584609576</v>
      </c>
      <c r="U186" s="5">
        <v>6.2369396142644079E-3</v>
      </c>
    </row>
    <row r="187" spans="1:21" ht="18.75" x14ac:dyDescent="0.45">
      <c r="A187" s="12" t="s">
        <v>196</v>
      </c>
      <c r="C187" s="4">
        <v>0</v>
      </c>
      <c r="E187" s="4">
        <v>5019068385</v>
      </c>
      <c r="G187" s="4">
        <v>490124306</v>
      </c>
      <c r="I187" s="4">
        <v>5509192691</v>
      </c>
      <c r="K187" s="5">
        <v>9.3896441140533336E-3</v>
      </c>
      <c r="M187" s="4">
        <v>3237484320</v>
      </c>
      <c r="O187" s="4">
        <v>3799548262</v>
      </c>
      <c r="Q187" s="4">
        <v>-5374334342</v>
      </c>
      <c r="S187" s="4">
        <v>1662698240</v>
      </c>
      <c r="U187" s="5">
        <v>1.3672620081115314E-3</v>
      </c>
    </row>
    <row r="188" spans="1:21" ht="18.75" x14ac:dyDescent="0.45">
      <c r="A188" s="12" t="s">
        <v>197</v>
      </c>
      <c r="C188" s="4">
        <v>0</v>
      </c>
      <c r="E188" s="4">
        <v>3921411144</v>
      </c>
      <c r="G188" s="4">
        <v>2987838453</v>
      </c>
      <c r="I188" s="4">
        <v>6909249597</v>
      </c>
      <c r="K188" s="5">
        <v>1.177584420254151E-2</v>
      </c>
      <c r="M188" s="4">
        <v>0</v>
      </c>
      <c r="O188" s="4">
        <v>5632637951</v>
      </c>
      <c r="Q188" s="4">
        <v>3224361738</v>
      </c>
      <c r="S188" s="4">
        <v>8856999689</v>
      </c>
      <c r="U188" s="5">
        <v>7.2832453233518477E-3</v>
      </c>
    </row>
    <row r="189" spans="1:21" ht="18.75" x14ac:dyDescent="0.45">
      <c r="A189" s="12" t="s">
        <v>199</v>
      </c>
      <c r="C189" s="4">
        <v>0</v>
      </c>
      <c r="E189" s="4">
        <v>81436790</v>
      </c>
      <c r="G189" s="4">
        <v>0</v>
      </c>
      <c r="I189" s="4">
        <v>81436790</v>
      </c>
      <c r="K189" s="5">
        <v>1.3879755506466043E-4</v>
      </c>
      <c r="M189" s="4">
        <v>0</v>
      </c>
      <c r="O189" s="4">
        <v>1931390017</v>
      </c>
      <c r="Q189" s="4">
        <v>0</v>
      </c>
      <c r="S189" s="4">
        <v>1931390017</v>
      </c>
      <c r="U189" s="5">
        <v>1.5882113359848055E-3</v>
      </c>
    </row>
    <row r="190" spans="1:21" ht="18.75" x14ac:dyDescent="0.45">
      <c r="A190" s="12" t="s">
        <v>201</v>
      </c>
      <c r="C190" s="4">
        <v>0</v>
      </c>
      <c r="E190" s="4">
        <v>412784320</v>
      </c>
      <c r="G190" s="4">
        <v>0</v>
      </c>
      <c r="I190" s="4">
        <v>412784320</v>
      </c>
      <c r="K190" s="5">
        <v>7.0353281833712277E-4</v>
      </c>
      <c r="M190" s="4">
        <v>0</v>
      </c>
      <c r="O190" s="4">
        <v>1402313104</v>
      </c>
      <c r="Q190" s="4">
        <v>0</v>
      </c>
      <c r="S190" s="4">
        <v>1402313104</v>
      </c>
      <c r="U190" s="5">
        <v>1.1531433572553459E-3</v>
      </c>
    </row>
    <row r="191" spans="1:21" ht="18.75" x14ac:dyDescent="0.45">
      <c r="A191" s="12" t="s">
        <v>202</v>
      </c>
      <c r="C191" s="4">
        <v>0</v>
      </c>
      <c r="E191" s="4">
        <v>3217814443</v>
      </c>
      <c r="G191" s="4">
        <v>0</v>
      </c>
      <c r="I191" s="4">
        <v>3217814443</v>
      </c>
      <c r="K191" s="5">
        <v>5.4843121559697058E-3</v>
      </c>
      <c r="M191" s="4">
        <v>0</v>
      </c>
      <c r="O191" s="4">
        <v>5670823506</v>
      </c>
      <c r="Q191" s="4">
        <v>1253833455</v>
      </c>
      <c r="S191" s="4">
        <v>6924656961</v>
      </c>
      <c r="U191" s="5">
        <v>5.6942505586463806E-3</v>
      </c>
    </row>
    <row r="192" spans="1:21" ht="18.75" x14ac:dyDescent="0.45">
      <c r="A192" s="12" t="s">
        <v>203</v>
      </c>
      <c r="C192" s="4">
        <v>0</v>
      </c>
      <c r="E192" s="4">
        <v>2931318980</v>
      </c>
      <c r="G192" s="4">
        <v>1003566925</v>
      </c>
      <c r="I192" s="4">
        <v>3934885905</v>
      </c>
      <c r="K192" s="5">
        <v>6.7064596120794268E-3</v>
      </c>
      <c r="M192" s="4">
        <v>0</v>
      </c>
      <c r="O192" s="4">
        <v>9303773825</v>
      </c>
      <c r="Q192" s="4">
        <v>2310909346</v>
      </c>
      <c r="S192" s="4">
        <v>11614683171</v>
      </c>
      <c r="U192" s="5">
        <v>9.5509303215240478E-3</v>
      </c>
    </row>
    <row r="193" spans="1:21" ht="18.75" x14ac:dyDescent="0.45">
      <c r="A193" s="12" t="s">
        <v>381</v>
      </c>
      <c r="C193" s="4">
        <v>0</v>
      </c>
      <c r="E193" s="4">
        <v>5038762678</v>
      </c>
      <c r="G193" s="4">
        <v>580319775</v>
      </c>
      <c r="I193" s="4">
        <v>5619082453</v>
      </c>
      <c r="K193" s="5">
        <v>9.5769357581890775E-3</v>
      </c>
      <c r="M193" s="4">
        <v>7980000000</v>
      </c>
      <c r="O193" s="4">
        <v>14714193877</v>
      </c>
      <c r="Q193" s="4">
        <v>43123099081</v>
      </c>
      <c r="S193" s="4">
        <v>65817292958</v>
      </c>
      <c r="U193" s="5">
        <v>5.4122559327554248E-2</v>
      </c>
    </row>
    <row r="194" spans="1:21" ht="18.75" x14ac:dyDescent="0.45">
      <c r="A194" s="12" t="s">
        <v>382</v>
      </c>
      <c r="C194" s="4">
        <v>0</v>
      </c>
      <c r="E194" s="4">
        <v>5623185269</v>
      </c>
      <c r="G194" s="4">
        <v>0</v>
      </c>
      <c r="I194" s="4">
        <v>5623185269</v>
      </c>
      <c r="K194" s="5">
        <v>9.5839284310299429E-3</v>
      </c>
      <c r="M194" s="4">
        <v>0</v>
      </c>
      <c r="O194" s="4">
        <v>7245830177</v>
      </c>
      <c r="Q194" s="4">
        <v>0</v>
      </c>
      <c r="S194" s="4">
        <v>7245830177</v>
      </c>
      <c r="U194" s="5">
        <v>5.9583561706543654E-3</v>
      </c>
    </row>
    <row r="195" spans="1:21" ht="18.75" x14ac:dyDescent="0.45">
      <c r="A195" s="12" t="s">
        <v>205</v>
      </c>
      <c r="C195" s="4">
        <v>0</v>
      </c>
      <c r="E195" s="4">
        <v>3968711620</v>
      </c>
      <c r="G195" s="4">
        <v>0</v>
      </c>
      <c r="I195" s="4">
        <v>3968711620</v>
      </c>
      <c r="K195" s="5">
        <v>6.7641107859569083E-3</v>
      </c>
      <c r="M195" s="4">
        <v>0</v>
      </c>
      <c r="O195" s="4">
        <v>5886312438</v>
      </c>
      <c r="Q195" s="4">
        <v>1123824891</v>
      </c>
      <c r="S195" s="4">
        <v>7010137329</v>
      </c>
      <c r="U195" s="5">
        <v>5.7645423631326794E-3</v>
      </c>
    </row>
    <row r="196" spans="1:21" ht="18.75" x14ac:dyDescent="0.45">
      <c r="A196" s="12" t="s">
        <v>383</v>
      </c>
      <c r="C196" s="4">
        <v>0</v>
      </c>
      <c r="E196" s="4">
        <v>45848244</v>
      </c>
      <c r="G196" s="4">
        <v>737172618</v>
      </c>
      <c r="I196" s="4">
        <v>783020862</v>
      </c>
      <c r="K196" s="5">
        <v>1.3345489331077869E-3</v>
      </c>
      <c r="M196" s="4">
        <v>0</v>
      </c>
      <c r="O196" s="4">
        <v>2442015327</v>
      </c>
      <c r="Q196" s="4">
        <v>2192095737</v>
      </c>
      <c r="S196" s="4">
        <v>4634111064</v>
      </c>
      <c r="U196" s="5">
        <v>3.8106998893416193E-3</v>
      </c>
    </row>
    <row r="197" spans="1:21" ht="18.75" x14ac:dyDescent="0.45">
      <c r="A197" s="12" t="s">
        <v>350</v>
      </c>
      <c r="C197" s="4">
        <v>0</v>
      </c>
      <c r="E197" s="4">
        <v>1163505848</v>
      </c>
      <c r="G197" s="4">
        <v>-130926535</v>
      </c>
      <c r="I197" s="4">
        <v>1032579313</v>
      </c>
      <c r="K197" s="5">
        <v>1.7598862142619662E-3</v>
      </c>
      <c r="M197" s="4">
        <v>0</v>
      </c>
      <c r="O197" s="4">
        <v>1163505848</v>
      </c>
      <c r="Q197" s="4">
        <v>-130926535</v>
      </c>
      <c r="S197" s="4">
        <v>1032579313</v>
      </c>
      <c r="U197" s="5">
        <v>8.4910564711177265E-4</v>
      </c>
    </row>
    <row r="198" spans="1:21" ht="18.75" x14ac:dyDescent="0.45">
      <c r="A198" s="12" t="s">
        <v>207</v>
      </c>
      <c r="C198" s="4">
        <v>0</v>
      </c>
      <c r="E198" s="4">
        <v>2810650489</v>
      </c>
      <c r="G198" s="4">
        <v>0</v>
      </c>
      <c r="I198" s="4">
        <v>2810650489</v>
      </c>
      <c r="K198" s="5">
        <v>4.7903584610161113E-3</v>
      </c>
      <c r="M198" s="4">
        <v>0</v>
      </c>
      <c r="O198" s="4">
        <v>5284349773</v>
      </c>
      <c r="Q198" s="4">
        <v>2892468147</v>
      </c>
      <c r="S198" s="4">
        <v>8176817920</v>
      </c>
      <c r="U198" s="5">
        <v>6.7239215272529278E-3</v>
      </c>
    </row>
    <row r="199" spans="1:21" ht="18.75" x14ac:dyDescent="0.45">
      <c r="A199" s="12" t="s">
        <v>384</v>
      </c>
      <c r="C199" s="4">
        <v>531751000</v>
      </c>
      <c r="E199" s="4">
        <v>4574643696</v>
      </c>
      <c r="G199" s="4">
        <v>0</v>
      </c>
      <c r="I199" s="4">
        <v>5106394696</v>
      </c>
      <c r="K199" s="5">
        <v>8.7031315821749604E-3</v>
      </c>
      <c r="M199" s="4">
        <v>3010453000</v>
      </c>
      <c r="O199" s="4">
        <v>5712329375</v>
      </c>
      <c r="Q199" s="4">
        <v>236535637</v>
      </c>
      <c r="S199" s="4">
        <v>8959318012</v>
      </c>
      <c r="U199" s="5">
        <v>7.3673832338915163E-3</v>
      </c>
    </row>
    <row r="200" spans="1:21" ht="18.75" x14ac:dyDescent="0.45">
      <c r="A200" s="12" t="s">
        <v>211</v>
      </c>
      <c r="C200" s="4">
        <v>0</v>
      </c>
      <c r="E200" s="4">
        <v>3280297928</v>
      </c>
      <c r="G200" s="4">
        <v>2074093060</v>
      </c>
      <c r="I200" s="4">
        <v>5354390988</v>
      </c>
      <c r="K200" s="5">
        <v>9.1258063830199059E-3</v>
      </c>
      <c r="M200" s="4">
        <v>10382562840</v>
      </c>
      <c r="O200" s="4">
        <v>7330596296</v>
      </c>
      <c r="Q200" s="4">
        <v>583645746</v>
      </c>
      <c r="S200" s="4">
        <v>18296804882</v>
      </c>
      <c r="U200" s="5">
        <v>1.5045740461593434E-2</v>
      </c>
    </row>
    <row r="201" spans="1:21" ht="18.75" x14ac:dyDescent="0.45">
      <c r="A201" s="12" t="s">
        <v>212</v>
      </c>
      <c r="C201" s="4">
        <v>0</v>
      </c>
      <c r="E201" s="4">
        <v>2211652479</v>
      </c>
      <c r="G201" s="4">
        <v>0</v>
      </c>
      <c r="I201" s="4">
        <v>2211652479</v>
      </c>
      <c r="K201" s="5">
        <v>3.769450597670847E-3</v>
      </c>
      <c r="M201" s="4">
        <v>0</v>
      </c>
      <c r="O201" s="4">
        <v>5805476613</v>
      </c>
      <c r="Q201" s="4">
        <v>1654240882</v>
      </c>
      <c r="S201" s="4">
        <v>7459717495</v>
      </c>
      <c r="U201" s="5">
        <v>6.134238959775661E-3</v>
      </c>
    </row>
    <row r="202" spans="1:21" ht="18.75" x14ac:dyDescent="0.45">
      <c r="A202" s="12" t="s">
        <v>213</v>
      </c>
      <c r="C202" s="4">
        <v>0</v>
      </c>
      <c r="E202" s="4">
        <v>763551765</v>
      </c>
      <c r="G202" s="4">
        <v>0</v>
      </c>
      <c r="I202" s="4">
        <v>763551765</v>
      </c>
      <c r="K202" s="5">
        <v>1.3013665954577306E-3</v>
      </c>
      <c r="M202" s="4">
        <v>20250000</v>
      </c>
      <c r="O202" s="4">
        <v>-1278738675</v>
      </c>
      <c r="Q202" s="4">
        <v>0</v>
      </c>
      <c r="S202" s="4">
        <v>-1258488675</v>
      </c>
      <c r="U202" s="5">
        <v>-1.0348743455493887E-3</v>
      </c>
    </row>
    <row r="203" spans="1:21" ht="18.75" x14ac:dyDescent="0.45">
      <c r="A203" s="12" t="s">
        <v>214</v>
      </c>
      <c r="C203" s="4">
        <v>0</v>
      </c>
      <c r="E203" s="4">
        <v>-85619224</v>
      </c>
      <c r="G203" s="4">
        <v>346039264</v>
      </c>
      <c r="I203" s="4">
        <v>260420040</v>
      </c>
      <c r="K203" s="5">
        <v>4.4384933200143417E-4</v>
      </c>
      <c r="M203" s="4">
        <v>0</v>
      </c>
      <c r="O203" s="4">
        <v>4724912706</v>
      </c>
      <c r="Q203" s="4">
        <v>690791048</v>
      </c>
      <c r="S203" s="4">
        <v>5415703754</v>
      </c>
      <c r="U203" s="5">
        <v>4.4534154255381894E-3</v>
      </c>
    </row>
    <row r="204" spans="1:21" ht="18.75" x14ac:dyDescent="0.45">
      <c r="A204" s="12" t="s">
        <v>215</v>
      </c>
      <c r="C204" s="4">
        <v>0</v>
      </c>
      <c r="E204" s="4">
        <v>5677038748</v>
      </c>
      <c r="G204" s="4">
        <v>0</v>
      </c>
      <c r="I204" s="4">
        <v>5677038748</v>
      </c>
      <c r="K204" s="5">
        <v>9.6757141118865436E-3</v>
      </c>
      <c r="M204" s="4">
        <v>0</v>
      </c>
      <c r="O204" s="4">
        <v>9513610468</v>
      </c>
      <c r="Q204" s="4">
        <v>0</v>
      </c>
      <c r="S204" s="4">
        <v>9513610468</v>
      </c>
      <c r="U204" s="5">
        <v>7.8231863364867493E-3</v>
      </c>
    </row>
    <row r="205" spans="1:21" ht="18.75" x14ac:dyDescent="0.45">
      <c r="A205" s="12" t="s">
        <v>216</v>
      </c>
      <c r="C205" s="4">
        <v>0</v>
      </c>
      <c r="E205" s="4">
        <v>3800495807</v>
      </c>
      <c r="G205" s="4">
        <v>0</v>
      </c>
      <c r="I205" s="4">
        <v>3800495807</v>
      </c>
      <c r="K205" s="5">
        <v>6.4774105910251813E-3</v>
      </c>
      <c r="M205" s="4">
        <v>0</v>
      </c>
      <c r="O205" s="4">
        <v>7273904570</v>
      </c>
      <c r="Q205" s="4">
        <v>730451657</v>
      </c>
      <c r="S205" s="4">
        <v>8004356227</v>
      </c>
      <c r="U205" s="5">
        <v>6.5821036585496477E-3</v>
      </c>
    </row>
    <row r="206" spans="1:21" ht="18.75" x14ac:dyDescent="0.45">
      <c r="A206" s="12" t="s">
        <v>385</v>
      </c>
      <c r="C206" s="4">
        <v>0</v>
      </c>
      <c r="E206" s="4">
        <v>1687850424</v>
      </c>
      <c r="G206" s="4">
        <v>210640583</v>
      </c>
      <c r="I206" s="4">
        <v>1898491007</v>
      </c>
      <c r="K206" s="5">
        <v>3.2357109125230148E-3</v>
      </c>
      <c r="M206" s="4">
        <v>813578800</v>
      </c>
      <c r="O206" s="4">
        <v>2534723049</v>
      </c>
      <c r="Q206" s="4">
        <v>300632659</v>
      </c>
      <c r="S206" s="4">
        <v>3648934508</v>
      </c>
      <c r="U206" s="5">
        <v>3.0005742490444584E-3</v>
      </c>
    </row>
    <row r="207" spans="1:21" ht="18.75" x14ac:dyDescent="0.45">
      <c r="A207" s="12" t="s">
        <v>218</v>
      </c>
      <c r="C207" s="4">
        <v>0</v>
      </c>
      <c r="E207" s="4">
        <v>342226977</v>
      </c>
      <c r="G207" s="4">
        <v>0</v>
      </c>
      <c r="I207" s="4">
        <v>342226977</v>
      </c>
      <c r="K207" s="5">
        <v>5.8327775056911965E-4</v>
      </c>
      <c r="M207" s="4">
        <v>0</v>
      </c>
      <c r="O207" s="4">
        <v>4123880871</v>
      </c>
      <c r="Q207" s="4">
        <v>0</v>
      </c>
      <c r="S207" s="4">
        <v>4123880871</v>
      </c>
      <c r="U207" s="5">
        <v>3.391129854624848E-3</v>
      </c>
    </row>
    <row r="208" spans="1:21" ht="18.75" x14ac:dyDescent="0.45">
      <c r="A208" s="12" t="s">
        <v>219</v>
      </c>
      <c r="C208" s="4">
        <v>0</v>
      </c>
      <c r="E208" s="4">
        <v>1850138537</v>
      </c>
      <c r="G208" s="4">
        <v>0</v>
      </c>
      <c r="I208" s="4">
        <v>1850138537</v>
      </c>
      <c r="K208" s="5">
        <v>3.1533009278301343E-3</v>
      </c>
      <c r="M208" s="4">
        <v>0</v>
      </c>
      <c r="O208" s="4">
        <v>4321480798</v>
      </c>
      <c r="Q208" s="4">
        <v>0</v>
      </c>
      <c r="S208" s="4">
        <v>4321480798</v>
      </c>
      <c r="U208" s="5">
        <v>3.5536192748293898E-3</v>
      </c>
    </row>
    <row r="209" spans="1:21" ht="18.75" x14ac:dyDescent="0.45">
      <c r="A209" s="12" t="s">
        <v>220</v>
      </c>
      <c r="C209" s="4">
        <v>0</v>
      </c>
      <c r="E209" s="4">
        <v>689344715</v>
      </c>
      <c r="G209" s="4">
        <v>0</v>
      </c>
      <c r="I209" s="4">
        <v>689344715</v>
      </c>
      <c r="K209" s="5">
        <v>1.1748911154128884E-3</v>
      </c>
      <c r="M209" s="4">
        <v>0</v>
      </c>
      <c r="O209" s="4">
        <v>2864609412</v>
      </c>
      <c r="Q209" s="4">
        <v>0</v>
      </c>
      <c r="S209" s="4">
        <v>2864609412</v>
      </c>
      <c r="U209" s="5">
        <v>2.3556118139069619E-3</v>
      </c>
    </row>
    <row r="210" spans="1:21" ht="18.75" x14ac:dyDescent="0.45">
      <c r="A210" s="12" t="s">
        <v>221</v>
      </c>
      <c r="C210" s="4">
        <v>0</v>
      </c>
      <c r="E210" s="4">
        <v>5743816924</v>
      </c>
      <c r="G210" s="4">
        <v>0</v>
      </c>
      <c r="I210" s="4">
        <v>5743816924</v>
      </c>
      <c r="K210" s="5">
        <v>9.7895281210153111E-3</v>
      </c>
      <c r="M210" s="4">
        <v>1064000000</v>
      </c>
      <c r="O210" s="4">
        <v>9929397661</v>
      </c>
      <c r="Q210" s="4">
        <v>-1626269702</v>
      </c>
      <c r="S210" s="4">
        <v>9367127959</v>
      </c>
      <c r="U210" s="5">
        <v>7.7027315452381845E-3</v>
      </c>
    </row>
    <row r="211" spans="1:21" ht="37.5" x14ac:dyDescent="0.45">
      <c r="A211" s="12" t="s">
        <v>223</v>
      </c>
      <c r="C211" s="4">
        <v>0</v>
      </c>
      <c r="E211" s="4">
        <v>2683973439</v>
      </c>
      <c r="G211" s="4">
        <v>-1087668048</v>
      </c>
      <c r="I211" s="4">
        <v>1596305391</v>
      </c>
      <c r="K211" s="5">
        <v>2.720678030253118E-3</v>
      </c>
      <c r="M211" s="4">
        <v>0</v>
      </c>
      <c r="O211" s="4">
        <v>-1083173485</v>
      </c>
      <c r="Q211" s="4">
        <v>-3899942305</v>
      </c>
      <c r="S211" s="4">
        <v>-4983115790</v>
      </c>
      <c r="U211" s="5">
        <v>-4.097691774598667E-3</v>
      </c>
    </row>
    <row r="212" spans="1:21" ht="18.75" x14ac:dyDescent="0.45">
      <c r="A212" s="12" t="s">
        <v>224</v>
      </c>
      <c r="C212" s="4">
        <v>0</v>
      </c>
      <c r="E212" s="4">
        <v>4021039083</v>
      </c>
      <c r="G212" s="4">
        <v>0</v>
      </c>
      <c r="I212" s="4">
        <v>4021039083</v>
      </c>
      <c r="K212" s="5">
        <v>6.8532955871645259E-3</v>
      </c>
      <c r="M212" s="4">
        <v>0</v>
      </c>
      <c r="O212" s="4">
        <v>6731373862</v>
      </c>
      <c r="Q212" s="4">
        <v>312823730</v>
      </c>
      <c r="S212" s="4">
        <v>7044197592</v>
      </c>
      <c r="U212" s="5">
        <v>5.7925506345470924E-3</v>
      </c>
    </row>
    <row r="213" spans="1:21" ht="18.75" x14ac:dyDescent="0.45">
      <c r="A213" s="12" t="s">
        <v>288</v>
      </c>
      <c r="L213" s="6"/>
      <c r="M213" s="4">
        <v>712500000</v>
      </c>
      <c r="O213" s="4">
        <v>0</v>
      </c>
      <c r="Q213" s="4">
        <v>-2779810960</v>
      </c>
      <c r="S213" s="4">
        <v>-2067310960</v>
      </c>
      <c r="U213" s="5">
        <v>-1.6999811911514249E-3</v>
      </c>
    </row>
    <row r="214" spans="1:21" ht="18.75" x14ac:dyDescent="0.45">
      <c r="A214" s="12" t="s">
        <v>306</v>
      </c>
      <c r="L214" s="6"/>
      <c r="M214" s="4">
        <v>1169457258</v>
      </c>
      <c r="O214" s="4">
        <v>0</v>
      </c>
      <c r="Q214" s="4">
        <v>-2912771308</v>
      </c>
      <c r="S214" s="4">
        <v>-1743314050</v>
      </c>
      <c r="U214" s="5">
        <v>-1.4335536126940547E-3</v>
      </c>
    </row>
    <row r="215" spans="1:21" ht="18.75" x14ac:dyDescent="0.45">
      <c r="A215" s="12" t="s">
        <v>310</v>
      </c>
      <c r="L215" s="6"/>
      <c r="M215" s="4">
        <v>8079063930</v>
      </c>
      <c r="O215" s="4">
        <v>0</v>
      </c>
      <c r="Q215" s="4">
        <v>3747512487</v>
      </c>
      <c r="S215" s="4">
        <v>11826576417</v>
      </c>
      <c r="U215" s="5">
        <v>9.725173354963014E-3</v>
      </c>
    </row>
    <row r="216" spans="1:21" ht="18.75" x14ac:dyDescent="0.45">
      <c r="A216" s="12" t="s">
        <v>317</v>
      </c>
      <c r="L216" s="6"/>
      <c r="M216" s="4">
        <v>5683165600</v>
      </c>
      <c r="O216" s="4">
        <v>0</v>
      </c>
      <c r="Q216" s="4">
        <v>-14873095043</v>
      </c>
      <c r="S216" s="4">
        <v>-9189929443</v>
      </c>
      <c r="U216" s="5">
        <v>-7.5570185150610775E-3</v>
      </c>
    </row>
    <row r="217" spans="1:21" ht="18.75" x14ac:dyDescent="0.45">
      <c r="A217" s="12" t="s">
        <v>321</v>
      </c>
      <c r="L217" s="6"/>
      <c r="M217" s="4">
        <v>584000000</v>
      </c>
      <c r="O217" s="4">
        <v>0</v>
      </c>
      <c r="Q217" s="4">
        <v>-1158523048</v>
      </c>
      <c r="S217" s="4">
        <v>-574523048</v>
      </c>
      <c r="U217" s="5">
        <v>-4.7243902556535919E-4</v>
      </c>
    </row>
    <row r="218" spans="1:21" ht="18.75" x14ac:dyDescent="0.45">
      <c r="A218" s="12" t="s">
        <v>330</v>
      </c>
      <c r="L218" s="6"/>
      <c r="M218" s="4">
        <v>3140568600</v>
      </c>
      <c r="O218" s="4">
        <v>0</v>
      </c>
      <c r="Q218" s="4">
        <v>-10727845278</v>
      </c>
      <c r="S218" s="4">
        <v>-7587276678</v>
      </c>
      <c r="U218" s="5">
        <v>-6.2391328127345998E-3</v>
      </c>
    </row>
    <row r="219" spans="1:21" ht="18.75" x14ac:dyDescent="0.45">
      <c r="A219" s="12" t="s">
        <v>332</v>
      </c>
      <c r="L219" s="6"/>
      <c r="M219" s="4">
        <v>117135</v>
      </c>
      <c r="O219" s="4">
        <v>0</v>
      </c>
      <c r="Q219" s="4">
        <v>108816</v>
      </c>
      <c r="S219" s="4">
        <v>225951</v>
      </c>
      <c r="U219" s="5">
        <v>1.8580293799722107E-7</v>
      </c>
    </row>
    <row r="220" spans="1:21" ht="18.75" x14ac:dyDescent="0.45">
      <c r="A220" s="12" t="s">
        <v>337</v>
      </c>
      <c r="L220" s="6"/>
      <c r="M220" s="4">
        <v>728479800</v>
      </c>
      <c r="O220" s="4">
        <v>0</v>
      </c>
      <c r="Q220" s="4">
        <v>-386487517</v>
      </c>
      <c r="S220" s="4">
        <v>341992283</v>
      </c>
      <c r="U220" s="5">
        <v>2.8122544690564364E-4</v>
      </c>
    </row>
    <row r="221" spans="1:21" ht="37.5" x14ac:dyDescent="0.45">
      <c r="A221" s="12" t="s">
        <v>351</v>
      </c>
      <c r="L221" s="6"/>
      <c r="M221" s="4">
        <v>0</v>
      </c>
      <c r="O221" s="4">
        <v>0</v>
      </c>
      <c r="Q221" s="4">
        <v>336281</v>
      </c>
      <c r="S221" s="4">
        <v>336281</v>
      </c>
      <c r="U221" s="5">
        <v>2.7652897217823112E-7</v>
      </c>
    </row>
    <row r="222" spans="1:21" ht="18.75" x14ac:dyDescent="0.45">
      <c r="A222" s="7" t="s">
        <v>225</v>
      </c>
      <c r="C222" s="7">
        <f>SUM(C9:$C$221)</f>
        <v>8450954145</v>
      </c>
      <c r="E222" s="7">
        <f>SUM(E9:$E$221)</f>
        <v>518364959170</v>
      </c>
      <c r="G222" s="7">
        <f>SUM(G9:$G$221)</f>
        <v>57519882954</v>
      </c>
      <c r="I222" s="7">
        <f>SUM(I9:$I$221)</f>
        <v>584335796269</v>
      </c>
      <c r="K222" s="8">
        <f>SUM(K9:$K$221)</f>
        <v>0.99591818217415906</v>
      </c>
      <c r="M222" s="7">
        <f>SUM(M9:$M$221)</f>
        <v>261478960755</v>
      </c>
      <c r="O222" s="7">
        <f>SUM(O9:$O$221)</f>
        <v>852288958489</v>
      </c>
      <c r="Q222" s="7">
        <f>SUM(Q9:$Q$221)</f>
        <v>90212846812</v>
      </c>
      <c r="S222" s="7">
        <f>SUM(S9:$S$221)</f>
        <v>1203980766056</v>
      </c>
      <c r="U222" s="8">
        <f>SUM(U9:$U$221)</f>
        <v>0.99005166441108838</v>
      </c>
    </row>
    <row r="223" spans="1:21" ht="18.75" x14ac:dyDescent="0.45">
      <c r="C223" s="9"/>
      <c r="E223" s="9"/>
      <c r="G223" s="9"/>
      <c r="I223" s="9"/>
      <c r="K223" s="9"/>
      <c r="M223" s="9"/>
      <c r="O223" s="9"/>
      <c r="Q223" s="9"/>
      <c r="S223" s="9"/>
      <c r="U223" s="9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activeCell="AM35" sqref="AM35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7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9.140625" style="1"/>
  </cols>
  <sheetData>
    <row r="1" spans="1:17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0.100000000000001" customHeight="1" x14ac:dyDescent="0.45">
      <c r="A2" s="34" t="s">
        <v>263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5" spans="1:17" ht="21" x14ac:dyDescent="0.45">
      <c r="A5" s="35" t="s">
        <v>386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7" spans="1:17" ht="21" x14ac:dyDescent="0.45">
      <c r="C7" s="28" t="s">
        <v>275</v>
      </c>
      <c r="D7" s="29"/>
      <c r="E7" s="29"/>
      <c r="F7" s="29"/>
      <c r="G7" s="29"/>
      <c r="H7" s="29"/>
      <c r="I7" s="29"/>
      <c r="J7" s="29"/>
      <c r="K7" s="29"/>
      <c r="M7" s="28" t="s">
        <v>7</v>
      </c>
      <c r="N7" s="29"/>
      <c r="O7" s="29"/>
      <c r="P7" s="29"/>
      <c r="Q7" s="29"/>
    </row>
    <row r="8" spans="1:17" ht="21" x14ac:dyDescent="0.45">
      <c r="C8" s="11" t="s">
        <v>387</v>
      </c>
      <c r="E8" s="11" t="s">
        <v>358</v>
      </c>
      <c r="G8" s="11" t="s">
        <v>359</v>
      </c>
      <c r="I8" s="11" t="s">
        <v>225</v>
      </c>
      <c r="K8" s="11" t="s">
        <v>387</v>
      </c>
      <c r="M8" s="11" t="s">
        <v>358</v>
      </c>
      <c r="O8" s="11" t="s">
        <v>359</v>
      </c>
      <c r="Q8" s="11" t="s">
        <v>225</v>
      </c>
    </row>
    <row r="9" spans="1:17" ht="18.75" x14ac:dyDescent="0.45">
      <c r="A9" s="7" t="s">
        <v>225</v>
      </c>
      <c r="C9" s="7">
        <f>SUM($C$8)</f>
        <v>0</v>
      </c>
      <c r="E9" s="7">
        <f>SUM($E$8)</f>
        <v>0</v>
      </c>
      <c r="G9" s="7">
        <f>SUM($G$8)</f>
        <v>0</v>
      </c>
      <c r="I9" s="7">
        <f>SUM($I$8)</f>
        <v>0</v>
      </c>
      <c r="K9" s="7">
        <f>SUM($K$8)</f>
        <v>0</v>
      </c>
      <c r="M9" s="7">
        <f>SUM($M$8)</f>
        <v>0</v>
      </c>
      <c r="O9" s="7">
        <f>SUM($O$8)</f>
        <v>0</v>
      </c>
      <c r="Q9" s="7">
        <f>SUM($Q$8)</f>
        <v>0</v>
      </c>
    </row>
    <row r="10" spans="1:17" ht="18.75" x14ac:dyDescent="0.45">
      <c r="C10" s="9"/>
      <c r="E10" s="9"/>
      <c r="G10" s="9"/>
      <c r="I10" s="9"/>
      <c r="K10" s="9"/>
      <c r="M10" s="9"/>
      <c r="O10" s="9"/>
      <c r="Q10" s="9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82" zoomScaleNormal="100" zoomScaleSheetLayoutView="82" workbookViewId="0">
      <selection activeCell="AM35" sqref="AM35"/>
    </sheetView>
  </sheetViews>
  <sheetFormatPr defaultRowHeight="18" x14ac:dyDescent="0.45"/>
  <cols>
    <col min="1" max="1" width="25.5703125" style="1" customWidth="1"/>
    <col min="2" max="2" width="1.42578125" style="1" customWidth="1"/>
    <col min="3" max="3" width="17" style="1" customWidth="1"/>
    <col min="4" max="4" width="1.42578125" style="1" customWidth="1"/>
    <col min="5" max="5" width="14.140625" style="1" customWidth="1"/>
    <col min="6" max="6" width="1.42578125" style="1" customWidth="1"/>
    <col min="7" max="7" width="17" style="1" customWidth="1"/>
    <col min="8" max="8" width="1.42578125" style="1" customWidth="1"/>
    <col min="9" max="9" width="14.140625" style="1" customWidth="1"/>
    <col min="10" max="16384" width="9.140625" style="1"/>
  </cols>
  <sheetData>
    <row r="1" spans="1:9" ht="20.100000000000001" customHeight="1" x14ac:dyDescent="0.45">
      <c r="A1" s="34" t="s">
        <v>0</v>
      </c>
      <c r="B1" s="32"/>
      <c r="C1" s="32"/>
      <c r="D1" s="32"/>
      <c r="E1" s="32"/>
      <c r="F1" s="32"/>
      <c r="G1" s="32"/>
      <c r="H1" s="32"/>
      <c r="I1" s="32"/>
    </row>
    <row r="2" spans="1:9" ht="20.100000000000001" customHeight="1" x14ac:dyDescent="0.45">
      <c r="A2" s="34" t="s">
        <v>263</v>
      </c>
      <c r="B2" s="32"/>
      <c r="C2" s="32"/>
      <c r="D2" s="32"/>
      <c r="E2" s="32"/>
      <c r="F2" s="32"/>
      <c r="G2" s="32"/>
      <c r="H2" s="32"/>
      <c r="I2" s="32"/>
    </row>
    <row r="3" spans="1:9" ht="20.100000000000001" customHeight="1" x14ac:dyDescent="0.45">
      <c r="A3" s="34" t="s">
        <v>2</v>
      </c>
      <c r="B3" s="32"/>
      <c r="C3" s="32"/>
      <c r="D3" s="32"/>
      <c r="E3" s="32"/>
      <c r="F3" s="32"/>
      <c r="G3" s="32"/>
      <c r="H3" s="32"/>
      <c r="I3" s="32"/>
    </row>
    <row r="5" spans="1:9" ht="21" x14ac:dyDescent="0.45">
      <c r="A5" s="35" t="s">
        <v>388</v>
      </c>
      <c r="B5" s="32"/>
      <c r="C5" s="32"/>
      <c r="D5" s="32"/>
      <c r="E5" s="32"/>
      <c r="F5" s="32"/>
      <c r="G5" s="32"/>
      <c r="H5" s="32"/>
      <c r="I5" s="32"/>
    </row>
    <row r="7" spans="1:9" ht="21" x14ac:dyDescent="0.45">
      <c r="A7" s="28" t="s">
        <v>389</v>
      </c>
      <c r="B7" s="29"/>
      <c r="C7" s="28" t="s">
        <v>275</v>
      </c>
      <c r="D7" s="29"/>
      <c r="E7" s="29"/>
      <c r="G7" s="28" t="s">
        <v>7</v>
      </c>
      <c r="H7" s="29"/>
      <c r="I7" s="29"/>
    </row>
    <row r="8" spans="1:9" ht="42" x14ac:dyDescent="0.45">
      <c r="A8" s="11" t="s">
        <v>390</v>
      </c>
      <c r="C8" s="11" t="s">
        <v>391</v>
      </c>
      <c r="E8" s="11" t="s">
        <v>392</v>
      </c>
      <c r="G8" s="11" t="s">
        <v>391</v>
      </c>
      <c r="I8" s="11" t="s">
        <v>392</v>
      </c>
    </row>
    <row r="9" spans="1:9" ht="18.75" x14ac:dyDescent="0.45">
      <c r="A9" s="20" t="s">
        <v>416</v>
      </c>
      <c r="C9" s="4">
        <v>138218</v>
      </c>
      <c r="E9" s="5">
        <f>C9/C16</f>
        <v>5.7712802415702628E-5</v>
      </c>
      <c r="G9" s="4">
        <v>4067003</v>
      </c>
      <c r="I9" s="5">
        <f>G9/G16</f>
        <v>3.3617264909773995E-4</v>
      </c>
    </row>
    <row r="10" spans="1:9" ht="18.75" x14ac:dyDescent="0.45">
      <c r="A10" s="20" t="s">
        <v>410</v>
      </c>
      <c r="C10" s="4">
        <v>2394617470</v>
      </c>
      <c r="E10" s="5">
        <f>C10/C16</f>
        <v>0.99987038524142824</v>
      </c>
      <c r="G10" s="4">
        <v>12078132197</v>
      </c>
      <c r="I10" s="5">
        <f>G10/G16</f>
        <v>0.99836112656376097</v>
      </c>
    </row>
    <row r="11" spans="1:9" ht="18.75" x14ac:dyDescent="0.45">
      <c r="A11" s="20" t="s">
        <v>411</v>
      </c>
      <c r="C11" s="4">
        <v>5862</v>
      </c>
      <c r="E11" s="5">
        <f>C11/C16</f>
        <v>2.4476728628749426E-6</v>
      </c>
      <c r="G11" s="4">
        <v>3169333</v>
      </c>
      <c r="I11" s="5">
        <f>G11/G16</f>
        <v>2.6197253124300311E-4</v>
      </c>
    </row>
    <row r="12" spans="1:9" ht="18.75" x14ac:dyDescent="0.45">
      <c r="A12" s="20" t="s">
        <v>413</v>
      </c>
      <c r="C12" s="4">
        <v>66797</v>
      </c>
      <c r="E12" s="5">
        <f>C12/C16</f>
        <v>2.7891027673397737E-5</v>
      </c>
      <c r="G12" s="4">
        <v>604810</v>
      </c>
      <c r="I12" s="5">
        <f>G12/G16</f>
        <v>4.9992729265457658E-5</v>
      </c>
    </row>
    <row r="13" spans="1:9" ht="18.75" x14ac:dyDescent="0.45">
      <c r="A13" s="20" t="s">
        <v>415</v>
      </c>
      <c r="C13" s="4">
        <v>37429</v>
      </c>
      <c r="E13" s="5">
        <f>C13/C16</f>
        <v>1.5628445510840367E-5</v>
      </c>
      <c r="G13" s="4">
        <v>320831</v>
      </c>
      <c r="I13" s="5">
        <f>G13/G16</f>
        <v>2.6519431429649054E-5</v>
      </c>
    </row>
    <row r="14" spans="1:9" ht="18.75" x14ac:dyDescent="0.45">
      <c r="A14" s="20" t="s">
        <v>409</v>
      </c>
      <c r="C14" s="4">
        <v>31182</v>
      </c>
      <c r="E14" s="5">
        <f>C14/C16</f>
        <v>1.302001624192536E-5</v>
      </c>
      <c r="G14" s="4">
        <v>300209</v>
      </c>
      <c r="I14" s="5">
        <f>G14/G16</f>
        <v>2.4814846414665394E-5</v>
      </c>
    </row>
    <row r="15" spans="1:9" ht="18.75" x14ac:dyDescent="0.45">
      <c r="A15" s="20" t="s">
        <v>412</v>
      </c>
      <c r="C15" s="4">
        <v>30930</v>
      </c>
      <c r="E15" s="5">
        <f>C15/C16</f>
        <v>1.2914793867062774E-5</v>
      </c>
      <c r="G15" s="4">
        <v>11364838</v>
      </c>
      <c r="I15" s="5">
        <f>G15/G16</f>
        <v>9.3940124878852079E-4</v>
      </c>
    </row>
    <row r="16" spans="1:9" ht="19.5" thickBot="1" x14ac:dyDescent="0.5">
      <c r="A16" s="7" t="s">
        <v>225</v>
      </c>
      <c r="C16" s="7">
        <f>SUM(C9:$C$15)</f>
        <v>2394927888</v>
      </c>
      <c r="E16" s="8">
        <f>SUM(E9:$E$15)</f>
        <v>1</v>
      </c>
      <c r="G16" s="7">
        <f>SUM(G9:$G$15)</f>
        <v>12097959221</v>
      </c>
      <c r="I16" s="8">
        <f>SUM(I9:$I$15)</f>
        <v>1</v>
      </c>
    </row>
    <row r="17" spans="3:9" ht="19.5" thickTop="1" x14ac:dyDescent="0.45">
      <c r="C17" s="9"/>
      <c r="E17" s="9"/>
      <c r="G17" s="9"/>
      <c r="I17" s="9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60" zoomScaleNormal="100" workbookViewId="0">
      <selection activeCell="AM35" sqref="AM35"/>
    </sheetView>
  </sheetViews>
  <sheetFormatPr defaultRowHeight="18" x14ac:dyDescent="0.45"/>
  <cols>
    <col min="1" max="1" width="25.57031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8.42578125" style="1" customWidth="1"/>
    <col min="6" max="16384" width="9.140625" style="1"/>
  </cols>
  <sheetData>
    <row r="1" spans="1:5" ht="20.100000000000001" customHeight="1" x14ac:dyDescent="0.45">
      <c r="A1" s="34" t="s">
        <v>0</v>
      </c>
      <c r="B1" s="32"/>
      <c r="C1" s="32"/>
      <c r="D1" s="32"/>
      <c r="E1" s="32"/>
    </row>
    <row r="2" spans="1:5" ht="20.100000000000001" customHeight="1" x14ac:dyDescent="0.45">
      <c r="A2" s="34" t="s">
        <v>263</v>
      </c>
      <c r="B2" s="32"/>
      <c r="C2" s="32"/>
      <c r="D2" s="32"/>
      <c r="E2" s="32"/>
    </row>
    <row r="3" spans="1:5" ht="20.100000000000001" customHeight="1" x14ac:dyDescent="0.45">
      <c r="A3" s="34" t="s">
        <v>2</v>
      </c>
      <c r="B3" s="32"/>
      <c r="C3" s="32"/>
      <c r="D3" s="32"/>
      <c r="E3" s="32"/>
    </row>
    <row r="5" spans="1:5" ht="21" x14ac:dyDescent="0.45">
      <c r="A5" s="35" t="s">
        <v>393</v>
      </c>
      <c r="B5" s="32"/>
      <c r="C5" s="32"/>
      <c r="D5" s="32"/>
      <c r="E5" s="32"/>
    </row>
    <row r="7" spans="1:5" ht="21" x14ac:dyDescent="0.45">
      <c r="C7" s="10" t="s">
        <v>275</v>
      </c>
      <c r="E7" s="10" t="s">
        <v>7</v>
      </c>
    </row>
    <row r="8" spans="1:5" ht="21" x14ac:dyDescent="0.45">
      <c r="A8" s="11" t="s">
        <v>272</v>
      </c>
      <c r="C8" s="11" t="s">
        <v>258</v>
      </c>
      <c r="E8" s="11" t="s">
        <v>258</v>
      </c>
    </row>
    <row r="9" spans="1:5" ht="18.75" x14ac:dyDescent="0.45">
      <c r="A9" s="12" t="s">
        <v>394</v>
      </c>
      <c r="C9" s="4">
        <v>41</v>
      </c>
      <c r="E9" s="4">
        <v>41</v>
      </c>
    </row>
    <row r="10" spans="1:5" ht="18.75" x14ac:dyDescent="0.45">
      <c r="A10" s="7" t="s">
        <v>225</v>
      </c>
      <c r="C10" s="7">
        <f>SUM(C9:$C$9)</f>
        <v>41</v>
      </c>
      <c r="E10" s="7">
        <f>SUM(E9:$E$9)</f>
        <v>41</v>
      </c>
    </row>
    <row r="11" spans="1:5" ht="18.75" x14ac:dyDescent="0.45">
      <c r="C11" s="9"/>
      <c r="E11" s="9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'9'!Print_Area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2025-12-23T11:12:22Z</cp:lastPrinted>
  <dcterms:created xsi:type="dcterms:W3CDTF">2025-12-22T06:17:18Z</dcterms:created>
  <dcterms:modified xsi:type="dcterms:W3CDTF">2025-12-23T11:12:38Z</dcterms:modified>
</cp:coreProperties>
</file>