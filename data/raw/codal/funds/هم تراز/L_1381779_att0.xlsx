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zaei\پرتفو\پرتفوی1404.04.31\پرتفوی مشترک 1404.04.31\"/>
    </mc:Choice>
  </mc:AlternateContent>
  <xr:revisionPtr revIDLastSave="0" documentId="13_ncr:1_{F2800589-7040-4D95-9989-1D407509B4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</sheets>
  <definedNames>
    <definedName name="_xlnm._FilterDatabase" localSheetId="10" hidden="1">'11'!$A$8:$Q$89</definedName>
    <definedName name="_xlnm.Print_Titles" localSheetId="1">'1'!$1:$10</definedName>
    <definedName name="_xlnm.Print_Titles" localSheetId="9">'10'!$1:$8</definedName>
    <definedName name="_xlnm.Print_Titles" localSheetId="10">'11'!$1:$8</definedName>
    <definedName name="_xlnm.Print_Titles" localSheetId="11">'12'!$1:$8</definedName>
    <definedName name="_xlnm.Print_Titles" localSheetId="7">'8'!$1:$8</definedName>
  </definedNames>
  <calcPr calcId="191029"/>
</workbook>
</file>

<file path=xl/calcChain.xml><?xml version="1.0" encoding="utf-8"?>
<calcChain xmlns="http://schemas.openxmlformats.org/spreadsheetml/2006/main">
  <c r="E9" i="16" l="1"/>
  <c r="C9" i="16"/>
  <c r="G16" i="15"/>
  <c r="I14" i="15" s="1"/>
  <c r="C16" i="15"/>
  <c r="E9" i="15" s="1"/>
  <c r="E12" i="15"/>
  <c r="Q9" i="14"/>
  <c r="O9" i="14"/>
  <c r="M9" i="14"/>
  <c r="K9" i="14"/>
  <c r="I9" i="14"/>
  <c r="G9" i="14"/>
  <c r="E9" i="14"/>
  <c r="C9" i="14"/>
  <c r="U93" i="13"/>
  <c r="S93" i="13"/>
  <c r="Q93" i="13"/>
  <c r="O93" i="13"/>
  <c r="M93" i="13"/>
  <c r="K93" i="13"/>
  <c r="I93" i="13"/>
  <c r="G93" i="13"/>
  <c r="E93" i="13"/>
  <c r="C93" i="13"/>
  <c r="Q89" i="12"/>
  <c r="O89" i="12"/>
  <c r="M89" i="12"/>
  <c r="K89" i="12"/>
  <c r="I89" i="12"/>
  <c r="G89" i="12"/>
  <c r="E89" i="12"/>
  <c r="C89" i="12"/>
  <c r="Q39" i="11"/>
  <c r="O39" i="11"/>
  <c r="M39" i="11"/>
  <c r="K39" i="11"/>
  <c r="I39" i="11"/>
  <c r="G39" i="11"/>
  <c r="E39" i="11"/>
  <c r="C39" i="11"/>
  <c r="S16" i="10"/>
  <c r="Q16" i="10"/>
  <c r="O16" i="10"/>
  <c r="M16" i="10"/>
  <c r="K16" i="10"/>
  <c r="I16" i="10"/>
  <c r="S54" i="9"/>
  <c r="Q54" i="9"/>
  <c r="O54" i="9"/>
  <c r="M54" i="9"/>
  <c r="K54" i="9"/>
  <c r="I54" i="9"/>
  <c r="E13" i="8"/>
  <c r="I13" i="8"/>
  <c r="G13" i="8"/>
  <c r="I16" i="6"/>
  <c r="G16" i="6"/>
  <c r="E16" i="6"/>
  <c r="C16" i="6"/>
  <c r="K10" i="5"/>
  <c r="AI10" i="4"/>
  <c r="AG10" i="4"/>
  <c r="AE10" i="4"/>
  <c r="AC10" i="4"/>
  <c r="AA10" i="4"/>
  <c r="Y10" i="4"/>
  <c r="X10" i="4"/>
  <c r="V10" i="4"/>
  <c r="U10" i="4"/>
  <c r="S10" i="4"/>
  <c r="Q10" i="4"/>
  <c r="O10" i="4"/>
  <c r="U96" i="2"/>
  <c r="S96" i="2"/>
  <c r="Q96" i="2"/>
  <c r="O96" i="2"/>
  <c r="M96" i="2"/>
  <c r="L96" i="2"/>
  <c r="J96" i="2"/>
  <c r="I96" i="2"/>
  <c r="G96" i="2"/>
  <c r="E96" i="2"/>
  <c r="C96" i="2"/>
  <c r="K16" i="6" l="1"/>
  <c r="W96" i="2"/>
  <c r="E11" i="15"/>
  <c r="E15" i="15"/>
  <c r="I11" i="15"/>
  <c r="I15" i="15"/>
  <c r="I12" i="15"/>
  <c r="I9" i="15"/>
  <c r="I16" i="15" s="1"/>
  <c r="I13" i="15"/>
  <c r="E13" i="15"/>
  <c r="E10" i="15"/>
  <c r="E14" i="15"/>
  <c r="I10" i="15"/>
  <c r="E16" i="15" l="1"/>
</calcChain>
</file>

<file path=xl/sharedStrings.xml><?xml version="1.0" encoding="utf-8"?>
<sst xmlns="http://schemas.openxmlformats.org/spreadsheetml/2006/main" count="687" uniqueCount="251">
  <si>
    <t>‫شاخصی هم ‏وزن تراز</t>
  </si>
  <si>
    <t>‫صورت وضعیت پورتفوی</t>
  </si>
  <si>
    <t>‫برای ماه منتهی به 1404/04/31</t>
  </si>
  <si>
    <t>‫1- سرمایه گذاری ها</t>
  </si>
  <si>
    <t>‫1-1- سرمایه گذاری در سهام و حق تقدم سهام</t>
  </si>
  <si>
    <t>‫1404/03/31</t>
  </si>
  <si>
    <t>‫تغییرات طی دوره</t>
  </si>
  <si>
    <t>‫1404/04/31</t>
  </si>
  <si>
    <t>‫شرکت</t>
  </si>
  <si>
    <t>‫تعداد</t>
  </si>
  <si>
    <t>‫بهای تمام شده</t>
  </si>
  <si>
    <t>‫خالص ارزش فروش</t>
  </si>
  <si>
    <t>‫خرید طی دوره</t>
  </si>
  <si>
    <t>‫فروش طی دوره</t>
  </si>
  <si>
    <t>‫قیمت بازار هر سهم</t>
  </si>
  <si>
    <t>‫درصد به کل دارایی ها</t>
  </si>
  <si>
    <t>‫مبلغ فروش</t>
  </si>
  <si>
    <t>‫آلوميناي ايران</t>
  </si>
  <si>
    <t>‫آنتي بيوتيك سازي ايران</t>
  </si>
  <si>
    <t>‫اخشان خراسان</t>
  </si>
  <si>
    <t>‫ارتباطات سیار</t>
  </si>
  <si>
    <t>‫افست</t>
  </si>
  <si>
    <t>‫الكتريك خودرو</t>
  </si>
  <si>
    <t>‫املاح ايران</t>
  </si>
  <si>
    <t>‫ايران ترانسفو</t>
  </si>
  <si>
    <t>‫ايران ياسا</t>
  </si>
  <si>
    <t>‫ايمن خودرو شرق</t>
  </si>
  <si>
    <t>‫ایرکا پارت صنعت</t>
  </si>
  <si>
    <t>‫بيمه ايران - معين</t>
  </si>
  <si>
    <t>‫بيمه ايران - معين (تقدم)</t>
  </si>
  <si>
    <t>‫تامين ماسه</t>
  </si>
  <si>
    <t>‫تايدواتر</t>
  </si>
  <si>
    <t xml:space="preserve">‫تراكتور سازي </t>
  </si>
  <si>
    <t>‫توزيع دارو پخش</t>
  </si>
  <si>
    <t>‫توسعه معادن كروميت كاوندگان</t>
  </si>
  <si>
    <t>‫توسعه نيشكر و صنايع جانبي</t>
  </si>
  <si>
    <t>‫توليد انرژي برق شمس پاسارگاد</t>
  </si>
  <si>
    <t>‫توليد ژلاتين كپسول ايران</t>
  </si>
  <si>
    <t>‫توليدات پتروشيمي قائد بصير</t>
  </si>
  <si>
    <t>‫توليدي برنا باطري</t>
  </si>
  <si>
    <t>‫توليدي چدن سازان</t>
  </si>
  <si>
    <t>‫حمل و نقل ريلي پارسيان</t>
  </si>
  <si>
    <t>‫خاك چيني</t>
  </si>
  <si>
    <t>‫داروسازي فارابي</t>
  </si>
  <si>
    <t>‫دارويي و نهاده هاي زاگرس دارو</t>
  </si>
  <si>
    <t>‫دريايي سينا</t>
  </si>
  <si>
    <t>‫رادياتور</t>
  </si>
  <si>
    <t>‫ريخته گري تراكتورسازي</t>
  </si>
  <si>
    <t>‫زامياد</t>
  </si>
  <si>
    <t>‫سبحان_دارو</t>
  </si>
  <si>
    <t>‫سرمايه گذاري پايا تدبيرپارسا</t>
  </si>
  <si>
    <t>‫سيمان آبيك</t>
  </si>
  <si>
    <t>‫سيمان اروميه</t>
  </si>
  <si>
    <t>‫سيمان تهران</t>
  </si>
  <si>
    <t>‫سيمان ساوه</t>
  </si>
  <si>
    <t>‫سيمان سپاهان</t>
  </si>
  <si>
    <t>‫سيمان شمال</t>
  </si>
  <si>
    <t>‫شيشه همدان</t>
  </si>
  <si>
    <t>‫شيشه و گاز</t>
  </si>
  <si>
    <t>‫شیشه قزوین</t>
  </si>
  <si>
    <t>‫صبا فولاد خليج فارس</t>
  </si>
  <si>
    <t>‫صنايع ارتباطي آوا</t>
  </si>
  <si>
    <t>‫صنايع غذايي رضوي</t>
  </si>
  <si>
    <t>‫صنعتي آما</t>
  </si>
  <si>
    <t>‫صنعتي بارز</t>
  </si>
  <si>
    <t>‫صنعتي سپاهان</t>
  </si>
  <si>
    <t>‫صنعتي مينو</t>
  </si>
  <si>
    <t>‫فن آوران</t>
  </si>
  <si>
    <t>‫قاسم ايران</t>
  </si>
  <si>
    <t>‫قند هكمتان</t>
  </si>
  <si>
    <t>‫قند چهار محال</t>
  </si>
  <si>
    <t>‫كاشي الوند</t>
  </si>
  <si>
    <t>‫كاشي وسراميك سينا</t>
  </si>
  <si>
    <t>‫كاشي پارس</t>
  </si>
  <si>
    <t>‫كاني كربن طبس</t>
  </si>
  <si>
    <t>‫كربن</t>
  </si>
  <si>
    <t>‫كشت و دام قيام اصفهان</t>
  </si>
  <si>
    <t>‫كشت و دامداري فكا</t>
  </si>
  <si>
    <t>‫كوير تاير</t>
  </si>
  <si>
    <t>‫لاستيك سهند</t>
  </si>
  <si>
    <t>‫ليزينگ اقتصاد نوين</t>
  </si>
  <si>
    <t>‫مجتمع صنايع لاستيك يزد</t>
  </si>
  <si>
    <t>‫مديريت نيروگاهي ايرانيان مپنا</t>
  </si>
  <si>
    <t>‫ملي شيمي كشاورز</t>
  </si>
  <si>
    <t>‫مهرام</t>
  </si>
  <si>
    <t>‫مهرمام ميهن</t>
  </si>
  <si>
    <t>‫موتورسازان</t>
  </si>
  <si>
    <t>‫موتوژن</t>
  </si>
  <si>
    <t>‫مگسال</t>
  </si>
  <si>
    <t>‫نساجي هديه البرز مشهد</t>
  </si>
  <si>
    <t>‫نفت اصفهان</t>
  </si>
  <si>
    <t>‫نفت بندر عباس</t>
  </si>
  <si>
    <t>‫نورد قطعات</t>
  </si>
  <si>
    <t>‫نيروترانس</t>
  </si>
  <si>
    <t>‫نگين طبس</t>
  </si>
  <si>
    <t>‫پارس فولاد سبزوار</t>
  </si>
  <si>
    <t>‫پاکدیس</t>
  </si>
  <si>
    <t>‫پتروشيمی پردیس</t>
  </si>
  <si>
    <t>‫پخش هجرت</t>
  </si>
  <si>
    <t>‫پرتو بار فرابر خليج فارس</t>
  </si>
  <si>
    <t>‫چادرملو</t>
  </si>
  <si>
    <t>‫گروه انتخاب الكترونيك آرمان</t>
  </si>
  <si>
    <t>‫جمع</t>
  </si>
  <si>
    <t>‫اطلاعات آماری مرتبط با اوراق اختیار فروش تبعی خریداری شده توسط صندوق سرمایه گذاری:</t>
  </si>
  <si>
    <t>‫نام سهام</t>
  </si>
  <si>
    <t>‫تعداد اوراق تبعی</t>
  </si>
  <si>
    <t>‫قیمت اعمال</t>
  </si>
  <si>
    <t>‫تاریخ اعمال</t>
  </si>
  <si>
    <t>‫نرخ سود موثر</t>
  </si>
  <si>
    <t>‫اختيارف ت محتشم-17550-4/11/08</t>
  </si>
  <si>
    <t>‫1404/11/08</t>
  </si>
  <si>
    <t>‫اطلاعات آماری مرتبط با موقعیت‌های اخذ شده در اوراق اختیار معامله توسط صندوق سرمایه گذاری:</t>
  </si>
  <si>
    <t>‫نوع اختیار</t>
  </si>
  <si>
    <t>‫نوع موقعیت</t>
  </si>
  <si>
    <t>‫تعداد اوراق</t>
  </si>
  <si>
    <t>‫اطلاعات آماری مرتبط با قراردادهای آتی توسط صندوق سرمایه گذاری:</t>
  </si>
  <si>
    <t>‫2-1- سرمایه گذاری در اوراق بهادار با درآمد ثابت یا علی الحساب</t>
  </si>
  <si>
    <t>‫اطلاعات اوراق بهادار با درآمد ثابت</t>
  </si>
  <si>
    <t>‫نام اوراق</t>
  </si>
  <si>
    <t>‫دارای مجوز از سازمان</t>
  </si>
  <si>
    <t>‫پذیرفته شده در بورس یا فرابورس</t>
  </si>
  <si>
    <t>‫تاریخ انتشار اوراق</t>
  </si>
  <si>
    <t>‫تاریخ سررسید</t>
  </si>
  <si>
    <t>‫نرخ سود اسمی</t>
  </si>
  <si>
    <t>‫نرخ سود مؤثر</t>
  </si>
  <si>
    <t>‫قیمت بازار هر ورقه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</si>
  <si>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</si>
  <si>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</si>
  <si>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</si>
  <si>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‫قیمت پایانی</t>
  </si>
  <si>
    <t>‫قیمت تعدیل شده</t>
  </si>
  <si>
    <t>‫درصد تعدیل</t>
  </si>
  <si>
    <t>‫خالص ارزش فروش تعدیل شده</t>
  </si>
  <si>
    <t>‫دلیل تعدیل</t>
  </si>
  <si>
    <t>‫سپرده‌های بانکی</t>
  </si>
  <si>
    <t>‫نرخ سود علی الحساب</t>
  </si>
  <si>
    <t>‫مبلغ</t>
  </si>
  <si>
    <t>‫افزایش</t>
  </si>
  <si>
    <t>‫کاهش</t>
  </si>
  <si>
    <t>‫0</t>
  </si>
  <si>
    <t>‫صورت وضعیت درآمدها</t>
  </si>
  <si>
    <t>‫2- درآمد حاصل از سرمایه گذاری ها</t>
  </si>
  <si>
    <t>‫شرح</t>
  </si>
  <si>
    <t>‫یادداشت</t>
  </si>
  <si>
    <t>‫درصد از کل درآمدها</t>
  </si>
  <si>
    <t>‫درصد از کل دارایی ها</t>
  </si>
  <si>
    <t>‫درآمد حاصل از سرمایه گذاری در سهام و حق تقدم سهام</t>
  </si>
  <si>
    <t>‫درآمد حاصل از سرمایه گذاری در اوراق بهادار با درآمد ثابت</t>
  </si>
  <si>
    <t>‫درآمد حاصل از سرمایه گذاری در سپرده بانکی و گواهی سپرده</t>
  </si>
  <si>
    <t>‫سایر درآمدها</t>
  </si>
  <si>
    <t>‫درآمد سود سهام</t>
  </si>
  <si>
    <t>‫اطلاعات مجمع</t>
  </si>
  <si>
    <t>‫طی دوره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</si>
  <si>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</si>
  <si>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</si>
  <si>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</si>
  <si>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</si>
  <si>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</si>
  <si>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</si>
  <si>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‫1404/02/23</t>
  </si>
  <si>
    <t>‫1404/03/21</t>
  </si>
  <si>
    <t>‫1404/03/26</t>
  </si>
  <si>
    <t>‫1404/03/12</t>
  </si>
  <si>
    <t>‫1404/04/05</t>
  </si>
  <si>
    <t>‫1404/03/13</t>
  </si>
  <si>
    <t>‫1404/02/31</t>
  </si>
  <si>
    <t>‫1404/03/06</t>
  </si>
  <si>
    <t>‫1404/04/28</t>
  </si>
  <si>
    <t>‫1404/04/30</t>
  </si>
  <si>
    <t>‫1404/03/01</t>
  </si>
  <si>
    <t>‫1404/04/29</t>
  </si>
  <si>
    <t>‫1404/04/25</t>
  </si>
  <si>
    <t>‫1404/04/04</t>
  </si>
  <si>
    <t>‫1404/04/22</t>
  </si>
  <si>
    <t>‫1404/03/17</t>
  </si>
  <si>
    <t>‫1404/02/13</t>
  </si>
  <si>
    <t>‫1404/02/30</t>
  </si>
  <si>
    <t>‫1404/01/31</t>
  </si>
  <si>
    <t>‫1404/04/19</t>
  </si>
  <si>
    <t>‫1404/03/25</t>
  </si>
  <si>
    <t>‫1404/03/03</t>
  </si>
  <si>
    <t>‫1404/03/28</t>
  </si>
  <si>
    <t>‫1404/04/26</t>
  </si>
  <si>
    <t>‫1404/02/20</t>
  </si>
  <si>
    <t>‫1404/03/11</t>
  </si>
  <si>
    <t>‫1404/03/10</t>
  </si>
  <si>
    <t>‫1404/04/01</t>
  </si>
  <si>
    <t>‫1404/02/15</t>
  </si>
  <si>
    <t>‫1404/04/23</t>
  </si>
  <si>
    <t>‫سود اوراق بهادار با درآمد ثابت و سپرده بانکی</t>
  </si>
  <si>
    <t>‫تاریخ دریافت سود</t>
  </si>
  <si>
    <t>‫درآمد سود</t>
  </si>
  <si>
    <t>‫خالص درآمد</t>
  </si>
  <si>
    <t>‫1404/04/12</t>
  </si>
  <si>
    <t>‫-</t>
  </si>
  <si>
    <t>‫1404/04/07</t>
  </si>
  <si>
    <t>‫سود(زیان) حاصل از فروش اوراق بهادار</t>
  </si>
  <si>
    <t>‫ارزش دفتری</t>
  </si>
  <si>
    <t>‫سود و زیان ناشی از فروش</t>
  </si>
  <si>
    <t>‫تراكتور سازي</t>
  </si>
  <si>
    <t>‫ارزش دفتری برابر است با میانگین موزون خالص ارزش فروش هر سهم/ورقه در ابتدای دوره با خرید طی دوره ضربدر تعداد در پایان دوره</t>
  </si>
  <si>
    <t>‫درآمد ناشی از تغییر قیمت اوراق بهادار</t>
  </si>
  <si>
    <t>‫سود و زیان ناشی از تغییر قیمت</t>
  </si>
  <si>
    <t>‫سبحان_دارو (تقدم)</t>
  </si>
  <si>
    <t>‫1-2- درآمد حاصل از سرمایه گذاری در سهام و حق تقدم سهام:</t>
  </si>
  <si>
    <t>‫سهام</t>
  </si>
  <si>
    <t>‫درآمد تغییر ارزش</t>
  </si>
  <si>
    <t>‫درآمد فروش</t>
  </si>
  <si>
    <t>‫جمع مبلغ</t>
  </si>
  <si>
    <t>‫درصد از کل درآمد ها</t>
  </si>
  <si>
    <t>‫ارتباطات سيار</t>
  </si>
  <si>
    <t>‫ايركا پارت صنعت</t>
  </si>
  <si>
    <t>‫بيمه اتكايي ايران معين</t>
  </si>
  <si>
    <t>‫شيشه قزوين</t>
  </si>
  <si>
    <t>‫پاكديس</t>
  </si>
  <si>
    <t>‫پتروشيمي پرديس</t>
  </si>
  <si>
    <t>‫2-2- درآمد حاصل از سرمایه گذاری در اوراق بهادار با درآمد ثابت:</t>
  </si>
  <si>
    <t>‫درآمد سود اوراق</t>
  </si>
  <si>
    <t>‫3-2- درآمد حاصل از سرمایه گذاری در سپرده بانکی و گواهی سپرده:</t>
  </si>
  <si>
    <t>‫نام سپرده بانکی</t>
  </si>
  <si>
    <t>‫نام سپرده</t>
  </si>
  <si>
    <t>‫سود سپرده بانکی و گواهی سپرده</t>
  </si>
  <si>
    <t>‫درصد سود به میانگین سپرده</t>
  </si>
  <si>
    <t>‫4-2- سایر درآمدها:</t>
  </si>
  <si>
    <t>صندوق سرمایه گذاری 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</si>
  <si>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</si>
  <si>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تیر 1404</t>
  </si>
  <si>
    <t>‫%22</t>
  </si>
  <si>
    <t>‫ بانک آينده</t>
  </si>
  <si>
    <t>‫ بانک خاورميانه</t>
  </si>
  <si>
    <t>‫ بانک دي</t>
  </si>
  <si>
    <t>‫ بانک سامان</t>
  </si>
  <si>
    <t>‫ بانک سپه</t>
  </si>
  <si>
    <t>‫ بانک ملت</t>
  </si>
  <si>
    <t>‫ بانک پاسارگاد</t>
  </si>
  <si>
    <t>‫3-1- سرمایه گذاری در  سپرده بانکی و گواهی سپرده بانکی</t>
  </si>
  <si>
    <t>1-2</t>
  </si>
  <si>
    <t>درآمد حاصل از سرمایه گذاری در واحدهای صندوق های سرمایه گذاری</t>
  </si>
  <si>
    <t>2-2</t>
  </si>
  <si>
    <t>3-2</t>
  </si>
  <si>
    <t>4-2</t>
  </si>
  <si>
    <t>5-2</t>
  </si>
  <si>
    <t>‫بانک آينده</t>
  </si>
  <si>
    <t>‫بانک دي</t>
  </si>
  <si>
    <t>‫بانک سامان</t>
  </si>
  <si>
    <t>‫بانک پاسارگاد</t>
  </si>
  <si>
    <t>‫بانک سپه</t>
  </si>
  <si>
    <t>‫بانک خاورميانه</t>
  </si>
  <si>
    <t>‫بانک ملت</t>
  </si>
  <si>
    <t>‫بانک  آينده</t>
  </si>
  <si>
    <t>‫بانک  سامان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</si>
</sst>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B Nazanin"/>
      <charset val="178"/>
    </font>
    <font>
      <b/>
      <sz val="48"/>
      <color rgb="FFFF0000"/>
      <name val="B Nazanin"/>
      <charset val="178"/>
    </font>
    <font>
      <b/>
      <sz val="24"/>
      <color rgb="FFFF0000"/>
      <name val="B Nazanin"/>
      <charset val="178"/>
    </font>
    <font>
      <b/>
      <sz val="24"/>
      <name val="B Nazanin"/>
      <charset val="178"/>
    </font>
    <font>
      <b/>
      <sz val="18"/>
      <name val="B Nazanin"/>
      <charset val="178"/>
    </font>
    <font>
      <b/>
      <sz val="15"/>
      <name val="B Nazanin"/>
      <charset val="178"/>
    </font>
    <font>
      <sz val="22"/>
      <color rgb="FFFF0000"/>
      <name val="B Nazanin"/>
      <charset val="178"/>
    </font>
    <font>
      <b/>
      <sz val="14"/>
      <name val="B Nazanin"/>
      <charset val="178"/>
    </font>
    <font>
      <sz val="11"/>
      <color indexed="8"/>
      <name val="B Nazanin"/>
      <charset val="178"/>
    </font>
    <font>
      <b/>
      <u/>
      <sz val="16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2" borderId="6"/>
  </cellStyleXfs>
  <cellXfs count="38">
    <xf numFmtId="0" fontId="0" fillId="0" borderId="0" xfId="0"/>
    <xf numFmtId="0" fontId="2" fillId="3" borderId="6" xfId="1" applyFont="1" applyFill="1"/>
    <xf numFmtId="0" fontId="7" fillId="3" borderId="6" xfId="1" applyFont="1" applyFill="1" applyAlignment="1">
      <alignment horizontal="center"/>
    </xf>
    <xf numFmtId="0" fontId="7" fillId="3" borderId="6" xfId="1" applyFont="1" applyFill="1"/>
    <xf numFmtId="0" fontId="10" fillId="0" borderId="0" xfId="0" applyFont="1"/>
    <xf numFmtId="37" fontId="12" fillId="0" borderId="0" xfId="0" applyNumberFormat="1" applyFont="1" applyAlignment="1">
      <alignment horizontal="right" vertical="center"/>
    </xf>
    <xf numFmtId="37" fontId="12" fillId="0" borderId="1" xfId="0" applyNumberFormat="1" applyFont="1" applyBorder="1" applyAlignment="1">
      <alignment horizontal="center" vertical="center"/>
    </xf>
    <xf numFmtId="37" fontId="12" fillId="0" borderId="1" xfId="0" applyNumberFormat="1" applyFont="1" applyBorder="1" applyAlignment="1">
      <alignment horizontal="center" vertical="center" wrapText="1"/>
    </xf>
    <xf numFmtId="37" fontId="13" fillId="0" borderId="3" xfId="0" applyNumberFormat="1" applyFont="1" applyBorder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37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37" fontId="12" fillId="0" borderId="0" xfId="0" applyNumberFormat="1" applyFont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37" fontId="13" fillId="0" borderId="0" xfId="0" applyNumberFormat="1" applyFont="1" applyAlignment="1">
      <alignment horizontal="right" vertical="center" wrapText="1"/>
    </xf>
    <xf numFmtId="0" fontId="8" fillId="3" borderId="6" xfId="1" applyFont="1" applyFill="1" applyAlignment="1">
      <alignment horizontal="center" vertical="center" wrapText="1"/>
    </xf>
    <xf numFmtId="0" fontId="3" fillId="3" borderId="6" xfId="1" applyFont="1" applyFill="1" applyAlignment="1">
      <alignment horizontal="center" vertical="center" wrapText="1"/>
    </xf>
    <xf numFmtId="0" fontId="4" fillId="3" borderId="6" xfId="1" applyFont="1" applyFill="1" applyAlignment="1">
      <alignment horizontal="center" vertical="center" wrapText="1"/>
    </xf>
    <xf numFmtId="0" fontId="5" fillId="3" borderId="6" xfId="1" applyFont="1" applyFill="1" applyAlignment="1">
      <alignment horizontal="center" vertical="center" wrapText="1"/>
    </xf>
    <xf numFmtId="0" fontId="6" fillId="3" borderId="6" xfId="1" applyFont="1" applyFill="1" applyAlignment="1">
      <alignment horizontal="center"/>
    </xf>
    <xf numFmtId="0" fontId="9" fillId="3" borderId="6" xfId="1" applyFont="1" applyFill="1" applyAlignment="1">
      <alignment horizontal="center"/>
    </xf>
    <xf numFmtId="37" fontId="12" fillId="0" borderId="1" xfId="0" applyNumberFormat="1" applyFont="1" applyBorder="1" applyAlignment="1">
      <alignment horizontal="center" vertical="center"/>
    </xf>
    <xf numFmtId="0" fontId="10" fillId="2" borderId="2" xfId="0" applyFont="1" applyFill="1" applyBorder="1"/>
    <xf numFmtId="0" fontId="13" fillId="0" borderId="0" xfId="0" applyFont="1" applyAlignment="1">
      <alignment horizontal="center" vertical="center"/>
    </xf>
    <xf numFmtId="37" fontId="13" fillId="0" borderId="1" xfId="0" applyNumberFormat="1" applyFont="1" applyBorder="1" applyAlignment="1">
      <alignment horizontal="center" vertical="center"/>
    </xf>
    <xf numFmtId="0" fontId="10" fillId="0" borderId="0" xfId="0" applyFont="1"/>
    <xf numFmtId="37" fontId="13" fillId="0" borderId="0" xfId="0" applyNumberFormat="1" applyFont="1" applyAlignment="1">
      <alignment horizontal="center" vertical="center" wrapText="1"/>
    </xf>
    <xf numFmtId="37" fontId="11" fillId="0" borderId="0" xfId="0" applyNumberFormat="1" applyFont="1" applyAlignment="1">
      <alignment horizontal="center" vertical="center"/>
    </xf>
    <xf numFmtId="37" fontId="12" fillId="0" borderId="0" xfId="0" applyNumberFormat="1" applyFont="1" applyAlignment="1">
      <alignment horizontal="right" vertical="center"/>
    </xf>
    <xf numFmtId="37" fontId="13" fillId="0" borderId="0" xfId="0" applyNumberFormat="1" applyFont="1" applyAlignment="1">
      <alignment horizontal="center" vertical="center"/>
    </xf>
    <xf numFmtId="37" fontId="13" fillId="0" borderId="4" xfId="0" applyNumberFormat="1" applyFont="1" applyBorder="1" applyAlignment="1">
      <alignment horizontal="center" vertical="center"/>
    </xf>
    <xf numFmtId="37" fontId="13" fillId="0" borderId="5" xfId="0" applyNumberFormat="1" applyFont="1" applyBorder="1" applyAlignment="1">
      <alignment horizontal="center" vertical="center"/>
    </xf>
    <xf numFmtId="0" fontId="10" fillId="2" borderId="7" xfId="0" applyFont="1" applyFill="1" applyBorder="1"/>
    <xf numFmtId="0" fontId="10" fillId="2" borderId="8" xfId="0" applyFont="1" applyFill="1" applyBorder="1"/>
    <xf numFmtId="3" fontId="10" fillId="0" borderId="0" xfId="0" applyNumberFormat="1" applyFont="1"/>
  </cellXfs>
  <cellStyles count="2">
    <cellStyle name="Normal" xfId="0" builtinId="0"/>
    <cellStyle name="Normal 2" xfId="1" xr:uid="{2EF50C76-6EBC-40C6-8A00-64F008A17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rightToLeft="1" tabSelected="1" view="pageBreakPreview" zoomScale="60" zoomScaleNormal="100" workbookViewId="0">
      <selection sqref="A1:XFD1048576"/>
    </sheetView>
  </sheetViews>
  <sheetFormatPr defaultRowHeight="18" x14ac:dyDescent="0.45"/>
  <cols>
    <col min="1" max="16384" width="9.140625" style="4"/>
  </cols>
  <sheetData>
    <row r="1" spans="1:1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45">
      <c r="A4" s="19" t="s">
        <v>224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4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x14ac:dyDescent="0.4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4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4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ht="55.5" customHeight="1" x14ac:dyDescent="0.4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x14ac:dyDescent="0.4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0"/>
    </row>
    <row r="11" spans="1:11" x14ac:dyDescent="0.4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x14ac:dyDescent="0.4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30" x14ac:dyDescent="0.75">
      <c r="A13" s="1"/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1" ht="25.5" x14ac:dyDescent="0.6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" customHeight="1" x14ac:dyDescent="0.45">
      <c r="A15" s="18" t="s">
        <v>226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 ht="15" customHeight="1" x14ac:dyDescent="0.4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15" customHeight="1" x14ac:dyDescent="0.4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 ht="15" customHeight="1" x14ac:dyDescent="0.4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1" ht="15" customHeight="1" x14ac:dyDescent="0.4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ht="15" customHeight="1" x14ac:dyDescent="0.4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39.950000000000003" customHeight="1" x14ac:dyDescent="0.65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39.950000000000003" customHeight="1" x14ac:dyDescent="0.6">
      <c r="A23" s="1"/>
      <c r="B23" s="23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39.950000000000003" customHeight="1" x14ac:dyDescent="0.65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45">
      <c r="A25" s="18" t="s">
        <v>225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4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x14ac:dyDescent="0.4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x14ac:dyDescent="0.4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x14ac:dyDescent="0.4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x14ac:dyDescent="0.4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x14ac:dyDescent="0.4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</sheetData>
  <mergeCells count="7">
    <mergeCell ref="A25:K31"/>
    <mergeCell ref="A4:K9"/>
    <mergeCell ref="A10:J12"/>
    <mergeCell ref="K10:K12"/>
    <mergeCell ref="B13:K13"/>
    <mergeCell ref="A15:K20"/>
    <mergeCell ref="B23:K23"/>
  </mergeCells>
  <pageMargins left="0.7" right="0.7" top="0.75" bottom="0.75" header="0.3" footer="0.3"/>
  <pageSetup paperSize="9" scale="8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7"/>
  <sheetViews>
    <sheetView rightToLeft="1" view="pageBreakPreview" topLeftCell="A79" zoomScale="84" zoomScaleNormal="100" zoomScaleSheetLayoutView="84" workbookViewId="0">
      <selection sqref="A1:XFD1048576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4" style="4" bestFit="1" customWidth="1"/>
    <col min="4" max="4" width="1.42578125" style="4" customWidth="1"/>
    <col min="5" max="5" width="19.42578125" style="4" bestFit="1" customWidth="1"/>
    <col min="6" max="6" width="1.42578125" style="4" customWidth="1"/>
    <col min="7" max="7" width="19.42578125" style="4" bestFit="1" customWidth="1"/>
    <col min="8" max="8" width="1.42578125" style="4" customWidth="1"/>
    <col min="9" max="9" width="5.42578125" style="4" bestFit="1" customWidth="1"/>
    <col min="10" max="10" width="11.85546875" style="4" bestFit="1" customWidth="1"/>
    <col min="11" max="11" width="1.42578125" style="4" customWidth="1"/>
    <col min="12" max="12" width="12.5703125" style="4" bestFit="1" customWidth="1"/>
    <col min="13" max="13" width="17" style="4" customWidth="1"/>
    <col min="14" max="14" width="1.42578125" style="4" customWidth="1"/>
    <col min="15" max="15" width="13.42578125" style="4" bestFit="1" customWidth="1"/>
    <col min="16" max="16" width="1.42578125" style="4" customWidth="1"/>
    <col min="17" max="17" width="14.85546875" style="4" bestFit="1" customWidth="1"/>
    <col min="18" max="18" width="1.42578125" style="4" customWidth="1"/>
    <col min="19" max="19" width="19.42578125" style="4" bestFit="1" customWidth="1"/>
    <col min="20" max="20" width="1.42578125" style="4" customWidth="1"/>
    <col min="21" max="21" width="19.7109375" style="4" bestFit="1" customWidth="1"/>
    <col min="22" max="22" width="1.42578125" style="4" customWidth="1"/>
    <col min="23" max="23" width="17.28515625" style="4" bestFit="1" customWidth="1"/>
    <col min="24" max="16384" width="9.140625" style="4"/>
  </cols>
  <sheetData>
    <row r="1" spans="1:26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6" ht="20.100000000000001" customHeight="1" x14ac:dyDescent="0.4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6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5" spans="1:26" ht="21" x14ac:dyDescent="0.45">
      <c r="A5" s="31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6" spans="1:26" ht="21" x14ac:dyDescent="0.45">
      <c r="A6" s="31" t="s">
        <v>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Z6" s="37"/>
    </row>
    <row r="8" spans="1:26" ht="21" x14ac:dyDescent="0.45">
      <c r="C8" s="24" t="s">
        <v>5</v>
      </c>
      <c r="D8" s="25"/>
      <c r="E8" s="25"/>
      <c r="F8" s="25"/>
      <c r="G8" s="25"/>
      <c r="I8" s="24" t="s">
        <v>6</v>
      </c>
      <c r="J8" s="25"/>
      <c r="K8" s="25"/>
      <c r="L8" s="25"/>
      <c r="M8" s="25"/>
      <c r="O8" s="24" t="s">
        <v>7</v>
      </c>
      <c r="P8" s="25"/>
      <c r="Q8" s="25"/>
      <c r="R8" s="25"/>
      <c r="S8" s="25"/>
      <c r="T8" s="25"/>
      <c r="U8" s="25"/>
      <c r="V8" s="25"/>
      <c r="W8" s="25"/>
    </row>
    <row r="9" spans="1:26" ht="18.75" x14ac:dyDescent="0.45">
      <c r="A9" s="26" t="s">
        <v>8</v>
      </c>
      <c r="C9" s="26" t="s">
        <v>9</v>
      </c>
      <c r="E9" s="26" t="s">
        <v>10</v>
      </c>
      <c r="G9" s="26" t="s">
        <v>11</v>
      </c>
      <c r="I9" s="26" t="s">
        <v>12</v>
      </c>
      <c r="J9" s="28"/>
      <c r="L9" s="26" t="s">
        <v>13</v>
      </c>
      <c r="M9" s="28"/>
      <c r="O9" s="26" t="s">
        <v>9</v>
      </c>
      <c r="Q9" s="29" t="s">
        <v>14</v>
      </c>
      <c r="S9" s="26" t="s">
        <v>10</v>
      </c>
      <c r="U9" s="26" t="s">
        <v>11</v>
      </c>
      <c r="W9" s="29" t="s">
        <v>15</v>
      </c>
    </row>
    <row r="10" spans="1:26" ht="18.75" x14ac:dyDescent="0.45">
      <c r="A10" s="27"/>
      <c r="C10" s="27"/>
      <c r="E10" s="27"/>
      <c r="G10" s="27"/>
      <c r="I10" s="16" t="s">
        <v>9</v>
      </c>
      <c r="J10" s="16" t="s">
        <v>10</v>
      </c>
      <c r="L10" s="16" t="s">
        <v>9</v>
      </c>
      <c r="M10" s="16" t="s">
        <v>16</v>
      </c>
      <c r="O10" s="27"/>
      <c r="Q10" s="27"/>
      <c r="S10" s="27"/>
      <c r="U10" s="27"/>
      <c r="W10" s="27"/>
    </row>
    <row r="11" spans="1:26" ht="18.75" x14ac:dyDescent="0.45">
      <c r="A11" s="17" t="s">
        <v>17</v>
      </c>
      <c r="C11" s="12">
        <v>75</v>
      </c>
      <c r="E11" s="12">
        <v>4112010</v>
      </c>
      <c r="G11" s="12">
        <v>8535659</v>
      </c>
      <c r="I11" s="12">
        <v>0</v>
      </c>
      <c r="J11" s="12">
        <v>0</v>
      </c>
      <c r="L11" s="12">
        <v>75</v>
      </c>
      <c r="M11" s="12">
        <v>7507566</v>
      </c>
      <c r="W11" s="13">
        <v>0</v>
      </c>
    </row>
    <row r="12" spans="1:26" ht="37.5" x14ac:dyDescent="0.45">
      <c r="A12" s="17" t="s">
        <v>18</v>
      </c>
      <c r="C12" s="12">
        <v>50000</v>
      </c>
      <c r="E12" s="12">
        <v>1000908000</v>
      </c>
      <c r="G12" s="12">
        <v>1406580750</v>
      </c>
      <c r="N12" s="11"/>
      <c r="O12" s="12">
        <v>50000</v>
      </c>
      <c r="Q12" s="12">
        <v>27000</v>
      </c>
      <c r="S12" s="12">
        <v>1000908000</v>
      </c>
      <c r="U12" s="12">
        <v>1341967500</v>
      </c>
      <c r="W12" s="13">
        <v>4.5855489309496291E-4</v>
      </c>
    </row>
    <row r="13" spans="1:26" ht="18.75" x14ac:dyDescent="0.45">
      <c r="A13" s="17" t="s">
        <v>19</v>
      </c>
      <c r="C13" s="12">
        <v>245000</v>
      </c>
      <c r="E13" s="12">
        <v>1829159370</v>
      </c>
      <c r="G13" s="12">
        <v>1994611027</v>
      </c>
      <c r="N13" s="11"/>
      <c r="O13" s="12">
        <v>245000</v>
      </c>
      <c r="Q13" s="12">
        <v>7390</v>
      </c>
      <c r="S13" s="12">
        <v>1829159370</v>
      </c>
      <c r="U13" s="12">
        <v>1799777227</v>
      </c>
      <c r="W13" s="13">
        <v>6.1499004552772985E-4</v>
      </c>
    </row>
    <row r="14" spans="1:26" ht="18.75" x14ac:dyDescent="0.45">
      <c r="A14" s="17" t="s">
        <v>20</v>
      </c>
      <c r="C14" s="12">
        <v>6813853</v>
      </c>
      <c r="E14" s="12">
        <v>25439191217</v>
      </c>
      <c r="G14" s="12">
        <v>35695346728</v>
      </c>
      <c r="I14" s="12">
        <v>0</v>
      </c>
      <c r="J14" s="12">
        <v>0</v>
      </c>
      <c r="L14" s="12">
        <v>6813853</v>
      </c>
      <c r="M14" s="12">
        <v>29734833546</v>
      </c>
      <c r="W14" s="13">
        <v>0</v>
      </c>
    </row>
    <row r="15" spans="1:26" ht="18.75" x14ac:dyDescent="0.45">
      <c r="A15" s="17" t="s">
        <v>21</v>
      </c>
      <c r="C15" s="12">
        <v>1895580</v>
      </c>
      <c r="E15" s="12">
        <v>18383781995</v>
      </c>
      <c r="G15" s="12">
        <v>19690948575</v>
      </c>
      <c r="N15" s="11"/>
      <c r="O15" s="12">
        <v>1895580</v>
      </c>
      <c r="Q15" s="12">
        <v>9840</v>
      </c>
      <c r="S15" s="12">
        <v>18383781995</v>
      </c>
      <c r="U15" s="12">
        <v>18541524782</v>
      </c>
      <c r="W15" s="13">
        <v>6.335702551833495E-3</v>
      </c>
    </row>
    <row r="16" spans="1:26" ht="18.75" x14ac:dyDescent="0.45">
      <c r="A16" s="17" t="s">
        <v>22</v>
      </c>
      <c r="C16" s="12">
        <v>19134677</v>
      </c>
      <c r="E16" s="12">
        <v>75470102718</v>
      </c>
      <c r="G16" s="12">
        <v>62692641414</v>
      </c>
      <c r="N16" s="11"/>
      <c r="O16" s="12">
        <v>19134677</v>
      </c>
      <c r="Q16" s="12">
        <v>2692</v>
      </c>
      <c r="S16" s="12">
        <v>75470102718</v>
      </c>
      <c r="U16" s="12">
        <v>51204062709</v>
      </c>
      <c r="W16" s="13">
        <v>1.7496603681947047E-2</v>
      </c>
    </row>
    <row r="17" spans="1:23" ht="18.75" x14ac:dyDescent="0.45">
      <c r="A17" s="17" t="s">
        <v>23</v>
      </c>
      <c r="C17" s="12">
        <v>2291471</v>
      </c>
      <c r="E17" s="12">
        <v>31767128264</v>
      </c>
      <c r="G17" s="12">
        <v>32459173653</v>
      </c>
      <c r="I17" s="12">
        <v>0</v>
      </c>
      <c r="J17" s="12">
        <v>0</v>
      </c>
      <c r="L17" s="12">
        <v>734151</v>
      </c>
      <c r="M17" s="12">
        <v>9896500977</v>
      </c>
      <c r="O17" s="12">
        <v>1557320</v>
      </c>
      <c r="Q17" s="12">
        <v>13780</v>
      </c>
      <c r="S17" s="12">
        <v>21589443719</v>
      </c>
      <c r="U17" s="12">
        <v>21332183376</v>
      </c>
      <c r="W17" s="13">
        <v>7.2892801557890375E-3</v>
      </c>
    </row>
    <row r="18" spans="1:23" ht="18.75" x14ac:dyDescent="0.45">
      <c r="A18" s="17" t="s">
        <v>24</v>
      </c>
      <c r="C18" s="12">
        <v>14265950</v>
      </c>
      <c r="E18" s="12">
        <v>25988123619</v>
      </c>
      <c r="G18" s="12">
        <v>46258642503</v>
      </c>
      <c r="N18" s="11"/>
      <c r="O18" s="12">
        <v>14265950</v>
      </c>
      <c r="Q18" s="12">
        <v>3211</v>
      </c>
      <c r="S18" s="12">
        <v>25988123619</v>
      </c>
      <c r="U18" s="12">
        <v>45535408056</v>
      </c>
      <c r="W18" s="13">
        <v>1.5559604962977563E-2</v>
      </c>
    </row>
    <row r="19" spans="1:23" ht="18.75" x14ac:dyDescent="0.45">
      <c r="A19" s="17" t="s">
        <v>25</v>
      </c>
      <c r="C19" s="12">
        <v>500000</v>
      </c>
      <c r="E19" s="12">
        <v>7186663004</v>
      </c>
      <c r="G19" s="12">
        <v>8215823250</v>
      </c>
      <c r="N19" s="11"/>
      <c r="O19" s="12">
        <v>500000</v>
      </c>
      <c r="Q19" s="12">
        <v>14050</v>
      </c>
      <c r="S19" s="12">
        <v>7186663004</v>
      </c>
      <c r="U19" s="12">
        <v>6983201250</v>
      </c>
      <c r="W19" s="13">
        <v>2.3861837955497147E-3</v>
      </c>
    </row>
    <row r="20" spans="1:23" ht="18.75" x14ac:dyDescent="0.45">
      <c r="A20" s="17" t="s">
        <v>26</v>
      </c>
      <c r="C20" s="12">
        <v>1750000</v>
      </c>
      <c r="E20" s="12">
        <v>4291393050</v>
      </c>
      <c r="G20" s="12">
        <v>6610432500</v>
      </c>
      <c r="N20" s="11"/>
      <c r="O20" s="12">
        <v>1750000</v>
      </c>
      <c r="Q20" s="12">
        <v>3738</v>
      </c>
      <c r="S20" s="12">
        <v>4291393050</v>
      </c>
      <c r="U20" s="12">
        <v>6502578075</v>
      </c>
      <c r="W20" s="13">
        <v>2.2219532097634814E-3</v>
      </c>
    </row>
    <row r="21" spans="1:23" ht="18.75" x14ac:dyDescent="0.45">
      <c r="A21" s="17" t="s">
        <v>27</v>
      </c>
      <c r="C21" s="12">
        <v>23109504</v>
      </c>
      <c r="E21" s="12">
        <v>47166686292</v>
      </c>
      <c r="G21" s="12">
        <v>38340272091</v>
      </c>
      <c r="N21" s="11"/>
      <c r="O21" s="12">
        <v>23109504</v>
      </c>
      <c r="Q21" s="12">
        <v>1520</v>
      </c>
      <c r="S21" s="12">
        <v>47166686292</v>
      </c>
      <c r="U21" s="12">
        <v>34917443726</v>
      </c>
      <c r="W21" s="13">
        <v>1.1931410168223385E-2</v>
      </c>
    </row>
    <row r="22" spans="1:23" ht="18.75" x14ac:dyDescent="0.45">
      <c r="A22" s="17" t="s">
        <v>28</v>
      </c>
      <c r="C22" s="12">
        <v>1905000</v>
      </c>
      <c r="E22" s="12">
        <v>3251634127</v>
      </c>
      <c r="G22" s="12">
        <v>4018357660</v>
      </c>
      <c r="N22" s="11"/>
      <c r="O22" s="12">
        <v>2875000</v>
      </c>
      <c r="Q22" s="12">
        <v>1927</v>
      </c>
      <c r="S22" s="12">
        <v>4907321845</v>
      </c>
      <c r="U22" s="12">
        <v>5507161256</v>
      </c>
      <c r="W22" s="13">
        <v>1.8818158718462272E-3</v>
      </c>
    </row>
    <row r="23" spans="1:23" ht="37.5" x14ac:dyDescent="0.45">
      <c r="A23" s="17" t="s">
        <v>29</v>
      </c>
      <c r="C23" s="12">
        <v>970000</v>
      </c>
      <c r="E23" s="12">
        <v>685687718</v>
      </c>
      <c r="G23" s="12">
        <v>851413765</v>
      </c>
      <c r="N23" s="11"/>
      <c r="W23" s="13">
        <v>0</v>
      </c>
    </row>
    <row r="24" spans="1:23" ht="18.75" x14ac:dyDescent="0.45">
      <c r="A24" s="17" t="s">
        <v>30</v>
      </c>
      <c r="C24" s="12">
        <v>15000000</v>
      </c>
      <c r="E24" s="12">
        <v>52648211603</v>
      </c>
      <c r="G24" s="12">
        <v>82158232500</v>
      </c>
      <c r="N24" s="11"/>
      <c r="O24" s="12">
        <v>15000000</v>
      </c>
      <c r="Q24" s="12">
        <v>4401</v>
      </c>
      <c r="S24" s="12">
        <v>52648211603</v>
      </c>
      <c r="U24" s="12">
        <v>65622210750</v>
      </c>
      <c r="W24" s="13">
        <v>2.2423334272343689E-2</v>
      </c>
    </row>
    <row r="25" spans="1:23" ht="18.75" x14ac:dyDescent="0.45">
      <c r="A25" s="17" t="s">
        <v>31</v>
      </c>
      <c r="C25" s="12">
        <v>20425056</v>
      </c>
      <c r="E25" s="12">
        <v>77722008134</v>
      </c>
      <c r="G25" s="12">
        <v>177655860522</v>
      </c>
      <c r="I25" s="12">
        <v>0</v>
      </c>
      <c r="J25" s="12">
        <v>0</v>
      </c>
      <c r="L25" s="12">
        <v>2425056</v>
      </c>
      <c r="M25" s="12">
        <v>19646609456</v>
      </c>
      <c r="O25" s="12">
        <v>18000000</v>
      </c>
      <c r="Q25" s="12">
        <v>7230</v>
      </c>
      <c r="S25" s="12">
        <v>68494115581</v>
      </c>
      <c r="U25" s="12">
        <v>129365667000</v>
      </c>
      <c r="W25" s="13">
        <v>4.4204691694354425E-2</v>
      </c>
    </row>
    <row r="26" spans="1:23" ht="18.75" x14ac:dyDescent="0.45">
      <c r="A26" s="17" t="s">
        <v>32</v>
      </c>
      <c r="C26" s="12">
        <v>4754687</v>
      </c>
      <c r="E26" s="12">
        <v>17193606879</v>
      </c>
      <c r="G26" s="12">
        <v>24671790316</v>
      </c>
      <c r="I26" s="12">
        <v>0</v>
      </c>
      <c r="J26" s="12">
        <v>0</v>
      </c>
      <c r="L26" s="12">
        <v>15081</v>
      </c>
      <c r="M26" s="12">
        <v>70580885</v>
      </c>
      <c r="O26" s="12">
        <v>4739606</v>
      </c>
      <c r="Q26" s="12">
        <v>4720</v>
      </c>
      <c r="S26" s="12">
        <v>17139071894</v>
      </c>
      <c r="U26" s="12">
        <v>22237833225</v>
      </c>
      <c r="W26" s="13">
        <v>7.5987438124645269E-3</v>
      </c>
    </row>
    <row r="27" spans="1:23" ht="18.75" x14ac:dyDescent="0.45">
      <c r="A27" s="17" t="s">
        <v>33</v>
      </c>
      <c r="C27" s="12">
        <v>9127149</v>
      </c>
      <c r="E27" s="12">
        <v>20800950175</v>
      </c>
      <c r="G27" s="12">
        <v>14997408592</v>
      </c>
      <c r="N27" s="11"/>
      <c r="O27" s="12">
        <v>9127149</v>
      </c>
      <c r="Q27" s="12">
        <v>1528</v>
      </c>
      <c r="S27" s="12">
        <v>20800950175</v>
      </c>
      <c r="U27" s="12">
        <v>13863303284</v>
      </c>
      <c r="W27" s="13">
        <v>4.7371382357155956E-3</v>
      </c>
    </row>
    <row r="28" spans="1:23" ht="37.5" x14ac:dyDescent="0.45">
      <c r="A28" s="17" t="s">
        <v>34</v>
      </c>
      <c r="C28" s="12">
        <v>842177</v>
      </c>
      <c r="E28" s="12">
        <v>2001916090</v>
      </c>
      <c r="G28" s="12">
        <v>4939279676</v>
      </c>
      <c r="N28" s="11"/>
      <c r="O28" s="12">
        <v>842177</v>
      </c>
      <c r="Q28" s="12">
        <v>4795</v>
      </c>
      <c r="S28" s="12">
        <v>2001916090</v>
      </c>
      <c r="U28" s="12">
        <v>4014211195</v>
      </c>
      <c r="W28" s="13">
        <v>1.3716697203053191E-3</v>
      </c>
    </row>
    <row r="29" spans="1:23" ht="37.5" x14ac:dyDescent="0.45">
      <c r="A29" s="17" t="s">
        <v>35</v>
      </c>
      <c r="C29" s="12">
        <v>286500</v>
      </c>
      <c r="E29" s="12">
        <v>12155017291</v>
      </c>
      <c r="G29" s="12">
        <v>14766637601</v>
      </c>
      <c r="I29" s="12">
        <v>0</v>
      </c>
      <c r="J29" s="12">
        <v>0</v>
      </c>
      <c r="L29" s="12">
        <v>750</v>
      </c>
      <c r="M29" s="12">
        <v>34443835</v>
      </c>
      <c r="O29" s="12">
        <v>285750</v>
      </c>
      <c r="Q29" s="12">
        <v>47100</v>
      </c>
      <c r="S29" s="12">
        <v>12123197874</v>
      </c>
      <c r="U29" s="12">
        <v>13378744991</v>
      </c>
      <c r="W29" s="13">
        <v>4.5715630066248073E-3</v>
      </c>
    </row>
    <row r="30" spans="1:23" ht="37.5" x14ac:dyDescent="0.45">
      <c r="A30" s="17" t="s">
        <v>36</v>
      </c>
      <c r="C30" s="12">
        <v>250000</v>
      </c>
      <c r="E30" s="12">
        <v>800726400</v>
      </c>
      <c r="G30" s="12">
        <v>1064379037</v>
      </c>
      <c r="N30" s="11"/>
      <c r="O30" s="12">
        <v>250000</v>
      </c>
      <c r="Q30" s="12">
        <v>3849</v>
      </c>
      <c r="S30" s="12">
        <v>800726400</v>
      </c>
      <c r="U30" s="12">
        <v>956524612</v>
      </c>
      <c r="W30" s="13">
        <v>3.2684773751850244E-4</v>
      </c>
    </row>
    <row r="31" spans="1:23" ht="37.5" x14ac:dyDescent="0.45">
      <c r="A31" s="17" t="s">
        <v>37</v>
      </c>
      <c r="C31" s="12">
        <v>100000</v>
      </c>
      <c r="E31" s="12">
        <v>12596427117</v>
      </c>
      <c r="G31" s="12">
        <v>12455446500</v>
      </c>
      <c r="N31" s="11"/>
      <c r="O31" s="12">
        <v>100000</v>
      </c>
      <c r="Q31" s="12">
        <v>122500</v>
      </c>
      <c r="S31" s="12">
        <v>12596427117</v>
      </c>
      <c r="U31" s="12">
        <v>12177112500</v>
      </c>
      <c r="W31" s="13">
        <v>4.1609610669728113E-3</v>
      </c>
    </row>
    <row r="32" spans="1:23" ht="37.5" x14ac:dyDescent="0.45">
      <c r="A32" s="17" t="s">
        <v>38</v>
      </c>
      <c r="C32" s="12">
        <v>6645110</v>
      </c>
      <c r="E32" s="12">
        <v>67281885372</v>
      </c>
      <c r="G32" s="12">
        <v>88580715096</v>
      </c>
      <c r="N32" s="11"/>
      <c r="O32" s="12">
        <v>6645110</v>
      </c>
      <c r="Q32" s="12">
        <v>11950</v>
      </c>
      <c r="S32" s="12">
        <v>67281885372</v>
      </c>
      <c r="U32" s="12">
        <v>78936580566</v>
      </c>
      <c r="W32" s="13">
        <v>2.6972900061084982E-2</v>
      </c>
    </row>
    <row r="33" spans="1:23" ht="18.75" x14ac:dyDescent="0.45">
      <c r="A33" s="17" t="s">
        <v>39</v>
      </c>
      <c r="C33" s="12">
        <v>1000000</v>
      </c>
      <c r="E33" s="12">
        <v>6555947400</v>
      </c>
      <c r="G33" s="12">
        <v>7177041000</v>
      </c>
      <c r="N33" s="11"/>
      <c r="O33" s="12">
        <v>1000000</v>
      </c>
      <c r="Q33" s="12">
        <v>5940</v>
      </c>
      <c r="S33" s="12">
        <v>6555947400</v>
      </c>
      <c r="U33" s="12">
        <v>5904657000</v>
      </c>
      <c r="W33" s="13">
        <v>2.0176415296178367E-3</v>
      </c>
    </row>
    <row r="34" spans="1:23" ht="18.75" x14ac:dyDescent="0.45">
      <c r="A34" s="17" t="s">
        <v>40</v>
      </c>
      <c r="C34" s="12">
        <v>31806527</v>
      </c>
      <c r="E34" s="12">
        <v>59228648705</v>
      </c>
      <c r="G34" s="12">
        <v>56310372411</v>
      </c>
      <c r="N34" s="11"/>
      <c r="O34" s="12">
        <v>31806527</v>
      </c>
      <c r="Q34" s="12">
        <v>1471</v>
      </c>
      <c r="S34" s="12">
        <v>59228648705</v>
      </c>
      <c r="U34" s="12">
        <v>46509016180</v>
      </c>
      <c r="W34" s="13">
        <v>1.589229019508431E-2</v>
      </c>
    </row>
    <row r="35" spans="1:23" ht="37.5" x14ac:dyDescent="0.45">
      <c r="A35" s="17" t="s">
        <v>41</v>
      </c>
      <c r="C35" s="12">
        <v>7329302</v>
      </c>
      <c r="E35" s="12">
        <v>54397299345</v>
      </c>
      <c r="G35" s="12">
        <v>51218419351</v>
      </c>
      <c r="N35" s="11"/>
      <c r="O35" s="12">
        <v>7329302</v>
      </c>
      <c r="Q35" s="12">
        <v>5740</v>
      </c>
      <c r="S35" s="12">
        <v>54397299345</v>
      </c>
      <c r="U35" s="12">
        <v>41819875829</v>
      </c>
      <c r="W35" s="13">
        <v>1.4289994869482099E-2</v>
      </c>
    </row>
    <row r="36" spans="1:23" ht="18.75" x14ac:dyDescent="0.45">
      <c r="A36" s="17" t="s">
        <v>42</v>
      </c>
      <c r="C36" s="12">
        <v>236747</v>
      </c>
      <c r="E36" s="12">
        <v>3932532505</v>
      </c>
      <c r="G36" s="12">
        <v>5794030309</v>
      </c>
      <c r="I36" s="12">
        <v>0</v>
      </c>
      <c r="J36" s="12">
        <v>0</v>
      </c>
      <c r="L36" s="12">
        <v>100000</v>
      </c>
      <c r="M36" s="12">
        <v>2204803207</v>
      </c>
      <c r="O36" s="12">
        <v>136747</v>
      </c>
      <c r="Q36" s="12">
        <v>20490</v>
      </c>
      <c r="S36" s="12">
        <v>2271462880</v>
      </c>
      <c r="U36" s="12">
        <v>2785274451</v>
      </c>
      <c r="W36" s="13">
        <v>9.5173782384330209E-4</v>
      </c>
    </row>
    <row r="37" spans="1:23" ht="18.75" x14ac:dyDescent="0.45">
      <c r="A37" s="17" t="s">
        <v>43</v>
      </c>
      <c r="C37" s="12">
        <v>2773715</v>
      </c>
      <c r="E37" s="12">
        <v>77701541135</v>
      </c>
      <c r="G37" s="12">
        <v>85170260015</v>
      </c>
      <c r="N37" s="11"/>
      <c r="O37" s="12">
        <v>2773715</v>
      </c>
      <c r="Q37" s="12">
        <v>29370</v>
      </c>
      <c r="S37" s="12">
        <v>77701541135</v>
      </c>
      <c r="U37" s="12">
        <v>80979298693</v>
      </c>
      <c r="W37" s="13">
        <v>2.7670903844596598E-2</v>
      </c>
    </row>
    <row r="38" spans="1:23" ht="37.5" x14ac:dyDescent="0.45">
      <c r="A38" s="17" t="s">
        <v>44</v>
      </c>
      <c r="C38" s="12">
        <v>272500</v>
      </c>
      <c r="E38" s="12">
        <v>5103379665</v>
      </c>
      <c r="G38" s="12">
        <v>10577810306</v>
      </c>
      <c r="N38" s="11"/>
      <c r="O38" s="12">
        <v>272500</v>
      </c>
      <c r="Q38" s="12">
        <v>36500</v>
      </c>
      <c r="S38" s="12">
        <v>5103379665</v>
      </c>
      <c r="U38" s="12">
        <v>9887069812</v>
      </c>
      <c r="W38" s="13">
        <v>3.3784456334926853E-3</v>
      </c>
    </row>
    <row r="39" spans="1:23" ht="18.75" x14ac:dyDescent="0.45">
      <c r="A39" s="17" t="s">
        <v>45</v>
      </c>
      <c r="C39" s="12">
        <v>2672602</v>
      </c>
      <c r="E39" s="12">
        <v>35385653732</v>
      </c>
      <c r="G39" s="12">
        <v>42666602291</v>
      </c>
      <c r="N39" s="11"/>
      <c r="O39" s="12">
        <v>2672602</v>
      </c>
      <c r="Q39" s="12">
        <v>14600</v>
      </c>
      <c r="S39" s="12">
        <v>35385653732</v>
      </c>
      <c r="U39" s="12">
        <v>38787820264</v>
      </c>
      <c r="W39" s="13">
        <v>1.3253931093372348E-2</v>
      </c>
    </row>
    <row r="40" spans="1:23" ht="18.75" x14ac:dyDescent="0.45">
      <c r="A40" s="17" t="s">
        <v>46</v>
      </c>
      <c r="C40" s="12">
        <v>27844387</v>
      </c>
      <c r="E40" s="12">
        <v>73147788635</v>
      </c>
      <c r="G40" s="12">
        <v>70885183730</v>
      </c>
      <c r="N40" s="11"/>
      <c r="O40" s="12">
        <v>27844387</v>
      </c>
      <c r="Q40" s="12">
        <v>2132</v>
      </c>
      <c r="S40" s="12">
        <v>73147788635</v>
      </c>
      <c r="U40" s="12">
        <v>59011015897</v>
      </c>
      <c r="W40" s="13">
        <v>2.0164266337354662E-2</v>
      </c>
    </row>
    <row r="41" spans="1:23" ht="37.5" x14ac:dyDescent="0.45">
      <c r="A41" s="17" t="s">
        <v>47</v>
      </c>
      <c r="C41" s="12">
        <v>15167887</v>
      </c>
      <c r="E41" s="12">
        <v>44183747576</v>
      </c>
      <c r="G41" s="12">
        <v>47539792842</v>
      </c>
      <c r="N41" s="11"/>
      <c r="O41" s="12">
        <v>15167887</v>
      </c>
      <c r="Q41" s="12">
        <v>2578</v>
      </c>
      <c r="S41" s="12">
        <v>44183747576</v>
      </c>
      <c r="U41" s="12">
        <v>38870150951</v>
      </c>
      <c r="W41" s="13">
        <v>1.3282063771232073E-2</v>
      </c>
    </row>
    <row r="42" spans="1:23" ht="18.75" x14ac:dyDescent="0.45">
      <c r="A42" s="17" t="s">
        <v>48</v>
      </c>
      <c r="C42" s="12">
        <v>10258397</v>
      </c>
      <c r="E42" s="12">
        <v>27693957457</v>
      </c>
      <c r="G42" s="12">
        <v>24024979071</v>
      </c>
      <c r="N42" s="11"/>
      <c r="O42" s="12">
        <v>10258397</v>
      </c>
      <c r="Q42" s="12">
        <v>1961</v>
      </c>
      <c r="S42" s="12">
        <v>27693957457</v>
      </c>
      <c r="U42" s="12">
        <v>19997022054</v>
      </c>
      <c r="W42" s="13">
        <v>6.8330509570385172E-3</v>
      </c>
    </row>
    <row r="43" spans="1:23" ht="18.75" x14ac:dyDescent="0.45">
      <c r="A43" s="17" t="s">
        <v>49</v>
      </c>
      <c r="C43" s="12">
        <v>5958319</v>
      </c>
      <c r="E43" s="12">
        <v>19798281699</v>
      </c>
      <c r="G43" s="12">
        <v>17644220799</v>
      </c>
      <c r="N43" s="11"/>
      <c r="O43" s="12">
        <v>5958319</v>
      </c>
      <c r="Q43" s="12">
        <v>2520</v>
      </c>
      <c r="S43" s="12">
        <v>19798281699</v>
      </c>
      <c r="U43" s="12">
        <v>14925624845</v>
      </c>
      <c r="W43" s="13">
        <v>5.1001371532280008E-3</v>
      </c>
    </row>
    <row r="44" spans="1:23" ht="37.5" x14ac:dyDescent="0.45">
      <c r="A44" s="17" t="s">
        <v>50</v>
      </c>
      <c r="C44" s="12">
        <v>3250000</v>
      </c>
      <c r="E44" s="12">
        <v>3939323661</v>
      </c>
      <c r="G44" s="12">
        <v>4332318412</v>
      </c>
      <c r="N44" s="11"/>
      <c r="O44" s="12">
        <v>3250000</v>
      </c>
      <c r="Q44" s="12">
        <v>1202</v>
      </c>
      <c r="S44" s="12">
        <v>3939323661</v>
      </c>
      <c r="U44" s="12">
        <v>3883256325</v>
      </c>
      <c r="W44" s="13">
        <v>1.3269219925003501E-3</v>
      </c>
    </row>
    <row r="45" spans="1:23" ht="18.75" x14ac:dyDescent="0.45">
      <c r="A45" s="17" t="s">
        <v>51</v>
      </c>
      <c r="C45" s="12">
        <v>1186353</v>
      </c>
      <c r="E45" s="12">
        <v>26013113139</v>
      </c>
      <c r="G45" s="12">
        <v>73128033320</v>
      </c>
      <c r="N45" s="11"/>
      <c r="O45" s="12">
        <v>1186353</v>
      </c>
      <c r="Q45" s="12">
        <v>61330</v>
      </c>
      <c r="S45" s="12">
        <v>26013113139</v>
      </c>
      <c r="U45" s="12">
        <v>72326113265</v>
      </c>
      <c r="W45" s="13">
        <v>2.4714080733107362E-2</v>
      </c>
    </row>
    <row r="46" spans="1:23" ht="18.75" x14ac:dyDescent="0.45">
      <c r="A46" s="17" t="s">
        <v>52</v>
      </c>
      <c r="C46" s="12">
        <v>100000</v>
      </c>
      <c r="E46" s="12">
        <v>9771059100</v>
      </c>
      <c r="G46" s="12">
        <v>11875915350</v>
      </c>
      <c r="N46" s="11"/>
      <c r="O46" s="12">
        <v>100000</v>
      </c>
      <c r="Q46" s="12">
        <v>122190</v>
      </c>
      <c r="S46" s="12">
        <v>9771059100</v>
      </c>
      <c r="U46" s="12">
        <v>12146296950</v>
      </c>
      <c r="W46" s="13">
        <v>4.1504312879461864E-3</v>
      </c>
    </row>
    <row r="47" spans="1:23" ht="18.75" x14ac:dyDescent="0.45">
      <c r="A47" s="17" t="s">
        <v>53</v>
      </c>
      <c r="C47" s="12">
        <v>5530564</v>
      </c>
      <c r="E47" s="12">
        <v>34692272898</v>
      </c>
      <c r="G47" s="12">
        <v>63113104015</v>
      </c>
      <c r="N47" s="11"/>
      <c r="O47" s="12">
        <v>5530564</v>
      </c>
      <c r="Q47" s="12">
        <v>9530</v>
      </c>
      <c r="S47" s="12">
        <v>34692272898</v>
      </c>
      <c r="U47" s="12">
        <v>52392672584</v>
      </c>
      <c r="W47" s="13">
        <v>1.7902755749088943E-2</v>
      </c>
    </row>
    <row r="48" spans="1:23" ht="18.75" x14ac:dyDescent="0.45">
      <c r="A48" s="17" t="s">
        <v>54</v>
      </c>
      <c r="C48" s="12">
        <v>5799792</v>
      </c>
      <c r="E48" s="12">
        <v>31811320316</v>
      </c>
      <c r="G48" s="12">
        <v>55750288908</v>
      </c>
      <c r="N48" s="11"/>
      <c r="O48" s="12">
        <v>5799792</v>
      </c>
      <c r="Q48" s="12">
        <v>9460</v>
      </c>
      <c r="S48" s="12">
        <v>31811320316</v>
      </c>
      <c r="U48" s="12">
        <v>54539579428</v>
      </c>
      <c r="W48" s="13">
        <v>1.8636361174209345E-2</v>
      </c>
    </row>
    <row r="49" spans="1:23" ht="18.75" x14ac:dyDescent="0.45">
      <c r="A49" s="17" t="s">
        <v>55</v>
      </c>
      <c r="C49" s="12">
        <v>3700000</v>
      </c>
      <c r="E49" s="12">
        <v>32261144892</v>
      </c>
      <c r="G49" s="12">
        <v>68484080700</v>
      </c>
      <c r="N49" s="11"/>
      <c r="O49" s="12">
        <v>3700000</v>
      </c>
      <c r="Q49" s="12">
        <v>19540</v>
      </c>
      <c r="S49" s="12">
        <v>32261144892</v>
      </c>
      <c r="U49" s="12">
        <v>71867826900</v>
      </c>
      <c r="W49" s="13">
        <v>2.4557482711836762E-2</v>
      </c>
    </row>
    <row r="50" spans="1:23" ht="18.75" x14ac:dyDescent="0.45">
      <c r="A50" s="17" t="s">
        <v>56</v>
      </c>
      <c r="C50" s="12">
        <v>200000</v>
      </c>
      <c r="E50" s="12">
        <v>5506104881</v>
      </c>
      <c r="G50" s="12">
        <v>6006050100</v>
      </c>
      <c r="N50" s="11"/>
      <c r="O50" s="12">
        <v>200000</v>
      </c>
      <c r="Q50" s="12">
        <v>29300</v>
      </c>
      <c r="S50" s="12">
        <v>5506104881</v>
      </c>
      <c r="U50" s="12">
        <v>5825133000</v>
      </c>
      <c r="W50" s="13">
        <v>1.9904679063233208E-3</v>
      </c>
    </row>
    <row r="51" spans="1:23" ht="18.75" x14ac:dyDescent="0.45">
      <c r="A51" s="17" t="s">
        <v>57</v>
      </c>
      <c r="C51" s="12">
        <v>21884415</v>
      </c>
      <c r="E51" s="12">
        <v>53366079438</v>
      </c>
      <c r="G51" s="12">
        <v>36721094210</v>
      </c>
      <c r="N51" s="11"/>
      <c r="O51" s="12">
        <v>21884415</v>
      </c>
      <c r="Q51" s="12">
        <v>1482</v>
      </c>
      <c r="S51" s="12">
        <v>53366079438</v>
      </c>
      <c r="U51" s="12">
        <v>32239728447</v>
      </c>
      <c r="W51" s="13">
        <v>1.1016425682011464E-2</v>
      </c>
    </row>
    <row r="52" spans="1:23" ht="18.75" x14ac:dyDescent="0.45">
      <c r="A52" s="17" t="s">
        <v>58</v>
      </c>
      <c r="C52" s="12">
        <v>330974</v>
      </c>
      <c r="E52" s="12">
        <v>10705350134</v>
      </c>
      <c r="G52" s="12">
        <v>9804340200</v>
      </c>
      <c r="N52" s="11"/>
      <c r="O52" s="12">
        <v>330974</v>
      </c>
      <c r="Q52" s="12">
        <v>26590</v>
      </c>
      <c r="S52" s="12">
        <v>10705350134</v>
      </c>
      <c r="U52" s="12">
        <v>8748235098</v>
      </c>
      <c r="W52" s="13">
        <v>2.9893019094225401E-3</v>
      </c>
    </row>
    <row r="53" spans="1:23" ht="18.75" x14ac:dyDescent="0.45">
      <c r="A53" s="17" t="s">
        <v>59</v>
      </c>
      <c r="C53" s="12">
        <v>9448213</v>
      </c>
      <c r="E53" s="12">
        <v>15392047456</v>
      </c>
      <c r="G53" s="12">
        <v>7288188999</v>
      </c>
      <c r="N53" s="11"/>
      <c r="O53" s="12">
        <v>9448213</v>
      </c>
      <c r="Q53" s="12">
        <v>724</v>
      </c>
      <c r="S53" s="12">
        <v>15392047456</v>
      </c>
      <c r="U53" s="12">
        <v>6799805200</v>
      </c>
      <c r="W53" s="13">
        <v>2.3235167368453953E-3</v>
      </c>
    </row>
    <row r="54" spans="1:23" ht="18.75" x14ac:dyDescent="0.45">
      <c r="A54" s="17" t="s">
        <v>60</v>
      </c>
      <c r="C54" s="12">
        <v>10148510</v>
      </c>
      <c r="E54" s="12">
        <v>49005994690</v>
      </c>
      <c r="G54" s="12">
        <v>29628827135</v>
      </c>
      <c r="N54" s="11"/>
      <c r="O54" s="12">
        <v>10148510</v>
      </c>
      <c r="Q54" s="12">
        <v>2532</v>
      </c>
      <c r="S54" s="12">
        <v>49005994690</v>
      </c>
      <c r="U54" s="12">
        <v>25543135957</v>
      </c>
      <c r="W54" s="13">
        <v>8.7281770818385986E-3</v>
      </c>
    </row>
    <row r="55" spans="1:23" ht="18.75" x14ac:dyDescent="0.45">
      <c r="A55" s="17" t="s">
        <v>61</v>
      </c>
      <c r="C55" s="12">
        <v>249996</v>
      </c>
      <c r="E55" s="12">
        <v>1764072098</v>
      </c>
      <c r="G55" s="12">
        <v>1938366486</v>
      </c>
      <c r="N55" s="11"/>
      <c r="O55" s="12">
        <v>249996</v>
      </c>
      <c r="Q55" s="12">
        <v>7020</v>
      </c>
      <c r="S55" s="12">
        <v>1764072098</v>
      </c>
      <c r="U55" s="12">
        <v>1744529837</v>
      </c>
      <c r="W55" s="13">
        <v>5.9611182305570592E-4</v>
      </c>
    </row>
    <row r="56" spans="1:23" ht="18.75" x14ac:dyDescent="0.45">
      <c r="A56" s="17" t="s">
        <v>62</v>
      </c>
      <c r="C56" s="12">
        <v>3750000</v>
      </c>
      <c r="E56" s="12">
        <v>11823225750</v>
      </c>
      <c r="G56" s="12">
        <v>12938803312</v>
      </c>
      <c r="I56" s="12">
        <v>0</v>
      </c>
      <c r="J56" s="12">
        <v>0</v>
      </c>
      <c r="L56" s="12">
        <v>150000</v>
      </c>
      <c r="M56" s="12">
        <v>553337957</v>
      </c>
      <c r="O56" s="12">
        <v>3600000</v>
      </c>
      <c r="Q56" s="12">
        <v>3490</v>
      </c>
      <c r="S56" s="12">
        <v>11350296720</v>
      </c>
      <c r="U56" s="12">
        <v>12489244200</v>
      </c>
      <c r="W56" s="13">
        <v>4.2676175384037882E-3</v>
      </c>
    </row>
    <row r="57" spans="1:23" ht="18.75" x14ac:dyDescent="0.45">
      <c r="A57" s="17" t="s">
        <v>63</v>
      </c>
      <c r="C57" s="12">
        <v>22264729</v>
      </c>
      <c r="E57" s="12">
        <v>114019137431</v>
      </c>
      <c r="G57" s="12">
        <v>98422132926</v>
      </c>
      <c r="N57" s="11"/>
      <c r="O57" s="12">
        <v>22264729</v>
      </c>
      <c r="Q57" s="12">
        <v>3896</v>
      </c>
      <c r="S57" s="12">
        <v>114019137431</v>
      </c>
      <c r="U57" s="12">
        <v>86227261048</v>
      </c>
      <c r="W57" s="13">
        <v>2.9464150563808068E-2</v>
      </c>
    </row>
    <row r="58" spans="1:23" ht="18.75" x14ac:dyDescent="0.45">
      <c r="A58" s="17" t="s">
        <v>64</v>
      </c>
      <c r="C58" s="12">
        <v>13640509</v>
      </c>
      <c r="E58" s="12">
        <v>88731042001</v>
      </c>
      <c r="G58" s="12">
        <v>142373153700</v>
      </c>
      <c r="N58" s="11"/>
      <c r="O58" s="12">
        <v>13640509</v>
      </c>
      <c r="Q58" s="12">
        <v>8350</v>
      </c>
      <c r="S58" s="12">
        <v>88731042001</v>
      </c>
      <c r="U58" s="12">
        <v>113220555562</v>
      </c>
      <c r="W58" s="13">
        <v>3.8687851793642709E-2</v>
      </c>
    </row>
    <row r="59" spans="1:23" ht="18.75" x14ac:dyDescent="0.45">
      <c r="A59" s="17" t="s">
        <v>65</v>
      </c>
      <c r="C59" s="12">
        <v>14021442</v>
      </c>
      <c r="E59" s="12">
        <v>48395249821</v>
      </c>
      <c r="G59" s="12">
        <v>47361372999</v>
      </c>
      <c r="N59" s="11"/>
      <c r="O59" s="12">
        <v>14021442</v>
      </c>
      <c r="Q59" s="12">
        <v>2777</v>
      </c>
      <c r="S59" s="12">
        <v>48395249821</v>
      </c>
      <c r="U59" s="12">
        <v>38705866045</v>
      </c>
      <c r="W59" s="13">
        <v>1.3225927055918218E-2</v>
      </c>
    </row>
    <row r="60" spans="1:23" ht="18.75" x14ac:dyDescent="0.45">
      <c r="A60" s="17" t="s">
        <v>66</v>
      </c>
      <c r="C60" s="12">
        <v>800000</v>
      </c>
      <c r="E60" s="12">
        <v>7190523048</v>
      </c>
      <c r="G60" s="12">
        <v>7618399200</v>
      </c>
      <c r="N60" s="11"/>
      <c r="O60" s="12">
        <v>800000</v>
      </c>
      <c r="Q60" s="12">
        <v>8310</v>
      </c>
      <c r="S60" s="12">
        <v>7190523048</v>
      </c>
      <c r="U60" s="12">
        <v>6608444400</v>
      </c>
      <c r="W60" s="13">
        <v>2.2581280957743063E-3</v>
      </c>
    </row>
    <row r="61" spans="1:23" ht="18.75" x14ac:dyDescent="0.45">
      <c r="A61" s="17" t="s">
        <v>67</v>
      </c>
      <c r="C61" s="12">
        <v>200000</v>
      </c>
      <c r="E61" s="12">
        <v>1227137722</v>
      </c>
      <c r="G61" s="12">
        <v>1143157500</v>
      </c>
      <c r="N61" s="11"/>
      <c r="O61" s="12">
        <v>200000</v>
      </c>
      <c r="Q61" s="12">
        <v>5390</v>
      </c>
      <c r="S61" s="12">
        <v>1227137722</v>
      </c>
      <c r="U61" s="12">
        <v>1071585900</v>
      </c>
      <c r="W61" s="13">
        <v>3.6616457389360743E-4</v>
      </c>
    </row>
    <row r="62" spans="1:23" ht="18.75" x14ac:dyDescent="0.45">
      <c r="A62" s="17" t="s">
        <v>68</v>
      </c>
      <c r="C62" s="12">
        <v>8231319</v>
      </c>
      <c r="E62" s="12">
        <v>42556668634</v>
      </c>
      <c r="G62" s="12">
        <v>34815867984</v>
      </c>
      <c r="N62" s="11"/>
      <c r="O62" s="12">
        <v>8231319</v>
      </c>
      <c r="Q62" s="12">
        <v>3693</v>
      </c>
      <c r="S62" s="12">
        <v>42556668634</v>
      </c>
      <c r="U62" s="12">
        <v>30217391414</v>
      </c>
      <c r="W62" s="13">
        <v>1.0325386188156881E-2</v>
      </c>
    </row>
    <row r="63" spans="1:23" ht="18.75" x14ac:dyDescent="0.45">
      <c r="A63" s="17" t="s">
        <v>69</v>
      </c>
      <c r="C63" s="12">
        <v>6256631</v>
      </c>
      <c r="E63" s="12">
        <v>27157213151</v>
      </c>
      <c r="G63" s="12">
        <v>37129842152</v>
      </c>
      <c r="N63" s="11"/>
      <c r="O63" s="12">
        <v>6256631</v>
      </c>
      <c r="Q63" s="12">
        <v>4684</v>
      </c>
      <c r="S63" s="12">
        <v>27157213151</v>
      </c>
      <c r="U63" s="12">
        <v>29131688549</v>
      </c>
      <c r="W63" s="13">
        <v>9.9543977989500123E-3</v>
      </c>
    </row>
    <row r="64" spans="1:23" ht="18.75" x14ac:dyDescent="0.45">
      <c r="A64" s="17" t="s">
        <v>70</v>
      </c>
      <c r="C64" s="12">
        <v>4666666</v>
      </c>
      <c r="E64" s="12">
        <v>19031233707</v>
      </c>
      <c r="G64" s="12">
        <v>17725234368</v>
      </c>
      <c r="N64" s="11"/>
      <c r="O64" s="12">
        <v>4666666</v>
      </c>
      <c r="Q64" s="12">
        <v>3258</v>
      </c>
      <c r="S64" s="12">
        <v>19031233707</v>
      </c>
      <c r="U64" s="12">
        <v>15113534041</v>
      </c>
      <c r="W64" s="13">
        <v>5.1643463693851286E-3</v>
      </c>
    </row>
    <row r="65" spans="1:23" ht="18.75" x14ac:dyDescent="0.45">
      <c r="A65" s="17" t="s">
        <v>71</v>
      </c>
      <c r="C65" s="12">
        <v>16300000</v>
      </c>
      <c r="E65" s="12">
        <v>82353315729</v>
      </c>
      <c r="G65" s="12">
        <v>122332763250</v>
      </c>
      <c r="N65" s="11"/>
      <c r="O65" s="12">
        <v>16300000</v>
      </c>
      <c r="Q65" s="12">
        <v>5860</v>
      </c>
      <c r="S65" s="12">
        <v>82353315729</v>
      </c>
      <c r="U65" s="12">
        <v>94949667900</v>
      </c>
      <c r="W65" s="13">
        <v>3.2444626873070127E-2</v>
      </c>
    </row>
    <row r="66" spans="1:23" ht="18.75" x14ac:dyDescent="0.45">
      <c r="A66" s="17" t="s">
        <v>72</v>
      </c>
      <c r="C66" s="12">
        <v>444699</v>
      </c>
      <c r="E66" s="12">
        <v>5768075770</v>
      </c>
      <c r="G66" s="12">
        <v>5331159674</v>
      </c>
      <c r="I66" s="12">
        <v>0</v>
      </c>
      <c r="J66" s="12">
        <v>0</v>
      </c>
      <c r="L66" s="12">
        <v>400000</v>
      </c>
      <c r="M66" s="12">
        <v>4250624054</v>
      </c>
      <c r="O66" s="12">
        <v>44699</v>
      </c>
      <c r="Q66" s="12">
        <v>9300</v>
      </c>
      <c r="S66" s="12">
        <v>579779174</v>
      </c>
      <c r="U66" s="12">
        <v>413227281</v>
      </c>
      <c r="W66" s="13">
        <v>1.4120117786971533E-4</v>
      </c>
    </row>
    <row r="67" spans="1:23" ht="18.75" x14ac:dyDescent="0.45">
      <c r="A67" s="17" t="s">
        <v>73</v>
      </c>
      <c r="C67" s="12">
        <v>4274063</v>
      </c>
      <c r="E67" s="12">
        <v>51969895261</v>
      </c>
      <c r="G67" s="12">
        <v>35815970501</v>
      </c>
      <c r="N67" s="11"/>
      <c r="O67" s="12">
        <v>4274063</v>
      </c>
      <c r="Q67" s="12">
        <v>7080</v>
      </c>
      <c r="S67" s="12">
        <v>51969895261</v>
      </c>
      <c r="U67" s="12">
        <v>30080316862</v>
      </c>
      <c r="W67" s="13">
        <v>1.0278547344042998E-2</v>
      </c>
    </row>
    <row r="68" spans="1:23" ht="18.75" x14ac:dyDescent="0.45">
      <c r="A68" s="17" t="s">
        <v>74</v>
      </c>
      <c r="C68" s="12">
        <v>250000</v>
      </c>
      <c r="E68" s="12">
        <v>3403087200</v>
      </c>
      <c r="G68" s="12">
        <v>3648163500</v>
      </c>
      <c r="N68" s="11"/>
      <c r="O68" s="12">
        <v>250000</v>
      </c>
      <c r="Q68" s="12">
        <v>11180</v>
      </c>
      <c r="S68" s="12">
        <v>3403087200</v>
      </c>
      <c r="U68" s="12">
        <v>2778369750</v>
      </c>
      <c r="W68" s="13">
        <v>9.49378463852164E-4</v>
      </c>
    </row>
    <row r="69" spans="1:23" ht="18.75" x14ac:dyDescent="0.45">
      <c r="A69" s="17" t="s">
        <v>75</v>
      </c>
      <c r="C69" s="12">
        <v>15800000</v>
      </c>
      <c r="E69" s="12">
        <v>81495578765</v>
      </c>
      <c r="G69" s="12">
        <v>170252931600</v>
      </c>
      <c r="N69" s="11"/>
      <c r="O69" s="12">
        <v>15800000</v>
      </c>
      <c r="Q69" s="12">
        <v>8440</v>
      </c>
      <c r="S69" s="12">
        <v>81495578765</v>
      </c>
      <c r="U69" s="12">
        <v>132558555600</v>
      </c>
      <c r="W69" s="13">
        <v>4.5295712669629257E-2</v>
      </c>
    </row>
    <row r="70" spans="1:23" ht="37.5" x14ac:dyDescent="0.45">
      <c r="A70" s="17" t="s">
        <v>76</v>
      </c>
      <c r="C70" s="12">
        <v>6668802</v>
      </c>
      <c r="E70" s="12">
        <v>22427520435</v>
      </c>
      <c r="G70" s="12">
        <v>30261944797</v>
      </c>
      <c r="N70" s="11"/>
      <c r="O70" s="12">
        <v>6668802</v>
      </c>
      <c r="Q70" s="12">
        <v>3959</v>
      </c>
      <c r="S70" s="12">
        <v>22427520435</v>
      </c>
      <c r="U70" s="12">
        <v>26244696485</v>
      </c>
      <c r="W70" s="13">
        <v>8.9679027182021347E-3</v>
      </c>
    </row>
    <row r="71" spans="1:23" ht="18.75" x14ac:dyDescent="0.45">
      <c r="A71" s="17" t="s">
        <v>77</v>
      </c>
      <c r="C71" s="12">
        <v>5155597</v>
      </c>
      <c r="E71" s="12">
        <v>8882657062</v>
      </c>
      <c r="G71" s="12">
        <v>18880209693</v>
      </c>
      <c r="N71" s="11"/>
      <c r="O71" s="12">
        <v>5155597</v>
      </c>
      <c r="Q71" s="12">
        <v>3040</v>
      </c>
      <c r="S71" s="12">
        <v>8882657062</v>
      </c>
      <c r="U71" s="12">
        <v>15579760441</v>
      </c>
      <c r="W71" s="13">
        <v>5.3236575278223109E-3</v>
      </c>
    </row>
    <row r="72" spans="1:23" ht="18.75" x14ac:dyDescent="0.45">
      <c r="A72" s="17" t="s">
        <v>78</v>
      </c>
      <c r="C72" s="12">
        <v>10319951</v>
      </c>
      <c r="E72" s="12">
        <v>46097666842</v>
      </c>
      <c r="G72" s="12">
        <v>74989980701</v>
      </c>
      <c r="N72" s="11"/>
      <c r="O72" s="12">
        <v>10319951</v>
      </c>
      <c r="Q72" s="12">
        <v>7080</v>
      </c>
      <c r="S72" s="12">
        <v>46097666842</v>
      </c>
      <c r="U72" s="12">
        <v>72630514824</v>
      </c>
      <c r="W72" s="13">
        <v>2.4818095788870773E-2</v>
      </c>
    </row>
    <row r="73" spans="1:23" ht="18.75" x14ac:dyDescent="0.45">
      <c r="A73" s="17" t="s">
        <v>79</v>
      </c>
      <c r="C73" s="12">
        <v>1207911</v>
      </c>
      <c r="E73" s="12">
        <v>24921591237</v>
      </c>
      <c r="G73" s="12">
        <v>44126604411</v>
      </c>
      <c r="N73" s="11"/>
      <c r="O73" s="12">
        <v>1207911</v>
      </c>
      <c r="Q73" s="12">
        <v>30940</v>
      </c>
      <c r="S73" s="12">
        <v>24921591237</v>
      </c>
      <c r="U73" s="12">
        <v>37150398380</v>
      </c>
      <c r="W73" s="13">
        <v>1.2694418424869592E-2</v>
      </c>
    </row>
    <row r="74" spans="1:23" ht="18.75" x14ac:dyDescent="0.45">
      <c r="A74" s="17" t="s">
        <v>80</v>
      </c>
      <c r="C74" s="12">
        <v>411</v>
      </c>
      <c r="E74" s="12">
        <v>999240</v>
      </c>
      <c r="G74" s="12">
        <v>1281227</v>
      </c>
      <c r="I74" s="12">
        <v>0</v>
      </c>
      <c r="J74" s="12">
        <v>0</v>
      </c>
      <c r="L74" s="12">
        <v>411</v>
      </c>
      <c r="M74" s="12">
        <v>1101466</v>
      </c>
      <c r="W74" s="13">
        <v>0</v>
      </c>
    </row>
    <row r="75" spans="1:23" ht="37.5" x14ac:dyDescent="0.45">
      <c r="A75" s="17" t="s">
        <v>81</v>
      </c>
      <c r="C75" s="12">
        <v>8971553</v>
      </c>
      <c r="E75" s="12">
        <v>30227577878</v>
      </c>
      <c r="G75" s="12">
        <v>42726963296</v>
      </c>
      <c r="N75" s="11"/>
      <c r="O75" s="12">
        <v>8971553</v>
      </c>
      <c r="Q75" s="12">
        <v>4524</v>
      </c>
      <c r="S75" s="12">
        <v>30227577878</v>
      </c>
      <c r="U75" s="12">
        <v>40345811303</v>
      </c>
      <c r="W75" s="13">
        <v>1.3786301969963291E-2</v>
      </c>
    </row>
    <row r="76" spans="1:23" ht="37.5" x14ac:dyDescent="0.45">
      <c r="A76" s="17" t="s">
        <v>82</v>
      </c>
      <c r="C76" s="12">
        <v>700000</v>
      </c>
      <c r="E76" s="12">
        <v>9143294580</v>
      </c>
      <c r="G76" s="12">
        <v>13568782500</v>
      </c>
      <c r="N76" s="11"/>
      <c r="O76" s="12">
        <v>700000</v>
      </c>
      <c r="Q76" s="12">
        <v>17240</v>
      </c>
      <c r="S76" s="12">
        <v>9143294580</v>
      </c>
      <c r="U76" s="12">
        <v>11996195400</v>
      </c>
      <c r="W76" s="13">
        <v>4.0991410739777872E-3</v>
      </c>
    </row>
    <row r="77" spans="1:23" ht="18.75" x14ac:dyDescent="0.45">
      <c r="A77" s="17" t="s">
        <v>83</v>
      </c>
      <c r="C77" s="12">
        <v>7700000</v>
      </c>
      <c r="E77" s="12">
        <v>48162624616</v>
      </c>
      <c r="G77" s="12">
        <v>43552312650</v>
      </c>
      <c r="N77" s="11"/>
      <c r="O77" s="12">
        <v>7700000</v>
      </c>
      <c r="Q77" s="12">
        <v>5090</v>
      </c>
      <c r="S77" s="12">
        <v>48162624616</v>
      </c>
      <c r="U77" s="12">
        <v>38959801650</v>
      </c>
      <c r="W77" s="13">
        <v>1.3312697722274728E-2</v>
      </c>
    </row>
    <row r="78" spans="1:23" ht="18.75" x14ac:dyDescent="0.45">
      <c r="A78" s="17" t="s">
        <v>84</v>
      </c>
      <c r="C78" s="12">
        <v>10500000</v>
      </c>
      <c r="E78" s="12">
        <v>80016783313</v>
      </c>
      <c r="G78" s="12">
        <v>116482779000</v>
      </c>
      <c r="I78" s="12">
        <v>0</v>
      </c>
      <c r="J78" s="12">
        <v>0</v>
      </c>
      <c r="L78" s="12">
        <v>180751</v>
      </c>
      <c r="M78" s="12">
        <v>1975450305</v>
      </c>
      <c r="O78" s="12">
        <v>10319249</v>
      </c>
      <c r="Q78" s="12">
        <v>11450</v>
      </c>
      <c r="S78" s="12">
        <v>78639343922</v>
      </c>
      <c r="U78" s="12">
        <v>117452376414</v>
      </c>
      <c r="W78" s="13">
        <v>4.0133879479399552E-2</v>
      </c>
    </row>
    <row r="79" spans="1:23" ht="18.75" x14ac:dyDescent="0.45">
      <c r="A79" s="17" t="s">
        <v>85</v>
      </c>
      <c r="C79" s="12">
        <v>1999999</v>
      </c>
      <c r="E79" s="12">
        <v>6177984518</v>
      </c>
      <c r="G79" s="12">
        <v>11590617205</v>
      </c>
      <c r="N79" s="11"/>
      <c r="O79" s="12">
        <v>1999999</v>
      </c>
      <c r="Q79" s="12">
        <v>5110</v>
      </c>
      <c r="S79" s="12">
        <v>6177984518</v>
      </c>
      <c r="U79" s="12">
        <v>10159185920</v>
      </c>
      <c r="W79" s="13">
        <v>3.471428640021053E-3</v>
      </c>
    </row>
    <row r="80" spans="1:23" ht="18.75" x14ac:dyDescent="0.45">
      <c r="A80" s="17" t="s">
        <v>86</v>
      </c>
      <c r="C80" s="12">
        <v>18635760</v>
      </c>
      <c r="E80" s="12">
        <v>50117025665</v>
      </c>
      <c r="G80" s="12">
        <v>87437420516</v>
      </c>
      <c r="N80" s="11"/>
      <c r="O80" s="12">
        <v>18635760</v>
      </c>
      <c r="Q80" s="12">
        <v>4223</v>
      </c>
      <c r="S80" s="12">
        <v>50117025665</v>
      </c>
      <c r="U80" s="12">
        <v>78230556534</v>
      </c>
      <c r="W80" s="13">
        <v>2.6731649230110135E-2</v>
      </c>
    </row>
    <row r="81" spans="1:23" ht="18.75" x14ac:dyDescent="0.45">
      <c r="A81" s="17" t="s">
        <v>87</v>
      </c>
      <c r="C81" s="12">
        <v>25703048</v>
      </c>
      <c r="E81" s="12">
        <v>50829222952</v>
      </c>
      <c r="G81" s="12">
        <v>44380549519</v>
      </c>
      <c r="N81" s="11"/>
      <c r="O81" s="12">
        <v>25703048</v>
      </c>
      <c r="Q81" s="12">
        <v>1614</v>
      </c>
      <c r="S81" s="12">
        <v>50829222952</v>
      </c>
      <c r="U81" s="12">
        <v>41237885391</v>
      </c>
      <c r="W81" s="13">
        <v>1.409112674258679E-2</v>
      </c>
    </row>
    <row r="82" spans="1:23" ht="18.75" x14ac:dyDescent="0.45">
      <c r="A82" s="17" t="s">
        <v>88</v>
      </c>
      <c r="C82" s="12">
        <v>177678</v>
      </c>
      <c r="E82" s="12">
        <v>6687778985</v>
      </c>
      <c r="G82" s="12">
        <v>7695368949</v>
      </c>
      <c r="N82" s="11"/>
      <c r="O82" s="12">
        <v>177678</v>
      </c>
      <c r="Q82" s="12">
        <v>35150</v>
      </c>
      <c r="S82" s="12">
        <v>6687778985</v>
      </c>
      <c r="U82" s="12">
        <v>6208221679</v>
      </c>
      <c r="W82" s="13">
        <v>2.1213706206176203E-3</v>
      </c>
    </row>
    <row r="83" spans="1:23" ht="37.5" x14ac:dyDescent="0.45">
      <c r="A83" s="17" t="s">
        <v>89</v>
      </c>
      <c r="C83" s="12">
        <v>123</v>
      </c>
      <c r="E83" s="12">
        <v>1662161</v>
      </c>
      <c r="G83" s="12">
        <v>5097359</v>
      </c>
      <c r="N83" s="11"/>
      <c r="O83" s="12">
        <v>123</v>
      </c>
      <c r="Q83" s="12">
        <v>41290</v>
      </c>
      <c r="S83" s="12">
        <v>1662161</v>
      </c>
      <c r="U83" s="12">
        <v>5048452</v>
      </c>
      <c r="W83" s="13">
        <v>1.7250733472718616E-6</v>
      </c>
    </row>
    <row r="84" spans="1:23" ht="18.75" x14ac:dyDescent="0.45">
      <c r="A84" s="17" t="s">
        <v>90</v>
      </c>
      <c r="C84" s="12">
        <v>4260000</v>
      </c>
      <c r="E84" s="12">
        <v>15356237176</v>
      </c>
      <c r="G84" s="12">
        <v>17036009019</v>
      </c>
      <c r="I84" s="12">
        <v>0</v>
      </c>
      <c r="J84" s="12">
        <v>0</v>
      </c>
      <c r="L84" s="12">
        <v>4260000</v>
      </c>
      <c r="M84" s="12">
        <v>14770469820</v>
      </c>
      <c r="W84" s="13">
        <v>0</v>
      </c>
    </row>
    <row r="85" spans="1:23" ht="18.75" x14ac:dyDescent="0.45">
      <c r="A85" s="17" t="s">
        <v>91</v>
      </c>
      <c r="C85" s="12">
        <v>3009494</v>
      </c>
      <c r="E85" s="12">
        <v>29761393564</v>
      </c>
      <c r="G85" s="12">
        <v>32039902240</v>
      </c>
      <c r="I85" s="12">
        <v>0</v>
      </c>
      <c r="J85" s="12">
        <v>0</v>
      </c>
      <c r="L85" s="12">
        <v>438570</v>
      </c>
      <c r="M85" s="12">
        <v>3971600274</v>
      </c>
      <c r="O85" s="12">
        <v>2570924</v>
      </c>
      <c r="Q85" s="12">
        <v>10710</v>
      </c>
      <c r="S85" s="12">
        <v>25424300891</v>
      </c>
      <c r="U85" s="12">
        <v>27370765194</v>
      </c>
      <c r="W85" s="13">
        <v>9.3526842546201774E-3</v>
      </c>
    </row>
    <row r="86" spans="1:23" ht="18.75" x14ac:dyDescent="0.45">
      <c r="A86" s="17" t="s">
        <v>92</v>
      </c>
      <c r="C86" s="12">
        <v>4613772</v>
      </c>
      <c r="E86" s="12">
        <v>43269803786</v>
      </c>
      <c r="G86" s="12">
        <v>32746325204</v>
      </c>
      <c r="N86" s="11"/>
      <c r="O86" s="12">
        <v>4613772</v>
      </c>
      <c r="Q86" s="12">
        <v>6310</v>
      </c>
      <c r="S86" s="12">
        <v>43269803786</v>
      </c>
      <c r="U86" s="12">
        <v>28939679557</v>
      </c>
      <c r="W86" s="13">
        <v>9.8887876684514483E-3</v>
      </c>
    </row>
    <row r="87" spans="1:23" ht="18.75" x14ac:dyDescent="0.45">
      <c r="A87" s="17" t="s">
        <v>93</v>
      </c>
      <c r="C87" s="12">
        <v>400000</v>
      </c>
      <c r="E87" s="12">
        <v>1251159994</v>
      </c>
      <c r="G87" s="12">
        <v>1221488640</v>
      </c>
      <c r="I87" s="12">
        <v>0</v>
      </c>
      <c r="J87" s="12">
        <v>0</v>
      </c>
      <c r="L87" s="12">
        <v>400000</v>
      </c>
      <c r="M87" s="12">
        <v>1100960502</v>
      </c>
      <c r="W87" s="13">
        <v>0</v>
      </c>
    </row>
    <row r="88" spans="1:23" ht="18.75" x14ac:dyDescent="0.45">
      <c r="A88" s="17" t="s">
        <v>94</v>
      </c>
      <c r="C88" s="12">
        <v>6744759</v>
      </c>
      <c r="E88" s="12">
        <v>47076364301</v>
      </c>
      <c r="G88" s="12">
        <v>44049403884</v>
      </c>
      <c r="N88" s="11"/>
      <c r="O88" s="12">
        <v>6744759</v>
      </c>
      <c r="Q88" s="12">
        <v>5480</v>
      </c>
      <c r="S88" s="12">
        <v>47076364301</v>
      </c>
      <c r="U88" s="12">
        <v>36741359708</v>
      </c>
      <c r="W88" s="13">
        <v>1.2554648509047736E-2</v>
      </c>
    </row>
    <row r="89" spans="1:23" ht="18.75" x14ac:dyDescent="0.45">
      <c r="A89" s="17" t="s">
        <v>95</v>
      </c>
      <c r="C89" s="12">
        <v>407809</v>
      </c>
      <c r="E89" s="12">
        <v>15540146852</v>
      </c>
      <c r="G89" s="12">
        <v>13620853225</v>
      </c>
      <c r="N89" s="11"/>
      <c r="O89" s="12">
        <v>407809</v>
      </c>
      <c r="Q89" s="12">
        <v>34490</v>
      </c>
      <c r="S89" s="12">
        <v>15540146852</v>
      </c>
      <c r="U89" s="12">
        <v>13981643682</v>
      </c>
      <c r="W89" s="13">
        <v>4.7775755552137986E-3</v>
      </c>
    </row>
    <row r="90" spans="1:23" ht="18.75" x14ac:dyDescent="0.45">
      <c r="A90" s="17" t="s">
        <v>96</v>
      </c>
      <c r="C90" s="12">
        <v>3500000</v>
      </c>
      <c r="E90" s="12">
        <v>53981541187</v>
      </c>
      <c r="G90" s="12">
        <v>108376301250</v>
      </c>
      <c r="N90" s="11"/>
      <c r="O90" s="12">
        <v>3500000</v>
      </c>
      <c r="Q90" s="12">
        <v>24950</v>
      </c>
      <c r="S90" s="12">
        <v>53981541187</v>
      </c>
      <c r="U90" s="12">
        <v>86805416250</v>
      </c>
      <c r="W90" s="13">
        <v>2.9661708177420473E-2</v>
      </c>
    </row>
    <row r="91" spans="1:23" ht="18.75" x14ac:dyDescent="0.45">
      <c r="A91" s="17" t="s">
        <v>97</v>
      </c>
      <c r="C91" s="12">
        <v>50000</v>
      </c>
      <c r="E91" s="12">
        <v>10968169018</v>
      </c>
      <c r="G91" s="12">
        <v>13307347350</v>
      </c>
      <c r="N91" s="11"/>
      <c r="O91" s="12">
        <v>50000</v>
      </c>
      <c r="Q91" s="12">
        <v>269840</v>
      </c>
      <c r="S91" s="12">
        <v>10968169018</v>
      </c>
      <c r="U91" s="12">
        <v>13411722600</v>
      </c>
      <c r="W91" s="13">
        <v>4.5828315686201777E-3</v>
      </c>
    </row>
    <row r="92" spans="1:23" ht="18.75" x14ac:dyDescent="0.45">
      <c r="A92" s="17" t="s">
        <v>98</v>
      </c>
      <c r="C92" s="12">
        <v>25140703</v>
      </c>
      <c r="E92" s="12">
        <v>67434598284</v>
      </c>
      <c r="G92" s="12">
        <v>63502425291</v>
      </c>
      <c r="N92" s="11"/>
      <c r="O92" s="12">
        <v>25140703</v>
      </c>
      <c r="Q92" s="12">
        <v>2541</v>
      </c>
      <c r="S92" s="12">
        <v>67434598284</v>
      </c>
      <c r="U92" s="12">
        <v>63502425291</v>
      </c>
      <c r="W92" s="13">
        <v>2.1698996317411096E-2</v>
      </c>
    </row>
    <row r="93" spans="1:23" ht="37.5" x14ac:dyDescent="0.45">
      <c r="A93" s="17" t="s">
        <v>99</v>
      </c>
      <c r="C93" s="12">
        <v>450000</v>
      </c>
      <c r="E93" s="12">
        <v>2252043000</v>
      </c>
      <c r="G93" s="12">
        <v>8879351625</v>
      </c>
      <c r="N93" s="11"/>
      <c r="O93" s="12">
        <v>450000</v>
      </c>
      <c r="Q93" s="12">
        <v>19430</v>
      </c>
      <c r="S93" s="12">
        <v>2252043000</v>
      </c>
      <c r="U93" s="12">
        <v>8691476175</v>
      </c>
      <c r="W93" s="13">
        <v>2.9699071909450431E-3</v>
      </c>
    </row>
    <row r="94" spans="1:23" ht="18.75" x14ac:dyDescent="0.45">
      <c r="A94" s="17" t="s">
        <v>100</v>
      </c>
      <c r="C94" s="12">
        <v>3553700</v>
      </c>
      <c r="E94" s="12">
        <v>10398641645</v>
      </c>
      <c r="G94" s="12">
        <v>9583823031</v>
      </c>
      <c r="N94" s="11"/>
      <c r="O94" s="12">
        <v>3553700</v>
      </c>
      <c r="Q94" s="12">
        <v>2106</v>
      </c>
      <c r="S94" s="12">
        <v>10398641645</v>
      </c>
      <c r="U94" s="12">
        <v>7439561851</v>
      </c>
      <c r="W94" s="13">
        <v>2.5421237766627505E-3</v>
      </c>
    </row>
    <row r="95" spans="1:23" ht="37.5" x14ac:dyDescent="0.45">
      <c r="A95" s="17" t="s">
        <v>101</v>
      </c>
      <c r="C95" s="12">
        <v>21600000</v>
      </c>
      <c r="E95" s="12">
        <v>27959586333</v>
      </c>
      <c r="G95" s="12">
        <v>27440551440</v>
      </c>
      <c r="N95" s="11"/>
      <c r="O95" s="12">
        <v>21600000</v>
      </c>
      <c r="Q95" s="12">
        <v>1149</v>
      </c>
      <c r="S95" s="12">
        <v>27959586333</v>
      </c>
      <c r="U95" s="12">
        <v>24670730520</v>
      </c>
      <c r="W95" s="13">
        <v>8.4300731546577985E-3</v>
      </c>
    </row>
    <row r="96" spans="1:23" ht="18.75" x14ac:dyDescent="0.45">
      <c r="A96" s="8" t="s">
        <v>102</v>
      </c>
      <c r="C96" s="8">
        <f>SUM(C11:$C$95)</f>
        <v>579882117</v>
      </c>
      <c r="E96" s="8">
        <f>SUM(E11:$E$95)</f>
        <v>2481087439616</v>
      </c>
      <c r="G96" s="8">
        <f>SUM(G11:$G$95)</f>
        <v>3111024496063</v>
      </c>
      <c r="I96" s="8">
        <f>SUM(I11:$I$95)</f>
        <v>0</v>
      </c>
      <c r="J96" s="8">
        <f>SUM(J11:$J$95)</f>
        <v>0</v>
      </c>
      <c r="L96" s="8">
        <f>SUM(L11:$L$95)</f>
        <v>15918698</v>
      </c>
      <c r="M96" s="8">
        <f>SUM(M11:$M$95)</f>
        <v>88218823850</v>
      </c>
      <c r="O96" s="8">
        <f>SUM(O11:$O$95)</f>
        <v>563963419</v>
      </c>
      <c r="Q96" s="8">
        <f>SUM(Q11:$Q$95)</f>
        <v>1340847</v>
      </c>
      <c r="S96" s="8">
        <f>SUM(S11:$S$95)</f>
        <v>2407476981164</v>
      </c>
      <c r="U96" s="8">
        <f>SUM(U11:$U$95)</f>
        <v>2643071577300</v>
      </c>
      <c r="W96" s="14">
        <f>SUM(W11:$W$95)</f>
        <v>0.90314661463197632</v>
      </c>
    </row>
    <row r="97" spans="3:23" ht="18.75" x14ac:dyDescent="0.45">
      <c r="C97" s="9"/>
      <c r="E97" s="9"/>
      <c r="G97" s="9"/>
      <c r="I97" s="9"/>
      <c r="J97" s="9"/>
      <c r="L97" s="9"/>
      <c r="M97" s="9"/>
      <c r="O97" s="9"/>
      <c r="Q97" s="9"/>
      <c r="S97" s="9"/>
      <c r="U97" s="9"/>
      <c r="W97" s="9"/>
    </row>
  </sheetData>
  <mergeCells count="19">
    <mergeCell ref="A1:W1"/>
    <mergeCell ref="A2:W2"/>
    <mergeCell ref="A3:W3"/>
    <mergeCell ref="A5:W5"/>
    <mergeCell ref="A6:W6"/>
    <mergeCell ref="C8:G8"/>
    <mergeCell ref="I8:M8"/>
    <mergeCell ref="O8:W8"/>
    <mergeCell ref="A9:A10"/>
    <mergeCell ref="C9:C10"/>
    <mergeCell ref="E9:E10"/>
    <mergeCell ref="G9:G10"/>
    <mergeCell ref="I9:J9"/>
    <mergeCell ref="L9:M9"/>
    <mergeCell ref="O9:O10"/>
    <mergeCell ref="Q9:Q10"/>
    <mergeCell ref="S9:S10"/>
    <mergeCell ref="U9:U10"/>
    <mergeCell ref="W9:W10"/>
  </mergeCells>
  <pageMargins left="0.7" right="0.7" top="0.75" bottom="0.75" header="0.3" footer="0.3"/>
  <pageSetup paperSize="9" scale="6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2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17" style="4" customWidth="1"/>
    <col min="2" max="2" width="1.42578125" style="4" customWidth="1"/>
    <col min="3" max="3" width="12.7109375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1.42578125" style="4" customWidth="1"/>
    <col min="10" max="10" width="17" style="4" customWidth="1"/>
    <col min="11" max="11" width="1.42578125" style="4" customWidth="1"/>
    <col min="12" max="12" width="11.42578125" style="4" customWidth="1"/>
    <col min="13" max="13" width="17" style="4" customWidth="1"/>
    <col min="14" max="14" width="1.42578125" style="4" customWidth="1"/>
    <col min="15" max="15" width="12.7109375" style="4" customWidth="1"/>
    <col min="16" max="16" width="1.42578125" style="4" customWidth="1"/>
    <col min="17" max="17" width="11.42578125" style="4" customWidth="1"/>
    <col min="18" max="18" width="1.42578125" style="4" customWidth="1"/>
    <col min="19" max="19" width="17" style="4" customWidth="1"/>
    <col min="20" max="20" width="1.42578125" style="4" customWidth="1"/>
    <col min="21" max="21" width="17" style="4" customWidth="1"/>
    <col min="22" max="22" width="1.42578125" style="4" customWidth="1"/>
    <col min="23" max="23" width="8.5703125" style="4" customWidth="1"/>
    <col min="24" max="16384" width="9.140625" style="4"/>
  </cols>
  <sheetData>
    <row r="1" spans="1:24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4" ht="20.100000000000001" customHeight="1" x14ac:dyDescent="0.4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4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5" spans="1:24" ht="21" x14ac:dyDescent="0.45">
      <c r="A5" s="31" t="s">
        <v>103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</row>
    <row r="7" spans="1:24" ht="21" x14ac:dyDescent="0.45">
      <c r="A7" s="24" t="s">
        <v>104</v>
      </c>
      <c r="B7" s="25"/>
      <c r="C7" s="25"/>
      <c r="D7" s="25"/>
      <c r="E7" s="25"/>
      <c r="F7" s="25"/>
      <c r="G7" s="25"/>
      <c r="I7" s="24" t="s">
        <v>5</v>
      </c>
      <c r="J7" s="25"/>
      <c r="K7" s="25"/>
      <c r="L7" s="25"/>
      <c r="M7" s="25"/>
      <c r="O7" s="24" t="s">
        <v>7</v>
      </c>
      <c r="P7" s="25"/>
      <c r="Q7" s="25"/>
      <c r="R7" s="25"/>
      <c r="S7" s="25"/>
      <c r="T7" s="25"/>
      <c r="U7" s="25"/>
      <c r="V7" s="25"/>
      <c r="W7" s="25"/>
    </row>
    <row r="8" spans="1:24" x14ac:dyDescent="0.45">
      <c r="A8" s="26"/>
      <c r="B8" s="28"/>
      <c r="C8" s="28"/>
      <c r="D8" s="28"/>
      <c r="E8" s="28"/>
      <c r="F8" s="28"/>
      <c r="G8" s="28"/>
      <c r="I8" s="26" t="s">
        <v>105</v>
      </c>
      <c r="J8" s="26" t="s">
        <v>106</v>
      </c>
      <c r="L8" s="26" t="s">
        <v>107</v>
      </c>
      <c r="M8" s="26" t="s">
        <v>108</v>
      </c>
      <c r="O8" s="26" t="s">
        <v>105</v>
      </c>
      <c r="Q8" s="26" t="s">
        <v>106</v>
      </c>
      <c r="S8" s="29" t="s">
        <v>107</v>
      </c>
      <c r="U8" s="26" t="s">
        <v>108</v>
      </c>
    </row>
    <row r="9" spans="1:24" x14ac:dyDescent="0.45">
      <c r="A9" s="28"/>
      <c r="B9" s="28"/>
      <c r="C9" s="28"/>
      <c r="D9" s="28"/>
      <c r="E9" s="28"/>
      <c r="F9" s="28"/>
      <c r="G9" s="28"/>
      <c r="I9" s="28"/>
      <c r="J9" s="28"/>
      <c r="L9" s="28"/>
      <c r="M9" s="28"/>
      <c r="O9" s="28"/>
      <c r="Q9" s="28"/>
      <c r="S9" s="28"/>
      <c r="U9" s="28"/>
    </row>
    <row r="10" spans="1:24" x14ac:dyDescent="0.45">
      <c r="A10" s="26" t="s">
        <v>109</v>
      </c>
      <c r="B10" s="28"/>
      <c r="C10" s="28"/>
      <c r="D10" s="28"/>
      <c r="E10" s="28"/>
      <c r="F10" s="28"/>
      <c r="G10" s="28"/>
      <c r="I10" s="32">
        <v>123</v>
      </c>
      <c r="J10" s="32">
        <v>17550</v>
      </c>
      <c r="L10" s="26" t="s">
        <v>110</v>
      </c>
      <c r="M10" s="33" t="s">
        <v>227</v>
      </c>
      <c r="O10" s="32">
        <v>123</v>
      </c>
      <c r="Q10" s="32">
        <v>17550</v>
      </c>
      <c r="S10" s="26" t="s">
        <v>110</v>
      </c>
      <c r="U10" s="33" t="s">
        <v>227</v>
      </c>
    </row>
    <row r="11" spans="1:24" x14ac:dyDescent="0.45">
      <c r="A11" s="28"/>
      <c r="B11" s="28"/>
      <c r="C11" s="28"/>
      <c r="D11" s="28"/>
      <c r="E11" s="28"/>
      <c r="F11" s="28"/>
      <c r="G11" s="28"/>
      <c r="I11" s="28"/>
      <c r="J11" s="28"/>
      <c r="L11" s="28"/>
      <c r="M11" s="28"/>
      <c r="O11" s="28"/>
      <c r="Q11" s="28"/>
      <c r="S11" s="28"/>
      <c r="U11" s="28"/>
    </row>
    <row r="13" spans="1:24" ht="21" x14ac:dyDescent="0.45">
      <c r="A13" s="31" t="s">
        <v>111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5" spans="1:24" ht="21" x14ac:dyDescent="0.45">
      <c r="A15" s="24" t="s">
        <v>104</v>
      </c>
      <c r="B15" s="25"/>
      <c r="C15" s="25"/>
      <c r="D15" s="25"/>
      <c r="E15" s="25"/>
      <c r="F15" s="25"/>
      <c r="G15" s="25"/>
      <c r="I15" s="24" t="s">
        <v>5</v>
      </c>
      <c r="J15" s="25"/>
      <c r="K15" s="25"/>
      <c r="L15" s="25"/>
      <c r="M15" s="25"/>
      <c r="N15" s="25"/>
      <c r="O15" s="25"/>
      <c r="Q15" s="24" t="s">
        <v>7</v>
      </c>
      <c r="R15" s="25"/>
      <c r="S15" s="25"/>
      <c r="T15" s="25"/>
      <c r="U15" s="25"/>
      <c r="V15" s="25"/>
      <c r="W15" s="25"/>
      <c r="X15" s="25"/>
    </row>
    <row r="16" spans="1:24" x14ac:dyDescent="0.45">
      <c r="A16" s="26"/>
      <c r="B16" s="28"/>
      <c r="C16" s="28"/>
      <c r="D16" s="28"/>
      <c r="E16" s="28"/>
      <c r="F16" s="28"/>
      <c r="G16" s="28"/>
      <c r="I16" s="26" t="s">
        <v>112</v>
      </c>
      <c r="J16" s="26" t="s">
        <v>113</v>
      </c>
      <c r="L16" s="26" t="s">
        <v>114</v>
      </c>
      <c r="M16" s="26" t="s">
        <v>106</v>
      </c>
      <c r="O16" s="26" t="s">
        <v>107</v>
      </c>
      <c r="Q16" s="26" t="s">
        <v>112</v>
      </c>
      <c r="S16" s="26" t="s">
        <v>113</v>
      </c>
      <c r="U16" s="26" t="s">
        <v>114</v>
      </c>
      <c r="W16" s="26" t="s">
        <v>106</v>
      </c>
      <c r="X16" s="26" t="s">
        <v>107</v>
      </c>
    </row>
    <row r="17" spans="1:24" x14ac:dyDescent="0.45">
      <c r="A17" s="28"/>
      <c r="B17" s="28"/>
      <c r="C17" s="28"/>
      <c r="D17" s="28"/>
      <c r="E17" s="28"/>
      <c r="F17" s="28"/>
      <c r="G17" s="28"/>
      <c r="I17" s="28"/>
      <c r="J17" s="28"/>
      <c r="L17" s="28"/>
      <c r="M17" s="28"/>
      <c r="O17" s="28"/>
      <c r="Q17" s="28"/>
      <c r="S17" s="28"/>
      <c r="U17" s="28"/>
      <c r="W17" s="28"/>
      <c r="X17" s="28"/>
    </row>
    <row r="19" spans="1:24" ht="21" x14ac:dyDescent="0.45">
      <c r="A19" s="31" t="s">
        <v>115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</row>
    <row r="20" spans="1:24" ht="21" x14ac:dyDescent="0.45">
      <c r="A20" s="24" t="s">
        <v>104</v>
      </c>
      <c r="B20" s="25"/>
      <c r="C20" s="25"/>
      <c r="D20" s="25"/>
      <c r="E20" s="25"/>
      <c r="F20" s="25"/>
      <c r="G20" s="25"/>
      <c r="I20" s="24" t="s">
        <v>5</v>
      </c>
      <c r="J20" s="25"/>
      <c r="K20" s="25"/>
      <c r="L20" s="25"/>
      <c r="M20" s="25"/>
      <c r="O20" s="24" t="s">
        <v>7</v>
      </c>
      <c r="P20" s="25"/>
      <c r="Q20" s="25"/>
      <c r="R20" s="25"/>
      <c r="S20" s="25"/>
      <c r="T20" s="25"/>
      <c r="U20" s="25"/>
      <c r="V20" s="25"/>
      <c r="W20" s="25"/>
    </row>
    <row r="21" spans="1:24" x14ac:dyDescent="0.45">
      <c r="A21" s="26"/>
      <c r="B21" s="28"/>
      <c r="C21" s="28"/>
      <c r="D21" s="28"/>
      <c r="E21" s="28"/>
      <c r="F21" s="28"/>
      <c r="G21" s="28"/>
      <c r="I21" s="26" t="s">
        <v>113</v>
      </c>
      <c r="J21" s="26" t="s">
        <v>114</v>
      </c>
      <c r="L21" s="26" t="s">
        <v>106</v>
      </c>
      <c r="M21" s="26" t="s">
        <v>107</v>
      </c>
      <c r="O21" s="26" t="s">
        <v>113</v>
      </c>
      <c r="Q21" s="26" t="s">
        <v>114</v>
      </c>
      <c r="S21" s="26" t="s">
        <v>106</v>
      </c>
      <c r="U21" s="26" t="s">
        <v>107</v>
      </c>
    </row>
    <row r="22" spans="1:24" x14ac:dyDescent="0.45">
      <c r="A22" s="28"/>
      <c r="B22" s="28"/>
      <c r="C22" s="28"/>
      <c r="D22" s="28"/>
      <c r="E22" s="28"/>
      <c r="F22" s="28"/>
      <c r="G22" s="28"/>
      <c r="I22" s="28"/>
      <c r="J22" s="28"/>
      <c r="L22" s="28"/>
      <c r="M22" s="28"/>
      <c r="O22" s="28"/>
      <c r="Q22" s="28"/>
      <c r="S22" s="28"/>
      <c r="U22" s="28"/>
    </row>
  </sheetData>
  <mergeCells count="53">
    <mergeCell ref="L8:L9"/>
    <mergeCell ref="M8:M9"/>
    <mergeCell ref="A1:W1"/>
    <mergeCell ref="A2:W2"/>
    <mergeCell ref="A3:W3"/>
    <mergeCell ref="A5:W5"/>
    <mergeCell ref="A7:G7"/>
    <mergeCell ref="I7:M7"/>
    <mergeCell ref="O7:W7"/>
    <mergeCell ref="O8:O9"/>
    <mergeCell ref="Q8:Q9"/>
    <mergeCell ref="S8:S9"/>
    <mergeCell ref="U8:U9"/>
    <mergeCell ref="A10:G11"/>
    <mergeCell ref="I10:I11"/>
    <mergeCell ref="J10:J11"/>
    <mergeCell ref="L10:L11"/>
    <mergeCell ref="M10:M11"/>
    <mergeCell ref="O10:O11"/>
    <mergeCell ref="Q10:Q11"/>
    <mergeCell ref="S10:S11"/>
    <mergeCell ref="U10:U11"/>
    <mergeCell ref="A8:G9"/>
    <mergeCell ref="I8:I9"/>
    <mergeCell ref="J8:J9"/>
    <mergeCell ref="A13:W13"/>
    <mergeCell ref="A15:G15"/>
    <mergeCell ref="I15:O15"/>
    <mergeCell ref="Q15:X15"/>
    <mergeCell ref="A16:G17"/>
    <mergeCell ref="I16:I17"/>
    <mergeCell ref="J16:J17"/>
    <mergeCell ref="L16:L17"/>
    <mergeCell ref="M16:M17"/>
    <mergeCell ref="O16:O17"/>
    <mergeCell ref="Q16:Q17"/>
    <mergeCell ref="S16:S17"/>
    <mergeCell ref="U16:U17"/>
    <mergeCell ref="W16:W17"/>
    <mergeCell ref="X16:X17"/>
    <mergeCell ref="A19:W19"/>
    <mergeCell ref="A20:G20"/>
    <mergeCell ref="I20:M20"/>
    <mergeCell ref="O20:W20"/>
    <mergeCell ref="A21:G22"/>
    <mergeCell ref="I21:I22"/>
    <mergeCell ref="J21:J22"/>
    <mergeCell ref="L21:L22"/>
    <mergeCell ref="M21:M22"/>
    <mergeCell ref="O21:O22"/>
    <mergeCell ref="Q21:Q22"/>
    <mergeCell ref="S21:S22"/>
    <mergeCell ref="U21:U22"/>
  </mergeCells>
  <pageMargins left="0.7" right="0.7" top="0.75" bottom="0.75" header="0.3" footer="0.3"/>
  <pageSetup paperSize="9" scale="6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I11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17" style="4" customWidth="1"/>
    <col min="2" max="2" width="1.42578125" style="4" customWidth="1"/>
    <col min="3" max="3" width="8.5703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0" width="1.42578125" style="4" customWidth="1"/>
    <col min="11" max="11" width="7.140625" style="4" customWidth="1"/>
    <col min="12" max="12" width="1.42578125" style="4" customWidth="1"/>
    <col min="13" max="13" width="7.140625" style="4" customWidth="1"/>
    <col min="14" max="14" width="1.42578125" style="4" customWidth="1"/>
    <col min="15" max="15" width="11.42578125" style="4" customWidth="1"/>
    <col min="16" max="16" width="1.42578125" style="4" customWidth="1"/>
    <col min="17" max="17" width="18.42578125" style="4" customWidth="1"/>
    <col min="18" max="18" width="1.42578125" style="4" customWidth="1"/>
    <col min="19" max="19" width="18.42578125" style="4" customWidth="1"/>
    <col min="20" max="20" width="1.42578125" style="4" customWidth="1"/>
    <col min="21" max="21" width="11.42578125" style="4" customWidth="1"/>
    <col min="22" max="22" width="18.42578125" style="4" customWidth="1"/>
    <col min="23" max="23" width="1.42578125" style="4" customWidth="1"/>
    <col min="24" max="24" width="11.42578125" style="4" customWidth="1"/>
    <col min="25" max="25" width="18.42578125" style="4" customWidth="1"/>
    <col min="26" max="26" width="1.42578125" style="4" customWidth="1"/>
    <col min="27" max="27" width="11.42578125" style="4" customWidth="1"/>
    <col min="28" max="28" width="1.42578125" style="4" customWidth="1"/>
    <col min="29" max="29" width="11.42578125" style="4" customWidth="1"/>
    <col min="30" max="30" width="1.42578125" style="4" customWidth="1"/>
    <col min="31" max="31" width="18.42578125" style="4" customWidth="1"/>
    <col min="32" max="32" width="1.42578125" style="4" customWidth="1"/>
    <col min="33" max="33" width="18.42578125" style="4" customWidth="1"/>
    <col min="34" max="34" width="1.42578125" style="4" customWidth="1"/>
    <col min="35" max="35" width="8.5703125" style="4" customWidth="1"/>
    <col min="36" max="16384" width="9.140625" style="4"/>
  </cols>
  <sheetData>
    <row r="1" spans="1:35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</row>
    <row r="2" spans="1:35" ht="20.100000000000001" customHeight="1" x14ac:dyDescent="0.4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</row>
    <row r="3" spans="1:35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</row>
    <row r="5" spans="1:35" ht="21" x14ac:dyDescent="0.45">
      <c r="A5" s="31" t="s">
        <v>116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</row>
    <row r="7" spans="1:35" ht="21" x14ac:dyDescent="0.45">
      <c r="C7" s="24" t="s">
        <v>117</v>
      </c>
      <c r="D7" s="25"/>
      <c r="E7" s="25"/>
      <c r="F7" s="25"/>
      <c r="G7" s="25"/>
      <c r="H7" s="25"/>
      <c r="I7" s="25"/>
      <c r="J7" s="25"/>
      <c r="K7" s="25"/>
      <c r="L7" s="25"/>
      <c r="M7" s="25"/>
      <c r="O7" s="24" t="s">
        <v>5</v>
      </c>
      <c r="P7" s="25"/>
      <c r="Q7" s="25"/>
      <c r="R7" s="25"/>
      <c r="S7" s="25"/>
      <c r="U7" s="24" t="s">
        <v>6</v>
      </c>
      <c r="V7" s="25"/>
      <c r="W7" s="25"/>
      <c r="X7" s="25"/>
      <c r="Y7" s="25"/>
      <c r="AA7" s="24" t="s">
        <v>7</v>
      </c>
      <c r="AB7" s="25"/>
      <c r="AC7" s="25"/>
      <c r="AD7" s="25"/>
      <c r="AE7" s="25"/>
      <c r="AF7" s="25"/>
      <c r="AG7" s="25"/>
      <c r="AH7" s="25"/>
      <c r="AI7" s="25"/>
    </row>
    <row r="8" spans="1:35" ht="18.75" x14ac:dyDescent="0.45">
      <c r="A8" s="26" t="s">
        <v>118</v>
      </c>
      <c r="C8" s="29" t="s">
        <v>119</v>
      </c>
      <c r="E8" s="29" t="s">
        <v>120</v>
      </c>
      <c r="G8" s="29" t="s">
        <v>121</v>
      </c>
      <c r="I8" s="29" t="s">
        <v>122</v>
      </c>
      <c r="K8" s="29" t="s">
        <v>123</v>
      </c>
      <c r="M8" s="29" t="s">
        <v>124</v>
      </c>
      <c r="O8" s="26" t="s">
        <v>9</v>
      </c>
      <c r="Q8" s="26" t="s">
        <v>10</v>
      </c>
      <c r="S8" s="26" t="s">
        <v>11</v>
      </c>
      <c r="U8" s="26" t="s">
        <v>12</v>
      </c>
      <c r="V8" s="28"/>
      <c r="X8" s="26" t="s">
        <v>13</v>
      </c>
      <c r="Y8" s="28"/>
      <c r="AA8" s="26" t="s">
        <v>9</v>
      </c>
      <c r="AC8" s="29" t="s">
        <v>125</v>
      </c>
      <c r="AE8" s="26" t="s">
        <v>10</v>
      </c>
      <c r="AG8" s="26" t="s">
        <v>11</v>
      </c>
      <c r="AI8" s="29" t="s">
        <v>15</v>
      </c>
    </row>
    <row r="9" spans="1:35" ht="18.75" x14ac:dyDescent="0.45">
      <c r="A9" s="27"/>
      <c r="C9" s="27"/>
      <c r="E9" s="27"/>
      <c r="G9" s="27"/>
      <c r="I9" s="27"/>
      <c r="K9" s="27"/>
      <c r="M9" s="27"/>
      <c r="O9" s="27"/>
      <c r="Q9" s="27"/>
      <c r="S9" s="27"/>
      <c r="U9" s="16" t="s">
        <v>9</v>
      </c>
      <c r="V9" s="16" t="s">
        <v>10</v>
      </c>
      <c r="X9" s="16" t="s">
        <v>9</v>
      </c>
      <c r="Y9" s="16" t="s">
        <v>16</v>
      </c>
      <c r="AA9" s="27"/>
      <c r="AC9" s="27"/>
      <c r="AE9" s="27"/>
      <c r="AG9" s="27"/>
      <c r="AI9" s="27"/>
    </row>
    <row r="10" spans="1:35" ht="18.75" x14ac:dyDescent="0.45">
      <c r="A10" s="8" t="s">
        <v>102</v>
      </c>
      <c r="O10" s="8">
        <f>SUM($O$9)</f>
        <v>0</v>
      </c>
      <c r="Q10" s="8">
        <f>SUM($Q$9)</f>
        <v>0</v>
      </c>
      <c r="S10" s="8">
        <f>SUM($S$9)</f>
        <v>0</v>
      </c>
      <c r="U10" s="8">
        <f>SUM($U$9)</f>
        <v>0</v>
      </c>
      <c r="V10" s="8">
        <f>SUM($V$9)</f>
        <v>0</v>
      </c>
      <c r="X10" s="8">
        <f>SUM($X$9)</f>
        <v>0</v>
      </c>
      <c r="Y10" s="8">
        <f>SUM($Y$9)</f>
        <v>0</v>
      </c>
      <c r="AA10" s="8">
        <f>SUM($AA$9)</f>
        <v>0</v>
      </c>
      <c r="AC10" s="8">
        <f>SUM($AC$9)</f>
        <v>0</v>
      </c>
      <c r="AE10" s="8">
        <f>SUM($AE$9)</f>
        <v>0</v>
      </c>
      <c r="AG10" s="8">
        <f>SUM($AG$9)</f>
        <v>0</v>
      </c>
      <c r="AI10" s="14">
        <f>SUM($AI$9)</f>
        <v>0</v>
      </c>
    </row>
    <row r="11" spans="1:35" ht="18.75" x14ac:dyDescent="0.45">
      <c r="O11" s="9"/>
      <c r="Q11" s="9"/>
      <c r="S11" s="9"/>
      <c r="U11" s="9"/>
      <c r="V11" s="9"/>
      <c r="X11" s="9"/>
      <c r="Y11" s="9"/>
      <c r="AA11" s="9"/>
      <c r="AC11" s="9"/>
      <c r="AE11" s="9"/>
      <c r="AG11" s="9"/>
      <c r="AI11" s="9"/>
    </row>
  </sheetData>
  <mergeCells count="25">
    <mergeCell ref="A1:AI1"/>
    <mergeCell ref="A2:AI2"/>
    <mergeCell ref="A3:AI3"/>
    <mergeCell ref="A5:AI5"/>
    <mergeCell ref="C7:M7"/>
    <mergeCell ref="O7:S7"/>
    <mergeCell ref="U7:Y7"/>
    <mergeCell ref="AA7:AI7"/>
    <mergeCell ref="A8:A9"/>
    <mergeCell ref="C8:C9"/>
    <mergeCell ref="E8:E9"/>
    <mergeCell ref="G8:G9"/>
    <mergeCell ref="I8:I9"/>
    <mergeCell ref="K8:K9"/>
    <mergeCell ref="M8:M9"/>
    <mergeCell ref="O8:O9"/>
    <mergeCell ref="Q8:Q9"/>
    <mergeCell ref="S8:S9"/>
    <mergeCell ref="AG8:AG9"/>
    <mergeCell ref="AI8:AI9"/>
    <mergeCell ref="U8:V8"/>
    <mergeCell ref="X8:Y8"/>
    <mergeCell ref="AA8:AA9"/>
    <mergeCell ref="AC8:AC9"/>
    <mergeCell ref="AE8:AE9"/>
  </mergeCells>
  <pageMargins left="0.7" right="0.7" top="0.75" bottom="0.75" header="0.3" footer="0.3"/>
  <pageSetup paperSize="9" scale="4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1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8.425781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4.140625" style="4" customWidth="1"/>
    <col min="8" max="8" width="1.42578125" style="4" customWidth="1"/>
    <col min="9" max="9" width="8.5703125" style="4" customWidth="1"/>
    <col min="10" max="10" width="1.42578125" style="4" customWidth="1"/>
    <col min="11" max="11" width="21.28515625" style="4" customWidth="1"/>
    <col min="12" max="12" width="1.42578125" style="4" customWidth="1"/>
    <col min="13" max="13" width="28.42578125" style="4" customWidth="1"/>
    <col min="14" max="16384" width="9.140625" style="4"/>
  </cols>
  <sheetData>
    <row r="1" spans="1:13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ht="20.100000000000001" customHeight="1" x14ac:dyDescent="0.4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5" spans="1:13" ht="21" x14ac:dyDescent="0.45">
      <c r="A5" s="31" t="s">
        <v>126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21" x14ac:dyDescent="0.45">
      <c r="A6" s="31" t="s">
        <v>127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</row>
    <row r="8" spans="1:13" ht="21" x14ac:dyDescent="0.45">
      <c r="C8" s="24" t="s">
        <v>7</v>
      </c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1:13" ht="42" x14ac:dyDescent="0.45">
      <c r="A9" s="6" t="s">
        <v>128</v>
      </c>
      <c r="C9" s="6" t="s">
        <v>9</v>
      </c>
      <c r="E9" s="6" t="s">
        <v>129</v>
      </c>
      <c r="G9" s="6" t="s">
        <v>130</v>
      </c>
      <c r="I9" s="6" t="s">
        <v>131</v>
      </c>
      <c r="K9" s="7" t="s">
        <v>132</v>
      </c>
      <c r="M9" s="6" t="s">
        <v>133</v>
      </c>
    </row>
    <row r="10" spans="1:13" ht="18.75" x14ac:dyDescent="0.45">
      <c r="A10" s="8" t="s">
        <v>102</v>
      </c>
      <c r="K10" s="8">
        <f>SUM($K$9)</f>
        <v>0</v>
      </c>
    </row>
    <row r="11" spans="1:13" ht="18.75" x14ac:dyDescent="0.45">
      <c r="K11" s="9"/>
    </row>
  </sheetData>
  <mergeCells count="6">
    <mergeCell ref="C8:M8"/>
    <mergeCell ref="A1:M1"/>
    <mergeCell ref="A2:M2"/>
    <mergeCell ref="A3:M3"/>
    <mergeCell ref="A5:M5"/>
    <mergeCell ref="A6:M6"/>
  </mergeCells>
  <pageMargins left="0.7" right="0.7" top="0.75" bottom="0.75" header="0.3" footer="0.3"/>
  <pageSetup paperSize="9" scale="9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17"/>
  <sheetViews>
    <sheetView rightToLeft="1" view="pageBreakPreview" zoomScale="86" zoomScaleNormal="100" zoomScaleSheetLayoutView="86" workbookViewId="0">
      <selection sqref="A1:XFD1048576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6" width="1.42578125" style="4" customWidth="1"/>
    <col min="7" max="7" width="18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0.7109375" style="4" customWidth="1"/>
    <col min="12" max="16384" width="9.140625" style="4"/>
  </cols>
  <sheetData>
    <row r="1" spans="1:16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6" ht="20.100000000000001" customHeight="1" x14ac:dyDescent="0.45">
      <c r="A2" s="30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6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5" spans="1:16" ht="21" x14ac:dyDescent="0.45">
      <c r="A5" s="31" t="s">
        <v>235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7" spans="1:16" ht="21" x14ac:dyDescent="0.45">
      <c r="C7" s="6" t="s">
        <v>5</v>
      </c>
      <c r="E7" s="24" t="s">
        <v>6</v>
      </c>
      <c r="F7" s="25"/>
      <c r="G7" s="25"/>
      <c r="I7" s="24" t="s">
        <v>7</v>
      </c>
      <c r="J7" s="25"/>
      <c r="K7" s="25"/>
      <c r="P7" s="37"/>
    </row>
    <row r="8" spans="1:16" ht="63" x14ac:dyDescent="0.45">
      <c r="A8" s="6" t="s">
        <v>134</v>
      </c>
      <c r="C8" s="6" t="s">
        <v>136</v>
      </c>
      <c r="E8" s="6" t="s">
        <v>137</v>
      </c>
      <c r="G8" s="6" t="s">
        <v>138</v>
      </c>
      <c r="I8" s="6" t="s">
        <v>136</v>
      </c>
      <c r="K8" s="7" t="s">
        <v>15</v>
      </c>
    </row>
    <row r="9" spans="1:16" ht="18.75" x14ac:dyDescent="0.45">
      <c r="A9" s="17" t="s">
        <v>228</v>
      </c>
      <c r="C9" s="12">
        <v>8069564</v>
      </c>
      <c r="E9" s="12">
        <v>34268</v>
      </c>
      <c r="G9" s="12">
        <v>0</v>
      </c>
      <c r="I9" s="12">
        <v>8103832</v>
      </c>
      <c r="K9" s="13">
        <v>2.7691071627439112E-6</v>
      </c>
    </row>
    <row r="10" spans="1:16" ht="18.75" x14ac:dyDescent="0.45">
      <c r="A10" s="17" t="s">
        <v>229</v>
      </c>
      <c r="C10" s="12">
        <v>589528876</v>
      </c>
      <c r="E10" s="12">
        <v>84601929216</v>
      </c>
      <c r="G10" s="12">
        <v>85004963255</v>
      </c>
      <c r="I10" s="12">
        <v>186494837</v>
      </c>
      <c r="K10" s="13">
        <v>6.3725924840428352E-5</v>
      </c>
    </row>
    <row r="11" spans="1:16" ht="18.75" x14ac:dyDescent="0.45">
      <c r="A11" s="17" t="s">
        <v>230</v>
      </c>
      <c r="C11" s="12">
        <v>54242520757</v>
      </c>
      <c r="E11" s="12">
        <v>93183965599</v>
      </c>
      <c r="G11" s="12">
        <v>50825177666</v>
      </c>
      <c r="I11" s="12">
        <v>96601308690</v>
      </c>
      <c r="K11" s="13">
        <v>3.3008998190475154E-2</v>
      </c>
    </row>
    <row r="12" spans="1:16" ht="18.75" x14ac:dyDescent="0.45">
      <c r="A12" s="17" t="s">
        <v>231</v>
      </c>
      <c r="C12" s="12">
        <v>4917132</v>
      </c>
      <c r="E12" s="12">
        <v>6780020881</v>
      </c>
      <c r="G12" s="12">
        <v>6784288013</v>
      </c>
      <c r="I12" s="12">
        <v>650000</v>
      </c>
      <c r="K12" s="13">
        <v>2.2210722727020282E-7</v>
      </c>
    </row>
    <row r="13" spans="1:16" ht="18.75" x14ac:dyDescent="0.45">
      <c r="A13" s="17" t="s">
        <v>232</v>
      </c>
      <c r="C13" s="12">
        <v>15914316</v>
      </c>
      <c r="E13" s="12">
        <v>135162</v>
      </c>
      <c r="G13" s="12">
        <v>0</v>
      </c>
      <c r="I13" s="12">
        <v>16049478</v>
      </c>
      <c r="K13" s="13">
        <v>5.4841616272524927E-6</v>
      </c>
    </row>
    <row r="14" spans="1:16" ht="18.75" x14ac:dyDescent="0.45">
      <c r="A14" s="17" t="s">
        <v>233</v>
      </c>
      <c r="C14" s="12">
        <v>9733213</v>
      </c>
      <c r="E14" s="12">
        <v>41158</v>
      </c>
      <c r="G14" s="12">
        <v>145000</v>
      </c>
      <c r="I14" s="12">
        <v>9629371</v>
      </c>
      <c r="K14" s="13">
        <v>3.2903890664093848E-6</v>
      </c>
    </row>
    <row r="15" spans="1:16" ht="18.75" x14ac:dyDescent="0.45">
      <c r="A15" s="17" t="s">
        <v>234</v>
      </c>
      <c r="C15" s="12">
        <v>2128213744</v>
      </c>
      <c r="E15" s="12">
        <v>57489072407</v>
      </c>
      <c r="G15" s="12">
        <v>56143465112</v>
      </c>
      <c r="I15" s="12">
        <v>3473821039</v>
      </c>
      <c r="K15" s="13">
        <v>1.1870165523156693E-3</v>
      </c>
    </row>
    <row r="16" spans="1:16" ht="19.5" thickBot="1" x14ac:dyDescent="0.5">
      <c r="A16" s="8" t="s">
        <v>102</v>
      </c>
      <c r="C16" s="8">
        <f>SUM(C9:$C$15)</f>
        <v>56998897602</v>
      </c>
      <c r="E16" s="8">
        <f>SUM(E9:$E$15)</f>
        <v>242055198691</v>
      </c>
      <c r="G16" s="8">
        <f>SUM(G9:$G$15)</f>
        <v>198758039046</v>
      </c>
      <c r="I16" s="8">
        <f>SUM(I9:$I$15)</f>
        <v>100296057247</v>
      </c>
      <c r="K16" s="14">
        <f>SUM(K9:$K$15)</f>
        <v>3.4271506432714927E-2</v>
      </c>
    </row>
    <row r="17" spans="3:11" ht="19.5" thickTop="1" x14ac:dyDescent="0.45">
      <c r="C17" s="9"/>
      <c r="E17" s="9"/>
      <c r="G17" s="9"/>
      <c r="I17" s="9"/>
      <c r="K17" s="9"/>
    </row>
  </sheetData>
  <mergeCells count="6">
    <mergeCell ref="A1:K1"/>
    <mergeCell ref="A2:K2"/>
    <mergeCell ref="A3:K3"/>
    <mergeCell ref="A5:K5"/>
    <mergeCell ref="E7:G7"/>
    <mergeCell ref="I7:K7"/>
  </mergeCells>
  <pageMargins left="0.7" right="0.7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14"/>
  <sheetViews>
    <sheetView rightToLeft="1" view="pageBreakPreview" zoomScale="87" zoomScaleNormal="100" zoomScaleSheetLayoutView="87" workbookViewId="0">
      <selection sqref="A1:XFD1048576"/>
    </sheetView>
  </sheetViews>
  <sheetFormatPr defaultRowHeight="18" x14ac:dyDescent="0.45"/>
  <cols>
    <col min="1" max="1" width="57.5703125" style="4" bestFit="1" customWidth="1"/>
    <col min="2" max="2" width="1.42578125" style="4" customWidth="1"/>
    <col min="3" max="3" width="11.42578125" style="4" customWidth="1"/>
    <col min="4" max="4" width="1.42578125" style="4" customWidth="1"/>
    <col min="5" max="5" width="21.285156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1.42578125" style="4" customWidth="1"/>
    <col min="10" max="16384" width="9.140625" style="4"/>
  </cols>
  <sheetData>
    <row r="1" spans="1:14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</row>
    <row r="2" spans="1:14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</row>
    <row r="3" spans="1:14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</row>
    <row r="5" spans="1:14" ht="21" x14ac:dyDescent="0.45">
      <c r="A5" s="31" t="s">
        <v>141</v>
      </c>
      <c r="B5" s="28"/>
      <c r="C5" s="28"/>
      <c r="D5" s="28"/>
      <c r="E5" s="28"/>
      <c r="F5" s="28"/>
      <c r="G5" s="28"/>
      <c r="H5" s="28"/>
      <c r="I5" s="28"/>
      <c r="N5" s="37"/>
    </row>
    <row r="7" spans="1:14" ht="42" x14ac:dyDescent="0.45">
      <c r="A7" s="6" t="s">
        <v>142</v>
      </c>
      <c r="C7" s="6" t="s">
        <v>143</v>
      </c>
      <c r="E7" s="6" t="s">
        <v>136</v>
      </c>
      <c r="G7" s="7" t="s">
        <v>144</v>
      </c>
      <c r="I7" s="7" t="s">
        <v>145</v>
      </c>
    </row>
    <row r="8" spans="1:14" ht="21" x14ac:dyDescent="0.45">
      <c r="A8" s="5" t="s">
        <v>146</v>
      </c>
      <c r="C8" s="11" t="s">
        <v>236</v>
      </c>
      <c r="E8" s="12">
        <v>418393913693</v>
      </c>
      <c r="G8" s="13">
        <v>0.99179482494124982</v>
      </c>
      <c r="I8" s="13">
        <v>0.14296663396473966</v>
      </c>
    </row>
    <row r="9" spans="1:14" ht="21" x14ac:dyDescent="0.45">
      <c r="A9" s="5" t="s">
        <v>237</v>
      </c>
      <c r="C9" s="11" t="s">
        <v>238</v>
      </c>
      <c r="E9" s="12">
        <v>0</v>
      </c>
      <c r="G9" s="13">
        <v>0</v>
      </c>
      <c r="I9" s="13">
        <v>0</v>
      </c>
    </row>
    <row r="10" spans="1:14" ht="21" x14ac:dyDescent="0.45">
      <c r="A10" s="5" t="s">
        <v>147</v>
      </c>
      <c r="C10" s="11" t="s">
        <v>239</v>
      </c>
      <c r="E10" s="12">
        <v>0</v>
      </c>
      <c r="G10" s="13">
        <v>0</v>
      </c>
      <c r="I10" s="13">
        <v>0</v>
      </c>
    </row>
    <row r="11" spans="1:14" ht="21" x14ac:dyDescent="0.45">
      <c r="A11" s="5" t="s">
        <v>148</v>
      </c>
      <c r="C11" s="11" t="s">
        <v>240</v>
      </c>
      <c r="E11" s="12">
        <v>3461396671</v>
      </c>
      <c r="G11" s="13">
        <v>8.2051750587501578E-3</v>
      </c>
      <c r="I11" s="13">
        <v>1.1827711031971084E-3</v>
      </c>
    </row>
    <row r="12" spans="1:14" ht="21" x14ac:dyDescent="0.45">
      <c r="A12" s="5" t="s">
        <v>149</v>
      </c>
      <c r="C12" s="11" t="s">
        <v>241</v>
      </c>
      <c r="E12" s="12">
        <v>0</v>
      </c>
      <c r="G12" s="13">
        <v>0</v>
      </c>
      <c r="I12" s="13">
        <v>0</v>
      </c>
    </row>
    <row r="13" spans="1:14" ht="21" x14ac:dyDescent="0.45">
      <c r="A13" s="6" t="s">
        <v>102</v>
      </c>
      <c r="E13" s="8">
        <f>SUM(E8:$E$12)</f>
        <v>421855310364</v>
      </c>
      <c r="G13" s="14">
        <f>SUM(G8:$G$12)</f>
        <v>1</v>
      </c>
      <c r="I13" s="14">
        <f>SUM(I8:$I$12)</f>
        <v>0.14414940506793678</v>
      </c>
    </row>
    <row r="14" spans="1:14" ht="18.75" x14ac:dyDescent="0.45">
      <c r="E14" s="9"/>
      <c r="G14" s="9"/>
      <c r="I14" s="9"/>
    </row>
  </sheetData>
  <mergeCells count="4">
    <mergeCell ref="A1:I1"/>
    <mergeCell ref="A2:I2"/>
    <mergeCell ref="A3:I3"/>
    <mergeCell ref="A5:I5"/>
  </mergeCells>
  <pageMargins left="0.7" right="0.7" top="0.75" bottom="0.75" header="0.3" footer="0.3"/>
  <pageSetup paperSize="9" scale="7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55"/>
  <sheetViews>
    <sheetView rightToLeft="1" view="pageBreakPreview" topLeftCell="A43" zoomScaleNormal="100" zoomScaleSheetLayoutView="100" workbookViewId="0">
      <selection sqref="A1:XFD1048576"/>
    </sheetView>
  </sheetViews>
  <sheetFormatPr defaultRowHeight="18" x14ac:dyDescent="0.45"/>
  <cols>
    <col min="1" max="1" width="17.5703125" style="4" bestFit="1" customWidth="1"/>
    <col min="2" max="2" width="1.42578125" style="4" customWidth="1"/>
    <col min="3" max="3" width="12.5703125" style="4" bestFit="1" customWidth="1"/>
    <col min="4" max="4" width="1.42578125" style="4" customWidth="1"/>
    <col min="5" max="5" width="17.5703125" style="4" bestFit="1" customWidth="1"/>
    <col min="6" max="6" width="1.42578125" style="4" customWidth="1"/>
    <col min="7" max="7" width="10.5703125" style="4" bestFit="1" customWidth="1"/>
    <col min="8" max="8" width="1.42578125" style="4" customWidth="1"/>
    <col min="9" max="9" width="17.5703125" style="4" bestFit="1" customWidth="1"/>
    <col min="10" max="10" width="1.42578125" style="4" customWidth="1"/>
    <col min="11" max="11" width="16.5703125" style="4" bestFit="1" customWidth="1"/>
    <col min="12" max="12" width="1.42578125" style="4" customWidth="1"/>
    <col min="13" max="13" width="18.28515625" style="4" bestFit="1" customWidth="1"/>
    <col min="14" max="14" width="1.42578125" style="4" customWidth="1"/>
    <col min="15" max="15" width="17.5703125" style="4" bestFit="1" customWidth="1"/>
    <col min="16" max="16" width="1.42578125" style="4" customWidth="1"/>
    <col min="17" max="17" width="16.5703125" style="4" bestFit="1" customWidth="1"/>
    <col min="18" max="18" width="1.42578125" style="4" customWidth="1"/>
    <col min="19" max="19" width="18" style="4" bestFit="1" customWidth="1"/>
    <col min="20" max="16384" width="9.140625" style="4"/>
  </cols>
  <sheetData>
    <row r="1" spans="1:19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5" spans="1:19" ht="21" x14ac:dyDescent="0.45">
      <c r="A5" s="31" t="s">
        <v>150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7" spans="1:19" ht="21" x14ac:dyDescent="0.45">
      <c r="C7" s="24" t="s">
        <v>151</v>
      </c>
      <c r="D7" s="25"/>
      <c r="E7" s="25"/>
      <c r="F7" s="25"/>
      <c r="G7" s="25"/>
      <c r="I7" s="24" t="s">
        <v>152</v>
      </c>
      <c r="J7" s="25"/>
      <c r="K7" s="25"/>
      <c r="L7" s="25"/>
      <c r="M7" s="25"/>
      <c r="O7" s="24" t="s">
        <v>7</v>
      </c>
      <c r="P7" s="25"/>
      <c r="Q7" s="25"/>
      <c r="R7" s="25"/>
      <c r="S7" s="25"/>
    </row>
    <row r="8" spans="1:19" ht="63" x14ac:dyDescent="0.45">
      <c r="A8" s="6" t="s">
        <v>104</v>
      </c>
      <c r="C8" s="7" t="s">
        <v>153</v>
      </c>
      <c r="E8" s="7" t="s">
        <v>154</v>
      </c>
      <c r="G8" s="7" t="s">
        <v>155</v>
      </c>
      <c r="I8" s="7" t="s">
        <v>156</v>
      </c>
      <c r="K8" s="7" t="s">
        <v>157</v>
      </c>
      <c r="M8" s="7" t="s">
        <v>158</v>
      </c>
      <c r="O8" s="7" t="s">
        <v>156</v>
      </c>
      <c r="Q8" s="7" t="s">
        <v>157</v>
      </c>
      <c r="S8" s="7" t="s">
        <v>158</v>
      </c>
    </row>
    <row r="9" spans="1:19" ht="37.5" x14ac:dyDescent="0.45">
      <c r="A9" s="10" t="s">
        <v>18</v>
      </c>
      <c r="C9" s="11" t="s">
        <v>159</v>
      </c>
      <c r="E9" s="12">
        <v>50000</v>
      </c>
      <c r="G9" s="12">
        <v>3980</v>
      </c>
      <c r="N9" s="11"/>
      <c r="O9" s="12">
        <v>199000000</v>
      </c>
      <c r="Q9" s="12">
        <v>-11916935</v>
      </c>
      <c r="S9" s="12">
        <v>187083065</v>
      </c>
    </row>
    <row r="10" spans="1:19" ht="18.75" x14ac:dyDescent="0.45">
      <c r="A10" s="10" t="s">
        <v>20</v>
      </c>
      <c r="C10" s="11" t="s">
        <v>160</v>
      </c>
      <c r="E10" s="12">
        <v>6813853</v>
      </c>
      <c r="G10" s="12">
        <v>637</v>
      </c>
      <c r="I10" s="12">
        <v>4340424361</v>
      </c>
      <c r="K10" s="12">
        <v>-132576043</v>
      </c>
      <c r="M10" s="12">
        <v>4207848318</v>
      </c>
      <c r="O10" s="12">
        <v>4340424361</v>
      </c>
      <c r="Q10" s="12">
        <v>-132576043</v>
      </c>
      <c r="S10" s="12">
        <v>4207848318</v>
      </c>
    </row>
    <row r="11" spans="1:19" ht="18.75" x14ac:dyDescent="0.45">
      <c r="A11" s="10" t="s">
        <v>22</v>
      </c>
      <c r="C11" s="11" t="s">
        <v>161</v>
      </c>
      <c r="E11" s="12">
        <v>19134677</v>
      </c>
      <c r="G11" s="12">
        <v>35</v>
      </c>
      <c r="I11" s="12">
        <v>669713695</v>
      </c>
      <c r="K11" s="12">
        <v>-37663278</v>
      </c>
      <c r="M11" s="12">
        <v>632050417</v>
      </c>
      <c r="O11" s="12">
        <v>669713695</v>
      </c>
      <c r="Q11" s="12">
        <v>-37663278</v>
      </c>
      <c r="S11" s="12">
        <v>632050417</v>
      </c>
    </row>
    <row r="12" spans="1:19" ht="18.75" x14ac:dyDescent="0.45">
      <c r="A12" s="10" t="s">
        <v>23</v>
      </c>
      <c r="C12" s="11" t="s">
        <v>162</v>
      </c>
      <c r="E12" s="12">
        <v>2291471</v>
      </c>
      <c r="G12" s="12">
        <v>1940</v>
      </c>
      <c r="N12" s="11"/>
      <c r="O12" s="12">
        <v>4445453740</v>
      </c>
      <c r="Q12" s="12">
        <v>-206157554</v>
      </c>
      <c r="S12" s="12">
        <v>4239296186</v>
      </c>
    </row>
    <row r="13" spans="1:19" ht="18.75" x14ac:dyDescent="0.45">
      <c r="A13" s="10" t="s">
        <v>24</v>
      </c>
      <c r="C13" s="11" t="s">
        <v>163</v>
      </c>
      <c r="E13" s="12">
        <v>14265950</v>
      </c>
      <c r="G13" s="12">
        <v>135</v>
      </c>
      <c r="I13" s="12">
        <v>1925903250</v>
      </c>
      <c r="K13" s="12">
        <v>-118821794</v>
      </c>
      <c r="M13" s="12">
        <v>1807081456</v>
      </c>
      <c r="O13" s="12">
        <v>1925903250</v>
      </c>
      <c r="Q13" s="12">
        <v>-118821794</v>
      </c>
      <c r="S13" s="12">
        <v>1807081456</v>
      </c>
    </row>
    <row r="14" spans="1:19" ht="18.75" x14ac:dyDescent="0.45">
      <c r="A14" s="10" t="s">
        <v>25</v>
      </c>
      <c r="C14" s="11" t="s">
        <v>164</v>
      </c>
      <c r="E14" s="12">
        <v>500000</v>
      </c>
      <c r="G14" s="12">
        <v>1425</v>
      </c>
      <c r="N14" s="11"/>
      <c r="O14" s="12">
        <v>712500000</v>
      </c>
      <c r="Q14" s="12">
        <v>-29024310</v>
      </c>
      <c r="S14" s="12">
        <v>683475690</v>
      </c>
    </row>
    <row r="15" spans="1:19" ht="18.75" x14ac:dyDescent="0.45">
      <c r="A15" s="10" t="s">
        <v>26</v>
      </c>
      <c r="C15" s="11" t="s">
        <v>165</v>
      </c>
      <c r="E15" s="12">
        <v>1750000</v>
      </c>
      <c r="G15" s="12">
        <v>400</v>
      </c>
      <c r="N15" s="11"/>
      <c r="O15" s="12">
        <v>700000000</v>
      </c>
      <c r="Q15" s="12">
        <v>-28515112</v>
      </c>
      <c r="S15" s="12">
        <v>671484888</v>
      </c>
    </row>
    <row r="16" spans="1:19" ht="18.75" x14ac:dyDescent="0.45">
      <c r="A16" s="10" t="s">
        <v>28</v>
      </c>
      <c r="C16" s="11" t="s">
        <v>166</v>
      </c>
      <c r="E16" s="12">
        <v>1562500</v>
      </c>
      <c r="G16" s="12">
        <v>440</v>
      </c>
      <c r="N16" s="11"/>
      <c r="O16" s="12">
        <v>687500000</v>
      </c>
      <c r="Q16" s="12">
        <v>0</v>
      </c>
      <c r="S16" s="12">
        <v>687500000</v>
      </c>
    </row>
    <row r="17" spans="1:19" ht="18.75" x14ac:dyDescent="0.45">
      <c r="A17" s="10" t="s">
        <v>31</v>
      </c>
      <c r="C17" s="11" t="s">
        <v>167</v>
      </c>
      <c r="E17" s="12">
        <v>18000000</v>
      </c>
      <c r="G17" s="12">
        <v>1000</v>
      </c>
      <c r="I17" s="12">
        <v>18000000000</v>
      </c>
      <c r="K17" s="12">
        <v>-243243243</v>
      </c>
      <c r="M17" s="12">
        <v>17756756757</v>
      </c>
      <c r="O17" s="12">
        <v>18000000000</v>
      </c>
      <c r="Q17" s="12">
        <v>-243243243</v>
      </c>
      <c r="S17" s="12">
        <v>17756756757</v>
      </c>
    </row>
    <row r="18" spans="1:19" ht="18.75" x14ac:dyDescent="0.45">
      <c r="A18" s="10" t="s">
        <v>33</v>
      </c>
      <c r="C18" s="11" t="s">
        <v>164</v>
      </c>
      <c r="E18" s="12">
        <v>9127149</v>
      </c>
      <c r="G18" s="12">
        <v>167</v>
      </c>
      <c r="N18" s="11"/>
      <c r="O18" s="12">
        <v>1524233883</v>
      </c>
      <c r="Q18" s="12">
        <v>-90354070</v>
      </c>
      <c r="S18" s="12">
        <v>1433879813</v>
      </c>
    </row>
    <row r="19" spans="1:19" ht="37.5" x14ac:dyDescent="0.45">
      <c r="A19" s="10" t="s">
        <v>34</v>
      </c>
      <c r="C19" s="11" t="s">
        <v>168</v>
      </c>
      <c r="E19" s="12">
        <v>842177</v>
      </c>
      <c r="G19" s="12">
        <v>35</v>
      </c>
      <c r="I19" s="12">
        <v>29476195</v>
      </c>
      <c r="K19" s="12">
        <v>-2186883</v>
      </c>
      <c r="M19" s="12">
        <v>27289312</v>
      </c>
      <c r="O19" s="12">
        <v>29476195</v>
      </c>
      <c r="Q19" s="12">
        <v>-2186883</v>
      </c>
      <c r="S19" s="12">
        <v>27289312</v>
      </c>
    </row>
    <row r="20" spans="1:19" ht="37.5" x14ac:dyDescent="0.45">
      <c r="A20" s="10" t="s">
        <v>38</v>
      </c>
      <c r="C20" s="11" t="s">
        <v>169</v>
      </c>
      <c r="E20" s="12">
        <v>6645110</v>
      </c>
      <c r="G20" s="12">
        <v>1600</v>
      </c>
      <c r="N20" s="11"/>
      <c r="O20" s="12">
        <v>10632176000</v>
      </c>
      <c r="Q20" s="12">
        <v>0</v>
      </c>
      <c r="S20" s="12">
        <v>10632176000</v>
      </c>
    </row>
    <row r="21" spans="1:19" ht="18.75" x14ac:dyDescent="0.45">
      <c r="A21" s="10" t="s">
        <v>39</v>
      </c>
      <c r="C21" s="11" t="s">
        <v>170</v>
      </c>
      <c r="E21" s="12">
        <v>1000000</v>
      </c>
      <c r="G21" s="12">
        <v>600</v>
      </c>
      <c r="I21" s="12">
        <v>600000000</v>
      </c>
      <c r="K21" s="12">
        <v>-12080537</v>
      </c>
      <c r="M21" s="12">
        <v>587919463</v>
      </c>
      <c r="O21" s="12">
        <v>600000000</v>
      </c>
      <c r="Q21" s="12">
        <v>-12080537</v>
      </c>
      <c r="S21" s="12">
        <v>587919463</v>
      </c>
    </row>
    <row r="22" spans="1:19" ht="18.75" x14ac:dyDescent="0.45">
      <c r="A22" s="10" t="s">
        <v>40</v>
      </c>
      <c r="C22" s="11" t="s">
        <v>171</v>
      </c>
      <c r="E22" s="12">
        <v>31806527</v>
      </c>
      <c r="G22" s="12">
        <v>120</v>
      </c>
      <c r="I22" s="12">
        <v>3816783240</v>
      </c>
      <c r="K22" s="12">
        <v>-226252615</v>
      </c>
      <c r="M22" s="12">
        <v>3590530625</v>
      </c>
      <c r="O22" s="12">
        <v>3816783240</v>
      </c>
      <c r="Q22" s="12">
        <v>-226252615</v>
      </c>
      <c r="S22" s="12">
        <v>3590530625</v>
      </c>
    </row>
    <row r="23" spans="1:19" ht="18.75" x14ac:dyDescent="0.45">
      <c r="A23" s="10" t="s">
        <v>42</v>
      </c>
      <c r="C23" s="11" t="s">
        <v>172</v>
      </c>
      <c r="E23" s="12">
        <v>236747</v>
      </c>
      <c r="G23" s="12">
        <v>2300</v>
      </c>
      <c r="I23" s="12">
        <v>544518100</v>
      </c>
      <c r="K23" s="12">
        <v>-25251982</v>
      </c>
      <c r="M23" s="12">
        <v>519266118</v>
      </c>
      <c r="O23" s="12">
        <v>544518100</v>
      </c>
      <c r="Q23" s="12">
        <v>-25251982</v>
      </c>
      <c r="S23" s="12">
        <v>519266118</v>
      </c>
    </row>
    <row r="24" spans="1:19" ht="18.75" x14ac:dyDescent="0.45">
      <c r="A24" s="10" t="s">
        <v>43</v>
      </c>
      <c r="C24" s="11" t="s">
        <v>166</v>
      </c>
      <c r="E24" s="12">
        <v>2773715</v>
      </c>
      <c r="G24" s="12">
        <v>5375</v>
      </c>
      <c r="N24" s="11"/>
      <c r="O24" s="12">
        <v>14908718125</v>
      </c>
      <c r="Q24" s="12">
        <v>-407233473</v>
      </c>
      <c r="S24" s="12">
        <v>14501484652</v>
      </c>
    </row>
    <row r="25" spans="1:19" ht="18.75" x14ac:dyDescent="0.45">
      <c r="A25" s="10" t="s">
        <v>46</v>
      </c>
      <c r="C25" s="11" t="s">
        <v>173</v>
      </c>
      <c r="E25" s="12">
        <v>27844387</v>
      </c>
      <c r="G25" s="12">
        <v>40</v>
      </c>
      <c r="I25" s="12">
        <v>1113775480</v>
      </c>
      <c r="K25" s="12">
        <v>-80667347</v>
      </c>
      <c r="M25" s="12">
        <v>1033108133</v>
      </c>
      <c r="O25" s="12">
        <v>1113775480</v>
      </c>
      <c r="Q25" s="12">
        <v>-80667347</v>
      </c>
      <c r="S25" s="12">
        <v>1033108133</v>
      </c>
    </row>
    <row r="26" spans="1:19" ht="37.5" x14ac:dyDescent="0.45">
      <c r="A26" s="10" t="s">
        <v>47</v>
      </c>
      <c r="C26" s="11" t="s">
        <v>160</v>
      </c>
      <c r="E26" s="12">
        <v>15167887</v>
      </c>
      <c r="G26" s="12">
        <v>266</v>
      </c>
      <c r="I26" s="12">
        <v>4034657942</v>
      </c>
      <c r="K26" s="12">
        <v>-187106933</v>
      </c>
      <c r="M26" s="12">
        <v>3847551009</v>
      </c>
      <c r="O26" s="12">
        <v>4034657942</v>
      </c>
      <c r="Q26" s="12">
        <v>-187106933</v>
      </c>
      <c r="S26" s="12">
        <v>3847551009</v>
      </c>
    </row>
    <row r="27" spans="1:19" ht="18.75" x14ac:dyDescent="0.45">
      <c r="A27" s="10" t="s">
        <v>48</v>
      </c>
      <c r="C27" s="11" t="s">
        <v>168</v>
      </c>
      <c r="E27" s="12">
        <v>10258397</v>
      </c>
      <c r="G27" s="12">
        <v>114</v>
      </c>
      <c r="I27" s="12">
        <v>1169457258</v>
      </c>
      <c r="K27" s="12">
        <v>-67903970</v>
      </c>
      <c r="M27" s="12">
        <v>1101553288</v>
      </c>
      <c r="O27" s="12">
        <v>1169457258</v>
      </c>
      <c r="Q27" s="12">
        <v>-67903970</v>
      </c>
      <c r="S27" s="12">
        <v>1101553288</v>
      </c>
    </row>
    <row r="28" spans="1:19" ht="18.75" x14ac:dyDescent="0.45">
      <c r="A28" s="10" t="s">
        <v>51</v>
      </c>
      <c r="C28" s="11" t="s">
        <v>174</v>
      </c>
      <c r="E28" s="12">
        <v>1186353</v>
      </c>
      <c r="G28" s="12">
        <v>6810</v>
      </c>
      <c r="N28" s="11"/>
      <c r="O28" s="12">
        <v>8079063930</v>
      </c>
      <c r="Q28" s="12">
        <v>-399745351</v>
      </c>
      <c r="S28" s="12">
        <v>7679318579</v>
      </c>
    </row>
    <row r="29" spans="1:19" ht="18.75" x14ac:dyDescent="0.45">
      <c r="A29" s="10" t="s">
        <v>52</v>
      </c>
      <c r="C29" s="11" t="s">
        <v>175</v>
      </c>
      <c r="E29" s="12">
        <v>100000</v>
      </c>
      <c r="G29" s="12">
        <v>14500</v>
      </c>
      <c r="N29" s="11"/>
      <c r="O29" s="12">
        <v>1450000000</v>
      </c>
      <c r="Q29" s="12">
        <v>-41483699</v>
      </c>
      <c r="S29" s="12">
        <v>1408516301</v>
      </c>
    </row>
    <row r="30" spans="1:19" ht="18.75" x14ac:dyDescent="0.45">
      <c r="A30" s="10" t="s">
        <v>53</v>
      </c>
      <c r="C30" s="11" t="s">
        <v>167</v>
      </c>
      <c r="E30" s="12">
        <v>5530564</v>
      </c>
      <c r="G30" s="12">
        <v>1050</v>
      </c>
      <c r="I30" s="12">
        <v>5807092200</v>
      </c>
      <c r="K30" s="12">
        <v>-396527674</v>
      </c>
      <c r="M30" s="12">
        <v>5410564526</v>
      </c>
      <c r="O30" s="12">
        <v>5807092200</v>
      </c>
      <c r="Q30" s="12">
        <v>-396527674</v>
      </c>
      <c r="S30" s="12">
        <v>5410564526</v>
      </c>
    </row>
    <row r="31" spans="1:19" ht="18.75" x14ac:dyDescent="0.45">
      <c r="A31" s="10" t="s">
        <v>54</v>
      </c>
      <c r="C31" s="11" t="s">
        <v>176</v>
      </c>
      <c r="E31" s="12">
        <v>5799792</v>
      </c>
      <c r="G31" s="12">
        <v>1076</v>
      </c>
      <c r="N31" s="11"/>
      <c r="O31" s="12">
        <v>6240576192</v>
      </c>
      <c r="Q31" s="12">
        <v>-254215325</v>
      </c>
      <c r="S31" s="12">
        <v>5986360867</v>
      </c>
    </row>
    <row r="32" spans="1:19" ht="18.75" x14ac:dyDescent="0.45">
      <c r="A32" s="10" t="s">
        <v>60</v>
      </c>
      <c r="C32" s="11" t="s">
        <v>177</v>
      </c>
      <c r="E32" s="12">
        <v>10148510</v>
      </c>
      <c r="G32" s="12">
        <v>560</v>
      </c>
      <c r="N32" s="11"/>
      <c r="O32" s="12">
        <v>5683165600</v>
      </c>
      <c r="Q32" s="12">
        <v>0</v>
      </c>
      <c r="S32" s="12">
        <v>5683165600</v>
      </c>
    </row>
    <row r="33" spans="1:19" ht="18.75" x14ac:dyDescent="0.45">
      <c r="A33" s="10" t="s">
        <v>62</v>
      </c>
      <c r="C33" s="11" t="s">
        <v>167</v>
      </c>
      <c r="E33" s="12">
        <v>3600000</v>
      </c>
      <c r="G33" s="12">
        <v>300</v>
      </c>
      <c r="I33" s="12">
        <v>1080000000</v>
      </c>
      <c r="K33" s="12">
        <v>-83286979</v>
      </c>
      <c r="M33" s="12">
        <v>996713021</v>
      </c>
      <c r="O33" s="12">
        <v>1080000000</v>
      </c>
      <c r="Q33" s="12">
        <v>-83286979</v>
      </c>
      <c r="S33" s="12">
        <v>996713021</v>
      </c>
    </row>
    <row r="34" spans="1:19" ht="18.75" x14ac:dyDescent="0.45">
      <c r="A34" s="10" t="s">
        <v>64</v>
      </c>
      <c r="C34" s="11" t="s">
        <v>178</v>
      </c>
      <c r="E34" s="12">
        <v>9664654</v>
      </c>
      <c r="G34" s="12">
        <v>1430</v>
      </c>
      <c r="I34" s="12">
        <v>13820455220</v>
      </c>
      <c r="K34" s="12">
        <v>-1065799960</v>
      </c>
      <c r="M34" s="12">
        <v>12754655260</v>
      </c>
      <c r="O34" s="12">
        <v>13820455220</v>
      </c>
      <c r="Q34" s="12">
        <v>-1065799960</v>
      </c>
      <c r="S34" s="12">
        <v>12754655260</v>
      </c>
    </row>
    <row r="35" spans="1:19" ht="18.75" x14ac:dyDescent="0.45">
      <c r="A35" s="10" t="s">
        <v>65</v>
      </c>
      <c r="C35" s="11" t="s">
        <v>168</v>
      </c>
      <c r="E35" s="12">
        <v>14021442</v>
      </c>
      <c r="G35" s="12">
        <v>500</v>
      </c>
      <c r="I35" s="12">
        <v>7010721000</v>
      </c>
      <c r="K35" s="12">
        <v>-540649786</v>
      </c>
      <c r="M35" s="12">
        <v>6470071214</v>
      </c>
      <c r="O35" s="12">
        <v>7010721000</v>
      </c>
      <c r="Q35" s="12">
        <v>-540649786</v>
      </c>
      <c r="S35" s="12">
        <v>6470071214</v>
      </c>
    </row>
    <row r="36" spans="1:19" ht="18.75" x14ac:dyDescent="0.45">
      <c r="A36" s="10" t="s">
        <v>66</v>
      </c>
      <c r="C36" s="11" t="s">
        <v>179</v>
      </c>
      <c r="E36" s="12">
        <v>800000</v>
      </c>
      <c r="G36" s="12">
        <v>730</v>
      </c>
      <c r="I36" s="12">
        <v>584000000</v>
      </c>
      <c r="K36" s="12">
        <v>-71288034</v>
      </c>
      <c r="M36" s="12">
        <v>512711966</v>
      </c>
      <c r="O36" s="12">
        <v>584000000</v>
      </c>
      <c r="Q36" s="12">
        <v>-71288034</v>
      </c>
      <c r="S36" s="12">
        <v>512711966</v>
      </c>
    </row>
    <row r="37" spans="1:19" ht="18.75" x14ac:dyDescent="0.45">
      <c r="A37" s="10" t="s">
        <v>68</v>
      </c>
      <c r="C37" s="11" t="s">
        <v>180</v>
      </c>
      <c r="E37" s="12">
        <v>8231319</v>
      </c>
      <c r="G37" s="12">
        <v>400</v>
      </c>
      <c r="N37" s="11"/>
      <c r="O37" s="12">
        <v>3292527600</v>
      </c>
      <c r="Q37" s="12">
        <v>-138268876</v>
      </c>
      <c r="S37" s="12">
        <v>3154258724</v>
      </c>
    </row>
    <row r="38" spans="1:19" ht="18.75" x14ac:dyDescent="0.45">
      <c r="A38" s="10" t="s">
        <v>69</v>
      </c>
      <c r="C38" s="11" t="s">
        <v>167</v>
      </c>
      <c r="E38" s="12">
        <v>6256631</v>
      </c>
      <c r="G38" s="12">
        <v>700</v>
      </c>
      <c r="I38" s="12">
        <v>4379641700</v>
      </c>
      <c r="K38" s="12">
        <v>-337747337</v>
      </c>
      <c r="M38" s="12">
        <v>4041894363</v>
      </c>
      <c r="O38" s="12">
        <v>4379641700</v>
      </c>
      <c r="Q38" s="12">
        <v>-337747337</v>
      </c>
      <c r="S38" s="12">
        <v>4041894363</v>
      </c>
    </row>
    <row r="39" spans="1:19" ht="18.75" x14ac:dyDescent="0.45">
      <c r="A39" s="10" t="s">
        <v>71</v>
      </c>
      <c r="C39" s="11" t="s">
        <v>167</v>
      </c>
      <c r="E39" s="12">
        <v>16300000</v>
      </c>
      <c r="G39" s="12">
        <v>800</v>
      </c>
      <c r="I39" s="12">
        <v>13040000000</v>
      </c>
      <c r="K39" s="12">
        <v>-709430052</v>
      </c>
      <c r="M39" s="12">
        <v>12330569948</v>
      </c>
      <c r="O39" s="12">
        <v>13040000000</v>
      </c>
      <c r="Q39" s="12">
        <v>-709430052</v>
      </c>
      <c r="S39" s="12">
        <v>12330569948</v>
      </c>
    </row>
    <row r="40" spans="1:19" ht="18.75" x14ac:dyDescent="0.45">
      <c r="A40" s="10" t="s">
        <v>72</v>
      </c>
      <c r="C40" s="11" t="s">
        <v>170</v>
      </c>
      <c r="E40" s="12">
        <v>44699</v>
      </c>
      <c r="G40" s="12">
        <v>1300</v>
      </c>
      <c r="I40" s="12">
        <v>58108700</v>
      </c>
      <c r="K40" s="12">
        <v>-4311172</v>
      </c>
      <c r="M40" s="12">
        <v>53797528</v>
      </c>
      <c r="O40" s="12">
        <v>58108700</v>
      </c>
      <c r="Q40" s="12">
        <v>-4311172</v>
      </c>
      <c r="S40" s="12">
        <v>53797528</v>
      </c>
    </row>
    <row r="41" spans="1:19" ht="18.75" x14ac:dyDescent="0.45">
      <c r="A41" s="10" t="s">
        <v>73</v>
      </c>
      <c r="C41" s="11" t="s">
        <v>165</v>
      </c>
      <c r="E41" s="12">
        <v>4274063</v>
      </c>
      <c r="G41" s="12">
        <v>670</v>
      </c>
      <c r="N41" s="11"/>
      <c r="O41" s="12">
        <v>2863622210</v>
      </c>
      <c r="Q41" s="12">
        <v>-91149779</v>
      </c>
      <c r="S41" s="12">
        <v>2772472431</v>
      </c>
    </row>
    <row r="42" spans="1:19" ht="18.75" x14ac:dyDescent="0.45">
      <c r="A42" s="10" t="s">
        <v>74</v>
      </c>
      <c r="C42" s="11" t="s">
        <v>181</v>
      </c>
      <c r="E42" s="12">
        <v>250000</v>
      </c>
      <c r="G42" s="12">
        <v>1480</v>
      </c>
      <c r="I42" s="12">
        <v>370000000</v>
      </c>
      <c r="K42" s="12">
        <v>-21483871</v>
      </c>
      <c r="M42" s="12">
        <v>348516129</v>
      </c>
      <c r="O42" s="12">
        <v>370000000</v>
      </c>
      <c r="Q42" s="12">
        <v>-21483871</v>
      </c>
      <c r="S42" s="12">
        <v>348516129</v>
      </c>
    </row>
    <row r="43" spans="1:19" ht="37.5" x14ac:dyDescent="0.45">
      <c r="A43" s="10" t="s">
        <v>76</v>
      </c>
      <c r="C43" s="11" t="s">
        <v>182</v>
      </c>
      <c r="E43" s="12">
        <v>6668802</v>
      </c>
      <c r="G43" s="12">
        <v>350</v>
      </c>
      <c r="I43" s="12">
        <v>2334080700</v>
      </c>
      <c r="K43" s="12">
        <v>-174538354</v>
      </c>
      <c r="M43" s="12">
        <v>2159542346</v>
      </c>
      <c r="O43" s="12">
        <v>2334080700</v>
      </c>
      <c r="Q43" s="12">
        <v>-174538354</v>
      </c>
      <c r="S43" s="12">
        <v>2159542346</v>
      </c>
    </row>
    <row r="44" spans="1:19" ht="18.75" x14ac:dyDescent="0.45">
      <c r="A44" s="10" t="s">
        <v>77</v>
      </c>
      <c r="C44" s="11" t="s">
        <v>167</v>
      </c>
      <c r="E44" s="12">
        <v>5155597</v>
      </c>
      <c r="G44" s="12">
        <v>380</v>
      </c>
      <c r="I44" s="12">
        <v>1959126860</v>
      </c>
      <c r="K44" s="12">
        <v>-145350566</v>
      </c>
      <c r="M44" s="12">
        <v>1813776294</v>
      </c>
      <c r="O44" s="12">
        <v>1959126860</v>
      </c>
      <c r="Q44" s="12">
        <v>-145350566</v>
      </c>
      <c r="S44" s="12">
        <v>1813776294</v>
      </c>
    </row>
    <row r="45" spans="1:19" ht="18.75" x14ac:dyDescent="0.45">
      <c r="A45" s="10" t="s">
        <v>79</v>
      </c>
      <c r="C45" s="11" t="s">
        <v>183</v>
      </c>
      <c r="E45" s="12">
        <v>1207911</v>
      </c>
      <c r="G45" s="12">
        <v>2600</v>
      </c>
      <c r="N45" s="11"/>
      <c r="O45" s="12">
        <v>3140568600</v>
      </c>
      <c r="Q45" s="12">
        <v>-101980027</v>
      </c>
      <c r="S45" s="12">
        <v>3038588573</v>
      </c>
    </row>
    <row r="46" spans="1:19" ht="18.75" x14ac:dyDescent="0.45">
      <c r="A46" s="10" t="s">
        <v>80</v>
      </c>
      <c r="C46" s="11" t="s">
        <v>184</v>
      </c>
      <c r="E46" s="12">
        <v>411</v>
      </c>
      <c r="G46" s="12">
        <v>285</v>
      </c>
      <c r="N46" s="11"/>
      <c r="O46" s="12">
        <v>117135</v>
      </c>
      <c r="Q46" s="12">
        <v>-7368</v>
      </c>
      <c r="S46" s="12">
        <v>109767</v>
      </c>
    </row>
    <row r="47" spans="1:19" ht="18.75" x14ac:dyDescent="0.45">
      <c r="A47" s="10" t="s">
        <v>86</v>
      </c>
      <c r="C47" s="11" t="s">
        <v>160</v>
      </c>
      <c r="E47" s="12">
        <v>18635760</v>
      </c>
      <c r="G47" s="12">
        <v>390</v>
      </c>
      <c r="I47" s="12">
        <v>7267946400</v>
      </c>
      <c r="K47" s="12">
        <v>-337050421</v>
      </c>
      <c r="M47" s="12">
        <v>6930895979</v>
      </c>
      <c r="O47" s="12">
        <v>7267946400</v>
      </c>
      <c r="Q47" s="12">
        <v>-337050421</v>
      </c>
      <c r="S47" s="12">
        <v>6930895979</v>
      </c>
    </row>
    <row r="48" spans="1:19" ht="18.75" x14ac:dyDescent="0.45">
      <c r="A48" s="10" t="s">
        <v>88</v>
      </c>
      <c r="C48" s="11" t="s">
        <v>182</v>
      </c>
      <c r="E48" s="12">
        <v>177678</v>
      </c>
      <c r="G48" s="12">
        <v>4100</v>
      </c>
      <c r="I48" s="12">
        <v>728479800</v>
      </c>
      <c r="K48" s="12">
        <v>-54047011</v>
      </c>
      <c r="M48" s="12">
        <v>674432789</v>
      </c>
      <c r="O48" s="12">
        <v>728479800</v>
      </c>
      <c r="Q48" s="12">
        <v>-54047011</v>
      </c>
      <c r="S48" s="12">
        <v>674432789</v>
      </c>
    </row>
    <row r="49" spans="1:19" ht="18.75" x14ac:dyDescent="0.45">
      <c r="A49" s="10" t="s">
        <v>92</v>
      </c>
      <c r="C49" s="11" t="s">
        <v>185</v>
      </c>
      <c r="E49" s="12">
        <v>4613772</v>
      </c>
      <c r="G49" s="12">
        <v>220</v>
      </c>
      <c r="N49" s="11"/>
      <c r="O49" s="12">
        <v>1015029840</v>
      </c>
      <c r="Q49" s="12">
        <v>-47071926</v>
      </c>
      <c r="S49" s="12">
        <v>967957914</v>
      </c>
    </row>
    <row r="50" spans="1:19" ht="18.75" x14ac:dyDescent="0.45">
      <c r="A50" s="10" t="s">
        <v>94</v>
      </c>
      <c r="C50" s="11" t="s">
        <v>186</v>
      </c>
      <c r="E50" s="12">
        <v>6744759</v>
      </c>
      <c r="G50" s="12">
        <v>480</v>
      </c>
      <c r="I50" s="12">
        <v>3237484320</v>
      </c>
      <c r="K50" s="12">
        <v>-187982961</v>
      </c>
      <c r="M50" s="12">
        <v>3049501359</v>
      </c>
      <c r="O50" s="12">
        <v>3237484320</v>
      </c>
      <c r="Q50" s="12">
        <v>-187982961</v>
      </c>
      <c r="S50" s="12">
        <v>3049501359</v>
      </c>
    </row>
    <row r="51" spans="1:19" ht="18.75" x14ac:dyDescent="0.45">
      <c r="A51" s="10" t="s">
        <v>96</v>
      </c>
      <c r="C51" s="11" t="s">
        <v>167</v>
      </c>
      <c r="E51" s="12">
        <v>3500000</v>
      </c>
      <c r="G51" s="12">
        <v>2280</v>
      </c>
      <c r="I51" s="12">
        <v>7980000000</v>
      </c>
      <c r="K51" s="12">
        <v>-554378585</v>
      </c>
      <c r="M51" s="12">
        <v>7425621415</v>
      </c>
      <c r="O51" s="12">
        <v>7980000000</v>
      </c>
      <c r="Q51" s="12">
        <v>-554378585</v>
      </c>
      <c r="S51" s="12">
        <v>7425621415</v>
      </c>
    </row>
    <row r="52" spans="1:19" ht="18.75" x14ac:dyDescent="0.45">
      <c r="A52" s="10" t="s">
        <v>98</v>
      </c>
      <c r="C52" s="11" t="s">
        <v>187</v>
      </c>
      <c r="E52" s="12">
        <v>1947948</v>
      </c>
      <c r="G52" s="12">
        <v>5330</v>
      </c>
      <c r="N52" s="11"/>
      <c r="O52" s="12">
        <v>10382562840</v>
      </c>
      <c r="Q52" s="12">
        <v>-979000963</v>
      </c>
      <c r="S52" s="12">
        <v>9403561877</v>
      </c>
    </row>
    <row r="53" spans="1:19" ht="18.75" x14ac:dyDescent="0.45">
      <c r="A53" s="10" t="s">
        <v>100</v>
      </c>
      <c r="C53" s="11" t="s">
        <v>188</v>
      </c>
      <c r="E53" s="12">
        <v>2800000</v>
      </c>
      <c r="G53" s="12">
        <v>380</v>
      </c>
      <c r="I53" s="12">
        <v>1064000000</v>
      </c>
      <c r="K53" s="12">
        <v>-69480154</v>
      </c>
      <c r="M53" s="12">
        <v>994519846</v>
      </c>
      <c r="O53" s="12">
        <v>1064000000</v>
      </c>
      <c r="Q53" s="12">
        <v>-69480154</v>
      </c>
      <c r="S53" s="12">
        <v>994519846</v>
      </c>
    </row>
    <row r="54" spans="1:19" ht="18.75" x14ac:dyDescent="0.45">
      <c r="A54" s="8" t="s">
        <v>102</v>
      </c>
      <c r="I54" s="8">
        <f>SUM(I9:$I$53)</f>
        <v>106965846421</v>
      </c>
      <c r="K54" s="8">
        <f>SUM(K9:$K$53)</f>
        <v>-5887107542</v>
      </c>
      <c r="M54" s="8">
        <f>SUM(M9:$M$53)</f>
        <v>101078738879</v>
      </c>
      <c r="O54" s="8">
        <f>SUM(O9:$O$53)</f>
        <v>182922662116</v>
      </c>
      <c r="Q54" s="8">
        <f>SUM(Q9:$Q$53)</f>
        <v>-8713232310</v>
      </c>
      <c r="S54" s="8">
        <f>SUM(S9:$S$53)</f>
        <v>174209429806</v>
      </c>
    </row>
    <row r="55" spans="1:19" ht="18.75" x14ac:dyDescent="0.45">
      <c r="I55" s="9"/>
      <c r="K55" s="9"/>
      <c r="M55" s="9"/>
      <c r="O55" s="9"/>
      <c r="Q55" s="9"/>
      <c r="S55" s="9"/>
    </row>
  </sheetData>
  <mergeCells count="7">
    <mergeCell ref="A1:S1"/>
    <mergeCell ref="A2:S2"/>
    <mergeCell ref="A3:S3"/>
    <mergeCell ref="A5:S5"/>
    <mergeCell ref="C7:G7"/>
    <mergeCell ref="I7:M7"/>
    <mergeCell ref="O7:S7"/>
  </mergeCells>
  <pageMargins left="0.7" right="0.7" top="0.75" bottom="0.75" header="0.3" footer="0.3"/>
  <pageSetup paperSize="9" scale="74" fitToHeight="0" orientation="landscape" r:id="rId1"/>
  <rowBreaks count="1" manualBreakCount="1">
    <brk id="4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17"/>
  <sheetViews>
    <sheetView rightToLeft="1" view="pageBreakPreview" zoomScale="91" zoomScaleNormal="100" zoomScaleSheetLayoutView="91" workbookViewId="0">
      <selection sqref="A1:XFD1048576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1.42578125" style="4" customWidth="1"/>
    <col min="4" max="4" width="1.42578125" style="4" customWidth="1"/>
    <col min="5" max="5" width="11.42578125" style="4" customWidth="1"/>
    <col min="6" max="6" width="1.42578125" style="4" customWidth="1"/>
    <col min="7" max="7" width="11.42578125" style="4" customWidth="1"/>
    <col min="8" max="8" width="1.42578125" style="4" customWidth="1"/>
    <col min="9" max="9" width="18.42578125" style="4" customWidth="1"/>
    <col min="10" max="10" width="1.42578125" style="4" customWidth="1"/>
    <col min="11" max="11" width="14.140625" style="4" customWidth="1"/>
    <col min="12" max="12" width="1.42578125" style="4" customWidth="1"/>
    <col min="13" max="13" width="18.42578125" style="4" customWidth="1"/>
    <col min="14" max="14" width="1.42578125" style="4" customWidth="1"/>
    <col min="15" max="15" width="18.42578125" style="4" customWidth="1"/>
    <col min="16" max="16" width="1.42578125" style="4" customWidth="1"/>
    <col min="17" max="17" width="14.140625" style="4" customWidth="1"/>
    <col min="18" max="18" width="1.42578125" style="4" customWidth="1"/>
    <col min="19" max="19" width="18.42578125" style="4" customWidth="1"/>
    <col min="20" max="16384" width="9.140625" style="4"/>
  </cols>
  <sheetData>
    <row r="1" spans="1:19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19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3" spans="1:19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5" spans="1:19" ht="21" x14ac:dyDescent="0.45">
      <c r="A5" s="31" t="s">
        <v>189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7" spans="1:19" ht="21" x14ac:dyDescent="0.45">
      <c r="I7" s="24" t="s">
        <v>152</v>
      </c>
      <c r="J7" s="25"/>
      <c r="K7" s="25"/>
      <c r="L7" s="25"/>
      <c r="M7" s="25"/>
      <c r="O7" s="24" t="s">
        <v>7</v>
      </c>
      <c r="P7" s="25"/>
      <c r="Q7" s="25"/>
      <c r="R7" s="25"/>
      <c r="S7" s="25"/>
    </row>
    <row r="8" spans="1:19" ht="42" x14ac:dyDescent="0.45">
      <c r="A8" s="15" t="s">
        <v>142</v>
      </c>
      <c r="C8" s="7" t="s">
        <v>190</v>
      </c>
      <c r="E8" s="7" t="s">
        <v>122</v>
      </c>
      <c r="G8" s="7" t="s">
        <v>135</v>
      </c>
      <c r="I8" s="7" t="s">
        <v>191</v>
      </c>
      <c r="K8" s="7" t="s">
        <v>157</v>
      </c>
      <c r="M8" s="7" t="s">
        <v>192</v>
      </c>
      <c r="O8" s="7" t="s">
        <v>191</v>
      </c>
      <c r="Q8" s="7" t="s">
        <v>157</v>
      </c>
      <c r="S8" s="7" t="s">
        <v>192</v>
      </c>
    </row>
    <row r="9" spans="1:19" ht="18.75" x14ac:dyDescent="0.45">
      <c r="A9" s="10" t="s">
        <v>242</v>
      </c>
      <c r="C9" s="11" t="s">
        <v>193</v>
      </c>
      <c r="E9" s="11" t="s">
        <v>194</v>
      </c>
      <c r="G9" s="11" t="s">
        <v>139</v>
      </c>
      <c r="I9" s="12">
        <v>34268</v>
      </c>
      <c r="K9" s="12">
        <v>0</v>
      </c>
      <c r="M9" s="12">
        <v>34268</v>
      </c>
      <c r="O9" s="12">
        <v>137121</v>
      </c>
      <c r="Q9" s="12">
        <v>0</v>
      </c>
      <c r="S9" s="12">
        <v>137121</v>
      </c>
    </row>
    <row r="10" spans="1:19" ht="18.75" x14ac:dyDescent="0.45">
      <c r="A10" s="10" t="s">
        <v>243</v>
      </c>
      <c r="C10" s="11" t="s">
        <v>168</v>
      </c>
      <c r="E10" s="11" t="s">
        <v>194</v>
      </c>
      <c r="G10" s="11" t="s">
        <v>139</v>
      </c>
      <c r="I10" s="12">
        <v>1334668635</v>
      </c>
      <c r="K10" s="12">
        <v>0</v>
      </c>
      <c r="M10" s="12">
        <v>1334668635</v>
      </c>
      <c r="O10" s="12">
        <v>3444779110</v>
      </c>
      <c r="Q10" s="12">
        <v>0</v>
      </c>
      <c r="S10" s="12">
        <v>3444779110</v>
      </c>
    </row>
    <row r="11" spans="1:19" ht="18.75" x14ac:dyDescent="0.45">
      <c r="A11" s="10" t="s">
        <v>244</v>
      </c>
      <c r="C11" s="11" t="s">
        <v>163</v>
      </c>
      <c r="E11" s="11" t="s">
        <v>194</v>
      </c>
      <c r="G11" s="11" t="s">
        <v>139</v>
      </c>
      <c r="I11" s="12">
        <v>20881</v>
      </c>
      <c r="K11" s="12">
        <v>0</v>
      </c>
      <c r="M11" s="12">
        <v>20881</v>
      </c>
      <c r="O11" s="12">
        <v>3155179</v>
      </c>
      <c r="Q11" s="12">
        <v>0</v>
      </c>
      <c r="S11" s="12">
        <v>3155179</v>
      </c>
    </row>
    <row r="12" spans="1:19" ht="18.75" x14ac:dyDescent="0.45">
      <c r="A12" s="10" t="s">
        <v>245</v>
      </c>
      <c r="C12" s="11" t="s">
        <v>170</v>
      </c>
      <c r="E12" s="11" t="s">
        <v>194</v>
      </c>
      <c r="G12" s="11" t="s">
        <v>139</v>
      </c>
      <c r="I12" s="12">
        <v>3465407</v>
      </c>
      <c r="K12" s="12">
        <v>0</v>
      </c>
      <c r="M12" s="12">
        <v>3465407</v>
      </c>
      <c r="O12" s="12">
        <v>9413835</v>
      </c>
      <c r="Q12" s="12">
        <v>0</v>
      </c>
      <c r="S12" s="12">
        <v>9413835</v>
      </c>
    </row>
    <row r="13" spans="1:19" ht="18.75" x14ac:dyDescent="0.45">
      <c r="A13" s="10" t="s">
        <v>246</v>
      </c>
      <c r="C13" s="11" t="s">
        <v>170</v>
      </c>
      <c r="E13" s="11" t="s">
        <v>194</v>
      </c>
      <c r="G13" s="11" t="s">
        <v>139</v>
      </c>
      <c r="I13" s="12">
        <v>135162</v>
      </c>
      <c r="K13" s="12">
        <v>0</v>
      </c>
      <c r="M13" s="12">
        <v>135162</v>
      </c>
      <c r="O13" s="12">
        <v>267030</v>
      </c>
      <c r="Q13" s="12">
        <v>0</v>
      </c>
      <c r="S13" s="12">
        <v>267030</v>
      </c>
    </row>
    <row r="14" spans="1:19" ht="18.75" x14ac:dyDescent="0.45">
      <c r="A14" s="10" t="s">
        <v>247</v>
      </c>
      <c r="C14" s="11" t="s">
        <v>195</v>
      </c>
      <c r="E14" s="11" t="s">
        <v>194</v>
      </c>
      <c r="G14" s="11" t="s">
        <v>139</v>
      </c>
      <c r="I14" s="12">
        <v>429216</v>
      </c>
      <c r="K14" s="12">
        <v>0</v>
      </c>
      <c r="M14" s="12">
        <v>429216</v>
      </c>
      <c r="O14" s="12">
        <v>3521270</v>
      </c>
      <c r="Q14" s="12">
        <v>0</v>
      </c>
      <c r="S14" s="12">
        <v>3521270</v>
      </c>
    </row>
    <row r="15" spans="1:19" ht="18.75" x14ac:dyDescent="0.45">
      <c r="A15" s="10" t="s">
        <v>248</v>
      </c>
      <c r="C15" s="11" t="s">
        <v>173</v>
      </c>
      <c r="E15" s="11" t="s">
        <v>194</v>
      </c>
      <c r="G15" s="11" t="s">
        <v>139</v>
      </c>
      <c r="I15" s="12">
        <v>41158</v>
      </c>
      <c r="K15" s="12">
        <v>0</v>
      </c>
      <c r="M15" s="12">
        <v>41158</v>
      </c>
      <c r="O15" s="12">
        <v>123126</v>
      </c>
      <c r="Q15" s="12">
        <v>0</v>
      </c>
      <c r="S15" s="12">
        <v>123126</v>
      </c>
    </row>
    <row r="16" spans="1:19" ht="18.75" x14ac:dyDescent="0.45">
      <c r="A16" s="8" t="s">
        <v>102</v>
      </c>
      <c r="I16" s="8">
        <f>SUM(I9:$I$15)</f>
        <v>1338794727</v>
      </c>
      <c r="K16" s="8">
        <f>SUM(K9:$K$15)</f>
        <v>0</v>
      </c>
      <c r="M16" s="8">
        <f>SUM(M9:$M$15)</f>
        <v>1338794727</v>
      </c>
      <c r="O16" s="8">
        <f>SUM(O9:$O$15)</f>
        <v>3461396671</v>
      </c>
      <c r="Q16" s="8">
        <f>SUM(Q9:$Q$15)</f>
        <v>0</v>
      </c>
      <c r="S16" s="8">
        <f>SUM(S9:$S$15)</f>
        <v>3461396671</v>
      </c>
    </row>
    <row r="17" spans="9:19" ht="18.75" x14ac:dyDescent="0.45">
      <c r="I17" s="9"/>
      <c r="K17" s="9"/>
      <c r="M17" s="9"/>
      <c r="O17" s="9"/>
      <c r="Q17" s="9"/>
      <c r="S17" s="9"/>
    </row>
  </sheetData>
  <mergeCells count="6">
    <mergeCell ref="A1:S1"/>
    <mergeCell ref="A2:S2"/>
    <mergeCell ref="A3:S3"/>
    <mergeCell ref="A5:S5"/>
    <mergeCell ref="I7:M7"/>
    <mergeCell ref="O7:S7"/>
  </mergeCells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42"/>
  <sheetViews>
    <sheetView rightToLeft="1" view="pageBreakPreview" topLeftCell="A13" zoomScale="84" zoomScaleNormal="100" zoomScaleSheetLayoutView="84" workbookViewId="0">
      <selection sqref="A1:XFD1048576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2.7109375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7" style="4" customWidth="1"/>
    <col min="10" max="10" width="1.42578125" style="4" customWidth="1"/>
    <col min="11" max="11" width="12.7109375" style="4" customWidth="1"/>
    <col min="12" max="12" width="1.42578125" style="4" customWidth="1"/>
    <col min="13" max="13" width="17" style="4" customWidth="1"/>
    <col min="14" max="14" width="1.42578125" style="4" customWidth="1"/>
    <col min="15" max="15" width="17" style="4" customWidth="1"/>
    <col min="16" max="16" width="1.42578125" style="4" customWidth="1"/>
    <col min="17" max="17" width="17" style="4" customWidth="1"/>
    <col min="18" max="16384" width="9.140625" style="4"/>
  </cols>
  <sheetData>
    <row r="1" spans="1:17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5" spans="1:17" ht="21" x14ac:dyDescent="0.45">
      <c r="A5" s="31" t="s">
        <v>196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7" spans="1:17" ht="21" x14ac:dyDescent="0.45">
      <c r="C7" s="24" t="s">
        <v>152</v>
      </c>
      <c r="D7" s="25"/>
      <c r="E7" s="25"/>
      <c r="F7" s="25"/>
      <c r="G7" s="25"/>
      <c r="H7" s="25"/>
      <c r="I7" s="25"/>
      <c r="K7" s="24" t="s">
        <v>7</v>
      </c>
      <c r="L7" s="25"/>
      <c r="M7" s="25"/>
      <c r="N7" s="25"/>
      <c r="O7" s="25"/>
      <c r="P7" s="25"/>
      <c r="Q7" s="25"/>
    </row>
    <row r="8" spans="1:17" ht="42" x14ac:dyDescent="0.45">
      <c r="A8" s="15" t="s">
        <v>142</v>
      </c>
      <c r="C8" s="7" t="s">
        <v>9</v>
      </c>
      <c r="E8" s="7" t="s">
        <v>11</v>
      </c>
      <c r="G8" s="7" t="s">
        <v>197</v>
      </c>
      <c r="I8" s="7" t="s">
        <v>198</v>
      </c>
      <c r="K8" s="7" t="s">
        <v>9</v>
      </c>
      <c r="M8" s="7" t="s">
        <v>11</v>
      </c>
      <c r="O8" s="7" t="s">
        <v>197</v>
      </c>
      <c r="Q8" s="7" t="s">
        <v>198</v>
      </c>
    </row>
    <row r="9" spans="1:17" ht="18.75" x14ac:dyDescent="0.45">
      <c r="A9" s="10" t="s">
        <v>17</v>
      </c>
      <c r="C9" s="12">
        <v>75</v>
      </c>
      <c r="E9" s="12">
        <v>7507566</v>
      </c>
      <c r="G9" s="12">
        <v>4739180</v>
      </c>
      <c r="I9" s="12">
        <v>2768386</v>
      </c>
      <c r="K9" s="12">
        <v>75</v>
      </c>
      <c r="M9" s="12">
        <v>7507566</v>
      </c>
      <c r="O9" s="12">
        <v>4739180</v>
      </c>
      <c r="Q9" s="12">
        <v>2768386</v>
      </c>
    </row>
    <row r="10" spans="1:17" ht="18.75" x14ac:dyDescent="0.45">
      <c r="A10" s="10" t="s">
        <v>20</v>
      </c>
      <c r="C10" s="12">
        <v>6813853</v>
      </c>
      <c r="E10" s="12">
        <v>29734833546</v>
      </c>
      <c r="G10" s="12">
        <v>28974347589</v>
      </c>
      <c r="I10" s="12">
        <v>760485957</v>
      </c>
      <c r="K10" s="12">
        <v>6847087</v>
      </c>
      <c r="M10" s="12">
        <v>29901025067</v>
      </c>
      <c r="O10" s="12">
        <v>29115540893</v>
      </c>
      <c r="Q10" s="12">
        <v>785484174</v>
      </c>
    </row>
    <row r="11" spans="1:17" ht="18.75" x14ac:dyDescent="0.45">
      <c r="A11" s="10" t="s">
        <v>23</v>
      </c>
      <c r="C11" s="12">
        <v>734151</v>
      </c>
      <c r="E11" s="12">
        <v>9896500977</v>
      </c>
      <c r="G11" s="12">
        <v>11464033943</v>
      </c>
      <c r="I11" s="12">
        <v>-1567532966</v>
      </c>
      <c r="K11" s="12">
        <v>834151</v>
      </c>
      <c r="M11" s="12">
        <v>11596670242</v>
      </c>
      <c r="O11" s="12">
        <v>13023462448</v>
      </c>
      <c r="Q11" s="12">
        <v>-1426792206</v>
      </c>
    </row>
    <row r="12" spans="1:17" ht="18.75" x14ac:dyDescent="0.45">
      <c r="A12" s="10" t="s">
        <v>24</v>
      </c>
      <c r="J12" s="11"/>
      <c r="K12" s="12">
        <v>534050</v>
      </c>
      <c r="M12" s="12">
        <v>1851190504</v>
      </c>
      <c r="O12" s="12">
        <v>1280532076</v>
      </c>
      <c r="Q12" s="12">
        <v>570658428</v>
      </c>
    </row>
    <row r="13" spans="1:17" ht="18.75" x14ac:dyDescent="0.45">
      <c r="A13" s="10" t="s">
        <v>30</v>
      </c>
      <c r="J13" s="11"/>
      <c r="K13" s="12">
        <v>7718165</v>
      </c>
      <c r="M13" s="12">
        <v>41216030217</v>
      </c>
      <c r="O13" s="12">
        <v>26897688874</v>
      </c>
      <c r="Q13" s="12">
        <v>14318341343</v>
      </c>
    </row>
    <row r="14" spans="1:17" ht="18.75" x14ac:dyDescent="0.45">
      <c r="A14" s="10" t="s">
        <v>31</v>
      </c>
      <c r="C14" s="12">
        <v>2425056</v>
      </c>
      <c r="E14" s="12">
        <v>19646609456</v>
      </c>
      <c r="G14" s="12">
        <v>14948821286</v>
      </c>
      <c r="I14" s="12">
        <v>4697788170</v>
      </c>
      <c r="K14" s="12">
        <v>4541064</v>
      </c>
      <c r="M14" s="12">
        <v>37259442881</v>
      </c>
      <c r="O14" s="12">
        <v>27989758733</v>
      </c>
      <c r="Q14" s="12">
        <v>9269684148</v>
      </c>
    </row>
    <row r="15" spans="1:17" ht="18.75" x14ac:dyDescent="0.45">
      <c r="A15" s="10" t="s">
        <v>199</v>
      </c>
      <c r="C15" s="12">
        <v>15081</v>
      </c>
      <c r="E15" s="12">
        <v>70580885</v>
      </c>
      <c r="G15" s="12">
        <v>68897160</v>
      </c>
      <c r="I15" s="12">
        <v>1683725</v>
      </c>
      <c r="K15" s="12">
        <v>15081</v>
      </c>
      <c r="M15" s="12">
        <v>70580885</v>
      </c>
      <c r="O15" s="12">
        <v>68897160</v>
      </c>
      <c r="Q15" s="12">
        <v>1683725</v>
      </c>
    </row>
    <row r="16" spans="1:17" ht="18.75" x14ac:dyDescent="0.45">
      <c r="A16" s="10" t="s">
        <v>33</v>
      </c>
      <c r="J16" s="11"/>
      <c r="K16" s="12">
        <v>3200000</v>
      </c>
      <c r="M16" s="12">
        <v>5608032552</v>
      </c>
      <c r="O16" s="12">
        <v>4651987012</v>
      </c>
      <c r="Q16" s="12">
        <v>956045540</v>
      </c>
    </row>
    <row r="17" spans="1:17" ht="37.5" x14ac:dyDescent="0.45">
      <c r="A17" s="10" t="s">
        <v>35</v>
      </c>
      <c r="C17" s="12">
        <v>750</v>
      </c>
      <c r="E17" s="12">
        <v>34443835</v>
      </c>
      <c r="G17" s="12">
        <v>35616912</v>
      </c>
      <c r="I17" s="12">
        <v>-1173077</v>
      </c>
      <c r="K17" s="12">
        <v>750</v>
      </c>
      <c r="M17" s="12">
        <v>34443835</v>
      </c>
      <c r="O17" s="12">
        <v>35616912</v>
      </c>
      <c r="Q17" s="12">
        <v>-1173077</v>
      </c>
    </row>
    <row r="18" spans="1:17" ht="18.75" x14ac:dyDescent="0.45">
      <c r="A18" s="10" t="s">
        <v>42</v>
      </c>
      <c r="C18" s="12">
        <v>100000</v>
      </c>
      <c r="E18" s="12">
        <v>2204803207</v>
      </c>
      <c r="G18" s="12">
        <v>2135939307</v>
      </c>
      <c r="I18" s="12">
        <v>68863900</v>
      </c>
      <c r="K18" s="12">
        <v>2899492</v>
      </c>
      <c r="M18" s="12">
        <v>75336879117</v>
      </c>
      <c r="O18" s="12">
        <v>61863092405</v>
      </c>
      <c r="Q18" s="12">
        <v>13473786712</v>
      </c>
    </row>
    <row r="19" spans="1:17" ht="18.75" x14ac:dyDescent="0.45">
      <c r="A19" s="10" t="s">
        <v>49</v>
      </c>
      <c r="J19" s="11"/>
      <c r="K19" s="12">
        <v>2000000</v>
      </c>
      <c r="M19" s="12">
        <v>5608430157</v>
      </c>
      <c r="O19" s="12">
        <v>4790689146</v>
      </c>
      <c r="Q19" s="12">
        <v>817741011</v>
      </c>
    </row>
    <row r="20" spans="1:17" ht="37.5" x14ac:dyDescent="0.45">
      <c r="A20" s="10" t="s">
        <v>50</v>
      </c>
      <c r="J20" s="11"/>
      <c r="K20" s="12">
        <v>3250000</v>
      </c>
      <c r="M20" s="12">
        <v>4477257642</v>
      </c>
      <c r="O20" s="12">
        <v>3912524843</v>
      </c>
      <c r="Q20" s="12">
        <v>564732799</v>
      </c>
    </row>
    <row r="21" spans="1:17" ht="18.75" x14ac:dyDescent="0.45">
      <c r="A21" s="10" t="s">
        <v>53</v>
      </c>
      <c r="J21" s="11"/>
      <c r="K21" s="12">
        <v>2633426</v>
      </c>
      <c r="M21" s="12">
        <v>30559895055</v>
      </c>
      <c r="O21" s="12">
        <v>21151800984</v>
      </c>
      <c r="Q21" s="12">
        <v>9408094071</v>
      </c>
    </row>
    <row r="22" spans="1:17" ht="18.75" x14ac:dyDescent="0.45">
      <c r="A22" s="10" t="s">
        <v>54</v>
      </c>
      <c r="J22" s="11"/>
      <c r="K22" s="12">
        <v>204159</v>
      </c>
      <c r="M22" s="12">
        <v>2365633293</v>
      </c>
      <c r="O22" s="12">
        <v>1680424874</v>
      </c>
      <c r="Q22" s="12">
        <v>685208419</v>
      </c>
    </row>
    <row r="23" spans="1:17" ht="18.75" x14ac:dyDescent="0.45">
      <c r="A23" s="10" t="s">
        <v>55</v>
      </c>
      <c r="J23" s="11"/>
      <c r="K23" s="12">
        <v>1700000</v>
      </c>
      <c r="M23" s="12">
        <v>31505506561</v>
      </c>
      <c r="O23" s="12">
        <v>20428018251</v>
      </c>
      <c r="Q23" s="12">
        <v>11077488310</v>
      </c>
    </row>
    <row r="24" spans="1:17" ht="18.75" x14ac:dyDescent="0.45">
      <c r="A24" s="10" t="s">
        <v>57</v>
      </c>
      <c r="J24" s="11"/>
      <c r="K24" s="12">
        <v>9304630</v>
      </c>
      <c r="M24" s="12">
        <v>17440630260</v>
      </c>
      <c r="O24" s="12">
        <v>14518699221</v>
      </c>
      <c r="Q24" s="12">
        <v>2921931039</v>
      </c>
    </row>
    <row r="25" spans="1:17" ht="18.75" x14ac:dyDescent="0.45">
      <c r="A25" s="10" t="s">
        <v>62</v>
      </c>
      <c r="C25" s="12">
        <v>150000</v>
      </c>
      <c r="E25" s="12">
        <v>553337957</v>
      </c>
      <c r="G25" s="12">
        <v>469616987</v>
      </c>
      <c r="I25" s="12">
        <v>83720970</v>
      </c>
      <c r="K25" s="12">
        <v>150000</v>
      </c>
      <c r="M25" s="12">
        <v>553337957</v>
      </c>
      <c r="O25" s="12">
        <v>469616987</v>
      </c>
      <c r="Q25" s="12">
        <v>83720970</v>
      </c>
    </row>
    <row r="26" spans="1:17" ht="18.75" x14ac:dyDescent="0.45">
      <c r="A26" s="10" t="s">
        <v>63</v>
      </c>
      <c r="J26" s="11"/>
      <c r="K26" s="12">
        <v>131650</v>
      </c>
      <c r="M26" s="12">
        <v>622663681</v>
      </c>
      <c r="O26" s="12">
        <v>580461851</v>
      </c>
      <c r="Q26" s="12">
        <v>42201830</v>
      </c>
    </row>
    <row r="27" spans="1:17" ht="18.75" x14ac:dyDescent="0.45">
      <c r="A27" s="10" t="s">
        <v>71</v>
      </c>
      <c r="J27" s="11"/>
      <c r="K27" s="12">
        <v>1404932</v>
      </c>
      <c r="M27" s="12">
        <v>11340170007</v>
      </c>
      <c r="O27" s="12">
        <v>7627237494</v>
      </c>
      <c r="Q27" s="12">
        <v>3712932513</v>
      </c>
    </row>
    <row r="28" spans="1:17" ht="18.75" x14ac:dyDescent="0.45">
      <c r="A28" s="10" t="s">
        <v>72</v>
      </c>
      <c r="C28" s="12">
        <v>400000</v>
      </c>
      <c r="E28" s="12">
        <v>4250624054</v>
      </c>
      <c r="G28" s="12">
        <v>5119760654</v>
      </c>
      <c r="I28" s="12">
        <v>-869136600</v>
      </c>
      <c r="K28" s="12">
        <v>400000</v>
      </c>
      <c r="M28" s="12">
        <v>4250624054</v>
      </c>
      <c r="O28" s="12">
        <v>5119760654</v>
      </c>
      <c r="Q28" s="12">
        <v>-869136600</v>
      </c>
    </row>
    <row r="29" spans="1:17" ht="18.75" x14ac:dyDescent="0.45">
      <c r="A29" s="10" t="s">
        <v>75</v>
      </c>
      <c r="J29" s="11"/>
      <c r="K29" s="12">
        <v>500000</v>
      </c>
      <c r="M29" s="12">
        <v>5188941039</v>
      </c>
      <c r="O29" s="12">
        <v>4531630539</v>
      </c>
      <c r="Q29" s="12">
        <v>657310500</v>
      </c>
    </row>
    <row r="30" spans="1:17" ht="18.75" x14ac:dyDescent="0.45">
      <c r="A30" s="10" t="s">
        <v>76</v>
      </c>
      <c r="J30" s="11"/>
      <c r="K30" s="12">
        <v>1200000</v>
      </c>
      <c r="M30" s="12">
        <v>6002598298</v>
      </c>
      <c r="O30" s="12">
        <v>4086594998</v>
      </c>
      <c r="Q30" s="12">
        <v>1916003300</v>
      </c>
    </row>
    <row r="31" spans="1:17" ht="18.75" x14ac:dyDescent="0.45">
      <c r="A31" s="10" t="s">
        <v>78</v>
      </c>
      <c r="J31" s="11"/>
      <c r="K31" s="12">
        <v>200001</v>
      </c>
      <c r="M31" s="12">
        <v>1461253531</v>
      </c>
      <c r="O31" s="12">
        <v>1100700481</v>
      </c>
      <c r="Q31" s="12">
        <v>360553050</v>
      </c>
    </row>
    <row r="32" spans="1:17" ht="18.75" x14ac:dyDescent="0.45">
      <c r="A32" s="10" t="s">
        <v>79</v>
      </c>
      <c r="J32" s="11"/>
      <c r="K32" s="12">
        <v>105859</v>
      </c>
      <c r="M32" s="12">
        <v>4608373962</v>
      </c>
      <c r="O32" s="12">
        <v>3640703866</v>
      </c>
      <c r="Q32" s="12">
        <v>967670096</v>
      </c>
    </row>
    <row r="33" spans="1:17" ht="18.75" x14ac:dyDescent="0.45">
      <c r="A33" s="10" t="s">
        <v>80</v>
      </c>
      <c r="C33" s="12">
        <v>411</v>
      </c>
      <c r="E33" s="12">
        <v>1101466</v>
      </c>
      <c r="G33" s="12">
        <v>992650</v>
      </c>
      <c r="I33" s="12">
        <v>108816</v>
      </c>
      <c r="K33" s="12">
        <v>411</v>
      </c>
      <c r="M33" s="12">
        <v>1101466</v>
      </c>
      <c r="O33" s="12">
        <v>992650</v>
      </c>
      <c r="Q33" s="12">
        <v>108816</v>
      </c>
    </row>
    <row r="34" spans="1:17" ht="18.75" x14ac:dyDescent="0.45">
      <c r="A34" s="10" t="s">
        <v>84</v>
      </c>
      <c r="C34" s="12">
        <v>180751</v>
      </c>
      <c r="E34" s="12">
        <v>1975450305</v>
      </c>
      <c r="G34" s="12">
        <v>1607052405</v>
      </c>
      <c r="I34" s="12">
        <v>368397900</v>
      </c>
      <c r="K34" s="12">
        <v>980751</v>
      </c>
      <c r="M34" s="12">
        <v>10778757177</v>
      </c>
      <c r="O34" s="12">
        <v>8719471677</v>
      </c>
      <c r="Q34" s="12">
        <v>2059285500</v>
      </c>
    </row>
    <row r="35" spans="1:17" ht="18.75" x14ac:dyDescent="0.45">
      <c r="A35" s="10" t="s">
        <v>90</v>
      </c>
      <c r="C35" s="12">
        <v>4260000</v>
      </c>
      <c r="E35" s="12">
        <v>14770469820</v>
      </c>
      <c r="G35" s="12">
        <v>14466092181</v>
      </c>
      <c r="I35" s="12">
        <v>304377639</v>
      </c>
      <c r="K35" s="12">
        <v>4260000</v>
      </c>
      <c r="M35" s="12">
        <v>14770469820</v>
      </c>
      <c r="O35" s="12">
        <v>14466092181</v>
      </c>
      <c r="Q35" s="12">
        <v>304377639</v>
      </c>
    </row>
    <row r="36" spans="1:17" ht="18.75" x14ac:dyDescent="0.45">
      <c r="A36" s="10" t="s">
        <v>91</v>
      </c>
      <c r="C36" s="12">
        <v>438570</v>
      </c>
      <c r="E36" s="12">
        <v>3971600274</v>
      </c>
      <c r="G36" s="12">
        <v>3926029781</v>
      </c>
      <c r="I36" s="12">
        <v>45570493</v>
      </c>
      <c r="K36" s="12">
        <v>438570</v>
      </c>
      <c r="M36" s="12">
        <v>3971600274</v>
      </c>
      <c r="O36" s="12">
        <v>3926029781</v>
      </c>
      <c r="Q36" s="12">
        <v>45570493</v>
      </c>
    </row>
    <row r="37" spans="1:17" ht="18.75" x14ac:dyDescent="0.45">
      <c r="A37" s="10" t="s">
        <v>93</v>
      </c>
      <c r="C37" s="12">
        <v>400000</v>
      </c>
      <c r="E37" s="12">
        <v>1100960502</v>
      </c>
      <c r="G37" s="12">
        <v>1041139008</v>
      </c>
      <c r="I37" s="12">
        <v>59821494</v>
      </c>
      <c r="K37" s="12">
        <v>400000</v>
      </c>
      <c r="M37" s="12">
        <v>1100960502</v>
      </c>
      <c r="O37" s="12">
        <v>1041139008</v>
      </c>
      <c r="Q37" s="12">
        <v>59821494</v>
      </c>
    </row>
    <row r="38" spans="1:17" ht="18.75" x14ac:dyDescent="0.45">
      <c r="A38" s="10" t="s">
        <v>96</v>
      </c>
      <c r="J38" s="11"/>
      <c r="K38" s="12">
        <v>2632725</v>
      </c>
      <c r="M38" s="12">
        <v>74912314196</v>
      </c>
      <c r="O38" s="12">
        <v>48673825769</v>
      </c>
      <c r="Q38" s="12">
        <v>26238488427</v>
      </c>
    </row>
    <row r="39" spans="1:17" ht="18.75" x14ac:dyDescent="0.45">
      <c r="A39" s="8" t="s">
        <v>102</v>
      </c>
      <c r="C39" s="8">
        <f>SUM(C9:$C$38)</f>
        <v>15918698</v>
      </c>
      <c r="E39" s="8">
        <f>SUM(E9:$E$38)</f>
        <v>88218823850</v>
      </c>
      <c r="G39" s="8">
        <f>SUM(G9:$G$38)</f>
        <v>84263079043</v>
      </c>
      <c r="I39" s="8">
        <f>SUM(I9:$I$38)</f>
        <v>3955744807</v>
      </c>
      <c r="K39" s="8">
        <f>SUM(K9:$K$38)</f>
        <v>58487029</v>
      </c>
      <c r="M39" s="8">
        <f>SUM(M9:$M$38)</f>
        <v>434402321798</v>
      </c>
      <c r="O39" s="8">
        <f>SUM(O9:$O$38)</f>
        <v>335397730948</v>
      </c>
      <c r="Q39" s="8">
        <f>SUM(Q9:$Q$38)</f>
        <v>99004590850</v>
      </c>
    </row>
    <row r="40" spans="1:17" ht="18.75" x14ac:dyDescent="0.45">
      <c r="C40" s="9"/>
      <c r="E40" s="9"/>
      <c r="G40" s="9"/>
      <c r="I40" s="9"/>
      <c r="K40" s="9"/>
      <c r="M40" s="9"/>
      <c r="O40" s="9"/>
      <c r="Q40" s="9"/>
    </row>
    <row r="42" spans="1:17" ht="18.75" x14ac:dyDescent="0.45">
      <c r="A42" s="34" t="s">
        <v>200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6"/>
    </row>
  </sheetData>
  <mergeCells count="7">
    <mergeCell ref="A42:Q42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8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92"/>
  <sheetViews>
    <sheetView rightToLeft="1" view="pageBreakPreview" topLeftCell="A79" zoomScale="91" zoomScaleNormal="100" zoomScaleSheetLayoutView="91" workbookViewId="0">
      <selection sqref="A1:XFD1048576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3.7109375" style="4" bestFit="1" customWidth="1"/>
    <col min="4" max="4" width="1.42578125" style="4" customWidth="1"/>
    <col min="5" max="5" width="19.7109375" style="4" bestFit="1" customWidth="1"/>
    <col min="6" max="6" width="1.42578125" style="4" customWidth="1"/>
    <col min="7" max="7" width="19.85546875" style="4" bestFit="1" customWidth="1"/>
    <col min="8" max="8" width="1.42578125" style="4" customWidth="1"/>
    <col min="9" max="9" width="18.7109375" style="4" bestFit="1" customWidth="1"/>
    <col min="10" max="10" width="1.42578125" style="4" customWidth="1"/>
    <col min="11" max="11" width="13.42578125" style="4" bestFit="1" customWidth="1"/>
    <col min="12" max="12" width="1.42578125" style="4" customWidth="1"/>
    <col min="13" max="13" width="19.7109375" style="4" bestFit="1" customWidth="1"/>
    <col min="14" max="14" width="1.42578125" style="4" customWidth="1"/>
    <col min="15" max="15" width="19.140625" style="4" bestFit="1" customWidth="1"/>
    <col min="16" max="16" width="1.42578125" style="4" customWidth="1"/>
    <col min="17" max="17" width="17.7109375" style="4" bestFit="1" customWidth="1"/>
    <col min="18" max="16384" width="9.140625" style="4"/>
  </cols>
  <sheetData>
    <row r="1" spans="1:17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5" spans="1:17" ht="21" x14ac:dyDescent="0.45">
      <c r="A5" s="31" t="s">
        <v>201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7" spans="1:17" ht="21" x14ac:dyDescent="0.45">
      <c r="C7" s="24" t="s">
        <v>152</v>
      </c>
      <c r="D7" s="25"/>
      <c r="E7" s="25"/>
      <c r="F7" s="25"/>
      <c r="G7" s="25"/>
      <c r="H7" s="25"/>
      <c r="I7" s="25"/>
      <c r="K7" s="24" t="s">
        <v>7</v>
      </c>
      <c r="L7" s="25"/>
      <c r="M7" s="25"/>
      <c r="N7" s="25"/>
      <c r="O7" s="25"/>
      <c r="P7" s="25"/>
      <c r="Q7" s="25"/>
    </row>
    <row r="8" spans="1:17" ht="42" x14ac:dyDescent="0.45">
      <c r="A8" s="15" t="s">
        <v>142</v>
      </c>
      <c r="C8" s="7" t="s">
        <v>9</v>
      </c>
      <c r="E8" s="7" t="s">
        <v>11</v>
      </c>
      <c r="G8" s="7" t="s">
        <v>197</v>
      </c>
      <c r="I8" s="7" t="s">
        <v>202</v>
      </c>
      <c r="K8" s="7" t="s">
        <v>9</v>
      </c>
      <c r="M8" s="7" t="s">
        <v>11</v>
      </c>
      <c r="O8" s="7" t="s">
        <v>197</v>
      </c>
      <c r="Q8" s="7" t="s">
        <v>202</v>
      </c>
    </row>
    <row r="9" spans="1:17" ht="18.75" x14ac:dyDescent="0.45">
      <c r="A9" s="10" t="s">
        <v>18</v>
      </c>
      <c r="C9" s="12">
        <v>50000</v>
      </c>
      <c r="E9" s="12">
        <v>1341967500</v>
      </c>
      <c r="G9" s="12">
        <v>1406580750</v>
      </c>
      <c r="I9" s="12">
        <v>-64613250</v>
      </c>
      <c r="K9" s="12">
        <v>50000</v>
      </c>
      <c r="M9" s="12">
        <v>1341967500</v>
      </c>
      <c r="O9" s="12">
        <v>1304690625</v>
      </c>
      <c r="Q9" s="12">
        <v>37276875</v>
      </c>
    </row>
    <row r="10" spans="1:17" ht="18.75" x14ac:dyDescent="0.45">
      <c r="A10" s="10" t="s">
        <v>19</v>
      </c>
      <c r="C10" s="12">
        <v>245000</v>
      </c>
      <c r="E10" s="12">
        <v>1799777227</v>
      </c>
      <c r="G10" s="12">
        <v>1994611027</v>
      </c>
      <c r="I10" s="12">
        <v>-194833800</v>
      </c>
      <c r="K10" s="12">
        <v>245000</v>
      </c>
      <c r="M10" s="12">
        <v>1799777227</v>
      </c>
      <c r="O10" s="12">
        <v>1736456242</v>
      </c>
      <c r="Q10" s="12">
        <v>63320985</v>
      </c>
    </row>
    <row r="11" spans="1:17" ht="18.75" x14ac:dyDescent="0.45">
      <c r="A11" s="10" t="s">
        <v>21</v>
      </c>
      <c r="C11" s="12">
        <v>1895580</v>
      </c>
      <c r="E11" s="12">
        <v>18541524782</v>
      </c>
      <c r="G11" s="12">
        <v>19690948575</v>
      </c>
      <c r="I11" s="12">
        <v>-1149423793</v>
      </c>
      <c r="K11" s="12">
        <v>1895580</v>
      </c>
      <c r="M11" s="12">
        <v>18541524782</v>
      </c>
      <c r="O11" s="12">
        <v>15715072834</v>
      </c>
      <c r="Q11" s="12">
        <v>2826451948</v>
      </c>
    </row>
    <row r="12" spans="1:17" ht="18.75" x14ac:dyDescent="0.45">
      <c r="A12" s="10" t="s">
        <v>22</v>
      </c>
      <c r="C12" s="12">
        <v>19134677</v>
      </c>
      <c r="E12" s="12">
        <v>51204062709</v>
      </c>
      <c r="G12" s="12">
        <v>62692641414</v>
      </c>
      <c r="I12" s="12">
        <v>-11488578705</v>
      </c>
      <c r="K12" s="12">
        <v>19134677</v>
      </c>
      <c r="M12" s="12">
        <v>51204062709</v>
      </c>
      <c r="O12" s="12">
        <v>63399417867</v>
      </c>
      <c r="Q12" s="12">
        <v>-12195355158</v>
      </c>
    </row>
    <row r="13" spans="1:17" ht="18.75" x14ac:dyDescent="0.45">
      <c r="A13" s="10" t="s">
        <v>23</v>
      </c>
      <c r="C13" s="12">
        <v>1557320</v>
      </c>
      <c r="E13" s="12">
        <v>21332183376</v>
      </c>
      <c r="G13" s="12">
        <v>20935903217</v>
      </c>
      <c r="I13" s="12">
        <v>396280159</v>
      </c>
      <c r="K13" s="12">
        <v>1557320</v>
      </c>
      <c r="M13" s="12">
        <v>21332183376</v>
      </c>
      <c r="O13" s="12">
        <v>24443771808</v>
      </c>
      <c r="Q13" s="12">
        <v>-3111588432</v>
      </c>
    </row>
    <row r="14" spans="1:17" ht="18.75" x14ac:dyDescent="0.45">
      <c r="A14" s="10" t="s">
        <v>24</v>
      </c>
      <c r="C14" s="12">
        <v>14265950</v>
      </c>
      <c r="E14" s="12">
        <v>45535408056</v>
      </c>
      <c r="G14" s="12">
        <v>46258642503</v>
      </c>
      <c r="I14" s="12">
        <v>-723234447</v>
      </c>
      <c r="K14" s="12">
        <v>14265950</v>
      </c>
      <c r="M14" s="12">
        <v>45535408056</v>
      </c>
      <c r="O14" s="12">
        <v>34502537465</v>
      </c>
      <c r="Q14" s="12">
        <v>11032870591</v>
      </c>
    </row>
    <row r="15" spans="1:17" ht="18.75" x14ac:dyDescent="0.45">
      <c r="A15" s="10" t="s">
        <v>25</v>
      </c>
      <c r="C15" s="12">
        <v>500000</v>
      </c>
      <c r="E15" s="12">
        <v>6983201250</v>
      </c>
      <c r="G15" s="12">
        <v>8215823250</v>
      </c>
      <c r="I15" s="12">
        <v>-1232622000</v>
      </c>
      <c r="K15" s="12">
        <v>500000</v>
      </c>
      <c r="M15" s="12">
        <v>6983201250</v>
      </c>
      <c r="O15" s="12">
        <v>8827164000</v>
      </c>
      <c r="Q15" s="12">
        <v>-1843962750</v>
      </c>
    </row>
    <row r="16" spans="1:17" ht="18.75" x14ac:dyDescent="0.45">
      <c r="A16" s="10" t="s">
        <v>26</v>
      </c>
      <c r="C16" s="12">
        <v>1750000</v>
      </c>
      <c r="E16" s="12">
        <v>6502578075</v>
      </c>
      <c r="G16" s="12">
        <v>6610432500</v>
      </c>
      <c r="I16" s="12">
        <v>-107854425</v>
      </c>
      <c r="K16" s="12">
        <v>1750000</v>
      </c>
      <c r="M16" s="12">
        <v>6502578075</v>
      </c>
      <c r="O16" s="12">
        <v>4695146662</v>
      </c>
      <c r="Q16" s="12">
        <v>1807431413</v>
      </c>
    </row>
    <row r="17" spans="1:17" ht="18.75" x14ac:dyDescent="0.45">
      <c r="A17" s="10" t="s">
        <v>27</v>
      </c>
      <c r="C17" s="12">
        <v>23109504</v>
      </c>
      <c r="E17" s="12">
        <v>34917443726</v>
      </c>
      <c r="G17" s="12">
        <v>38340272091</v>
      </c>
      <c r="I17" s="12">
        <v>-3422828365</v>
      </c>
      <c r="K17" s="12">
        <v>23109504</v>
      </c>
      <c r="M17" s="12">
        <v>34917443726</v>
      </c>
      <c r="O17" s="12">
        <v>29587939157</v>
      </c>
      <c r="Q17" s="12">
        <v>5329504569</v>
      </c>
    </row>
    <row r="18" spans="1:17" ht="18.75" x14ac:dyDescent="0.45">
      <c r="A18" s="10" t="s">
        <v>28</v>
      </c>
      <c r="C18" s="12">
        <v>2875000</v>
      </c>
      <c r="E18" s="12">
        <v>5507161256</v>
      </c>
      <c r="G18" s="12">
        <v>5674045378</v>
      </c>
      <c r="I18" s="12">
        <v>-166884122</v>
      </c>
      <c r="K18" s="12">
        <v>2875000</v>
      </c>
      <c r="M18" s="12">
        <v>5507161256</v>
      </c>
      <c r="O18" s="12">
        <v>5893653906</v>
      </c>
      <c r="Q18" s="12">
        <v>-386492650</v>
      </c>
    </row>
    <row r="19" spans="1:17" ht="18.75" x14ac:dyDescent="0.45">
      <c r="A19" s="10" t="s">
        <v>30</v>
      </c>
      <c r="C19" s="12">
        <v>15000000</v>
      </c>
      <c r="E19" s="12">
        <v>65622210750</v>
      </c>
      <c r="G19" s="12">
        <v>82158232500</v>
      </c>
      <c r="I19" s="12">
        <v>-16536021750</v>
      </c>
      <c r="K19" s="12">
        <v>15000000</v>
      </c>
      <c r="M19" s="12">
        <v>65622210750</v>
      </c>
      <c r="O19" s="12">
        <v>52754233500</v>
      </c>
      <c r="Q19" s="12">
        <v>12867977250</v>
      </c>
    </row>
    <row r="20" spans="1:17" ht="18.75" x14ac:dyDescent="0.45">
      <c r="A20" s="10" t="s">
        <v>31</v>
      </c>
      <c r="C20" s="12">
        <v>18000000</v>
      </c>
      <c r="E20" s="12">
        <v>129365667000</v>
      </c>
      <c r="G20" s="12">
        <v>162589442292</v>
      </c>
      <c r="I20" s="12">
        <v>-33223775292</v>
      </c>
      <c r="K20" s="12">
        <v>18000000</v>
      </c>
      <c r="M20" s="12">
        <v>129365667000</v>
      </c>
      <c r="O20" s="12">
        <v>111830625000</v>
      </c>
      <c r="Q20" s="12">
        <v>17535042000</v>
      </c>
    </row>
    <row r="21" spans="1:17" ht="18.75" x14ac:dyDescent="0.45">
      <c r="A21" s="10" t="s">
        <v>199</v>
      </c>
      <c r="C21" s="12">
        <v>4739606</v>
      </c>
      <c r="E21" s="12">
        <v>22237833225</v>
      </c>
      <c r="G21" s="12">
        <v>24602470693</v>
      </c>
      <c r="I21" s="12">
        <v>-2364637468</v>
      </c>
      <c r="K21" s="12">
        <v>4739606</v>
      </c>
      <c r="M21" s="12">
        <v>22237833225</v>
      </c>
      <c r="O21" s="12">
        <v>21785538313</v>
      </c>
      <c r="Q21" s="12">
        <v>452294912</v>
      </c>
    </row>
    <row r="22" spans="1:17" ht="18.75" x14ac:dyDescent="0.45">
      <c r="A22" s="10" t="s">
        <v>33</v>
      </c>
      <c r="C22" s="12">
        <v>9127149</v>
      </c>
      <c r="E22" s="12">
        <v>13863303284</v>
      </c>
      <c r="G22" s="12">
        <v>14997408592</v>
      </c>
      <c r="I22" s="12">
        <v>-1134105308</v>
      </c>
      <c r="K22" s="12">
        <v>9127149</v>
      </c>
      <c r="M22" s="12">
        <v>13863303284</v>
      </c>
      <c r="O22" s="12">
        <v>13364298033</v>
      </c>
      <c r="Q22" s="12">
        <v>499005251</v>
      </c>
    </row>
    <row r="23" spans="1:17" ht="37.5" x14ac:dyDescent="0.45">
      <c r="A23" s="10" t="s">
        <v>34</v>
      </c>
      <c r="C23" s="12">
        <v>842177</v>
      </c>
      <c r="E23" s="12">
        <v>4014211195</v>
      </c>
      <c r="G23" s="12">
        <v>4939279676</v>
      </c>
      <c r="I23" s="12">
        <v>-925068481</v>
      </c>
      <c r="K23" s="12">
        <v>842177</v>
      </c>
      <c r="M23" s="12">
        <v>4014211195</v>
      </c>
      <c r="O23" s="12">
        <v>5324376058</v>
      </c>
      <c r="Q23" s="12">
        <v>-1310164863</v>
      </c>
    </row>
    <row r="24" spans="1:17" ht="37.5" x14ac:dyDescent="0.45">
      <c r="A24" s="10" t="s">
        <v>35</v>
      </c>
      <c r="C24" s="12">
        <v>285750</v>
      </c>
      <c r="E24" s="12">
        <v>13378744991</v>
      </c>
      <c r="G24" s="12">
        <v>14730814524</v>
      </c>
      <c r="I24" s="12">
        <v>-1352069533</v>
      </c>
      <c r="K24" s="12">
        <v>285750</v>
      </c>
      <c r="M24" s="12">
        <v>13378744991</v>
      </c>
      <c r="O24" s="12">
        <v>13648592289</v>
      </c>
      <c r="Q24" s="12">
        <v>-269847298</v>
      </c>
    </row>
    <row r="25" spans="1:17" ht="37.5" x14ac:dyDescent="0.45">
      <c r="A25" s="10" t="s">
        <v>36</v>
      </c>
      <c r="C25" s="12">
        <v>250000</v>
      </c>
      <c r="E25" s="12">
        <v>956524612</v>
      </c>
      <c r="G25" s="12">
        <v>1064379037</v>
      </c>
      <c r="I25" s="12">
        <v>-107854425</v>
      </c>
      <c r="K25" s="12">
        <v>250000</v>
      </c>
      <c r="M25" s="12">
        <v>956524612</v>
      </c>
      <c r="O25" s="12">
        <v>810399262</v>
      </c>
      <c r="Q25" s="12">
        <v>146125350</v>
      </c>
    </row>
    <row r="26" spans="1:17" ht="18.75" x14ac:dyDescent="0.45">
      <c r="A26" s="10" t="s">
        <v>37</v>
      </c>
      <c r="C26" s="12">
        <v>100000</v>
      </c>
      <c r="E26" s="12">
        <v>12177112500</v>
      </c>
      <c r="G26" s="12">
        <v>12455446500</v>
      </c>
      <c r="I26" s="12">
        <v>-278334000</v>
      </c>
      <c r="K26" s="12">
        <v>100000</v>
      </c>
      <c r="M26" s="12">
        <v>12177112500</v>
      </c>
      <c r="O26" s="12">
        <v>12596427117</v>
      </c>
      <c r="Q26" s="12">
        <v>-419314617</v>
      </c>
    </row>
    <row r="27" spans="1:17" ht="37.5" x14ac:dyDescent="0.45">
      <c r="A27" s="10" t="s">
        <v>38</v>
      </c>
      <c r="C27" s="12">
        <v>6645110</v>
      </c>
      <c r="E27" s="12">
        <v>78936580566</v>
      </c>
      <c r="G27" s="12">
        <v>88580715096</v>
      </c>
      <c r="I27" s="12">
        <v>-9644134530</v>
      </c>
      <c r="K27" s="12">
        <v>6645110</v>
      </c>
      <c r="M27" s="12">
        <v>78936580566</v>
      </c>
      <c r="O27" s="12">
        <v>75831961916</v>
      </c>
      <c r="Q27" s="12">
        <v>3104618650</v>
      </c>
    </row>
    <row r="28" spans="1:17" ht="18.75" x14ac:dyDescent="0.45">
      <c r="A28" s="10" t="s">
        <v>39</v>
      </c>
      <c r="C28" s="12">
        <v>1000000</v>
      </c>
      <c r="E28" s="12">
        <v>5904657000</v>
      </c>
      <c r="G28" s="12">
        <v>7177041000</v>
      </c>
      <c r="I28" s="12">
        <v>-1272384000</v>
      </c>
      <c r="K28" s="12">
        <v>1000000</v>
      </c>
      <c r="M28" s="12">
        <v>5904657000</v>
      </c>
      <c r="O28" s="12">
        <v>6391741500</v>
      </c>
      <c r="Q28" s="12">
        <v>-487084500</v>
      </c>
    </row>
    <row r="29" spans="1:17" ht="18.75" x14ac:dyDescent="0.45">
      <c r="A29" s="10" t="s">
        <v>40</v>
      </c>
      <c r="C29" s="12">
        <v>31806527</v>
      </c>
      <c r="E29" s="12">
        <v>46509016180</v>
      </c>
      <c r="G29" s="12">
        <v>56310372411</v>
      </c>
      <c r="I29" s="12">
        <v>-9801356231</v>
      </c>
      <c r="K29" s="12">
        <v>31806527</v>
      </c>
      <c r="M29" s="12">
        <v>46509016180</v>
      </c>
      <c r="O29" s="12">
        <v>55330236788</v>
      </c>
      <c r="Q29" s="12">
        <v>-8821220608</v>
      </c>
    </row>
    <row r="30" spans="1:17" ht="18.75" x14ac:dyDescent="0.45">
      <c r="A30" s="10" t="s">
        <v>41</v>
      </c>
      <c r="C30" s="12">
        <v>7329302</v>
      </c>
      <c r="E30" s="12">
        <v>41819875829</v>
      </c>
      <c r="G30" s="12">
        <v>51218419351</v>
      </c>
      <c r="I30" s="12">
        <v>-9398543522</v>
      </c>
      <c r="K30" s="12">
        <v>7329302</v>
      </c>
      <c r="M30" s="12">
        <v>41819875829</v>
      </c>
      <c r="O30" s="12">
        <v>48231285364</v>
      </c>
      <c r="Q30" s="12">
        <v>-6411409535</v>
      </c>
    </row>
    <row r="31" spans="1:17" ht="18.75" x14ac:dyDescent="0.45">
      <c r="A31" s="10" t="s">
        <v>42</v>
      </c>
      <c r="C31" s="12">
        <v>136747</v>
      </c>
      <c r="E31" s="12">
        <v>2785274451</v>
      </c>
      <c r="G31" s="12">
        <v>3644894209</v>
      </c>
      <c r="I31" s="12">
        <v>-859619758</v>
      </c>
      <c r="K31" s="12">
        <v>136747</v>
      </c>
      <c r="M31" s="12">
        <v>2785274451</v>
      </c>
      <c r="O31" s="12">
        <v>2938879143</v>
      </c>
      <c r="Q31" s="12">
        <v>-153604692</v>
      </c>
    </row>
    <row r="32" spans="1:17" ht="18.75" x14ac:dyDescent="0.45">
      <c r="A32" s="10" t="s">
        <v>43</v>
      </c>
      <c r="C32" s="12">
        <v>2773715</v>
      </c>
      <c r="E32" s="12">
        <v>80979298693</v>
      </c>
      <c r="G32" s="12">
        <v>85170260015</v>
      </c>
      <c r="I32" s="12">
        <v>-4190961322</v>
      </c>
      <c r="K32" s="12">
        <v>2773715</v>
      </c>
      <c r="M32" s="12">
        <v>80979298693</v>
      </c>
      <c r="O32" s="12">
        <v>65924924472</v>
      </c>
      <c r="Q32" s="12">
        <v>15054374221</v>
      </c>
    </row>
    <row r="33" spans="1:17" ht="37.5" x14ac:dyDescent="0.45">
      <c r="A33" s="10" t="s">
        <v>44</v>
      </c>
      <c r="C33" s="12">
        <v>272500</v>
      </c>
      <c r="E33" s="12">
        <v>9887069812</v>
      </c>
      <c r="G33" s="12">
        <v>10577810306</v>
      </c>
      <c r="I33" s="12">
        <v>-690740494</v>
      </c>
      <c r="K33" s="12">
        <v>272500</v>
      </c>
      <c r="M33" s="12">
        <v>9887069812</v>
      </c>
      <c r="O33" s="12">
        <v>7367898600</v>
      </c>
      <c r="Q33" s="12">
        <v>2519171212</v>
      </c>
    </row>
    <row r="34" spans="1:17" ht="18.75" x14ac:dyDescent="0.45">
      <c r="A34" s="10" t="s">
        <v>45</v>
      </c>
      <c r="C34" s="12">
        <v>2672602</v>
      </c>
      <c r="E34" s="12">
        <v>38787820264</v>
      </c>
      <c r="G34" s="12">
        <v>42666602291</v>
      </c>
      <c r="I34" s="12">
        <v>-3878782027</v>
      </c>
      <c r="K34" s="12">
        <v>2672602</v>
      </c>
      <c r="M34" s="12">
        <v>38787820264</v>
      </c>
      <c r="O34" s="12">
        <v>40236433424</v>
      </c>
      <c r="Q34" s="12">
        <v>-1448613160</v>
      </c>
    </row>
    <row r="35" spans="1:17" ht="18.75" x14ac:dyDescent="0.45">
      <c r="A35" s="10" t="s">
        <v>46</v>
      </c>
      <c r="C35" s="12">
        <v>27844387</v>
      </c>
      <c r="E35" s="12">
        <v>59011015897</v>
      </c>
      <c r="G35" s="12">
        <v>70885183730</v>
      </c>
      <c r="I35" s="12">
        <v>-11874167833</v>
      </c>
      <c r="K35" s="12">
        <v>27844387</v>
      </c>
      <c r="M35" s="12">
        <v>59011015897</v>
      </c>
      <c r="O35" s="12">
        <v>64795866893</v>
      </c>
      <c r="Q35" s="12">
        <v>-5784850996</v>
      </c>
    </row>
    <row r="36" spans="1:17" ht="18.75" x14ac:dyDescent="0.45">
      <c r="A36" s="10" t="s">
        <v>47</v>
      </c>
      <c r="C36" s="12">
        <v>15167887</v>
      </c>
      <c r="E36" s="12">
        <v>38870150951</v>
      </c>
      <c r="G36" s="12">
        <v>47539792842</v>
      </c>
      <c r="I36" s="12">
        <v>-8669641891</v>
      </c>
      <c r="K36" s="12">
        <v>15167887</v>
      </c>
      <c r="M36" s="12">
        <v>38870150951</v>
      </c>
      <c r="O36" s="12">
        <v>43923352960</v>
      </c>
      <c r="Q36" s="12">
        <v>-5053202009</v>
      </c>
    </row>
    <row r="37" spans="1:17" ht="18.75" x14ac:dyDescent="0.45">
      <c r="A37" s="10" t="s">
        <v>48</v>
      </c>
      <c r="C37" s="12">
        <v>10258397</v>
      </c>
      <c r="E37" s="12">
        <v>19997022054</v>
      </c>
      <c r="G37" s="12">
        <v>24024979071</v>
      </c>
      <c r="I37" s="12">
        <v>-4027957017</v>
      </c>
      <c r="K37" s="12">
        <v>10258397</v>
      </c>
      <c r="M37" s="12">
        <v>19997022054</v>
      </c>
      <c r="O37" s="12">
        <v>20435508514</v>
      </c>
      <c r="Q37" s="12">
        <v>-438486460</v>
      </c>
    </row>
    <row r="38" spans="1:17" ht="18.75" x14ac:dyDescent="0.45">
      <c r="A38" s="10" t="s">
        <v>49</v>
      </c>
      <c r="C38" s="12">
        <v>5958319</v>
      </c>
      <c r="E38" s="12">
        <v>14925624845</v>
      </c>
      <c r="G38" s="12">
        <v>17644220799</v>
      </c>
      <c r="I38" s="12">
        <v>-2718595954</v>
      </c>
      <c r="K38" s="12">
        <v>5958319</v>
      </c>
      <c r="M38" s="12">
        <v>14925624845</v>
      </c>
      <c r="O38" s="12">
        <v>14372236995</v>
      </c>
      <c r="Q38" s="12">
        <v>553387850</v>
      </c>
    </row>
    <row r="39" spans="1:17" ht="18.75" x14ac:dyDescent="0.45">
      <c r="A39" s="10" t="s">
        <v>203</v>
      </c>
      <c r="J39" s="11"/>
      <c r="K39" s="12">
        <v>0</v>
      </c>
      <c r="M39" s="12">
        <v>0</v>
      </c>
      <c r="O39" s="12">
        <v>-3981368184</v>
      </c>
      <c r="Q39" s="12">
        <v>3981368184</v>
      </c>
    </row>
    <row r="40" spans="1:17" ht="37.5" x14ac:dyDescent="0.45">
      <c r="A40" s="10" t="s">
        <v>50</v>
      </c>
      <c r="C40" s="12">
        <v>3250000</v>
      </c>
      <c r="E40" s="12">
        <v>3883256325</v>
      </c>
      <c r="G40" s="12">
        <v>4332318412</v>
      </c>
      <c r="I40" s="12">
        <v>-449062087</v>
      </c>
      <c r="K40" s="12">
        <v>3250000</v>
      </c>
      <c r="M40" s="12">
        <v>3883256325</v>
      </c>
      <c r="O40" s="12">
        <v>3939323661</v>
      </c>
      <c r="Q40" s="12">
        <v>-56067336</v>
      </c>
    </row>
    <row r="41" spans="1:17" ht="18.75" x14ac:dyDescent="0.45">
      <c r="A41" s="10" t="s">
        <v>51</v>
      </c>
      <c r="C41" s="12">
        <v>1186353</v>
      </c>
      <c r="E41" s="12">
        <v>72326113265</v>
      </c>
      <c r="G41" s="12">
        <v>73128033320</v>
      </c>
      <c r="I41" s="12">
        <v>-801920055</v>
      </c>
      <c r="K41" s="12">
        <v>1186353</v>
      </c>
      <c r="M41" s="12">
        <v>72326113265</v>
      </c>
      <c r="O41" s="12">
        <v>56841980423</v>
      </c>
      <c r="Q41" s="12">
        <v>15484132842</v>
      </c>
    </row>
    <row r="42" spans="1:17" ht="18.75" x14ac:dyDescent="0.45">
      <c r="A42" s="10" t="s">
        <v>52</v>
      </c>
      <c r="C42" s="12">
        <v>100000</v>
      </c>
      <c r="E42" s="12">
        <v>12146296950</v>
      </c>
      <c r="G42" s="12">
        <v>11875915350</v>
      </c>
      <c r="I42" s="12">
        <v>270381600</v>
      </c>
      <c r="K42" s="12">
        <v>100000</v>
      </c>
      <c r="M42" s="12">
        <v>12146296950</v>
      </c>
      <c r="O42" s="12">
        <v>9054801450</v>
      </c>
      <c r="Q42" s="12">
        <v>3091495500</v>
      </c>
    </row>
    <row r="43" spans="1:17" ht="18.75" x14ac:dyDescent="0.45">
      <c r="A43" s="10" t="s">
        <v>53</v>
      </c>
      <c r="C43" s="12">
        <v>5530564</v>
      </c>
      <c r="E43" s="12">
        <v>52392672584</v>
      </c>
      <c r="G43" s="12">
        <v>63113104015</v>
      </c>
      <c r="I43" s="12">
        <v>-10720431431</v>
      </c>
      <c r="K43" s="12">
        <v>5530564</v>
      </c>
      <c r="M43" s="12">
        <v>52392672584</v>
      </c>
      <c r="O43" s="12">
        <v>44805905726</v>
      </c>
      <c r="Q43" s="12">
        <v>7586766858</v>
      </c>
    </row>
    <row r="44" spans="1:17" ht="18.75" x14ac:dyDescent="0.45">
      <c r="A44" s="10" t="s">
        <v>54</v>
      </c>
      <c r="C44" s="12">
        <v>5799792</v>
      </c>
      <c r="E44" s="12">
        <v>54539579428</v>
      </c>
      <c r="G44" s="12">
        <v>55750288908</v>
      </c>
      <c r="I44" s="12">
        <v>-1210709480</v>
      </c>
      <c r="K44" s="12">
        <v>5799792</v>
      </c>
      <c r="M44" s="12">
        <v>54539579428</v>
      </c>
      <c r="O44" s="12">
        <v>48140115033</v>
      </c>
      <c r="Q44" s="12">
        <v>6399464395</v>
      </c>
    </row>
    <row r="45" spans="1:17" ht="18.75" x14ac:dyDescent="0.45">
      <c r="A45" s="10" t="s">
        <v>55</v>
      </c>
      <c r="C45" s="12">
        <v>3700000</v>
      </c>
      <c r="E45" s="12">
        <v>71867826900</v>
      </c>
      <c r="G45" s="12">
        <v>68484080700</v>
      </c>
      <c r="I45" s="12">
        <v>3383746200</v>
      </c>
      <c r="K45" s="12">
        <v>3700000</v>
      </c>
      <c r="M45" s="12">
        <v>71867826900</v>
      </c>
      <c r="O45" s="12">
        <v>44871417000</v>
      </c>
      <c r="Q45" s="12">
        <v>26996409900</v>
      </c>
    </row>
    <row r="46" spans="1:17" ht="18.75" x14ac:dyDescent="0.45">
      <c r="A46" s="10" t="s">
        <v>56</v>
      </c>
      <c r="C46" s="12">
        <v>200000</v>
      </c>
      <c r="E46" s="12">
        <v>5825133000</v>
      </c>
      <c r="G46" s="12">
        <v>6006050100</v>
      </c>
      <c r="I46" s="12">
        <v>-180917100</v>
      </c>
      <c r="K46" s="12">
        <v>200000</v>
      </c>
      <c r="M46" s="12">
        <v>5825133000</v>
      </c>
      <c r="O46" s="12">
        <v>4695892200</v>
      </c>
      <c r="Q46" s="12">
        <v>1129240800</v>
      </c>
    </row>
    <row r="47" spans="1:17" ht="18.75" x14ac:dyDescent="0.45">
      <c r="A47" s="10" t="s">
        <v>57</v>
      </c>
      <c r="C47" s="12">
        <v>21884415</v>
      </c>
      <c r="E47" s="12">
        <v>32239728447</v>
      </c>
      <c r="G47" s="12">
        <v>36721094210</v>
      </c>
      <c r="I47" s="12">
        <v>-4481365763</v>
      </c>
      <c r="K47" s="12">
        <v>21884415</v>
      </c>
      <c r="M47" s="12">
        <v>32239728447</v>
      </c>
      <c r="O47" s="12">
        <v>34393394517</v>
      </c>
      <c r="Q47" s="12">
        <v>-2153666070</v>
      </c>
    </row>
    <row r="48" spans="1:17" ht="18.75" x14ac:dyDescent="0.45">
      <c r="A48" s="10" t="s">
        <v>58</v>
      </c>
      <c r="C48" s="12">
        <v>330974</v>
      </c>
      <c r="E48" s="12">
        <v>8748235098</v>
      </c>
      <c r="G48" s="12">
        <v>9804340200</v>
      </c>
      <c r="I48" s="12">
        <v>-1056105102</v>
      </c>
      <c r="K48" s="12">
        <v>330974</v>
      </c>
      <c r="M48" s="12">
        <v>8748235098</v>
      </c>
      <c r="O48" s="12">
        <v>9541136436</v>
      </c>
      <c r="Q48" s="12">
        <v>-792901338</v>
      </c>
    </row>
    <row r="49" spans="1:17" ht="18.75" x14ac:dyDescent="0.45">
      <c r="A49" s="10" t="s">
        <v>59</v>
      </c>
      <c r="C49" s="12">
        <v>9448213</v>
      </c>
      <c r="E49" s="12">
        <v>6799805200</v>
      </c>
      <c r="G49" s="12">
        <v>7288188999</v>
      </c>
      <c r="I49" s="12">
        <v>-488383799</v>
      </c>
      <c r="K49" s="12">
        <v>9448213</v>
      </c>
      <c r="M49" s="12">
        <v>6799805200</v>
      </c>
      <c r="O49" s="12">
        <v>7062781092</v>
      </c>
      <c r="Q49" s="12">
        <v>-262975892</v>
      </c>
    </row>
    <row r="50" spans="1:17" ht="18.75" x14ac:dyDescent="0.45">
      <c r="A50" s="10" t="s">
        <v>60</v>
      </c>
      <c r="C50" s="12">
        <v>10148510</v>
      </c>
      <c r="E50" s="12">
        <v>25543135957</v>
      </c>
      <c r="G50" s="12">
        <v>29628827135</v>
      </c>
      <c r="I50" s="12">
        <v>-4085691178</v>
      </c>
      <c r="K50" s="12">
        <v>10148510</v>
      </c>
      <c r="M50" s="12">
        <v>25543135957</v>
      </c>
      <c r="O50" s="12">
        <v>38072588903</v>
      </c>
      <c r="Q50" s="12">
        <v>-12529452946</v>
      </c>
    </row>
    <row r="51" spans="1:17" ht="18.75" x14ac:dyDescent="0.45">
      <c r="A51" s="10" t="s">
        <v>61</v>
      </c>
      <c r="C51" s="12">
        <v>249996</v>
      </c>
      <c r="E51" s="12">
        <v>1744529837</v>
      </c>
      <c r="G51" s="12">
        <v>1938366486</v>
      </c>
      <c r="I51" s="12">
        <v>-193836649</v>
      </c>
      <c r="K51" s="12">
        <v>249996</v>
      </c>
      <c r="M51" s="12">
        <v>1744529837</v>
      </c>
      <c r="O51" s="12">
        <v>1732104411</v>
      </c>
      <c r="Q51" s="12">
        <v>12425426</v>
      </c>
    </row>
    <row r="52" spans="1:17" ht="18.75" x14ac:dyDescent="0.45">
      <c r="A52" s="10" t="s">
        <v>62</v>
      </c>
      <c r="C52" s="12">
        <v>3600000</v>
      </c>
      <c r="E52" s="12">
        <v>12489244200</v>
      </c>
      <c r="G52" s="12">
        <v>12465874282</v>
      </c>
      <c r="I52" s="12">
        <v>23369918</v>
      </c>
      <c r="K52" s="12">
        <v>3600000</v>
      </c>
      <c r="M52" s="12">
        <v>12489244200</v>
      </c>
      <c r="O52" s="12">
        <v>11350296720</v>
      </c>
      <c r="Q52" s="12">
        <v>1138947480</v>
      </c>
    </row>
    <row r="53" spans="1:17" ht="18.75" x14ac:dyDescent="0.45">
      <c r="A53" s="10" t="s">
        <v>63</v>
      </c>
      <c r="C53" s="12">
        <v>22264729</v>
      </c>
      <c r="E53" s="12">
        <v>86227261048</v>
      </c>
      <c r="G53" s="12">
        <v>98422132926</v>
      </c>
      <c r="I53" s="12">
        <v>-12194871878</v>
      </c>
      <c r="K53" s="12">
        <v>22264729</v>
      </c>
      <c r="M53" s="12">
        <v>86227261048</v>
      </c>
      <c r="O53" s="12">
        <v>98798381243</v>
      </c>
      <c r="Q53" s="12">
        <v>-12571120195</v>
      </c>
    </row>
    <row r="54" spans="1:17" ht="18.75" x14ac:dyDescent="0.45">
      <c r="A54" s="10" t="s">
        <v>64</v>
      </c>
      <c r="C54" s="12">
        <v>13640509</v>
      </c>
      <c r="E54" s="12">
        <v>113220555562</v>
      </c>
      <c r="G54" s="12">
        <v>142373153700</v>
      </c>
      <c r="I54" s="12">
        <v>-29152598138</v>
      </c>
      <c r="K54" s="12">
        <v>13640509</v>
      </c>
      <c r="M54" s="12">
        <v>113220555562</v>
      </c>
      <c r="O54" s="12">
        <v>102449135414</v>
      </c>
      <c r="Q54" s="12">
        <v>10771420148</v>
      </c>
    </row>
    <row r="55" spans="1:17" ht="18.75" x14ac:dyDescent="0.45">
      <c r="A55" s="10" t="s">
        <v>65</v>
      </c>
      <c r="C55" s="12">
        <v>14021442</v>
      </c>
      <c r="E55" s="12">
        <v>38705866045</v>
      </c>
      <c r="G55" s="12">
        <v>47361372999</v>
      </c>
      <c r="I55" s="12">
        <v>-8655506954</v>
      </c>
      <c r="K55" s="12">
        <v>14021442</v>
      </c>
      <c r="M55" s="12">
        <v>38705866045</v>
      </c>
      <c r="O55" s="12">
        <v>51779723571</v>
      </c>
      <c r="Q55" s="12">
        <v>-13073857526</v>
      </c>
    </row>
    <row r="56" spans="1:17" ht="18.75" x14ac:dyDescent="0.45">
      <c r="A56" s="10" t="s">
        <v>66</v>
      </c>
      <c r="C56" s="12">
        <v>800000</v>
      </c>
      <c r="E56" s="12">
        <v>6608444400</v>
      </c>
      <c r="G56" s="12">
        <v>7618399200</v>
      </c>
      <c r="I56" s="12">
        <v>-1009954800</v>
      </c>
      <c r="K56" s="12">
        <v>800000</v>
      </c>
      <c r="M56" s="12">
        <v>6608444400</v>
      </c>
      <c r="O56" s="12">
        <v>7190523048</v>
      </c>
      <c r="Q56" s="12">
        <v>-582078648</v>
      </c>
    </row>
    <row r="57" spans="1:17" ht="18.75" x14ac:dyDescent="0.45">
      <c r="A57" s="10" t="s">
        <v>67</v>
      </c>
      <c r="C57" s="12">
        <v>200000</v>
      </c>
      <c r="E57" s="12">
        <v>1071585900</v>
      </c>
      <c r="G57" s="12">
        <v>1143157500</v>
      </c>
      <c r="I57" s="12">
        <v>-71571600</v>
      </c>
      <c r="K57" s="12">
        <v>200000</v>
      </c>
      <c r="M57" s="12">
        <v>1071585900</v>
      </c>
      <c r="O57" s="12">
        <v>1059657300</v>
      </c>
      <c r="Q57" s="12">
        <v>11928600</v>
      </c>
    </row>
    <row r="58" spans="1:17" ht="18.75" x14ac:dyDescent="0.45">
      <c r="A58" s="10" t="s">
        <v>68</v>
      </c>
      <c r="C58" s="12">
        <v>8231319</v>
      </c>
      <c r="E58" s="12">
        <v>30217391414</v>
      </c>
      <c r="G58" s="12">
        <v>34815867984</v>
      </c>
      <c r="I58" s="12">
        <v>-4598476570</v>
      </c>
      <c r="K58" s="12">
        <v>8231319</v>
      </c>
      <c r="M58" s="12">
        <v>30217391414</v>
      </c>
      <c r="O58" s="12">
        <v>23663334949</v>
      </c>
      <c r="Q58" s="12">
        <v>6554056465</v>
      </c>
    </row>
    <row r="59" spans="1:17" ht="18.75" x14ac:dyDescent="0.45">
      <c r="A59" s="10" t="s">
        <v>69</v>
      </c>
      <c r="C59" s="12">
        <v>6256631</v>
      </c>
      <c r="E59" s="12">
        <v>29131688549</v>
      </c>
      <c r="G59" s="12">
        <v>37129842152</v>
      </c>
      <c r="I59" s="12">
        <v>-7998153603</v>
      </c>
      <c r="K59" s="12">
        <v>6256631</v>
      </c>
      <c r="M59" s="12">
        <v>29131688549</v>
      </c>
      <c r="O59" s="12">
        <v>33025035482</v>
      </c>
      <c r="Q59" s="12">
        <v>-3893346933</v>
      </c>
    </row>
    <row r="60" spans="1:17" ht="18.75" x14ac:dyDescent="0.45">
      <c r="A60" s="10" t="s">
        <v>70</v>
      </c>
      <c r="C60" s="12">
        <v>4666666</v>
      </c>
      <c r="E60" s="12">
        <v>15113534041</v>
      </c>
      <c r="G60" s="12">
        <v>17725234368</v>
      </c>
      <c r="I60" s="12">
        <v>-2611700327</v>
      </c>
      <c r="K60" s="12">
        <v>4666666</v>
      </c>
      <c r="M60" s="12">
        <v>15113534041</v>
      </c>
      <c r="O60" s="12">
        <v>15215589826</v>
      </c>
      <c r="Q60" s="12">
        <v>-102055785</v>
      </c>
    </row>
    <row r="61" spans="1:17" ht="18.75" x14ac:dyDescent="0.45">
      <c r="A61" s="10" t="s">
        <v>71</v>
      </c>
      <c r="C61" s="12">
        <v>16300000</v>
      </c>
      <c r="E61" s="12">
        <v>94949667900</v>
      </c>
      <c r="G61" s="12">
        <v>122332763250</v>
      </c>
      <c r="I61" s="12">
        <v>-27383095350</v>
      </c>
      <c r="K61" s="12">
        <v>16300000</v>
      </c>
      <c r="M61" s="12">
        <v>94949667900</v>
      </c>
      <c r="O61" s="12">
        <v>89278612650</v>
      </c>
      <c r="Q61" s="12">
        <v>5671055250</v>
      </c>
    </row>
    <row r="62" spans="1:17" ht="18.75" x14ac:dyDescent="0.45">
      <c r="A62" s="10" t="s">
        <v>72</v>
      </c>
      <c r="C62" s="12">
        <v>44699</v>
      </c>
      <c r="E62" s="12">
        <v>413227281</v>
      </c>
      <c r="G62" s="12">
        <v>185956874</v>
      </c>
      <c r="I62" s="12">
        <v>227270407</v>
      </c>
      <c r="K62" s="12">
        <v>44699</v>
      </c>
      <c r="M62" s="12">
        <v>413227281</v>
      </c>
      <c r="O62" s="12">
        <v>574963550</v>
      </c>
      <c r="Q62" s="12">
        <v>-161736269</v>
      </c>
    </row>
    <row r="63" spans="1:17" ht="18.75" x14ac:dyDescent="0.45">
      <c r="A63" s="10" t="s">
        <v>73</v>
      </c>
      <c r="C63" s="12">
        <v>4274063</v>
      </c>
      <c r="E63" s="12">
        <v>30080316862</v>
      </c>
      <c r="G63" s="12">
        <v>35815970501</v>
      </c>
      <c r="I63" s="12">
        <v>-5735653639</v>
      </c>
      <c r="K63" s="12">
        <v>4274063</v>
      </c>
      <c r="M63" s="12">
        <v>30080316862</v>
      </c>
      <c r="O63" s="12">
        <v>37171715918</v>
      </c>
      <c r="Q63" s="12">
        <v>-7091399056</v>
      </c>
    </row>
    <row r="64" spans="1:17" ht="18.75" x14ac:dyDescent="0.45">
      <c r="A64" s="10" t="s">
        <v>74</v>
      </c>
      <c r="C64" s="12">
        <v>250000</v>
      </c>
      <c r="E64" s="12">
        <v>2778369750</v>
      </c>
      <c r="G64" s="12">
        <v>3648163500</v>
      </c>
      <c r="I64" s="12">
        <v>-869793750</v>
      </c>
      <c r="K64" s="12">
        <v>250000</v>
      </c>
      <c r="M64" s="12">
        <v>2778369750</v>
      </c>
      <c r="O64" s="12">
        <v>3484145250</v>
      </c>
      <c r="Q64" s="12">
        <v>-705775500</v>
      </c>
    </row>
    <row r="65" spans="1:17" ht="18.75" x14ac:dyDescent="0.45">
      <c r="A65" s="10" t="s">
        <v>75</v>
      </c>
      <c r="C65" s="12">
        <v>15800000</v>
      </c>
      <c r="E65" s="12">
        <v>132558555600</v>
      </c>
      <c r="G65" s="12">
        <v>170252931600</v>
      </c>
      <c r="I65" s="12">
        <v>-37694376000</v>
      </c>
      <c r="K65" s="12">
        <v>15800000</v>
      </c>
      <c r="M65" s="12">
        <v>132558555600</v>
      </c>
      <c r="O65" s="12">
        <v>144180988200</v>
      </c>
      <c r="Q65" s="12">
        <v>-11622432600</v>
      </c>
    </row>
    <row r="66" spans="1:17" ht="18.75" x14ac:dyDescent="0.45">
      <c r="A66" s="10" t="s">
        <v>76</v>
      </c>
      <c r="C66" s="12">
        <v>6668802</v>
      </c>
      <c r="E66" s="12">
        <v>26244696485</v>
      </c>
      <c r="G66" s="12">
        <v>30261944797</v>
      </c>
      <c r="I66" s="12">
        <v>-4017248312</v>
      </c>
      <c r="K66" s="12">
        <v>6668802</v>
      </c>
      <c r="M66" s="12">
        <v>26244696485</v>
      </c>
      <c r="O66" s="12">
        <v>22910247803</v>
      </c>
      <c r="Q66" s="12">
        <v>3334448682</v>
      </c>
    </row>
    <row r="67" spans="1:17" ht="18.75" x14ac:dyDescent="0.45">
      <c r="A67" s="10" t="s">
        <v>77</v>
      </c>
      <c r="C67" s="12">
        <v>5155597</v>
      </c>
      <c r="E67" s="12">
        <v>15579760441</v>
      </c>
      <c r="G67" s="12">
        <v>18880209693</v>
      </c>
      <c r="I67" s="12">
        <v>-3300449252</v>
      </c>
      <c r="K67" s="12">
        <v>5155597</v>
      </c>
      <c r="M67" s="12">
        <v>15579760441</v>
      </c>
      <c r="O67" s="12">
        <v>12371559772</v>
      </c>
      <c r="Q67" s="12">
        <v>3208200669</v>
      </c>
    </row>
    <row r="68" spans="1:17" ht="18.75" x14ac:dyDescent="0.45">
      <c r="A68" s="10" t="s">
        <v>78</v>
      </c>
      <c r="C68" s="12">
        <v>10319951</v>
      </c>
      <c r="E68" s="12">
        <v>72630514824</v>
      </c>
      <c r="G68" s="12">
        <v>74989980701</v>
      </c>
      <c r="I68" s="12">
        <v>-2359465877</v>
      </c>
      <c r="K68" s="12">
        <v>10319951</v>
      </c>
      <c r="M68" s="12">
        <v>72630514824</v>
      </c>
      <c r="O68" s="12">
        <v>57246929746</v>
      </c>
      <c r="Q68" s="12">
        <v>15383585078</v>
      </c>
    </row>
    <row r="69" spans="1:17" ht="18.75" x14ac:dyDescent="0.45">
      <c r="A69" s="10" t="s">
        <v>79</v>
      </c>
      <c r="C69" s="12">
        <v>1207911</v>
      </c>
      <c r="E69" s="12">
        <v>37150398380</v>
      </c>
      <c r="G69" s="12">
        <v>44126604411</v>
      </c>
      <c r="I69" s="12">
        <v>-6976206031</v>
      </c>
      <c r="K69" s="12">
        <v>1207911</v>
      </c>
      <c r="M69" s="12">
        <v>37150398380</v>
      </c>
      <c r="O69" s="12">
        <v>41857236184</v>
      </c>
      <c r="Q69" s="12">
        <v>-4706837804</v>
      </c>
    </row>
    <row r="70" spans="1:17" ht="18.75" x14ac:dyDescent="0.45">
      <c r="A70" s="10" t="s">
        <v>81</v>
      </c>
      <c r="C70" s="12">
        <v>8971553</v>
      </c>
      <c r="E70" s="12">
        <v>40345811303</v>
      </c>
      <c r="G70" s="12">
        <v>42726963296</v>
      </c>
      <c r="I70" s="12">
        <v>-2381151993</v>
      </c>
      <c r="K70" s="12">
        <v>8971553</v>
      </c>
      <c r="M70" s="12">
        <v>40345811303</v>
      </c>
      <c r="O70" s="12">
        <v>30785530640</v>
      </c>
      <c r="Q70" s="12">
        <v>9560280663</v>
      </c>
    </row>
    <row r="71" spans="1:17" ht="37.5" x14ac:dyDescent="0.45">
      <c r="A71" s="10" t="s">
        <v>82</v>
      </c>
      <c r="C71" s="12">
        <v>700000</v>
      </c>
      <c r="E71" s="12">
        <v>11996195400</v>
      </c>
      <c r="G71" s="12">
        <v>13568782500</v>
      </c>
      <c r="I71" s="12">
        <v>-1572587100</v>
      </c>
      <c r="K71" s="12">
        <v>700000</v>
      </c>
      <c r="M71" s="12">
        <v>11996195400</v>
      </c>
      <c r="O71" s="12">
        <v>9581647950</v>
      </c>
      <c r="Q71" s="12">
        <v>2414547450</v>
      </c>
    </row>
    <row r="72" spans="1:17" ht="18.75" x14ac:dyDescent="0.45">
      <c r="A72" s="10" t="s">
        <v>83</v>
      </c>
      <c r="C72" s="12">
        <v>7700000</v>
      </c>
      <c r="E72" s="12">
        <v>38959801650</v>
      </c>
      <c r="G72" s="12">
        <v>43552312650</v>
      </c>
      <c r="I72" s="12">
        <v>-4592511000</v>
      </c>
      <c r="K72" s="12">
        <v>7700000</v>
      </c>
      <c r="M72" s="12">
        <v>38959801650</v>
      </c>
      <c r="O72" s="12">
        <v>41638766400</v>
      </c>
      <c r="Q72" s="12">
        <v>-2678964750</v>
      </c>
    </row>
    <row r="73" spans="1:17" ht="18.75" x14ac:dyDescent="0.45">
      <c r="A73" s="10" t="s">
        <v>84</v>
      </c>
      <c r="C73" s="12">
        <v>10319249</v>
      </c>
      <c r="E73" s="12">
        <v>117452376414</v>
      </c>
      <c r="G73" s="12">
        <v>114863902460</v>
      </c>
      <c r="I73" s="12">
        <v>2588473954</v>
      </c>
      <c r="K73" s="12">
        <v>10319249</v>
      </c>
      <c r="M73" s="12">
        <v>117452376414</v>
      </c>
      <c r="O73" s="12">
        <v>92423223710</v>
      </c>
      <c r="Q73" s="12">
        <v>25029152704</v>
      </c>
    </row>
    <row r="74" spans="1:17" ht="18.75" x14ac:dyDescent="0.45">
      <c r="A74" s="10" t="s">
        <v>85</v>
      </c>
      <c r="C74" s="12">
        <v>1999999</v>
      </c>
      <c r="E74" s="12">
        <v>10159185920</v>
      </c>
      <c r="G74" s="12">
        <v>11590617205</v>
      </c>
      <c r="I74" s="12">
        <v>-1431431285</v>
      </c>
      <c r="K74" s="12">
        <v>1999999</v>
      </c>
      <c r="M74" s="12">
        <v>10159185920</v>
      </c>
      <c r="O74" s="12">
        <v>7151192124</v>
      </c>
      <c r="Q74" s="12">
        <v>3007993796</v>
      </c>
    </row>
    <row r="75" spans="1:17" ht="18.75" x14ac:dyDescent="0.45">
      <c r="A75" s="10" t="s">
        <v>86</v>
      </c>
      <c r="C75" s="12">
        <v>18635760</v>
      </c>
      <c r="E75" s="12">
        <v>78230556534</v>
      </c>
      <c r="G75" s="12">
        <v>87437420516</v>
      </c>
      <c r="I75" s="12">
        <v>-9206863982</v>
      </c>
      <c r="K75" s="12">
        <v>18635760</v>
      </c>
      <c r="M75" s="12">
        <v>78230556534</v>
      </c>
      <c r="O75" s="12">
        <v>59261082252</v>
      </c>
      <c r="Q75" s="12">
        <v>18969474282</v>
      </c>
    </row>
    <row r="76" spans="1:17" ht="18.75" x14ac:dyDescent="0.45">
      <c r="A76" s="10" t="s">
        <v>87</v>
      </c>
      <c r="C76" s="12">
        <v>25703048</v>
      </c>
      <c r="E76" s="12">
        <v>41237885391</v>
      </c>
      <c r="G76" s="12">
        <v>44380549519</v>
      </c>
      <c r="I76" s="12">
        <v>-3142664128</v>
      </c>
      <c r="K76" s="12">
        <v>25703048</v>
      </c>
      <c r="M76" s="12">
        <v>41237885391</v>
      </c>
      <c r="O76" s="12">
        <v>40215880797</v>
      </c>
      <c r="Q76" s="12">
        <v>1022004594</v>
      </c>
    </row>
    <row r="77" spans="1:17" ht="18.75" x14ac:dyDescent="0.45">
      <c r="A77" s="10" t="s">
        <v>88</v>
      </c>
      <c r="C77" s="12">
        <v>177678</v>
      </c>
      <c r="E77" s="12">
        <v>6208221679</v>
      </c>
      <c r="G77" s="12">
        <v>7695368949</v>
      </c>
      <c r="I77" s="12">
        <v>-1487147270</v>
      </c>
      <c r="K77" s="12">
        <v>177678</v>
      </c>
      <c r="M77" s="12">
        <v>6208221679</v>
      </c>
      <c r="O77" s="12">
        <v>6411335617</v>
      </c>
      <c r="Q77" s="12">
        <v>-203113938</v>
      </c>
    </row>
    <row r="78" spans="1:17" ht="18.75" x14ac:dyDescent="0.45">
      <c r="A78" s="10" t="s">
        <v>89</v>
      </c>
      <c r="C78" s="12">
        <v>123</v>
      </c>
      <c r="E78" s="12">
        <v>5048452</v>
      </c>
      <c r="G78" s="12">
        <v>5097359</v>
      </c>
      <c r="I78" s="12">
        <v>-48907</v>
      </c>
      <c r="K78" s="12">
        <v>123</v>
      </c>
      <c r="M78" s="12">
        <v>5048452</v>
      </c>
      <c r="O78" s="12">
        <v>2749811</v>
      </c>
      <c r="Q78" s="12">
        <v>2298641</v>
      </c>
    </row>
    <row r="79" spans="1:17" ht="18.75" x14ac:dyDescent="0.45">
      <c r="A79" s="10" t="s">
        <v>91</v>
      </c>
      <c r="C79" s="12">
        <v>2570924</v>
      </c>
      <c r="E79" s="12">
        <v>27370765194</v>
      </c>
      <c r="G79" s="12">
        <v>28090100033</v>
      </c>
      <c r="I79" s="12">
        <v>-719334839</v>
      </c>
      <c r="K79" s="12">
        <v>2570924</v>
      </c>
      <c r="M79" s="12">
        <v>27370765194</v>
      </c>
      <c r="O79" s="12">
        <v>23153980640</v>
      </c>
      <c r="Q79" s="12">
        <v>4216784554</v>
      </c>
    </row>
    <row r="80" spans="1:17" ht="18.75" x14ac:dyDescent="0.45">
      <c r="A80" s="10" t="s">
        <v>92</v>
      </c>
      <c r="C80" s="12">
        <v>4613772</v>
      </c>
      <c r="E80" s="12">
        <v>28939679557</v>
      </c>
      <c r="G80" s="12">
        <v>32746325204</v>
      </c>
      <c r="I80" s="12">
        <v>-3806645647</v>
      </c>
      <c r="K80" s="12">
        <v>4613772</v>
      </c>
      <c r="M80" s="12">
        <v>28939679557</v>
      </c>
      <c r="O80" s="12">
        <v>31141113184</v>
      </c>
      <c r="Q80" s="12">
        <v>-2201433627</v>
      </c>
    </row>
    <row r="81" spans="1:17" ht="18.75" x14ac:dyDescent="0.45">
      <c r="A81" s="10" t="s">
        <v>94</v>
      </c>
      <c r="C81" s="12">
        <v>6744759</v>
      </c>
      <c r="E81" s="12">
        <v>36741359708</v>
      </c>
      <c r="G81" s="12">
        <v>44049403884</v>
      </c>
      <c r="I81" s="12">
        <v>-7308044176</v>
      </c>
      <c r="K81" s="12">
        <v>6744759</v>
      </c>
      <c r="M81" s="12">
        <v>36741359708</v>
      </c>
      <c r="O81" s="12">
        <v>47076364301</v>
      </c>
      <c r="Q81" s="12">
        <v>-10335004593</v>
      </c>
    </row>
    <row r="82" spans="1:17" ht="18.75" x14ac:dyDescent="0.45">
      <c r="A82" s="10" t="s">
        <v>95</v>
      </c>
      <c r="C82" s="12">
        <v>407809</v>
      </c>
      <c r="E82" s="12">
        <v>13981643682</v>
      </c>
      <c r="G82" s="12">
        <v>13620853225</v>
      </c>
      <c r="I82" s="12">
        <v>360790457</v>
      </c>
      <c r="K82" s="12">
        <v>407809</v>
      </c>
      <c r="M82" s="12">
        <v>13981643682</v>
      </c>
      <c r="O82" s="12">
        <v>14630255740</v>
      </c>
      <c r="Q82" s="12">
        <v>-648612058</v>
      </c>
    </row>
    <row r="83" spans="1:17" ht="18.75" x14ac:dyDescent="0.45">
      <c r="A83" s="10" t="s">
        <v>96</v>
      </c>
      <c r="C83" s="12">
        <v>3500000</v>
      </c>
      <c r="E83" s="12">
        <v>86805416250</v>
      </c>
      <c r="G83" s="12">
        <v>108376301250</v>
      </c>
      <c r="I83" s="12">
        <v>-21570885000</v>
      </c>
      <c r="K83" s="12">
        <v>3500000</v>
      </c>
      <c r="M83" s="12">
        <v>86805416250</v>
      </c>
      <c r="O83" s="12">
        <v>65304114750</v>
      </c>
      <c r="Q83" s="12">
        <v>21501301500</v>
      </c>
    </row>
    <row r="84" spans="1:17" ht="18.75" x14ac:dyDescent="0.45">
      <c r="A84" s="10" t="s">
        <v>97</v>
      </c>
      <c r="C84" s="12">
        <v>50000</v>
      </c>
      <c r="E84" s="12">
        <v>13411722600</v>
      </c>
      <c r="G84" s="12">
        <v>13307347350</v>
      </c>
      <c r="I84" s="12">
        <v>104375250</v>
      </c>
      <c r="K84" s="12">
        <v>50000</v>
      </c>
      <c r="M84" s="12">
        <v>13411722600</v>
      </c>
      <c r="O84" s="12">
        <v>12593619450</v>
      </c>
      <c r="Q84" s="12">
        <v>818103150</v>
      </c>
    </row>
    <row r="85" spans="1:17" ht="18.75" x14ac:dyDescent="0.45">
      <c r="A85" s="10" t="s">
        <v>98</v>
      </c>
      <c r="J85" s="11"/>
      <c r="K85" s="12">
        <v>25140703</v>
      </c>
      <c r="M85" s="12">
        <v>63502425291</v>
      </c>
      <c r="O85" s="12">
        <v>57897095511</v>
      </c>
      <c r="Q85" s="12">
        <v>5605329780</v>
      </c>
    </row>
    <row r="86" spans="1:17" ht="18.75" x14ac:dyDescent="0.45">
      <c r="A86" s="10" t="s">
        <v>99</v>
      </c>
      <c r="C86" s="12">
        <v>450000</v>
      </c>
      <c r="E86" s="12">
        <v>8691476175</v>
      </c>
      <c r="G86" s="12">
        <v>8879351625</v>
      </c>
      <c r="I86" s="12">
        <v>-187875450</v>
      </c>
      <c r="K86" s="12">
        <v>450000</v>
      </c>
      <c r="M86" s="12">
        <v>8691476175</v>
      </c>
      <c r="O86" s="12">
        <v>8423082675</v>
      </c>
      <c r="Q86" s="12">
        <v>268393500</v>
      </c>
    </row>
    <row r="87" spans="1:17" ht="18.75" x14ac:dyDescent="0.45">
      <c r="A87" s="10" t="s">
        <v>100</v>
      </c>
      <c r="C87" s="12">
        <v>3553700</v>
      </c>
      <c r="E87" s="12">
        <v>7439561851</v>
      </c>
      <c r="G87" s="12">
        <v>9583823031</v>
      </c>
      <c r="I87" s="12">
        <v>-2144261180</v>
      </c>
      <c r="K87" s="12">
        <v>3553700</v>
      </c>
      <c r="M87" s="12">
        <v>7439561851</v>
      </c>
      <c r="O87" s="12">
        <v>9406224780</v>
      </c>
      <c r="Q87" s="12">
        <v>-1966662929</v>
      </c>
    </row>
    <row r="88" spans="1:17" ht="37.5" x14ac:dyDescent="0.45">
      <c r="A88" s="10" t="s">
        <v>101</v>
      </c>
      <c r="C88" s="12">
        <v>21600000</v>
      </c>
      <c r="E88" s="12">
        <v>24670730520</v>
      </c>
      <c r="G88" s="12">
        <v>27440551440</v>
      </c>
      <c r="I88" s="12">
        <v>-2769820920</v>
      </c>
      <c r="K88" s="12">
        <v>21600000</v>
      </c>
      <c r="M88" s="12">
        <v>24670730520</v>
      </c>
      <c r="O88" s="12">
        <v>28728840240</v>
      </c>
      <c r="Q88" s="12">
        <v>-4058109720</v>
      </c>
    </row>
    <row r="89" spans="1:17" ht="19.5" thickBot="1" x14ac:dyDescent="0.5">
      <c r="A89" s="8" t="s">
        <v>102</v>
      </c>
      <c r="C89" s="8">
        <f>SUM(C9:$C$88)</f>
        <v>538822716</v>
      </c>
      <c r="E89" s="8">
        <f>SUM(E9:$E$88)</f>
        <v>2579569152009</v>
      </c>
      <c r="G89" s="8">
        <f>SUM(G9:$G$88)</f>
        <v>2954332905409</v>
      </c>
      <c r="I89" s="8">
        <f>SUM(I9:$I$88)</f>
        <v>-374763753400</v>
      </c>
      <c r="K89" s="8">
        <f>SUM(K9:$K$88)</f>
        <v>563963419</v>
      </c>
      <c r="M89" s="8">
        <f>SUM(M9:$M$88)</f>
        <v>2643071577300</v>
      </c>
      <c r="O89" s="8">
        <f>SUM(O9:$O$88)</f>
        <v>2506604916573</v>
      </c>
      <c r="Q89" s="8">
        <f>SUM(Q9:$Q$88)</f>
        <v>136466660727</v>
      </c>
    </row>
    <row r="90" spans="1:17" ht="19.5" thickTop="1" x14ac:dyDescent="0.45">
      <c r="C90" s="9"/>
      <c r="E90" s="9"/>
      <c r="G90" s="9"/>
      <c r="I90" s="9"/>
      <c r="K90" s="9"/>
      <c r="M90" s="9"/>
      <c r="O90" s="9"/>
      <c r="Q90" s="9"/>
    </row>
    <row r="92" spans="1:17" ht="18.75" x14ac:dyDescent="0.45">
      <c r="A92" s="34" t="s">
        <v>200</v>
      </c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6"/>
    </row>
  </sheetData>
  <mergeCells count="7">
    <mergeCell ref="A92:Q92"/>
    <mergeCell ref="A1:Q1"/>
    <mergeCell ref="A2:Q2"/>
    <mergeCell ref="A3:Q3"/>
    <mergeCell ref="A5:Q5"/>
    <mergeCell ref="C7:I7"/>
    <mergeCell ref="K7:Q7"/>
  </mergeCells>
  <pageMargins left="0.7" right="0.7" top="0.75" bottom="0.75" header="0.3" footer="0.3"/>
  <pageSetup paperSize="9" scale="7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94"/>
  <sheetViews>
    <sheetView rightToLeft="1" view="pageBreakPreview" topLeftCell="A67" zoomScale="60" zoomScaleNormal="100" workbookViewId="0">
      <selection sqref="A1:XFD1048576"/>
    </sheetView>
  </sheetViews>
  <sheetFormatPr defaultRowHeight="18" x14ac:dyDescent="0.45"/>
  <cols>
    <col min="1" max="1" width="21.140625" style="4" bestFit="1" customWidth="1"/>
    <col min="2" max="2" width="1.42578125" style="4" customWidth="1"/>
    <col min="3" max="3" width="17.5703125" style="4" bestFit="1" customWidth="1"/>
    <col min="4" max="4" width="1.42578125" style="4" customWidth="1"/>
    <col min="5" max="5" width="19" style="4" bestFit="1" customWidth="1"/>
    <col min="6" max="6" width="1.42578125" style="4" customWidth="1"/>
    <col min="7" max="7" width="15.5703125" style="4" bestFit="1" customWidth="1"/>
    <col min="8" max="8" width="1.42578125" style="4" customWidth="1"/>
    <col min="9" max="9" width="18.42578125" style="4" bestFit="1" customWidth="1"/>
    <col min="10" max="10" width="1.42578125" style="4" customWidth="1"/>
    <col min="11" max="11" width="11.5703125" style="4" bestFit="1" customWidth="1"/>
    <col min="12" max="12" width="1.42578125" style="4" customWidth="1"/>
    <col min="13" max="13" width="17.5703125" style="4" bestFit="1" customWidth="1"/>
    <col min="14" max="14" width="1.42578125" style="4" customWidth="1"/>
    <col min="15" max="15" width="17.7109375" style="4" bestFit="1" customWidth="1"/>
    <col min="16" max="16" width="1.42578125" style="4" customWidth="1"/>
    <col min="17" max="17" width="17" style="4" customWidth="1"/>
    <col min="18" max="18" width="1.42578125" style="4" customWidth="1"/>
    <col min="19" max="19" width="18" style="4" bestFit="1" customWidth="1"/>
    <col min="20" max="20" width="1.42578125" style="4" customWidth="1"/>
    <col min="21" max="21" width="11.5703125" style="4" bestFit="1" customWidth="1"/>
    <col min="22" max="16384" width="9.140625" style="4"/>
  </cols>
  <sheetData>
    <row r="1" spans="1:21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5" spans="1:21" ht="21" x14ac:dyDescent="0.45">
      <c r="A5" s="31" t="s">
        <v>204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7" spans="1:21" ht="21" x14ac:dyDescent="0.45">
      <c r="C7" s="24" t="s">
        <v>152</v>
      </c>
      <c r="D7" s="25"/>
      <c r="E7" s="25"/>
      <c r="F7" s="25"/>
      <c r="G7" s="25"/>
      <c r="H7" s="25"/>
      <c r="I7" s="25"/>
      <c r="J7" s="25"/>
      <c r="K7" s="25"/>
      <c r="M7" s="24" t="s">
        <v>7</v>
      </c>
      <c r="N7" s="25"/>
      <c r="O7" s="25"/>
      <c r="P7" s="25"/>
      <c r="Q7" s="25"/>
      <c r="R7" s="25"/>
      <c r="S7" s="25"/>
      <c r="T7" s="25"/>
      <c r="U7" s="25"/>
    </row>
    <row r="8" spans="1:21" ht="63" x14ac:dyDescent="0.45">
      <c r="A8" s="6" t="s">
        <v>205</v>
      </c>
      <c r="C8" s="7" t="s">
        <v>150</v>
      </c>
      <c r="E8" s="7" t="s">
        <v>206</v>
      </c>
      <c r="G8" s="7" t="s">
        <v>207</v>
      </c>
      <c r="I8" s="7" t="s">
        <v>208</v>
      </c>
      <c r="K8" s="7" t="s">
        <v>209</v>
      </c>
      <c r="M8" s="7" t="s">
        <v>150</v>
      </c>
      <c r="O8" s="7" t="s">
        <v>206</v>
      </c>
      <c r="Q8" s="7" t="s">
        <v>207</v>
      </c>
      <c r="S8" s="7" t="s">
        <v>208</v>
      </c>
      <c r="U8" s="7" t="s">
        <v>209</v>
      </c>
    </row>
    <row r="9" spans="1:21" ht="18.75" x14ac:dyDescent="0.45">
      <c r="A9" s="10" t="s">
        <v>17</v>
      </c>
      <c r="C9" s="12">
        <v>0</v>
      </c>
      <c r="E9" s="12">
        <v>-3751545</v>
      </c>
      <c r="G9" s="12">
        <v>2768386</v>
      </c>
      <c r="I9" s="12">
        <v>-983159</v>
      </c>
      <c r="K9" s="13">
        <v>3.6162647410412686E-6</v>
      </c>
      <c r="M9" s="12">
        <v>0</v>
      </c>
      <c r="O9" s="12">
        <v>0</v>
      </c>
      <c r="Q9" s="12">
        <v>2768386</v>
      </c>
      <c r="S9" s="12">
        <v>2768386</v>
      </c>
      <c r="U9" s="13">
        <v>6.562406427007601E-6</v>
      </c>
    </row>
    <row r="10" spans="1:21" ht="18.75" x14ac:dyDescent="0.45">
      <c r="A10" s="10" t="s">
        <v>18</v>
      </c>
      <c r="C10" s="12">
        <v>0</v>
      </c>
      <c r="E10" s="12">
        <v>-64613250</v>
      </c>
      <c r="G10" s="12">
        <v>0</v>
      </c>
      <c r="I10" s="12">
        <v>-64613250</v>
      </c>
      <c r="K10" s="13">
        <v>2.3766106782227979E-4</v>
      </c>
      <c r="M10" s="12">
        <v>199000000</v>
      </c>
      <c r="O10" s="12">
        <v>37276875</v>
      </c>
      <c r="Q10" s="12">
        <v>0</v>
      </c>
      <c r="S10" s="12">
        <v>236276875</v>
      </c>
      <c r="U10" s="13">
        <v>5.6008984406555719E-4</v>
      </c>
    </row>
    <row r="11" spans="1:21" ht="18.75" x14ac:dyDescent="0.45">
      <c r="A11" s="10" t="s">
        <v>19</v>
      </c>
      <c r="C11" s="12">
        <v>0</v>
      </c>
      <c r="E11" s="12">
        <v>-194833800</v>
      </c>
      <c r="G11" s="12">
        <v>0</v>
      </c>
      <c r="I11" s="12">
        <v>-194833800</v>
      </c>
      <c r="K11" s="13">
        <v>7.1663952758718209E-4</v>
      </c>
      <c r="M11" s="12">
        <v>0</v>
      </c>
      <c r="O11" s="12">
        <v>63320985</v>
      </c>
      <c r="Q11" s="12">
        <v>0</v>
      </c>
      <c r="S11" s="12">
        <v>63320985</v>
      </c>
      <c r="U11" s="13">
        <v>1.5010119214894596E-4</v>
      </c>
    </row>
    <row r="12" spans="1:21" ht="18.75" x14ac:dyDescent="0.45">
      <c r="A12" s="10" t="s">
        <v>210</v>
      </c>
      <c r="C12" s="12">
        <v>4340424361</v>
      </c>
      <c r="E12" s="12">
        <v>-6543018015</v>
      </c>
      <c r="G12" s="12">
        <v>760485957</v>
      </c>
      <c r="I12" s="12">
        <v>-1442107697</v>
      </c>
      <c r="K12" s="13">
        <v>5.3043741830622777E-3</v>
      </c>
      <c r="M12" s="12">
        <v>4340424361</v>
      </c>
      <c r="O12" s="12">
        <v>0</v>
      </c>
      <c r="Q12" s="12">
        <v>785484174</v>
      </c>
      <c r="S12" s="12">
        <v>5125908535</v>
      </c>
      <c r="U12" s="13">
        <v>1.2150868814658475E-2</v>
      </c>
    </row>
    <row r="13" spans="1:21" ht="18.75" x14ac:dyDescent="0.45">
      <c r="A13" s="10" t="s">
        <v>21</v>
      </c>
      <c r="C13" s="12">
        <v>0</v>
      </c>
      <c r="E13" s="12">
        <v>-1149423793</v>
      </c>
      <c r="G13" s="12">
        <v>0</v>
      </c>
      <c r="I13" s="12">
        <v>-1149423793</v>
      </c>
      <c r="K13" s="13">
        <v>4.2278214766277048E-3</v>
      </c>
      <c r="M13" s="12">
        <v>0</v>
      </c>
      <c r="O13" s="12">
        <v>2826451948</v>
      </c>
      <c r="Q13" s="12">
        <v>0</v>
      </c>
      <c r="S13" s="12">
        <v>2826451948</v>
      </c>
      <c r="U13" s="13">
        <v>6.7000506537684247E-3</v>
      </c>
    </row>
    <row r="14" spans="1:21" ht="18.75" x14ac:dyDescent="0.45">
      <c r="A14" s="10" t="s">
        <v>22</v>
      </c>
      <c r="C14" s="12">
        <v>669713695</v>
      </c>
      <c r="E14" s="12">
        <v>-11488578705</v>
      </c>
      <c r="G14" s="12">
        <v>0</v>
      </c>
      <c r="I14" s="12">
        <v>-10818865010</v>
      </c>
      <c r="K14" s="13">
        <v>3.9794051698400862E-2</v>
      </c>
      <c r="M14" s="12">
        <v>669713695</v>
      </c>
      <c r="O14" s="12">
        <v>-12195355158</v>
      </c>
      <c r="Q14" s="12">
        <v>0</v>
      </c>
      <c r="S14" s="12">
        <v>-11525641463</v>
      </c>
      <c r="U14" s="13">
        <v>-2.732131415639889E-2</v>
      </c>
    </row>
    <row r="15" spans="1:21" ht="18.75" x14ac:dyDescent="0.45">
      <c r="A15" s="10" t="s">
        <v>23</v>
      </c>
      <c r="C15" s="12">
        <v>0</v>
      </c>
      <c r="E15" s="12">
        <v>396280159</v>
      </c>
      <c r="G15" s="12">
        <v>-1567532966</v>
      </c>
      <c r="I15" s="12">
        <v>-1171252807</v>
      </c>
      <c r="K15" s="13">
        <v>4.3081131625705652E-3</v>
      </c>
      <c r="M15" s="12">
        <v>4445453740</v>
      </c>
      <c r="O15" s="12">
        <v>-3111588432</v>
      </c>
      <c r="Q15" s="12">
        <v>-1426792206</v>
      </c>
      <c r="S15" s="12">
        <v>-92926898</v>
      </c>
      <c r="U15" s="13">
        <v>-2.2028144654577788E-4</v>
      </c>
    </row>
    <row r="16" spans="1:21" ht="18.75" x14ac:dyDescent="0.45">
      <c r="A16" s="10" t="s">
        <v>24</v>
      </c>
      <c r="C16" s="12">
        <v>1925903250</v>
      </c>
      <c r="E16" s="12">
        <v>-723234447</v>
      </c>
      <c r="G16" s="12">
        <v>0</v>
      </c>
      <c r="I16" s="12">
        <v>1202668803</v>
      </c>
      <c r="K16" s="13">
        <v>-4.4236677764626147E-3</v>
      </c>
      <c r="M16" s="12">
        <v>1925903250</v>
      </c>
      <c r="O16" s="12">
        <v>11032870591</v>
      </c>
      <c r="Q16" s="12">
        <v>570658428</v>
      </c>
      <c r="S16" s="12">
        <v>13529432269</v>
      </c>
      <c r="U16" s="13">
        <v>3.2071262199653387E-2</v>
      </c>
    </row>
    <row r="17" spans="1:21" ht="18.75" x14ac:dyDescent="0.45">
      <c r="A17" s="10" t="s">
        <v>25</v>
      </c>
      <c r="C17" s="12">
        <v>0</v>
      </c>
      <c r="E17" s="12">
        <v>-1232622000</v>
      </c>
      <c r="G17" s="12">
        <v>0</v>
      </c>
      <c r="I17" s="12">
        <v>-1232622000</v>
      </c>
      <c r="K17" s="13">
        <v>4.5338419092250297E-3</v>
      </c>
      <c r="M17" s="12">
        <v>712500000</v>
      </c>
      <c r="O17" s="12">
        <v>-1843962750</v>
      </c>
      <c r="Q17" s="12">
        <v>0</v>
      </c>
      <c r="S17" s="12">
        <v>-1131462750</v>
      </c>
      <c r="U17" s="13">
        <v>-2.6821109565355753E-3</v>
      </c>
    </row>
    <row r="18" spans="1:21" ht="18.75" x14ac:dyDescent="0.45">
      <c r="A18" s="10" t="s">
        <v>211</v>
      </c>
      <c r="C18" s="12">
        <v>0</v>
      </c>
      <c r="E18" s="12">
        <v>-3422828365</v>
      </c>
      <c r="G18" s="12">
        <v>0</v>
      </c>
      <c r="I18" s="12">
        <v>-3422828365</v>
      </c>
      <c r="K18" s="13">
        <v>1.2589879694927713E-2</v>
      </c>
      <c r="M18" s="12">
        <v>0</v>
      </c>
      <c r="O18" s="12">
        <v>5329504569</v>
      </c>
      <c r="Q18" s="12">
        <v>0</v>
      </c>
      <c r="S18" s="12">
        <v>5329504569</v>
      </c>
      <c r="U18" s="13">
        <v>1.2633489345912014E-2</v>
      </c>
    </row>
    <row r="19" spans="1:21" ht="18.75" x14ac:dyDescent="0.45">
      <c r="A19" s="10" t="s">
        <v>26</v>
      </c>
      <c r="C19" s="12">
        <v>0</v>
      </c>
      <c r="E19" s="12">
        <v>-107854425</v>
      </c>
      <c r="G19" s="12">
        <v>0</v>
      </c>
      <c r="I19" s="12">
        <v>-107854425</v>
      </c>
      <c r="K19" s="13">
        <v>3.9671116705719008E-4</v>
      </c>
      <c r="M19" s="12">
        <v>700000000</v>
      </c>
      <c r="O19" s="12">
        <v>1807431413</v>
      </c>
      <c r="Q19" s="12">
        <v>0</v>
      </c>
      <c r="S19" s="12">
        <v>2507431413</v>
      </c>
      <c r="U19" s="13">
        <v>5.9438185354036433E-3</v>
      </c>
    </row>
    <row r="20" spans="1:21" ht="18.75" x14ac:dyDescent="0.45">
      <c r="A20" s="10" t="s">
        <v>212</v>
      </c>
      <c r="C20" s="12">
        <v>0</v>
      </c>
      <c r="E20" s="12">
        <v>-332610169</v>
      </c>
      <c r="G20" s="12">
        <v>0</v>
      </c>
      <c r="I20" s="12">
        <v>-332610169</v>
      </c>
      <c r="K20" s="13">
        <v>1.2234098723263253E-3</v>
      </c>
      <c r="M20" s="12">
        <v>687500000</v>
      </c>
      <c r="O20" s="12">
        <v>-386492650</v>
      </c>
      <c r="Q20" s="12">
        <v>0</v>
      </c>
      <c r="S20" s="12">
        <v>301007350</v>
      </c>
      <c r="U20" s="13">
        <v>7.1353220548598588E-4</v>
      </c>
    </row>
    <row r="21" spans="1:21" ht="18.75" x14ac:dyDescent="0.45">
      <c r="A21" s="10" t="s">
        <v>30</v>
      </c>
      <c r="C21" s="12">
        <v>0</v>
      </c>
      <c r="E21" s="12">
        <v>-16536021750</v>
      </c>
      <c r="G21" s="12">
        <v>0</v>
      </c>
      <c r="I21" s="12">
        <v>-16536021750</v>
      </c>
      <c r="K21" s="13">
        <v>6.0822951741901908E-2</v>
      </c>
      <c r="M21" s="12">
        <v>0</v>
      </c>
      <c r="O21" s="12">
        <v>12867977250</v>
      </c>
      <c r="Q21" s="12">
        <v>14318341343</v>
      </c>
      <c r="S21" s="12">
        <v>27186318593</v>
      </c>
      <c r="U21" s="13">
        <v>6.4444651815671466E-2</v>
      </c>
    </row>
    <row r="22" spans="1:21" ht="18.75" x14ac:dyDescent="0.45">
      <c r="A22" s="10" t="s">
        <v>31</v>
      </c>
      <c r="C22" s="12">
        <v>18000000000</v>
      </c>
      <c r="E22" s="12">
        <v>-33223775292</v>
      </c>
      <c r="G22" s="12">
        <v>4697788170</v>
      </c>
      <c r="I22" s="12">
        <v>-10525987122</v>
      </c>
      <c r="K22" s="13">
        <v>3.8716785478181109E-2</v>
      </c>
      <c r="M22" s="12">
        <v>18000000000</v>
      </c>
      <c r="O22" s="12">
        <v>17535042000</v>
      </c>
      <c r="Q22" s="12">
        <v>9269684148</v>
      </c>
      <c r="S22" s="12">
        <v>44804726148</v>
      </c>
      <c r="U22" s="13">
        <v>0.10620875225996329</v>
      </c>
    </row>
    <row r="23" spans="1:21" ht="18.75" x14ac:dyDescent="0.45">
      <c r="A23" s="10" t="s">
        <v>199</v>
      </c>
      <c r="C23" s="12">
        <v>0</v>
      </c>
      <c r="E23" s="12">
        <v>-2364637468</v>
      </c>
      <c r="G23" s="12">
        <v>1683725</v>
      </c>
      <c r="I23" s="12">
        <v>-2362953743</v>
      </c>
      <c r="K23" s="13">
        <v>8.6914388268046084E-3</v>
      </c>
      <c r="M23" s="12">
        <v>0</v>
      </c>
      <c r="O23" s="12">
        <v>452294912</v>
      </c>
      <c r="Q23" s="12">
        <v>1683725</v>
      </c>
      <c r="S23" s="12">
        <v>453978637</v>
      </c>
      <c r="U23" s="13">
        <v>1.0761477356022429E-3</v>
      </c>
    </row>
    <row r="24" spans="1:21" ht="18.75" x14ac:dyDescent="0.45">
      <c r="A24" s="10" t="s">
        <v>33</v>
      </c>
      <c r="C24" s="12">
        <v>0</v>
      </c>
      <c r="E24" s="12">
        <v>-1134105308</v>
      </c>
      <c r="G24" s="12">
        <v>0</v>
      </c>
      <c r="I24" s="12">
        <v>-1134105308</v>
      </c>
      <c r="K24" s="13">
        <v>4.1714768800856714E-3</v>
      </c>
      <c r="M24" s="12">
        <v>1524233883</v>
      </c>
      <c r="O24" s="12">
        <v>499005251</v>
      </c>
      <c r="Q24" s="12">
        <v>956045540</v>
      </c>
      <c r="S24" s="12">
        <v>2979284674</v>
      </c>
      <c r="U24" s="13">
        <v>7.0623377276661731E-3</v>
      </c>
    </row>
    <row r="25" spans="1:21" ht="37.5" x14ac:dyDescent="0.45">
      <c r="A25" s="10" t="s">
        <v>34</v>
      </c>
      <c r="C25" s="12">
        <v>29476195</v>
      </c>
      <c r="E25" s="12">
        <v>-925068481</v>
      </c>
      <c r="G25" s="12">
        <v>0</v>
      </c>
      <c r="I25" s="12">
        <v>-895592286</v>
      </c>
      <c r="K25" s="13">
        <v>3.2941760246413326E-3</v>
      </c>
      <c r="M25" s="12">
        <v>29476195</v>
      </c>
      <c r="O25" s="12">
        <v>-1310164863</v>
      </c>
      <c r="Q25" s="12">
        <v>0</v>
      </c>
      <c r="S25" s="12">
        <v>-1280688668</v>
      </c>
      <c r="U25" s="13">
        <v>-3.0358481605812933E-3</v>
      </c>
    </row>
    <row r="26" spans="1:21" ht="37.5" x14ac:dyDescent="0.45">
      <c r="A26" s="10" t="s">
        <v>35</v>
      </c>
      <c r="C26" s="12">
        <v>0</v>
      </c>
      <c r="E26" s="12">
        <v>-1352069533</v>
      </c>
      <c r="G26" s="12">
        <v>-1173077</v>
      </c>
      <c r="I26" s="12">
        <v>-1353242610</v>
      </c>
      <c r="K26" s="13">
        <v>4.9775097788024728E-3</v>
      </c>
      <c r="M26" s="12">
        <v>0</v>
      </c>
      <c r="O26" s="12">
        <v>-269847298</v>
      </c>
      <c r="Q26" s="12">
        <v>-1173077</v>
      </c>
      <c r="S26" s="12">
        <v>-271020375</v>
      </c>
      <c r="U26" s="13">
        <v>-6.4244865085649554E-4</v>
      </c>
    </row>
    <row r="27" spans="1:21" ht="37.5" x14ac:dyDescent="0.45">
      <c r="A27" s="10" t="s">
        <v>36</v>
      </c>
      <c r="C27" s="12">
        <v>0</v>
      </c>
      <c r="E27" s="12">
        <v>-107854425</v>
      </c>
      <c r="G27" s="12">
        <v>0</v>
      </c>
      <c r="I27" s="12">
        <v>-107854425</v>
      </c>
      <c r="K27" s="13">
        <v>3.9671116705719008E-4</v>
      </c>
      <c r="M27" s="12">
        <v>0</v>
      </c>
      <c r="O27" s="12">
        <v>146125350</v>
      </c>
      <c r="Q27" s="12">
        <v>0</v>
      </c>
      <c r="S27" s="12">
        <v>146125350</v>
      </c>
      <c r="U27" s="13">
        <v>3.4638736649756762E-4</v>
      </c>
    </row>
    <row r="28" spans="1:21" ht="18.75" x14ac:dyDescent="0.45">
      <c r="A28" s="10" t="s">
        <v>37</v>
      </c>
      <c r="C28" s="12">
        <v>0</v>
      </c>
      <c r="E28" s="12">
        <v>-278334000</v>
      </c>
      <c r="G28" s="12">
        <v>0</v>
      </c>
      <c r="I28" s="12">
        <v>-278334000</v>
      </c>
      <c r="K28" s="13">
        <v>1.0237707536959744E-3</v>
      </c>
      <c r="M28" s="12">
        <v>0</v>
      </c>
      <c r="O28" s="12">
        <v>-419314617</v>
      </c>
      <c r="Q28" s="12">
        <v>0</v>
      </c>
      <c r="S28" s="12">
        <v>-419314617</v>
      </c>
      <c r="U28" s="13">
        <v>-9.9397733464156755E-4</v>
      </c>
    </row>
    <row r="29" spans="1:21" ht="37.5" x14ac:dyDescent="0.45">
      <c r="A29" s="10" t="s">
        <v>38</v>
      </c>
      <c r="C29" s="12">
        <v>0</v>
      </c>
      <c r="E29" s="12">
        <v>-9644134530</v>
      </c>
      <c r="G29" s="12">
        <v>0</v>
      </c>
      <c r="I29" s="12">
        <v>-9644134530</v>
      </c>
      <c r="K29" s="13">
        <v>3.5473146926079717E-2</v>
      </c>
      <c r="M29" s="12">
        <v>10632176000</v>
      </c>
      <c r="O29" s="12">
        <v>3104618650</v>
      </c>
      <c r="Q29" s="12">
        <v>0</v>
      </c>
      <c r="S29" s="12">
        <v>13736794650</v>
      </c>
      <c r="U29" s="13">
        <v>3.2562810784927981E-2</v>
      </c>
    </row>
    <row r="30" spans="1:21" ht="18.75" x14ac:dyDescent="0.45">
      <c r="A30" s="10" t="s">
        <v>39</v>
      </c>
      <c r="C30" s="12">
        <v>600000000</v>
      </c>
      <c r="E30" s="12">
        <v>-1272384000</v>
      </c>
      <c r="G30" s="12">
        <v>0</v>
      </c>
      <c r="I30" s="12">
        <v>-672384000</v>
      </c>
      <c r="K30" s="13">
        <v>2.4731691940370706E-3</v>
      </c>
      <c r="M30" s="12">
        <v>600000000</v>
      </c>
      <c r="O30" s="12">
        <v>-487084500</v>
      </c>
      <c r="Q30" s="12">
        <v>0</v>
      </c>
      <c r="S30" s="12">
        <v>112915500</v>
      </c>
      <c r="U30" s="13">
        <v>2.6766404789967037E-4</v>
      </c>
    </row>
    <row r="31" spans="1:21" ht="18.75" x14ac:dyDescent="0.45">
      <c r="A31" s="10" t="s">
        <v>40</v>
      </c>
      <c r="C31" s="12">
        <v>3816783240</v>
      </c>
      <c r="E31" s="12">
        <v>-9801356231</v>
      </c>
      <c r="G31" s="12">
        <v>0</v>
      </c>
      <c r="I31" s="12">
        <v>-5984572991</v>
      </c>
      <c r="K31" s="13">
        <v>2.20125130294705E-2</v>
      </c>
      <c r="M31" s="12">
        <v>3816783240</v>
      </c>
      <c r="O31" s="12">
        <v>-8821220608</v>
      </c>
      <c r="Q31" s="12">
        <v>0</v>
      </c>
      <c r="S31" s="12">
        <v>-5004437368</v>
      </c>
      <c r="U31" s="13">
        <v>-1.1862923720651746E-2</v>
      </c>
    </row>
    <row r="32" spans="1:21" ht="18.75" x14ac:dyDescent="0.45">
      <c r="A32" s="10" t="s">
        <v>41</v>
      </c>
      <c r="C32" s="12">
        <v>0</v>
      </c>
      <c r="E32" s="12">
        <v>-9398543522</v>
      </c>
      <c r="G32" s="12">
        <v>0</v>
      </c>
      <c r="I32" s="12">
        <v>-9398543522</v>
      </c>
      <c r="K32" s="13">
        <v>3.4569811755525225E-2</v>
      </c>
      <c r="M32" s="12">
        <v>0</v>
      </c>
      <c r="O32" s="12">
        <v>-6411409535</v>
      </c>
      <c r="Q32" s="12">
        <v>0</v>
      </c>
      <c r="S32" s="12">
        <v>-6411409535</v>
      </c>
      <c r="U32" s="13">
        <v>-1.5198124516834654E-2</v>
      </c>
    </row>
    <row r="33" spans="1:21" ht="18.75" x14ac:dyDescent="0.45">
      <c r="A33" s="10" t="s">
        <v>42</v>
      </c>
      <c r="C33" s="12">
        <v>544518100</v>
      </c>
      <c r="E33" s="12">
        <v>-859619758</v>
      </c>
      <c r="G33" s="12">
        <v>68863900</v>
      </c>
      <c r="I33" s="12">
        <v>-246237758</v>
      </c>
      <c r="K33" s="13">
        <v>9.0571405252706089E-4</v>
      </c>
      <c r="M33" s="12">
        <v>544518100</v>
      </c>
      <c r="O33" s="12">
        <v>-153604692</v>
      </c>
      <c r="Q33" s="12">
        <v>13473786712</v>
      </c>
      <c r="S33" s="12">
        <v>13864700120</v>
      </c>
      <c r="U33" s="13">
        <v>3.2866008271975465E-2</v>
      </c>
    </row>
    <row r="34" spans="1:21" ht="18.75" x14ac:dyDescent="0.45">
      <c r="A34" s="10" t="s">
        <v>43</v>
      </c>
      <c r="C34" s="12">
        <v>0</v>
      </c>
      <c r="E34" s="12">
        <v>-4190961322</v>
      </c>
      <c r="G34" s="12">
        <v>0</v>
      </c>
      <c r="I34" s="12">
        <v>-4190961322</v>
      </c>
      <c r="K34" s="13">
        <v>1.5415233609025908E-2</v>
      </c>
      <c r="M34" s="12">
        <v>14908718125</v>
      </c>
      <c r="O34" s="12">
        <v>15054374221</v>
      </c>
      <c r="Q34" s="12">
        <v>0</v>
      </c>
      <c r="S34" s="12">
        <v>29963092346</v>
      </c>
      <c r="U34" s="13">
        <v>7.1026941251838671E-2</v>
      </c>
    </row>
    <row r="35" spans="1:21" ht="37.5" x14ac:dyDescent="0.45">
      <c r="A35" s="10" t="s">
        <v>44</v>
      </c>
      <c r="C35" s="12">
        <v>0</v>
      </c>
      <c r="E35" s="12">
        <v>-690740494</v>
      </c>
      <c r="G35" s="12">
        <v>0</v>
      </c>
      <c r="I35" s="12">
        <v>-690740494</v>
      </c>
      <c r="K35" s="13">
        <v>2.5406882240427316E-3</v>
      </c>
      <c r="M35" s="12">
        <v>0</v>
      </c>
      <c r="O35" s="12">
        <v>2519171212</v>
      </c>
      <c r="Q35" s="12">
        <v>0</v>
      </c>
      <c r="S35" s="12">
        <v>2519171212</v>
      </c>
      <c r="U35" s="13">
        <v>5.9716475059335399E-3</v>
      </c>
    </row>
    <row r="36" spans="1:21" ht="18.75" x14ac:dyDescent="0.45">
      <c r="A36" s="10" t="s">
        <v>45</v>
      </c>
      <c r="C36" s="12">
        <v>0</v>
      </c>
      <c r="E36" s="12">
        <v>-3878782027</v>
      </c>
      <c r="G36" s="12">
        <v>0</v>
      </c>
      <c r="I36" s="12">
        <v>-3878782027</v>
      </c>
      <c r="K36" s="13">
        <v>1.4266972770858715E-2</v>
      </c>
      <c r="M36" s="12">
        <v>0</v>
      </c>
      <c r="O36" s="12">
        <v>-1448613160</v>
      </c>
      <c r="Q36" s="12">
        <v>0</v>
      </c>
      <c r="S36" s="12">
        <v>-1448613160</v>
      </c>
      <c r="U36" s="13">
        <v>-3.4339099791112189E-3</v>
      </c>
    </row>
    <row r="37" spans="1:21" ht="18.75" x14ac:dyDescent="0.45">
      <c r="A37" s="10" t="s">
        <v>46</v>
      </c>
      <c r="C37" s="12">
        <v>1113775480</v>
      </c>
      <c r="E37" s="12">
        <v>-11874167833</v>
      </c>
      <c r="G37" s="12">
        <v>0</v>
      </c>
      <c r="I37" s="12">
        <v>-10760392353</v>
      </c>
      <c r="K37" s="13">
        <v>3.9578977017882148E-2</v>
      </c>
      <c r="M37" s="12">
        <v>1113775480</v>
      </c>
      <c r="O37" s="12">
        <v>-5784850996</v>
      </c>
      <c r="Q37" s="12">
        <v>0</v>
      </c>
      <c r="S37" s="12">
        <v>-4671075516</v>
      </c>
      <c r="U37" s="13">
        <v>-1.1072695782754374E-2</v>
      </c>
    </row>
    <row r="38" spans="1:21" ht="18.75" x14ac:dyDescent="0.45">
      <c r="A38" s="10" t="s">
        <v>47</v>
      </c>
      <c r="C38" s="12">
        <v>4034657942</v>
      </c>
      <c r="E38" s="12">
        <v>-8669641891</v>
      </c>
      <c r="G38" s="12">
        <v>0</v>
      </c>
      <c r="I38" s="12">
        <v>-4634983949</v>
      </c>
      <c r="K38" s="13">
        <v>1.7048441839072746E-2</v>
      </c>
      <c r="M38" s="12">
        <v>4034657942</v>
      </c>
      <c r="O38" s="12">
        <v>-5053202009</v>
      </c>
      <c r="Q38" s="12">
        <v>0</v>
      </c>
      <c r="S38" s="12">
        <v>-1018544067</v>
      </c>
      <c r="U38" s="13">
        <v>-2.4144393633948667E-3</v>
      </c>
    </row>
    <row r="39" spans="1:21" ht="18.75" x14ac:dyDescent="0.45">
      <c r="A39" s="10" t="s">
        <v>48</v>
      </c>
      <c r="C39" s="12">
        <v>1169457258</v>
      </c>
      <c r="E39" s="12">
        <v>-4027957017</v>
      </c>
      <c r="G39" s="12">
        <v>0</v>
      </c>
      <c r="I39" s="12">
        <v>-2858499759</v>
      </c>
      <c r="K39" s="13">
        <v>1.0514160874026138E-2</v>
      </c>
      <c r="M39" s="12">
        <v>1169457258</v>
      </c>
      <c r="O39" s="12">
        <v>-438486460</v>
      </c>
      <c r="Q39" s="12">
        <v>0</v>
      </c>
      <c r="S39" s="12">
        <v>730970798</v>
      </c>
      <c r="U39" s="13">
        <v>1.7327523917365841E-3</v>
      </c>
    </row>
    <row r="40" spans="1:21" ht="18.75" x14ac:dyDescent="0.45">
      <c r="A40" s="10" t="s">
        <v>49</v>
      </c>
      <c r="C40" s="12">
        <v>0</v>
      </c>
      <c r="E40" s="12">
        <v>-2718595954</v>
      </c>
      <c r="G40" s="12">
        <v>0</v>
      </c>
      <c r="I40" s="12">
        <v>-2718595954</v>
      </c>
      <c r="K40" s="13">
        <v>9.9995653740520621E-3</v>
      </c>
      <c r="M40" s="12">
        <v>0</v>
      </c>
      <c r="O40" s="12">
        <v>4534756034</v>
      </c>
      <c r="Q40" s="12">
        <v>817741011</v>
      </c>
      <c r="S40" s="12">
        <v>5352497045</v>
      </c>
      <c r="U40" s="13">
        <v>1.2687992573523777E-2</v>
      </c>
    </row>
    <row r="41" spans="1:21" ht="37.5" x14ac:dyDescent="0.45">
      <c r="A41" s="10" t="s">
        <v>50</v>
      </c>
      <c r="C41" s="12">
        <v>0</v>
      </c>
      <c r="E41" s="12">
        <v>-449062087</v>
      </c>
      <c r="G41" s="12">
        <v>0</v>
      </c>
      <c r="I41" s="12">
        <v>-449062087</v>
      </c>
      <c r="K41" s="13">
        <v>1.6517444195257398E-3</v>
      </c>
      <c r="M41" s="12">
        <v>0</v>
      </c>
      <c r="O41" s="12">
        <v>-56067336</v>
      </c>
      <c r="Q41" s="12">
        <v>564732799</v>
      </c>
      <c r="S41" s="12">
        <v>508665463</v>
      </c>
      <c r="U41" s="13">
        <v>1.2057818178490996E-3</v>
      </c>
    </row>
    <row r="42" spans="1:21" ht="18.75" x14ac:dyDescent="0.45">
      <c r="A42" s="10" t="s">
        <v>51</v>
      </c>
      <c r="C42" s="12">
        <v>0</v>
      </c>
      <c r="E42" s="12">
        <v>-801920055</v>
      </c>
      <c r="G42" s="12">
        <v>0</v>
      </c>
      <c r="I42" s="12">
        <v>-801920055</v>
      </c>
      <c r="K42" s="13">
        <v>2.9496299378130851E-3</v>
      </c>
      <c r="M42" s="12">
        <v>8079063930</v>
      </c>
      <c r="O42" s="12">
        <v>15484132842</v>
      </c>
      <c r="Q42" s="12">
        <v>0</v>
      </c>
      <c r="S42" s="12">
        <v>23563196772</v>
      </c>
      <c r="U42" s="13">
        <v>5.5856110360844757E-2</v>
      </c>
    </row>
    <row r="43" spans="1:21" ht="18.75" x14ac:dyDescent="0.45">
      <c r="A43" s="10" t="s">
        <v>52</v>
      </c>
      <c r="C43" s="12">
        <v>0</v>
      </c>
      <c r="E43" s="12">
        <v>270381600</v>
      </c>
      <c r="G43" s="12">
        <v>0</v>
      </c>
      <c r="I43" s="12">
        <v>270381600</v>
      </c>
      <c r="K43" s="13">
        <v>-9.9452016073323232E-4</v>
      </c>
      <c r="M43" s="12">
        <v>1450000000</v>
      </c>
      <c r="O43" s="12">
        <v>3091495500</v>
      </c>
      <c r="Q43" s="12">
        <v>0</v>
      </c>
      <c r="S43" s="12">
        <v>4541495500</v>
      </c>
      <c r="U43" s="13">
        <v>1.0765528816222196E-2</v>
      </c>
    </row>
    <row r="44" spans="1:21" ht="18.75" x14ac:dyDescent="0.45">
      <c r="A44" s="10" t="s">
        <v>53</v>
      </c>
      <c r="C44" s="12">
        <v>5807092200</v>
      </c>
      <c r="E44" s="12">
        <v>-10720431431</v>
      </c>
      <c r="G44" s="12">
        <v>0</v>
      </c>
      <c r="I44" s="12">
        <v>-4913339231</v>
      </c>
      <c r="K44" s="13">
        <v>1.807229087242259E-2</v>
      </c>
      <c r="M44" s="12">
        <v>5807092200</v>
      </c>
      <c r="O44" s="12">
        <v>7586766858</v>
      </c>
      <c r="Q44" s="12">
        <v>9408094071</v>
      </c>
      <c r="S44" s="12">
        <v>22801953129</v>
      </c>
      <c r="U44" s="13">
        <v>5.4051596765073831E-2</v>
      </c>
    </row>
    <row r="45" spans="1:21" ht="18.75" x14ac:dyDescent="0.45">
      <c r="A45" s="10" t="s">
        <v>54</v>
      </c>
      <c r="C45" s="12">
        <v>0</v>
      </c>
      <c r="E45" s="12">
        <v>-1210709480</v>
      </c>
      <c r="G45" s="12">
        <v>0</v>
      </c>
      <c r="I45" s="12">
        <v>-1210709480</v>
      </c>
      <c r="K45" s="13">
        <v>4.4532430707224461E-3</v>
      </c>
      <c r="M45" s="12">
        <v>6240576192</v>
      </c>
      <c r="O45" s="12">
        <v>6399464395</v>
      </c>
      <c r="Q45" s="12">
        <v>685208419</v>
      </c>
      <c r="S45" s="12">
        <v>13325249006</v>
      </c>
      <c r="U45" s="13">
        <v>3.1587249653209866E-2</v>
      </c>
    </row>
    <row r="46" spans="1:21" ht="18.75" x14ac:dyDescent="0.45">
      <c r="A46" s="10" t="s">
        <v>55</v>
      </c>
      <c r="C46" s="12">
        <v>0</v>
      </c>
      <c r="E46" s="12">
        <v>3383746200</v>
      </c>
      <c r="G46" s="12">
        <v>0</v>
      </c>
      <c r="I46" s="12">
        <v>3383746200</v>
      </c>
      <c r="K46" s="13">
        <v>-1.2446127305646775E-2</v>
      </c>
      <c r="M46" s="12">
        <v>0</v>
      </c>
      <c r="O46" s="12">
        <v>26996409900</v>
      </c>
      <c r="Q46" s="12">
        <v>11077488310</v>
      </c>
      <c r="S46" s="12">
        <v>38073898210</v>
      </c>
      <c r="U46" s="13">
        <v>9.0253452486227431E-2</v>
      </c>
    </row>
    <row r="47" spans="1:21" ht="18.75" x14ac:dyDescent="0.45">
      <c r="A47" s="10" t="s">
        <v>56</v>
      </c>
      <c r="C47" s="12">
        <v>0</v>
      </c>
      <c r="E47" s="12">
        <v>-180917100</v>
      </c>
      <c r="G47" s="12">
        <v>0</v>
      </c>
      <c r="I47" s="12">
        <v>-180917100</v>
      </c>
      <c r="K47" s="13">
        <v>6.6545098990238342E-4</v>
      </c>
      <c r="M47" s="12">
        <v>0</v>
      </c>
      <c r="O47" s="12">
        <v>1129240800</v>
      </c>
      <c r="Q47" s="12">
        <v>0</v>
      </c>
      <c r="S47" s="12">
        <v>1129240800</v>
      </c>
      <c r="U47" s="13">
        <v>2.6768438662669171E-3</v>
      </c>
    </row>
    <row r="48" spans="1:21" ht="18.75" x14ac:dyDescent="0.45">
      <c r="A48" s="10" t="s">
        <v>213</v>
      </c>
      <c r="C48" s="12">
        <v>0</v>
      </c>
      <c r="E48" s="12">
        <v>-488383799</v>
      </c>
      <c r="G48" s="12">
        <v>0</v>
      </c>
      <c r="I48" s="12">
        <v>-488383799</v>
      </c>
      <c r="K48" s="13">
        <v>1.7963779128497893E-3</v>
      </c>
      <c r="M48" s="12">
        <v>0</v>
      </c>
      <c r="O48" s="12">
        <v>-262975892</v>
      </c>
      <c r="Q48" s="12">
        <v>0</v>
      </c>
      <c r="S48" s="12">
        <v>-262975892</v>
      </c>
      <c r="U48" s="13">
        <v>-6.2337935671140398E-4</v>
      </c>
    </row>
    <row r="49" spans="1:21" ht="18.75" x14ac:dyDescent="0.45">
      <c r="A49" s="10" t="s">
        <v>57</v>
      </c>
      <c r="C49" s="12">
        <v>0</v>
      </c>
      <c r="E49" s="12">
        <v>-4481365763</v>
      </c>
      <c r="G49" s="12">
        <v>0</v>
      </c>
      <c r="I49" s="12">
        <v>-4481365763</v>
      </c>
      <c r="K49" s="13">
        <v>1.6483401973074959E-2</v>
      </c>
      <c r="M49" s="12">
        <v>0</v>
      </c>
      <c r="O49" s="12">
        <v>-2153666070</v>
      </c>
      <c r="Q49" s="12">
        <v>2921931039</v>
      </c>
      <c r="S49" s="12">
        <v>768264969</v>
      </c>
      <c r="U49" s="13">
        <v>1.8211575156825658E-3</v>
      </c>
    </row>
    <row r="50" spans="1:21" ht="18.75" x14ac:dyDescent="0.45">
      <c r="A50" s="10" t="s">
        <v>58</v>
      </c>
      <c r="C50" s="12">
        <v>0</v>
      </c>
      <c r="E50" s="12">
        <v>-1056105102</v>
      </c>
      <c r="G50" s="12">
        <v>0</v>
      </c>
      <c r="I50" s="12">
        <v>-1056105102</v>
      </c>
      <c r="K50" s="13">
        <v>3.8845757839743042E-3</v>
      </c>
      <c r="M50" s="12">
        <v>0</v>
      </c>
      <c r="O50" s="12">
        <v>-792901338</v>
      </c>
      <c r="Q50" s="12">
        <v>0</v>
      </c>
      <c r="S50" s="12">
        <v>-792901338</v>
      </c>
      <c r="U50" s="13">
        <v>-1.8795575604247841E-3</v>
      </c>
    </row>
    <row r="51" spans="1:21" ht="18.75" x14ac:dyDescent="0.45">
      <c r="A51" s="10" t="s">
        <v>60</v>
      </c>
      <c r="C51" s="12">
        <v>0</v>
      </c>
      <c r="E51" s="12">
        <v>-4085691178</v>
      </c>
      <c r="G51" s="12">
        <v>0</v>
      </c>
      <c r="I51" s="12">
        <v>-4085691178</v>
      </c>
      <c r="K51" s="13">
        <v>1.5028027968807452E-2</v>
      </c>
      <c r="M51" s="12">
        <v>5683165600</v>
      </c>
      <c r="O51" s="12">
        <v>-12529452946</v>
      </c>
      <c r="Q51" s="12">
        <v>0</v>
      </c>
      <c r="S51" s="12">
        <v>-6846287346</v>
      </c>
      <c r="U51" s="13">
        <v>-1.6228994107227536E-2</v>
      </c>
    </row>
    <row r="52" spans="1:21" ht="18.75" x14ac:dyDescent="0.45">
      <c r="A52" s="10" t="s">
        <v>61</v>
      </c>
      <c r="C52" s="12">
        <v>0</v>
      </c>
      <c r="E52" s="12">
        <v>-193836649</v>
      </c>
      <c r="G52" s="12">
        <v>0</v>
      </c>
      <c r="I52" s="12">
        <v>-193836649</v>
      </c>
      <c r="K52" s="13">
        <v>7.1297179733928321E-4</v>
      </c>
      <c r="M52" s="12">
        <v>0</v>
      </c>
      <c r="O52" s="12">
        <v>12425426</v>
      </c>
      <c r="Q52" s="12">
        <v>0</v>
      </c>
      <c r="S52" s="12">
        <v>12425426</v>
      </c>
      <c r="U52" s="13">
        <v>2.9454236309787489E-5</v>
      </c>
    </row>
    <row r="53" spans="1:21" ht="18.75" x14ac:dyDescent="0.45">
      <c r="A53" s="10" t="s">
        <v>62</v>
      </c>
      <c r="C53" s="12">
        <v>1080000000</v>
      </c>
      <c r="E53" s="12">
        <v>23369918</v>
      </c>
      <c r="G53" s="12">
        <v>83720970</v>
      </c>
      <c r="I53" s="12">
        <v>1187090888</v>
      </c>
      <c r="K53" s="13">
        <v>-4.3663689420386422E-3</v>
      </c>
      <c r="M53" s="12">
        <v>1080000000</v>
      </c>
      <c r="O53" s="12">
        <v>1138947480</v>
      </c>
      <c r="Q53" s="12">
        <v>83720970</v>
      </c>
      <c r="S53" s="12">
        <v>2302668450</v>
      </c>
      <c r="U53" s="13">
        <v>5.4584318211216322E-3</v>
      </c>
    </row>
    <row r="54" spans="1:21" ht="18.75" x14ac:dyDescent="0.45">
      <c r="A54" s="10" t="s">
        <v>63</v>
      </c>
      <c r="C54" s="12">
        <v>0</v>
      </c>
      <c r="E54" s="12">
        <v>-12194871878</v>
      </c>
      <c r="G54" s="12">
        <v>0</v>
      </c>
      <c r="I54" s="12">
        <v>-12194871878</v>
      </c>
      <c r="K54" s="13">
        <v>4.4855293186480641E-2</v>
      </c>
      <c r="M54" s="12">
        <v>0</v>
      </c>
      <c r="O54" s="12">
        <v>-12571120195</v>
      </c>
      <c r="Q54" s="12">
        <v>42201830</v>
      </c>
      <c r="S54" s="12">
        <v>-12528918365</v>
      </c>
      <c r="U54" s="13">
        <v>-2.9699562995163815E-2</v>
      </c>
    </row>
    <row r="55" spans="1:21" ht="18.75" x14ac:dyDescent="0.45">
      <c r="A55" s="10" t="s">
        <v>64</v>
      </c>
      <c r="C55" s="12">
        <v>13820455220</v>
      </c>
      <c r="E55" s="12">
        <v>-29152598138</v>
      </c>
      <c r="G55" s="12">
        <v>0</v>
      </c>
      <c r="I55" s="12">
        <v>-15332142918</v>
      </c>
      <c r="K55" s="13">
        <v>5.6394833225316549E-2</v>
      </c>
      <c r="M55" s="12">
        <v>13820455220</v>
      </c>
      <c r="O55" s="12">
        <v>10771420148</v>
      </c>
      <c r="Q55" s="12">
        <v>0</v>
      </c>
      <c r="S55" s="12">
        <v>24591875368</v>
      </c>
      <c r="U55" s="13">
        <v>5.8294573432726912E-2</v>
      </c>
    </row>
    <row r="56" spans="1:21" ht="18.75" x14ac:dyDescent="0.45">
      <c r="A56" s="10" t="s">
        <v>65</v>
      </c>
      <c r="C56" s="12">
        <v>7010721000</v>
      </c>
      <c r="E56" s="12">
        <v>-8655506954</v>
      </c>
      <c r="G56" s="12">
        <v>0</v>
      </c>
      <c r="I56" s="12">
        <v>-1644785954</v>
      </c>
      <c r="K56" s="13">
        <v>6.0498672666477408E-3</v>
      </c>
      <c r="M56" s="12">
        <v>7010721000</v>
      </c>
      <c r="O56" s="12">
        <v>-13073857526</v>
      </c>
      <c r="Q56" s="12">
        <v>0</v>
      </c>
      <c r="S56" s="12">
        <v>-6063136526</v>
      </c>
      <c r="U56" s="13">
        <v>-1.4372549964508902E-2</v>
      </c>
    </row>
    <row r="57" spans="1:21" ht="18.75" x14ac:dyDescent="0.45">
      <c r="A57" s="10" t="s">
        <v>66</v>
      </c>
      <c r="C57" s="12">
        <v>584000000</v>
      </c>
      <c r="E57" s="12">
        <v>-1009954800</v>
      </c>
      <c r="G57" s="12">
        <v>0</v>
      </c>
      <c r="I57" s="12">
        <v>-425954800</v>
      </c>
      <c r="K57" s="13">
        <v>1.5667509777332919E-3</v>
      </c>
      <c r="M57" s="12">
        <v>584000000</v>
      </c>
      <c r="O57" s="12">
        <v>-582078648</v>
      </c>
      <c r="Q57" s="12">
        <v>0</v>
      </c>
      <c r="S57" s="12">
        <v>1921352</v>
      </c>
      <c r="U57" s="13">
        <v>4.5545284195715152E-6</v>
      </c>
    </row>
    <row r="58" spans="1:21" ht="18.75" x14ac:dyDescent="0.45">
      <c r="A58" s="10" t="s">
        <v>67</v>
      </c>
      <c r="C58" s="12">
        <v>0</v>
      </c>
      <c r="E58" s="12">
        <v>-71571600</v>
      </c>
      <c r="G58" s="12">
        <v>0</v>
      </c>
      <c r="I58" s="12">
        <v>-71571600</v>
      </c>
      <c r="K58" s="13">
        <v>2.6325533666467915E-4</v>
      </c>
      <c r="M58" s="12">
        <v>0</v>
      </c>
      <c r="O58" s="12">
        <v>11928600</v>
      </c>
      <c r="Q58" s="12">
        <v>0</v>
      </c>
      <c r="S58" s="12">
        <v>11928600</v>
      </c>
      <c r="U58" s="13">
        <v>2.8276519714087153E-5</v>
      </c>
    </row>
    <row r="59" spans="1:21" ht="18.75" x14ac:dyDescent="0.45">
      <c r="A59" s="10" t="s">
        <v>68</v>
      </c>
      <c r="C59" s="12">
        <v>0</v>
      </c>
      <c r="E59" s="12">
        <v>-4598476570</v>
      </c>
      <c r="G59" s="12">
        <v>0</v>
      </c>
      <c r="I59" s="12">
        <v>-4598476570</v>
      </c>
      <c r="K59" s="13">
        <v>1.6914160052031658E-2</v>
      </c>
      <c r="M59" s="12">
        <v>3292527600</v>
      </c>
      <c r="O59" s="12">
        <v>6554056465</v>
      </c>
      <c r="Q59" s="12">
        <v>0</v>
      </c>
      <c r="S59" s="12">
        <v>9846584065</v>
      </c>
      <c r="U59" s="13">
        <v>2.3341140488438619E-2</v>
      </c>
    </row>
    <row r="60" spans="1:21" ht="18.75" x14ac:dyDescent="0.45">
      <c r="A60" s="10" t="s">
        <v>69</v>
      </c>
      <c r="C60" s="12">
        <v>4379641700</v>
      </c>
      <c r="E60" s="12">
        <v>-7998153603</v>
      </c>
      <c r="G60" s="12">
        <v>0</v>
      </c>
      <c r="I60" s="12">
        <v>-3618511903</v>
      </c>
      <c r="K60" s="13">
        <v>1.3309644736870683E-2</v>
      </c>
      <c r="M60" s="12">
        <v>4379641700</v>
      </c>
      <c r="O60" s="12">
        <v>-3893346933</v>
      </c>
      <c r="Q60" s="12">
        <v>0</v>
      </c>
      <c r="S60" s="12">
        <v>486294767</v>
      </c>
      <c r="U60" s="13">
        <v>1.152752507916513E-3</v>
      </c>
    </row>
    <row r="61" spans="1:21" ht="18.75" x14ac:dyDescent="0.45">
      <c r="A61" s="10" t="s">
        <v>70</v>
      </c>
      <c r="C61" s="12">
        <v>0</v>
      </c>
      <c r="E61" s="12">
        <v>-2611700327</v>
      </c>
      <c r="G61" s="12">
        <v>0</v>
      </c>
      <c r="I61" s="12">
        <v>-2611700327</v>
      </c>
      <c r="K61" s="13">
        <v>9.6063808668750954E-3</v>
      </c>
      <c r="M61" s="12">
        <v>0</v>
      </c>
      <c r="O61" s="12">
        <v>-102055785</v>
      </c>
      <c r="Q61" s="12">
        <v>0</v>
      </c>
      <c r="S61" s="12">
        <v>-102055785</v>
      </c>
      <c r="U61" s="13">
        <v>-2.4192129977441946E-4</v>
      </c>
    </row>
    <row r="62" spans="1:21" ht="18.75" x14ac:dyDescent="0.45">
      <c r="A62" s="10" t="s">
        <v>71</v>
      </c>
      <c r="C62" s="12">
        <v>13040000000</v>
      </c>
      <c r="E62" s="12">
        <v>-27383095350</v>
      </c>
      <c r="G62" s="12">
        <v>0</v>
      </c>
      <c r="I62" s="12">
        <v>-14343095350</v>
      </c>
      <c r="K62" s="13">
        <v>5.2756909097712551E-2</v>
      </c>
      <c r="M62" s="12">
        <v>13040000000</v>
      </c>
      <c r="O62" s="12">
        <v>5671055250</v>
      </c>
      <c r="Q62" s="12">
        <v>3712932513</v>
      </c>
      <c r="S62" s="12">
        <v>22423987763</v>
      </c>
      <c r="U62" s="13">
        <v>5.315563704449127E-2</v>
      </c>
    </row>
    <row r="63" spans="1:21" ht="18.75" x14ac:dyDescent="0.45">
      <c r="A63" s="10" t="s">
        <v>72</v>
      </c>
      <c r="C63" s="12">
        <v>58108700</v>
      </c>
      <c r="E63" s="12">
        <v>227270407</v>
      </c>
      <c r="G63" s="12">
        <v>-869136600</v>
      </c>
      <c r="I63" s="12">
        <v>-583757493</v>
      </c>
      <c r="K63" s="13">
        <v>2.1471823369918247E-3</v>
      </c>
      <c r="M63" s="12">
        <v>58108700</v>
      </c>
      <c r="O63" s="12">
        <v>-161736269</v>
      </c>
      <c r="Q63" s="12">
        <v>-869136600</v>
      </c>
      <c r="S63" s="12">
        <v>-972764169</v>
      </c>
      <c r="U63" s="13">
        <v>-2.3059189847833028E-3</v>
      </c>
    </row>
    <row r="64" spans="1:21" ht="18.75" x14ac:dyDescent="0.45">
      <c r="A64" s="10" t="s">
        <v>73</v>
      </c>
      <c r="C64" s="12">
        <v>0</v>
      </c>
      <c r="E64" s="12">
        <v>-5735653639</v>
      </c>
      <c r="G64" s="12">
        <v>0</v>
      </c>
      <c r="I64" s="12">
        <v>-5735653639</v>
      </c>
      <c r="K64" s="13">
        <v>2.1096935512506874E-2</v>
      </c>
      <c r="M64" s="12">
        <v>2863622210</v>
      </c>
      <c r="O64" s="12">
        <v>-7091399056</v>
      </c>
      <c r="Q64" s="12">
        <v>0</v>
      </c>
      <c r="S64" s="12">
        <v>-4227776846</v>
      </c>
      <c r="U64" s="13">
        <v>-1.0021864706057726E-2</v>
      </c>
    </row>
    <row r="65" spans="1:21" ht="18.75" x14ac:dyDescent="0.45">
      <c r="A65" s="10" t="s">
        <v>74</v>
      </c>
      <c r="C65" s="12">
        <v>370000000</v>
      </c>
      <c r="E65" s="12">
        <v>-869793750</v>
      </c>
      <c r="G65" s="12">
        <v>0</v>
      </c>
      <c r="I65" s="12">
        <v>-499793750</v>
      </c>
      <c r="K65" s="13">
        <v>1.8383461026322239E-3</v>
      </c>
      <c r="M65" s="12">
        <v>370000000</v>
      </c>
      <c r="O65" s="12">
        <v>-705775500</v>
      </c>
      <c r="Q65" s="12">
        <v>0</v>
      </c>
      <c r="S65" s="12">
        <v>-335775500</v>
      </c>
      <c r="U65" s="13">
        <v>-7.9594944463369304E-4</v>
      </c>
    </row>
    <row r="66" spans="1:21" ht="18.75" x14ac:dyDescent="0.45">
      <c r="A66" s="10" t="s">
        <v>75</v>
      </c>
      <c r="C66" s="12">
        <v>0</v>
      </c>
      <c r="E66" s="12">
        <v>-37694376000</v>
      </c>
      <c r="G66" s="12">
        <v>0</v>
      </c>
      <c r="I66" s="12">
        <v>-37694376000</v>
      </c>
      <c r="K66" s="13">
        <v>0.13864781064339768</v>
      </c>
      <c r="M66" s="12">
        <v>0</v>
      </c>
      <c r="O66" s="12">
        <v>-11622432600</v>
      </c>
      <c r="Q66" s="12">
        <v>657310500</v>
      </c>
      <c r="S66" s="12">
        <v>-10965122100</v>
      </c>
      <c r="U66" s="13">
        <v>-2.5992613653573991E-2</v>
      </c>
    </row>
    <row r="67" spans="1:21" ht="18.75" x14ac:dyDescent="0.45">
      <c r="A67" s="10" t="s">
        <v>76</v>
      </c>
      <c r="C67" s="12">
        <v>2334080700</v>
      </c>
      <c r="E67" s="12">
        <v>-4017248312</v>
      </c>
      <c r="G67" s="12">
        <v>0</v>
      </c>
      <c r="I67" s="12">
        <v>-1683167612</v>
      </c>
      <c r="K67" s="13">
        <v>6.1910430444498104E-3</v>
      </c>
      <c r="M67" s="12">
        <v>2334080700</v>
      </c>
      <c r="O67" s="12">
        <v>3334448682</v>
      </c>
      <c r="Q67" s="12">
        <v>1916003300</v>
      </c>
      <c r="S67" s="12">
        <v>7584532682</v>
      </c>
      <c r="U67" s="13">
        <v>1.7978990653111957E-2</v>
      </c>
    </row>
    <row r="68" spans="1:21" ht="18.75" x14ac:dyDescent="0.45">
      <c r="A68" s="10" t="s">
        <v>77</v>
      </c>
      <c r="C68" s="12">
        <v>1959126860</v>
      </c>
      <c r="E68" s="12">
        <v>-3300449252</v>
      </c>
      <c r="G68" s="12">
        <v>0</v>
      </c>
      <c r="I68" s="12">
        <v>-1341322392</v>
      </c>
      <c r="K68" s="13">
        <v>4.9336647201101095E-3</v>
      </c>
      <c r="M68" s="12">
        <v>1959126860</v>
      </c>
      <c r="O68" s="12">
        <v>3208200669</v>
      </c>
      <c r="Q68" s="12">
        <v>0</v>
      </c>
      <c r="S68" s="12">
        <v>5167327529</v>
      </c>
      <c r="U68" s="13">
        <v>1.2249051753174199E-2</v>
      </c>
    </row>
    <row r="69" spans="1:21" ht="18.75" x14ac:dyDescent="0.45">
      <c r="A69" s="10" t="s">
        <v>78</v>
      </c>
      <c r="C69" s="12">
        <v>0</v>
      </c>
      <c r="E69" s="12">
        <v>-2359465877</v>
      </c>
      <c r="G69" s="12">
        <v>0</v>
      </c>
      <c r="I69" s="12">
        <v>-2359465877</v>
      </c>
      <c r="K69" s="13">
        <v>8.6786097250649338E-3</v>
      </c>
      <c r="M69" s="12">
        <v>0</v>
      </c>
      <c r="O69" s="12">
        <v>15383585078</v>
      </c>
      <c r="Q69" s="12">
        <v>360553050</v>
      </c>
      <c r="S69" s="12">
        <v>15744138128</v>
      </c>
      <c r="U69" s="13">
        <v>3.7321180369674828E-2</v>
      </c>
    </row>
    <row r="70" spans="1:21" ht="18.75" x14ac:dyDescent="0.45">
      <c r="A70" s="10" t="s">
        <v>79</v>
      </c>
      <c r="C70" s="12">
        <v>0</v>
      </c>
      <c r="E70" s="12">
        <v>-6976206031</v>
      </c>
      <c r="G70" s="12">
        <v>0</v>
      </c>
      <c r="I70" s="12">
        <v>-6976206031</v>
      </c>
      <c r="K70" s="13">
        <v>2.5659947064660703E-2</v>
      </c>
      <c r="M70" s="12">
        <v>3140568600</v>
      </c>
      <c r="O70" s="12">
        <v>-4706837804</v>
      </c>
      <c r="Q70" s="12">
        <v>967670096</v>
      </c>
      <c r="S70" s="12">
        <v>-598599108</v>
      </c>
      <c r="U70" s="13">
        <v>-1.418967815015759E-3</v>
      </c>
    </row>
    <row r="71" spans="1:21" ht="18.75" x14ac:dyDescent="0.45">
      <c r="A71" s="10" t="s">
        <v>80</v>
      </c>
      <c r="C71" s="12">
        <v>0</v>
      </c>
      <c r="E71" s="12">
        <v>-281987</v>
      </c>
      <c r="G71" s="12">
        <v>108816</v>
      </c>
      <c r="I71" s="12">
        <v>-173171</v>
      </c>
      <c r="K71" s="13">
        <v>6.3695921155261515E-7</v>
      </c>
      <c r="M71" s="12">
        <v>117135</v>
      </c>
      <c r="O71" s="12">
        <v>0</v>
      </c>
      <c r="Q71" s="12">
        <v>108816</v>
      </c>
      <c r="S71" s="12">
        <v>225951</v>
      </c>
      <c r="U71" s="13">
        <v>5.35612553519919E-7</v>
      </c>
    </row>
    <row r="72" spans="1:21" ht="18.75" x14ac:dyDescent="0.45">
      <c r="A72" s="10" t="s">
        <v>81</v>
      </c>
      <c r="C72" s="12">
        <v>0</v>
      </c>
      <c r="E72" s="12">
        <v>-2381151993</v>
      </c>
      <c r="G72" s="12">
        <v>0</v>
      </c>
      <c r="I72" s="12">
        <v>-2381151993</v>
      </c>
      <c r="K72" s="13">
        <v>8.7583758022314259E-3</v>
      </c>
      <c r="M72" s="12">
        <v>0</v>
      </c>
      <c r="O72" s="12">
        <v>9560280663</v>
      </c>
      <c r="Q72" s="12">
        <v>0</v>
      </c>
      <c r="S72" s="12">
        <v>9560280663</v>
      </c>
      <c r="U72" s="13">
        <v>2.2662463712382484E-2</v>
      </c>
    </row>
    <row r="73" spans="1:21" ht="37.5" x14ac:dyDescent="0.45">
      <c r="A73" s="10" t="s">
        <v>82</v>
      </c>
      <c r="C73" s="12">
        <v>0</v>
      </c>
      <c r="E73" s="12">
        <v>-1572587100</v>
      </c>
      <c r="G73" s="12">
        <v>0</v>
      </c>
      <c r="I73" s="12">
        <v>-1572587100</v>
      </c>
      <c r="K73" s="13">
        <v>5.7843047583822551E-3</v>
      </c>
      <c r="M73" s="12">
        <v>0</v>
      </c>
      <c r="O73" s="12">
        <v>2414547450</v>
      </c>
      <c r="Q73" s="12">
        <v>0</v>
      </c>
      <c r="S73" s="12">
        <v>2414547450</v>
      </c>
      <c r="U73" s="13">
        <v>5.7236388654598076E-3</v>
      </c>
    </row>
    <row r="74" spans="1:21" ht="18.75" x14ac:dyDescent="0.45">
      <c r="A74" s="10" t="s">
        <v>83</v>
      </c>
      <c r="C74" s="12">
        <v>0</v>
      </c>
      <c r="E74" s="12">
        <v>-4592511000</v>
      </c>
      <c r="G74" s="12">
        <v>0</v>
      </c>
      <c r="I74" s="12">
        <v>-4592511000</v>
      </c>
      <c r="K74" s="13">
        <v>1.6892217435983577E-2</v>
      </c>
      <c r="M74" s="12">
        <v>0</v>
      </c>
      <c r="O74" s="12">
        <v>-2678964750</v>
      </c>
      <c r="Q74" s="12">
        <v>0</v>
      </c>
      <c r="S74" s="12">
        <v>-2678964750</v>
      </c>
      <c r="U74" s="13">
        <v>-6.3504350524554061E-3</v>
      </c>
    </row>
    <row r="75" spans="1:21" ht="18.75" x14ac:dyDescent="0.45">
      <c r="A75" s="10" t="s">
        <v>84</v>
      </c>
      <c r="C75" s="12">
        <v>0</v>
      </c>
      <c r="E75" s="12">
        <v>2588473954</v>
      </c>
      <c r="G75" s="12">
        <v>368397900</v>
      </c>
      <c r="I75" s="12">
        <v>2956871854</v>
      </c>
      <c r="K75" s="13">
        <v>-1.0875994045111245E-2</v>
      </c>
      <c r="M75" s="12">
        <v>0</v>
      </c>
      <c r="O75" s="12">
        <v>25029152704</v>
      </c>
      <c r="Q75" s="12">
        <v>2059285500</v>
      </c>
      <c r="S75" s="12">
        <v>27088438204</v>
      </c>
      <c r="U75" s="13">
        <v>6.4212628212802644E-2</v>
      </c>
    </row>
    <row r="76" spans="1:21" ht="18.75" x14ac:dyDescent="0.45">
      <c r="A76" s="10" t="s">
        <v>85</v>
      </c>
      <c r="C76" s="12">
        <v>0</v>
      </c>
      <c r="E76" s="12">
        <v>-1431431285</v>
      </c>
      <c r="G76" s="12">
        <v>0</v>
      </c>
      <c r="I76" s="12">
        <v>-1431431285</v>
      </c>
      <c r="K76" s="13">
        <v>5.2651041033738143E-3</v>
      </c>
      <c r="M76" s="12">
        <v>0</v>
      </c>
      <c r="O76" s="12">
        <v>3007993796</v>
      </c>
      <c r="Q76" s="12">
        <v>0</v>
      </c>
      <c r="S76" s="12">
        <v>3007993796</v>
      </c>
      <c r="U76" s="13">
        <v>7.1303921560322125E-3</v>
      </c>
    </row>
    <row r="77" spans="1:21" ht="18.75" x14ac:dyDescent="0.45">
      <c r="A77" s="10" t="s">
        <v>86</v>
      </c>
      <c r="C77" s="12">
        <v>7267946400</v>
      </c>
      <c r="E77" s="12">
        <v>-9206863982</v>
      </c>
      <c r="G77" s="12">
        <v>0</v>
      </c>
      <c r="I77" s="12">
        <v>-1938917582</v>
      </c>
      <c r="K77" s="13">
        <v>7.1317450052042373E-3</v>
      </c>
      <c r="M77" s="12">
        <v>7267946400</v>
      </c>
      <c r="O77" s="12">
        <v>18969474282</v>
      </c>
      <c r="Q77" s="12">
        <v>0</v>
      </c>
      <c r="S77" s="12">
        <v>26237420682</v>
      </c>
      <c r="U77" s="13">
        <v>6.2195307342133271E-2</v>
      </c>
    </row>
    <row r="78" spans="1:21" ht="18.75" x14ac:dyDescent="0.45">
      <c r="A78" s="10" t="s">
        <v>87</v>
      </c>
      <c r="C78" s="12">
        <v>0</v>
      </c>
      <c r="E78" s="12">
        <v>-3142664128</v>
      </c>
      <c r="G78" s="12">
        <v>0</v>
      </c>
      <c r="I78" s="12">
        <v>-3142664128</v>
      </c>
      <c r="K78" s="13">
        <v>1.1559376946172088E-2</v>
      </c>
      <c r="M78" s="12">
        <v>0</v>
      </c>
      <c r="O78" s="12">
        <v>1022004594</v>
      </c>
      <c r="Q78" s="12">
        <v>0</v>
      </c>
      <c r="S78" s="12">
        <v>1022004594</v>
      </c>
      <c r="U78" s="13">
        <v>2.4226424769150309E-3</v>
      </c>
    </row>
    <row r="79" spans="1:21" ht="18.75" x14ac:dyDescent="0.45">
      <c r="A79" s="10" t="s">
        <v>88</v>
      </c>
      <c r="C79" s="12">
        <v>728479800</v>
      </c>
      <c r="E79" s="12">
        <v>-1487147270</v>
      </c>
      <c r="G79" s="12">
        <v>0</v>
      </c>
      <c r="I79" s="12">
        <v>-758667470</v>
      </c>
      <c r="K79" s="13">
        <v>2.7905378702081604E-3</v>
      </c>
      <c r="M79" s="12">
        <v>728479800</v>
      </c>
      <c r="O79" s="12">
        <v>-203113938</v>
      </c>
      <c r="Q79" s="12">
        <v>0</v>
      </c>
      <c r="S79" s="12">
        <v>525365862</v>
      </c>
      <c r="U79" s="13">
        <v>1.2453697964515023E-3</v>
      </c>
    </row>
    <row r="80" spans="1:21" ht="18.75" x14ac:dyDescent="0.45">
      <c r="A80" s="10" t="s">
        <v>89</v>
      </c>
      <c r="C80" s="12">
        <v>0</v>
      </c>
      <c r="E80" s="12">
        <v>-48907</v>
      </c>
      <c r="G80" s="12">
        <v>0</v>
      </c>
      <c r="I80" s="12">
        <v>-48907</v>
      </c>
      <c r="K80" s="13">
        <v>1.7989019038640275E-7</v>
      </c>
      <c r="M80" s="12">
        <v>0</v>
      </c>
      <c r="O80" s="12">
        <v>2298641</v>
      </c>
      <c r="Q80" s="12">
        <v>0</v>
      </c>
      <c r="S80" s="12">
        <v>2298641</v>
      </c>
      <c r="U80" s="13">
        <v>5.4488848273987727E-6</v>
      </c>
    </row>
    <row r="81" spans="1:21" ht="18.75" x14ac:dyDescent="0.45">
      <c r="A81" s="10" t="s">
        <v>90</v>
      </c>
      <c r="C81" s="12">
        <v>0</v>
      </c>
      <c r="E81" s="12">
        <v>-2481506658</v>
      </c>
      <c r="G81" s="12">
        <v>304377639</v>
      </c>
      <c r="I81" s="12">
        <v>-2177129019</v>
      </c>
      <c r="K81" s="13">
        <v>8.0079365678465703E-3</v>
      </c>
      <c r="M81" s="12">
        <v>0</v>
      </c>
      <c r="O81" s="12">
        <v>0</v>
      </c>
      <c r="Q81" s="12">
        <v>304377639</v>
      </c>
      <c r="S81" s="12">
        <v>304377639</v>
      </c>
      <c r="U81" s="13">
        <v>7.2152141154123721E-4</v>
      </c>
    </row>
    <row r="82" spans="1:21" ht="18.75" x14ac:dyDescent="0.45">
      <c r="A82" s="10" t="s">
        <v>91</v>
      </c>
      <c r="C82" s="12">
        <v>0</v>
      </c>
      <c r="E82" s="12">
        <v>-719334839</v>
      </c>
      <c r="G82" s="12">
        <v>45570493</v>
      </c>
      <c r="I82" s="12">
        <v>-673764346</v>
      </c>
      <c r="K82" s="13">
        <v>2.4782463957615502E-3</v>
      </c>
      <c r="M82" s="12">
        <v>0</v>
      </c>
      <c r="O82" s="12">
        <v>4216784554</v>
      </c>
      <c r="Q82" s="12">
        <v>45570493</v>
      </c>
      <c r="S82" s="12">
        <v>4262355047</v>
      </c>
      <c r="U82" s="13">
        <v>1.010383167470905E-2</v>
      </c>
    </row>
    <row r="83" spans="1:21" ht="18.75" x14ac:dyDescent="0.45">
      <c r="A83" s="10" t="s">
        <v>92</v>
      </c>
      <c r="C83" s="12">
        <v>0</v>
      </c>
      <c r="E83" s="12">
        <v>-3806645647</v>
      </c>
      <c r="G83" s="12">
        <v>0</v>
      </c>
      <c r="I83" s="12">
        <v>-3806645647</v>
      </c>
      <c r="K83" s="13">
        <v>1.400164005505145E-2</v>
      </c>
      <c r="M83" s="12">
        <v>1015029840</v>
      </c>
      <c r="O83" s="12">
        <v>-2201433627</v>
      </c>
      <c r="Q83" s="12">
        <v>0</v>
      </c>
      <c r="S83" s="12">
        <v>-1186403787</v>
      </c>
      <c r="U83" s="13">
        <v>-2.8123476411291478E-3</v>
      </c>
    </row>
    <row r="84" spans="1:21" ht="18.75" x14ac:dyDescent="0.45">
      <c r="A84" s="10" t="s">
        <v>93</v>
      </c>
      <c r="C84" s="12">
        <v>0</v>
      </c>
      <c r="E84" s="12">
        <v>-173759940</v>
      </c>
      <c r="G84" s="12">
        <v>59821494</v>
      </c>
      <c r="I84" s="12">
        <v>-113938446</v>
      </c>
      <c r="K84" s="13">
        <v>4.1908947069480582E-4</v>
      </c>
      <c r="M84" s="12">
        <v>0</v>
      </c>
      <c r="O84" s="12">
        <v>0</v>
      </c>
      <c r="Q84" s="12">
        <v>59821494</v>
      </c>
      <c r="S84" s="12">
        <v>59821494</v>
      </c>
      <c r="U84" s="13">
        <v>1.4180571520690997E-4</v>
      </c>
    </row>
    <row r="85" spans="1:21" ht="18.75" x14ac:dyDescent="0.45">
      <c r="A85" s="10" t="s">
        <v>94</v>
      </c>
      <c r="C85" s="12">
        <v>3237484320</v>
      </c>
      <c r="E85" s="12">
        <v>-7308044176</v>
      </c>
      <c r="G85" s="12">
        <v>0</v>
      </c>
      <c r="I85" s="12">
        <v>-4070559856</v>
      </c>
      <c r="K85" s="13">
        <v>1.497237179698383E-2</v>
      </c>
      <c r="M85" s="12">
        <v>3237484320</v>
      </c>
      <c r="O85" s="12">
        <v>-10335004593</v>
      </c>
      <c r="Q85" s="12">
        <v>0</v>
      </c>
      <c r="S85" s="12">
        <v>-7097520273</v>
      </c>
      <c r="U85" s="13">
        <v>-1.6824536988466185E-2</v>
      </c>
    </row>
    <row r="86" spans="1:21" ht="18.75" x14ac:dyDescent="0.45">
      <c r="A86" s="10" t="s">
        <v>95</v>
      </c>
      <c r="C86" s="12">
        <v>0</v>
      </c>
      <c r="E86" s="12">
        <v>360790457</v>
      </c>
      <c r="G86" s="12">
        <v>0</v>
      </c>
      <c r="I86" s="12">
        <v>360790457</v>
      </c>
      <c r="K86" s="13">
        <v>-1.3270628744213968E-3</v>
      </c>
      <c r="M86" s="12">
        <v>0</v>
      </c>
      <c r="O86" s="12">
        <v>-648612058</v>
      </c>
      <c r="Q86" s="12">
        <v>0</v>
      </c>
      <c r="S86" s="12">
        <v>-648612058</v>
      </c>
      <c r="U86" s="13">
        <v>-1.537522562985735E-3</v>
      </c>
    </row>
    <row r="87" spans="1:21" ht="18.75" x14ac:dyDescent="0.45">
      <c r="A87" s="10" t="s">
        <v>214</v>
      </c>
      <c r="C87" s="12">
        <v>7980000000</v>
      </c>
      <c r="E87" s="12">
        <v>-21570885000</v>
      </c>
      <c r="G87" s="12">
        <v>0</v>
      </c>
      <c r="I87" s="12">
        <v>-13590885000</v>
      </c>
      <c r="K87" s="13">
        <v>4.9990121867415811E-2</v>
      </c>
      <c r="M87" s="12">
        <v>7980000000</v>
      </c>
      <c r="O87" s="12">
        <v>21501301500</v>
      </c>
      <c r="Q87" s="12">
        <v>26238488427</v>
      </c>
      <c r="S87" s="12">
        <v>55719789927</v>
      </c>
      <c r="U87" s="13">
        <v>0.13208270361447363</v>
      </c>
    </row>
    <row r="88" spans="1:21" ht="18.75" x14ac:dyDescent="0.45">
      <c r="A88" s="10" t="s">
        <v>215</v>
      </c>
      <c r="C88" s="12">
        <v>0</v>
      </c>
      <c r="E88" s="12">
        <v>104375250</v>
      </c>
      <c r="G88" s="12">
        <v>0</v>
      </c>
      <c r="I88" s="12">
        <v>104375250</v>
      </c>
      <c r="K88" s="13">
        <v>-3.8391403263599038E-4</v>
      </c>
      <c r="M88" s="12">
        <v>0</v>
      </c>
      <c r="O88" s="12">
        <v>818103150</v>
      </c>
      <c r="Q88" s="12">
        <v>0</v>
      </c>
      <c r="S88" s="12">
        <v>818103150</v>
      </c>
      <c r="U88" s="13">
        <v>1.9392979770578105E-3</v>
      </c>
    </row>
    <row r="89" spans="1:21" ht="18.75" x14ac:dyDescent="0.45">
      <c r="A89" s="10" t="s">
        <v>98</v>
      </c>
      <c r="C89" s="12">
        <v>0</v>
      </c>
      <c r="E89" s="12">
        <v>0</v>
      </c>
      <c r="G89" s="12">
        <v>0</v>
      </c>
      <c r="I89" s="12">
        <v>0</v>
      </c>
      <c r="K89" s="13">
        <v>0</v>
      </c>
      <c r="M89" s="12">
        <v>10382562840</v>
      </c>
      <c r="O89" s="12">
        <v>5605329780</v>
      </c>
      <c r="Q89" s="12">
        <v>0</v>
      </c>
      <c r="S89" s="12">
        <v>15987892620</v>
      </c>
      <c r="U89" s="13">
        <v>3.7898995762800203E-2</v>
      </c>
    </row>
    <row r="90" spans="1:21" ht="18.75" x14ac:dyDescent="0.45">
      <c r="A90" s="10" t="s">
        <v>99</v>
      </c>
      <c r="C90" s="12">
        <v>0</v>
      </c>
      <c r="E90" s="12">
        <v>-187875450</v>
      </c>
      <c r="G90" s="12">
        <v>0</v>
      </c>
      <c r="I90" s="12">
        <v>-187875450</v>
      </c>
      <c r="K90" s="13">
        <v>6.910452587447827E-4</v>
      </c>
      <c r="M90" s="12">
        <v>0</v>
      </c>
      <c r="O90" s="12">
        <v>268393500</v>
      </c>
      <c r="Q90" s="12">
        <v>0</v>
      </c>
      <c r="S90" s="12">
        <v>268393500</v>
      </c>
      <c r="U90" s="13">
        <v>6.3622169356696088E-4</v>
      </c>
    </row>
    <row r="91" spans="1:21" ht="18.75" x14ac:dyDescent="0.45">
      <c r="A91" s="10" t="s">
        <v>100</v>
      </c>
      <c r="C91" s="12">
        <v>1064000000</v>
      </c>
      <c r="E91" s="12">
        <v>-2144261180</v>
      </c>
      <c r="G91" s="12">
        <v>0</v>
      </c>
      <c r="I91" s="12">
        <v>-1080261180</v>
      </c>
      <c r="K91" s="13">
        <v>3.9734268987515094E-3</v>
      </c>
      <c r="M91" s="12">
        <v>1064000000</v>
      </c>
      <c r="O91" s="12">
        <v>-1966662929</v>
      </c>
      <c r="Q91" s="12">
        <v>0</v>
      </c>
      <c r="S91" s="12">
        <v>-902662929</v>
      </c>
      <c r="U91" s="13">
        <v>-2.1397453269490258E-3</v>
      </c>
    </row>
    <row r="92" spans="1:21" ht="37.5" x14ac:dyDescent="0.45">
      <c r="A92" s="10" t="s">
        <v>101</v>
      </c>
      <c r="C92" s="12">
        <v>0</v>
      </c>
      <c r="E92" s="12">
        <v>-2769820920</v>
      </c>
      <c r="G92" s="12">
        <v>0</v>
      </c>
      <c r="I92" s="12">
        <v>-2769820920</v>
      </c>
      <c r="K92" s="13">
        <v>1.0187981528923083E-2</v>
      </c>
      <c r="M92" s="12">
        <v>0</v>
      </c>
      <c r="O92" s="12">
        <v>-4058109720</v>
      </c>
      <c r="Q92" s="12">
        <v>0</v>
      </c>
      <c r="S92" s="12">
        <v>-4058109720</v>
      </c>
      <c r="U92" s="13">
        <v>-9.6196720067324489E-3</v>
      </c>
    </row>
    <row r="93" spans="1:21" ht="18.75" x14ac:dyDescent="0.45">
      <c r="A93" s="8" t="s">
        <v>102</v>
      </c>
      <c r="C93" s="8">
        <f>SUM(C9:$C$92)</f>
        <v>106965846421</v>
      </c>
      <c r="E93" s="8">
        <f>SUM(E9:$E$92)</f>
        <v>-384131797592</v>
      </c>
      <c r="G93" s="8">
        <f>SUM(G9:$G$92)</f>
        <v>3955744807</v>
      </c>
      <c r="I93" s="8">
        <f>SUM(I9:$I$92)</f>
        <v>-273210206364</v>
      </c>
      <c r="K93" s="14">
        <f>SUM(K9:$K$92)</f>
        <v>1.0049243674387782</v>
      </c>
      <c r="M93" s="8">
        <f>SUM(M9:$M$92)</f>
        <v>182922662116</v>
      </c>
      <c r="O93" s="8">
        <f>SUM(O9:$O$92)</f>
        <v>136466660727</v>
      </c>
      <c r="Q93" s="8">
        <f>SUM(Q9:$Q$92)</f>
        <v>99004590850</v>
      </c>
      <c r="S93" s="8">
        <f>SUM(S9:$S$92)</f>
        <v>418393913693</v>
      </c>
      <c r="U93" s="14">
        <f>SUM(U9:$U$92)</f>
        <v>0.99179482494124949</v>
      </c>
    </row>
    <row r="94" spans="1:21" ht="18.75" x14ac:dyDescent="0.45">
      <c r="C94" s="9"/>
      <c r="E94" s="9"/>
      <c r="G94" s="9"/>
      <c r="I94" s="9"/>
      <c r="K94" s="9"/>
      <c r="M94" s="9"/>
      <c r="O94" s="9"/>
      <c r="Q94" s="9"/>
      <c r="S94" s="9"/>
      <c r="U94" s="9"/>
    </row>
  </sheetData>
  <mergeCells count="6">
    <mergeCell ref="A1:U1"/>
    <mergeCell ref="A2:U2"/>
    <mergeCell ref="A3:U3"/>
    <mergeCell ref="A5:U5"/>
    <mergeCell ref="C7:K7"/>
    <mergeCell ref="M7:U7"/>
  </mergeCells>
  <pageMargins left="0.7" right="0.7" top="0.75" bottom="0.75" header="0.3" footer="0.3"/>
  <pageSetup paperSize="9" scale="65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Q10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1.28515625" style="4" customWidth="1"/>
    <col min="2" max="2" width="1.42578125" style="4" customWidth="1"/>
    <col min="3" max="3" width="17" style="4" customWidth="1"/>
    <col min="4" max="4" width="1.42578125" style="4" customWidth="1"/>
    <col min="5" max="5" width="17" style="4" customWidth="1"/>
    <col min="6" max="6" width="1.42578125" style="4" customWidth="1"/>
    <col min="7" max="7" width="17" style="4" customWidth="1"/>
    <col min="8" max="8" width="1.42578125" style="4" customWidth="1"/>
    <col min="9" max="9" width="17" style="4" customWidth="1"/>
    <col min="10" max="10" width="1.42578125" style="4" customWidth="1"/>
    <col min="11" max="11" width="17" style="4" customWidth="1"/>
    <col min="12" max="12" width="1.42578125" style="4" customWidth="1"/>
    <col min="13" max="13" width="17" style="4" customWidth="1"/>
    <col min="14" max="14" width="1.42578125" style="4" customWidth="1"/>
    <col min="15" max="15" width="17" style="4" customWidth="1"/>
    <col min="16" max="16" width="1.42578125" style="4" customWidth="1"/>
    <col min="17" max="17" width="17" style="4" customWidth="1"/>
    <col min="18" max="16384" width="9.140625" style="4"/>
  </cols>
  <sheetData>
    <row r="1" spans="1:17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5" spans="1:17" ht="21" x14ac:dyDescent="0.45">
      <c r="A5" s="31" t="s">
        <v>216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7" spans="1:17" ht="21" x14ac:dyDescent="0.45">
      <c r="C7" s="24" t="s">
        <v>152</v>
      </c>
      <c r="D7" s="25"/>
      <c r="E7" s="25"/>
      <c r="F7" s="25"/>
      <c r="G7" s="25"/>
      <c r="H7" s="25"/>
      <c r="I7" s="25"/>
      <c r="J7" s="25"/>
      <c r="K7" s="25"/>
      <c r="M7" s="24" t="s">
        <v>7</v>
      </c>
      <c r="N7" s="25"/>
      <c r="O7" s="25"/>
      <c r="P7" s="25"/>
      <c r="Q7" s="25"/>
    </row>
    <row r="8" spans="1:17" ht="21" x14ac:dyDescent="0.45">
      <c r="C8" s="7" t="s">
        <v>217</v>
      </c>
      <c r="E8" s="7" t="s">
        <v>206</v>
      </c>
      <c r="G8" s="7" t="s">
        <v>207</v>
      </c>
      <c r="I8" s="7" t="s">
        <v>102</v>
      </c>
      <c r="K8" s="7" t="s">
        <v>217</v>
      </c>
      <c r="M8" s="7" t="s">
        <v>206</v>
      </c>
      <c r="O8" s="7" t="s">
        <v>207</v>
      </c>
      <c r="Q8" s="7" t="s">
        <v>102</v>
      </c>
    </row>
    <row r="9" spans="1:17" ht="18.75" x14ac:dyDescent="0.45">
      <c r="A9" s="8" t="s">
        <v>102</v>
      </c>
      <c r="C9" s="8">
        <f>SUM($C$8)</f>
        <v>0</v>
      </c>
      <c r="E9" s="8">
        <f>SUM($E$8)</f>
        <v>0</v>
      </c>
      <c r="G9" s="8">
        <f>SUM($G$8)</f>
        <v>0</v>
      </c>
      <c r="I9" s="8">
        <f>SUM($I$8)</f>
        <v>0</v>
      </c>
      <c r="K9" s="8">
        <f>SUM($K$8)</f>
        <v>0</v>
      </c>
      <c r="M9" s="8">
        <f>SUM($M$8)</f>
        <v>0</v>
      </c>
      <c r="O9" s="8">
        <f>SUM($O$8)</f>
        <v>0</v>
      </c>
      <c r="Q9" s="8">
        <f>SUM($Q$8)</f>
        <v>0</v>
      </c>
    </row>
    <row r="10" spans="1:17" ht="18.75" x14ac:dyDescent="0.45">
      <c r="C10" s="9"/>
      <c r="E10" s="9"/>
      <c r="G10" s="9"/>
      <c r="I10" s="9"/>
      <c r="K10" s="9"/>
      <c r="M10" s="9"/>
      <c r="O10" s="9"/>
      <c r="Q10" s="9"/>
    </row>
  </sheetData>
  <mergeCells count="6">
    <mergeCell ref="A1:Q1"/>
    <mergeCell ref="A2:Q2"/>
    <mergeCell ref="A3:Q3"/>
    <mergeCell ref="A5:Q5"/>
    <mergeCell ref="C7:K7"/>
    <mergeCell ref="M7:Q7"/>
  </mergeCells>
  <pageMargins left="0.7" right="0.7" top="0.75" bottom="0.75" header="0.3" footer="0.3"/>
  <pageSetup paperSize="9" scale="77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7"/>
  <sheetViews>
    <sheetView rightToLeft="1" view="pageBreakPreview" zoomScale="98" zoomScaleNormal="100" zoomScaleSheetLayoutView="98" workbookViewId="0">
      <selection sqref="A1:XFD1048576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7" style="4" customWidth="1"/>
    <col min="4" max="4" width="1.42578125" style="4" customWidth="1"/>
    <col min="5" max="5" width="14.140625" style="4" customWidth="1"/>
    <col min="6" max="6" width="1.42578125" style="4" customWidth="1"/>
    <col min="7" max="7" width="17" style="4" customWidth="1"/>
    <col min="8" max="8" width="1.42578125" style="4" customWidth="1"/>
    <col min="9" max="9" width="14.140625" style="4" customWidth="1"/>
    <col min="10" max="16384" width="9.140625" style="4"/>
  </cols>
  <sheetData>
    <row r="1" spans="1:9" ht="20.100000000000001" customHeight="1" x14ac:dyDescent="0.45">
      <c r="A1" s="30" t="s">
        <v>0</v>
      </c>
      <c r="B1" s="28"/>
      <c r="C1" s="28"/>
      <c r="D1" s="28"/>
      <c r="E1" s="28"/>
      <c r="F1" s="28"/>
      <c r="G1" s="28"/>
      <c r="H1" s="28"/>
      <c r="I1" s="28"/>
    </row>
    <row r="2" spans="1:9" ht="20.100000000000001" customHeight="1" x14ac:dyDescent="0.45">
      <c r="A2" s="30" t="s">
        <v>140</v>
      </c>
      <c r="B2" s="28"/>
      <c r="C2" s="28"/>
      <c r="D2" s="28"/>
      <c r="E2" s="28"/>
      <c r="F2" s="28"/>
      <c r="G2" s="28"/>
      <c r="H2" s="28"/>
      <c r="I2" s="28"/>
    </row>
    <row r="3" spans="1:9" ht="20.100000000000001" customHeight="1" x14ac:dyDescent="0.45">
      <c r="A3" s="30" t="s">
        <v>2</v>
      </c>
      <c r="B3" s="28"/>
      <c r="C3" s="28"/>
      <c r="D3" s="28"/>
      <c r="E3" s="28"/>
      <c r="F3" s="28"/>
      <c r="G3" s="28"/>
      <c r="H3" s="28"/>
      <c r="I3" s="28"/>
    </row>
    <row r="5" spans="1:9" ht="21" x14ac:dyDescent="0.45">
      <c r="A5" s="31" t="s">
        <v>218</v>
      </c>
      <c r="B5" s="28"/>
      <c r="C5" s="28"/>
      <c r="D5" s="28"/>
      <c r="E5" s="28"/>
      <c r="F5" s="28"/>
      <c r="G5" s="28"/>
      <c r="H5" s="28"/>
      <c r="I5" s="28"/>
    </row>
    <row r="7" spans="1:9" ht="21" x14ac:dyDescent="0.45">
      <c r="A7" s="24" t="s">
        <v>219</v>
      </c>
      <c r="B7" s="25"/>
      <c r="C7" s="24" t="s">
        <v>152</v>
      </c>
      <c r="D7" s="25"/>
      <c r="E7" s="25"/>
      <c r="G7" s="24" t="s">
        <v>7</v>
      </c>
      <c r="H7" s="25"/>
      <c r="I7" s="25"/>
    </row>
    <row r="8" spans="1:9" ht="42" x14ac:dyDescent="0.45">
      <c r="A8" s="7" t="s">
        <v>220</v>
      </c>
      <c r="C8" s="7" t="s">
        <v>221</v>
      </c>
      <c r="E8" s="7" t="s">
        <v>222</v>
      </c>
      <c r="G8" s="7" t="s">
        <v>221</v>
      </c>
      <c r="I8" s="7" t="s">
        <v>222</v>
      </c>
    </row>
    <row r="9" spans="1:9" ht="18.75" x14ac:dyDescent="0.45">
      <c r="A9" s="10" t="s">
        <v>249</v>
      </c>
      <c r="C9" s="12">
        <v>34268</v>
      </c>
      <c r="E9" s="13">
        <f>C9/C16</f>
        <v>2.5596156982772461E-5</v>
      </c>
      <c r="G9" s="12">
        <v>137121</v>
      </c>
      <c r="I9" s="13">
        <f>G9/G16</f>
        <v>3.9614356005139868E-5</v>
      </c>
    </row>
    <row r="10" spans="1:9" ht="18.75" x14ac:dyDescent="0.45">
      <c r="A10" s="10" t="s">
        <v>247</v>
      </c>
      <c r="C10" s="12">
        <v>429216</v>
      </c>
      <c r="E10" s="13">
        <f>C10/C16</f>
        <v>3.2059881275585574E-4</v>
      </c>
      <c r="G10" s="12">
        <v>3521270</v>
      </c>
      <c r="I10" s="13">
        <f>G10/G16</f>
        <v>1.0172974480219578E-3</v>
      </c>
    </row>
    <row r="11" spans="1:9" ht="18.75" x14ac:dyDescent="0.45">
      <c r="A11" s="10" t="s">
        <v>243</v>
      </c>
      <c r="C11" s="12">
        <v>1334668635</v>
      </c>
      <c r="E11" s="13">
        <f>C11/C16</f>
        <v>0.99691805478705031</v>
      </c>
      <c r="G11" s="12">
        <v>3444779110</v>
      </c>
      <c r="I11" s="13">
        <f>G11/G16</f>
        <v>0.9951991746166442</v>
      </c>
    </row>
    <row r="12" spans="1:9" ht="18.75" x14ac:dyDescent="0.45">
      <c r="A12" s="10" t="s">
        <v>250</v>
      </c>
      <c r="C12" s="12">
        <v>20881</v>
      </c>
      <c r="E12" s="13">
        <f>C12/C16</f>
        <v>1.5596864537097928E-5</v>
      </c>
      <c r="G12" s="12">
        <v>3155179</v>
      </c>
      <c r="I12" s="13">
        <f>G12/G16</f>
        <v>9.1153349352718555E-4</v>
      </c>
    </row>
    <row r="13" spans="1:9" ht="18.75" x14ac:dyDescent="0.45">
      <c r="A13" s="10" t="s">
        <v>246</v>
      </c>
      <c r="C13" s="12">
        <v>135162</v>
      </c>
      <c r="E13" s="13">
        <f>C13/C16</f>
        <v>1.0095797158005986E-4</v>
      </c>
      <c r="G13" s="12">
        <v>267030</v>
      </c>
      <c r="I13" s="13">
        <f>G13/G16</f>
        <v>7.7145159997757455E-5</v>
      </c>
    </row>
    <row r="14" spans="1:9" ht="18.75" x14ac:dyDescent="0.45">
      <c r="A14" s="10" t="s">
        <v>248</v>
      </c>
      <c r="C14" s="12">
        <v>41158</v>
      </c>
      <c r="E14" s="13">
        <f>C14/C16</f>
        <v>3.0742577013451293E-5</v>
      </c>
      <c r="G14" s="12">
        <v>123126</v>
      </c>
      <c r="I14" s="13">
        <f>G14/G16</f>
        <v>3.5571190390157973E-5</v>
      </c>
    </row>
    <row r="15" spans="1:9" ht="18.75" x14ac:dyDescent="0.45">
      <c r="A15" s="10" t="s">
        <v>245</v>
      </c>
      <c r="C15" s="12">
        <v>3465407</v>
      </c>
      <c r="E15" s="13">
        <f>C15/C16</f>
        <v>2.5884528300804998E-3</v>
      </c>
      <c r="G15" s="12">
        <v>9413835</v>
      </c>
      <c r="I15" s="13">
        <f>G15/G16</f>
        <v>2.7196637354135827E-3</v>
      </c>
    </row>
    <row r="16" spans="1:9" ht="19.5" thickBot="1" x14ac:dyDescent="0.5">
      <c r="A16" s="8" t="s">
        <v>102</v>
      </c>
      <c r="C16" s="8">
        <f>SUM(C9:$C$15)</f>
        <v>1338794727</v>
      </c>
      <c r="E16" s="14">
        <f>SUM(E9:$E$15)</f>
        <v>1</v>
      </c>
      <c r="G16" s="8">
        <f>SUM(G9:$G$15)</f>
        <v>3461396671</v>
      </c>
      <c r="I16" s="14">
        <f>SUM(I9:$I$15)</f>
        <v>1</v>
      </c>
    </row>
    <row r="17" spans="3:9" ht="19.5" thickTop="1" x14ac:dyDescent="0.45">
      <c r="C17" s="9"/>
      <c r="E17" s="9"/>
      <c r="G17" s="9"/>
      <c r="I17" s="9"/>
    </row>
  </sheetData>
  <mergeCells count="7">
    <mergeCell ref="A1:I1"/>
    <mergeCell ref="A2:I2"/>
    <mergeCell ref="A3:I3"/>
    <mergeCell ref="A5:I5"/>
    <mergeCell ref="A7:B7"/>
    <mergeCell ref="C7:E7"/>
    <mergeCell ref="G7:I7"/>
  </mergeCells>
  <pageMargins left="0.7" right="0.7" top="0.75" bottom="0.75" header="0.3" footer="0.3"/>
  <pageSetup paperSize="9" scale="93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E10"/>
  <sheetViews>
    <sheetView rightToLeft="1" view="pageBreakPreview" zoomScale="60" zoomScaleNormal="100" workbookViewId="0">
      <selection sqref="A1:XFD1048576"/>
    </sheetView>
  </sheetViews>
  <sheetFormatPr defaultRowHeight="18" x14ac:dyDescent="0.45"/>
  <cols>
    <col min="1" max="1" width="25.5703125" style="4" customWidth="1"/>
    <col min="2" max="2" width="1.42578125" style="4" customWidth="1"/>
    <col min="3" max="3" width="18.42578125" style="4" customWidth="1"/>
    <col min="4" max="4" width="1.42578125" style="4" customWidth="1"/>
    <col min="5" max="5" width="18.42578125" style="4" customWidth="1"/>
    <col min="6" max="16384" width="9.140625" style="4"/>
  </cols>
  <sheetData>
    <row r="1" spans="1:5" ht="20.100000000000001" customHeight="1" x14ac:dyDescent="0.45">
      <c r="A1" s="30" t="s">
        <v>0</v>
      </c>
      <c r="B1" s="28"/>
      <c r="C1" s="28"/>
      <c r="D1" s="28"/>
      <c r="E1" s="28"/>
    </row>
    <row r="2" spans="1:5" ht="20.100000000000001" customHeight="1" x14ac:dyDescent="0.45">
      <c r="A2" s="30" t="s">
        <v>140</v>
      </c>
      <c r="B2" s="28"/>
      <c r="C2" s="28"/>
      <c r="D2" s="28"/>
      <c r="E2" s="28"/>
    </row>
    <row r="3" spans="1:5" ht="20.100000000000001" customHeight="1" x14ac:dyDescent="0.45">
      <c r="A3" s="30" t="s">
        <v>2</v>
      </c>
      <c r="B3" s="28"/>
      <c r="C3" s="28"/>
      <c r="D3" s="28"/>
      <c r="E3" s="28"/>
    </row>
    <row r="5" spans="1:5" ht="21" x14ac:dyDescent="0.45">
      <c r="A5" s="31" t="s">
        <v>223</v>
      </c>
      <c r="B5" s="28"/>
      <c r="C5" s="28"/>
      <c r="D5" s="28"/>
      <c r="E5" s="28"/>
    </row>
    <row r="7" spans="1:5" ht="21" x14ac:dyDescent="0.45">
      <c r="C7" s="6" t="s">
        <v>152</v>
      </c>
      <c r="E7" s="6" t="s">
        <v>7</v>
      </c>
    </row>
    <row r="8" spans="1:5" ht="21" x14ac:dyDescent="0.45">
      <c r="A8" s="7" t="s">
        <v>149</v>
      </c>
      <c r="C8" s="7" t="s">
        <v>136</v>
      </c>
      <c r="E8" s="7" t="s">
        <v>136</v>
      </c>
    </row>
    <row r="9" spans="1:5" ht="18.75" x14ac:dyDescent="0.45">
      <c r="A9" s="8" t="s">
        <v>102</v>
      </c>
      <c r="C9" s="8">
        <f>SUM($C$8)</f>
        <v>0</v>
      </c>
      <c r="E9" s="8">
        <f>SUM($E$8)</f>
        <v>0</v>
      </c>
    </row>
    <row r="10" spans="1:5" ht="18.75" x14ac:dyDescent="0.45">
      <c r="C10" s="9"/>
      <c r="E10" s="9"/>
    </row>
  </sheetData>
  <mergeCells count="4">
    <mergeCell ref="A1:E1"/>
    <mergeCell ref="A2:E2"/>
    <mergeCell ref="A3:E3"/>
    <mergeCell ref="A5:E5"/>
  </mergeCells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5</vt:i4>
      </vt:variant>
    </vt:vector>
  </HeadingPairs>
  <TitlesOfParts>
    <vt:vector size="20" baseType="lpstr">
      <vt:lpstr>0</vt:lpstr>
      <vt:lpstr>1</vt:lpstr>
      <vt:lpstr>2</vt:lpstr>
      <vt:lpstr>3</vt:lpstr>
      <vt:lpstr>4</vt:lpstr>
      <vt:lpstr>5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'1'!Print_Titles</vt:lpstr>
      <vt:lpstr>'10'!Print_Titles</vt:lpstr>
      <vt:lpstr>'11'!Print_Titles</vt:lpstr>
      <vt:lpstr>'12'!Print_Titles</vt:lpstr>
      <vt:lpstr>'8'!Print_Titles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Fatemeh Rezaei</cp:lastModifiedBy>
  <cp:lastPrinted>2025-07-26T04:34:38Z</cp:lastPrinted>
  <dcterms:created xsi:type="dcterms:W3CDTF">2025-07-23T12:19:31Z</dcterms:created>
  <dcterms:modified xsi:type="dcterms:W3CDTF">2025-07-26T04:34:48Z</dcterms:modified>
</cp:coreProperties>
</file>