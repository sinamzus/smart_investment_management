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.langari.AM\Desktop\پرتفو\"/>
    </mc:Choice>
  </mc:AlternateContent>
  <xr:revisionPtr revIDLastSave="0" documentId="13_ncr:1_{E20C40F8-79DC-4B35-8375-2C27029EF384}" xr6:coauthVersionLast="47" xr6:coauthVersionMax="47" xr10:uidLastSave="{00000000-0000-0000-0000-000000000000}"/>
  <bookViews>
    <workbookView xWindow="-120" yWindow="-120" windowWidth="29040" windowHeight="15720" tabRatio="897" xr2:uid="{00000000-000D-0000-FFFF-FFFF00000000}"/>
  </bookViews>
  <sheets>
    <sheet name="1" sheetId="29" r:id="rId1"/>
    <sheet name=" سهام" sheetId="21" r:id="rId2"/>
    <sheet name="تعدیل قیمت" sheetId="4" r:id="rId3"/>
    <sheet name="سپرده" sheetId="2" r:id="rId4"/>
    <sheet name="درآمدها" sheetId="11" r:id="rId5"/>
    <sheet name="درآمد سرمایه گذاری در سهام " sheetId="5" r:id="rId6"/>
    <sheet name="درآمد سپرده بانکی" sheetId="7" r:id="rId7"/>
    <sheet name="سایر درآمدها" sheetId="8" r:id="rId8"/>
    <sheet name="درآمد سود سهام" sheetId="12" r:id="rId9"/>
    <sheet name="سود  سپرده بانکی" sheetId="22" r:id="rId10"/>
    <sheet name="درآمد ناشی ازفروش" sheetId="15" r:id="rId11"/>
    <sheet name="درآمد ناشی از تغییر قیمت اوراق " sheetId="14" r:id="rId12"/>
  </sheets>
  <definedNames>
    <definedName name="_xlnm.Print_Area" localSheetId="1">' سهام'!$A$1:$N$238</definedName>
    <definedName name="_xlnm.Print_Area" localSheetId="2">'تعدیل قیمت'!$A$1:$J$12</definedName>
    <definedName name="_xlnm.Print_Area" localSheetId="5">'درآمد سرمایه گذاری در سهام '!$A$1:$K$233</definedName>
    <definedName name="_xlnm.Print_Area" localSheetId="11">'درآمد ناشی از تغییر قیمت اوراق '!$A$1:$I$237</definedName>
    <definedName name="_xlnm.Print_Area" localSheetId="7">'سایر درآمدها'!$A$1:$D$13</definedName>
    <definedName name="_xlnm.Print_Area" localSheetId="3">سپرده!$A$1:$M$16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36" i="14" l="1"/>
  <c r="H236" i="14"/>
  <c r="G236" i="14"/>
  <c r="F236" i="14"/>
  <c r="E236" i="14"/>
  <c r="D236" i="14"/>
  <c r="C236" i="14"/>
  <c r="B236" i="14"/>
  <c r="I106" i="15"/>
  <c r="H106" i="15"/>
  <c r="G106" i="15"/>
  <c r="F106" i="15"/>
  <c r="E106" i="15"/>
  <c r="D106" i="15"/>
  <c r="C106" i="15"/>
  <c r="B106" i="15"/>
  <c r="H13" i="22"/>
  <c r="G13" i="22"/>
  <c r="F13" i="22"/>
  <c r="E13" i="22"/>
  <c r="D13" i="22"/>
  <c r="C13" i="22"/>
  <c r="J138" i="12"/>
  <c r="I138" i="12"/>
  <c r="H138" i="12"/>
  <c r="G138" i="12"/>
  <c r="F138" i="12"/>
  <c r="E138" i="12"/>
  <c r="D138" i="12"/>
  <c r="C138" i="12"/>
  <c r="B138" i="12"/>
  <c r="C11" i="8"/>
  <c r="B11" i="8"/>
  <c r="D15" i="7"/>
  <c r="B15" i="7"/>
  <c r="C12" i="7"/>
  <c r="C11" i="7"/>
  <c r="C10" i="7"/>
  <c r="C9" i="7"/>
  <c r="C15" i="7" s="1"/>
  <c r="K232" i="5"/>
  <c r="J232" i="5"/>
  <c r="I232" i="5"/>
  <c r="H232" i="5"/>
  <c r="G232" i="5"/>
  <c r="F232" i="5"/>
  <c r="E232" i="5"/>
  <c r="D232" i="5"/>
  <c r="C232" i="5"/>
  <c r="B232" i="5"/>
  <c r="C11" i="11"/>
  <c r="E10" i="11"/>
  <c r="D10" i="11"/>
  <c r="E9" i="11"/>
  <c r="D9" i="11"/>
  <c r="E8" i="11"/>
  <c r="D8" i="11"/>
  <c r="F15" i="2"/>
  <c r="E15" i="2"/>
  <c r="D15" i="2"/>
  <c r="C15" i="2"/>
  <c r="B15" i="2"/>
  <c r="N237" i="21"/>
  <c r="M237" i="21"/>
  <c r="L237" i="21"/>
  <c r="J237" i="21"/>
  <c r="I237" i="21"/>
  <c r="H237" i="21"/>
  <c r="G237" i="21"/>
  <c r="F237" i="21"/>
  <c r="E237" i="21"/>
  <c r="D237" i="21"/>
  <c r="C237" i="21"/>
  <c r="B237" i="21"/>
  <c r="E11" i="11" l="1"/>
  <c r="D11" i="11"/>
  <c r="E14" i="7"/>
  <c r="E13" i="7"/>
  <c r="E12" i="7"/>
  <c r="E11" i="7"/>
  <c r="E10" i="7"/>
  <c r="E9" i="7"/>
  <c r="E15" i="7" s="1"/>
</calcChain>
</file>

<file path=xl/sharedStrings.xml><?xml version="1.0" encoding="utf-8"?>
<sst xmlns="http://schemas.openxmlformats.org/spreadsheetml/2006/main" count="1248" uniqueCount="403">
  <si>
    <t>بهای تمام شده</t>
  </si>
  <si>
    <t>شرکت</t>
  </si>
  <si>
    <t>جمع</t>
  </si>
  <si>
    <t>تعداد</t>
  </si>
  <si>
    <t>خرید طی دوره</t>
  </si>
  <si>
    <t>فروش طی دوره</t>
  </si>
  <si>
    <t>مبلغ</t>
  </si>
  <si>
    <t>تغییرات طی دوره</t>
  </si>
  <si>
    <t>سپرده های بانکی</t>
  </si>
  <si>
    <t>دلیل تعدیل</t>
  </si>
  <si>
    <t>نام اوراق بهادار</t>
  </si>
  <si>
    <t>درآمد سود سهام</t>
  </si>
  <si>
    <t>درآمد تغییر ارزش</t>
  </si>
  <si>
    <t>درآمد فروش</t>
  </si>
  <si>
    <t>درصد از کل درآمد ها</t>
  </si>
  <si>
    <t>نام سپرده</t>
  </si>
  <si>
    <t>سود سپرده بانکی و گواهی سپرده</t>
  </si>
  <si>
    <t>درصد سود به میانگین سپرده</t>
  </si>
  <si>
    <t>درصد از کل درآمدها</t>
  </si>
  <si>
    <t>نام سپرده بانکی</t>
  </si>
  <si>
    <t>خالص ارزش فروش</t>
  </si>
  <si>
    <t>درصد به کل دارایی‌ها</t>
  </si>
  <si>
    <t>درصد به کل  دارایی‌ها</t>
  </si>
  <si>
    <t>سهام</t>
  </si>
  <si>
    <t>1- سرمایه گذاری ها</t>
  </si>
  <si>
    <t>1-1-سرمایه‌گذاری در سهام و حق تقدم سهام</t>
  </si>
  <si>
    <t>2- درآمد حاصل از سرمایه گذاری ها</t>
  </si>
  <si>
    <t>1-2-درآمد حاصل از سرمایه­گذاری در سهام و حق تقدم سهام:</t>
  </si>
  <si>
    <t>سایر درآمدها</t>
  </si>
  <si>
    <t>قیمت بازار هر سهم</t>
  </si>
  <si>
    <t>نام سهام</t>
  </si>
  <si>
    <t>(بر اساس دستورالعمل نحوه تعیین قیمت خرید و فروش اوراق بهادار در صندوق های سرمایه گذاری)</t>
  </si>
  <si>
    <t>اوراق بهاداری که ارزش آنها در تاریخ گزارش تعدیل شده</t>
  </si>
  <si>
    <t>درصد تعدیل</t>
  </si>
  <si>
    <t>خالص ارزش فروش تعدیل شده</t>
  </si>
  <si>
    <t xml:space="preserve">قیمت تعدیل شده </t>
  </si>
  <si>
    <t xml:space="preserve">قیمت پایانی  </t>
  </si>
  <si>
    <t>افزایش</t>
  </si>
  <si>
    <t>شرح</t>
  </si>
  <si>
    <t>یادداشت</t>
  </si>
  <si>
    <t>تاریخ تشکیل مجمع</t>
  </si>
  <si>
    <t>سود متعلق به هر سهم</t>
  </si>
  <si>
    <t>جمع درآمد سود سهام</t>
  </si>
  <si>
    <t>هزینه تنزیل</t>
  </si>
  <si>
    <t>خالص درآمد سود سهام</t>
  </si>
  <si>
    <t>تعداد سهام متعلقه در زمان مجمع</t>
  </si>
  <si>
    <t>اطلاعات مجمع</t>
  </si>
  <si>
    <t>خالص درآمد</t>
  </si>
  <si>
    <t>درآمد ناشی از تغییر قیمت اوراق بهادار</t>
  </si>
  <si>
    <t>ارزش دفتری</t>
  </si>
  <si>
    <t>سود و زیان ناشی از تغییر قیمت</t>
  </si>
  <si>
    <t>خالص بهای فروش</t>
  </si>
  <si>
    <t>سود و زیان ناشی از فروش</t>
  </si>
  <si>
    <t>درآمد حاصل از سرمایه گذاری در سهام و حق تقدم سهام</t>
  </si>
  <si>
    <t>درآمد حاصل از سرمایه گذاری در سپرده بانکی و گواهی سپرده</t>
  </si>
  <si>
    <t>سود(زیان) حاصل از فروش اوراق بهادار</t>
  </si>
  <si>
    <t>مبلغ فروش</t>
  </si>
  <si>
    <t xml:space="preserve">صورت وضعیت پرتفوی </t>
  </si>
  <si>
    <t>1-2</t>
  </si>
  <si>
    <t>2-2</t>
  </si>
  <si>
    <t>3-2</t>
  </si>
  <si>
    <t xml:space="preserve">صورت وضعیت درآمدها </t>
  </si>
  <si>
    <t xml:space="preserve">درآمد سود </t>
  </si>
  <si>
    <t>یادداشت ...</t>
  </si>
  <si>
    <t>درصد از کل دارایی ها</t>
  </si>
  <si>
    <t>سود سپرده بانکی</t>
  </si>
  <si>
    <t xml:space="preserve">افزایش سرمایه </t>
  </si>
  <si>
    <t>طی دوره</t>
  </si>
  <si>
    <t>کاهش</t>
  </si>
  <si>
    <t>شاخصی هم ‏وزن تراز</t>
  </si>
  <si>
    <t>برای ماه منتهی به 1405/04/31</t>
  </si>
  <si>
    <t>1405/04/31</t>
  </si>
  <si>
    <t>1405/03/31</t>
  </si>
  <si>
    <t>سپه</t>
  </si>
  <si>
    <t>ملت</t>
  </si>
  <si>
    <t>پاسارگاد</t>
  </si>
  <si>
    <t>دي</t>
  </si>
  <si>
    <t>سامان</t>
  </si>
  <si>
    <t>خاورميانه</t>
  </si>
  <si>
    <t>پارس توشه</t>
  </si>
  <si>
    <t>سيمان سپاهان</t>
  </si>
  <si>
    <t>داروسازي‌ اكسير</t>
  </si>
  <si>
    <t>حمل و نقل گهرترابر سيرجان</t>
  </si>
  <si>
    <t>پارس خزر</t>
  </si>
  <si>
    <t>بيمه پارسيان</t>
  </si>
  <si>
    <t>پتروشيمي شازند</t>
  </si>
  <si>
    <t>صنايع الكترونيك ماديران</t>
  </si>
  <si>
    <t>خاك چيني</t>
  </si>
  <si>
    <t>پتروشيمي خراسان</t>
  </si>
  <si>
    <t>بانك تجارت</t>
  </si>
  <si>
    <t>سرمايه گذاري اميد</t>
  </si>
  <si>
    <t>صنعتي بارز</t>
  </si>
  <si>
    <t>بانك سينا</t>
  </si>
  <si>
    <t>نشاسته و گلوكز آردينه</t>
  </si>
  <si>
    <t>نيان الكترونيك</t>
  </si>
  <si>
    <t>بهمن دیزل</t>
  </si>
  <si>
    <t>املاح ايران</t>
  </si>
  <si>
    <t>نيان باتري خاوران</t>
  </si>
  <si>
    <t>سيمان خاش</t>
  </si>
  <si>
    <t>سرمایه گذاری مسکن تهران</t>
  </si>
  <si>
    <t>كوير تاير</t>
  </si>
  <si>
    <t>ملي مس</t>
  </si>
  <si>
    <t>نفت اصفهان</t>
  </si>
  <si>
    <t>كاشي الوند</t>
  </si>
  <si>
    <t xml:space="preserve">پتروشيمي كرمانشاه </t>
  </si>
  <si>
    <t>تامين ماسه</t>
  </si>
  <si>
    <t>گل گهر</t>
  </si>
  <si>
    <t>ايران ترانسفو</t>
  </si>
  <si>
    <t>كاشي حافظ</t>
  </si>
  <si>
    <t>دانش بنيان پويا نيرو</t>
  </si>
  <si>
    <t>بهار رز عاليس چناران</t>
  </si>
  <si>
    <t>كاشي وسراميك سينا</t>
  </si>
  <si>
    <t>پاکدیس</t>
  </si>
  <si>
    <t>شيشه و گاز</t>
  </si>
  <si>
    <t>توليد ژلاتين كپسول ايران</t>
  </si>
  <si>
    <t>شيشه همدان</t>
  </si>
  <si>
    <t>سرمايه گذاري ملي ايران</t>
  </si>
  <si>
    <t>انتقال داده هاي آسياتك</t>
  </si>
  <si>
    <t>صنايع شيميايي كيمياگران امروز</t>
  </si>
  <si>
    <t>رادياتور</t>
  </si>
  <si>
    <t>قند اصفهان</t>
  </si>
  <si>
    <t>گلتاش</t>
  </si>
  <si>
    <t>سايپا</t>
  </si>
  <si>
    <t>توليدي و صنعتي گوهرفام</t>
  </si>
  <si>
    <t>فولاد هرمزگان</t>
  </si>
  <si>
    <t>حفاري شمال</t>
  </si>
  <si>
    <t>ريخته گري تراكتورسازي</t>
  </si>
  <si>
    <t>آترا زيست آراي</t>
  </si>
  <si>
    <t>توليدي برنا باطري</t>
  </si>
  <si>
    <t>پگاه خراسان</t>
  </si>
  <si>
    <t>فولاد آلياژي ايران</t>
  </si>
  <si>
    <t>كشت و صنعت شهداب</t>
  </si>
  <si>
    <t>بيمه البرز</t>
  </si>
  <si>
    <t>صنعتی صبانور</t>
  </si>
  <si>
    <t>پخش البرز</t>
  </si>
  <si>
    <t>تايدواتر</t>
  </si>
  <si>
    <t>نفت تبريز</t>
  </si>
  <si>
    <t>قند هكمتان</t>
  </si>
  <si>
    <t>دارويي ره آورد تامين</t>
  </si>
  <si>
    <t>شير پاستوريزه پگاه گلپايگان</t>
  </si>
  <si>
    <t>عمران فارس</t>
  </si>
  <si>
    <t>ايران خودرو</t>
  </si>
  <si>
    <t>عطرين نخ قم</t>
  </si>
  <si>
    <t>ارتباطات سیار</t>
  </si>
  <si>
    <t>البرز دارو</t>
  </si>
  <si>
    <t>فرآوري زغال سنگ پروده طبس</t>
  </si>
  <si>
    <t>بانك ملت</t>
  </si>
  <si>
    <t>شیرین دارو</t>
  </si>
  <si>
    <t>توليدات پتروشيمي قائد بصير</t>
  </si>
  <si>
    <t>افست</t>
  </si>
  <si>
    <t>چادرملو</t>
  </si>
  <si>
    <t>پمپ ايران</t>
  </si>
  <si>
    <t>پديده شيمي قرن</t>
  </si>
  <si>
    <t>تجارت الکترونیک پارسیان</t>
  </si>
  <si>
    <t>پارس فنر</t>
  </si>
  <si>
    <t>سرمايه گذاري تامين اجتماعي</t>
  </si>
  <si>
    <t>داروسازي زاگرس</t>
  </si>
  <si>
    <t>توليدي چدن سازان</t>
  </si>
  <si>
    <t>كاشي سعدي</t>
  </si>
  <si>
    <t>بانك خاورميانه</t>
  </si>
  <si>
    <t>مجتمع صنايع لاستيك يزد</t>
  </si>
  <si>
    <t>قند لرستان</t>
  </si>
  <si>
    <t>داده پردازي</t>
  </si>
  <si>
    <t>نفت بندر عباس</t>
  </si>
  <si>
    <t>تامين سرمايه نوين</t>
  </si>
  <si>
    <t>كاريزما</t>
  </si>
  <si>
    <t>نساجي هديه البرز مشهد</t>
  </si>
  <si>
    <t>نسوز آذر</t>
  </si>
  <si>
    <t>پخش هجرت</t>
  </si>
  <si>
    <t>مواداوليه داروپخش</t>
  </si>
  <si>
    <t>موتوژن</t>
  </si>
  <si>
    <t>صنعتي آما</t>
  </si>
  <si>
    <t>سرمايه گذاري غدير</t>
  </si>
  <si>
    <t>دارو ابوريحان</t>
  </si>
  <si>
    <t>نخريسي و نساجي خسروي خراسان</t>
  </si>
  <si>
    <t>پارس سوييچ</t>
  </si>
  <si>
    <t>آريان كيميا تك</t>
  </si>
  <si>
    <t>پارس شهاب</t>
  </si>
  <si>
    <t>1405/03/16</t>
  </si>
  <si>
    <t>آلوميناي ايران</t>
  </si>
  <si>
    <t>1405/04/11</t>
  </si>
  <si>
    <t>آلومينيوم ايران</t>
  </si>
  <si>
    <t>1405/04/30</t>
  </si>
  <si>
    <t>آنتي بيوتيك سازي ايران</t>
  </si>
  <si>
    <t>1405/04/17</t>
  </si>
  <si>
    <t>آهن و فولاد غدير ايرانيان</t>
  </si>
  <si>
    <t>1405/04/24</t>
  </si>
  <si>
    <t>1405/03/27</t>
  </si>
  <si>
    <t>اقتصاد نوين</t>
  </si>
  <si>
    <t>1405/02/30</t>
  </si>
  <si>
    <t>1405/03/24</t>
  </si>
  <si>
    <t>1405/04/22</t>
  </si>
  <si>
    <t>ايمن خودرو شرق</t>
  </si>
  <si>
    <t>1405/04/28</t>
  </si>
  <si>
    <t>1405/04/06</t>
  </si>
  <si>
    <t>بيمه آسيا</t>
  </si>
  <si>
    <t>بيمه ايران - معين</t>
  </si>
  <si>
    <t>1405/03/13</t>
  </si>
  <si>
    <t>1405/03/05</t>
  </si>
  <si>
    <t>تامين سرمايه لوتوس پارسيان</t>
  </si>
  <si>
    <t>1405/01/30</t>
  </si>
  <si>
    <t>1405/04/29</t>
  </si>
  <si>
    <t>1405/01/26</t>
  </si>
  <si>
    <t xml:space="preserve">تراكتور سازي </t>
  </si>
  <si>
    <t>توزيع دارو پخش</t>
  </si>
  <si>
    <t>توسعه سامانه ي نرم افزاري نگين</t>
  </si>
  <si>
    <t>1405/02/05</t>
  </si>
  <si>
    <t>توسعه نيشكر و صنايع جانبي</t>
  </si>
  <si>
    <t>1405/01/16</t>
  </si>
  <si>
    <t>توسعه و عمران اميد</t>
  </si>
  <si>
    <t>توكا رنگ فولاد سپاهان</t>
  </si>
  <si>
    <t>1405/03/03</t>
  </si>
  <si>
    <t>توليد انرژي برق شمس پاسارگاد</t>
  </si>
  <si>
    <t>1405/02/02</t>
  </si>
  <si>
    <t>توليد برق عسلويه مپنا</t>
  </si>
  <si>
    <t>1405/04/07</t>
  </si>
  <si>
    <t>1405/03/17</t>
  </si>
  <si>
    <t>1405/04/25</t>
  </si>
  <si>
    <t>1405/04/10</t>
  </si>
  <si>
    <t>1405/04/08</t>
  </si>
  <si>
    <t>1405/04/01</t>
  </si>
  <si>
    <t>داروسازي فارابي</t>
  </si>
  <si>
    <t>دارويي و نهاده هاي زاگرس دارو</t>
  </si>
  <si>
    <t>دارويي‌ رازك‌</t>
  </si>
  <si>
    <t>س. و توسعه صنايع لاستيك</t>
  </si>
  <si>
    <t>1405/04/27</t>
  </si>
  <si>
    <t>سالمين</t>
  </si>
  <si>
    <t>سبحان_دارو</t>
  </si>
  <si>
    <t>1405/02/23</t>
  </si>
  <si>
    <t>سرمايه گذاري البرز</t>
  </si>
  <si>
    <t>1404/12/10</t>
  </si>
  <si>
    <t>سنگ آهن گهرزمين</t>
  </si>
  <si>
    <t>1405/02/14</t>
  </si>
  <si>
    <t>سيمان اردستان</t>
  </si>
  <si>
    <t>1405/04/21</t>
  </si>
  <si>
    <t>سيمان اروميه</t>
  </si>
  <si>
    <t>1405/03/20</t>
  </si>
  <si>
    <t>سيمان بجنورد</t>
  </si>
  <si>
    <t>سيمان بهبهان</t>
  </si>
  <si>
    <t>1405/02/29</t>
  </si>
  <si>
    <t>سيمان خزر</t>
  </si>
  <si>
    <t>1405/02/27</t>
  </si>
  <si>
    <t>سيمان ساوه</t>
  </si>
  <si>
    <t>1405/03/23</t>
  </si>
  <si>
    <t>سيمان شمال</t>
  </si>
  <si>
    <t>1404/12/17</t>
  </si>
  <si>
    <t>سيمان صوفيان</t>
  </si>
  <si>
    <t>1405/03/19</t>
  </si>
  <si>
    <t>سيمان غرب</t>
  </si>
  <si>
    <t>1405/03/09</t>
  </si>
  <si>
    <t>سيمان فارس نو</t>
  </si>
  <si>
    <t>1405/03/18</t>
  </si>
  <si>
    <t>سيمان قاين</t>
  </si>
  <si>
    <t>1405/03/30</t>
  </si>
  <si>
    <t>سيمان هگمتان</t>
  </si>
  <si>
    <t>سيمرغ</t>
  </si>
  <si>
    <t>سينا دارو</t>
  </si>
  <si>
    <t>سپيد ماكيان</t>
  </si>
  <si>
    <t>شهد ايران</t>
  </si>
  <si>
    <t>شير و گوشت زاگرس شهركرد</t>
  </si>
  <si>
    <t>شيميايي ايران</t>
  </si>
  <si>
    <t>صنايع ارتباطي آوا</t>
  </si>
  <si>
    <t>صنايع چوب خزر كاسپين</t>
  </si>
  <si>
    <t>1405/03/10</t>
  </si>
  <si>
    <t>صندوق بازنشستگي</t>
  </si>
  <si>
    <t>صنعت غذايي كورش</t>
  </si>
  <si>
    <t>صنعتي بهشهر</t>
  </si>
  <si>
    <t>صنعتي سپاهان</t>
  </si>
  <si>
    <t>1405/03/28</t>
  </si>
  <si>
    <t>غذايي مينو</t>
  </si>
  <si>
    <t>غلتك سازان سپاهان</t>
  </si>
  <si>
    <t>فروشگاههاي زنجيره اي افق كوروش</t>
  </si>
  <si>
    <t>فنرسازي زر</t>
  </si>
  <si>
    <t>1405/04/23</t>
  </si>
  <si>
    <t>فولاد ارفع</t>
  </si>
  <si>
    <t>1405/03/12</t>
  </si>
  <si>
    <t>فولاد شاهرود</t>
  </si>
  <si>
    <t>قاسم ايران</t>
  </si>
  <si>
    <t>قند قزوين</t>
  </si>
  <si>
    <t>كارخانجات داروپخش</t>
  </si>
  <si>
    <t>كاشي پارس</t>
  </si>
  <si>
    <t>كاني كربن طبس</t>
  </si>
  <si>
    <t>كربن</t>
  </si>
  <si>
    <t>كشاورزي و دامپروري بينالود</t>
  </si>
  <si>
    <t>1405/04/09</t>
  </si>
  <si>
    <t>كشت و دام قيام اصفهان</t>
  </si>
  <si>
    <t>كشت و دامداري فكا</t>
  </si>
  <si>
    <t>1405/01/31</t>
  </si>
  <si>
    <t>مجتمع كاشي و سنگ پرسپوليس يزد</t>
  </si>
  <si>
    <t>مهرام</t>
  </si>
  <si>
    <t>1405/04/16</t>
  </si>
  <si>
    <t>موتورسازان</t>
  </si>
  <si>
    <t>مگسال</t>
  </si>
  <si>
    <t>1405/04/20</t>
  </si>
  <si>
    <t>1405/03/02</t>
  </si>
  <si>
    <t>نورد قطعات</t>
  </si>
  <si>
    <t>نيروترانس</t>
  </si>
  <si>
    <t>نگين طبس</t>
  </si>
  <si>
    <t>1405/04/12</t>
  </si>
  <si>
    <t>1405/04/18</t>
  </si>
  <si>
    <t>پارس فولاد سبزوار</t>
  </si>
  <si>
    <t>1405/01/29</t>
  </si>
  <si>
    <t>پارس مينو</t>
  </si>
  <si>
    <t>پشم شيشه</t>
  </si>
  <si>
    <t>1405/02/31</t>
  </si>
  <si>
    <t>گروه انتخاب الكترونيك آرمان</t>
  </si>
  <si>
    <t>1404/12/27</t>
  </si>
  <si>
    <t>لامپ پارس شهاب</t>
  </si>
  <si>
    <t>سرمايه گذاري سپه</t>
  </si>
  <si>
    <t>نفت و گاز پارسيان</t>
  </si>
  <si>
    <t>برق مپنا</t>
  </si>
  <si>
    <t>پاكديس</t>
  </si>
  <si>
    <t>پتروشيمي نوري</t>
  </si>
  <si>
    <t>صنايع غذايي رضوي</t>
  </si>
  <si>
    <t>پرتو بار فرابر خليج فارس</t>
  </si>
  <si>
    <t>كيميا كالاي رازي</t>
  </si>
  <si>
    <t>پتروشيمي كرمانشاه</t>
  </si>
  <si>
    <t>فن آوران</t>
  </si>
  <si>
    <t>كارت اعتباري ايران كيش</t>
  </si>
  <si>
    <t>صنعتي پارس خزر</t>
  </si>
  <si>
    <t>سرمايه گذاري پارس توشــــــه ( هلدينگ)</t>
  </si>
  <si>
    <t>سيمان تهران</t>
  </si>
  <si>
    <t>پتروشيمي فجر</t>
  </si>
  <si>
    <t>حمل و نقل ريلي پارسيان</t>
  </si>
  <si>
    <t>سرمايه گذاري كشاورزي كوثر</t>
  </si>
  <si>
    <t>سيمان فارس و خوزستان</t>
  </si>
  <si>
    <t>مهرمام ميهن</t>
  </si>
  <si>
    <t>تراكتور سازي</t>
  </si>
  <si>
    <t>بهمن ديزل</t>
  </si>
  <si>
    <t>فولاد هرمزگان جنوب</t>
  </si>
  <si>
    <t>اخشان خراسان</t>
  </si>
  <si>
    <t>پتروشيمي پرديس</t>
  </si>
  <si>
    <t>دريايي سينا</t>
  </si>
  <si>
    <t>كشتيراني ايران</t>
  </si>
  <si>
    <t>گروه مالي نماد غدير(سهامي عام)</t>
  </si>
  <si>
    <t>كارخانجات توليدي نيروترانسفو</t>
  </si>
  <si>
    <t>تجارت الكترونيك پارسيان</t>
  </si>
  <si>
    <t>داروسازي اسوه</t>
  </si>
  <si>
    <t>داروسازي اكسير</t>
  </si>
  <si>
    <t>قند پيرانشهر</t>
  </si>
  <si>
    <t>مپنا</t>
  </si>
  <si>
    <t>معادن منگنز ايران</t>
  </si>
  <si>
    <t>سرمايه گذاري صدرتامين</t>
  </si>
  <si>
    <t>بيمه اتكايي ايران معين</t>
  </si>
  <si>
    <t>شركت سرمايه گذاري خوارزمي</t>
  </si>
  <si>
    <t>پتروشيمي تامين</t>
  </si>
  <si>
    <t>فولاد مباركه</t>
  </si>
  <si>
    <t>ايركا پارت صنعت</t>
  </si>
  <si>
    <t>پگاه آذربايجان</t>
  </si>
  <si>
    <t>كاشي و سراميك سعدي</t>
  </si>
  <si>
    <t>سرمايه گذاري البرز ( هلدينگ)</t>
  </si>
  <si>
    <t>فولاد كاوه</t>
  </si>
  <si>
    <t>ريل سير كوثر</t>
  </si>
  <si>
    <t>كشاورزي مكانيزه اصفهان كشت</t>
  </si>
  <si>
    <t>ملي شيمي كشاورز</t>
  </si>
  <si>
    <t>سرمايه گذاري پايا تدبيرپارسا</t>
  </si>
  <si>
    <t>شركت پالايش نفت لاوان</t>
  </si>
  <si>
    <t>قند چهار محال</t>
  </si>
  <si>
    <t>شركت پخش البرز</t>
  </si>
  <si>
    <t>ارتباطات سيار</t>
  </si>
  <si>
    <t>صنعتي زر ماكارون</t>
  </si>
  <si>
    <t>نفت بهران</t>
  </si>
  <si>
    <t>بيمه زندگي كاريزما50%تاديه</t>
  </si>
  <si>
    <t>شركت سرمايه گذاري مسكن تهران</t>
  </si>
  <si>
    <t>پمپ سازي ايران</t>
  </si>
  <si>
    <t>پگاه اصفهان</t>
  </si>
  <si>
    <t>سيمان مازندران</t>
  </si>
  <si>
    <t>فولاد خوزستان</t>
  </si>
  <si>
    <t>بانك صادرات</t>
  </si>
  <si>
    <t>نفت سپاهان</t>
  </si>
  <si>
    <t>صنعتي صبانور</t>
  </si>
  <si>
    <t>توليد مواد اوليه داروپخش</t>
  </si>
  <si>
    <t>ويتانا.</t>
  </si>
  <si>
    <t>مديريت نيروگاهي ايرانيان مپنا</t>
  </si>
  <si>
    <t>توسعه معادن كروميت كاوندگان</t>
  </si>
  <si>
    <t>شركت شيرين دارو</t>
  </si>
  <si>
    <t>آنتي بيوتيك سازي ايران (تقدم)</t>
  </si>
  <si>
    <t>ایرکا پارت صنعت</t>
  </si>
  <si>
    <t>بيمه زندگي كاريزما</t>
  </si>
  <si>
    <t>سرمايه گذاري صدرتامين (تقدم)</t>
  </si>
  <si>
    <t>سنگ آهن گهرزمين (تقدم)</t>
  </si>
  <si>
    <t>سيمان شمال (تقدم)</t>
  </si>
  <si>
    <t>شرکت سرمایه گذاری خوارزمی</t>
  </si>
  <si>
    <t>صنايع الكترونيك ماديران (تقدم)</t>
  </si>
  <si>
    <t>فجر انرژي خليج فارس</t>
  </si>
  <si>
    <t>كاني كربن طبس (تقدم)</t>
  </si>
  <si>
    <t>منگنز ايران</t>
  </si>
  <si>
    <t>مهرمام ميهن (تقدم)</t>
  </si>
  <si>
    <t>نفت لاوان</t>
  </si>
  <si>
    <t>نفت و گاز پارسیان</t>
  </si>
  <si>
    <t>پتروشيمی پردیس</t>
  </si>
  <si>
    <t>پتروشیمی تامین</t>
  </si>
  <si>
    <t>چادرملو (تقدم)</t>
  </si>
  <si>
    <t>کارت اعتباری ایران کیش</t>
  </si>
  <si>
    <t>کارخانجات توليدي نيروترانسفو</t>
  </si>
  <si>
    <t>گل گهر (تقدم)</t>
  </si>
  <si>
    <t>-</t>
  </si>
  <si>
    <t>2-2-درآمد حاصل از سرمایه­گذاری در سپرده بانکی و گواهی سپرده:</t>
  </si>
  <si>
    <t>3-2-سایر درآمدها:</t>
  </si>
  <si>
    <t>صندوق سرمایه‌گذاری شاخصی هم ‏وزن تراز</t>
  </si>
  <si>
    <t>در راستای اجرای ابلاغیه 12020093 مورخ 1396/09/05 و ابلاغیه 12020268 مورخ 1402/12/01 سازمان بورس و اوراق بهادار</t>
  </si>
  <si>
    <t>گزارش افشای پرتفوی ماهانه
برای دوره منتهی به 31 تیر 1405</t>
  </si>
  <si>
    <t>2-1- سرمایه‌گذاری در  سپرده‌ بانکی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</si>
</sst>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(#,##0\);0"/>
    <numFmt numFmtId="165" formatCode="0.00%;[Red]\(0.00%\);0%"/>
  </numFmts>
  <fonts count="24" x14ac:knownFonts="1">
    <font>
      <sz val="11"/>
      <color theme="1"/>
      <name val="Calibri"/>
      <family val="2"/>
      <charset val="178"/>
      <scheme val="minor"/>
    </font>
    <font>
      <b/>
      <sz val="10"/>
      <color theme="1"/>
      <name val="B Nazanin"/>
      <charset val="178"/>
    </font>
    <font>
      <sz val="10"/>
      <color theme="1"/>
      <name val="B Nazanin"/>
      <charset val="178"/>
    </font>
    <font>
      <b/>
      <sz val="10"/>
      <color rgb="FF000000"/>
      <name val="B Nazanin"/>
      <charset val="178"/>
    </font>
    <font>
      <b/>
      <sz val="12"/>
      <color theme="1"/>
      <name val="B Nazanin"/>
      <charset val="178"/>
    </font>
    <font>
      <b/>
      <sz val="12"/>
      <color rgb="FF0062AC"/>
      <name val="B Nazanin"/>
      <charset val="178"/>
    </font>
    <font>
      <sz val="10"/>
      <color indexed="8"/>
      <name val="B Nazanin"/>
      <charset val="178"/>
    </font>
    <font>
      <b/>
      <sz val="10"/>
      <color rgb="FF0062AC"/>
      <name val="B Nazanin"/>
      <charset val="178"/>
    </font>
    <font>
      <sz val="11"/>
      <name val="Calibri"/>
      <family val="2"/>
    </font>
    <font>
      <b/>
      <sz val="36"/>
      <color rgb="FFFF0000"/>
      <name val="B Roya"/>
      <charset val="178"/>
    </font>
    <font>
      <b/>
      <sz val="15"/>
      <name val="B Nazanin"/>
      <charset val="178"/>
    </font>
    <font>
      <b/>
      <sz val="28"/>
      <color rgb="FFFF0000"/>
      <name val="B Roya"/>
      <charset val="178"/>
    </font>
    <font>
      <sz val="16"/>
      <color rgb="FFFF0000"/>
      <name val="B Homa"/>
      <charset val="178"/>
    </font>
    <font>
      <sz val="11"/>
      <color indexed="8"/>
      <name val="B Nazanin"/>
      <charset val="178"/>
    </font>
    <font>
      <sz val="12"/>
      <color theme="1"/>
      <name val="B Nazanin"/>
      <charset val="178"/>
    </font>
    <font>
      <sz val="12"/>
      <color indexed="8"/>
      <name val="B Nazanin"/>
      <charset val="178"/>
    </font>
    <font>
      <b/>
      <sz val="14"/>
      <color theme="1"/>
      <name val="B Nazanin"/>
      <charset val="178"/>
    </font>
    <font>
      <sz val="14"/>
      <color theme="1"/>
      <name val="B Nazanin"/>
      <charset val="178"/>
    </font>
    <font>
      <b/>
      <sz val="14"/>
      <color rgb="FF0062AC"/>
      <name val="B Nazanin"/>
      <charset val="178"/>
    </font>
    <font>
      <sz val="14"/>
      <color indexed="8"/>
      <name val="B Nazanin"/>
      <charset val="178"/>
    </font>
    <font>
      <b/>
      <sz val="12"/>
      <color rgb="FF000000"/>
      <name val="B Nazanin"/>
      <charset val="178"/>
    </font>
    <font>
      <sz val="12"/>
      <color rgb="FF000000"/>
      <name val="B Nazanin"/>
      <charset val="178"/>
    </font>
    <font>
      <sz val="12"/>
      <color theme="1"/>
      <name val="Calibri"/>
      <family val="2"/>
      <charset val="178"/>
      <scheme val="minor"/>
    </font>
    <font>
      <b/>
      <sz val="14"/>
      <color rgb="FF000000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127">
    <xf numFmtId="0" fontId="0" fillId="0" borderId="0" xfId="0"/>
    <xf numFmtId="0" fontId="3" fillId="0" borderId="0" xfId="0" applyFont="1" applyAlignment="1">
      <alignment vertical="center" wrapText="1" readingOrder="2"/>
    </xf>
    <xf numFmtId="0" fontId="2" fillId="0" borderId="0" xfId="0" applyFont="1"/>
    <xf numFmtId="0" fontId="1" fillId="0" borderId="0" xfId="0" applyFont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 wrapText="1" readingOrder="2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readingOrder="2"/>
    </xf>
    <xf numFmtId="0" fontId="2" fillId="0" borderId="3" xfId="0" applyFont="1" applyBorder="1" applyAlignment="1">
      <alignment wrapText="1"/>
    </xf>
    <xf numFmtId="164" fontId="6" fillId="0" borderId="0" xfId="0" applyNumberFormat="1" applyFont="1"/>
    <xf numFmtId="165" fontId="6" fillId="0" borderId="0" xfId="0" applyNumberFormat="1" applyFont="1"/>
    <xf numFmtId="0" fontId="5" fillId="0" borderId="0" xfId="0" applyFont="1" applyAlignment="1">
      <alignment vertical="center" readingOrder="2"/>
    </xf>
    <xf numFmtId="0" fontId="8" fillId="2" borderId="0" xfId="1" applyFill="1"/>
    <xf numFmtId="0" fontId="10" fillId="2" borderId="0" xfId="1" applyFont="1" applyFill="1" applyAlignment="1">
      <alignment horizontal="center"/>
    </xf>
    <xf numFmtId="0" fontId="10" fillId="2" borderId="0" xfId="1" applyFont="1" applyFill="1"/>
    <xf numFmtId="3" fontId="2" fillId="0" borderId="0" xfId="0" applyNumberFormat="1" applyFont="1"/>
    <xf numFmtId="164" fontId="2" fillId="0" borderId="0" xfId="0" applyNumberFormat="1" applyFont="1"/>
    <xf numFmtId="164" fontId="6" fillId="0" borderId="4" xfId="0" applyNumberFormat="1" applyFont="1" applyBorder="1"/>
    <xf numFmtId="165" fontId="6" fillId="0" borderId="4" xfId="0" applyNumberFormat="1" applyFont="1" applyBorder="1"/>
    <xf numFmtId="0" fontId="2" fillId="0" borderId="6" xfId="0" applyFont="1" applyBorder="1"/>
    <xf numFmtId="0" fontId="2" fillId="0" borderId="7" xfId="0" applyFont="1" applyBorder="1"/>
    <xf numFmtId="164" fontId="6" fillId="0" borderId="7" xfId="0" applyNumberFormat="1" applyFont="1" applyBorder="1"/>
    <xf numFmtId="164" fontId="13" fillId="0" borderId="0" xfId="0" applyNumberFormat="1" applyFont="1"/>
    <xf numFmtId="0" fontId="14" fillId="0" borderId="0" xfId="0" applyFont="1"/>
    <xf numFmtId="0" fontId="14" fillId="0" borderId="1" xfId="0" applyFont="1" applyBorder="1"/>
    <xf numFmtId="0" fontId="4" fillId="0" borderId="0" xfId="0" applyFont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wrapText="1" readingOrder="2"/>
    </xf>
    <xf numFmtId="0" fontId="14" fillId="0" borderId="1" xfId="0" applyFont="1" applyBorder="1" applyAlignment="1">
      <alignment horizontal="center" vertical="center"/>
    </xf>
    <xf numFmtId="164" fontId="15" fillId="0" borderId="0" xfId="0" applyNumberFormat="1" applyFont="1"/>
    <xf numFmtId="165" fontId="15" fillId="0" borderId="0" xfId="0" applyNumberFormat="1" applyFont="1"/>
    <xf numFmtId="164" fontId="15" fillId="0" borderId="7" xfId="0" applyNumberFormat="1" applyFont="1" applyBorder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8" fillId="0" borderId="0" xfId="0" applyFont="1" applyAlignment="1">
      <alignment horizontal="right" vertical="center" readingOrder="2"/>
    </xf>
    <xf numFmtId="0" fontId="18" fillId="0" borderId="0" xfId="0" applyFont="1" applyAlignment="1">
      <alignment vertical="center" readingOrder="2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6" fillId="0" borderId="0" xfId="0" applyFont="1" applyAlignment="1">
      <alignment horizontal="right" vertical="center" readingOrder="2"/>
    </xf>
    <xf numFmtId="49" fontId="17" fillId="0" borderId="0" xfId="0" applyNumberFormat="1" applyFont="1" applyAlignment="1">
      <alignment horizontal="center" vertical="center" readingOrder="2"/>
    </xf>
    <xf numFmtId="164" fontId="19" fillId="0" borderId="0" xfId="0" applyNumberFormat="1" applyFont="1"/>
    <xf numFmtId="165" fontId="19" fillId="0" borderId="0" xfId="0" applyNumberFormat="1" applyFont="1"/>
    <xf numFmtId="0" fontId="17" fillId="0" borderId="0" xfId="0" applyFont="1" applyAlignment="1">
      <alignment horizontal="right" vertical="center"/>
    </xf>
    <xf numFmtId="3" fontId="17" fillId="0" borderId="0" xfId="0" applyNumberFormat="1" applyFont="1"/>
    <xf numFmtId="164" fontId="17" fillId="0" borderId="0" xfId="0" applyNumberFormat="1" applyFont="1"/>
    <xf numFmtId="164" fontId="19" fillId="0" borderId="4" xfId="0" applyNumberFormat="1" applyFont="1" applyBorder="1"/>
    <xf numFmtId="164" fontId="19" fillId="0" borderId="7" xfId="0" applyNumberFormat="1" applyFont="1" applyBorder="1"/>
    <xf numFmtId="165" fontId="19" fillId="0" borderId="7" xfId="0" applyNumberFormat="1" applyFont="1" applyBorder="1"/>
    <xf numFmtId="0" fontId="20" fillId="0" borderId="1" xfId="0" applyFont="1" applyBorder="1" applyAlignment="1">
      <alignment horizontal="center" vertical="center" wrapText="1" readingOrder="2"/>
    </xf>
    <xf numFmtId="0" fontId="20" fillId="0" borderId="2" xfId="0" applyFont="1" applyBorder="1" applyAlignment="1">
      <alignment horizontal="center" vertical="center" wrapText="1" readingOrder="2"/>
    </xf>
    <xf numFmtId="0" fontId="20" fillId="0" borderId="0" xfId="0" applyFont="1" applyAlignment="1">
      <alignment horizontal="center" vertical="center" wrapText="1" readingOrder="2"/>
    </xf>
    <xf numFmtId="0" fontId="14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 readingOrder="2"/>
    </xf>
    <xf numFmtId="0" fontId="20" fillId="0" borderId="3" xfId="0" applyFont="1" applyBorder="1" applyAlignment="1">
      <alignment horizontal="center" vertical="center" wrapText="1" readingOrder="2"/>
    </xf>
    <xf numFmtId="164" fontId="15" fillId="0" borderId="5" xfId="0" applyNumberFormat="1" applyFont="1" applyBorder="1"/>
    <xf numFmtId="165" fontId="15" fillId="0" borderId="5" xfId="0" applyNumberFormat="1" applyFont="1" applyBorder="1"/>
    <xf numFmtId="164" fontId="15" fillId="0" borderId="4" xfId="0" applyNumberFormat="1" applyFont="1" applyBorder="1"/>
    <xf numFmtId="165" fontId="15" fillId="0" borderId="4" xfId="0" applyNumberFormat="1" applyFont="1" applyBorder="1"/>
    <xf numFmtId="165" fontId="15" fillId="0" borderId="7" xfId="0" applyNumberFormat="1" applyFont="1" applyBorder="1"/>
    <xf numFmtId="0" fontId="20" fillId="0" borderId="0" xfId="0" applyFont="1" applyAlignment="1">
      <alignment vertical="center" wrapText="1" readingOrder="2"/>
    </xf>
    <xf numFmtId="0" fontId="14" fillId="0" borderId="0" xfId="0" applyFont="1" applyAlignment="1">
      <alignment vertical="center" wrapText="1"/>
    </xf>
    <xf numFmtId="0" fontId="20" fillId="0" borderId="1" xfId="0" applyFont="1" applyBorder="1" applyAlignment="1">
      <alignment vertical="center" wrapText="1" readingOrder="2"/>
    </xf>
    <xf numFmtId="0" fontId="14" fillId="0" borderId="6" xfId="0" applyFont="1" applyBorder="1"/>
    <xf numFmtId="0" fontId="17" fillId="0" borderId="0" xfId="0" applyFont="1" applyAlignment="1">
      <alignment horizontal="center"/>
    </xf>
    <xf numFmtId="0" fontId="23" fillId="0" borderId="1" xfId="0" applyFont="1" applyBorder="1" applyAlignment="1">
      <alignment horizontal="right" vertical="center" wrapText="1" readingOrder="2"/>
    </xf>
    <xf numFmtId="0" fontId="23" fillId="0" borderId="1" xfId="0" applyFont="1" applyBorder="1" applyAlignment="1">
      <alignment horizontal="center" vertical="center" wrapText="1" readingOrder="2"/>
    </xf>
    <xf numFmtId="164" fontId="19" fillId="0" borderId="8" xfId="0" applyNumberFormat="1" applyFont="1" applyBorder="1"/>
    <xf numFmtId="0" fontId="17" fillId="0" borderId="6" xfId="0" applyFont="1" applyBorder="1"/>
    <xf numFmtId="164" fontId="19" fillId="0" borderId="0" xfId="0" applyNumberFormat="1" applyFont="1" applyAlignment="1">
      <alignment horizontal="center"/>
    </xf>
    <xf numFmtId="0" fontId="2" fillId="0" borderId="4" xfId="0" applyFont="1" applyBorder="1"/>
    <xf numFmtId="0" fontId="14" fillId="0" borderId="0" xfId="0" applyFont="1" applyAlignment="1">
      <alignment horizontal="center"/>
    </xf>
    <xf numFmtId="0" fontId="14" fillId="0" borderId="3" xfId="0" applyFont="1" applyBorder="1"/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/>
    <xf numFmtId="0" fontId="14" fillId="0" borderId="3" xfId="0" applyFont="1" applyBorder="1" applyAlignment="1">
      <alignment horizontal="center" vertical="center"/>
    </xf>
    <xf numFmtId="0" fontId="14" fillId="0" borderId="1" xfId="0" applyFont="1" applyBorder="1" applyAlignment="1">
      <alignment horizontal="right" vertical="center" wrapText="1"/>
    </xf>
    <xf numFmtId="0" fontId="9" fillId="2" borderId="0" xfId="1" applyFont="1" applyFill="1" applyAlignment="1">
      <alignment horizontal="center" vertical="center" wrapText="1"/>
    </xf>
    <xf numFmtId="0" fontId="8" fillId="2" borderId="0" xfId="1" applyFill="1" applyAlignment="1">
      <alignment horizontal="center"/>
    </xf>
    <xf numFmtId="0" fontId="11" fillId="2" borderId="0" xfId="1" applyFont="1" applyFill="1" applyAlignment="1">
      <alignment horizontal="center" vertical="center" wrapText="1"/>
    </xf>
    <xf numFmtId="0" fontId="12" fillId="2" borderId="0" xfId="1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 readingOrder="2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2" fillId="0" borderId="0" xfId="0" applyFont="1" applyAlignment="1">
      <alignment horizontal="center" vertical="center" readingOrder="2"/>
    </xf>
    <xf numFmtId="0" fontId="2" fillId="0" borderId="1" xfId="0" applyFont="1" applyBorder="1" applyAlignment="1">
      <alignment horizontal="center" vertical="center" readingOrder="2"/>
    </xf>
    <xf numFmtId="0" fontId="2" fillId="0" borderId="2" xfId="0" applyFont="1" applyBorder="1" applyAlignment="1">
      <alignment horizontal="center" vertical="center" wrapText="1" readingOrder="2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readingOrder="2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 vertical="center" readingOrder="2"/>
    </xf>
    <xf numFmtId="164" fontId="6" fillId="0" borderId="2" xfId="0" applyNumberFormat="1" applyFont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0" fontId="7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 readingOrder="2"/>
    </xf>
    <xf numFmtId="0" fontId="14" fillId="0" borderId="1" xfId="0" applyFont="1" applyBorder="1" applyAlignment="1">
      <alignment horizontal="center" vertical="center" wrapText="1" readingOrder="2"/>
    </xf>
    <xf numFmtId="0" fontId="14" fillId="0" borderId="0" xfId="0" applyFont="1" applyAlignment="1">
      <alignment horizontal="right" vertical="center" readingOrder="2"/>
    </xf>
    <xf numFmtId="0" fontId="4" fillId="0" borderId="1" xfId="0" applyFont="1" applyBorder="1" applyAlignment="1">
      <alignment horizontal="center" vertical="center" wrapText="1" readingOrder="2"/>
    </xf>
    <xf numFmtId="0" fontId="14" fillId="0" borderId="2" xfId="0" applyFont="1" applyBorder="1" applyAlignment="1">
      <alignment horizontal="center" vertical="center" readingOrder="2"/>
    </xf>
    <xf numFmtId="0" fontId="14" fillId="0" borderId="1" xfId="0" applyFont="1" applyBorder="1" applyAlignment="1">
      <alignment horizontal="center" vertical="center" readingOrder="2"/>
    </xf>
    <xf numFmtId="0" fontId="14" fillId="0" borderId="0" xfId="0" applyFont="1" applyAlignment="1">
      <alignment horizontal="center" vertical="center" wrapText="1" readingOrder="2"/>
    </xf>
    <xf numFmtId="0" fontId="14" fillId="0" borderId="0" xfId="0" applyFont="1" applyAlignment="1">
      <alignment horizontal="center" vertical="center" readingOrder="2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right" vertical="center" readingOrder="2"/>
    </xf>
    <xf numFmtId="0" fontId="16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 wrapText="1" readingOrder="2"/>
    </xf>
    <xf numFmtId="0" fontId="14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 readingOrder="2"/>
    </xf>
    <xf numFmtId="0" fontId="20" fillId="0" borderId="0" xfId="0" applyFont="1" applyAlignment="1">
      <alignment horizontal="center" vertical="center" wrapText="1" readingOrder="2"/>
    </xf>
    <xf numFmtId="0" fontId="4" fillId="0" borderId="3" xfId="0" applyFont="1" applyBorder="1" applyAlignment="1">
      <alignment horizontal="center" vertical="center" wrapText="1"/>
    </xf>
    <xf numFmtId="0" fontId="22" fillId="0" borderId="0" xfId="0" applyFont="1" applyAlignment="1">
      <alignment horizontal="right" vertical="center" readingOrder="2"/>
    </xf>
    <xf numFmtId="0" fontId="20" fillId="0" borderId="3" xfId="0" applyFont="1" applyBorder="1" applyAlignment="1">
      <alignment horizontal="center" vertical="center" wrapText="1" readingOrder="2"/>
    </xf>
    <xf numFmtId="0" fontId="17" fillId="0" borderId="0" xfId="0" applyFont="1" applyAlignment="1">
      <alignment horizontal="center"/>
    </xf>
    <xf numFmtId="0" fontId="23" fillId="0" borderId="2" xfId="0" applyFont="1" applyBorder="1" applyAlignment="1">
      <alignment horizontal="center" vertical="center" wrapText="1" readingOrder="2"/>
    </xf>
    <xf numFmtId="0" fontId="23" fillId="0" borderId="1" xfId="0" applyFont="1" applyBorder="1" applyAlignment="1">
      <alignment horizontal="center" vertical="center" wrapText="1" readingOrder="2"/>
    </xf>
    <xf numFmtId="0" fontId="17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 readingOrder="2"/>
    </xf>
  </cellXfs>
  <cellStyles count="2">
    <cellStyle name="Normal" xfId="0" builtinId="0"/>
    <cellStyle name="Normal 2" xfId="1" xr:uid="{9ADDCB76-FF91-4673-90AD-66429E98EC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AE9B3-CEE0-46AD-955B-805D3BCD4A27}">
  <dimension ref="A1:K34"/>
  <sheetViews>
    <sheetView rightToLeft="1" tabSelected="1" topLeftCell="A19" workbookViewId="0">
      <selection activeCell="T28" sqref="T28"/>
    </sheetView>
  </sheetViews>
  <sheetFormatPr defaultRowHeight="15" x14ac:dyDescent="0.25"/>
  <cols>
    <col min="1" max="11" width="7.7109375" customWidth="1"/>
  </cols>
  <sheetData>
    <row r="1" spans="1:11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x14ac:dyDescent="0.25">
      <c r="A4" s="79" t="s">
        <v>399</v>
      </c>
      <c r="B4" s="79"/>
      <c r="C4" s="79"/>
      <c r="D4" s="79"/>
      <c r="E4" s="79"/>
      <c r="F4" s="79"/>
      <c r="G4" s="79"/>
      <c r="H4" s="79"/>
      <c r="I4" s="79"/>
      <c r="J4" s="79"/>
      <c r="K4" s="79"/>
    </row>
    <row r="5" spans="1:11" x14ac:dyDescent="0.25">
      <c r="A5" s="79"/>
      <c r="B5" s="79"/>
      <c r="C5" s="79"/>
      <c r="D5" s="79"/>
      <c r="E5" s="79"/>
      <c r="F5" s="79"/>
      <c r="G5" s="79"/>
      <c r="H5" s="79"/>
      <c r="I5" s="79"/>
      <c r="J5" s="79"/>
      <c r="K5" s="79"/>
    </row>
    <row r="6" spans="1:11" x14ac:dyDescent="0.25">
      <c r="A6" s="79"/>
      <c r="B6" s="79"/>
      <c r="C6" s="79"/>
      <c r="D6" s="79"/>
      <c r="E6" s="79"/>
      <c r="F6" s="79"/>
      <c r="G6" s="79"/>
      <c r="H6" s="79"/>
      <c r="I6" s="79"/>
      <c r="J6" s="79"/>
      <c r="K6" s="79"/>
    </row>
    <row r="7" spans="1:11" x14ac:dyDescent="0.25">
      <c r="A7" s="79"/>
      <c r="B7" s="79"/>
      <c r="C7" s="79"/>
      <c r="D7" s="79"/>
      <c r="E7" s="79"/>
      <c r="F7" s="79"/>
      <c r="G7" s="79"/>
      <c r="H7" s="79"/>
      <c r="I7" s="79"/>
      <c r="J7" s="79"/>
      <c r="K7" s="79"/>
    </row>
    <row r="8" spans="1:11" x14ac:dyDescent="0.25">
      <c r="A8" s="79"/>
      <c r="B8" s="79"/>
      <c r="C8" s="79"/>
      <c r="D8" s="79"/>
      <c r="E8" s="79"/>
      <c r="F8" s="79"/>
      <c r="G8" s="79"/>
      <c r="H8" s="79"/>
      <c r="I8" s="79"/>
      <c r="J8" s="79"/>
      <c r="K8" s="79"/>
    </row>
    <row r="9" spans="1:11" x14ac:dyDescent="0.25">
      <c r="A9" s="79"/>
      <c r="B9" s="79"/>
      <c r="C9" s="79"/>
      <c r="D9" s="79"/>
      <c r="E9" s="79"/>
      <c r="F9" s="79"/>
      <c r="G9" s="79"/>
      <c r="H9" s="79"/>
      <c r="I9" s="79"/>
      <c r="J9" s="79"/>
      <c r="K9" s="79"/>
    </row>
    <row r="10" spans="1:11" x14ac:dyDescent="0.25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</row>
    <row r="11" spans="1:11" x14ac:dyDescent="0.25">
      <c r="A11" s="79"/>
      <c r="B11" s="79"/>
      <c r="C11" s="79"/>
      <c r="D11" s="79"/>
      <c r="E11" s="79"/>
      <c r="F11" s="79"/>
      <c r="G11" s="79"/>
      <c r="H11" s="79"/>
      <c r="I11" s="79"/>
      <c r="J11" s="79"/>
      <c r="K11" s="79"/>
    </row>
    <row r="12" spans="1:11" x14ac:dyDescent="0.25">
      <c r="A12" s="79"/>
      <c r="B12" s="79"/>
      <c r="C12" s="79"/>
      <c r="D12" s="79"/>
      <c r="E12" s="79"/>
      <c r="F12" s="79"/>
      <c r="G12" s="79"/>
      <c r="H12" s="79"/>
      <c r="I12" s="79"/>
      <c r="J12" s="79"/>
      <c r="K12" s="79"/>
    </row>
    <row r="13" spans="1:11" x14ac:dyDescent="0.25">
      <c r="A13" s="79"/>
      <c r="B13" s="79"/>
      <c r="C13" s="79"/>
      <c r="D13" s="79"/>
      <c r="E13" s="79"/>
      <c r="F13" s="79"/>
      <c r="G13" s="79"/>
      <c r="H13" s="79"/>
      <c r="I13" s="79"/>
      <c r="J13" s="79"/>
      <c r="K13" s="79"/>
    </row>
    <row r="14" spans="1:11" x14ac:dyDescent="0.25">
      <c r="A14" s="79"/>
      <c r="B14" s="79"/>
      <c r="C14" s="79"/>
      <c r="D14" s="79"/>
      <c r="E14" s="79"/>
      <c r="F14" s="79"/>
      <c r="G14" s="79"/>
      <c r="H14" s="79"/>
      <c r="I14" s="79"/>
      <c r="J14" s="79"/>
      <c r="K14" s="79"/>
    </row>
    <row r="15" spans="1:11" x14ac:dyDescent="0.25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</row>
    <row r="16" spans="1:11" ht="39.75" customHeight="1" x14ac:dyDescent="0.25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</row>
    <row r="17" spans="1:11" x14ac:dyDescent="0.25">
      <c r="A17" s="80"/>
      <c r="B17" s="80"/>
      <c r="C17" s="80"/>
      <c r="D17" s="80"/>
      <c r="E17" s="80"/>
      <c r="F17" s="80"/>
      <c r="G17" s="80"/>
      <c r="H17" s="80"/>
      <c r="I17" s="80"/>
      <c r="J17" s="80"/>
      <c r="K17" s="80"/>
    </row>
    <row r="18" spans="1:11" ht="25.5" x14ac:dyDescent="0.65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1" ht="15" customHeight="1" x14ac:dyDescent="0.25">
      <c r="A19" s="81" t="s">
        <v>401</v>
      </c>
      <c r="B19" s="81"/>
      <c r="C19" s="81"/>
      <c r="D19" s="81"/>
      <c r="E19" s="81"/>
      <c r="F19" s="81"/>
      <c r="G19" s="81"/>
      <c r="H19" s="81"/>
      <c r="I19" s="81"/>
      <c r="J19" s="81"/>
      <c r="K19" s="81"/>
    </row>
    <row r="20" spans="1:11" ht="15" customHeight="1" x14ac:dyDescent="0.25">
      <c r="A20" s="81"/>
      <c r="B20" s="81"/>
      <c r="C20" s="81"/>
      <c r="D20" s="81"/>
      <c r="E20" s="81"/>
      <c r="F20" s="81"/>
      <c r="G20" s="81"/>
      <c r="H20" s="81"/>
      <c r="I20" s="81"/>
      <c r="J20" s="81"/>
      <c r="K20" s="81"/>
    </row>
    <row r="21" spans="1:11" ht="15" customHeight="1" x14ac:dyDescent="0.25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</row>
    <row r="22" spans="1:11" ht="15" customHeight="1" x14ac:dyDescent="0.25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</row>
    <row r="23" spans="1:11" ht="15" customHeight="1" x14ac:dyDescent="0.25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</row>
    <row r="24" spans="1:11" ht="127.5" customHeight="1" x14ac:dyDescent="0.25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</row>
    <row r="25" spans="1:11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 x14ac:dyDescent="0.25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</row>
    <row r="27" spans="1:11" ht="25.5" x14ac:dyDescent="0.65">
      <c r="A27" s="16"/>
      <c r="B27" s="18"/>
      <c r="C27" s="18"/>
      <c r="D27" s="18"/>
      <c r="E27" s="18"/>
      <c r="F27" s="18"/>
      <c r="G27" s="18"/>
      <c r="H27" s="18"/>
      <c r="I27" s="18"/>
      <c r="J27" s="18"/>
      <c r="K27" s="18"/>
    </row>
    <row r="28" spans="1:11" x14ac:dyDescent="0.25">
      <c r="A28" s="82" t="s">
        <v>400</v>
      </c>
      <c r="B28" s="82"/>
      <c r="C28" s="82"/>
      <c r="D28" s="82"/>
      <c r="E28" s="82"/>
      <c r="F28" s="82"/>
      <c r="G28" s="82"/>
      <c r="H28" s="82"/>
      <c r="I28" s="82"/>
      <c r="J28" s="82"/>
      <c r="K28" s="82"/>
    </row>
    <row r="29" spans="1:11" x14ac:dyDescent="0.25">
      <c r="A29" s="82"/>
      <c r="B29" s="82"/>
      <c r="C29" s="82"/>
      <c r="D29" s="82"/>
      <c r="E29" s="82"/>
      <c r="F29" s="82"/>
      <c r="G29" s="82"/>
      <c r="H29" s="82"/>
      <c r="I29" s="82"/>
      <c r="J29" s="82"/>
      <c r="K29" s="82"/>
    </row>
    <row r="30" spans="1:11" ht="27.75" customHeight="1" x14ac:dyDescent="0.25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</row>
    <row r="31" spans="1:11" ht="27.75" customHeight="1" x14ac:dyDescent="0.25">
      <c r="A31" s="82"/>
      <c r="B31" s="82"/>
      <c r="C31" s="82"/>
      <c r="D31" s="82"/>
      <c r="E31" s="82"/>
      <c r="F31" s="82"/>
      <c r="G31" s="82"/>
      <c r="H31" s="82"/>
      <c r="I31" s="82"/>
      <c r="J31" s="82"/>
      <c r="K31" s="82"/>
    </row>
    <row r="32" spans="1:11" ht="27.75" customHeight="1" x14ac:dyDescent="0.25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</row>
    <row r="33" spans="1:11" x14ac:dyDescent="0.25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</row>
    <row r="34" spans="1:11" x14ac:dyDescent="0.25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</row>
  </sheetData>
  <mergeCells count="5">
    <mergeCell ref="A4:K16"/>
    <mergeCell ref="A17:K17"/>
    <mergeCell ref="A19:K24"/>
    <mergeCell ref="A26:K26"/>
    <mergeCell ref="A28:K3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46"/>
  <sheetViews>
    <sheetView rightToLeft="1" view="pageBreakPreview" zoomScaleNormal="100" zoomScaleSheetLayoutView="100" workbookViewId="0">
      <selection activeCell="L109" sqref="L109"/>
    </sheetView>
  </sheetViews>
  <sheetFormatPr defaultColWidth="9.140625" defaultRowHeight="15.75" x14ac:dyDescent="0.4"/>
  <cols>
    <col min="1" max="1" width="22.85546875" style="2" customWidth="1"/>
    <col min="2" max="2" width="12.42578125" style="2" customWidth="1"/>
    <col min="3" max="4" width="19.85546875" style="2" customWidth="1"/>
    <col min="5" max="5" width="11.85546875" style="2" customWidth="1"/>
    <col min="6" max="6" width="11.42578125" style="2" customWidth="1"/>
    <col min="7" max="7" width="20.85546875" style="2" customWidth="1"/>
    <col min="8" max="8" width="12.85546875" style="2" customWidth="1"/>
    <col min="9" max="9" width="16" style="2" customWidth="1"/>
    <col min="10" max="10" width="16.28515625" style="2" customWidth="1"/>
    <col min="11" max="11" width="14" style="2" customWidth="1"/>
    <col min="12" max="12" width="21.85546875" style="2" customWidth="1"/>
    <col min="13" max="13" width="20" style="2" customWidth="1"/>
    <col min="14" max="14" width="13.42578125" style="2" customWidth="1"/>
    <col min="15" max="16384" width="9.140625" style="2"/>
  </cols>
  <sheetData>
    <row r="1" spans="1:14" ht="21" x14ac:dyDescent="0.55000000000000004">
      <c r="A1" s="92" t="s">
        <v>69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</row>
    <row r="2" spans="1:14" ht="21" x14ac:dyDescent="0.55000000000000004">
      <c r="A2" s="92" t="s">
        <v>57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</row>
    <row r="3" spans="1:14" ht="21" x14ac:dyDescent="0.55000000000000004">
      <c r="A3" s="92" t="s">
        <v>70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</row>
    <row r="4" spans="1:14" ht="21" x14ac:dyDescent="0.4">
      <c r="A4" s="93" t="s">
        <v>24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</row>
    <row r="5" spans="1:14" ht="21" x14ac:dyDescent="0.4">
      <c r="A5" s="93" t="s">
        <v>25</v>
      </c>
      <c r="B5" s="93"/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</row>
    <row r="7" spans="1:14" ht="18.75" customHeight="1" thickBot="1" x14ac:dyDescent="0.45">
      <c r="A7" s="3"/>
      <c r="B7" s="83" t="s">
        <v>72</v>
      </c>
      <c r="C7" s="83"/>
      <c r="D7" s="83"/>
      <c r="E7" s="6"/>
      <c r="F7" s="84" t="s">
        <v>7</v>
      </c>
      <c r="G7" s="84"/>
      <c r="H7" s="84"/>
      <c r="I7" s="84"/>
      <c r="J7" s="83" t="s">
        <v>71</v>
      </c>
      <c r="K7" s="83"/>
      <c r="L7" s="83"/>
      <c r="M7" s="83"/>
      <c r="N7" s="83"/>
    </row>
    <row r="8" spans="1:14" ht="17.25" customHeight="1" x14ac:dyDescent="0.4">
      <c r="A8" s="85" t="s">
        <v>1</v>
      </c>
      <c r="B8" s="87" t="s">
        <v>3</v>
      </c>
      <c r="C8" s="87" t="s">
        <v>0</v>
      </c>
      <c r="D8" s="89" t="s">
        <v>20</v>
      </c>
      <c r="E8" s="90" t="s">
        <v>4</v>
      </c>
      <c r="F8" s="90"/>
      <c r="G8" s="90"/>
      <c r="H8" s="90" t="s">
        <v>5</v>
      </c>
      <c r="I8" s="90"/>
      <c r="J8" s="91" t="s">
        <v>3</v>
      </c>
      <c r="K8" s="89" t="s">
        <v>29</v>
      </c>
      <c r="L8" s="91" t="s">
        <v>0</v>
      </c>
      <c r="M8" s="89" t="s">
        <v>20</v>
      </c>
      <c r="N8" s="89" t="s">
        <v>22</v>
      </c>
    </row>
    <row r="9" spans="1:14" ht="20.25" customHeight="1" thickBot="1" x14ac:dyDescent="0.45">
      <c r="A9" s="86"/>
      <c r="B9" s="88"/>
      <c r="C9" s="88"/>
      <c r="D9" s="86"/>
      <c r="E9" s="11" t="s">
        <v>66</v>
      </c>
      <c r="F9" s="5" t="s">
        <v>3</v>
      </c>
      <c r="G9" s="5" t="s">
        <v>0</v>
      </c>
      <c r="H9" s="5" t="s">
        <v>3</v>
      </c>
      <c r="I9" s="5" t="s">
        <v>56</v>
      </c>
      <c r="J9" s="88"/>
      <c r="K9" s="86"/>
      <c r="L9" s="88"/>
      <c r="M9" s="86"/>
      <c r="N9" s="86"/>
    </row>
    <row r="10" spans="1:14" x14ac:dyDescent="0.4">
      <c r="A10" s="13" t="s">
        <v>127</v>
      </c>
      <c r="B10" s="13">
        <v>9027544</v>
      </c>
      <c r="C10" s="13">
        <v>39743023922</v>
      </c>
      <c r="D10" s="13">
        <v>42200012471</v>
      </c>
      <c r="E10" s="13">
        <v>0</v>
      </c>
      <c r="F10" s="13">
        <v>0</v>
      </c>
      <c r="G10" s="13">
        <v>0</v>
      </c>
      <c r="H10" s="13">
        <v>2100000</v>
      </c>
      <c r="I10" s="13">
        <v>9774982247</v>
      </c>
      <c r="J10" s="13">
        <v>6927544</v>
      </c>
      <c r="K10" s="13">
        <v>4530</v>
      </c>
      <c r="L10" s="13">
        <v>30497945722</v>
      </c>
      <c r="M10" s="13">
        <v>31139193205</v>
      </c>
      <c r="N10" s="14">
        <v>3.3054710104329652E-3</v>
      </c>
    </row>
    <row r="11" spans="1:14" x14ac:dyDescent="0.4">
      <c r="A11" s="13" t="s">
        <v>176</v>
      </c>
      <c r="B11" s="13">
        <v>5542935</v>
      </c>
      <c r="C11" s="13">
        <v>38202489656</v>
      </c>
      <c r="D11" s="13">
        <v>59510953377</v>
      </c>
      <c r="E11" s="13">
        <v>0</v>
      </c>
      <c r="F11" s="13">
        <v>600000</v>
      </c>
      <c r="G11" s="13">
        <v>6743358897</v>
      </c>
      <c r="H11" s="13">
        <v>0</v>
      </c>
      <c r="I11" s="13">
        <v>0</v>
      </c>
      <c r="J11" s="13">
        <v>6142935</v>
      </c>
      <c r="K11" s="13">
        <v>15090</v>
      </c>
      <c r="L11" s="13">
        <v>44945848553</v>
      </c>
      <c r="M11" s="13">
        <v>91980342197</v>
      </c>
      <c r="N11" s="14">
        <v>9.7638481723112923E-3</v>
      </c>
    </row>
    <row r="12" spans="1:14" x14ac:dyDescent="0.4">
      <c r="A12" s="13" t="s">
        <v>179</v>
      </c>
      <c r="B12" s="13">
        <v>158909</v>
      </c>
      <c r="C12" s="13">
        <v>18355763158</v>
      </c>
      <c r="D12" s="13">
        <v>25228901349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158909</v>
      </c>
      <c r="K12" s="13">
        <v>127900</v>
      </c>
      <c r="L12" s="13">
        <v>18355763158</v>
      </c>
      <c r="M12" s="13">
        <v>20167353016</v>
      </c>
      <c r="N12" s="14">
        <v>2.1407940890662462E-3</v>
      </c>
    </row>
    <row r="13" spans="1:14" x14ac:dyDescent="0.4">
      <c r="A13" s="13" t="s">
        <v>181</v>
      </c>
      <c r="B13" s="13">
        <v>4862943</v>
      </c>
      <c r="C13" s="13">
        <v>35264692153</v>
      </c>
      <c r="D13" s="13">
        <v>49170341472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4862943</v>
      </c>
      <c r="K13" s="13">
        <v>11540</v>
      </c>
      <c r="L13" s="13">
        <v>35264692153</v>
      </c>
      <c r="M13" s="13">
        <v>55684567280</v>
      </c>
      <c r="N13" s="14">
        <v>5.9109984533250214E-3</v>
      </c>
    </row>
    <row r="14" spans="1:14" x14ac:dyDescent="0.4">
      <c r="A14" s="13" t="s">
        <v>183</v>
      </c>
      <c r="B14" s="13">
        <v>88610</v>
      </c>
      <c r="C14" s="13">
        <v>808821735</v>
      </c>
      <c r="D14" s="13">
        <v>1314479418</v>
      </c>
      <c r="E14" s="13">
        <v>23633</v>
      </c>
      <c r="F14" s="13">
        <v>0</v>
      </c>
      <c r="G14" s="13">
        <v>0</v>
      </c>
      <c r="H14" s="13">
        <v>0</v>
      </c>
      <c r="I14" s="13">
        <v>0</v>
      </c>
      <c r="J14" s="13">
        <v>112243</v>
      </c>
      <c r="K14" s="13">
        <v>16890</v>
      </c>
      <c r="L14" s="13">
        <v>1024541000</v>
      </c>
      <c r="M14" s="13">
        <v>1881129858</v>
      </c>
      <c r="N14" s="14">
        <v>1.9968469226365365E-4</v>
      </c>
    </row>
    <row r="15" spans="1:14" x14ac:dyDescent="0.4">
      <c r="A15" s="13" t="s">
        <v>376</v>
      </c>
      <c r="B15" s="13">
        <v>23633</v>
      </c>
      <c r="C15" s="13">
        <v>192086265</v>
      </c>
      <c r="D15" s="13">
        <v>293128961</v>
      </c>
      <c r="E15" s="13">
        <v>-23633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4">
        <v>0</v>
      </c>
    </row>
    <row r="16" spans="1:14" x14ac:dyDescent="0.4">
      <c r="A16" s="13" t="s">
        <v>185</v>
      </c>
      <c r="B16" s="13">
        <v>3814542</v>
      </c>
      <c r="C16" s="13">
        <v>16572695909</v>
      </c>
      <c r="D16" s="13">
        <v>18081210555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3814542</v>
      </c>
      <c r="K16" s="13">
        <v>3918</v>
      </c>
      <c r="L16" s="13">
        <v>16572695909</v>
      </c>
      <c r="M16" s="13">
        <v>14829847803</v>
      </c>
      <c r="N16" s="14">
        <v>1.574210085638264E-3</v>
      </c>
    </row>
    <row r="17" spans="1:14" x14ac:dyDescent="0.4">
      <c r="A17" s="13" t="s">
        <v>330</v>
      </c>
      <c r="B17" s="13">
        <v>245000</v>
      </c>
      <c r="C17" s="13">
        <v>1829159370</v>
      </c>
      <c r="D17" s="13">
        <v>3539625544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245000</v>
      </c>
      <c r="K17" s="13">
        <v>13940</v>
      </c>
      <c r="L17" s="13">
        <v>1829159370</v>
      </c>
      <c r="M17" s="13">
        <v>3388899731</v>
      </c>
      <c r="N17" s="14">
        <v>3.5973667475385618E-4</v>
      </c>
    </row>
    <row r="18" spans="1:14" x14ac:dyDescent="0.4">
      <c r="A18" s="13" t="s">
        <v>143</v>
      </c>
      <c r="B18" s="13">
        <v>10724125</v>
      </c>
      <c r="C18" s="13">
        <v>56454491415</v>
      </c>
      <c r="D18" s="13">
        <v>55760032172</v>
      </c>
      <c r="E18" s="13">
        <v>0</v>
      </c>
      <c r="F18" s="13">
        <v>0</v>
      </c>
      <c r="G18" s="13">
        <v>0</v>
      </c>
      <c r="H18" s="13">
        <v>1200000</v>
      </c>
      <c r="I18" s="13">
        <v>6420736889</v>
      </c>
      <c r="J18" s="13">
        <v>9524125</v>
      </c>
      <c r="K18" s="13">
        <v>5570</v>
      </c>
      <c r="L18" s="13">
        <v>50137389582</v>
      </c>
      <c r="M18" s="13">
        <v>52639304572</v>
      </c>
      <c r="N18" s="14">
        <v>5.5877393523528652E-3</v>
      </c>
    </row>
    <row r="19" spans="1:14" x14ac:dyDescent="0.4">
      <c r="A19" s="13" t="s">
        <v>149</v>
      </c>
      <c r="B19" s="13">
        <v>3135450</v>
      </c>
      <c r="C19" s="13">
        <v>33774231367</v>
      </c>
      <c r="D19" s="13">
        <v>44054775676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3135450</v>
      </c>
      <c r="K19" s="13">
        <v>15450</v>
      </c>
      <c r="L19" s="13">
        <v>33774231367</v>
      </c>
      <c r="M19" s="13">
        <v>48068240410</v>
      </c>
      <c r="N19" s="14">
        <v>5.1025141901320939E-3</v>
      </c>
    </row>
    <row r="20" spans="1:14" x14ac:dyDescent="0.4">
      <c r="A20" s="13" t="s">
        <v>188</v>
      </c>
      <c r="B20" s="13">
        <v>8948358</v>
      </c>
      <c r="C20" s="13">
        <v>14347988206</v>
      </c>
      <c r="D20" s="13">
        <v>31938436332</v>
      </c>
      <c r="E20" s="13">
        <v>2019335</v>
      </c>
      <c r="F20" s="13">
        <v>0</v>
      </c>
      <c r="G20" s="13">
        <v>0</v>
      </c>
      <c r="H20" s="13">
        <v>0</v>
      </c>
      <c r="I20" s="13">
        <v>0</v>
      </c>
      <c r="J20" s="13">
        <v>10967693</v>
      </c>
      <c r="K20" s="13">
        <v>2785</v>
      </c>
      <c r="L20" s="13">
        <v>14347988206</v>
      </c>
      <c r="M20" s="13">
        <v>30308911962</v>
      </c>
      <c r="N20" s="14">
        <v>3.2173354392518185E-3</v>
      </c>
    </row>
    <row r="21" spans="1:14" x14ac:dyDescent="0.4">
      <c r="A21" s="13" t="s">
        <v>144</v>
      </c>
      <c r="B21" s="13">
        <v>15021427</v>
      </c>
      <c r="C21" s="13">
        <v>68817697842</v>
      </c>
      <c r="D21" s="13">
        <v>100461798629</v>
      </c>
      <c r="E21" s="13">
        <v>0</v>
      </c>
      <c r="F21" s="13">
        <v>0</v>
      </c>
      <c r="G21" s="13">
        <v>0</v>
      </c>
      <c r="H21" s="13">
        <v>2400000</v>
      </c>
      <c r="I21" s="13">
        <v>22719014095</v>
      </c>
      <c r="J21" s="13">
        <v>12621427</v>
      </c>
      <c r="K21" s="13">
        <v>10350</v>
      </c>
      <c r="L21" s="13">
        <v>57822572358</v>
      </c>
      <c r="M21" s="13">
        <v>129621985872</v>
      </c>
      <c r="N21" s="14">
        <v>1.3759563833074825E-2</v>
      </c>
    </row>
    <row r="22" spans="1:14" x14ac:dyDescent="0.4">
      <c r="A22" s="13" t="s">
        <v>96</v>
      </c>
      <c r="B22" s="13">
        <v>1505609</v>
      </c>
      <c r="C22" s="13">
        <v>23779834687</v>
      </c>
      <c r="D22" s="13">
        <v>40128051456</v>
      </c>
      <c r="E22" s="13">
        <v>0</v>
      </c>
      <c r="F22" s="13">
        <v>0</v>
      </c>
      <c r="G22" s="13">
        <v>0</v>
      </c>
      <c r="H22" s="13">
        <v>100000</v>
      </c>
      <c r="I22" s="13">
        <v>2715842996</v>
      </c>
      <c r="J22" s="13">
        <v>1405609</v>
      </c>
      <c r="K22" s="13">
        <v>29030</v>
      </c>
      <c r="L22" s="13">
        <v>22200418339</v>
      </c>
      <c r="M22" s="13">
        <v>40489407940</v>
      </c>
      <c r="N22" s="14">
        <v>4.2980100124679621E-3</v>
      </c>
    </row>
    <row r="23" spans="1:14" x14ac:dyDescent="0.4">
      <c r="A23" s="13" t="s">
        <v>117</v>
      </c>
      <c r="B23" s="13">
        <v>10003637</v>
      </c>
      <c r="C23" s="13">
        <v>26253752222</v>
      </c>
      <c r="D23" s="13">
        <v>24071299049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10003637</v>
      </c>
      <c r="K23" s="13">
        <v>2463</v>
      </c>
      <c r="L23" s="13">
        <v>26253752222</v>
      </c>
      <c r="M23" s="13">
        <v>24448498786</v>
      </c>
      <c r="N23" s="14">
        <v>2.5952439889403533E-3</v>
      </c>
    </row>
    <row r="24" spans="1:14" x14ac:dyDescent="0.4">
      <c r="A24" s="13" t="s">
        <v>107</v>
      </c>
      <c r="B24" s="13">
        <v>28071939</v>
      </c>
      <c r="C24" s="13">
        <v>65149474268</v>
      </c>
      <c r="D24" s="13">
        <v>83453408963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28071939</v>
      </c>
      <c r="K24" s="13">
        <v>2787</v>
      </c>
      <c r="L24" s="13">
        <v>65149474268</v>
      </c>
      <c r="M24" s="13">
        <v>77631725894</v>
      </c>
      <c r="N24" s="14">
        <v>8.2407215159091395E-3</v>
      </c>
    </row>
    <row r="25" spans="1:14" x14ac:dyDescent="0.4">
      <c r="A25" s="13" t="s">
        <v>141</v>
      </c>
      <c r="B25" s="13">
        <v>131507736</v>
      </c>
      <c r="C25" s="13">
        <v>72251472549</v>
      </c>
      <c r="D25" s="13">
        <v>75162920372</v>
      </c>
      <c r="E25" s="13">
        <v>0</v>
      </c>
      <c r="F25" s="13">
        <v>0</v>
      </c>
      <c r="G25" s="13">
        <v>0</v>
      </c>
      <c r="H25" s="13">
        <v>27000000</v>
      </c>
      <c r="I25" s="13">
        <v>14794745832</v>
      </c>
      <c r="J25" s="13">
        <v>104507736</v>
      </c>
      <c r="K25" s="13">
        <v>504</v>
      </c>
      <c r="L25" s="13">
        <v>57417442109</v>
      </c>
      <c r="M25" s="13">
        <v>52264745165</v>
      </c>
      <c r="N25" s="14">
        <v>5.5479793221756973E-3</v>
      </c>
    </row>
    <row r="26" spans="1:14" x14ac:dyDescent="0.4">
      <c r="A26" s="13" t="s">
        <v>192</v>
      </c>
      <c r="B26" s="13">
        <v>1750000</v>
      </c>
      <c r="C26" s="13">
        <v>4291393050</v>
      </c>
      <c r="D26" s="13">
        <v>4652009827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1750000</v>
      </c>
      <c r="K26" s="13">
        <v>4090</v>
      </c>
      <c r="L26" s="13">
        <v>4291393050</v>
      </c>
      <c r="M26" s="13">
        <v>7102172525</v>
      </c>
      <c r="N26" s="14">
        <v>7.5390602569341662E-4</v>
      </c>
    </row>
    <row r="27" spans="1:14" x14ac:dyDescent="0.4">
      <c r="A27" s="13" t="s">
        <v>377</v>
      </c>
      <c r="B27" s="13">
        <v>31353305</v>
      </c>
      <c r="C27" s="13">
        <v>41262935127</v>
      </c>
      <c r="D27" s="13">
        <v>47288634808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31353305</v>
      </c>
      <c r="K27" s="13">
        <v>1340</v>
      </c>
      <c r="L27" s="13">
        <v>41262935127</v>
      </c>
      <c r="M27" s="13">
        <v>41688664896</v>
      </c>
      <c r="N27" s="14">
        <v>4.4253128965221818E-3</v>
      </c>
    </row>
    <row r="28" spans="1:14" x14ac:dyDescent="0.4">
      <c r="A28" s="13" t="s">
        <v>89</v>
      </c>
      <c r="B28" s="13">
        <v>36217996</v>
      </c>
      <c r="C28" s="13">
        <v>17509465532</v>
      </c>
      <c r="D28" s="13">
        <v>23072215832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36217996</v>
      </c>
      <c r="K28" s="13">
        <v>528</v>
      </c>
      <c r="L28" s="13">
        <v>17509465532</v>
      </c>
      <c r="M28" s="13">
        <v>18975280310</v>
      </c>
      <c r="N28" s="14">
        <v>2.0142538236820207E-3</v>
      </c>
    </row>
    <row r="29" spans="1:14" x14ac:dyDescent="0.4">
      <c r="A29" s="13" t="s">
        <v>159</v>
      </c>
      <c r="B29" s="13">
        <v>6800000</v>
      </c>
      <c r="C29" s="13">
        <v>22892904586</v>
      </c>
      <c r="D29" s="13">
        <v>31004468420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6800000</v>
      </c>
      <c r="K29" s="13">
        <v>5270</v>
      </c>
      <c r="L29" s="13">
        <v>22892904586</v>
      </c>
      <c r="M29" s="13">
        <v>35558987720</v>
      </c>
      <c r="N29" s="14">
        <v>3.7746386778552952E-3</v>
      </c>
    </row>
    <row r="30" spans="1:14" x14ac:dyDescent="0.4">
      <c r="A30" s="13" t="s">
        <v>92</v>
      </c>
      <c r="B30" s="13">
        <v>9075143</v>
      </c>
      <c r="C30" s="13">
        <v>22527001257</v>
      </c>
      <c r="D30" s="13">
        <v>24727708429</v>
      </c>
      <c r="E30" s="13">
        <v>0</v>
      </c>
      <c r="F30" s="13">
        <v>0</v>
      </c>
      <c r="G30" s="13">
        <v>0</v>
      </c>
      <c r="H30" s="13">
        <v>3000000</v>
      </c>
      <c r="I30" s="13">
        <v>7538350190</v>
      </c>
      <c r="J30" s="13">
        <v>6075143</v>
      </c>
      <c r="K30" s="13">
        <v>2518</v>
      </c>
      <c r="L30" s="13">
        <v>15080176037</v>
      </c>
      <c r="M30" s="13">
        <v>15178962640</v>
      </c>
      <c r="N30" s="14">
        <v>1.6112691374068318E-3</v>
      </c>
    </row>
    <row r="31" spans="1:14" x14ac:dyDescent="0.4">
      <c r="A31" s="13" t="s">
        <v>368</v>
      </c>
      <c r="B31" s="13">
        <v>62123085</v>
      </c>
      <c r="C31" s="13">
        <v>37500861252</v>
      </c>
      <c r="D31" s="13">
        <v>42841797119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62123085</v>
      </c>
      <c r="K31" s="13">
        <v>641</v>
      </c>
      <c r="L31" s="13">
        <v>37500861252</v>
      </c>
      <c r="M31" s="13">
        <v>39513081947</v>
      </c>
      <c r="N31" s="14">
        <v>4.1943715769649026E-3</v>
      </c>
    </row>
    <row r="32" spans="1:14" x14ac:dyDescent="0.4">
      <c r="A32" s="13" t="s">
        <v>146</v>
      </c>
      <c r="B32" s="13">
        <v>53696139</v>
      </c>
      <c r="C32" s="13">
        <v>60375109062</v>
      </c>
      <c r="D32" s="13">
        <v>70650695963</v>
      </c>
      <c r="E32" s="13">
        <v>0</v>
      </c>
      <c r="F32" s="13">
        <v>0</v>
      </c>
      <c r="G32" s="13">
        <v>0</v>
      </c>
      <c r="H32" s="13">
        <v>10000000</v>
      </c>
      <c r="I32" s="13">
        <v>12452988583</v>
      </c>
      <c r="J32" s="13">
        <v>43696139</v>
      </c>
      <c r="K32" s="13">
        <v>1118</v>
      </c>
      <c r="L32" s="13">
        <v>49131263567</v>
      </c>
      <c r="M32" s="13">
        <v>48474655251</v>
      </c>
      <c r="N32" s="14">
        <v>5.1456557213301318E-3</v>
      </c>
    </row>
    <row r="33" spans="1:14" x14ac:dyDescent="0.4">
      <c r="A33" s="13" t="s">
        <v>110</v>
      </c>
      <c r="B33" s="13">
        <v>15303159</v>
      </c>
      <c r="C33" s="13">
        <v>54437517421</v>
      </c>
      <c r="D33" s="13">
        <v>77898360430</v>
      </c>
      <c r="E33" s="13">
        <v>0</v>
      </c>
      <c r="F33" s="13">
        <v>0</v>
      </c>
      <c r="G33" s="13">
        <v>0</v>
      </c>
      <c r="H33" s="13">
        <v>600000</v>
      </c>
      <c r="I33" s="13">
        <v>2664418253</v>
      </c>
      <c r="J33" s="13">
        <v>14703159</v>
      </c>
      <c r="K33" s="13">
        <v>4440</v>
      </c>
      <c r="L33" s="13">
        <v>52303153500</v>
      </c>
      <c r="M33" s="13">
        <v>64777395899</v>
      </c>
      <c r="N33" s="14">
        <v>6.87621554180481E-3</v>
      </c>
    </row>
    <row r="34" spans="1:14" x14ac:dyDescent="0.4">
      <c r="A34" s="13" t="s">
        <v>95</v>
      </c>
      <c r="B34" s="13">
        <v>16845192</v>
      </c>
      <c r="C34" s="13">
        <v>25154564634</v>
      </c>
      <c r="D34" s="13">
        <v>31273725084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16845192</v>
      </c>
      <c r="K34" s="13">
        <v>1558</v>
      </c>
      <c r="L34" s="13">
        <v>25154564634</v>
      </c>
      <c r="M34" s="13">
        <v>26041936761</v>
      </c>
      <c r="N34" s="14">
        <v>2.7643897660518738E-3</v>
      </c>
    </row>
    <row r="35" spans="1:14" x14ac:dyDescent="0.4">
      <c r="A35" s="13" t="s">
        <v>195</v>
      </c>
      <c r="B35" s="13">
        <v>9210264</v>
      </c>
      <c r="C35" s="13">
        <v>15031859870</v>
      </c>
      <c r="D35" s="13">
        <v>27508596664</v>
      </c>
      <c r="E35" s="13">
        <v>1315751</v>
      </c>
      <c r="F35" s="13">
        <v>0</v>
      </c>
      <c r="G35" s="13">
        <v>0</v>
      </c>
      <c r="H35" s="13">
        <v>0</v>
      </c>
      <c r="I35" s="13">
        <v>0</v>
      </c>
      <c r="J35" s="13">
        <v>10526015</v>
      </c>
      <c r="K35" s="13">
        <v>2580</v>
      </c>
      <c r="L35" s="13">
        <v>15031859870</v>
      </c>
      <c r="M35" s="13">
        <v>26947194172</v>
      </c>
      <c r="N35" s="14">
        <v>2.8604841673852913E-3</v>
      </c>
    </row>
    <row r="36" spans="1:14" x14ac:dyDescent="0.4">
      <c r="A36" s="13" t="s">
        <v>132</v>
      </c>
      <c r="B36" s="13">
        <v>20851248</v>
      </c>
      <c r="C36" s="13">
        <v>42263378050</v>
      </c>
      <c r="D36" s="13">
        <v>44276745205</v>
      </c>
      <c r="E36" s="13">
        <v>0</v>
      </c>
      <c r="F36" s="13">
        <v>0</v>
      </c>
      <c r="G36" s="13">
        <v>0</v>
      </c>
      <c r="H36" s="13">
        <v>4000000</v>
      </c>
      <c r="I36" s="13">
        <v>7918374180</v>
      </c>
      <c r="J36" s="13">
        <v>16851248</v>
      </c>
      <c r="K36" s="13">
        <v>1900</v>
      </c>
      <c r="L36" s="13">
        <v>34155781219</v>
      </c>
      <c r="M36" s="13">
        <v>31769876921</v>
      </c>
      <c r="N36" s="14">
        <v>3.3724190115024147E-3</v>
      </c>
    </row>
    <row r="37" spans="1:14" x14ac:dyDescent="0.4">
      <c r="A37" s="13" t="s">
        <v>196</v>
      </c>
      <c r="B37" s="13">
        <v>2875000</v>
      </c>
      <c r="C37" s="13">
        <v>4907321845</v>
      </c>
      <c r="D37" s="13">
        <v>5491594281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2875000</v>
      </c>
      <c r="K37" s="13">
        <v>2160</v>
      </c>
      <c r="L37" s="13">
        <v>4907321845</v>
      </c>
      <c r="M37" s="13">
        <v>6161996700</v>
      </c>
      <c r="N37" s="14">
        <v>6.5410498352163704E-4</v>
      </c>
    </row>
    <row r="38" spans="1:14" x14ac:dyDescent="0.4">
      <c r="A38" s="13" t="s">
        <v>378</v>
      </c>
      <c r="B38" s="13">
        <v>6000000</v>
      </c>
      <c r="C38" s="13">
        <v>72340764580</v>
      </c>
      <c r="D38" s="13">
        <v>73229526000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6000000</v>
      </c>
      <c r="K38" s="13">
        <v>12500</v>
      </c>
      <c r="L38" s="13">
        <v>72340764580</v>
      </c>
      <c r="M38" s="13">
        <v>74420250000</v>
      </c>
      <c r="N38" s="14">
        <v>7.8998186415656646E-3</v>
      </c>
    </row>
    <row r="39" spans="1:14" x14ac:dyDescent="0.4">
      <c r="A39" s="13" t="s">
        <v>84</v>
      </c>
      <c r="B39" s="13">
        <v>17463245</v>
      </c>
      <c r="C39" s="13">
        <v>23932188275</v>
      </c>
      <c r="D39" s="13">
        <v>24900701165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17463245</v>
      </c>
      <c r="K39" s="13">
        <v>1260</v>
      </c>
      <c r="L39" s="13">
        <v>23932188275</v>
      </c>
      <c r="M39" s="13">
        <v>21833600186</v>
      </c>
      <c r="N39" s="14">
        <v>2.3176686689691901E-3</v>
      </c>
    </row>
    <row r="40" spans="1:14" x14ac:dyDescent="0.4">
      <c r="A40" s="13" t="s">
        <v>199</v>
      </c>
      <c r="B40" s="13">
        <v>4793305</v>
      </c>
      <c r="C40" s="13">
        <v>9224987442</v>
      </c>
      <c r="D40" s="13">
        <v>13117745091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4793305</v>
      </c>
      <c r="K40" s="13">
        <v>2780</v>
      </c>
      <c r="L40" s="13">
        <v>9224987442</v>
      </c>
      <c r="M40" s="13">
        <v>13222382652</v>
      </c>
      <c r="N40" s="14">
        <v>1.4035753032297534E-3</v>
      </c>
    </row>
    <row r="41" spans="1:14" x14ac:dyDescent="0.4">
      <c r="A41" s="13" t="s">
        <v>164</v>
      </c>
      <c r="B41" s="13">
        <v>18617878</v>
      </c>
      <c r="C41" s="13">
        <v>30626130885</v>
      </c>
      <c r="D41" s="13">
        <v>29780026427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18617878</v>
      </c>
      <c r="K41" s="13">
        <v>1779</v>
      </c>
      <c r="L41" s="13">
        <v>30626130885</v>
      </c>
      <c r="M41" s="13">
        <v>32865178048</v>
      </c>
      <c r="N41" s="14">
        <v>3.4886868319034814E-3</v>
      </c>
    </row>
    <row r="42" spans="1:14" x14ac:dyDescent="0.4">
      <c r="A42" s="13" t="s">
        <v>105</v>
      </c>
      <c r="B42" s="13">
        <v>14092011</v>
      </c>
      <c r="C42" s="13">
        <v>38197340961</v>
      </c>
      <c r="D42" s="13">
        <v>36775499756</v>
      </c>
      <c r="E42" s="13">
        <v>0</v>
      </c>
      <c r="F42" s="13">
        <v>0</v>
      </c>
      <c r="G42" s="13">
        <v>0</v>
      </c>
      <c r="H42" s="13">
        <v>1000000</v>
      </c>
      <c r="I42" s="13">
        <v>2555464625</v>
      </c>
      <c r="J42" s="13">
        <v>13092011</v>
      </c>
      <c r="K42" s="13">
        <v>2339</v>
      </c>
      <c r="L42" s="13">
        <v>35486773891</v>
      </c>
      <c r="M42" s="13">
        <v>30385504017</v>
      </c>
      <c r="N42" s="14">
        <v>3.2254657981781168E-3</v>
      </c>
    </row>
    <row r="43" spans="1:14" x14ac:dyDescent="0.4">
      <c r="A43" s="13" t="s">
        <v>135</v>
      </c>
      <c r="B43" s="13">
        <v>5838695</v>
      </c>
      <c r="C43" s="13">
        <v>24846373825</v>
      </c>
      <c r="D43" s="13">
        <v>46174688245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5838695</v>
      </c>
      <c r="K43" s="13">
        <v>7420</v>
      </c>
      <c r="L43" s="13">
        <v>24846373825</v>
      </c>
      <c r="M43" s="13">
        <v>42988229206</v>
      </c>
      <c r="N43" s="14">
        <v>4.5632635532594466E-3</v>
      </c>
    </row>
    <row r="44" spans="1:14" x14ac:dyDescent="0.4">
      <c r="A44" s="13" t="s">
        <v>153</v>
      </c>
      <c r="B44" s="13">
        <v>11316183</v>
      </c>
      <c r="C44" s="13">
        <v>40989660782</v>
      </c>
      <c r="D44" s="13">
        <v>62543908603</v>
      </c>
      <c r="E44" s="13">
        <v>0</v>
      </c>
      <c r="F44" s="13">
        <v>0</v>
      </c>
      <c r="G44" s="13">
        <v>0</v>
      </c>
      <c r="H44" s="13">
        <v>2100000</v>
      </c>
      <c r="I44" s="13">
        <v>13877888264</v>
      </c>
      <c r="J44" s="13">
        <v>9216183</v>
      </c>
      <c r="K44" s="13">
        <v>8340</v>
      </c>
      <c r="L44" s="13">
        <v>33383006874</v>
      </c>
      <c r="M44" s="13">
        <v>76268815491</v>
      </c>
      <c r="N44" s="14">
        <v>8.0960465785311648E-3</v>
      </c>
    </row>
    <row r="45" spans="1:14" x14ac:dyDescent="0.4">
      <c r="A45" s="13" t="s">
        <v>203</v>
      </c>
      <c r="B45" s="13">
        <v>14328056</v>
      </c>
      <c r="C45" s="13">
        <v>36824471122</v>
      </c>
      <c r="D45" s="13">
        <v>36296767225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14328056</v>
      </c>
      <c r="K45" s="13">
        <v>2320</v>
      </c>
      <c r="L45" s="13">
        <v>36824471122</v>
      </c>
      <c r="M45" s="13">
        <v>32984136295</v>
      </c>
      <c r="N45" s="14">
        <v>3.5013144242216818E-3</v>
      </c>
    </row>
    <row r="46" spans="1:14" x14ac:dyDescent="0.4">
      <c r="A46" s="13" t="s">
        <v>204</v>
      </c>
      <c r="B46" s="13">
        <v>13400000</v>
      </c>
      <c r="C46" s="13">
        <v>34068351317</v>
      </c>
      <c r="D46" s="13">
        <v>51005059448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13400000</v>
      </c>
      <c r="K46" s="13">
        <v>5400</v>
      </c>
      <c r="L46" s="13">
        <v>34068351317</v>
      </c>
      <c r="M46" s="13">
        <v>71800657200</v>
      </c>
      <c r="N46" s="14">
        <v>7.6217450253825529E-3</v>
      </c>
    </row>
    <row r="47" spans="1:14" x14ac:dyDescent="0.4">
      <c r="A47" s="13" t="s">
        <v>205</v>
      </c>
      <c r="B47" s="13">
        <v>8157161</v>
      </c>
      <c r="C47" s="13">
        <v>32377991325</v>
      </c>
      <c r="D47" s="13">
        <v>42583092431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8157161</v>
      </c>
      <c r="K47" s="13">
        <v>8350</v>
      </c>
      <c r="L47" s="13">
        <v>32377991325</v>
      </c>
      <c r="M47" s="13">
        <v>67585786315</v>
      </c>
      <c r="N47" s="14">
        <v>7.1743303017137213E-3</v>
      </c>
    </row>
    <row r="48" spans="1:14" x14ac:dyDescent="0.4">
      <c r="A48" s="13" t="s">
        <v>374</v>
      </c>
      <c r="B48" s="13">
        <v>842177</v>
      </c>
      <c r="C48" s="13">
        <v>2001916090</v>
      </c>
      <c r="D48" s="13">
        <v>3084446793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842177</v>
      </c>
      <c r="K48" s="13">
        <v>3490</v>
      </c>
      <c r="L48" s="13">
        <v>2001916090</v>
      </c>
      <c r="M48" s="13">
        <v>2916477732</v>
      </c>
      <c r="N48" s="14">
        <v>3.0958838696409577E-4</v>
      </c>
    </row>
    <row r="49" spans="1:14" x14ac:dyDescent="0.4">
      <c r="A49" s="13" t="s">
        <v>207</v>
      </c>
      <c r="B49" s="13">
        <v>285750</v>
      </c>
      <c r="C49" s="13">
        <v>12123197874</v>
      </c>
      <c r="D49" s="13">
        <v>15878304540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285750</v>
      </c>
      <c r="K49" s="13">
        <v>52170</v>
      </c>
      <c r="L49" s="13">
        <v>12123197874</v>
      </c>
      <c r="M49" s="13">
        <v>14792341926</v>
      </c>
      <c r="N49" s="14">
        <v>1.5702287818090928E-3</v>
      </c>
    </row>
    <row r="50" spans="1:14" x14ac:dyDescent="0.4">
      <c r="A50" s="13" t="s">
        <v>209</v>
      </c>
      <c r="B50" s="13">
        <v>11678863</v>
      </c>
      <c r="C50" s="13">
        <v>13769132593</v>
      </c>
      <c r="D50" s="13">
        <v>16780271643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11678863</v>
      </c>
      <c r="K50" s="13">
        <v>1417</v>
      </c>
      <c r="L50" s="13">
        <v>13769132593</v>
      </c>
      <c r="M50" s="13">
        <v>16421025496</v>
      </c>
      <c r="N50" s="14">
        <v>1.7431159305017904E-3</v>
      </c>
    </row>
    <row r="51" spans="1:14" x14ac:dyDescent="0.4">
      <c r="A51" s="13" t="s">
        <v>210</v>
      </c>
      <c r="B51" s="13">
        <v>4235616</v>
      </c>
      <c r="C51" s="13">
        <v>25331597960</v>
      </c>
      <c r="D51" s="13">
        <v>30849100212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4235616</v>
      </c>
      <c r="K51" s="13">
        <v>6000</v>
      </c>
      <c r="L51" s="13">
        <v>25331597960</v>
      </c>
      <c r="M51" s="13">
        <v>25217248130</v>
      </c>
      <c r="N51" s="14">
        <v>2.6768478588335954E-3</v>
      </c>
    </row>
    <row r="52" spans="1:14" x14ac:dyDescent="0.4">
      <c r="A52" s="13" t="s">
        <v>212</v>
      </c>
      <c r="B52" s="13">
        <v>250000</v>
      </c>
      <c r="C52" s="13">
        <v>800726400</v>
      </c>
      <c r="D52" s="13">
        <v>1709185075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250000</v>
      </c>
      <c r="K52" s="13">
        <v>9940</v>
      </c>
      <c r="L52" s="13">
        <v>800726400</v>
      </c>
      <c r="M52" s="13">
        <v>2465790950</v>
      </c>
      <c r="N52" s="14">
        <v>2.617473243238757E-4</v>
      </c>
    </row>
    <row r="53" spans="1:14" x14ac:dyDescent="0.4">
      <c r="A53" s="13" t="s">
        <v>214</v>
      </c>
      <c r="B53" s="13">
        <v>11060139</v>
      </c>
      <c r="C53" s="13">
        <v>53454095898</v>
      </c>
      <c r="D53" s="13">
        <v>55970685040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11060139</v>
      </c>
      <c r="K53" s="13">
        <v>4590</v>
      </c>
      <c r="L53" s="13">
        <v>53454095898</v>
      </c>
      <c r="M53" s="13">
        <v>50373616536</v>
      </c>
      <c r="N53" s="14">
        <v>5.3472332457116609E-3</v>
      </c>
    </row>
    <row r="54" spans="1:14" x14ac:dyDescent="0.4">
      <c r="A54" s="13" t="s">
        <v>114</v>
      </c>
      <c r="B54" s="13">
        <v>189400</v>
      </c>
      <c r="C54" s="13">
        <v>27382794088</v>
      </c>
      <c r="D54" s="13">
        <v>33978817590</v>
      </c>
      <c r="E54" s="13">
        <v>0</v>
      </c>
      <c r="F54" s="13">
        <v>0</v>
      </c>
      <c r="G54" s="13">
        <v>0</v>
      </c>
      <c r="H54" s="13">
        <v>30000</v>
      </c>
      <c r="I54" s="13">
        <v>4432793717</v>
      </c>
      <c r="J54" s="13">
        <v>159400</v>
      </c>
      <c r="K54" s="13">
        <v>153200</v>
      </c>
      <c r="L54" s="13">
        <v>23045498298</v>
      </c>
      <c r="M54" s="13">
        <v>24231312782</v>
      </c>
      <c r="N54" s="14">
        <v>2.5721893762094585E-3</v>
      </c>
    </row>
    <row r="55" spans="1:14" x14ac:dyDescent="0.4">
      <c r="A55" s="13" t="s">
        <v>148</v>
      </c>
      <c r="B55" s="13">
        <v>3535701</v>
      </c>
      <c r="C55" s="13">
        <v>25736313740</v>
      </c>
      <c r="D55" s="13">
        <v>40942678265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3535701</v>
      </c>
      <c r="K55" s="13">
        <v>8340</v>
      </c>
      <c r="L55" s="13">
        <v>25736313740</v>
      </c>
      <c r="M55" s="13">
        <v>29259806061</v>
      </c>
      <c r="N55" s="14">
        <v>3.1059713098153235E-3</v>
      </c>
    </row>
    <row r="56" spans="1:14" x14ac:dyDescent="0.4">
      <c r="A56" s="13" t="s">
        <v>128</v>
      </c>
      <c r="B56" s="13">
        <v>7283236</v>
      </c>
      <c r="C56" s="13">
        <v>47617025660</v>
      </c>
      <c r="D56" s="13">
        <v>48998630051</v>
      </c>
      <c r="E56" s="13">
        <v>0</v>
      </c>
      <c r="F56" s="13">
        <v>0</v>
      </c>
      <c r="G56" s="13">
        <v>0</v>
      </c>
      <c r="H56" s="13">
        <v>300000</v>
      </c>
      <c r="I56" s="13">
        <v>1893251175</v>
      </c>
      <c r="J56" s="13">
        <v>6983236</v>
      </c>
      <c r="K56" s="13">
        <v>5760</v>
      </c>
      <c r="L56" s="13">
        <v>45655657431</v>
      </c>
      <c r="M56" s="13">
        <v>39912512174</v>
      </c>
      <c r="N56" s="14">
        <v>4.2367716811470228E-3</v>
      </c>
    </row>
    <row r="57" spans="1:14" x14ac:dyDescent="0.4">
      <c r="A57" s="13" t="s">
        <v>123</v>
      </c>
      <c r="B57" s="13">
        <v>12960615</v>
      </c>
      <c r="C57" s="13">
        <v>29251419417</v>
      </c>
      <c r="D57" s="13">
        <v>25399348156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12960615</v>
      </c>
      <c r="K57" s="13">
        <v>2183</v>
      </c>
      <c r="L57" s="13">
        <v>29251419417</v>
      </c>
      <c r="M57" s="13">
        <v>28074317481</v>
      </c>
      <c r="N57" s="14">
        <v>2.9801299590586782E-3</v>
      </c>
    </row>
    <row r="58" spans="1:14" x14ac:dyDescent="0.4">
      <c r="A58" s="13" t="s">
        <v>157</v>
      </c>
      <c r="B58" s="13">
        <v>17327841</v>
      </c>
      <c r="C58" s="13">
        <v>27796261257</v>
      </c>
      <c r="D58" s="13">
        <v>41127801119</v>
      </c>
      <c r="E58" s="13">
        <v>0</v>
      </c>
      <c r="F58" s="13">
        <v>0</v>
      </c>
      <c r="G58" s="13">
        <v>0</v>
      </c>
      <c r="H58" s="13">
        <v>4000000</v>
      </c>
      <c r="I58" s="13">
        <v>9170223341</v>
      </c>
      <c r="J58" s="13">
        <v>13327841</v>
      </c>
      <c r="K58" s="13">
        <v>2341</v>
      </c>
      <c r="L58" s="13">
        <v>21379706244</v>
      </c>
      <c r="M58" s="13">
        <v>30959296103</v>
      </c>
      <c r="N58" s="14">
        <v>3.2863746693168948E-3</v>
      </c>
    </row>
    <row r="59" spans="1:14" x14ac:dyDescent="0.4">
      <c r="A59" s="13" t="s">
        <v>125</v>
      </c>
      <c r="B59" s="13">
        <v>18441112</v>
      </c>
      <c r="C59" s="13">
        <v>74219425483</v>
      </c>
      <c r="D59" s="13">
        <v>83349950840</v>
      </c>
      <c r="E59" s="13">
        <v>0</v>
      </c>
      <c r="F59" s="13">
        <v>0</v>
      </c>
      <c r="G59" s="13">
        <v>0</v>
      </c>
      <c r="H59" s="13">
        <v>6000000</v>
      </c>
      <c r="I59" s="13">
        <v>27508499893</v>
      </c>
      <c r="J59" s="13">
        <v>12441112</v>
      </c>
      <c r="K59" s="13">
        <v>4280</v>
      </c>
      <c r="L59" s="13">
        <v>50071394014</v>
      </c>
      <c r="M59" s="13">
        <v>52836352634</v>
      </c>
      <c r="N59" s="14">
        <v>5.6086562930171601E-3</v>
      </c>
    </row>
    <row r="60" spans="1:14" x14ac:dyDescent="0.4">
      <c r="A60" s="13" t="s">
        <v>323</v>
      </c>
      <c r="B60" s="13">
        <v>4607801</v>
      </c>
      <c r="C60" s="13">
        <v>33501938983</v>
      </c>
      <c r="D60" s="13">
        <v>61450135465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4607801</v>
      </c>
      <c r="K60" s="13">
        <v>15600</v>
      </c>
      <c r="L60" s="13">
        <v>33501938983</v>
      </c>
      <c r="M60" s="13">
        <v>71326050093</v>
      </c>
      <c r="N60" s="14">
        <v>7.5713647851751078E-3</v>
      </c>
    </row>
    <row r="61" spans="1:14" x14ac:dyDescent="0.4">
      <c r="A61" s="13" t="s">
        <v>82</v>
      </c>
      <c r="B61" s="13">
        <v>14065263</v>
      </c>
      <c r="C61" s="13">
        <v>25268135733</v>
      </c>
      <c r="D61" s="13">
        <v>34193519367</v>
      </c>
      <c r="E61" s="13">
        <v>0</v>
      </c>
      <c r="F61" s="13">
        <v>0</v>
      </c>
      <c r="G61" s="13">
        <v>0</v>
      </c>
      <c r="H61" s="13">
        <v>58894</v>
      </c>
      <c r="I61" s="13">
        <v>148982275</v>
      </c>
      <c r="J61" s="13">
        <v>14006369</v>
      </c>
      <c r="K61" s="13">
        <v>2597</v>
      </c>
      <c r="L61" s="13">
        <v>25162333119</v>
      </c>
      <c r="M61" s="13">
        <v>36093365097</v>
      </c>
      <c r="N61" s="14">
        <v>3.8313636198496525E-3</v>
      </c>
    </row>
    <row r="62" spans="1:14" x14ac:dyDescent="0.4">
      <c r="A62" s="13" t="s">
        <v>87</v>
      </c>
      <c r="B62" s="13">
        <v>1950533</v>
      </c>
      <c r="C62" s="13">
        <v>54836083668</v>
      </c>
      <c r="D62" s="13">
        <v>67160301683</v>
      </c>
      <c r="E62" s="13">
        <v>0</v>
      </c>
      <c r="F62" s="13">
        <v>0</v>
      </c>
      <c r="G62" s="13">
        <v>0</v>
      </c>
      <c r="H62" s="13">
        <v>330000</v>
      </c>
      <c r="I62" s="13">
        <v>11275708461</v>
      </c>
      <c r="J62" s="13">
        <v>1620533</v>
      </c>
      <c r="K62" s="13">
        <v>38970</v>
      </c>
      <c r="L62" s="13">
        <v>45558666874</v>
      </c>
      <c r="M62" s="13">
        <v>62664004728</v>
      </c>
      <c r="N62" s="14">
        <v>6.6518759706587025E-3</v>
      </c>
    </row>
    <row r="63" spans="1:14" x14ac:dyDescent="0.4">
      <c r="A63" s="13" t="s">
        <v>162</v>
      </c>
      <c r="B63" s="13">
        <v>16761008</v>
      </c>
      <c r="C63" s="13">
        <v>47071216168</v>
      </c>
      <c r="D63" s="13">
        <v>65594420690</v>
      </c>
      <c r="E63" s="13">
        <v>0</v>
      </c>
      <c r="F63" s="13">
        <v>0</v>
      </c>
      <c r="G63" s="13">
        <v>0</v>
      </c>
      <c r="H63" s="13">
        <v>1500000</v>
      </c>
      <c r="I63" s="13">
        <v>6206648882</v>
      </c>
      <c r="J63" s="13">
        <v>15261008</v>
      </c>
      <c r="K63" s="13">
        <v>3570</v>
      </c>
      <c r="L63" s="13">
        <v>42858651849</v>
      </c>
      <c r="M63" s="13">
        <v>54060654257</v>
      </c>
      <c r="N63" s="14">
        <v>5.7386177051902514E-3</v>
      </c>
    </row>
    <row r="64" spans="1:14" x14ac:dyDescent="0.4">
      <c r="A64" s="13" t="s">
        <v>173</v>
      </c>
      <c r="B64" s="13">
        <v>1740025</v>
      </c>
      <c r="C64" s="13">
        <v>58349602616</v>
      </c>
      <c r="D64" s="13">
        <v>67353675409</v>
      </c>
      <c r="E64" s="13">
        <v>0</v>
      </c>
      <c r="F64" s="13">
        <v>0</v>
      </c>
      <c r="G64" s="13">
        <v>0</v>
      </c>
      <c r="H64" s="13">
        <v>150000</v>
      </c>
      <c r="I64" s="13">
        <v>6114462245</v>
      </c>
      <c r="J64" s="13">
        <v>1590025</v>
      </c>
      <c r="K64" s="13">
        <v>42830</v>
      </c>
      <c r="L64" s="13">
        <v>53319536731</v>
      </c>
      <c r="M64" s="13">
        <v>67574351792</v>
      </c>
      <c r="N64" s="14">
        <v>7.1731165103336488E-3</v>
      </c>
    </row>
    <row r="65" spans="1:14" x14ac:dyDescent="0.4">
      <c r="A65" s="13" t="s">
        <v>337</v>
      </c>
      <c r="B65" s="13">
        <v>700000</v>
      </c>
      <c r="C65" s="13">
        <v>26810722731</v>
      </c>
      <c r="D65" s="13">
        <v>26533299800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700000</v>
      </c>
      <c r="K65" s="13">
        <v>58220</v>
      </c>
      <c r="L65" s="13">
        <v>26810722731</v>
      </c>
      <c r="M65" s="13">
        <v>40438971580</v>
      </c>
      <c r="N65" s="14">
        <v>4.2926561189115609E-3</v>
      </c>
    </row>
    <row r="66" spans="1:14" x14ac:dyDescent="0.4">
      <c r="A66" s="13" t="s">
        <v>156</v>
      </c>
      <c r="B66" s="13">
        <v>8999143</v>
      </c>
      <c r="C66" s="13">
        <v>55026411729</v>
      </c>
      <c r="D66" s="13">
        <v>66525368203</v>
      </c>
      <c r="E66" s="13">
        <v>0</v>
      </c>
      <c r="F66" s="13">
        <v>0</v>
      </c>
      <c r="G66" s="13">
        <v>0</v>
      </c>
      <c r="H66" s="13">
        <v>5502306</v>
      </c>
      <c r="I66" s="13">
        <v>35371573506</v>
      </c>
      <c r="J66" s="13">
        <v>3496837</v>
      </c>
      <c r="K66" s="13">
        <v>6650</v>
      </c>
      <c r="L66" s="13">
        <v>21381857418</v>
      </c>
      <c r="M66" s="13">
        <v>23074212892</v>
      </c>
      <c r="N66" s="14">
        <v>2.4493615265156511E-3</v>
      </c>
    </row>
    <row r="67" spans="1:14" x14ac:dyDescent="0.4">
      <c r="A67" s="13" t="s">
        <v>221</v>
      </c>
      <c r="B67" s="13">
        <v>4929408</v>
      </c>
      <c r="C67" s="13">
        <v>24000019455</v>
      </c>
      <c r="D67" s="13">
        <v>54733688136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4929408</v>
      </c>
      <c r="K67" s="13">
        <v>12210</v>
      </c>
      <c r="L67" s="13">
        <v>24000019455</v>
      </c>
      <c r="M67" s="13">
        <v>59722817886</v>
      </c>
      <c r="N67" s="14">
        <v>6.3396646754432309E-3</v>
      </c>
    </row>
    <row r="68" spans="1:14" x14ac:dyDescent="0.4">
      <c r="A68" s="13" t="s">
        <v>81</v>
      </c>
      <c r="B68" s="13">
        <v>2650076</v>
      </c>
      <c r="C68" s="13">
        <v>18926119103</v>
      </c>
      <c r="D68" s="13">
        <v>38865353687</v>
      </c>
      <c r="E68" s="13">
        <v>0</v>
      </c>
      <c r="F68" s="13">
        <v>0</v>
      </c>
      <c r="G68" s="13">
        <v>0</v>
      </c>
      <c r="H68" s="13">
        <v>100000</v>
      </c>
      <c r="I68" s="13">
        <v>2092697437</v>
      </c>
      <c r="J68" s="13">
        <v>2550076</v>
      </c>
      <c r="K68" s="13">
        <v>22370</v>
      </c>
      <c r="L68" s="13">
        <v>18211946411</v>
      </c>
      <c r="M68" s="13">
        <v>56604240723</v>
      </c>
      <c r="N68" s="14">
        <v>6.0086231375899128E-3</v>
      </c>
    </row>
    <row r="69" spans="1:14" x14ac:dyDescent="0.4">
      <c r="A69" s="13" t="s">
        <v>138</v>
      </c>
      <c r="B69" s="13">
        <v>4749593</v>
      </c>
      <c r="C69" s="13">
        <v>53552299932</v>
      </c>
      <c r="D69" s="13">
        <v>55706225597</v>
      </c>
      <c r="E69" s="13">
        <v>0</v>
      </c>
      <c r="F69" s="13">
        <v>0</v>
      </c>
      <c r="G69" s="13">
        <v>0</v>
      </c>
      <c r="H69" s="13">
        <v>200000</v>
      </c>
      <c r="I69" s="13">
        <v>2317942730</v>
      </c>
      <c r="J69" s="13">
        <v>4549593</v>
      </c>
      <c r="K69" s="13">
        <v>11880</v>
      </c>
      <c r="L69" s="13">
        <v>51297273030</v>
      </c>
      <c r="M69" s="13">
        <v>53631364796</v>
      </c>
      <c r="N69" s="14">
        <v>5.6930479995437981E-3</v>
      </c>
    </row>
    <row r="70" spans="1:14" x14ac:dyDescent="0.4">
      <c r="A70" s="13" t="s">
        <v>222</v>
      </c>
      <c r="B70" s="13">
        <v>3833693</v>
      </c>
      <c r="C70" s="13">
        <v>55321403074</v>
      </c>
      <c r="D70" s="13">
        <v>62805006712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3833693</v>
      </c>
      <c r="K70" s="13">
        <v>19480</v>
      </c>
      <c r="L70" s="13">
        <v>55321403074</v>
      </c>
      <c r="M70" s="13">
        <v>74103060615</v>
      </c>
      <c r="N70" s="14">
        <v>7.8661485233313157E-3</v>
      </c>
    </row>
    <row r="71" spans="1:14" x14ac:dyDescent="0.4">
      <c r="A71" s="13" t="s">
        <v>223</v>
      </c>
      <c r="B71" s="13">
        <v>16854222</v>
      </c>
      <c r="C71" s="13">
        <v>30516050656</v>
      </c>
      <c r="D71" s="13">
        <v>28246732741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16854222</v>
      </c>
      <c r="K71" s="13">
        <v>2440</v>
      </c>
      <c r="L71" s="13">
        <v>30516050656</v>
      </c>
      <c r="M71" s="13">
        <v>40806410828</v>
      </c>
      <c r="N71" s="14">
        <v>4.331660333772345E-3</v>
      </c>
    </row>
    <row r="72" spans="1:14" x14ac:dyDescent="0.4">
      <c r="A72" s="13" t="s">
        <v>109</v>
      </c>
      <c r="B72" s="13">
        <v>8000000</v>
      </c>
      <c r="C72" s="13">
        <v>50375704520</v>
      </c>
      <c r="D72" s="13">
        <v>52788764000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8000000</v>
      </c>
      <c r="K72" s="13">
        <v>5860</v>
      </c>
      <c r="L72" s="13">
        <v>50375704520</v>
      </c>
      <c r="M72" s="13">
        <v>46517617600</v>
      </c>
      <c r="N72" s="14">
        <v>4.9379133055546445E-3</v>
      </c>
    </row>
    <row r="73" spans="1:14" x14ac:dyDescent="0.4">
      <c r="A73" s="13" t="s">
        <v>332</v>
      </c>
      <c r="B73" s="13">
        <v>1725246</v>
      </c>
      <c r="C73" s="13">
        <v>22999589793</v>
      </c>
      <c r="D73" s="13">
        <v>29170943817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1725246</v>
      </c>
      <c r="K73" s="13">
        <v>14980</v>
      </c>
      <c r="L73" s="13">
        <v>22999589793</v>
      </c>
      <c r="M73" s="13">
        <v>25644409529</v>
      </c>
      <c r="N73" s="14">
        <v>2.7221916675788963E-3</v>
      </c>
    </row>
    <row r="74" spans="1:14" x14ac:dyDescent="0.4">
      <c r="A74" s="13" t="s">
        <v>119</v>
      </c>
      <c r="B74" s="13">
        <v>30820136</v>
      </c>
      <c r="C74" s="13">
        <v>62967039453</v>
      </c>
      <c r="D74" s="13">
        <v>66270969388</v>
      </c>
      <c r="E74" s="13">
        <v>0</v>
      </c>
      <c r="F74" s="13">
        <v>0</v>
      </c>
      <c r="G74" s="13">
        <v>0</v>
      </c>
      <c r="H74" s="13">
        <v>1000000</v>
      </c>
      <c r="I74" s="13">
        <v>2272129243</v>
      </c>
      <c r="J74" s="13">
        <v>29820136</v>
      </c>
      <c r="K74" s="13">
        <v>2257</v>
      </c>
      <c r="L74" s="13">
        <v>60923990731</v>
      </c>
      <c r="M74" s="13">
        <v>66783786669</v>
      </c>
      <c r="N74" s="14">
        <v>7.0891968635164587E-3</v>
      </c>
    </row>
    <row r="75" spans="1:14" x14ac:dyDescent="0.4">
      <c r="A75" s="13" t="s">
        <v>126</v>
      </c>
      <c r="B75" s="13">
        <v>20378584</v>
      </c>
      <c r="C75" s="13">
        <v>41689159146</v>
      </c>
      <c r="D75" s="13">
        <v>31484186599</v>
      </c>
      <c r="E75" s="13">
        <v>0</v>
      </c>
      <c r="F75" s="13">
        <v>0</v>
      </c>
      <c r="G75" s="13">
        <v>0</v>
      </c>
      <c r="H75" s="13">
        <v>5000000</v>
      </c>
      <c r="I75" s="13">
        <v>7135840567</v>
      </c>
      <c r="J75" s="13">
        <v>15378584</v>
      </c>
      <c r="K75" s="13">
        <v>1454</v>
      </c>
      <c r="L75" s="13">
        <v>31460489886</v>
      </c>
      <c r="M75" s="13">
        <v>22187614771</v>
      </c>
      <c r="N75" s="14">
        <v>2.3552478361712503E-3</v>
      </c>
    </row>
    <row r="76" spans="1:14" x14ac:dyDescent="0.4">
      <c r="A76" s="13" t="s">
        <v>352</v>
      </c>
      <c r="B76" s="13">
        <v>10369674</v>
      </c>
      <c r="C76" s="13">
        <v>37561420318</v>
      </c>
      <c r="D76" s="13">
        <v>51447582100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10369674</v>
      </c>
      <c r="K76" s="13">
        <v>4780</v>
      </c>
      <c r="L76" s="13">
        <v>37561420318</v>
      </c>
      <c r="M76" s="13">
        <v>49183888488</v>
      </c>
      <c r="N76" s="14">
        <v>5.2209418692115289E-3</v>
      </c>
    </row>
    <row r="77" spans="1:14" x14ac:dyDescent="0.4">
      <c r="A77" s="13" t="s">
        <v>224</v>
      </c>
      <c r="B77" s="13">
        <v>562500</v>
      </c>
      <c r="C77" s="13">
        <v>4931974167</v>
      </c>
      <c r="D77" s="13">
        <v>4950807131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562500</v>
      </c>
      <c r="K77" s="13">
        <v>7370</v>
      </c>
      <c r="L77" s="13">
        <v>4931974167</v>
      </c>
      <c r="M77" s="13">
        <v>4113579319</v>
      </c>
      <c r="N77" s="14">
        <v>4.3666247543907997E-4</v>
      </c>
    </row>
    <row r="78" spans="1:14" x14ac:dyDescent="0.4">
      <c r="A78" s="13" t="s">
        <v>226</v>
      </c>
      <c r="B78" s="13">
        <v>4773870</v>
      </c>
      <c r="C78" s="13">
        <v>27662272565</v>
      </c>
      <c r="D78" s="13">
        <v>37943113559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4773870</v>
      </c>
      <c r="K78" s="13">
        <v>7670</v>
      </c>
      <c r="L78" s="13">
        <v>27662272565</v>
      </c>
      <c r="M78" s="13">
        <v>36332544444</v>
      </c>
      <c r="N78" s="14">
        <v>3.8567528581834138E-3</v>
      </c>
    </row>
    <row r="79" spans="1:14" x14ac:dyDescent="0.4">
      <c r="A79" s="13" t="s">
        <v>122</v>
      </c>
      <c r="B79" s="13">
        <v>115200000</v>
      </c>
      <c r="C79" s="13">
        <v>61288922069</v>
      </c>
      <c r="D79" s="13">
        <v>65156417280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115200000</v>
      </c>
      <c r="K79" s="13">
        <v>475</v>
      </c>
      <c r="L79" s="13">
        <v>61288922069</v>
      </c>
      <c r="M79" s="13">
        <v>54297014400</v>
      </c>
      <c r="N79" s="14">
        <v>5.763707680886309E-3</v>
      </c>
    </row>
    <row r="80" spans="1:14" x14ac:dyDescent="0.4">
      <c r="A80" s="13" t="s">
        <v>227</v>
      </c>
      <c r="B80" s="13">
        <v>11440020</v>
      </c>
      <c r="C80" s="13">
        <v>31646768610</v>
      </c>
      <c r="D80" s="13">
        <v>54646547739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11440020</v>
      </c>
      <c r="K80" s="13">
        <v>7330</v>
      </c>
      <c r="L80" s="13">
        <v>31646768610</v>
      </c>
      <c r="M80" s="13">
        <v>83207144771</v>
      </c>
      <c r="N80" s="14">
        <v>8.8325604035648739E-3</v>
      </c>
    </row>
    <row r="81" spans="1:14" x14ac:dyDescent="0.4">
      <c r="A81" s="13" t="s">
        <v>229</v>
      </c>
      <c r="B81" s="13">
        <v>6400000</v>
      </c>
      <c r="C81" s="13">
        <v>21015837329</v>
      </c>
      <c r="D81" s="13">
        <v>20455050688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6400000</v>
      </c>
      <c r="K81" s="13">
        <v>3120</v>
      </c>
      <c r="L81" s="13">
        <v>21015837329</v>
      </c>
      <c r="M81" s="13">
        <v>19813647360</v>
      </c>
      <c r="N81" s="14">
        <v>2.1032477151304426E-3</v>
      </c>
    </row>
    <row r="82" spans="1:14" x14ac:dyDescent="0.4">
      <c r="A82" s="13" t="s">
        <v>90</v>
      </c>
      <c r="B82" s="13">
        <v>16240317</v>
      </c>
      <c r="C82" s="13">
        <v>81927326094</v>
      </c>
      <c r="D82" s="13">
        <v>99105893000</v>
      </c>
      <c r="E82" s="13">
        <v>0</v>
      </c>
      <c r="F82" s="13">
        <v>0</v>
      </c>
      <c r="G82" s="13">
        <v>0</v>
      </c>
      <c r="H82" s="13">
        <v>6600000</v>
      </c>
      <c r="I82" s="13">
        <v>39293922978</v>
      </c>
      <c r="J82" s="13">
        <v>9640317</v>
      </c>
      <c r="K82" s="13">
        <v>4900</v>
      </c>
      <c r="L82" s="13">
        <v>48632387810</v>
      </c>
      <c r="M82" s="13">
        <v>46872407013</v>
      </c>
      <c r="N82" s="14">
        <v>4.9755747218848444E-3</v>
      </c>
    </row>
    <row r="83" spans="1:14" x14ac:dyDescent="0.4">
      <c r="A83" s="13" t="s">
        <v>155</v>
      </c>
      <c r="B83" s="13">
        <v>55645457</v>
      </c>
      <c r="C83" s="13">
        <v>102338233183</v>
      </c>
      <c r="D83" s="13">
        <v>113136185798</v>
      </c>
      <c r="E83" s="13">
        <v>0</v>
      </c>
      <c r="F83" s="13">
        <v>0</v>
      </c>
      <c r="G83" s="13">
        <v>0</v>
      </c>
      <c r="H83" s="13">
        <v>29000000</v>
      </c>
      <c r="I83" s="13">
        <v>63857616048</v>
      </c>
      <c r="J83" s="13">
        <v>26645457</v>
      </c>
      <c r="K83" s="13">
        <v>2178</v>
      </c>
      <c r="L83" s="13">
        <v>49003982333</v>
      </c>
      <c r="M83" s="13">
        <v>57585204031</v>
      </c>
      <c r="N83" s="14">
        <v>6.1127538308787732E-3</v>
      </c>
    </row>
    <row r="84" spans="1:14" x14ac:dyDescent="0.4">
      <c r="A84" s="13" t="s">
        <v>308</v>
      </c>
      <c r="B84" s="13">
        <v>8380920</v>
      </c>
      <c r="C84" s="13">
        <v>44629652602</v>
      </c>
      <c r="D84" s="13">
        <v>42245968281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8380920</v>
      </c>
      <c r="K84" s="13">
        <v>4300</v>
      </c>
      <c r="L84" s="13">
        <v>44629652602</v>
      </c>
      <c r="M84" s="13">
        <v>35759382600</v>
      </c>
      <c r="N84" s="14">
        <v>3.7959108881569044E-3</v>
      </c>
    </row>
    <row r="85" spans="1:14" x14ac:dyDescent="0.4">
      <c r="A85" s="13" t="s">
        <v>342</v>
      </c>
      <c r="B85" s="13">
        <v>926418</v>
      </c>
      <c r="C85" s="13">
        <v>6899311545</v>
      </c>
      <c r="D85" s="13">
        <v>13090216673</v>
      </c>
      <c r="E85" s="13">
        <v>310965</v>
      </c>
      <c r="F85" s="13">
        <v>0</v>
      </c>
      <c r="G85" s="13">
        <v>0</v>
      </c>
      <c r="H85" s="13">
        <v>0</v>
      </c>
      <c r="I85" s="13">
        <v>0</v>
      </c>
      <c r="J85" s="13">
        <v>1237383</v>
      </c>
      <c r="K85" s="13">
        <v>16400</v>
      </c>
      <c r="L85" s="13">
        <v>9215160778</v>
      </c>
      <c r="M85" s="13">
        <v>20136215682</v>
      </c>
      <c r="N85" s="14">
        <v>2.1374888154131501E-3</v>
      </c>
    </row>
    <row r="86" spans="1:14" x14ac:dyDescent="0.4">
      <c r="A86" s="13" t="s">
        <v>379</v>
      </c>
      <c r="B86" s="13">
        <v>310965</v>
      </c>
      <c r="C86" s="13">
        <v>2004884233</v>
      </c>
      <c r="D86" s="13">
        <v>3616337739</v>
      </c>
      <c r="E86" s="13">
        <v>-310965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4">
        <v>0</v>
      </c>
    </row>
    <row r="87" spans="1:14" x14ac:dyDescent="0.4">
      <c r="A87" s="13" t="s">
        <v>172</v>
      </c>
      <c r="B87" s="13">
        <v>4160136</v>
      </c>
      <c r="C87" s="13">
        <v>64311666991</v>
      </c>
      <c r="D87" s="13">
        <v>62043511575</v>
      </c>
      <c r="E87" s="13">
        <v>0</v>
      </c>
      <c r="F87" s="13">
        <v>0</v>
      </c>
      <c r="G87" s="13">
        <v>0</v>
      </c>
      <c r="H87" s="13">
        <v>1300000</v>
      </c>
      <c r="I87" s="13">
        <v>18807485663</v>
      </c>
      <c r="J87" s="13">
        <v>2860136</v>
      </c>
      <c r="K87" s="13">
        <v>13710</v>
      </c>
      <c r="L87" s="13">
        <v>44214928065</v>
      </c>
      <c r="M87" s="13">
        <v>38909352209</v>
      </c>
      <c r="N87" s="14">
        <v>4.1302847801761265E-3</v>
      </c>
    </row>
    <row r="88" spans="1:14" x14ac:dyDescent="0.4">
      <c r="A88" s="13" t="s">
        <v>324</v>
      </c>
      <c r="B88" s="13">
        <v>517391</v>
      </c>
      <c r="C88" s="13">
        <v>17064920422</v>
      </c>
      <c r="D88" s="13">
        <v>26147032536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517391</v>
      </c>
      <c r="K88" s="13">
        <v>50630</v>
      </c>
      <c r="L88" s="13">
        <v>17064920422</v>
      </c>
      <c r="M88" s="13">
        <v>25993015066</v>
      </c>
      <c r="N88" s="14">
        <v>2.7591966564058032E-3</v>
      </c>
    </row>
    <row r="89" spans="1:14" x14ac:dyDescent="0.4">
      <c r="A89" s="13" t="s">
        <v>116</v>
      </c>
      <c r="B89" s="13">
        <v>10934630</v>
      </c>
      <c r="C89" s="13">
        <v>54961442793</v>
      </c>
      <c r="D89" s="13">
        <v>66836648710</v>
      </c>
      <c r="E89" s="13">
        <v>0</v>
      </c>
      <c r="F89" s="13">
        <v>0</v>
      </c>
      <c r="G89" s="13">
        <v>0</v>
      </c>
      <c r="H89" s="13">
        <v>4500000</v>
      </c>
      <c r="I89" s="13">
        <v>25827647206</v>
      </c>
      <c r="J89" s="13">
        <v>6434630</v>
      </c>
      <c r="K89" s="13">
        <v>5220</v>
      </c>
      <c r="L89" s="13">
        <v>32342799769</v>
      </c>
      <c r="M89" s="13">
        <v>33329127419</v>
      </c>
      <c r="N89" s="14">
        <v>3.537935737809716E-3</v>
      </c>
    </row>
    <row r="90" spans="1:14" x14ac:dyDescent="0.4">
      <c r="A90" s="13" t="s">
        <v>355</v>
      </c>
      <c r="B90" s="13">
        <v>3250000</v>
      </c>
      <c r="C90" s="13">
        <v>3939323661</v>
      </c>
      <c r="D90" s="13">
        <v>3998848100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3250000</v>
      </c>
      <c r="K90" s="13">
        <v>1259</v>
      </c>
      <c r="L90" s="13">
        <v>3939323661</v>
      </c>
      <c r="M90" s="13">
        <v>4060120772</v>
      </c>
      <c r="N90" s="14">
        <v>4.3098777230194172E-4</v>
      </c>
    </row>
    <row r="91" spans="1:14" x14ac:dyDescent="0.4">
      <c r="A91" s="13" t="s">
        <v>99</v>
      </c>
      <c r="B91" s="13">
        <v>12190487</v>
      </c>
      <c r="C91" s="13">
        <v>64046435915</v>
      </c>
      <c r="D91" s="13">
        <v>58303946861</v>
      </c>
      <c r="E91" s="13">
        <v>0</v>
      </c>
      <c r="F91" s="13">
        <v>0</v>
      </c>
      <c r="G91" s="13">
        <v>0</v>
      </c>
      <c r="H91" s="13">
        <v>2004151</v>
      </c>
      <c r="I91" s="13">
        <v>10154247722</v>
      </c>
      <c r="J91" s="13">
        <v>10186336</v>
      </c>
      <c r="K91" s="13">
        <v>5360</v>
      </c>
      <c r="L91" s="13">
        <v>53517018297</v>
      </c>
      <c r="M91" s="13">
        <v>54176712538</v>
      </c>
      <c r="N91" s="14">
        <v>5.7509374618660465E-3</v>
      </c>
    </row>
    <row r="92" spans="1:14" x14ac:dyDescent="0.4">
      <c r="A92" s="13" t="s">
        <v>231</v>
      </c>
      <c r="B92" s="13">
        <v>3066296</v>
      </c>
      <c r="C92" s="13">
        <v>15397744288</v>
      </c>
      <c r="D92" s="13">
        <v>15304245466</v>
      </c>
      <c r="E92" s="13">
        <v>958217</v>
      </c>
      <c r="F92" s="13">
        <v>0</v>
      </c>
      <c r="G92" s="13">
        <v>0</v>
      </c>
      <c r="H92" s="13">
        <v>0</v>
      </c>
      <c r="I92" s="13">
        <v>0</v>
      </c>
      <c r="J92" s="13">
        <v>4024513</v>
      </c>
      <c r="K92" s="13">
        <v>5050</v>
      </c>
      <c r="L92" s="13">
        <v>20209536867</v>
      </c>
      <c r="M92" s="13">
        <v>20166687748</v>
      </c>
      <c r="N92" s="14">
        <v>2.1407234698927278E-3</v>
      </c>
    </row>
    <row r="93" spans="1:14" x14ac:dyDescent="0.4">
      <c r="A93" s="13" t="s">
        <v>380</v>
      </c>
      <c r="B93" s="13">
        <v>958217</v>
      </c>
      <c r="C93" s="13">
        <v>3853575579</v>
      </c>
      <c r="D93" s="13">
        <v>3831764230</v>
      </c>
      <c r="E93" s="13">
        <v>-958217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14">
        <v>0</v>
      </c>
    </row>
    <row r="94" spans="1:14" x14ac:dyDescent="0.4">
      <c r="A94" s="13" t="s">
        <v>233</v>
      </c>
      <c r="B94" s="13">
        <v>800000</v>
      </c>
      <c r="C94" s="13">
        <v>27239010264</v>
      </c>
      <c r="D94" s="13">
        <v>24806750000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800000</v>
      </c>
      <c r="K94" s="13">
        <v>24270</v>
      </c>
      <c r="L94" s="13">
        <v>27239010264</v>
      </c>
      <c r="M94" s="13">
        <v>19265914320</v>
      </c>
      <c r="N94" s="14">
        <v>2.0451050499285194E-3</v>
      </c>
    </row>
    <row r="95" spans="1:14" x14ac:dyDescent="0.4">
      <c r="A95" s="13" t="s">
        <v>235</v>
      </c>
      <c r="B95" s="13">
        <v>84882</v>
      </c>
      <c r="C95" s="13">
        <v>8293870385</v>
      </c>
      <c r="D95" s="13">
        <v>14633401288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84882</v>
      </c>
      <c r="K95" s="13">
        <v>189100</v>
      </c>
      <c r="L95" s="13">
        <v>8293870385</v>
      </c>
      <c r="M95" s="13">
        <v>15927110531</v>
      </c>
      <c r="N95" s="14">
        <v>1.6906861328612926E-3</v>
      </c>
    </row>
    <row r="96" spans="1:14" x14ac:dyDescent="0.4">
      <c r="A96" s="13" t="s">
        <v>237</v>
      </c>
      <c r="B96" s="13">
        <v>612681</v>
      </c>
      <c r="C96" s="13">
        <v>22539494006</v>
      </c>
      <c r="D96" s="13">
        <v>28695002861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612681</v>
      </c>
      <c r="K96" s="13">
        <v>45190</v>
      </c>
      <c r="L96" s="13">
        <v>22539494006</v>
      </c>
      <c r="M96" s="13">
        <v>27473033460</v>
      </c>
      <c r="N96" s="14">
        <v>2.9163027787150035E-3</v>
      </c>
    </row>
    <row r="97" spans="1:14" x14ac:dyDescent="0.4">
      <c r="A97" s="13" t="s">
        <v>238</v>
      </c>
      <c r="B97" s="13">
        <v>3983350</v>
      </c>
      <c r="C97" s="13">
        <v>16626478656</v>
      </c>
      <c r="D97" s="13">
        <v>26442617733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3983350</v>
      </c>
      <c r="K97" s="13">
        <v>5170</v>
      </c>
      <c r="L97" s="13">
        <v>16626478656</v>
      </c>
      <c r="M97" s="13">
        <v>20434728502</v>
      </c>
      <c r="N97" s="14">
        <v>2.1691763888919053E-3</v>
      </c>
    </row>
    <row r="98" spans="1:14" x14ac:dyDescent="0.4">
      <c r="A98" s="13" t="s">
        <v>321</v>
      </c>
      <c r="B98" s="13">
        <v>2830564</v>
      </c>
      <c r="C98" s="13">
        <v>20539903713</v>
      </c>
      <c r="D98" s="13">
        <v>39096877665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2830564</v>
      </c>
      <c r="K98" s="13">
        <v>11880</v>
      </c>
      <c r="L98" s="13">
        <v>20539903713</v>
      </c>
      <c r="M98" s="13">
        <v>33367162835</v>
      </c>
      <c r="N98" s="14">
        <v>3.5419732529800695E-3</v>
      </c>
    </row>
    <row r="99" spans="1:14" x14ac:dyDescent="0.4">
      <c r="A99" s="13" t="s">
        <v>98</v>
      </c>
      <c r="B99" s="13">
        <v>3101235</v>
      </c>
      <c r="C99" s="13">
        <v>27287026724</v>
      </c>
      <c r="D99" s="13">
        <v>40250592891</v>
      </c>
      <c r="E99" s="13">
        <v>0</v>
      </c>
      <c r="F99" s="13">
        <v>0</v>
      </c>
      <c r="G99" s="13">
        <v>0</v>
      </c>
      <c r="H99" s="13">
        <v>100000</v>
      </c>
      <c r="I99" s="13">
        <v>1053790746</v>
      </c>
      <c r="J99" s="13">
        <v>3001235</v>
      </c>
      <c r="K99" s="13">
        <v>12430</v>
      </c>
      <c r="L99" s="13">
        <v>26407150587</v>
      </c>
      <c r="M99" s="13">
        <v>37016980686</v>
      </c>
      <c r="N99" s="14">
        <v>3.929406768691841E-3</v>
      </c>
    </row>
    <row r="100" spans="1:14" x14ac:dyDescent="0.4">
      <c r="A100" s="13" t="s">
        <v>240</v>
      </c>
      <c r="B100" s="13">
        <v>12476907</v>
      </c>
      <c r="C100" s="13">
        <v>60716366276</v>
      </c>
      <c r="D100" s="13">
        <v>66111659117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12476907</v>
      </c>
      <c r="K100" s="13">
        <v>4640</v>
      </c>
      <c r="L100" s="13">
        <v>60716366276</v>
      </c>
      <c r="M100" s="13">
        <v>57445336761</v>
      </c>
      <c r="N100" s="14">
        <v>6.0979067151153768E-3</v>
      </c>
    </row>
    <row r="101" spans="1:14" x14ac:dyDescent="0.4">
      <c r="A101" s="13" t="s">
        <v>242</v>
      </c>
      <c r="B101" s="13">
        <v>2800000</v>
      </c>
      <c r="C101" s="13">
        <v>19839248766</v>
      </c>
      <c r="D101" s="13">
        <v>38646931960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2800000</v>
      </c>
      <c r="K101" s="13">
        <v>9580</v>
      </c>
      <c r="L101" s="13">
        <v>19839248766</v>
      </c>
      <c r="M101" s="13">
        <v>26616650480</v>
      </c>
      <c r="N101" s="14">
        <v>2.8253964698847652E-3</v>
      </c>
    </row>
    <row r="102" spans="1:14" x14ac:dyDescent="0.4">
      <c r="A102" s="13" t="s">
        <v>80</v>
      </c>
      <c r="B102" s="13">
        <v>2513758</v>
      </c>
      <c r="C102" s="13">
        <v>24548396018</v>
      </c>
      <c r="D102" s="13">
        <v>39984056210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2513758</v>
      </c>
      <c r="K102" s="13">
        <v>16510</v>
      </c>
      <c r="L102" s="13">
        <v>24548396018</v>
      </c>
      <c r="M102" s="13">
        <v>41181333002</v>
      </c>
      <c r="N102" s="14">
        <v>4.3714588721983994E-3</v>
      </c>
    </row>
    <row r="103" spans="1:14" x14ac:dyDescent="0.4">
      <c r="A103" s="13" t="s">
        <v>244</v>
      </c>
      <c r="B103" s="13">
        <v>3022885</v>
      </c>
      <c r="C103" s="13">
        <v>33899225434</v>
      </c>
      <c r="D103" s="13">
        <v>50151942614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3022885</v>
      </c>
      <c r="K103" s="13">
        <v>14070</v>
      </c>
      <c r="L103" s="13">
        <v>33899225434</v>
      </c>
      <c r="M103" s="13">
        <v>42203219652</v>
      </c>
      <c r="N103" s="14">
        <v>4.4799336382363667E-3</v>
      </c>
    </row>
    <row r="104" spans="1:14" x14ac:dyDescent="0.4">
      <c r="A104" s="13" t="s">
        <v>246</v>
      </c>
      <c r="B104" s="13">
        <v>104452</v>
      </c>
      <c r="C104" s="13">
        <v>12026316222</v>
      </c>
      <c r="D104" s="13">
        <v>18623895666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104452</v>
      </c>
      <c r="K104" s="13">
        <v>164400</v>
      </c>
      <c r="L104" s="13">
        <v>12026316222</v>
      </c>
      <c r="M104" s="13">
        <v>17039169945</v>
      </c>
      <c r="N104" s="14">
        <v>1.8087328699959539E-3</v>
      </c>
    </row>
    <row r="105" spans="1:14" x14ac:dyDescent="0.4">
      <c r="A105" s="13" t="s">
        <v>248</v>
      </c>
      <c r="B105" s="13">
        <v>2856766</v>
      </c>
      <c r="C105" s="13">
        <v>26814426075</v>
      </c>
      <c r="D105" s="13">
        <v>25086946310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2856766</v>
      </c>
      <c r="K105" s="13">
        <v>7340</v>
      </c>
      <c r="L105" s="13">
        <v>26814426075</v>
      </c>
      <c r="M105" s="13">
        <v>20806574679</v>
      </c>
      <c r="N105" s="14">
        <v>2.2086484057268329E-3</v>
      </c>
    </row>
    <row r="106" spans="1:14" x14ac:dyDescent="0.4">
      <c r="A106" s="13" t="s">
        <v>250</v>
      </c>
      <c r="B106" s="13">
        <v>336344</v>
      </c>
      <c r="C106" s="13">
        <v>11436721532</v>
      </c>
      <c r="D106" s="13">
        <v>14417743430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336344</v>
      </c>
      <c r="K106" s="13">
        <v>49380</v>
      </c>
      <c r="L106" s="13">
        <v>11436721532</v>
      </c>
      <c r="M106" s="13">
        <v>16480281726</v>
      </c>
      <c r="N106" s="14">
        <v>1.7494060661890918E-3</v>
      </c>
    </row>
    <row r="107" spans="1:14" x14ac:dyDescent="0.4">
      <c r="A107" s="13" t="s">
        <v>325</v>
      </c>
      <c r="B107" s="13">
        <v>2324791</v>
      </c>
      <c r="C107" s="13">
        <v>45239371636</v>
      </c>
      <c r="D107" s="13">
        <v>66828585991</v>
      </c>
      <c r="E107" s="13">
        <v>0</v>
      </c>
      <c r="F107" s="13">
        <v>0</v>
      </c>
      <c r="G107" s="13">
        <v>0</v>
      </c>
      <c r="H107" s="13">
        <v>0</v>
      </c>
      <c r="I107" s="13">
        <v>0</v>
      </c>
      <c r="J107" s="13">
        <v>2324791</v>
      </c>
      <c r="K107" s="13">
        <v>26350</v>
      </c>
      <c r="L107" s="13">
        <v>45239371636</v>
      </c>
      <c r="M107" s="13">
        <v>60784716633</v>
      </c>
      <c r="N107" s="14">
        <v>6.452386784237622E-3</v>
      </c>
    </row>
    <row r="108" spans="1:14" x14ac:dyDescent="0.4">
      <c r="A108" s="13" t="s">
        <v>252</v>
      </c>
      <c r="B108" s="13">
        <v>1504289</v>
      </c>
      <c r="C108" s="13">
        <v>9141298952</v>
      </c>
      <c r="D108" s="13">
        <v>28270996424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1504289</v>
      </c>
      <c r="K108" s="13">
        <v>18770</v>
      </c>
      <c r="L108" s="13">
        <v>9141298952</v>
      </c>
      <c r="M108" s="13">
        <v>28017244080</v>
      </c>
      <c r="N108" s="14">
        <v>2.9740715338698706E-3</v>
      </c>
    </row>
    <row r="109" spans="1:14" x14ac:dyDescent="0.4">
      <c r="A109" s="13" t="s">
        <v>366</v>
      </c>
      <c r="B109" s="13">
        <v>512506</v>
      </c>
      <c r="C109" s="13">
        <v>23243757956</v>
      </c>
      <c r="D109" s="13">
        <v>32033207260</v>
      </c>
      <c r="E109" s="13">
        <v>0</v>
      </c>
      <c r="F109" s="13">
        <v>0</v>
      </c>
      <c r="G109" s="13">
        <v>0</v>
      </c>
      <c r="H109" s="13">
        <v>0</v>
      </c>
      <c r="I109" s="13">
        <v>0</v>
      </c>
      <c r="J109" s="13">
        <v>512506</v>
      </c>
      <c r="K109" s="13">
        <v>60800</v>
      </c>
      <c r="L109" s="13">
        <v>23243757956</v>
      </c>
      <c r="M109" s="13">
        <v>30919495180</v>
      </c>
      <c r="N109" s="14">
        <v>3.2821497429901636E-3</v>
      </c>
    </row>
    <row r="110" spans="1:14" x14ac:dyDescent="0.4">
      <c r="A110" s="13" t="s">
        <v>254</v>
      </c>
      <c r="B110" s="13">
        <v>21110</v>
      </c>
      <c r="C110" s="13">
        <v>2674296095</v>
      </c>
      <c r="D110" s="13">
        <v>3948266045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21110</v>
      </c>
      <c r="K110" s="13">
        <v>125700</v>
      </c>
      <c r="L110" s="13">
        <v>2674296095</v>
      </c>
      <c r="M110" s="13">
        <v>2633015236</v>
      </c>
      <c r="N110" s="14">
        <v>2.7949842744252022E-4</v>
      </c>
    </row>
    <row r="111" spans="1:14" x14ac:dyDescent="0.4">
      <c r="A111" s="13" t="s">
        <v>255</v>
      </c>
      <c r="B111" s="13">
        <v>6761644</v>
      </c>
      <c r="C111" s="13">
        <v>10818188004</v>
      </c>
      <c r="D111" s="13">
        <v>21872567364</v>
      </c>
      <c r="E111" s="13">
        <v>0</v>
      </c>
      <c r="F111" s="13">
        <v>0</v>
      </c>
      <c r="G111" s="13">
        <v>0</v>
      </c>
      <c r="H111" s="13">
        <v>0</v>
      </c>
      <c r="I111" s="13">
        <v>0</v>
      </c>
      <c r="J111" s="13">
        <v>6761644</v>
      </c>
      <c r="K111" s="13">
        <v>3060</v>
      </c>
      <c r="L111" s="13">
        <v>10818188004</v>
      </c>
      <c r="M111" s="13">
        <v>20530692065</v>
      </c>
      <c r="N111" s="14">
        <v>2.1793630617920694E-3</v>
      </c>
    </row>
    <row r="112" spans="1:14" x14ac:dyDescent="0.4">
      <c r="A112" s="13" t="s">
        <v>256</v>
      </c>
      <c r="B112" s="13">
        <v>520570</v>
      </c>
      <c r="C112" s="13">
        <v>20486605262</v>
      </c>
      <c r="D112" s="13">
        <v>37836994053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520570</v>
      </c>
      <c r="K112" s="13">
        <v>69050</v>
      </c>
      <c r="L112" s="13">
        <v>20486605262</v>
      </c>
      <c r="M112" s="13">
        <v>35667500879</v>
      </c>
      <c r="N112" s="14">
        <v>3.7861575087692386E-3</v>
      </c>
    </row>
    <row r="113" spans="1:14" x14ac:dyDescent="0.4">
      <c r="A113" s="13" t="s">
        <v>257</v>
      </c>
      <c r="B113" s="13">
        <v>1155746</v>
      </c>
      <c r="C113" s="13">
        <v>7943307049</v>
      </c>
      <c r="D113" s="13">
        <v>30837776923</v>
      </c>
      <c r="E113" s="13">
        <v>0</v>
      </c>
      <c r="F113" s="13">
        <v>0</v>
      </c>
      <c r="G113" s="13">
        <v>0</v>
      </c>
      <c r="H113" s="13">
        <v>0</v>
      </c>
      <c r="I113" s="13">
        <v>0</v>
      </c>
      <c r="J113" s="13">
        <v>1155746</v>
      </c>
      <c r="K113" s="13">
        <v>32200</v>
      </c>
      <c r="L113" s="13">
        <v>7943307049</v>
      </c>
      <c r="M113" s="13">
        <v>36927349086</v>
      </c>
      <c r="N113" s="14">
        <v>3.9198922429471228E-3</v>
      </c>
    </row>
    <row r="114" spans="1:14" x14ac:dyDescent="0.4">
      <c r="A114" s="13" t="s">
        <v>382</v>
      </c>
      <c r="B114" s="13">
        <v>3019851</v>
      </c>
      <c r="C114" s="13">
        <v>5526073732</v>
      </c>
      <c r="D114" s="13">
        <v>14467138460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3019851</v>
      </c>
      <c r="K114" s="13">
        <v>5470</v>
      </c>
      <c r="L114" s="13">
        <v>5526073732</v>
      </c>
      <c r="M114" s="13">
        <v>16390896308</v>
      </c>
      <c r="N114" s="14">
        <v>1.7399176730245897E-3</v>
      </c>
    </row>
    <row r="115" spans="1:14" x14ac:dyDescent="0.4">
      <c r="A115" s="13" t="s">
        <v>258</v>
      </c>
      <c r="B115" s="13">
        <v>5463965</v>
      </c>
      <c r="C115" s="13">
        <v>37079341017</v>
      </c>
      <c r="D115" s="13">
        <v>49012426097</v>
      </c>
      <c r="E115" s="13">
        <v>0</v>
      </c>
      <c r="F115" s="13">
        <v>0</v>
      </c>
      <c r="G115" s="13">
        <v>0</v>
      </c>
      <c r="H115" s="13">
        <v>0</v>
      </c>
      <c r="I115" s="13">
        <v>0</v>
      </c>
      <c r="J115" s="13">
        <v>5463965</v>
      </c>
      <c r="K115" s="13">
        <v>6710</v>
      </c>
      <c r="L115" s="13">
        <v>37079341017</v>
      </c>
      <c r="M115" s="13">
        <v>36379798574</v>
      </c>
      <c r="N115" s="14">
        <v>3.8617689533599949E-3</v>
      </c>
    </row>
    <row r="116" spans="1:14" x14ac:dyDescent="0.4">
      <c r="A116" s="13" t="s">
        <v>259</v>
      </c>
      <c r="B116" s="13">
        <v>1467107</v>
      </c>
      <c r="C116" s="13">
        <v>23716554717</v>
      </c>
      <c r="D116" s="13">
        <v>47239615231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1467107</v>
      </c>
      <c r="K116" s="13">
        <v>25360</v>
      </c>
      <c r="L116" s="13">
        <v>23716554717</v>
      </c>
      <c r="M116" s="13">
        <v>36918232427</v>
      </c>
      <c r="N116" s="14">
        <v>3.9189244962287628E-3</v>
      </c>
    </row>
    <row r="117" spans="1:14" x14ac:dyDescent="0.4">
      <c r="A117" s="13" t="s">
        <v>139</v>
      </c>
      <c r="B117" s="13">
        <v>3877911</v>
      </c>
      <c r="C117" s="13">
        <v>44064054403</v>
      </c>
      <c r="D117" s="13">
        <v>53370854954</v>
      </c>
      <c r="E117" s="13">
        <v>0</v>
      </c>
      <c r="F117" s="13">
        <v>900000</v>
      </c>
      <c r="G117" s="13">
        <v>12680402226</v>
      </c>
      <c r="H117" s="13">
        <v>134886</v>
      </c>
      <c r="I117" s="13">
        <v>1814911924</v>
      </c>
      <c r="J117" s="13">
        <v>4643025</v>
      </c>
      <c r="K117" s="13">
        <v>14590</v>
      </c>
      <c r="L117" s="13">
        <v>55142494437</v>
      </c>
      <c r="M117" s="13">
        <v>67218091140</v>
      </c>
      <c r="N117" s="14">
        <v>7.1352989198266844E-3</v>
      </c>
    </row>
    <row r="118" spans="1:14" x14ac:dyDescent="0.4">
      <c r="A118" s="13" t="s">
        <v>115</v>
      </c>
      <c r="B118" s="13">
        <v>24185402</v>
      </c>
      <c r="C118" s="13">
        <v>52748885065</v>
      </c>
      <c r="D118" s="13">
        <v>82962637649</v>
      </c>
      <c r="E118" s="13">
        <v>0</v>
      </c>
      <c r="F118" s="13">
        <v>0</v>
      </c>
      <c r="G118" s="13">
        <v>0</v>
      </c>
      <c r="H118" s="13">
        <v>600000</v>
      </c>
      <c r="I118" s="13">
        <v>2232607515</v>
      </c>
      <c r="J118" s="13">
        <v>23585402</v>
      </c>
      <c r="K118" s="13">
        <v>4070</v>
      </c>
      <c r="L118" s="13">
        <v>51440272083</v>
      </c>
      <c r="M118" s="13">
        <v>95250563449</v>
      </c>
      <c r="N118" s="14">
        <v>1.0110986952530304E-2</v>
      </c>
    </row>
    <row r="119" spans="1:14" x14ac:dyDescent="0.4">
      <c r="A119" s="13" t="s">
        <v>113</v>
      </c>
      <c r="B119" s="13">
        <v>2035696</v>
      </c>
      <c r="C119" s="13">
        <v>71737321819</v>
      </c>
      <c r="D119" s="13">
        <v>83040558474</v>
      </c>
      <c r="E119" s="13">
        <v>0</v>
      </c>
      <c r="F119" s="13">
        <v>30000</v>
      </c>
      <c r="G119" s="13">
        <v>1232358274</v>
      </c>
      <c r="H119" s="13">
        <v>0</v>
      </c>
      <c r="I119" s="13">
        <v>0</v>
      </c>
      <c r="J119" s="13">
        <v>2065696</v>
      </c>
      <c r="K119" s="13">
        <v>37010</v>
      </c>
      <c r="L119" s="13">
        <v>72969680093</v>
      </c>
      <c r="M119" s="13">
        <v>75860439569</v>
      </c>
      <c r="N119" s="14">
        <v>8.052696875709928E-3</v>
      </c>
    </row>
    <row r="120" spans="1:14" x14ac:dyDescent="0.4">
      <c r="A120" s="13" t="s">
        <v>260</v>
      </c>
      <c r="B120" s="13">
        <v>6600000</v>
      </c>
      <c r="C120" s="13">
        <v>52018563005</v>
      </c>
      <c r="D120" s="13">
        <v>55797326640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6600000</v>
      </c>
      <c r="K120" s="13">
        <v>9550</v>
      </c>
      <c r="L120" s="13">
        <v>52018563005</v>
      </c>
      <c r="M120" s="13">
        <v>62542778100</v>
      </c>
      <c r="N120" s="14">
        <v>6.6390075863717842E-3</v>
      </c>
    </row>
    <row r="121" spans="1:14" x14ac:dyDescent="0.4">
      <c r="A121" s="13" t="s">
        <v>261</v>
      </c>
      <c r="B121" s="13">
        <v>724988</v>
      </c>
      <c r="C121" s="13">
        <v>1764072098</v>
      </c>
      <c r="D121" s="13">
        <v>1619333030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  <c r="J121" s="13">
        <v>724988</v>
      </c>
      <c r="K121" s="13">
        <v>2010</v>
      </c>
      <c r="L121" s="13">
        <v>1764072098</v>
      </c>
      <c r="M121" s="13">
        <v>1445961524</v>
      </c>
      <c r="N121" s="14">
        <v>1.5349093562950806E-4</v>
      </c>
    </row>
    <row r="122" spans="1:14" x14ac:dyDescent="0.4">
      <c r="A122" s="13" t="s">
        <v>86</v>
      </c>
      <c r="B122" s="13">
        <v>15972652</v>
      </c>
      <c r="C122" s="13">
        <v>48801383550</v>
      </c>
      <c r="D122" s="13">
        <v>53554390709</v>
      </c>
      <c r="E122" s="13">
        <v>0</v>
      </c>
      <c r="F122" s="13">
        <v>0</v>
      </c>
      <c r="G122" s="13">
        <v>0</v>
      </c>
      <c r="H122" s="13">
        <v>300000</v>
      </c>
      <c r="I122" s="13">
        <v>928764740</v>
      </c>
      <c r="J122" s="13">
        <v>15672652</v>
      </c>
      <c r="K122" s="13">
        <v>3270</v>
      </c>
      <c r="L122" s="13">
        <v>39831756570</v>
      </c>
      <c r="M122" s="13">
        <v>50853412848</v>
      </c>
      <c r="N122" s="14">
        <v>5.3981643276375078E-3</v>
      </c>
    </row>
    <row r="123" spans="1:14" x14ac:dyDescent="0.4">
      <c r="A123" s="13" t="s">
        <v>383</v>
      </c>
      <c r="B123" s="13">
        <v>0</v>
      </c>
      <c r="C123" s="13">
        <v>0</v>
      </c>
      <c r="D123" s="13">
        <v>0</v>
      </c>
      <c r="E123" s="13">
        <v>5324217</v>
      </c>
      <c r="F123" s="13">
        <v>0</v>
      </c>
      <c r="G123" s="13">
        <v>0</v>
      </c>
      <c r="H123" s="13">
        <v>0</v>
      </c>
      <c r="I123" s="13">
        <v>0</v>
      </c>
      <c r="J123" s="13">
        <v>5324217</v>
      </c>
      <c r="K123" s="13">
        <v>1658</v>
      </c>
      <c r="L123" s="13">
        <v>8207182502</v>
      </c>
      <c r="M123" s="13">
        <v>8759314811</v>
      </c>
      <c r="N123" s="14">
        <v>9.2981410881151335E-4</v>
      </c>
    </row>
    <row r="124" spans="1:14" x14ac:dyDescent="0.4">
      <c r="A124" s="13" t="s">
        <v>118</v>
      </c>
      <c r="B124" s="13">
        <v>13200000</v>
      </c>
      <c r="C124" s="13">
        <v>60391174516</v>
      </c>
      <c r="D124" s="13">
        <v>72300761280</v>
      </c>
      <c r="E124" s="13">
        <v>0</v>
      </c>
      <c r="F124" s="13">
        <v>0</v>
      </c>
      <c r="G124" s="13">
        <v>0</v>
      </c>
      <c r="H124" s="13">
        <v>300000</v>
      </c>
      <c r="I124" s="13">
        <v>1732503426</v>
      </c>
      <c r="J124" s="13">
        <v>12900000</v>
      </c>
      <c r="K124" s="13">
        <v>5250</v>
      </c>
      <c r="L124" s="13">
        <v>59018647822</v>
      </c>
      <c r="M124" s="13">
        <v>67201485750</v>
      </c>
      <c r="N124" s="14">
        <v>7.1335362333337952E-3</v>
      </c>
    </row>
    <row r="125" spans="1:14" x14ac:dyDescent="0.4">
      <c r="A125" s="13" t="s">
        <v>313</v>
      </c>
      <c r="B125" s="13">
        <v>1875000</v>
      </c>
      <c r="C125" s="13">
        <v>5911612875</v>
      </c>
      <c r="D125" s="13">
        <v>11870029875</v>
      </c>
      <c r="E125" s="13">
        <v>0</v>
      </c>
      <c r="F125" s="13">
        <v>0</v>
      </c>
      <c r="G125" s="13">
        <v>0</v>
      </c>
      <c r="H125" s="13">
        <v>0</v>
      </c>
      <c r="I125" s="13">
        <v>0</v>
      </c>
      <c r="J125" s="13">
        <v>1875000</v>
      </c>
      <c r="K125" s="13">
        <v>6080</v>
      </c>
      <c r="L125" s="13">
        <v>5911612875</v>
      </c>
      <c r="M125" s="13">
        <v>11311878000</v>
      </c>
      <c r="N125" s="14">
        <v>1.200772433517981E-3</v>
      </c>
    </row>
    <row r="126" spans="1:14" x14ac:dyDescent="0.4">
      <c r="A126" s="13" t="s">
        <v>262</v>
      </c>
      <c r="B126" s="13">
        <v>23792</v>
      </c>
      <c r="C126" s="13">
        <v>1265552380</v>
      </c>
      <c r="D126" s="13">
        <v>2230964301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23792</v>
      </c>
      <c r="K126" s="13">
        <v>141100</v>
      </c>
      <c r="L126" s="13">
        <v>1265552380</v>
      </c>
      <c r="M126" s="13">
        <v>3331101194</v>
      </c>
      <c r="N126" s="14">
        <v>3.5360127531556054E-4</v>
      </c>
    </row>
    <row r="127" spans="1:14" x14ac:dyDescent="0.4">
      <c r="A127" s="13" t="s">
        <v>264</v>
      </c>
      <c r="B127" s="13">
        <v>2843421</v>
      </c>
      <c r="C127" s="13">
        <v>42953943314</v>
      </c>
      <c r="D127" s="13">
        <v>47964503046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  <c r="J127" s="13">
        <v>2843421</v>
      </c>
      <c r="K127" s="13">
        <v>14930</v>
      </c>
      <c r="L127" s="13">
        <v>42953943314</v>
      </c>
      <c r="M127" s="13">
        <v>42124119440</v>
      </c>
      <c r="N127" s="14">
        <v>4.471537034767427E-3</v>
      </c>
    </row>
    <row r="128" spans="1:14" x14ac:dyDescent="0.4">
      <c r="A128" s="13" t="s">
        <v>265</v>
      </c>
      <c r="B128" s="13">
        <v>3733986</v>
      </c>
      <c r="C128" s="13">
        <v>14066948730</v>
      </c>
      <c r="D128" s="13">
        <v>60578749412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3733986</v>
      </c>
      <c r="K128" s="13">
        <v>19700</v>
      </c>
      <c r="L128" s="13">
        <v>14066948730</v>
      </c>
      <c r="M128" s="13">
        <v>72990909078</v>
      </c>
      <c r="N128" s="14">
        <v>7.7480920072051478E-3</v>
      </c>
    </row>
    <row r="129" spans="1:14" x14ac:dyDescent="0.4">
      <c r="A129" s="13" t="s">
        <v>171</v>
      </c>
      <c r="B129" s="13">
        <v>21283396</v>
      </c>
      <c r="C129" s="13">
        <v>73926481428</v>
      </c>
      <c r="D129" s="13">
        <v>92648506156</v>
      </c>
      <c r="E129" s="13">
        <v>0</v>
      </c>
      <c r="F129" s="13">
        <v>0</v>
      </c>
      <c r="G129" s="13">
        <v>0</v>
      </c>
      <c r="H129" s="13">
        <v>2100000</v>
      </c>
      <c r="I129" s="13">
        <v>8480931755</v>
      </c>
      <c r="J129" s="13">
        <v>19183396</v>
      </c>
      <c r="K129" s="13">
        <v>4400</v>
      </c>
      <c r="L129" s="13">
        <v>66632269029</v>
      </c>
      <c r="M129" s="13">
        <v>83754476735</v>
      </c>
      <c r="N129" s="14">
        <v>8.8906604939613977E-3</v>
      </c>
    </row>
    <row r="130" spans="1:14" x14ac:dyDescent="0.4">
      <c r="A130" s="13" t="s">
        <v>91</v>
      </c>
      <c r="B130" s="13">
        <v>6453452</v>
      </c>
      <c r="C130" s="13">
        <v>44171986324</v>
      </c>
      <c r="D130" s="13">
        <v>43416183013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6453452</v>
      </c>
      <c r="K130" s="13">
        <v>5560</v>
      </c>
      <c r="L130" s="13">
        <v>44171986324</v>
      </c>
      <c r="M130" s="13">
        <v>35603831497</v>
      </c>
      <c r="N130" s="14">
        <v>3.7793989105272202E-3</v>
      </c>
    </row>
    <row r="131" spans="1:14" x14ac:dyDescent="0.4">
      <c r="A131" s="13" t="s">
        <v>266</v>
      </c>
      <c r="B131" s="13">
        <v>6157463</v>
      </c>
      <c r="C131" s="13">
        <v>15675856896</v>
      </c>
      <c r="D131" s="13">
        <v>40325114353</v>
      </c>
      <c r="E131" s="13">
        <v>0</v>
      </c>
      <c r="F131" s="13">
        <v>0</v>
      </c>
      <c r="G131" s="13">
        <v>0</v>
      </c>
      <c r="H131" s="13">
        <v>0</v>
      </c>
      <c r="I131" s="13">
        <v>0</v>
      </c>
      <c r="J131" s="13">
        <v>6157463</v>
      </c>
      <c r="K131" s="13">
        <v>10250</v>
      </c>
      <c r="L131" s="13">
        <v>15675856896</v>
      </c>
      <c r="M131" s="13">
        <v>62626124563</v>
      </c>
      <c r="N131" s="14">
        <v>6.6478549356096053E-3</v>
      </c>
    </row>
    <row r="132" spans="1:14" x14ac:dyDescent="0.4">
      <c r="A132" s="13" t="s">
        <v>360</v>
      </c>
      <c r="B132" s="13">
        <v>21039055</v>
      </c>
      <c r="C132" s="13">
        <v>42846585890</v>
      </c>
      <c r="D132" s="13">
        <v>75697910178</v>
      </c>
      <c r="E132" s="13">
        <v>0</v>
      </c>
      <c r="F132" s="13">
        <v>4200000</v>
      </c>
      <c r="G132" s="13">
        <v>14994403163</v>
      </c>
      <c r="H132" s="13">
        <v>0</v>
      </c>
      <c r="I132" s="13">
        <v>0</v>
      </c>
      <c r="J132" s="13">
        <v>25239055</v>
      </c>
      <c r="K132" s="13">
        <v>2911</v>
      </c>
      <c r="L132" s="13">
        <v>57840989053</v>
      </c>
      <c r="M132" s="13">
        <v>72902959132</v>
      </c>
      <c r="N132" s="14">
        <v>7.7387559914979245E-3</v>
      </c>
    </row>
    <row r="133" spans="1:14" x14ac:dyDescent="0.4">
      <c r="A133" s="13" t="s">
        <v>267</v>
      </c>
      <c r="B133" s="13">
        <v>6494761</v>
      </c>
      <c r="C133" s="13">
        <v>17485089878</v>
      </c>
      <c r="D133" s="13">
        <v>24167086866</v>
      </c>
      <c r="E133" s="13">
        <v>0</v>
      </c>
      <c r="F133" s="13">
        <v>0</v>
      </c>
      <c r="G133" s="13">
        <v>0</v>
      </c>
      <c r="H133" s="13">
        <v>0</v>
      </c>
      <c r="I133" s="13">
        <v>0</v>
      </c>
      <c r="J133" s="13">
        <v>6494761</v>
      </c>
      <c r="K133" s="13">
        <v>3600</v>
      </c>
      <c r="L133" s="13">
        <v>17485089878</v>
      </c>
      <c r="M133" s="13">
        <v>23200403391</v>
      </c>
      <c r="N133" s="14">
        <v>2.46275683298652E-3</v>
      </c>
    </row>
    <row r="134" spans="1:14" x14ac:dyDescent="0.4">
      <c r="A134" s="13" t="s">
        <v>133</v>
      </c>
      <c r="B134" s="13">
        <v>5612182</v>
      </c>
      <c r="C134" s="13">
        <v>17491338187</v>
      </c>
      <c r="D134" s="13">
        <v>20326119391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5612182</v>
      </c>
      <c r="K134" s="13">
        <v>3230</v>
      </c>
      <c r="L134" s="13">
        <v>17491338187</v>
      </c>
      <c r="M134" s="13">
        <v>17987223461</v>
      </c>
      <c r="N134" s="14">
        <v>1.9093701406164999E-3</v>
      </c>
    </row>
    <row r="135" spans="1:14" x14ac:dyDescent="0.4">
      <c r="A135" s="13" t="s">
        <v>142</v>
      </c>
      <c r="B135" s="13">
        <v>9318463</v>
      </c>
      <c r="C135" s="13">
        <v>24053471197</v>
      </c>
      <c r="D135" s="13">
        <v>41017169163</v>
      </c>
      <c r="E135" s="13">
        <v>0</v>
      </c>
      <c r="F135" s="13">
        <v>0</v>
      </c>
      <c r="G135" s="13">
        <v>0</v>
      </c>
      <c r="H135" s="13">
        <v>298800</v>
      </c>
      <c r="I135" s="13">
        <v>1310487023</v>
      </c>
      <c r="J135" s="13">
        <v>9019663</v>
      </c>
      <c r="K135" s="13">
        <v>4190</v>
      </c>
      <c r="L135" s="13">
        <v>23282187650</v>
      </c>
      <c r="M135" s="13">
        <v>37500252811</v>
      </c>
      <c r="N135" s="14">
        <v>3.980706813263366E-3</v>
      </c>
    </row>
    <row r="136" spans="1:14" x14ac:dyDescent="0.4">
      <c r="A136" s="13" t="s">
        <v>140</v>
      </c>
      <c r="B136" s="13">
        <v>4338313</v>
      </c>
      <c r="C136" s="13">
        <v>67638334722</v>
      </c>
      <c r="D136" s="13">
        <v>55488586364</v>
      </c>
      <c r="E136" s="13">
        <v>0</v>
      </c>
      <c r="F136" s="13">
        <v>0</v>
      </c>
      <c r="G136" s="13">
        <v>0</v>
      </c>
      <c r="H136" s="13">
        <v>100000</v>
      </c>
      <c r="I136" s="13">
        <v>1240754262</v>
      </c>
      <c r="J136" s="13">
        <v>4238313</v>
      </c>
      <c r="K136" s="13">
        <v>12400</v>
      </c>
      <c r="L136" s="13">
        <v>66079241712</v>
      </c>
      <c r="M136" s="13">
        <v>52148830422</v>
      </c>
      <c r="N136" s="14">
        <v>5.5356748022690359E-3</v>
      </c>
    </row>
    <row r="137" spans="1:14" x14ac:dyDescent="0.4">
      <c r="A137" s="13" t="s">
        <v>269</v>
      </c>
      <c r="B137" s="13">
        <v>7043843</v>
      </c>
      <c r="C137" s="13">
        <v>17962732742</v>
      </c>
      <c r="D137" s="13">
        <v>37253470519</v>
      </c>
      <c r="E137" s="13">
        <v>0</v>
      </c>
      <c r="F137" s="13">
        <v>0</v>
      </c>
      <c r="G137" s="13">
        <v>0</v>
      </c>
      <c r="H137" s="13">
        <v>0</v>
      </c>
      <c r="I137" s="13">
        <v>0</v>
      </c>
      <c r="J137" s="13">
        <v>7043843</v>
      </c>
      <c r="K137" s="13">
        <v>7780</v>
      </c>
      <c r="L137" s="13">
        <v>17962732742</v>
      </c>
      <c r="M137" s="13">
        <v>54377486048</v>
      </c>
      <c r="N137" s="14">
        <v>5.7722498642972476E-3</v>
      </c>
    </row>
    <row r="138" spans="1:14" x14ac:dyDescent="0.4">
      <c r="A138" s="13" t="s">
        <v>270</v>
      </c>
      <c r="B138" s="13">
        <v>3904663</v>
      </c>
      <c r="C138" s="13">
        <v>9704409400</v>
      </c>
      <c r="D138" s="13">
        <v>30375922847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3904663</v>
      </c>
      <c r="K138" s="13">
        <v>9130</v>
      </c>
      <c r="L138" s="13">
        <v>9704409400</v>
      </c>
      <c r="M138" s="13">
        <v>35374001989</v>
      </c>
      <c r="N138" s="14">
        <v>3.7550021713106726E-3</v>
      </c>
    </row>
    <row r="139" spans="1:14" x14ac:dyDescent="0.4">
      <c r="A139" s="13" t="s">
        <v>384</v>
      </c>
      <c r="B139" s="13">
        <v>1200163</v>
      </c>
      <c r="C139" s="13">
        <v>16198919272</v>
      </c>
      <c r="D139" s="13">
        <v>7609759879</v>
      </c>
      <c r="E139" s="13">
        <v>0</v>
      </c>
      <c r="F139" s="13">
        <v>0</v>
      </c>
      <c r="G139" s="13">
        <v>0</v>
      </c>
      <c r="H139" s="13">
        <v>0</v>
      </c>
      <c r="I139" s="13">
        <v>0</v>
      </c>
      <c r="J139" s="13">
        <v>1200163</v>
      </c>
      <c r="K139" s="13">
        <v>6390</v>
      </c>
      <c r="L139" s="13">
        <v>16198919272</v>
      </c>
      <c r="M139" s="13">
        <v>7609759879</v>
      </c>
      <c r="N139" s="14">
        <v>8.0778716747071766E-4</v>
      </c>
    </row>
    <row r="140" spans="1:14" x14ac:dyDescent="0.4">
      <c r="A140" s="13" t="s">
        <v>145</v>
      </c>
      <c r="B140" s="13">
        <v>6738492</v>
      </c>
      <c r="C140" s="13">
        <v>81523141436</v>
      </c>
      <c r="D140" s="13">
        <v>96484801882</v>
      </c>
      <c r="E140" s="13">
        <v>0</v>
      </c>
      <c r="F140" s="13">
        <v>0</v>
      </c>
      <c r="G140" s="13">
        <v>0</v>
      </c>
      <c r="H140" s="13">
        <v>1000000</v>
      </c>
      <c r="I140" s="13">
        <v>13509933642</v>
      </c>
      <c r="J140" s="13">
        <v>5738492</v>
      </c>
      <c r="K140" s="13">
        <v>12300</v>
      </c>
      <c r="L140" s="13">
        <v>69425013036</v>
      </c>
      <c r="M140" s="13">
        <v>70037841519</v>
      </c>
      <c r="N140" s="14">
        <v>7.4346195564623588E-3</v>
      </c>
    </row>
    <row r="141" spans="1:14" x14ac:dyDescent="0.4">
      <c r="A141" s="13" t="s">
        <v>271</v>
      </c>
      <c r="B141" s="13">
        <v>204021</v>
      </c>
      <c r="C141" s="13">
        <v>5210406001</v>
      </c>
      <c r="D141" s="13">
        <v>12298467998</v>
      </c>
      <c r="E141" s="13">
        <v>0</v>
      </c>
      <c r="F141" s="13">
        <v>0</v>
      </c>
      <c r="G141" s="13">
        <v>0</v>
      </c>
      <c r="H141" s="13">
        <v>0</v>
      </c>
      <c r="I141" s="13">
        <v>0</v>
      </c>
      <c r="J141" s="13">
        <v>204021</v>
      </c>
      <c r="K141" s="13">
        <v>61770</v>
      </c>
      <c r="L141" s="13">
        <v>5210406001</v>
      </c>
      <c r="M141" s="13">
        <v>12504960794</v>
      </c>
      <c r="N141" s="14">
        <v>1.3274199212242497E-3</v>
      </c>
    </row>
    <row r="142" spans="1:14" x14ac:dyDescent="0.4">
      <c r="A142" s="13" t="s">
        <v>317</v>
      </c>
      <c r="B142" s="13">
        <v>4967900</v>
      </c>
      <c r="C142" s="13">
        <v>27318914165</v>
      </c>
      <c r="D142" s="13">
        <v>22789069869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4967900</v>
      </c>
      <c r="K142" s="13">
        <v>4490</v>
      </c>
      <c r="L142" s="13">
        <v>27318914165</v>
      </c>
      <c r="M142" s="13">
        <v>22133446617</v>
      </c>
      <c r="N142" s="14">
        <v>2.3494978072107404E-3</v>
      </c>
    </row>
    <row r="143" spans="1:14" x14ac:dyDescent="0.4">
      <c r="A143" s="13" t="s">
        <v>272</v>
      </c>
      <c r="B143" s="13">
        <v>25021276</v>
      </c>
      <c r="C143" s="13">
        <v>39331346955</v>
      </c>
      <c r="D143" s="13">
        <v>38309390351</v>
      </c>
      <c r="E143" s="13">
        <v>0</v>
      </c>
      <c r="F143" s="13">
        <v>0</v>
      </c>
      <c r="G143" s="13">
        <v>0</v>
      </c>
      <c r="H143" s="13">
        <v>0</v>
      </c>
      <c r="I143" s="13">
        <v>0</v>
      </c>
      <c r="J143" s="13">
        <v>25021276</v>
      </c>
      <c r="K143" s="13">
        <v>1428</v>
      </c>
      <c r="L143" s="13">
        <v>39331346955</v>
      </c>
      <c r="M143" s="13">
        <v>35454186274</v>
      </c>
      <c r="N143" s="14">
        <v>3.763513850717872E-3</v>
      </c>
    </row>
    <row r="144" spans="1:14" x14ac:dyDescent="0.4">
      <c r="A144" s="13" t="s">
        <v>130</v>
      </c>
      <c r="B144" s="13">
        <v>10715801</v>
      </c>
      <c r="C144" s="13">
        <v>37876321141</v>
      </c>
      <c r="D144" s="13">
        <v>44552135326</v>
      </c>
      <c r="E144" s="13">
        <v>0</v>
      </c>
      <c r="F144" s="13">
        <v>0</v>
      </c>
      <c r="G144" s="13">
        <v>0</v>
      </c>
      <c r="H144" s="13">
        <v>1200000</v>
      </c>
      <c r="I144" s="13">
        <v>5204719277</v>
      </c>
      <c r="J144" s="13">
        <v>9515801</v>
      </c>
      <c r="K144" s="13">
        <v>4610</v>
      </c>
      <c r="L144" s="13">
        <v>33634773041</v>
      </c>
      <c r="M144" s="13">
        <v>43528744187</v>
      </c>
      <c r="N144" s="14">
        <v>4.6206400109164592E-3</v>
      </c>
    </row>
    <row r="145" spans="1:14" x14ac:dyDescent="0.4">
      <c r="A145" s="13" t="s">
        <v>274</v>
      </c>
      <c r="B145" s="13">
        <v>2967758</v>
      </c>
      <c r="C145" s="13">
        <v>23484494669</v>
      </c>
      <c r="D145" s="13">
        <v>29683757685</v>
      </c>
      <c r="E145" s="13">
        <v>0</v>
      </c>
      <c r="F145" s="13">
        <v>2800000</v>
      </c>
      <c r="G145" s="13">
        <v>28928460206</v>
      </c>
      <c r="H145" s="13">
        <v>0</v>
      </c>
      <c r="I145" s="13">
        <v>0</v>
      </c>
      <c r="J145" s="13">
        <v>5767758</v>
      </c>
      <c r="K145" s="13">
        <v>12840</v>
      </c>
      <c r="L145" s="13">
        <v>52412954875</v>
      </c>
      <c r="M145" s="13">
        <v>73485544282</v>
      </c>
      <c r="N145" s="14">
        <v>7.8005982592714044E-3</v>
      </c>
    </row>
    <row r="146" spans="1:14" x14ac:dyDescent="0.4">
      <c r="A146" s="13" t="s">
        <v>367</v>
      </c>
      <c r="B146" s="13">
        <v>8858150</v>
      </c>
      <c r="C146" s="13">
        <v>11344964033</v>
      </c>
      <c r="D146" s="13">
        <v>7031741200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8858150</v>
      </c>
      <c r="K146" s="13">
        <v>800</v>
      </c>
      <c r="L146" s="13">
        <v>11344964033</v>
      </c>
      <c r="M146" s="13">
        <v>7031741200</v>
      </c>
      <c r="N146" s="14">
        <v>7.464296372885782E-4</v>
      </c>
    </row>
    <row r="147" spans="1:14" x14ac:dyDescent="0.4">
      <c r="A147" s="13" t="s">
        <v>276</v>
      </c>
      <c r="B147" s="13">
        <v>13000000</v>
      </c>
      <c r="C147" s="13">
        <v>77636851559</v>
      </c>
      <c r="D147" s="13">
        <v>72237256000</v>
      </c>
      <c r="E147" s="13">
        <v>0</v>
      </c>
      <c r="F147" s="13">
        <v>0</v>
      </c>
      <c r="G147" s="13">
        <v>0</v>
      </c>
      <c r="H147" s="13">
        <v>0</v>
      </c>
      <c r="I147" s="13">
        <v>0</v>
      </c>
      <c r="J147" s="13">
        <v>13000000</v>
      </c>
      <c r="K147" s="13">
        <v>4780</v>
      </c>
      <c r="L147" s="13">
        <v>77636851559</v>
      </c>
      <c r="M147" s="13">
        <v>61659657800</v>
      </c>
      <c r="N147" s="14">
        <v>6.5452630718252055E-3</v>
      </c>
    </row>
    <row r="148" spans="1:14" x14ac:dyDescent="0.4">
      <c r="A148" s="13" t="s">
        <v>351</v>
      </c>
      <c r="B148" s="13">
        <v>5800000</v>
      </c>
      <c r="C148" s="13">
        <v>21338456733</v>
      </c>
      <c r="D148" s="13">
        <v>34300789360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5800000</v>
      </c>
      <c r="K148" s="13">
        <v>4730</v>
      </c>
      <c r="L148" s="13">
        <v>21338456733</v>
      </c>
      <c r="M148" s="13">
        <v>27221935180</v>
      </c>
      <c r="N148" s="14">
        <v>2.8896483281694993E-3</v>
      </c>
    </row>
    <row r="149" spans="1:14" x14ac:dyDescent="0.4">
      <c r="A149" s="13" t="s">
        <v>346</v>
      </c>
      <c r="B149" s="13">
        <v>5729478</v>
      </c>
      <c r="C149" s="13">
        <v>11625693660</v>
      </c>
      <c r="D149" s="13">
        <v>7419171821</v>
      </c>
      <c r="E149" s="13">
        <v>0</v>
      </c>
      <c r="F149" s="13">
        <v>0</v>
      </c>
      <c r="G149" s="13">
        <v>0</v>
      </c>
      <c r="H149" s="13">
        <v>0</v>
      </c>
      <c r="I149" s="13">
        <v>0</v>
      </c>
      <c r="J149" s="13">
        <v>5729478</v>
      </c>
      <c r="K149" s="13">
        <v>1305</v>
      </c>
      <c r="L149" s="13">
        <v>11625693660</v>
      </c>
      <c r="M149" s="13">
        <v>7419171821</v>
      </c>
      <c r="N149" s="14">
        <v>7.8755596570173408E-4</v>
      </c>
    </row>
    <row r="150" spans="1:14" x14ac:dyDescent="0.4">
      <c r="A150" s="13" t="s">
        <v>124</v>
      </c>
      <c r="B150" s="13">
        <v>0</v>
      </c>
      <c r="C150" s="13">
        <v>0</v>
      </c>
      <c r="D150" s="13">
        <v>0</v>
      </c>
      <c r="E150" s="13">
        <v>0</v>
      </c>
      <c r="F150" s="13">
        <v>25600000</v>
      </c>
      <c r="G150" s="13">
        <v>69456759223</v>
      </c>
      <c r="H150" s="13">
        <v>300000</v>
      </c>
      <c r="I150" s="13">
        <v>878158960</v>
      </c>
      <c r="J150" s="13">
        <v>25300000</v>
      </c>
      <c r="K150" s="13">
        <v>3240</v>
      </c>
      <c r="L150" s="13">
        <v>68642812826</v>
      </c>
      <c r="M150" s="13">
        <v>81338356440</v>
      </c>
      <c r="N150" s="14">
        <v>8.6341857824856084E-3</v>
      </c>
    </row>
    <row r="151" spans="1:14" x14ac:dyDescent="0.4">
      <c r="A151" s="13" t="s">
        <v>277</v>
      </c>
      <c r="B151" s="13">
        <v>23989450</v>
      </c>
      <c r="C151" s="13">
        <v>25066741703</v>
      </c>
      <c r="D151" s="13">
        <v>52035569252</v>
      </c>
      <c r="E151" s="13">
        <v>0</v>
      </c>
      <c r="F151" s="13">
        <v>0</v>
      </c>
      <c r="G151" s="13">
        <v>0</v>
      </c>
      <c r="H151" s="13">
        <v>0</v>
      </c>
      <c r="I151" s="13">
        <v>0</v>
      </c>
      <c r="J151" s="13">
        <v>23989450</v>
      </c>
      <c r="K151" s="13">
        <v>2384</v>
      </c>
      <c r="L151" s="13">
        <v>25066741703</v>
      </c>
      <c r="M151" s="13">
        <v>56748763539</v>
      </c>
      <c r="N151" s="14">
        <v>6.0239644463864891E-3</v>
      </c>
    </row>
    <row r="152" spans="1:14" x14ac:dyDescent="0.4">
      <c r="A152" s="13" t="s">
        <v>120</v>
      </c>
      <c r="B152" s="13">
        <v>20809541</v>
      </c>
      <c r="C152" s="13">
        <v>23931525480</v>
      </c>
      <c r="D152" s="13">
        <v>36259087784</v>
      </c>
      <c r="E152" s="13">
        <v>0</v>
      </c>
      <c r="F152" s="13">
        <v>0</v>
      </c>
      <c r="G152" s="13">
        <v>0</v>
      </c>
      <c r="H152" s="13">
        <v>6000000</v>
      </c>
      <c r="I152" s="13">
        <v>9599113434</v>
      </c>
      <c r="J152" s="13">
        <v>14809541</v>
      </c>
      <c r="K152" s="13">
        <v>1661</v>
      </c>
      <c r="L152" s="13">
        <v>17031365939</v>
      </c>
      <c r="M152" s="13">
        <v>24408500055</v>
      </c>
      <c r="N152" s="14">
        <v>2.5909980650044248E-3</v>
      </c>
    </row>
    <row r="153" spans="1:14" x14ac:dyDescent="0.4">
      <c r="A153" s="13" t="s">
        <v>278</v>
      </c>
      <c r="B153" s="13">
        <v>2447708</v>
      </c>
      <c r="C153" s="13">
        <v>19401041613</v>
      </c>
      <c r="D153" s="13">
        <v>28271083208</v>
      </c>
      <c r="E153" s="13">
        <v>0</v>
      </c>
      <c r="F153" s="13">
        <v>0</v>
      </c>
      <c r="G153" s="13">
        <v>0</v>
      </c>
      <c r="H153" s="13">
        <v>0</v>
      </c>
      <c r="I153" s="13">
        <v>0</v>
      </c>
      <c r="J153" s="13">
        <v>2447708</v>
      </c>
      <c r="K153" s="13">
        <v>9520</v>
      </c>
      <c r="L153" s="13">
        <v>19401041613</v>
      </c>
      <c r="M153" s="13">
        <v>23122054307</v>
      </c>
      <c r="N153" s="14">
        <v>2.4544399628559734E-3</v>
      </c>
    </row>
    <row r="154" spans="1:14" x14ac:dyDescent="0.4">
      <c r="A154" s="13" t="s">
        <v>161</v>
      </c>
      <c r="B154" s="13">
        <v>2567583</v>
      </c>
      <c r="C154" s="13">
        <v>27616475880</v>
      </c>
      <c r="D154" s="13">
        <v>50419687196</v>
      </c>
      <c r="E154" s="13">
        <v>0</v>
      </c>
      <c r="F154" s="13">
        <v>0</v>
      </c>
      <c r="G154" s="13">
        <v>0</v>
      </c>
      <c r="H154" s="13">
        <v>200000</v>
      </c>
      <c r="I154" s="13">
        <v>3609878275</v>
      </c>
      <c r="J154" s="13">
        <v>2367583</v>
      </c>
      <c r="K154" s="13">
        <v>18130</v>
      </c>
      <c r="L154" s="13">
        <v>25465310688</v>
      </c>
      <c r="M154" s="13">
        <v>42592475107</v>
      </c>
      <c r="N154" s="14">
        <v>4.5212536754539274E-3</v>
      </c>
    </row>
    <row r="155" spans="1:14" x14ac:dyDescent="0.4">
      <c r="A155" s="13" t="s">
        <v>137</v>
      </c>
      <c r="B155" s="13">
        <v>4374516</v>
      </c>
      <c r="C155" s="13">
        <v>22219858996</v>
      </c>
      <c r="D155" s="13">
        <v>33640432683</v>
      </c>
      <c r="E155" s="13">
        <v>0</v>
      </c>
      <c r="F155" s="13">
        <v>0</v>
      </c>
      <c r="G155" s="13">
        <v>0</v>
      </c>
      <c r="H155" s="13">
        <v>0</v>
      </c>
      <c r="I155" s="13">
        <v>0</v>
      </c>
      <c r="J155" s="13">
        <v>4374516</v>
      </c>
      <c r="K155" s="13">
        <v>7010</v>
      </c>
      <c r="L155" s="13">
        <v>22219858996</v>
      </c>
      <c r="M155" s="13">
        <v>30428313949</v>
      </c>
      <c r="N155" s="14">
        <v>3.2300101352215659E-3</v>
      </c>
    </row>
    <row r="156" spans="1:14" x14ac:dyDescent="0.4">
      <c r="A156" s="13" t="s">
        <v>339</v>
      </c>
      <c r="B156" s="13">
        <v>1753083</v>
      </c>
      <c r="C156" s="13">
        <v>23044428513</v>
      </c>
      <c r="D156" s="13">
        <v>25414557675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1753083</v>
      </c>
      <c r="K156" s="13">
        <v>14220</v>
      </c>
      <c r="L156" s="13">
        <v>23044428513</v>
      </c>
      <c r="M156" s="13">
        <v>24736140325</v>
      </c>
      <c r="N156" s="14">
        <v>2.6257775600030792E-3</v>
      </c>
    </row>
    <row r="157" spans="1:14" x14ac:dyDescent="0.4">
      <c r="A157" s="13" t="s">
        <v>357</v>
      </c>
      <c r="B157" s="13">
        <v>8977144</v>
      </c>
      <c r="C157" s="13">
        <v>25448333106</v>
      </c>
      <c r="D157" s="13">
        <v>31782854415</v>
      </c>
      <c r="E157" s="13">
        <v>0</v>
      </c>
      <c r="F157" s="13">
        <v>0</v>
      </c>
      <c r="G157" s="13">
        <v>0</v>
      </c>
      <c r="H157" s="13">
        <v>0</v>
      </c>
      <c r="I157" s="13">
        <v>0</v>
      </c>
      <c r="J157" s="13">
        <v>8977144</v>
      </c>
      <c r="K157" s="13">
        <v>3710</v>
      </c>
      <c r="L157" s="13">
        <v>25448333106</v>
      </c>
      <c r="M157" s="13">
        <v>33047755011</v>
      </c>
      <c r="N157" s="14">
        <v>3.5080676441935211E-3</v>
      </c>
    </row>
    <row r="158" spans="1:14" x14ac:dyDescent="0.4">
      <c r="A158" s="13" t="s">
        <v>279</v>
      </c>
      <c r="B158" s="13">
        <v>10684873</v>
      </c>
      <c r="C158" s="13">
        <v>20039466760</v>
      </c>
      <c r="D158" s="13">
        <v>41772978991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10684873</v>
      </c>
      <c r="K158" s="13">
        <v>6610</v>
      </c>
      <c r="L158" s="13">
        <v>20039466760</v>
      </c>
      <c r="M158" s="13">
        <v>70081063739</v>
      </c>
      <c r="N158" s="14">
        <v>7.4392076584814445E-3</v>
      </c>
    </row>
    <row r="159" spans="1:14" x14ac:dyDescent="0.4">
      <c r="A159" s="13" t="s">
        <v>103</v>
      </c>
      <c r="B159" s="13">
        <v>19865640</v>
      </c>
      <c r="C159" s="13">
        <v>85560129403</v>
      </c>
      <c r="D159" s="13">
        <v>106050982883</v>
      </c>
      <c r="E159" s="13">
        <v>0</v>
      </c>
      <c r="F159" s="13">
        <v>0</v>
      </c>
      <c r="G159" s="13">
        <v>0</v>
      </c>
      <c r="H159" s="13">
        <v>0</v>
      </c>
      <c r="I159" s="13">
        <v>0</v>
      </c>
      <c r="J159" s="13">
        <v>19865640</v>
      </c>
      <c r="K159" s="13">
        <v>4940</v>
      </c>
      <c r="L159" s="13">
        <v>85560129403</v>
      </c>
      <c r="M159" s="13">
        <v>97377668298</v>
      </c>
      <c r="N159" s="14">
        <v>1.0336782250701096E-2</v>
      </c>
    </row>
    <row r="160" spans="1:14" x14ac:dyDescent="0.4">
      <c r="A160" s="13" t="s">
        <v>108</v>
      </c>
      <c r="B160" s="13">
        <v>46293355</v>
      </c>
      <c r="C160" s="13">
        <v>74603963851</v>
      </c>
      <c r="D160" s="13">
        <v>89666110378</v>
      </c>
      <c r="E160" s="13">
        <v>0</v>
      </c>
      <c r="F160" s="13">
        <v>0</v>
      </c>
      <c r="G160" s="13">
        <v>0</v>
      </c>
      <c r="H160" s="13">
        <v>1000000</v>
      </c>
      <c r="I160" s="13">
        <v>1914088909</v>
      </c>
      <c r="J160" s="13">
        <v>45293355</v>
      </c>
      <c r="K160" s="13">
        <v>1862</v>
      </c>
      <c r="L160" s="13">
        <v>72992415847</v>
      </c>
      <c r="M160" s="13">
        <v>83684307975</v>
      </c>
      <c r="N160" s="14">
        <v>8.8832119772162439E-3</v>
      </c>
    </row>
    <row r="161" spans="1:14" x14ac:dyDescent="0.4">
      <c r="A161" s="13" t="s">
        <v>158</v>
      </c>
      <c r="B161" s="13">
        <v>3340260</v>
      </c>
      <c r="C161" s="13">
        <v>27629910504</v>
      </c>
      <c r="D161" s="13">
        <v>38116057587</v>
      </c>
      <c r="E161" s="13">
        <v>0</v>
      </c>
      <c r="F161" s="13">
        <v>0</v>
      </c>
      <c r="G161" s="13">
        <v>0</v>
      </c>
      <c r="H161" s="13">
        <v>100000</v>
      </c>
      <c r="I161" s="13">
        <v>1528095805</v>
      </c>
      <c r="J161" s="13">
        <v>3240260</v>
      </c>
      <c r="K161" s="13">
        <v>16330</v>
      </c>
      <c r="L161" s="13">
        <v>26802732066</v>
      </c>
      <c r="M161" s="13">
        <v>52504424864</v>
      </c>
      <c r="N161" s="14">
        <v>5.5734216736078009E-3</v>
      </c>
    </row>
    <row r="162" spans="1:14" x14ac:dyDescent="0.4">
      <c r="A162" s="13" t="s">
        <v>111</v>
      </c>
      <c r="B162" s="13">
        <v>1862852</v>
      </c>
      <c r="C162" s="13">
        <v>27407818772</v>
      </c>
      <c r="D162" s="13">
        <v>40277772437</v>
      </c>
      <c r="E162" s="13">
        <v>0</v>
      </c>
      <c r="F162" s="13">
        <v>200000</v>
      </c>
      <c r="G162" s="13">
        <v>4676424865</v>
      </c>
      <c r="H162" s="13">
        <v>100000</v>
      </c>
      <c r="I162" s="13">
        <v>2255429716</v>
      </c>
      <c r="J162" s="13">
        <v>1962852</v>
      </c>
      <c r="K162" s="13">
        <v>23960</v>
      </c>
      <c r="L162" s="13">
        <v>30528909389</v>
      </c>
      <c r="M162" s="13">
        <v>46666392531</v>
      </c>
      <c r="N162" s="14">
        <v>4.9537059825922984E-3</v>
      </c>
    </row>
    <row r="163" spans="1:14" x14ac:dyDescent="0.4">
      <c r="A163" s="13" t="s">
        <v>280</v>
      </c>
      <c r="B163" s="13">
        <v>3484284</v>
      </c>
      <c r="C163" s="13">
        <v>27100051986</v>
      </c>
      <c r="D163" s="13">
        <v>33605446711</v>
      </c>
      <c r="E163" s="13">
        <v>0</v>
      </c>
      <c r="F163" s="13">
        <v>1200000</v>
      </c>
      <c r="G163" s="13">
        <v>12080095843</v>
      </c>
      <c r="H163" s="13">
        <v>0</v>
      </c>
      <c r="I163" s="13">
        <v>0</v>
      </c>
      <c r="J163" s="13">
        <v>4684284</v>
      </c>
      <c r="K163" s="13">
        <v>9380</v>
      </c>
      <c r="L163" s="13">
        <v>39180147829</v>
      </c>
      <c r="M163" s="13">
        <v>43598938666</v>
      </c>
      <c r="N163" s="14">
        <v>4.628091257771169E-3</v>
      </c>
    </row>
    <row r="164" spans="1:14" x14ac:dyDescent="0.4">
      <c r="A164" s="13" t="s">
        <v>281</v>
      </c>
      <c r="B164" s="13">
        <v>2202712</v>
      </c>
      <c r="C164" s="13">
        <v>11077132377</v>
      </c>
      <c r="D164" s="13">
        <v>12786257462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2202712</v>
      </c>
      <c r="K164" s="13">
        <v>6690</v>
      </c>
      <c r="L164" s="13">
        <v>11077132377</v>
      </c>
      <c r="M164" s="13">
        <v>14622232892</v>
      </c>
      <c r="N164" s="14">
        <v>1.5521714584610536E-3</v>
      </c>
    </row>
    <row r="165" spans="1:14" x14ac:dyDescent="0.4">
      <c r="A165" s="13" t="s">
        <v>282</v>
      </c>
      <c r="B165" s="13">
        <v>5768835</v>
      </c>
      <c r="C165" s="13">
        <v>37503086811</v>
      </c>
      <c r="D165" s="13">
        <v>43904935415</v>
      </c>
      <c r="E165" s="13">
        <v>0</v>
      </c>
      <c r="F165" s="13">
        <v>0</v>
      </c>
      <c r="G165" s="13">
        <v>0</v>
      </c>
      <c r="H165" s="13">
        <v>0</v>
      </c>
      <c r="I165" s="13">
        <v>0</v>
      </c>
      <c r="J165" s="13">
        <v>5768835</v>
      </c>
      <c r="K165" s="13">
        <v>6290</v>
      </c>
      <c r="L165" s="13">
        <v>37503086811</v>
      </c>
      <c r="M165" s="13">
        <v>36005481585</v>
      </c>
      <c r="N165" s="14">
        <v>3.8220346562089251E-3</v>
      </c>
    </row>
    <row r="166" spans="1:14" x14ac:dyDescent="0.4">
      <c r="A166" s="13" t="s">
        <v>353</v>
      </c>
      <c r="B166" s="13">
        <v>1764830</v>
      </c>
      <c r="C166" s="13">
        <v>16756051992</v>
      </c>
      <c r="D166" s="13">
        <v>34848638496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1764830</v>
      </c>
      <c r="K166" s="13">
        <v>18340</v>
      </c>
      <c r="L166" s="13">
        <v>16756051992</v>
      </c>
      <c r="M166" s="13">
        <v>32116785428</v>
      </c>
      <c r="N166" s="14">
        <v>3.4092438581068848E-3</v>
      </c>
    </row>
    <row r="167" spans="1:14" x14ac:dyDescent="0.4">
      <c r="A167" s="13" t="s">
        <v>283</v>
      </c>
      <c r="B167" s="13">
        <v>4000000</v>
      </c>
      <c r="C167" s="13">
        <v>22979298202</v>
      </c>
      <c r="D167" s="13">
        <v>46477926800</v>
      </c>
      <c r="E167" s="13">
        <v>0</v>
      </c>
      <c r="F167" s="13">
        <v>0</v>
      </c>
      <c r="G167" s="13">
        <v>0</v>
      </c>
      <c r="H167" s="13">
        <v>0</v>
      </c>
      <c r="I167" s="13">
        <v>0</v>
      </c>
      <c r="J167" s="13">
        <v>4000000</v>
      </c>
      <c r="K167" s="13">
        <v>11140</v>
      </c>
      <c r="L167" s="13">
        <v>22979298202</v>
      </c>
      <c r="M167" s="13">
        <v>44215551200</v>
      </c>
      <c r="N167" s="14">
        <v>4.6935455822422131E-3</v>
      </c>
    </row>
    <row r="168" spans="1:14" x14ac:dyDescent="0.4">
      <c r="A168" s="13" t="s">
        <v>285</v>
      </c>
      <c r="B168" s="13">
        <v>7941110</v>
      </c>
      <c r="C168" s="13">
        <v>37617583814</v>
      </c>
      <c r="D168" s="13">
        <v>74857389587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7941110</v>
      </c>
      <c r="K168" s="13">
        <v>8130</v>
      </c>
      <c r="L168" s="13">
        <v>37617583814</v>
      </c>
      <c r="M168" s="13">
        <v>64062166036</v>
      </c>
      <c r="N168" s="14">
        <v>6.8002928432821389E-3</v>
      </c>
    </row>
    <row r="169" spans="1:14" x14ac:dyDescent="0.4">
      <c r="A169" s="13" t="s">
        <v>286</v>
      </c>
      <c r="B169" s="13">
        <v>2141672</v>
      </c>
      <c r="C169" s="13">
        <v>4306799190</v>
      </c>
      <c r="D169" s="13">
        <v>16363399941</v>
      </c>
      <c r="E169" s="13">
        <v>0</v>
      </c>
      <c r="F169" s="13">
        <v>0</v>
      </c>
      <c r="G169" s="13">
        <v>0</v>
      </c>
      <c r="H169" s="13">
        <v>0</v>
      </c>
      <c r="I169" s="13">
        <v>0</v>
      </c>
      <c r="J169" s="13">
        <v>2141672</v>
      </c>
      <c r="K169" s="13">
        <v>7090</v>
      </c>
      <c r="L169" s="13">
        <v>4306799190</v>
      </c>
      <c r="M169" s="13">
        <v>15067078647</v>
      </c>
      <c r="N169" s="14">
        <v>1.5993924875219658E-3</v>
      </c>
    </row>
    <row r="170" spans="1:14" x14ac:dyDescent="0.4">
      <c r="A170" s="13" t="s">
        <v>131</v>
      </c>
      <c r="B170" s="13">
        <v>12516623</v>
      </c>
      <c r="C170" s="13">
        <v>13725153662</v>
      </c>
      <c r="D170" s="13">
        <v>19760012381</v>
      </c>
      <c r="E170" s="13">
        <v>0</v>
      </c>
      <c r="F170" s="13">
        <v>1000000</v>
      </c>
      <c r="G170" s="13">
        <v>1798743331</v>
      </c>
      <c r="H170" s="13">
        <v>0</v>
      </c>
      <c r="I170" s="13">
        <v>0</v>
      </c>
      <c r="J170" s="13">
        <v>13516623</v>
      </c>
      <c r="K170" s="13">
        <v>1766</v>
      </c>
      <c r="L170" s="13">
        <v>15523896993</v>
      </c>
      <c r="M170" s="13">
        <v>23685838364</v>
      </c>
      <c r="N170" s="14">
        <v>2.5142864670440958E-3</v>
      </c>
    </row>
    <row r="171" spans="1:14" x14ac:dyDescent="0.4">
      <c r="A171" s="13" t="s">
        <v>333</v>
      </c>
      <c r="B171" s="13">
        <v>2451893</v>
      </c>
      <c r="C171" s="13">
        <v>14817650768</v>
      </c>
      <c r="D171" s="13">
        <v>11223151607</v>
      </c>
      <c r="E171" s="13">
        <v>0</v>
      </c>
      <c r="F171" s="13">
        <v>0</v>
      </c>
      <c r="G171" s="13">
        <v>0</v>
      </c>
      <c r="H171" s="13">
        <v>0</v>
      </c>
      <c r="I171" s="13">
        <v>0</v>
      </c>
      <c r="J171" s="13">
        <v>2451893</v>
      </c>
      <c r="K171" s="13">
        <v>7120</v>
      </c>
      <c r="L171" s="13">
        <v>14817650768</v>
      </c>
      <c r="M171" s="13">
        <v>17322531854</v>
      </c>
      <c r="N171" s="14">
        <v>1.8388121520600137E-3</v>
      </c>
    </row>
    <row r="172" spans="1:14" x14ac:dyDescent="0.4">
      <c r="A172" s="13" t="s">
        <v>100</v>
      </c>
      <c r="B172" s="13">
        <v>8267933</v>
      </c>
      <c r="C172" s="13">
        <v>43851024318</v>
      </c>
      <c r="D172" s="13">
        <v>47993527986</v>
      </c>
      <c r="E172" s="13">
        <v>0</v>
      </c>
      <c r="F172" s="13">
        <v>8100000</v>
      </c>
      <c r="G172" s="13">
        <v>50296058125</v>
      </c>
      <c r="H172" s="13">
        <v>600000</v>
      </c>
      <c r="I172" s="13">
        <v>3214954810</v>
      </c>
      <c r="J172" s="13">
        <v>15767933</v>
      </c>
      <c r="K172" s="13">
        <v>5490</v>
      </c>
      <c r="L172" s="13">
        <v>90695928930</v>
      </c>
      <c r="M172" s="13">
        <v>85896797360</v>
      </c>
      <c r="N172" s="14">
        <v>9.1180709690617326E-3</v>
      </c>
    </row>
    <row r="173" spans="1:14" x14ac:dyDescent="0.4">
      <c r="A173" s="13" t="s">
        <v>315</v>
      </c>
      <c r="B173" s="13">
        <v>2152500</v>
      </c>
      <c r="C173" s="13">
        <v>28976081453</v>
      </c>
      <c r="D173" s="13">
        <v>34152420188</v>
      </c>
      <c r="E173" s="13">
        <v>0</v>
      </c>
      <c r="F173" s="13">
        <v>0</v>
      </c>
      <c r="G173" s="13">
        <v>0</v>
      </c>
      <c r="H173" s="13">
        <v>0</v>
      </c>
      <c r="I173" s="13">
        <v>0</v>
      </c>
      <c r="J173" s="13">
        <v>2152500</v>
      </c>
      <c r="K173" s="13">
        <v>15540</v>
      </c>
      <c r="L173" s="13">
        <v>28976081453</v>
      </c>
      <c r="M173" s="13">
        <v>33191282659</v>
      </c>
      <c r="N173" s="14">
        <v>3.5233033144479275E-3</v>
      </c>
    </row>
    <row r="174" spans="1:14" x14ac:dyDescent="0.4">
      <c r="A174" s="13" t="s">
        <v>160</v>
      </c>
      <c r="B174" s="13">
        <v>7118151</v>
      </c>
      <c r="C174" s="13">
        <v>27407173627</v>
      </c>
      <c r="D174" s="13">
        <v>34206727416</v>
      </c>
      <c r="E174" s="13">
        <v>0</v>
      </c>
      <c r="F174" s="13">
        <v>0</v>
      </c>
      <c r="G174" s="13">
        <v>0</v>
      </c>
      <c r="H174" s="13">
        <v>300000</v>
      </c>
      <c r="I174" s="13">
        <v>1661060037</v>
      </c>
      <c r="J174" s="13">
        <v>6818151</v>
      </c>
      <c r="K174" s="13">
        <v>5700</v>
      </c>
      <c r="L174" s="13">
        <v>26252077017</v>
      </c>
      <c r="M174" s="13">
        <v>38563046149</v>
      </c>
      <c r="N174" s="14">
        <v>4.0935238842039262E-3</v>
      </c>
    </row>
    <row r="175" spans="1:14" x14ac:dyDescent="0.4">
      <c r="A175" s="13" t="s">
        <v>288</v>
      </c>
      <c r="B175" s="13">
        <v>1256499</v>
      </c>
      <c r="C175" s="13">
        <v>8314819804</v>
      </c>
      <c r="D175" s="13">
        <v>8353467960</v>
      </c>
      <c r="E175" s="13">
        <v>0</v>
      </c>
      <c r="F175" s="13">
        <v>0</v>
      </c>
      <c r="G175" s="13">
        <v>0</v>
      </c>
      <c r="H175" s="13">
        <v>0</v>
      </c>
      <c r="I175" s="13">
        <v>0</v>
      </c>
      <c r="J175" s="13">
        <v>1256499</v>
      </c>
      <c r="K175" s="13">
        <v>6210</v>
      </c>
      <c r="L175" s="13">
        <v>8314819804</v>
      </c>
      <c r="M175" s="13">
        <v>7742542692</v>
      </c>
      <c r="N175" s="14">
        <v>8.2188225773737128E-4</v>
      </c>
    </row>
    <row r="176" spans="1:14" x14ac:dyDescent="0.4">
      <c r="A176" s="13" t="s">
        <v>373</v>
      </c>
      <c r="B176" s="13">
        <v>700000</v>
      </c>
      <c r="C176" s="13">
        <v>9143294580</v>
      </c>
      <c r="D176" s="13">
        <v>18545526300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700000</v>
      </c>
      <c r="K176" s="13">
        <v>27550</v>
      </c>
      <c r="L176" s="13">
        <v>9143294580</v>
      </c>
      <c r="M176" s="13">
        <v>19135926950</v>
      </c>
      <c r="N176" s="14">
        <v>2.0313067000345846E-3</v>
      </c>
    </row>
    <row r="177" spans="1:14" x14ac:dyDescent="0.4">
      <c r="A177" s="13" t="s">
        <v>354</v>
      </c>
      <c r="B177" s="13">
        <v>7979362</v>
      </c>
      <c r="C177" s="13">
        <v>38034069803</v>
      </c>
      <c r="D177" s="13">
        <v>38479932244</v>
      </c>
      <c r="E177" s="13">
        <v>0</v>
      </c>
      <c r="F177" s="13">
        <v>0</v>
      </c>
      <c r="G177" s="13">
        <v>0</v>
      </c>
      <c r="H177" s="13">
        <v>0</v>
      </c>
      <c r="I177" s="13">
        <v>0</v>
      </c>
      <c r="J177" s="13">
        <v>7979362</v>
      </c>
      <c r="K177" s="13">
        <v>4770</v>
      </c>
      <c r="L177" s="13">
        <v>38034069803</v>
      </c>
      <c r="M177" s="13">
        <v>37767340906</v>
      </c>
      <c r="N177" s="14">
        <v>4.0090586061130437E-3</v>
      </c>
    </row>
    <row r="178" spans="1:14" x14ac:dyDescent="0.4">
      <c r="A178" s="13" t="s">
        <v>101</v>
      </c>
      <c r="B178" s="13">
        <v>893618</v>
      </c>
      <c r="C178" s="13">
        <v>6257308469</v>
      </c>
      <c r="D178" s="13">
        <v>19569697046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893618</v>
      </c>
      <c r="K178" s="13">
        <v>20470</v>
      </c>
      <c r="L178" s="13">
        <v>6257308469</v>
      </c>
      <c r="M178" s="13">
        <v>18150960514</v>
      </c>
      <c r="N178" s="14">
        <v>1.9267510688397243E-3</v>
      </c>
    </row>
    <row r="179" spans="1:14" x14ac:dyDescent="0.4">
      <c r="A179" s="13" t="s">
        <v>386</v>
      </c>
      <c r="B179" s="13">
        <v>13385383</v>
      </c>
      <c r="C179" s="13">
        <v>62534017983</v>
      </c>
      <c r="D179" s="13">
        <v>82746324154</v>
      </c>
      <c r="E179" s="13">
        <v>0</v>
      </c>
      <c r="F179" s="13">
        <v>0</v>
      </c>
      <c r="G179" s="13">
        <v>0</v>
      </c>
      <c r="H179" s="13">
        <v>0</v>
      </c>
      <c r="I179" s="13">
        <v>0</v>
      </c>
      <c r="J179" s="13">
        <v>13385383</v>
      </c>
      <c r="K179" s="13">
        <v>7010</v>
      </c>
      <c r="L179" s="13">
        <v>62534017983</v>
      </c>
      <c r="M179" s="13">
        <v>93106217066</v>
      </c>
      <c r="N179" s="14">
        <v>9.8833614402484005E-3</v>
      </c>
    </row>
    <row r="180" spans="1:14" x14ac:dyDescent="0.4">
      <c r="A180" s="13" t="s">
        <v>289</v>
      </c>
      <c r="B180" s="13">
        <v>2470314</v>
      </c>
      <c r="C180" s="13">
        <v>12048248970</v>
      </c>
      <c r="D180" s="13">
        <v>35518155671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2470314</v>
      </c>
      <c r="K180" s="13">
        <v>17640</v>
      </c>
      <c r="L180" s="13">
        <v>12048248970</v>
      </c>
      <c r="M180" s="13">
        <v>43239493860</v>
      </c>
      <c r="N180" s="14">
        <v>4.5899356646489642E-3</v>
      </c>
    </row>
    <row r="181" spans="1:14" x14ac:dyDescent="0.4">
      <c r="A181" s="13" t="s">
        <v>326</v>
      </c>
      <c r="B181" s="13">
        <v>1483336</v>
      </c>
      <c r="C181" s="13">
        <v>2684204961</v>
      </c>
      <c r="D181" s="13">
        <v>4367037734</v>
      </c>
      <c r="E181" s="13">
        <v>0</v>
      </c>
      <c r="F181" s="13">
        <v>0</v>
      </c>
      <c r="G181" s="13">
        <v>0</v>
      </c>
      <c r="H181" s="13">
        <v>0</v>
      </c>
      <c r="I181" s="13">
        <v>0</v>
      </c>
      <c r="J181" s="13">
        <v>1483336</v>
      </c>
      <c r="K181" s="13">
        <v>3100</v>
      </c>
      <c r="L181" s="13">
        <v>2684204961</v>
      </c>
      <c r="M181" s="13">
        <v>4562796419</v>
      </c>
      <c r="N181" s="14">
        <v>4.843475291803677E-4</v>
      </c>
    </row>
    <row r="182" spans="1:14" x14ac:dyDescent="0.4">
      <c r="A182" s="13" t="s">
        <v>387</v>
      </c>
      <c r="B182" s="13">
        <v>499999</v>
      </c>
      <c r="C182" s="13">
        <v>404785753</v>
      </c>
      <c r="D182" s="13">
        <v>975895593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499999</v>
      </c>
      <c r="K182" s="13">
        <v>1534</v>
      </c>
      <c r="L182" s="13">
        <v>404785753</v>
      </c>
      <c r="M182" s="13">
        <v>761069568</v>
      </c>
      <c r="N182" s="14">
        <v>8.0788650411880197E-5</v>
      </c>
    </row>
    <row r="183" spans="1:14" x14ac:dyDescent="0.4">
      <c r="A183" s="13" t="s">
        <v>169</v>
      </c>
      <c r="B183" s="13">
        <v>1086071</v>
      </c>
      <c r="C183" s="13">
        <v>14201676419</v>
      </c>
      <c r="D183" s="13">
        <v>37794085788</v>
      </c>
      <c r="E183" s="13">
        <v>0</v>
      </c>
      <c r="F183" s="13">
        <v>0</v>
      </c>
      <c r="G183" s="13">
        <v>0</v>
      </c>
      <c r="H183" s="13">
        <v>30000</v>
      </c>
      <c r="I183" s="13">
        <v>1205310375</v>
      </c>
      <c r="J183" s="13">
        <v>1056071</v>
      </c>
      <c r="K183" s="13">
        <v>42920</v>
      </c>
      <c r="L183" s="13">
        <v>13809390562</v>
      </c>
      <c r="M183" s="13">
        <v>44976192955</v>
      </c>
      <c r="N183" s="14">
        <v>4.7742888196769468E-3</v>
      </c>
    </row>
    <row r="184" spans="1:14" x14ac:dyDescent="0.4">
      <c r="A184" s="13" t="s">
        <v>291</v>
      </c>
      <c r="B184" s="13">
        <v>14640871</v>
      </c>
      <c r="C184" s="13">
        <v>28875950074</v>
      </c>
      <c r="D184" s="13">
        <v>25234609806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14640871</v>
      </c>
      <c r="K184" s="13">
        <v>1719</v>
      </c>
      <c r="L184" s="13">
        <v>28875950074</v>
      </c>
      <c r="M184" s="13">
        <v>24973111258</v>
      </c>
      <c r="N184" s="14">
        <v>2.6509323719530876E-3</v>
      </c>
    </row>
    <row r="185" spans="1:14" x14ac:dyDescent="0.4">
      <c r="A185" s="13" t="s">
        <v>170</v>
      </c>
      <c r="B185" s="13">
        <v>18780964</v>
      </c>
      <c r="C185" s="13">
        <v>41125600731</v>
      </c>
      <c r="D185" s="13">
        <v>46496288935</v>
      </c>
      <c r="E185" s="13">
        <v>0</v>
      </c>
      <c r="F185" s="13">
        <v>5000000</v>
      </c>
      <c r="G185" s="13">
        <v>12295528377</v>
      </c>
      <c r="H185" s="13">
        <v>0</v>
      </c>
      <c r="I185" s="13">
        <v>0</v>
      </c>
      <c r="J185" s="13">
        <v>23780964</v>
      </c>
      <c r="K185" s="13">
        <v>2360</v>
      </c>
      <c r="L185" s="13">
        <v>53421129108</v>
      </c>
      <c r="M185" s="13">
        <v>55689243670</v>
      </c>
      <c r="N185" s="14">
        <v>5.9114948589793596E-3</v>
      </c>
    </row>
    <row r="186" spans="1:14" x14ac:dyDescent="0.4">
      <c r="A186" s="13" t="s">
        <v>340</v>
      </c>
      <c r="B186" s="13">
        <v>2845414</v>
      </c>
      <c r="C186" s="13">
        <v>38983990800</v>
      </c>
      <c r="D186" s="13">
        <v>50200388927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2845414</v>
      </c>
      <c r="K186" s="13">
        <v>20760</v>
      </c>
      <c r="L186" s="13">
        <v>38983990800</v>
      </c>
      <c r="M186" s="13">
        <v>58614177397</v>
      </c>
      <c r="N186" s="14">
        <v>6.2219808622096459E-3</v>
      </c>
    </row>
    <row r="187" spans="1:14" x14ac:dyDescent="0.4">
      <c r="A187" s="13" t="s">
        <v>292</v>
      </c>
      <c r="B187" s="13">
        <v>594875</v>
      </c>
      <c r="C187" s="13">
        <v>36899261714</v>
      </c>
      <c r="D187" s="13">
        <v>51407190509</v>
      </c>
      <c r="E187" s="13">
        <v>0</v>
      </c>
      <c r="F187" s="13">
        <v>0</v>
      </c>
      <c r="G187" s="13">
        <v>0</v>
      </c>
      <c r="H187" s="13">
        <v>0</v>
      </c>
      <c r="I187" s="13">
        <v>0</v>
      </c>
      <c r="J187" s="13">
        <v>594875</v>
      </c>
      <c r="K187" s="13">
        <v>70700</v>
      </c>
      <c r="L187" s="13">
        <v>36899261714</v>
      </c>
      <c r="M187" s="13">
        <v>41732556769</v>
      </c>
      <c r="N187" s="14">
        <v>4.4299720831889652E-3</v>
      </c>
    </row>
    <row r="188" spans="1:14" x14ac:dyDescent="0.4">
      <c r="A188" s="13" t="s">
        <v>174</v>
      </c>
      <c r="B188" s="13">
        <v>2105935</v>
      </c>
      <c r="C188" s="13">
        <v>43593784451</v>
      </c>
      <c r="D188" s="13">
        <v>43569330153</v>
      </c>
      <c r="E188" s="13">
        <v>1003717</v>
      </c>
      <c r="F188" s="13">
        <v>0</v>
      </c>
      <c r="G188" s="13">
        <v>0</v>
      </c>
      <c r="H188" s="13">
        <v>647704</v>
      </c>
      <c r="I188" s="13">
        <v>13131426008</v>
      </c>
      <c r="J188" s="13">
        <v>2461948</v>
      </c>
      <c r="K188" s="13">
        <v>12090</v>
      </c>
      <c r="L188" s="13">
        <v>30186025634</v>
      </c>
      <c r="M188" s="13">
        <v>29534868246</v>
      </c>
      <c r="N188" s="14">
        <v>3.1351695640089439E-3</v>
      </c>
    </row>
    <row r="189" spans="1:14" x14ac:dyDescent="0.4">
      <c r="A189" s="13" t="s">
        <v>166</v>
      </c>
      <c r="B189" s="13">
        <v>7657608</v>
      </c>
      <c r="C189" s="13">
        <v>76855035358</v>
      </c>
      <c r="D189" s="13">
        <v>79327449365</v>
      </c>
      <c r="E189" s="13">
        <v>0</v>
      </c>
      <c r="F189" s="13">
        <v>0</v>
      </c>
      <c r="G189" s="13">
        <v>0</v>
      </c>
      <c r="H189" s="13">
        <v>100759</v>
      </c>
      <c r="I189" s="13">
        <v>970807103</v>
      </c>
      <c r="J189" s="13">
        <v>7556849</v>
      </c>
      <c r="K189" s="13">
        <v>9090</v>
      </c>
      <c r="L189" s="13">
        <v>75843774856</v>
      </c>
      <c r="M189" s="13">
        <v>68160770125</v>
      </c>
      <c r="N189" s="14">
        <v>7.2353656761022303E-3</v>
      </c>
    </row>
    <row r="190" spans="1:14" x14ac:dyDescent="0.4">
      <c r="A190" s="13" t="s">
        <v>167</v>
      </c>
      <c r="B190" s="13">
        <v>11987567</v>
      </c>
      <c r="C190" s="13">
        <v>31519137167</v>
      </c>
      <c r="D190" s="13">
        <v>32116238389</v>
      </c>
      <c r="E190" s="13">
        <v>0</v>
      </c>
      <c r="F190" s="13">
        <v>0</v>
      </c>
      <c r="G190" s="13">
        <v>0</v>
      </c>
      <c r="H190" s="13">
        <v>2679641</v>
      </c>
      <c r="I190" s="13">
        <v>7362161044</v>
      </c>
      <c r="J190" s="13">
        <v>9307926</v>
      </c>
      <c r="K190" s="13">
        <v>2805</v>
      </c>
      <c r="L190" s="13">
        <v>24473506286</v>
      </c>
      <c r="M190" s="13">
        <v>25906911928</v>
      </c>
      <c r="N190" s="14">
        <v>2.7500566820752989E-3</v>
      </c>
    </row>
    <row r="191" spans="1:14" x14ac:dyDescent="0.4">
      <c r="A191" s="13" t="s">
        <v>93</v>
      </c>
      <c r="B191" s="13">
        <v>2242980</v>
      </c>
      <c r="C191" s="13">
        <v>43299579697</v>
      </c>
      <c r="D191" s="13">
        <v>59535917203</v>
      </c>
      <c r="E191" s="13">
        <v>0</v>
      </c>
      <c r="F191" s="13">
        <v>415715</v>
      </c>
      <c r="G191" s="13">
        <v>11670678817</v>
      </c>
      <c r="H191" s="13">
        <v>200000</v>
      </c>
      <c r="I191" s="13">
        <v>5735320631</v>
      </c>
      <c r="J191" s="13">
        <v>2458695</v>
      </c>
      <c r="K191" s="13">
        <v>28900</v>
      </c>
      <c r="L191" s="13">
        <v>50835127669</v>
      </c>
      <c r="M191" s="13">
        <v>70507020413</v>
      </c>
      <c r="N191" s="14">
        <v>7.4844235839018041E-3</v>
      </c>
    </row>
    <row r="192" spans="1:14" x14ac:dyDescent="0.4">
      <c r="A192" s="13" t="s">
        <v>102</v>
      </c>
      <c r="B192" s="13">
        <v>1234887</v>
      </c>
      <c r="C192" s="13">
        <v>3185792321</v>
      </c>
      <c r="D192" s="13">
        <v>11224126523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1234887</v>
      </c>
      <c r="K192" s="13">
        <v>9420</v>
      </c>
      <c r="L192" s="13">
        <v>3185792321</v>
      </c>
      <c r="M192" s="13">
        <v>11542715267</v>
      </c>
      <c r="N192" s="14">
        <v>1.225276147829807E-3</v>
      </c>
    </row>
    <row r="193" spans="1:14" x14ac:dyDescent="0.4">
      <c r="A193" s="13" t="s">
        <v>163</v>
      </c>
      <c r="B193" s="13">
        <v>3665617</v>
      </c>
      <c r="C193" s="13">
        <v>11302718232</v>
      </c>
      <c r="D193" s="13">
        <v>42156095837</v>
      </c>
      <c r="E193" s="13">
        <v>0</v>
      </c>
      <c r="F193" s="13">
        <v>0</v>
      </c>
      <c r="G193" s="13">
        <v>0</v>
      </c>
      <c r="H193" s="13">
        <v>100000</v>
      </c>
      <c r="I193" s="13">
        <v>1039898966</v>
      </c>
      <c r="J193" s="13">
        <v>3565617</v>
      </c>
      <c r="K193" s="13">
        <v>11080</v>
      </c>
      <c r="L193" s="13">
        <v>10994374010</v>
      </c>
      <c r="M193" s="13">
        <v>39201646969</v>
      </c>
      <c r="N193" s="14">
        <v>4.1613122974698729E-3</v>
      </c>
    </row>
    <row r="194" spans="1:14" x14ac:dyDescent="0.4">
      <c r="A194" s="13" t="s">
        <v>361</v>
      </c>
      <c r="B194" s="13">
        <v>2326440</v>
      </c>
      <c r="C194" s="13">
        <v>45066634626</v>
      </c>
      <c r="D194" s="13">
        <v>69369121395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2326440</v>
      </c>
      <c r="K194" s="13">
        <v>35830</v>
      </c>
      <c r="L194" s="13">
        <v>45066634626</v>
      </c>
      <c r="M194" s="13">
        <v>82712000652</v>
      </c>
      <c r="N194" s="14">
        <v>8.7800001294252705E-3</v>
      </c>
    </row>
    <row r="195" spans="1:14" x14ac:dyDescent="0.4">
      <c r="A195" s="13" t="s">
        <v>136</v>
      </c>
      <c r="B195" s="13">
        <v>635048</v>
      </c>
      <c r="C195" s="13">
        <v>11938739876</v>
      </c>
      <c r="D195" s="13">
        <v>27461461061</v>
      </c>
      <c r="E195" s="13">
        <v>0</v>
      </c>
      <c r="F195" s="13">
        <v>0</v>
      </c>
      <c r="G195" s="13">
        <v>0</v>
      </c>
      <c r="H195" s="13">
        <v>0</v>
      </c>
      <c r="I195" s="13">
        <v>0</v>
      </c>
      <c r="J195" s="13">
        <v>635048</v>
      </c>
      <c r="K195" s="13">
        <v>38960</v>
      </c>
      <c r="L195" s="13">
        <v>11938739876</v>
      </c>
      <c r="M195" s="13">
        <v>24550218516</v>
      </c>
      <c r="N195" s="14">
        <v>2.606041687406416E-3</v>
      </c>
    </row>
    <row r="196" spans="1:14" x14ac:dyDescent="0.4">
      <c r="A196" s="13" t="s">
        <v>369</v>
      </c>
      <c r="B196" s="13">
        <v>3490646</v>
      </c>
      <c r="C196" s="13">
        <v>25343143786</v>
      </c>
      <c r="D196" s="13">
        <v>51192943669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3490646</v>
      </c>
      <c r="K196" s="13">
        <v>15780</v>
      </c>
      <c r="L196" s="13">
        <v>25343143786</v>
      </c>
      <c r="M196" s="13">
        <v>54656606975</v>
      </c>
      <c r="N196" s="14">
        <v>5.8018789599045004E-3</v>
      </c>
    </row>
    <row r="197" spans="1:14" x14ac:dyDescent="0.4">
      <c r="A197" s="13" t="s">
        <v>388</v>
      </c>
      <c r="B197" s="13">
        <v>275726</v>
      </c>
      <c r="C197" s="13">
        <v>7715656489</v>
      </c>
      <c r="D197" s="13">
        <v>4143590793</v>
      </c>
      <c r="E197" s="13">
        <v>0</v>
      </c>
      <c r="F197" s="13">
        <v>0</v>
      </c>
      <c r="G197" s="13">
        <v>0</v>
      </c>
      <c r="H197" s="13">
        <v>0</v>
      </c>
      <c r="I197" s="13">
        <v>0</v>
      </c>
      <c r="J197" s="13">
        <v>275726</v>
      </c>
      <c r="K197" s="13">
        <v>23320</v>
      </c>
      <c r="L197" s="13">
        <v>7715656489</v>
      </c>
      <c r="M197" s="13">
        <v>6380226959</v>
      </c>
      <c r="N197" s="14">
        <v>6.7727044545171523E-4</v>
      </c>
    </row>
    <row r="198" spans="1:14" x14ac:dyDescent="0.4">
      <c r="A198" s="13" t="s">
        <v>389</v>
      </c>
      <c r="B198" s="13">
        <v>487887</v>
      </c>
      <c r="C198" s="13">
        <v>9859579712</v>
      </c>
      <c r="D198" s="13">
        <v>14015147590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487887</v>
      </c>
      <c r="K198" s="13">
        <v>23410</v>
      </c>
      <c r="L198" s="13">
        <v>9859579712</v>
      </c>
      <c r="M198" s="13">
        <v>11333146980</v>
      </c>
      <c r="N198" s="14">
        <v>1.2030301669264428E-3</v>
      </c>
    </row>
    <row r="199" spans="1:14" x14ac:dyDescent="0.4">
      <c r="A199" s="13" t="s">
        <v>295</v>
      </c>
      <c r="B199" s="13">
        <v>3335116</v>
      </c>
      <c r="C199" s="13">
        <v>14118247862</v>
      </c>
      <c r="D199" s="13">
        <v>24257429606</v>
      </c>
      <c r="E199" s="13">
        <v>0</v>
      </c>
      <c r="F199" s="13">
        <v>0</v>
      </c>
      <c r="G199" s="13">
        <v>0</v>
      </c>
      <c r="H199" s="13">
        <v>0</v>
      </c>
      <c r="I199" s="13">
        <v>0</v>
      </c>
      <c r="J199" s="13">
        <v>3335116</v>
      </c>
      <c r="K199" s="13">
        <v>6670</v>
      </c>
      <c r="L199" s="13">
        <v>14118247862</v>
      </c>
      <c r="M199" s="13">
        <v>22073268141</v>
      </c>
      <c r="N199" s="14">
        <v>2.3431097737584769E-3</v>
      </c>
    </row>
    <row r="200" spans="1:14" x14ac:dyDescent="0.4">
      <c r="A200" s="13" t="s">
        <v>94</v>
      </c>
      <c r="B200" s="13">
        <v>8716431</v>
      </c>
      <c r="C200" s="13">
        <v>52727235511</v>
      </c>
      <c r="D200" s="13">
        <v>53191675878</v>
      </c>
      <c r="E200" s="13">
        <v>7682704</v>
      </c>
      <c r="F200" s="13">
        <v>0</v>
      </c>
      <c r="G200" s="13">
        <v>0</v>
      </c>
      <c r="H200" s="13">
        <v>300000</v>
      </c>
      <c r="I200" s="13">
        <v>1768294603</v>
      </c>
      <c r="J200" s="13">
        <v>16099135</v>
      </c>
      <c r="K200" s="13">
        <v>2549</v>
      </c>
      <c r="L200" s="13">
        <v>50912482356</v>
      </c>
      <c r="M200" s="13">
        <v>40719481462</v>
      </c>
      <c r="N200" s="14">
        <v>4.3224326541283463E-3</v>
      </c>
    </row>
    <row r="201" spans="1:14" x14ac:dyDescent="0.4">
      <c r="A201" s="13" t="s">
        <v>97</v>
      </c>
      <c r="B201" s="13">
        <v>3737468</v>
      </c>
      <c r="C201" s="13">
        <v>64547121077</v>
      </c>
      <c r="D201" s="13">
        <v>61265698191</v>
      </c>
      <c r="E201" s="13">
        <v>0</v>
      </c>
      <c r="F201" s="13">
        <v>0</v>
      </c>
      <c r="G201" s="13">
        <v>0</v>
      </c>
      <c r="H201" s="13">
        <v>0</v>
      </c>
      <c r="I201" s="13">
        <v>0</v>
      </c>
      <c r="J201" s="13">
        <v>3737468</v>
      </c>
      <c r="K201" s="13">
        <v>13140</v>
      </c>
      <c r="L201" s="13">
        <v>64547121077</v>
      </c>
      <c r="M201" s="13">
        <v>48730706673</v>
      </c>
      <c r="N201" s="14">
        <v>5.1728359551605069E-3</v>
      </c>
    </row>
    <row r="202" spans="1:14" x14ac:dyDescent="0.4">
      <c r="A202" s="13" t="s">
        <v>296</v>
      </c>
      <c r="B202" s="13">
        <v>10456686</v>
      </c>
      <c r="C202" s="13">
        <v>23322763693</v>
      </c>
      <c r="D202" s="13">
        <v>31262453577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10456686</v>
      </c>
      <c r="K202" s="13">
        <v>3580</v>
      </c>
      <c r="L202" s="13">
        <v>23322763693</v>
      </c>
      <c r="M202" s="13">
        <v>37145563826</v>
      </c>
      <c r="N202" s="14">
        <v>3.9430560575125992E-3</v>
      </c>
    </row>
    <row r="203" spans="1:14" x14ac:dyDescent="0.4">
      <c r="A203" s="13" t="s">
        <v>297</v>
      </c>
      <c r="B203" s="13">
        <v>5623567</v>
      </c>
      <c r="C203" s="13">
        <v>48081539254</v>
      </c>
      <c r="D203" s="13">
        <v>64896526099</v>
      </c>
      <c r="E203" s="13">
        <v>0</v>
      </c>
      <c r="F203" s="13">
        <v>0</v>
      </c>
      <c r="G203" s="13">
        <v>0</v>
      </c>
      <c r="H203" s="13">
        <v>0</v>
      </c>
      <c r="I203" s="13">
        <v>0</v>
      </c>
      <c r="J203" s="13">
        <v>5623567</v>
      </c>
      <c r="K203" s="13">
        <v>10110</v>
      </c>
      <c r="L203" s="13">
        <v>48081539254</v>
      </c>
      <c r="M203" s="13">
        <v>56414778922</v>
      </c>
      <c r="N203" s="14">
        <v>5.988511489652632E-3</v>
      </c>
    </row>
    <row r="204" spans="1:14" x14ac:dyDescent="0.4">
      <c r="A204" s="13" t="s">
        <v>372</v>
      </c>
      <c r="B204" s="13">
        <v>0</v>
      </c>
      <c r="C204" s="13">
        <v>0</v>
      </c>
      <c r="D204" s="13">
        <v>0</v>
      </c>
      <c r="E204" s="13">
        <v>0</v>
      </c>
      <c r="F204" s="13">
        <v>16626589</v>
      </c>
      <c r="G204" s="13">
        <v>71355034995</v>
      </c>
      <c r="H204" s="13">
        <v>0</v>
      </c>
      <c r="I204" s="13">
        <v>0</v>
      </c>
      <c r="J204" s="13">
        <v>16626589</v>
      </c>
      <c r="K204" s="13">
        <v>4970</v>
      </c>
      <c r="L204" s="13">
        <v>71355034995</v>
      </c>
      <c r="M204" s="13">
        <v>81995385371</v>
      </c>
      <c r="N204" s="14">
        <v>8.703930366750802E-3</v>
      </c>
    </row>
    <row r="205" spans="1:14" x14ac:dyDescent="0.4">
      <c r="A205" s="13" t="s">
        <v>79</v>
      </c>
      <c r="B205" s="13">
        <v>4000000</v>
      </c>
      <c r="C205" s="13">
        <v>24974133237</v>
      </c>
      <c r="D205" s="13">
        <v>27267579600</v>
      </c>
      <c r="E205" s="13">
        <v>0</v>
      </c>
      <c r="F205" s="13">
        <v>0</v>
      </c>
      <c r="G205" s="13">
        <v>0</v>
      </c>
      <c r="H205" s="13">
        <v>1200000</v>
      </c>
      <c r="I205" s="13">
        <v>7752605528</v>
      </c>
      <c r="J205" s="13">
        <v>2800000</v>
      </c>
      <c r="K205" s="13">
        <v>6720</v>
      </c>
      <c r="L205" s="13">
        <v>17481893266</v>
      </c>
      <c r="M205" s="13">
        <v>18670552320</v>
      </c>
      <c r="N205" s="14">
        <v>1.9819065007959939E-3</v>
      </c>
    </row>
    <row r="206" spans="1:14" x14ac:dyDescent="0.4">
      <c r="A206" s="13" t="s">
        <v>83</v>
      </c>
      <c r="B206" s="13">
        <v>8814987</v>
      </c>
      <c r="C206" s="13">
        <v>46605170208</v>
      </c>
      <c r="D206" s="13">
        <v>49769560286</v>
      </c>
      <c r="E206" s="13">
        <v>3870385</v>
      </c>
      <c r="F206" s="13">
        <v>0</v>
      </c>
      <c r="G206" s="13">
        <v>0</v>
      </c>
      <c r="H206" s="13">
        <v>2400000</v>
      </c>
      <c r="I206" s="13">
        <v>12656898949</v>
      </c>
      <c r="J206" s="13">
        <v>10285372</v>
      </c>
      <c r="K206" s="13">
        <v>2620</v>
      </c>
      <c r="L206" s="13">
        <v>33916279289</v>
      </c>
      <c r="M206" s="13">
        <v>26739369115</v>
      </c>
      <c r="N206" s="14">
        <v>2.8384232329020957E-3</v>
      </c>
    </row>
    <row r="207" spans="1:14" x14ac:dyDescent="0.4">
      <c r="A207" s="13" t="s">
        <v>175</v>
      </c>
      <c r="B207" s="13">
        <v>12061503</v>
      </c>
      <c r="C207" s="13">
        <v>40595359078</v>
      </c>
      <c r="D207" s="13">
        <v>45048559178</v>
      </c>
      <c r="E207" s="13">
        <v>0</v>
      </c>
      <c r="F207" s="13">
        <v>0</v>
      </c>
      <c r="G207" s="13">
        <v>0</v>
      </c>
      <c r="H207" s="13">
        <v>0</v>
      </c>
      <c r="I207" s="13">
        <v>0</v>
      </c>
      <c r="J207" s="13">
        <v>12061503</v>
      </c>
      <c r="K207" s="13">
        <v>3320</v>
      </c>
      <c r="L207" s="13">
        <v>40595359078</v>
      </c>
      <c r="M207" s="13">
        <v>39734648372</v>
      </c>
      <c r="N207" s="14">
        <v>4.2178911778068791E-3</v>
      </c>
    </row>
    <row r="208" spans="1:14" x14ac:dyDescent="0.4">
      <c r="A208" s="13" t="s">
        <v>177</v>
      </c>
      <c r="B208" s="13">
        <v>8298467</v>
      </c>
      <c r="C208" s="13">
        <v>63123378713</v>
      </c>
      <c r="D208" s="13">
        <v>67356736374</v>
      </c>
      <c r="E208" s="13">
        <v>4102708</v>
      </c>
      <c r="F208" s="13">
        <v>0</v>
      </c>
      <c r="G208" s="13">
        <v>0</v>
      </c>
      <c r="H208" s="13">
        <v>93050</v>
      </c>
      <c r="I208" s="13">
        <v>758958581</v>
      </c>
      <c r="J208" s="13">
        <v>12308125</v>
      </c>
      <c r="K208" s="13">
        <v>5710</v>
      </c>
      <c r="L208" s="13">
        <v>62415581672</v>
      </c>
      <c r="M208" s="13">
        <v>69736134036</v>
      </c>
      <c r="N208" s="14">
        <v>7.4025928648226071E-3</v>
      </c>
    </row>
    <row r="209" spans="1:14" x14ac:dyDescent="0.4">
      <c r="A209" s="13" t="s">
        <v>154</v>
      </c>
      <c r="B209" s="13">
        <v>8769322</v>
      </c>
      <c r="C209" s="13">
        <v>28963579631</v>
      </c>
      <c r="D209" s="13">
        <v>32639458314</v>
      </c>
      <c r="E209" s="13">
        <v>0</v>
      </c>
      <c r="F209" s="13">
        <v>0</v>
      </c>
      <c r="G209" s="13">
        <v>0</v>
      </c>
      <c r="H209" s="13">
        <v>0</v>
      </c>
      <c r="I209" s="13">
        <v>0</v>
      </c>
      <c r="J209" s="13">
        <v>8769322</v>
      </c>
      <c r="K209" s="13">
        <v>4220</v>
      </c>
      <c r="L209" s="13">
        <v>28963579631</v>
      </c>
      <c r="M209" s="13">
        <v>36720478295</v>
      </c>
      <c r="N209" s="14">
        <v>3.8979326051988318E-3</v>
      </c>
    </row>
    <row r="210" spans="1:14" x14ac:dyDescent="0.4">
      <c r="A210" s="13" t="s">
        <v>300</v>
      </c>
      <c r="B210" s="13">
        <v>906895</v>
      </c>
      <c r="C210" s="13">
        <v>46529948230</v>
      </c>
      <c r="D210" s="13">
        <v>45966110560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906895</v>
      </c>
      <c r="K210" s="13">
        <v>61350</v>
      </c>
      <c r="L210" s="13">
        <v>46529948230</v>
      </c>
      <c r="M210" s="13">
        <v>55207926446</v>
      </c>
      <c r="N210" s="14">
        <v>5.8604023300149735E-3</v>
      </c>
    </row>
    <row r="211" spans="1:14" x14ac:dyDescent="0.4">
      <c r="A211" s="13" t="s">
        <v>302</v>
      </c>
      <c r="B211" s="13">
        <v>21351892</v>
      </c>
      <c r="C211" s="13">
        <v>10573465274</v>
      </c>
      <c r="D211" s="13">
        <v>32352307543</v>
      </c>
      <c r="E211" s="13">
        <v>0</v>
      </c>
      <c r="F211" s="13">
        <v>0</v>
      </c>
      <c r="G211" s="13">
        <v>0</v>
      </c>
      <c r="H211" s="13">
        <v>0</v>
      </c>
      <c r="I211" s="13">
        <v>0</v>
      </c>
      <c r="J211" s="13">
        <v>21351892</v>
      </c>
      <c r="K211" s="13">
        <v>1807</v>
      </c>
      <c r="L211" s="13">
        <v>10573465274</v>
      </c>
      <c r="M211" s="13">
        <v>38284623268</v>
      </c>
      <c r="N211" s="14">
        <v>4.0639688872029451E-3</v>
      </c>
    </row>
    <row r="212" spans="1:14" x14ac:dyDescent="0.4">
      <c r="A212" s="13" t="s">
        <v>112</v>
      </c>
      <c r="B212" s="13">
        <v>1032048</v>
      </c>
      <c r="C212" s="13">
        <v>24868059520</v>
      </c>
      <c r="D212" s="13">
        <v>47619267507</v>
      </c>
      <c r="E212" s="13">
        <v>2888876</v>
      </c>
      <c r="F212" s="13">
        <v>0</v>
      </c>
      <c r="G212" s="13">
        <v>0</v>
      </c>
      <c r="H212" s="13">
        <v>150000</v>
      </c>
      <c r="I212" s="13">
        <v>7125590117</v>
      </c>
      <c r="J212" s="13">
        <v>3770924</v>
      </c>
      <c r="K212" s="13">
        <v>10816</v>
      </c>
      <c r="L212" s="13">
        <v>21253684096</v>
      </c>
      <c r="M212" s="13">
        <v>40471035777</v>
      </c>
      <c r="N212" s="14">
        <v>4.2960597804309383E-3</v>
      </c>
    </row>
    <row r="213" spans="1:14" x14ac:dyDescent="0.4">
      <c r="A213" s="13" t="s">
        <v>88</v>
      </c>
      <c r="B213" s="13">
        <v>2238593</v>
      </c>
      <c r="C213" s="13">
        <v>111351050906</v>
      </c>
      <c r="D213" s="13">
        <v>127124350934</v>
      </c>
      <c r="E213" s="13">
        <v>0</v>
      </c>
      <c r="F213" s="13">
        <v>0</v>
      </c>
      <c r="G213" s="13">
        <v>0</v>
      </c>
      <c r="H213" s="13">
        <v>420000</v>
      </c>
      <c r="I213" s="13">
        <v>19707827861</v>
      </c>
      <c r="J213" s="13">
        <v>1818593</v>
      </c>
      <c r="K213" s="13">
        <v>41940</v>
      </c>
      <c r="L213" s="13">
        <v>90459606423</v>
      </c>
      <c r="M213" s="13">
        <v>75682209480</v>
      </c>
      <c r="N213" s="14">
        <v>8.0337774904677382E-3</v>
      </c>
    </row>
    <row r="214" spans="1:14" x14ac:dyDescent="0.4">
      <c r="A214" s="13" t="s">
        <v>85</v>
      </c>
      <c r="B214" s="13">
        <v>15000000</v>
      </c>
      <c r="C214" s="13">
        <v>193086214800</v>
      </c>
      <c r="D214" s="13">
        <v>229809732000</v>
      </c>
      <c r="E214" s="13">
        <v>0</v>
      </c>
      <c r="F214" s="13">
        <v>0</v>
      </c>
      <c r="G214" s="13">
        <v>0</v>
      </c>
      <c r="H214" s="13">
        <v>10500000</v>
      </c>
      <c r="I214" s="13">
        <v>156596301344</v>
      </c>
      <c r="J214" s="13">
        <v>4500000</v>
      </c>
      <c r="K214" s="13">
        <v>17950</v>
      </c>
      <c r="L214" s="13">
        <v>57925864440</v>
      </c>
      <c r="M214" s="13">
        <v>80150609250</v>
      </c>
      <c r="N214" s="14">
        <v>8.5081046769662199E-3</v>
      </c>
    </row>
    <row r="215" spans="1:14" x14ac:dyDescent="0.4">
      <c r="A215" s="13" t="s">
        <v>104</v>
      </c>
      <c r="B215" s="13">
        <v>1889936</v>
      </c>
      <c r="C215" s="13">
        <v>79602401076</v>
      </c>
      <c r="D215" s="13">
        <v>101230140379</v>
      </c>
      <c r="E215" s="13">
        <v>1839524</v>
      </c>
      <c r="F215" s="13">
        <v>0</v>
      </c>
      <c r="G215" s="13">
        <v>0</v>
      </c>
      <c r="H215" s="13">
        <v>400000</v>
      </c>
      <c r="I215" s="13">
        <v>10291824466</v>
      </c>
      <c r="J215" s="13">
        <v>3329460</v>
      </c>
      <c r="K215" s="13">
        <v>20170</v>
      </c>
      <c r="L215" s="13">
        <v>71064714540</v>
      </c>
      <c r="M215" s="13">
        <v>66636098441</v>
      </c>
      <c r="N215" s="14">
        <v>7.073519541595419E-3</v>
      </c>
    </row>
    <row r="216" spans="1:14" x14ac:dyDescent="0.4">
      <c r="A216" s="13" t="s">
        <v>312</v>
      </c>
      <c r="B216" s="13">
        <v>392921</v>
      </c>
      <c r="C216" s="13">
        <v>15618857021</v>
      </c>
      <c r="D216" s="13">
        <v>22866680217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392921</v>
      </c>
      <c r="K216" s="13">
        <v>48110</v>
      </c>
      <c r="L216" s="13">
        <v>15618857021</v>
      </c>
      <c r="M216" s="13">
        <v>18757305801</v>
      </c>
      <c r="N216" s="14">
        <v>1.9911155099893857E-3</v>
      </c>
    </row>
    <row r="217" spans="1:14" x14ac:dyDescent="0.4">
      <c r="A217" s="13" t="s">
        <v>390</v>
      </c>
      <c r="B217" s="13">
        <v>1881856</v>
      </c>
      <c r="C217" s="13">
        <v>13238121345</v>
      </c>
      <c r="D217" s="13">
        <v>24125635550</v>
      </c>
      <c r="E217" s="13">
        <v>0</v>
      </c>
      <c r="F217" s="13">
        <v>0</v>
      </c>
      <c r="G217" s="13">
        <v>0</v>
      </c>
      <c r="H217" s="13">
        <v>0</v>
      </c>
      <c r="I217" s="13">
        <v>0</v>
      </c>
      <c r="J217" s="13">
        <v>1881856</v>
      </c>
      <c r="K217" s="13">
        <v>10470</v>
      </c>
      <c r="L217" s="13">
        <v>13238121345</v>
      </c>
      <c r="M217" s="13">
        <v>19550727880</v>
      </c>
      <c r="N217" s="14">
        <v>2.0753384268744268E-3</v>
      </c>
    </row>
    <row r="218" spans="1:14" x14ac:dyDescent="0.4">
      <c r="A218" s="13" t="s">
        <v>391</v>
      </c>
      <c r="B218" s="13">
        <v>1136013</v>
      </c>
      <c r="C218" s="13">
        <v>21430044410</v>
      </c>
      <c r="D218" s="13">
        <v>29060031151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1136013</v>
      </c>
      <c r="K218" s="13">
        <v>26920</v>
      </c>
      <c r="L218" s="13">
        <v>21430044410</v>
      </c>
      <c r="M218" s="13">
        <v>30345075197</v>
      </c>
      <c r="N218" s="14">
        <v>3.2211742196643048E-3</v>
      </c>
    </row>
    <row r="219" spans="1:14" x14ac:dyDescent="0.4">
      <c r="A219" s="13" t="s">
        <v>134</v>
      </c>
      <c r="B219" s="13">
        <v>6591749</v>
      </c>
      <c r="C219" s="13">
        <v>35876480222</v>
      </c>
      <c r="D219" s="13">
        <v>66258251124</v>
      </c>
      <c r="E219" s="13">
        <v>0</v>
      </c>
      <c r="F219" s="13">
        <v>1300000</v>
      </c>
      <c r="G219" s="13">
        <v>15367524517</v>
      </c>
      <c r="H219" s="13">
        <v>100000</v>
      </c>
      <c r="I219" s="13">
        <v>1147064127</v>
      </c>
      <c r="J219" s="13">
        <v>7791749</v>
      </c>
      <c r="K219" s="13">
        <v>12730</v>
      </c>
      <c r="L219" s="13">
        <v>50594668264</v>
      </c>
      <c r="M219" s="13">
        <v>98422234072</v>
      </c>
      <c r="N219" s="14">
        <v>1.0447664439000472E-2</v>
      </c>
    </row>
    <row r="220" spans="1:14" x14ac:dyDescent="0.4">
      <c r="A220" s="13" t="s">
        <v>168</v>
      </c>
      <c r="B220" s="13">
        <v>14595002</v>
      </c>
      <c r="C220" s="13">
        <v>39223501330</v>
      </c>
      <c r="D220" s="13">
        <v>70499265065</v>
      </c>
      <c r="E220" s="13">
        <v>0</v>
      </c>
      <c r="F220" s="13">
        <v>0</v>
      </c>
      <c r="G220" s="13">
        <v>0</v>
      </c>
      <c r="H220" s="13">
        <v>600000</v>
      </c>
      <c r="I220" s="13">
        <v>3784156258</v>
      </c>
      <c r="J220" s="13">
        <v>13995002</v>
      </c>
      <c r="K220" s="13">
        <v>6800</v>
      </c>
      <c r="L220" s="13">
        <v>37611024620</v>
      </c>
      <c r="M220" s="13">
        <v>94430380315</v>
      </c>
      <c r="N220" s="14">
        <v>1.0023923310423875E-2</v>
      </c>
    </row>
    <row r="221" spans="1:14" x14ac:dyDescent="0.4">
      <c r="A221" s="13" t="s">
        <v>152</v>
      </c>
      <c r="B221" s="13">
        <v>5968712</v>
      </c>
      <c r="C221" s="13">
        <v>57519477987</v>
      </c>
      <c r="D221" s="13">
        <v>96301050902</v>
      </c>
      <c r="E221" s="13">
        <v>0</v>
      </c>
      <c r="F221" s="13">
        <v>0</v>
      </c>
      <c r="G221" s="13">
        <v>0</v>
      </c>
      <c r="H221" s="13">
        <v>600000</v>
      </c>
      <c r="I221" s="13">
        <v>10232288298</v>
      </c>
      <c r="J221" s="13">
        <v>5368712</v>
      </c>
      <c r="K221" s="13">
        <v>19530</v>
      </c>
      <c r="L221" s="13">
        <v>51737378467</v>
      </c>
      <c r="M221" s="13">
        <v>104040447552</v>
      </c>
      <c r="N221" s="14">
        <v>1.1044046036503833E-2</v>
      </c>
    </row>
    <row r="222" spans="1:14" x14ac:dyDescent="0.4">
      <c r="A222" s="13" t="s">
        <v>314</v>
      </c>
      <c r="B222" s="13">
        <v>900000</v>
      </c>
      <c r="C222" s="13">
        <v>2252043000</v>
      </c>
      <c r="D222" s="13">
        <v>6626379060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900000</v>
      </c>
      <c r="K222" s="13">
        <v>6490</v>
      </c>
      <c r="L222" s="13">
        <v>2252043000</v>
      </c>
      <c r="M222" s="13">
        <v>5795849070</v>
      </c>
      <c r="N222" s="14">
        <v>6.1523787580513396E-4</v>
      </c>
    </row>
    <row r="223" spans="1:14" x14ac:dyDescent="0.4">
      <c r="A223" s="13" t="s">
        <v>303</v>
      </c>
      <c r="B223" s="13">
        <v>1505716</v>
      </c>
      <c r="C223" s="13">
        <v>9359477203</v>
      </c>
      <c r="D223" s="13">
        <v>19333353990</v>
      </c>
      <c r="E223" s="13">
        <v>0</v>
      </c>
      <c r="F223" s="13">
        <v>0</v>
      </c>
      <c r="G223" s="13">
        <v>0</v>
      </c>
      <c r="H223" s="13">
        <v>0</v>
      </c>
      <c r="I223" s="13">
        <v>0</v>
      </c>
      <c r="J223" s="13">
        <v>1505716</v>
      </c>
      <c r="K223" s="13">
        <v>13860</v>
      </c>
      <c r="L223" s="13">
        <v>9359477203</v>
      </c>
      <c r="M223" s="13">
        <v>20707904660</v>
      </c>
      <c r="N223" s="14">
        <v>2.198174438554459E-3</v>
      </c>
    </row>
    <row r="224" spans="1:14" x14ac:dyDescent="0.4">
      <c r="A224" s="13" t="s">
        <v>151</v>
      </c>
      <c r="B224" s="13">
        <v>11733352</v>
      </c>
      <c r="C224" s="13">
        <v>52279942551</v>
      </c>
      <c r="D224" s="13">
        <v>61356782306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11733352</v>
      </c>
      <c r="K224" s="13">
        <v>5140</v>
      </c>
      <c r="L224" s="13">
        <v>52279942551</v>
      </c>
      <c r="M224" s="13">
        <v>59843237392</v>
      </c>
      <c r="N224" s="14">
        <v>6.3524473825465654E-3</v>
      </c>
    </row>
    <row r="225" spans="1:14" x14ac:dyDescent="0.4">
      <c r="A225" s="13" t="s">
        <v>348</v>
      </c>
      <c r="B225" s="13">
        <v>2024465</v>
      </c>
      <c r="C225" s="13">
        <v>16984113641</v>
      </c>
      <c r="D225" s="13">
        <v>29127830340</v>
      </c>
      <c r="E225" s="13">
        <v>0</v>
      </c>
      <c r="F225" s="13">
        <v>0</v>
      </c>
      <c r="G225" s="13">
        <v>0</v>
      </c>
      <c r="H225" s="13">
        <v>0</v>
      </c>
      <c r="I225" s="13">
        <v>0</v>
      </c>
      <c r="J225" s="13">
        <v>2024465</v>
      </c>
      <c r="K225" s="13">
        <v>14400</v>
      </c>
      <c r="L225" s="13">
        <v>16984113641</v>
      </c>
      <c r="M225" s="13">
        <v>28926948752</v>
      </c>
      <c r="N225" s="14">
        <v>3.0706380184783609E-3</v>
      </c>
    </row>
    <row r="226" spans="1:14" x14ac:dyDescent="0.4">
      <c r="A226" s="13" t="s">
        <v>365</v>
      </c>
      <c r="B226" s="13">
        <v>2192838</v>
      </c>
      <c r="C226" s="13">
        <v>16347830069</v>
      </c>
      <c r="D226" s="13">
        <v>36554907686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2192838</v>
      </c>
      <c r="K226" s="13">
        <v>16620</v>
      </c>
      <c r="L226" s="13">
        <v>16347830069</v>
      </c>
      <c r="M226" s="13">
        <v>36163247961</v>
      </c>
      <c r="N226" s="14">
        <v>3.8387817883152675E-3</v>
      </c>
    </row>
    <row r="227" spans="1:14" x14ac:dyDescent="0.4">
      <c r="A227" s="13" t="s">
        <v>129</v>
      </c>
      <c r="B227" s="13">
        <v>9911043</v>
      </c>
      <c r="C227" s="13">
        <v>48233584635</v>
      </c>
      <c r="D227" s="13">
        <v>74741672846</v>
      </c>
      <c r="E227" s="13">
        <v>0</v>
      </c>
      <c r="F227" s="13">
        <v>1200000</v>
      </c>
      <c r="G227" s="13">
        <v>9655240107</v>
      </c>
      <c r="H227" s="13">
        <v>1153268</v>
      </c>
      <c r="I227" s="13">
        <v>10719438846</v>
      </c>
      <c r="J227" s="13">
        <v>9957775</v>
      </c>
      <c r="K227" s="13">
        <v>10120</v>
      </c>
      <c r="L227" s="13">
        <v>51880268288</v>
      </c>
      <c r="M227" s="13">
        <v>99993710160</v>
      </c>
      <c r="N227" s="14">
        <v>1.0614478929609643E-2</v>
      </c>
    </row>
    <row r="228" spans="1:14" x14ac:dyDescent="0.4">
      <c r="A228" s="13" t="s">
        <v>150</v>
      </c>
      <c r="B228" s="13">
        <v>30321983</v>
      </c>
      <c r="C228" s="13">
        <v>75361810261</v>
      </c>
      <c r="D228" s="13">
        <v>72210225771</v>
      </c>
      <c r="E228" s="13">
        <v>1571246</v>
      </c>
      <c r="F228" s="13">
        <v>0</v>
      </c>
      <c r="G228" s="13">
        <v>0</v>
      </c>
      <c r="H228" s="13">
        <v>1000000</v>
      </c>
      <c r="I228" s="13">
        <v>2073844300</v>
      </c>
      <c r="J228" s="13">
        <v>30893229</v>
      </c>
      <c r="K228" s="13">
        <v>2101</v>
      </c>
      <c r="L228" s="13">
        <v>76542212735</v>
      </c>
      <c r="M228" s="13">
        <v>64404945538</v>
      </c>
      <c r="N228" s="14">
        <v>6.8366793899525165E-3</v>
      </c>
    </row>
    <row r="229" spans="1:14" x14ac:dyDescent="0.4">
      <c r="A229" s="13" t="s">
        <v>392</v>
      </c>
      <c r="B229" s="13">
        <v>1571246</v>
      </c>
      <c r="C229" s="13">
        <v>2086793653</v>
      </c>
      <c r="D229" s="13">
        <v>2182740376</v>
      </c>
      <c r="E229" s="13">
        <v>-1571246</v>
      </c>
      <c r="F229" s="13">
        <v>0</v>
      </c>
      <c r="G229" s="13">
        <v>0</v>
      </c>
      <c r="H229" s="13">
        <v>0</v>
      </c>
      <c r="I229" s="13">
        <v>0</v>
      </c>
      <c r="J229" s="13">
        <v>0</v>
      </c>
      <c r="K229" s="13">
        <v>0</v>
      </c>
      <c r="L229" s="13">
        <v>0</v>
      </c>
      <c r="M229" s="13">
        <v>0</v>
      </c>
      <c r="N229" s="14">
        <v>0</v>
      </c>
    </row>
    <row r="230" spans="1:14" x14ac:dyDescent="0.4">
      <c r="A230" s="13" t="s">
        <v>393</v>
      </c>
      <c r="B230" s="13">
        <v>15752234</v>
      </c>
      <c r="C230" s="13">
        <v>23762214862</v>
      </c>
      <c r="D230" s="13">
        <v>26806254731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15752234</v>
      </c>
      <c r="K230" s="13">
        <v>1850</v>
      </c>
      <c r="L230" s="13">
        <v>23762214862</v>
      </c>
      <c r="M230" s="13">
        <v>28916368078</v>
      </c>
      <c r="N230" s="14">
        <v>3.069514864421427E-3</v>
      </c>
    </row>
    <row r="231" spans="1:14" x14ac:dyDescent="0.4">
      <c r="A231" s="13" t="s">
        <v>394</v>
      </c>
      <c r="B231" s="13">
        <v>1500000</v>
      </c>
      <c r="C231" s="13">
        <v>12197164260</v>
      </c>
      <c r="D231" s="13">
        <v>22802364600</v>
      </c>
      <c r="E231" s="13">
        <v>0</v>
      </c>
      <c r="F231" s="13">
        <v>0</v>
      </c>
      <c r="G231" s="13">
        <v>0</v>
      </c>
      <c r="H231" s="13">
        <v>0</v>
      </c>
      <c r="I231" s="13">
        <v>0</v>
      </c>
      <c r="J231" s="13">
        <v>1500000</v>
      </c>
      <c r="K231" s="13">
        <v>18140</v>
      </c>
      <c r="L231" s="13">
        <v>12197164260</v>
      </c>
      <c r="M231" s="13">
        <v>26999666700</v>
      </c>
      <c r="N231" s="14">
        <v>2.8660542031600229E-3</v>
      </c>
    </row>
    <row r="232" spans="1:14" x14ac:dyDescent="0.4">
      <c r="A232" s="13" t="s">
        <v>305</v>
      </c>
      <c r="B232" s="13">
        <v>30913216</v>
      </c>
      <c r="C232" s="13">
        <v>39246210446</v>
      </c>
      <c r="D232" s="13">
        <v>39171025985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30913216</v>
      </c>
      <c r="K232" s="13">
        <v>1359</v>
      </c>
      <c r="L232" s="13">
        <v>39246210446</v>
      </c>
      <c r="M232" s="13">
        <v>41686315046</v>
      </c>
      <c r="N232" s="14">
        <v>4.4250634564996765E-3</v>
      </c>
    </row>
    <row r="233" spans="1:14" x14ac:dyDescent="0.4">
      <c r="A233" s="13" t="s">
        <v>334</v>
      </c>
      <c r="B233" s="13">
        <v>5200000</v>
      </c>
      <c r="C233" s="13">
        <v>17798536615</v>
      </c>
      <c r="D233" s="13">
        <v>15850917888</v>
      </c>
      <c r="E233" s="13">
        <v>0</v>
      </c>
      <c r="F233" s="13">
        <v>0</v>
      </c>
      <c r="G233" s="13">
        <v>0</v>
      </c>
      <c r="H233" s="13">
        <v>0</v>
      </c>
      <c r="I233" s="13">
        <v>0</v>
      </c>
      <c r="J233" s="13">
        <v>5200000</v>
      </c>
      <c r="K233" s="13">
        <v>2873</v>
      </c>
      <c r="L233" s="13">
        <v>17798536615</v>
      </c>
      <c r="M233" s="13">
        <v>14824116892</v>
      </c>
      <c r="N233" s="14">
        <v>1.573601741033792E-3</v>
      </c>
    </row>
    <row r="234" spans="1:14" x14ac:dyDescent="0.4">
      <c r="A234" s="13" t="s">
        <v>106</v>
      </c>
      <c r="B234" s="13">
        <v>11242355</v>
      </c>
      <c r="C234" s="13">
        <v>22867039430</v>
      </c>
      <c r="D234" s="13">
        <v>22835209417</v>
      </c>
      <c r="E234" s="13">
        <v>1175423</v>
      </c>
      <c r="F234" s="13">
        <v>0</v>
      </c>
      <c r="G234" s="13">
        <v>0</v>
      </c>
      <c r="H234" s="13">
        <v>1000000</v>
      </c>
      <c r="I234" s="13">
        <v>2003763433</v>
      </c>
      <c r="J234" s="13">
        <v>11417778</v>
      </c>
      <c r="K234" s="13">
        <v>2145</v>
      </c>
      <c r="L234" s="13">
        <v>23223851206</v>
      </c>
      <c r="M234" s="13">
        <v>24301817346</v>
      </c>
      <c r="N234" s="14">
        <v>2.5796735390415191E-3</v>
      </c>
    </row>
    <row r="235" spans="1:14" x14ac:dyDescent="0.4">
      <c r="A235" s="13" t="s">
        <v>395</v>
      </c>
      <c r="B235" s="13">
        <v>1175423</v>
      </c>
      <c r="C235" s="13">
        <v>1215396725</v>
      </c>
      <c r="D235" s="13">
        <v>1175667676</v>
      </c>
      <c r="E235" s="13">
        <v>-1175423</v>
      </c>
      <c r="F235" s="13">
        <v>0</v>
      </c>
      <c r="G235" s="13">
        <v>0</v>
      </c>
      <c r="H235" s="13">
        <v>0</v>
      </c>
      <c r="I235" s="13">
        <v>0</v>
      </c>
      <c r="J235" s="13">
        <v>0</v>
      </c>
      <c r="K235" s="13">
        <v>0</v>
      </c>
      <c r="L235" s="13">
        <v>0</v>
      </c>
      <c r="M235" s="13">
        <v>0</v>
      </c>
      <c r="N235" s="14">
        <v>0</v>
      </c>
    </row>
    <row r="236" spans="1:14" x14ac:dyDescent="0.4">
      <c r="A236" s="13" t="s">
        <v>121</v>
      </c>
      <c r="B236" s="21">
        <v>19436480</v>
      </c>
      <c r="C236" s="21">
        <v>65898780375</v>
      </c>
      <c r="D236" s="21">
        <v>74213436165</v>
      </c>
      <c r="E236" s="21">
        <v>0</v>
      </c>
      <c r="F236" s="13">
        <v>0</v>
      </c>
      <c r="G236" s="21">
        <v>0</v>
      </c>
      <c r="H236" s="21">
        <v>900000</v>
      </c>
      <c r="I236" s="21">
        <v>3756734267</v>
      </c>
      <c r="J236" s="21">
        <v>18536480</v>
      </c>
      <c r="K236" s="13">
        <v>4370</v>
      </c>
      <c r="L236" s="21">
        <v>62847358392</v>
      </c>
      <c r="M236" s="21">
        <v>80378253452</v>
      </c>
      <c r="N236" s="22">
        <v>8.5322694427470928E-3</v>
      </c>
    </row>
    <row r="237" spans="1:14" ht="16.5" thickBot="1" x14ac:dyDescent="0.45">
      <c r="A237" s="13" t="s">
        <v>2</v>
      </c>
      <c r="B237" s="25">
        <f t="shared" ref="B237:J237" si="0">SUM(B10:B236)</f>
        <v>2020851932</v>
      </c>
      <c r="C237" s="13">
        <f t="shared" si="0"/>
        <v>7185942851710</v>
      </c>
      <c r="D237" s="13">
        <f t="shared" si="0"/>
        <v>9261537681513</v>
      </c>
      <c r="E237" s="13">
        <f t="shared" si="0"/>
        <v>30047217</v>
      </c>
      <c r="F237" s="25">
        <f t="shared" si="0"/>
        <v>69172304</v>
      </c>
      <c r="G237" s="25">
        <f t="shared" si="0"/>
        <v>323231070966</v>
      </c>
      <c r="H237" s="13">
        <f t="shared" si="0"/>
        <v>160383459</v>
      </c>
      <c r="I237" s="13">
        <f t="shared" si="0"/>
        <v>719305178604</v>
      </c>
      <c r="J237" s="25">
        <f t="shared" si="0"/>
        <v>1959687994</v>
      </c>
      <c r="K237" s="24"/>
      <c r="L237" s="13">
        <f>SUM(L10:L236)</f>
        <v>6897565486059</v>
      </c>
      <c r="M237" s="13">
        <f>SUM(M10:M236)</f>
        <v>9010220177209</v>
      </c>
      <c r="N237" s="14">
        <f>SUM(N10:N236)</f>
        <v>0.95644808127528103</v>
      </c>
    </row>
    <row r="238" spans="1:14" ht="16.5" thickTop="1" x14ac:dyDescent="0.4">
      <c r="C238" s="23"/>
      <c r="D238" s="23"/>
      <c r="E238" s="23"/>
      <c r="H238" s="23"/>
      <c r="I238" s="23"/>
      <c r="L238" s="23"/>
      <c r="M238" s="23"/>
      <c r="N238" s="23"/>
    </row>
    <row r="239" spans="1:14" x14ac:dyDescent="0.4">
      <c r="M239" s="19"/>
    </row>
    <row r="243" spans="13:13" x14ac:dyDescent="0.4">
      <c r="M243" s="19"/>
    </row>
    <row r="246" spans="13:13" x14ac:dyDescent="0.4">
      <c r="M246" s="20"/>
    </row>
  </sheetData>
  <mergeCells count="19">
    <mergeCell ref="A1:N1"/>
    <mergeCell ref="A2:N2"/>
    <mergeCell ref="A3:N3"/>
    <mergeCell ref="A4:N4"/>
    <mergeCell ref="A5:N5"/>
    <mergeCell ref="B7:D7"/>
    <mergeCell ref="F7:I7"/>
    <mergeCell ref="J7:N7"/>
    <mergeCell ref="A8:A9"/>
    <mergeCell ref="B8:B9"/>
    <mergeCell ref="C8:C9"/>
    <mergeCell ref="M8:M9"/>
    <mergeCell ref="N8:N9"/>
    <mergeCell ref="H8:I8"/>
    <mergeCell ref="J8:J9"/>
    <mergeCell ref="K8:K9"/>
    <mergeCell ref="L8:L9"/>
    <mergeCell ref="E8:G8"/>
    <mergeCell ref="D8:D9"/>
  </mergeCells>
  <pageMargins left="0.70866141732283472" right="0.70866141732283472" top="0.74803149606299213" bottom="0.74803149606299213" header="0.31496062992125984" footer="0.31496062992125984"/>
  <pageSetup scale="52" fitToHeight="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"/>
  <sheetViews>
    <sheetView rightToLeft="1" view="pageBreakPreview" zoomScale="145" zoomScaleNormal="100" zoomScaleSheetLayoutView="145" workbookViewId="0">
      <selection activeCell="L109" sqref="L109"/>
    </sheetView>
  </sheetViews>
  <sheetFormatPr defaultColWidth="9.140625" defaultRowHeight="15.75" x14ac:dyDescent="0.4"/>
  <cols>
    <col min="1" max="1" width="14.85546875" style="2" customWidth="1"/>
    <col min="2" max="2" width="12" style="2" customWidth="1"/>
    <col min="3" max="3" width="12.140625" style="2" customWidth="1"/>
    <col min="4" max="4" width="11.140625" style="2" bestFit="1" customWidth="1"/>
    <col min="5" max="5" width="8.140625" style="2" bestFit="1" customWidth="1"/>
    <col min="6" max="6" width="14.7109375" style="2" customWidth="1"/>
    <col min="7" max="10" width="7.7109375" style="2" customWidth="1"/>
    <col min="11" max="16384" width="9.140625" style="2"/>
  </cols>
  <sheetData>
    <row r="1" spans="1:10" ht="21" x14ac:dyDescent="0.55000000000000004">
      <c r="A1" s="92" t="s">
        <v>69</v>
      </c>
      <c r="B1" s="92"/>
      <c r="C1" s="92"/>
      <c r="D1" s="92"/>
      <c r="E1" s="92"/>
      <c r="F1" s="92"/>
      <c r="G1" s="92"/>
      <c r="H1" s="92"/>
      <c r="I1" s="92"/>
      <c r="J1" s="92"/>
    </row>
    <row r="2" spans="1:10" ht="21" x14ac:dyDescent="0.55000000000000004">
      <c r="A2" s="92" t="s">
        <v>57</v>
      </c>
      <c r="B2" s="92"/>
      <c r="C2" s="92"/>
      <c r="D2" s="92"/>
      <c r="E2" s="92"/>
      <c r="F2" s="92"/>
      <c r="G2" s="92"/>
      <c r="H2" s="92"/>
      <c r="I2" s="92"/>
      <c r="J2" s="92"/>
    </row>
    <row r="3" spans="1:10" ht="21" x14ac:dyDescent="0.55000000000000004">
      <c r="A3" s="92" t="s">
        <v>70</v>
      </c>
      <c r="B3" s="92"/>
      <c r="C3" s="92"/>
      <c r="D3" s="92"/>
      <c r="E3" s="92"/>
      <c r="F3" s="92"/>
      <c r="G3" s="92"/>
      <c r="H3" s="92"/>
      <c r="I3" s="92"/>
      <c r="J3" s="92"/>
    </row>
    <row r="4" spans="1:10" ht="25.5" customHeight="1" x14ac:dyDescent="0.4">
      <c r="A4" s="96" t="s">
        <v>32</v>
      </c>
      <c r="B4" s="96"/>
      <c r="C4" s="96"/>
      <c r="D4" s="96"/>
      <c r="E4" s="96"/>
      <c r="F4" s="96"/>
      <c r="G4" s="96"/>
    </row>
    <row r="5" spans="1:10" x14ac:dyDescent="0.4">
      <c r="A5" s="96" t="s">
        <v>31</v>
      </c>
      <c r="B5" s="96"/>
      <c r="C5" s="96"/>
      <c r="D5" s="96"/>
      <c r="E5" s="96"/>
      <c r="F5" s="96"/>
      <c r="G5" s="96"/>
    </row>
    <row r="6" spans="1:10" ht="19.5" customHeight="1" thickBot="1" x14ac:dyDescent="0.45">
      <c r="B6" s="83" t="s">
        <v>71</v>
      </c>
      <c r="C6" s="83"/>
      <c r="D6" s="83"/>
      <c r="E6" s="83"/>
      <c r="F6" s="83"/>
      <c r="G6" s="83"/>
      <c r="H6" s="83"/>
      <c r="I6" s="83"/>
      <c r="J6" s="83"/>
    </row>
    <row r="7" spans="1:10" ht="31.5" customHeight="1" x14ac:dyDescent="0.4">
      <c r="A7" s="87" t="s">
        <v>10</v>
      </c>
      <c r="B7" s="97" t="s">
        <v>3</v>
      </c>
      <c r="C7" s="85" t="s">
        <v>36</v>
      </c>
      <c r="D7" s="85" t="s">
        <v>35</v>
      </c>
      <c r="E7" s="85" t="s">
        <v>33</v>
      </c>
      <c r="F7" s="85" t="s">
        <v>34</v>
      </c>
      <c r="G7" s="85" t="s">
        <v>9</v>
      </c>
      <c r="H7" s="85"/>
      <c r="I7" s="85"/>
      <c r="J7" s="85"/>
    </row>
    <row r="8" spans="1:10" ht="18" customHeight="1" thickBot="1" x14ac:dyDescent="0.45">
      <c r="A8" s="88"/>
      <c r="B8" s="98"/>
      <c r="C8" s="86"/>
      <c r="D8" s="86"/>
      <c r="E8" s="86"/>
      <c r="F8" s="86"/>
      <c r="G8" s="86"/>
      <c r="H8" s="86"/>
      <c r="I8" s="86"/>
      <c r="J8" s="86"/>
    </row>
    <row r="9" spans="1:10" x14ac:dyDescent="0.4">
      <c r="A9" s="13" t="s">
        <v>367</v>
      </c>
      <c r="B9" s="13">
        <v>8858150</v>
      </c>
      <c r="C9" s="13">
        <v>2000</v>
      </c>
      <c r="D9" s="13">
        <v>800</v>
      </c>
      <c r="E9" s="14">
        <v>-0.6</v>
      </c>
      <c r="F9" s="13">
        <v>7031741200</v>
      </c>
      <c r="G9" s="94" t="s">
        <v>396</v>
      </c>
      <c r="H9" s="94"/>
      <c r="I9" s="94"/>
      <c r="J9" s="94"/>
    </row>
    <row r="10" spans="1:10" x14ac:dyDescent="0.4">
      <c r="A10" s="13" t="s">
        <v>346</v>
      </c>
      <c r="B10" s="13">
        <v>5729478</v>
      </c>
      <c r="C10" s="13">
        <v>2610</v>
      </c>
      <c r="D10" s="13">
        <v>1305</v>
      </c>
      <c r="E10" s="14">
        <v>-0.5</v>
      </c>
      <c r="F10" s="13">
        <v>7419171821</v>
      </c>
      <c r="G10" s="95" t="s">
        <v>396</v>
      </c>
      <c r="H10" s="95"/>
      <c r="I10" s="95"/>
      <c r="J10" s="95"/>
    </row>
    <row r="11" spans="1:10" x14ac:dyDescent="0.4">
      <c r="A11" s="13" t="s">
        <v>384</v>
      </c>
      <c r="B11" s="13">
        <v>1200163</v>
      </c>
      <c r="C11" s="13">
        <v>12780</v>
      </c>
      <c r="D11" s="13">
        <v>6390</v>
      </c>
      <c r="E11" s="14">
        <v>-0.5</v>
      </c>
      <c r="F11" s="13">
        <v>7609759879</v>
      </c>
      <c r="G11" s="95" t="s">
        <v>396</v>
      </c>
      <c r="H11" s="95"/>
      <c r="I11" s="95"/>
      <c r="J11" s="95"/>
    </row>
  </sheetData>
  <mergeCells count="16">
    <mergeCell ref="G9:J9"/>
    <mergeCell ref="G10:J10"/>
    <mergeCell ref="G11:J11"/>
    <mergeCell ref="A1:J1"/>
    <mergeCell ref="A2:J2"/>
    <mergeCell ref="A3:J3"/>
    <mergeCell ref="G7:J8"/>
    <mergeCell ref="A4:G4"/>
    <mergeCell ref="D7:D8"/>
    <mergeCell ref="A7:A8"/>
    <mergeCell ref="A5:G5"/>
    <mergeCell ref="C7:C8"/>
    <mergeCell ref="F7:F8"/>
    <mergeCell ref="E7:E8"/>
    <mergeCell ref="B7:B8"/>
    <mergeCell ref="B6:J6"/>
  </mergeCell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3"/>
  <sheetViews>
    <sheetView rightToLeft="1" view="pageBreakPreview" zoomScale="90" zoomScaleNormal="100" zoomScaleSheetLayoutView="90" workbookViewId="0">
      <selection activeCell="L109" sqref="L109"/>
    </sheetView>
  </sheetViews>
  <sheetFormatPr defaultColWidth="9.140625" defaultRowHeight="15.75" x14ac:dyDescent="0.4"/>
  <cols>
    <col min="1" max="1" width="15" style="2" customWidth="1"/>
    <col min="2" max="2" width="13.5703125" style="2" bestFit="1" customWidth="1"/>
    <col min="3" max="3" width="19.7109375" style="2" customWidth="1"/>
    <col min="4" max="4" width="22.5703125" style="2" customWidth="1"/>
    <col min="5" max="5" width="18.85546875" style="2" customWidth="1"/>
    <col min="6" max="6" width="11.5703125" style="2" customWidth="1"/>
    <col min="7" max="7" width="4.28515625" style="2" customWidth="1"/>
    <col min="8" max="8" width="0.42578125" style="2" customWidth="1"/>
    <col min="9" max="9" width="5.28515625" style="2" customWidth="1"/>
    <col min="10" max="10" width="4.28515625" style="2" customWidth="1"/>
    <col min="11" max="11" width="0.42578125" style="2" customWidth="1"/>
    <col min="12" max="12" width="0.5703125" style="2" customWidth="1"/>
    <col min="13" max="16384" width="9.140625" style="2"/>
  </cols>
  <sheetData>
    <row r="1" spans="1:12" ht="21" x14ac:dyDescent="0.55000000000000004">
      <c r="A1" s="92" t="s">
        <v>69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</row>
    <row r="2" spans="1:12" ht="21" x14ac:dyDescent="0.55000000000000004">
      <c r="A2" s="92" t="s">
        <v>57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</row>
    <row r="3" spans="1:12" ht="21" x14ac:dyDescent="0.55000000000000004">
      <c r="A3" s="92" t="s">
        <v>70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</row>
    <row r="4" spans="1:12" ht="29.25" customHeight="1" x14ac:dyDescent="0.4">
      <c r="A4" s="101" t="s">
        <v>402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</row>
    <row r="5" spans="1:12" ht="19.5" thickBot="1" x14ac:dyDescent="0.5">
      <c r="A5" s="27"/>
      <c r="B5" s="28"/>
      <c r="C5" s="28"/>
      <c r="D5" s="28"/>
      <c r="E5" s="28"/>
      <c r="F5" s="28"/>
      <c r="G5" s="27"/>
      <c r="H5" s="27"/>
      <c r="I5" s="27"/>
      <c r="J5" s="27"/>
      <c r="K5" s="27"/>
      <c r="L5" s="27"/>
    </row>
    <row r="6" spans="1:12" ht="35.25" customHeight="1" thickBot="1" x14ac:dyDescent="0.5">
      <c r="A6" s="29"/>
      <c r="B6" s="30" t="s">
        <v>72</v>
      </c>
      <c r="C6" s="107" t="s">
        <v>7</v>
      </c>
      <c r="D6" s="107"/>
      <c r="E6" s="102" t="s">
        <v>71</v>
      </c>
      <c r="F6" s="102"/>
      <c r="G6" s="27"/>
      <c r="H6" s="27"/>
      <c r="I6" s="27"/>
      <c r="J6" s="27"/>
      <c r="K6" s="27"/>
      <c r="L6" s="27"/>
    </row>
    <row r="7" spans="1:12" ht="24" customHeight="1" x14ac:dyDescent="0.45">
      <c r="A7" s="105" t="s">
        <v>8</v>
      </c>
      <c r="B7" s="106" t="s">
        <v>6</v>
      </c>
      <c r="C7" s="108" t="s">
        <v>37</v>
      </c>
      <c r="D7" s="108" t="s">
        <v>68</v>
      </c>
      <c r="E7" s="103" t="s">
        <v>6</v>
      </c>
      <c r="F7" s="99" t="s">
        <v>21</v>
      </c>
      <c r="G7" s="27"/>
      <c r="H7" s="27"/>
      <c r="I7" s="27"/>
      <c r="J7" s="27"/>
      <c r="K7" s="27"/>
      <c r="L7" s="27"/>
    </row>
    <row r="8" spans="1:12" ht="29.25" customHeight="1" thickBot="1" x14ac:dyDescent="0.5">
      <c r="A8" s="100"/>
      <c r="B8" s="104"/>
      <c r="C8" s="109"/>
      <c r="D8" s="109"/>
      <c r="E8" s="104"/>
      <c r="F8" s="100"/>
      <c r="G8" s="27"/>
      <c r="H8" s="27"/>
      <c r="I8" s="27"/>
      <c r="J8" s="27"/>
      <c r="K8" s="27"/>
      <c r="L8" s="27"/>
    </row>
    <row r="9" spans="1:12" ht="29.25" customHeight="1" x14ac:dyDescent="0.45">
      <c r="A9" s="32" t="s">
        <v>77</v>
      </c>
      <c r="B9" s="32">
        <v>9812</v>
      </c>
      <c r="C9" s="27"/>
      <c r="D9" s="27"/>
      <c r="E9" s="32">
        <v>9812</v>
      </c>
      <c r="F9" s="33">
        <v>1.0415581849166363E-9</v>
      </c>
      <c r="G9" s="27"/>
      <c r="H9" s="27"/>
      <c r="I9" s="27"/>
      <c r="J9" s="27"/>
      <c r="K9" s="27"/>
      <c r="L9" s="27"/>
    </row>
    <row r="10" spans="1:12" ht="29.25" customHeight="1" x14ac:dyDescent="0.45">
      <c r="A10" s="32" t="s">
        <v>73</v>
      </c>
      <c r="B10" s="32">
        <v>15495048</v>
      </c>
      <c r="C10" s="32">
        <v>63126</v>
      </c>
      <c r="D10" s="32">
        <v>630000</v>
      </c>
      <c r="E10" s="32">
        <v>14928174</v>
      </c>
      <c r="F10" s="33">
        <v>1.5846475556012761E-6</v>
      </c>
      <c r="G10" s="27"/>
      <c r="H10" s="27"/>
      <c r="I10" s="27"/>
      <c r="J10" s="27"/>
      <c r="K10" s="27"/>
      <c r="L10" s="27"/>
    </row>
    <row r="11" spans="1:12" ht="29.25" customHeight="1" x14ac:dyDescent="0.45">
      <c r="A11" s="32" t="s">
        <v>74</v>
      </c>
      <c r="B11" s="32">
        <v>7443527</v>
      </c>
      <c r="C11" s="32">
        <v>31552</v>
      </c>
      <c r="D11" s="32">
        <v>630000</v>
      </c>
      <c r="E11" s="32">
        <v>6845079</v>
      </c>
      <c r="F11" s="33">
        <v>7.2661517110181244E-7</v>
      </c>
      <c r="G11" s="27"/>
      <c r="H11" s="27"/>
      <c r="I11" s="27"/>
      <c r="J11" s="27"/>
      <c r="K11" s="27"/>
      <c r="L11" s="27"/>
    </row>
    <row r="12" spans="1:12" ht="29.25" customHeight="1" x14ac:dyDescent="0.45">
      <c r="A12" s="32" t="s">
        <v>75</v>
      </c>
      <c r="B12" s="32">
        <v>386649674</v>
      </c>
      <c r="C12" s="32">
        <v>8065507862</v>
      </c>
      <c r="D12" s="32">
        <v>8440902796</v>
      </c>
      <c r="E12" s="32">
        <v>11254740</v>
      </c>
      <c r="F12" s="33">
        <v>1.1947071510506178E-6</v>
      </c>
      <c r="G12" s="27"/>
      <c r="H12" s="27"/>
      <c r="I12" s="27"/>
      <c r="J12" s="27"/>
      <c r="K12" s="27"/>
      <c r="L12" s="27"/>
    </row>
    <row r="13" spans="1:12" ht="29.25" customHeight="1" x14ac:dyDescent="0.45">
      <c r="A13" s="32" t="s">
        <v>76</v>
      </c>
      <c r="B13" s="32">
        <v>4173638236</v>
      </c>
      <c r="C13" s="32">
        <v>645242777082</v>
      </c>
      <c r="D13" s="32">
        <v>599058332970</v>
      </c>
      <c r="E13" s="32">
        <v>50358082348</v>
      </c>
      <c r="F13" s="33">
        <v>5.3455842688815104E-3</v>
      </c>
      <c r="G13" s="27"/>
      <c r="H13" s="27"/>
      <c r="I13" s="27"/>
      <c r="J13" s="27"/>
      <c r="K13" s="27"/>
      <c r="L13" s="27"/>
    </row>
    <row r="14" spans="1:12" ht="29.25" customHeight="1" x14ac:dyDescent="0.4">
      <c r="A14" s="13" t="s">
        <v>78</v>
      </c>
      <c r="B14" s="21">
        <v>2856068</v>
      </c>
      <c r="C14" s="21">
        <v>58000000000</v>
      </c>
      <c r="D14" s="13">
        <v>57995850938</v>
      </c>
      <c r="E14" s="21">
        <v>7005130</v>
      </c>
      <c r="F14" s="22">
        <v>7.4360481939513618E-7</v>
      </c>
    </row>
    <row r="15" spans="1:12" ht="29.25" customHeight="1" thickBot="1" x14ac:dyDescent="0.5">
      <c r="A15" s="13" t="s">
        <v>2</v>
      </c>
      <c r="B15" s="13">
        <f>SUM(B9:B14)</f>
        <v>4586092365</v>
      </c>
      <c r="C15" s="25">
        <f>SUM(C9:C14)</f>
        <v>711308379622</v>
      </c>
      <c r="D15" s="34">
        <f>SUM(D9:D14)</f>
        <v>665496346704</v>
      </c>
      <c r="E15" s="13">
        <f>SUM(E9:E14)</f>
        <v>50398125283</v>
      </c>
      <c r="F15" s="14">
        <f>SUM(F9:F14)</f>
        <v>5.3498348851368444E-3</v>
      </c>
    </row>
    <row r="16" spans="1:12" ht="29.25" customHeight="1" thickTop="1" x14ac:dyDescent="0.4">
      <c r="B16" s="23"/>
      <c r="E16" s="23"/>
      <c r="F16" s="23"/>
    </row>
    <row r="18" spans="5:5" x14ac:dyDescent="0.4">
      <c r="E18" s="19"/>
    </row>
    <row r="20" spans="5:5" x14ac:dyDescent="0.4">
      <c r="E20" s="19"/>
    </row>
    <row r="23" spans="5:5" x14ac:dyDescent="0.4">
      <c r="E23" s="20"/>
    </row>
  </sheetData>
  <mergeCells count="12">
    <mergeCell ref="A1:L1"/>
    <mergeCell ref="A2:L2"/>
    <mergeCell ref="A3:L3"/>
    <mergeCell ref="F7:F8"/>
    <mergeCell ref="A4:L4"/>
    <mergeCell ref="E6:F6"/>
    <mergeCell ref="E7:E8"/>
    <mergeCell ref="A7:A8"/>
    <mergeCell ref="B7:B8"/>
    <mergeCell ref="C6:D6"/>
    <mergeCell ref="C7:C8"/>
    <mergeCell ref="D7:D8"/>
  </mergeCells>
  <pageMargins left="0.70866141732283472" right="0.70866141732283472" top="0.74803149606299213" bottom="0.74803149606299213" header="0.31496062992125984" footer="0.31496062992125984"/>
  <pageSetup scale="9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22"/>
  <sheetViews>
    <sheetView rightToLeft="1" view="pageBreakPreview" zoomScaleNormal="100" zoomScaleSheetLayoutView="100" workbookViewId="0">
      <selection activeCell="L109" sqref="L109"/>
    </sheetView>
  </sheetViews>
  <sheetFormatPr defaultRowHeight="22.5" x14ac:dyDescent="0.55000000000000004"/>
  <cols>
    <col min="1" max="1" width="60.140625" style="45" customWidth="1"/>
    <col min="2" max="2" width="9.85546875" style="36" customWidth="1"/>
    <col min="3" max="3" width="24.5703125" style="36" customWidth="1"/>
    <col min="4" max="4" width="21.28515625" style="36" customWidth="1"/>
    <col min="5" max="5" width="28" style="36" customWidth="1"/>
    <col min="6" max="16384" width="9.140625" style="36"/>
  </cols>
  <sheetData>
    <row r="1" spans="1:19" ht="24" x14ac:dyDescent="0.55000000000000004">
      <c r="A1" s="111" t="s">
        <v>69</v>
      </c>
      <c r="B1" s="111"/>
      <c r="C1" s="111"/>
      <c r="D1" s="111"/>
      <c r="E1" s="111"/>
    </row>
    <row r="2" spans="1:19" ht="24" x14ac:dyDescent="0.55000000000000004">
      <c r="A2" s="111" t="s">
        <v>61</v>
      </c>
      <c r="B2" s="111"/>
      <c r="C2" s="111"/>
      <c r="D2" s="111"/>
      <c r="E2" s="111"/>
    </row>
    <row r="3" spans="1:19" ht="24" x14ac:dyDescent="0.55000000000000004">
      <c r="A3" s="111" t="s">
        <v>70</v>
      </c>
      <c r="B3" s="111"/>
      <c r="C3" s="111"/>
      <c r="D3" s="111"/>
      <c r="E3" s="111"/>
    </row>
    <row r="4" spans="1:19" ht="24" x14ac:dyDescent="0.55000000000000004">
      <c r="A4" s="35"/>
      <c r="B4" s="35"/>
      <c r="C4" s="35"/>
      <c r="D4" s="35"/>
      <c r="E4" s="35"/>
    </row>
    <row r="5" spans="1:19" ht="24" x14ac:dyDescent="0.55000000000000004">
      <c r="A5" s="110" t="s">
        <v>26</v>
      </c>
      <c r="B5" s="110"/>
      <c r="C5" s="110"/>
      <c r="D5" s="110"/>
      <c r="E5" s="110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</row>
    <row r="6" spans="1:19" ht="24" x14ac:dyDescent="0.55000000000000004">
      <c r="A6" s="37"/>
      <c r="B6" s="37"/>
      <c r="C6" s="37"/>
      <c r="D6" s="37"/>
      <c r="E6" s="37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</row>
    <row r="7" spans="1:19" ht="33" customHeight="1" thickBot="1" x14ac:dyDescent="0.6">
      <c r="A7" s="39" t="s">
        <v>38</v>
      </c>
      <c r="B7" s="40" t="s">
        <v>39</v>
      </c>
      <c r="C7" s="40" t="s">
        <v>6</v>
      </c>
      <c r="D7" s="40" t="s">
        <v>18</v>
      </c>
      <c r="E7" s="40" t="s">
        <v>64</v>
      </c>
    </row>
    <row r="8" spans="1:19" ht="33" customHeight="1" x14ac:dyDescent="0.55000000000000004">
      <c r="A8" s="41" t="s">
        <v>53</v>
      </c>
      <c r="B8" s="42" t="s">
        <v>58</v>
      </c>
      <c r="C8" s="43">
        <v>2695583986213</v>
      </c>
      <c r="D8" s="44">
        <f t="shared" ref="D8:D10" si="0">C8/2699683990647</f>
        <v>0.99848130209009489</v>
      </c>
      <c r="E8" s="44">
        <f t="shared" ref="E8:E10" si="1">C8/9420501074345</f>
        <v>0.28614019200676349</v>
      </c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</row>
    <row r="9" spans="1:19" ht="33" customHeight="1" x14ac:dyDescent="0.55000000000000004">
      <c r="A9" s="41" t="s">
        <v>54</v>
      </c>
      <c r="B9" s="42" t="s">
        <v>59</v>
      </c>
      <c r="C9" s="43">
        <v>4099999769</v>
      </c>
      <c r="D9" s="44">
        <f t="shared" si="0"/>
        <v>1.5186961819251309E-3</v>
      </c>
      <c r="E9" s="44">
        <f t="shared" si="1"/>
        <v>4.3522098629823357E-4</v>
      </c>
      <c r="F9" s="38"/>
      <c r="G9" s="38"/>
      <c r="H9" s="38"/>
      <c r="I9" s="38"/>
      <c r="J9" s="38"/>
      <c r="K9" s="38"/>
      <c r="L9" s="38"/>
      <c r="M9" s="38"/>
      <c r="N9" s="38"/>
      <c r="O9" s="38"/>
    </row>
    <row r="10" spans="1:19" ht="33" customHeight="1" x14ac:dyDescent="0.55000000000000004">
      <c r="A10" s="41" t="s">
        <v>28</v>
      </c>
      <c r="B10" s="42" t="s">
        <v>60</v>
      </c>
      <c r="C10" s="48">
        <v>4665</v>
      </c>
      <c r="D10" s="44">
        <f t="shared" si="0"/>
        <v>1.7279800214253953E-9</v>
      </c>
      <c r="E10" s="44">
        <f t="shared" si="1"/>
        <v>4.9519658913943212E-10</v>
      </c>
      <c r="F10" s="38"/>
      <c r="G10" s="38"/>
    </row>
    <row r="11" spans="1:19" ht="33" customHeight="1" thickBot="1" x14ac:dyDescent="0.6">
      <c r="A11" s="43" t="s">
        <v>2</v>
      </c>
      <c r="C11" s="49">
        <f>SUM(C8:C10)</f>
        <v>2699683990647</v>
      </c>
      <c r="D11" s="50">
        <f>SUM(D8:D10)</f>
        <v>1</v>
      </c>
      <c r="E11" s="50">
        <f>SUM(E8:E10)</f>
        <v>0.28657541348825832</v>
      </c>
    </row>
    <row r="12" spans="1:19" ht="23.25" thickTop="1" x14ac:dyDescent="0.55000000000000004"/>
    <row r="13" spans="1:19" x14ac:dyDescent="0.55000000000000004">
      <c r="C13" s="46"/>
    </row>
    <row r="15" spans="1:19" x14ac:dyDescent="0.55000000000000004">
      <c r="B15" s="42"/>
    </row>
    <row r="16" spans="1:19" x14ac:dyDescent="0.55000000000000004">
      <c r="B16" s="42"/>
    </row>
    <row r="17" spans="2:3" x14ac:dyDescent="0.55000000000000004">
      <c r="B17" s="42"/>
      <c r="C17" s="46"/>
    </row>
    <row r="18" spans="2:3" x14ac:dyDescent="0.55000000000000004">
      <c r="B18" s="42"/>
    </row>
    <row r="19" spans="2:3" x14ac:dyDescent="0.55000000000000004">
      <c r="B19" s="42"/>
    </row>
    <row r="20" spans="2:3" x14ac:dyDescent="0.55000000000000004">
      <c r="B20" s="42"/>
      <c r="C20" s="47"/>
    </row>
    <row r="21" spans="2:3" x14ac:dyDescent="0.55000000000000004">
      <c r="B21" s="42"/>
    </row>
    <row r="22" spans="2:3" x14ac:dyDescent="0.55000000000000004">
      <c r="B22" s="42"/>
    </row>
  </sheetData>
  <mergeCells count="4">
    <mergeCell ref="A5:E5"/>
    <mergeCell ref="A3:E3"/>
    <mergeCell ref="A2:E2"/>
    <mergeCell ref="A1:E1"/>
  </mergeCells>
  <pageMargins left="0.70866141732283472" right="0.70866141732283472" top="0.74803149606299213" bottom="0.74803149606299213" header="0.31496062992125984" footer="0.31496062992125984"/>
  <pageSetup scale="8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233"/>
  <sheetViews>
    <sheetView rightToLeft="1" view="pageBreakPreview" topLeftCell="A229" zoomScale="110" zoomScaleNormal="100" zoomScaleSheetLayoutView="110" workbookViewId="0">
      <selection activeCell="L109" sqref="L109"/>
    </sheetView>
  </sheetViews>
  <sheetFormatPr defaultColWidth="9.140625" defaultRowHeight="18.75" x14ac:dyDescent="0.45"/>
  <cols>
    <col min="1" max="1" width="26.140625" style="27" bestFit="1" customWidth="1"/>
    <col min="2" max="2" width="16.140625" style="27" bestFit="1" customWidth="1"/>
    <col min="3" max="3" width="16.42578125" style="27" bestFit="1" customWidth="1"/>
    <col min="4" max="4" width="15.85546875" style="27" bestFit="1" customWidth="1"/>
    <col min="5" max="5" width="16.42578125" style="27" bestFit="1" customWidth="1"/>
    <col min="6" max="6" width="15.140625" style="27" bestFit="1" customWidth="1"/>
    <col min="7" max="7" width="16.140625" style="27" bestFit="1" customWidth="1"/>
    <col min="8" max="8" width="17.5703125" style="27" bestFit="1" customWidth="1"/>
    <col min="9" max="9" width="15.85546875" style="27" bestFit="1" customWidth="1"/>
    <col min="10" max="10" width="17.5703125" style="27" bestFit="1" customWidth="1"/>
    <col min="11" max="11" width="15.140625" style="27" bestFit="1" customWidth="1"/>
    <col min="12" max="16384" width="9.140625" style="27"/>
  </cols>
  <sheetData>
    <row r="1" spans="1:11" ht="21" x14ac:dyDescent="0.55000000000000004">
      <c r="A1" s="92" t="s">
        <v>69</v>
      </c>
      <c r="B1" s="92"/>
      <c r="C1" s="92"/>
      <c r="D1" s="92"/>
      <c r="E1" s="92"/>
      <c r="F1" s="92"/>
      <c r="G1" s="92"/>
      <c r="H1" s="92"/>
      <c r="I1" s="92"/>
      <c r="J1" s="92"/>
      <c r="K1" s="92"/>
    </row>
    <row r="2" spans="1:11" ht="21" x14ac:dyDescent="0.55000000000000004">
      <c r="A2" s="92" t="s">
        <v>61</v>
      </c>
      <c r="B2" s="92"/>
      <c r="C2" s="92"/>
      <c r="D2" s="92"/>
      <c r="E2" s="92"/>
      <c r="F2" s="92"/>
      <c r="G2" s="92"/>
      <c r="H2" s="92"/>
      <c r="I2" s="92"/>
      <c r="J2" s="92"/>
      <c r="K2" s="92"/>
    </row>
    <row r="3" spans="1:11" ht="21" x14ac:dyDescent="0.55000000000000004">
      <c r="A3" s="92" t="s">
        <v>70</v>
      </c>
      <c r="B3" s="92"/>
      <c r="C3" s="92"/>
      <c r="D3" s="92"/>
      <c r="E3" s="92"/>
      <c r="F3" s="92"/>
      <c r="G3" s="92"/>
      <c r="H3" s="92"/>
      <c r="I3" s="92"/>
      <c r="J3" s="92"/>
      <c r="K3" s="92"/>
    </row>
    <row r="5" spans="1:11" ht="21" x14ac:dyDescent="0.45">
      <c r="A5" s="93" t="s">
        <v>27</v>
      </c>
      <c r="B5" s="93"/>
      <c r="C5" s="93"/>
      <c r="D5" s="93"/>
      <c r="E5" s="93"/>
      <c r="F5" s="93"/>
      <c r="G5" s="93"/>
      <c r="H5" s="93"/>
      <c r="I5" s="93"/>
      <c r="J5" s="93"/>
      <c r="K5" s="93"/>
    </row>
    <row r="7" spans="1:11" ht="39.75" customHeight="1" thickBot="1" x14ac:dyDescent="0.5">
      <c r="A7" s="28"/>
      <c r="B7" s="112" t="s">
        <v>67</v>
      </c>
      <c r="C7" s="112"/>
      <c r="D7" s="112"/>
      <c r="E7" s="112"/>
      <c r="F7" s="112"/>
      <c r="G7" s="112" t="s">
        <v>71</v>
      </c>
      <c r="H7" s="112"/>
      <c r="I7" s="112"/>
      <c r="J7" s="112"/>
      <c r="K7" s="112"/>
    </row>
    <row r="8" spans="1:11" ht="19.5" customHeight="1" x14ac:dyDescent="0.45">
      <c r="A8" s="113" t="s">
        <v>23</v>
      </c>
      <c r="B8" s="115" t="s">
        <v>11</v>
      </c>
      <c r="C8" s="115" t="s">
        <v>12</v>
      </c>
      <c r="D8" s="115" t="s">
        <v>13</v>
      </c>
      <c r="E8" s="115" t="s">
        <v>2</v>
      </c>
      <c r="F8" s="115"/>
      <c r="G8" s="115" t="s">
        <v>11</v>
      </c>
      <c r="H8" s="115" t="s">
        <v>12</v>
      </c>
      <c r="I8" s="115" t="s">
        <v>13</v>
      </c>
      <c r="J8" s="115" t="s">
        <v>2</v>
      </c>
      <c r="K8" s="115"/>
    </row>
    <row r="9" spans="1:11" ht="18.75" customHeight="1" thickBot="1" x14ac:dyDescent="0.5">
      <c r="A9" s="113"/>
      <c r="B9" s="116"/>
      <c r="C9" s="116"/>
      <c r="D9" s="116"/>
      <c r="E9" s="112"/>
      <c r="F9" s="112"/>
      <c r="G9" s="116"/>
      <c r="H9" s="116"/>
      <c r="I9" s="116"/>
      <c r="J9" s="112"/>
      <c r="K9" s="112"/>
    </row>
    <row r="10" spans="1:11" ht="47.25" customHeight="1" thickBot="1" x14ac:dyDescent="0.5">
      <c r="A10" s="114"/>
      <c r="B10" s="55" t="s">
        <v>63</v>
      </c>
      <c r="C10" s="55" t="s">
        <v>63</v>
      </c>
      <c r="D10" s="55" t="s">
        <v>63</v>
      </c>
      <c r="E10" s="56" t="s">
        <v>6</v>
      </c>
      <c r="F10" s="56" t="s">
        <v>14</v>
      </c>
      <c r="G10" s="55" t="s">
        <v>63</v>
      </c>
      <c r="H10" s="55" t="s">
        <v>63</v>
      </c>
      <c r="I10" s="55" t="s">
        <v>63</v>
      </c>
      <c r="J10" s="56" t="s">
        <v>6</v>
      </c>
      <c r="K10" s="56" t="s">
        <v>14</v>
      </c>
    </row>
    <row r="11" spans="1:11" x14ac:dyDescent="0.45">
      <c r="A11" s="32" t="s">
        <v>307</v>
      </c>
      <c r="B11" s="32">
        <v>3282166800</v>
      </c>
      <c r="C11" s="32">
        <v>3111298444</v>
      </c>
      <c r="D11" s="32">
        <v>32970218</v>
      </c>
      <c r="E11" s="32">
        <v>6426435462</v>
      </c>
      <c r="F11" s="33">
        <v>1.4709158718213248E-2</v>
      </c>
      <c r="G11" s="32">
        <v>3282166800</v>
      </c>
      <c r="H11" s="32">
        <v>5195015084</v>
      </c>
      <c r="I11" s="32">
        <v>32970218</v>
      </c>
      <c r="J11" s="32">
        <v>8510152102</v>
      </c>
      <c r="K11" s="33">
        <v>3.1522771300208645E-3</v>
      </c>
    </row>
    <row r="12" spans="1:11" x14ac:dyDescent="0.45">
      <c r="A12" s="32" t="s">
        <v>140</v>
      </c>
      <c r="B12" s="32">
        <v>0</v>
      </c>
      <c r="C12" s="32">
        <v>-2015062240</v>
      </c>
      <c r="D12" s="32">
        <v>-74273702</v>
      </c>
      <c r="E12" s="32">
        <v>-2089335942</v>
      </c>
      <c r="F12" s="33">
        <v>-4.7821804433061605E-3</v>
      </c>
      <c r="G12" s="32">
        <v>0</v>
      </c>
      <c r="H12" s="32">
        <v>-3995834942</v>
      </c>
      <c r="I12" s="32">
        <v>-74273702</v>
      </c>
      <c r="J12" s="32">
        <v>-4070108644</v>
      </c>
      <c r="K12" s="33">
        <v>-1.5076240990059607E-3</v>
      </c>
    </row>
    <row r="13" spans="1:11" x14ac:dyDescent="0.45">
      <c r="A13" s="32" t="s">
        <v>156</v>
      </c>
      <c r="B13" s="32">
        <v>6704361535</v>
      </c>
      <c r="C13" s="32">
        <v>-11650002802</v>
      </c>
      <c r="D13" s="32">
        <v>3845973021</v>
      </c>
      <c r="E13" s="32">
        <v>-1099668246</v>
      </c>
      <c r="F13" s="33">
        <v>-2.5169777030265568E-3</v>
      </c>
      <c r="G13" s="32">
        <v>6704361535</v>
      </c>
      <c r="H13" s="32">
        <v>2863878037</v>
      </c>
      <c r="I13" s="32">
        <v>3845973021</v>
      </c>
      <c r="J13" s="32">
        <v>13414212593</v>
      </c>
      <c r="K13" s="33">
        <v>4.9688084381258194E-3</v>
      </c>
    </row>
    <row r="14" spans="1:11" x14ac:dyDescent="0.45">
      <c r="A14" s="32" t="s">
        <v>150</v>
      </c>
      <c r="B14" s="32">
        <v>0</v>
      </c>
      <c r="C14" s="32">
        <v>-9178762960</v>
      </c>
      <c r="D14" s="32">
        <v>-290503649</v>
      </c>
      <c r="E14" s="32">
        <v>-9469266609</v>
      </c>
      <c r="F14" s="33">
        <v>-2.1673748428730107E-2</v>
      </c>
      <c r="G14" s="32">
        <v>2864396600</v>
      </c>
      <c r="H14" s="32">
        <v>-9136498813</v>
      </c>
      <c r="I14" s="32">
        <v>-290503649</v>
      </c>
      <c r="J14" s="32">
        <v>-6562605862</v>
      </c>
      <c r="K14" s="33">
        <v>-2.430879275032194E-3</v>
      </c>
    </row>
    <row r="15" spans="1:11" x14ac:dyDescent="0.45">
      <c r="A15" s="32" t="s">
        <v>308</v>
      </c>
      <c r="B15" s="32">
        <v>0</v>
      </c>
      <c r="C15" s="32">
        <v>-6486585681</v>
      </c>
      <c r="D15" s="32">
        <v>0</v>
      </c>
      <c r="E15" s="32">
        <v>-6486585681</v>
      </c>
      <c r="F15" s="33">
        <v>-1.4846833658456238E-2</v>
      </c>
      <c r="G15" s="32">
        <v>0</v>
      </c>
      <c r="H15" s="32">
        <v>-7903573853</v>
      </c>
      <c r="I15" s="32">
        <v>0</v>
      </c>
      <c r="J15" s="32">
        <v>-7903573853</v>
      </c>
      <c r="K15" s="33">
        <v>-2.9275922220459026E-3</v>
      </c>
    </row>
    <row r="16" spans="1:11" x14ac:dyDescent="0.45">
      <c r="A16" s="32" t="s">
        <v>163</v>
      </c>
      <c r="B16" s="32">
        <v>0</v>
      </c>
      <c r="C16" s="32">
        <v>-2265813488</v>
      </c>
      <c r="D16" s="32">
        <v>359364620</v>
      </c>
      <c r="E16" s="32">
        <v>-1906448868</v>
      </c>
      <c r="F16" s="33">
        <v>-4.3635790250109848E-3</v>
      </c>
      <c r="G16" s="32">
        <v>0</v>
      </c>
      <c r="H16" s="32">
        <v>14647546792</v>
      </c>
      <c r="I16" s="32">
        <v>203010820</v>
      </c>
      <c r="J16" s="32">
        <v>14850557612</v>
      </c>
      <c r="K16" s="33">
        <v>5.500850345243908E-3</v>
      </c>
    </row>
    <row r="17" spans="1:11" x14ac:dyDescent="0.45">
      <c r="A17" s="32" t="s">
        <v>309</v>
      </c>
      <c r="B17" s="32">
        <v>0</v>
      </c>
      <c r="C17" s="32">
        <v>-2682000610</v>
      </c>
      <c r="D17" s="32">
        <v>0</v>
      </c>
      <c r="E17" s="32">
        <v>-2682000610</v>
      </c>
      <c r="F17" s="33">
        <v>-6.1387020671265476E-3</v>
      </c>
      <c r="G17" s="32">
        <v>0</v>
      </c>
      <c r="H17" s="32">
        <v>-1742816281</v>
      </c>
      <c r="I17" s="32">
        <v>0</v>
      </c>
      <c r="J17" s="32">
        <v>-1742816281</v>
      </c>
      <c r="K17" s="33">
        <v>-6.4556306850651831E-4</v>
      </c>
    </row>
    <row r="18" spans="1:11" x14ac:dyDescent="0.45">
      <c r="A18" s="32" t="s">
        <v>310</v>
      </c>
      <c r="B18" s="32">
        <v>0</v>
      </c>
      <c r="C18" s="32">
        <v>-5597068504</v>
      </c>
      <c r="D18" s="32">
        <v>0</v>
      </c>
      <c r="E18" s="32">
        <v>-5597068504</v>
      </c>
      <c r="F18" s="33">
        <v>-1.2810860619212794E-2</v>
      </c>
      <c r="G18" s="32">
        <v>926433360</v>
      </c>
      <c r="H18" s="32">
        <v>-4056210027</v>
      </c>
      <c r="I18" s="32">
        <v>0</v>
      </c>
      <c r="J18" s="32">
        <v>-3129776667</v>
      </c>
      <c r="K18" s="33">
        <v>-1.1593122298176554E-3</v>
      </c>
    </row>
    <row r="19" spans="1:11" x14ac:dyDescent="0.45">
      <c r="A19" s="32" t="s">
        <v>181</v>
      </c>
      <c r="B19" s="32">
        <v>3890354400</v>
      </c>
      <c r="C19" s="32">
        <v>6514225808</v>
      </c>
      <c r="D19" s="32">
        <v>0</v>
      </c>
      <c r="E19" s="32">
        <v>10404580208</v>
      </c>
      <c r="F19" s="33">
        <v>2.3814542693349188E-2</v>
      </c>
      <c r="G19" s="32">
        <v>3890354400</v>
      </c>
      <c r="H19" s="32">
        <v>21071318620</v>
      </c>
      <c r="I19" s="32">
        <v>0</v>
      </c>
      <c r="J19" s="32">
        <v>24961673020</v>
      </c>
      <c r="K19" s="33">
        <v>9.2461462550725224E-3</v>
      </c>
    </row>
    <row r="20" spans="1:11" x14ac:dyDescent="0.45">
      <c r="A20" s="32" t="s">
        <v>89</v>
      </c>
      <c r="B20" s="32">
        <v>0</v>
      </c>
      <c r="C20" s="32">
        <v>-4096935522</v>
      </c>
      <c r="D20" s="32">
        <v>0</v>
      </c>
      <c r="E20" s="32">
        <v>-4096935522</v>
      </c>
      <c r="F20" s="33">
        <v>-9.3772784629551527E-3</v>
      </c>
      <c r="G20" s="32">
        <v>0</v>
      </c>
      <c r="H20" s="32">
        <v>5464644327</v>
      </c>
      <c r="I20" s="32">
        <v>-372</v>
      </c>
      <c r="J20" s="32">
        <v>5464643955</v>
      </c>
      <c r="K20" s="33">
        <v>2.0241791164936885E-3</v>
      </c>
    </row>
    <row r="21" spans="1:11" x14ac:dyDescent="0.45">
      <c r="A21" s="32" t="s">
        <v>125</v>
      </c>
      <c r="B21" s="32">
        <v>4794689120</v>
      </c>
      <c r="C21" s="32">
        <v>-8069753455</v>
      </c>
      <c r="D21" s="32">
        <v>5278952179</v>
      </c>
      <c r="E21" s="32">
        <v>2003887844</v>
      </c>
      <c r="F21" s="33">
        <v>4.5866024058259106E-3</v>
      </c>
      <c r="G21" s="32">
        <v>4794689120</v>
      </c>
      <c r="H21" s="32">
        <v>6298621589</v>
      </c>
      <c r="I21" s="32">
        <v>5278952179</v>
      </c>
      <c r="J21" s="32">
        <v>16372262888</v>
      </c>
      <c r="K21" s="33">
        <v>6.0645108630200317E-3</v>
      </c>
    </row>
    <row r="22" spans="1:11" x14ac:dyDescent="0.45">
      <c r="A22" s="32" t="s">
        <v>311</v>
      </c>
      <c r="B22" s="32">
        <v>5115878400</v>
      </c>
      <c r="C22" s="32">
        <v>-3278378730</v>
      </c>
      <c r="D22" s="32">
        <v>3311247000</v>
      </c>
      <c r="E22" s="32">
        <v>5148746670</v>
      </c>
      <c r="F22" s="33">
        <v>1.1784718358524134E-2</v>
      </c>
      <c r="G22" s="32">
        <v>5115878400</v>
      </c>
      <c r="H22" s="32">
        <v>17715061784</v>
      </c>
      <c r="I22" s="32">
        <v>3311247000</v>
      </c>
      <c r="J22" s="32">
        <v>26142187184</v>
      </c>
      <c r="K22" s="33">
        <v>9.6834249025326939E-3</v>
      </c>
    </row>
    <row r="23" spans="1:11" x14ac:dyDescent="0.45">
      <c r="A23" s="32" t="s">
        <v>312</v>
      </c>
      <c r="B23" s="32">
        <v>0</v>
      </c>
      <c r="C23" s="32">
        <v>-4109374416</v>
      </c>
      <c r="D23" s="32">
        <v>0</v>
      </c>
      <c r="E23" s="32">
        <v>-4109374416</v>
      </c>
      <c r="F23" s="33">
        <v>-9.4057492485417997E-3</v>
      </c>
      <c r="G23" s="32">
        <v>0</v>
      </c>
      <c r="H23" s="32">
        <v>978608138</v>
      </c>
      <c r="I23" s="32">
        <v>0</v>
      </c>
      <c r="J23" s="32">
        <v>978608138</v>
      </c>
      <c r="K23" s="33">
        <v>3.6248988451625003E-4</v>
      </c>
    </row>
    <row r="24" spans="1:11" x14ac:dyDescent="0.45">
      <c r="A24" s="32" t="s">
        <v>192</v>
      </c>
      <c r="B24" s="32">
        <v>0</v>
      </c>
      <c r="C24" s="32">
        <v>2450162698</v>
      </c>
      <c r="D24" s="32">
        <v>0</v>
      </c>
      <c r="E24" s="32">
        <v>2450162698</v>
      </c>
      <c r="F24" s="33">
        <v>5.6080594325476152E-3</v>
      </c>
      <c r="G24" s="32">
        <v>997500000</v>
      </c>
      <c r="H24" s="32">
        <v>2547405158</v>
      </c>
      <c r="I24" s="32">
        <v>0</v>
      </c>
      <c r="J24" s="32">
        <v>3544905158</v>
      </c>
      <c r="K24" s="33">
        <v>1.3130815200153986E-3</v>
      </c>
    </row>
    <row r="25" spans="1:11" x14ac:dyDescent="0.45">
      <c r="A25" s="32" t="s">
        <v>168</v>
      </c>
      <c r="B25" s="32">
        <v>6436395882</v>
      </c>
      <c r="C25" s="32">
        <v>25533829754</v>
      </c>
      <c r="D25" s="32">
        <v>2210921136</v>
      </c>
      <c r="E25" s="32">
        <v>34181146772</v>
      </c>
      <c r="F25" s="33">
        <v>7.8235581141807536E-2</v>
      </c>
      <c r="G25" s="32">
        <v>6436395882</v>
      </c>
      <c r="H25" s="32">
        <v>57047059167</v>
      </c>
      <c r="I25" s="32">
        <v>2210921136</v>
      </c>
      <c r="J25" s="32">
        <v>65694376185</v>
      </c>
      <c r="K25" s="33">
        <v>2.433409851397305E-2</v>
      </c>
    </row>
    <row r="26" spans="1:11" x14ac:dyDescent="0.45">
      <c r="A26" s="32" t="s">
        <v>88</v>
      </c>
      <c r="B26" s="32">
        <v>10857176050</v>
      </c>
      <c r="C26" s="32">
        <v>-31197831597</v>
      </c>
      <c r="D26" s="32">
        <v>-382953987</v>
      </c>
      <c r="E26" s="32">
        <v>-20723609534</v>
      </c>
      <c r="F26" s="33">
        <v>-4.7433272091869219E-2</v>
      </c>
      <c r="G26" s="32">
        <v>10857176050</v>
      </c>
      <c r="H26" s="32">
        <v>-11975314796</v>
      </c>
      <c r="I26" s="32">
        <v>-382953987</v>
      </c>
      <c r="J26" s="32">
        <v>-1501092733</v>
      </c>
      <c r="K26" s="33">
        <v>-5.5602534896695508E-4</v>
      </c>
    </row>
    <row r="27" spans="1:11" x14ac:dyDescent="0.45">
      <c r="A27" s="32" t="s">
        <v>174</v>
      </c>
      <c r="B27" s="32">
        <v>947850150</v>
      </c>
      <c r="C27" s="32">
        <v>-785801198</v>
      </c>
      <c r="D27" s="32">
        <v>-14938149</v>
      </c>
      <c r="E27" s="32">
        <v>147110803</v>
      </c>
      <c r="F27" s="33">
        <v>3.367148341076426E-4</v>
      </c>
      <c r="G27" s="32">
        <v>947850150</v>
      </c>
      <c r="H27" s="32">
        <v>-292966310</v>
      </c>
      <c r="I27" s="32">
        <v>-102240260</v>
      </c>
      <c r="J27" s="32">
        <v>552643580</v>
      </c>
      <c r="K27" s="33">
        <v>2.0470676638992651E-4</v>
      </c>
    </row>
    <row r="28" spans="1:11" x14ac:dyDescent="0.45">
      <c r="A28" s="32" t="s">
        <v>313</v>
      </c>
      <c r="B28" s="32">
        <v>0</v>
      </c>
      <c r="C28" s="32">
        <v>-558151875</v>
      </c>
      <c r="D28" s="32">
        <v>0</v>
      </c>
      <c r="E28" s="32">
        <v>-558151875</v>
      </c>
      <c r="F28" s="33">
        <v>-1.2775269535949354E-3</v>
      </c>
      <c r="G28" s="32">
        <v>0</v>
      </c>
      <c r="H28" s="32">
        <v>4725685875</v>
      </c>
      <c r="I28" s="32">
        <v>0</v>
      </c>
      <c r="J28" s="32">
        <v>4725685875</v>
      </c>
      <c r="K28" s="33">
        <v>1.7504589023648849E-3</v>
      </c>
    </row>
    <row r="29" spans="1:11" x14ac:dyDescent="0.45">
      <c r="A29" s="32" t="s">
        <v>314</v>
      </c>
      <c r="B29" s="32">
        <v>0</v>
      </c>
      <c r="C29" s="32">
        <v>-830529990</v>
      </c>
      <c r="D29" s="32">
        <v>0</v>
      </c>
      <c r="E29" s="32">
        <v>-830529990</v>
      </c>
      <c r="F29" s="33">
        <v>-1.9009601069492638E-3</v>
      </c>
      <c r="G29" s="32">
        <v>0</v>
      </c>
      <c r="H29" s="32">
        <v>1067186385</v>
      </c>
      <c r="I29" s="32">
        <v>0</v>
      </c>
      <c r="J29" s="32">
        <v>1067186385</v>
      </c>
      <c r="K29" s="33">
        <v>3.9530048283326693E-4</v>
      </c>
    </row>
    <row r="30" spans="1:11" x14ac:dyDescent="0.45">
      <c r="A30" s="32" t="s">
        <v>123</v>
      </c>
      <c r="B30" s="32">
        <v>0</v>
      </c>
      <c r="C30" s="32">
        <v>2674969325</v>
      </c>
      <c r="D30" s="32">
        <v>0</v>
      </c>
      <c r="E30" s="32">
        <v>2674969325</v>
      </c>
      <c r="F30" s="33">
        <v>6.12260849742223E-3</v>
      </c>
      <c r="G30" s="32">
        <v>2150547600</v>
      </c>
      <c r="H30" s="32">
        <v>4701556044</v>
      </c>
      <c r="I30" s="32">
        <v>25166163</v>
      </c>
      <c r="J30" s="32">
        <v>6877269807</v>
      </c>
      <c r="K30" s="33">
        <v>2.5474351186383888E-3</v>
      </c>
    </row>
    <row r="31" spans="1:11" x14ac:dyDescent="0.45">
      <c r="A31" s="32" t="s">
        <v>97</v>
      </c>
      <c r="B31" s="32">
        <v>7661809400</v>
      </c>
      <c r="C31" s="32">
        <v>-12534991518</v>
      </c>
      <c r="D31" s="32">
        <v>0</v>
      </c>
      <c r="E31" s="32">
        <v>-4873182118</v>
      </c>
      <c r="F31" s="33">
        <v>-1.1153991922936484E-2</v>
      </c>
      <c r="G31" s="32">
        <v>7661809400</v>
      </c>
      <c r="H31" s="32">
        <v>-12170117169</v>
      </c>
      <c r="I31" s="32">
        <v>103507791</v>
      </c>
      <c r="J31" s="32">
        <v>-4404799978</v>
      </c>
      <c r="K31" s="33">
        <v>-1.6315983623492007E-3</v>
      </c>
    </row>
    <row r="32" spans="1:11" x14ac:dyDescent="0.45">
      <c r="A32" s="32" t="s">
        <v>315</v>
      </c>
      <c r="B32" s="32">
        <v>0</v>
      </c>
      <c r="C32" s="32">
        <v>-961137529</v>
      </c>
      <c r="D32" s="32">
        <v>0</v>
      </c>
      <c r="E32" s="32">
        <v>-961137529</v>
      </c>
      <c r="F32" s="33">
        <v>-2.1999014146626915E-3</v>
      </c>
      <c r="G32" s="32">
        <v>0</v>
      </c>
      <c r="H32" s="32">
        <v>1544291415</v>
      </c>
      <c r="I32" s="32">
        <v>0</v>
      </c>
      <c r="J32" s="32">
        <v>1544291415</v>
      </c>
      <c r="K32" s="33">
        <v>5.7202673362888616E-4</v>
      </c>
    </row>
    <row r="33" spans="1:11" x14ac:dyDescent="0.45">
      <c r="A33" s="32" t="s">
        <v>91</v>
      </c>
      <c r="B33" s="32">
        <v>3743002160</v>
      </c>
      <c r="C33" s="32">
        <v>-7812351516</v>
      </c>
      <c r="D33" s="32">
        <v>0</v>
      </c>
      <c r="E33" s="32">
        <v>-4069349356</v>
      </c>
      <c r="F33" s="33">
        <v>-9.3141378157767397E-3</v>
      </c>
      <c r="G33" s="32">
        <v>3743002160</v>
      </c>
      <c r="H33" s="32">
        <v>-8859348059</v>
      </c>
      <c r="I33" s="32">
        <v>-45569364</v>
      </c>
      <c r="J33" s="32">
        <v>-5161915263</v>
      </c>
      <c r="K33" s="33">
        <v>-1.9120442543954588E-3</v>
      </c>
    </row>
    <row r="34" spans="1:11" x14ac:dyDescent="0.45">
      <c r="A34" s="32" t="s">
        <v>132</v>
      </c>
      <c r="B34" s="32">
        <v>0</v>
      </c>
      <c r="C34" s="32">
        <v>-4665417721</v>
      </c>
      <c r="D34" s="32">
        <v>138609437</v>
      </c>
      <c r="E34" s="32">
        <v>-4526808284</v>
      </c>
      <c r="F34" s="33">
        <v>-1.0361193531002358E-2</v>
      </c>
      <c r="G34" s="32">
        <v>0</v>
      </c>
      <c r="H34" s="32">
        <v>-1264680107</v>
      </c>
      <c r="I34" s="32">
        <v>138609437</v>
      </c>
      <c r="J34" s="32">
        <v>-1126070670</v>
      </c>
      <c r="K34" s="33">
        <v>-4.1711203011213493E-4</v>
      </c>
    </row>
    <row r="35" spans="1:11" x14ac:dyDescent="0.45">
      <c r="A35" s="32" t="s">
        <v>316</v>
      </c>
      <c r="B35" s="32">
        <v>4085247420</v>
      </c>
      <c r="C35" s="32">
        <v>-25662080809</v>
      </c>
      <c r="D35" s="32">
        <v>1440038871</v>
      </c>
      <c r="E35" s="32">
        <v>-20136794518</v>
      </c>
      <c r="F35" s="33">
        <v>-4.6090139454871011E-2</v>
      </c>
      <c r="G35" s="32">
        <v>4085247420</v>
      </c>
      <c r="H35" s="32">
        <v>-7710419824</v>
      </c>
      <c r="I35" s="32">
        <v>1440038871</v>
      </c>
      <c r="J35" s="32">
        <v>-2185133533</v>
      </c>
      <c r="K35" s="33">
        <v>-8.0940344891118751E-4</v>
      </c>
    </row>
    <row r="36" spans="1:11" x14ac:dyDescent="0.45">
      <c r="A36" s="32" t="s">
        <v>235</v>
      </c>
      <c r="B36" s="32">
        <v>0</v>
      </c>
      <c r="C36" s="32">
        <v>1293709243</v>
      </c>
      <c r="D36" s="32">
        <v>0</v>
      </c>
      <c r="E36" s="32">
        <v>1293709243</v>
      </c>
      <c r="F36" s="33">
        <v>2.961108798653413E-3</v>
      </c>
      <c r="G36" s="32">
        <v>2450882868</v>
      </c>
      <c r="H36" s="32">
        <v>5346657729</v>
      </c>
      <c r="I36" s="32">
        <v>0</v>
      </c>
      <c r="J36" s="32">
        <v>7797540597</v>
      </c>
      <c r="K36" s="33">
        <v>2.8883160488466131E-3</v>
      </c>
    </row>
    <row r="37" spans="1:11" x14ac:dyDescent="0.45">
      <c r="A37" s="32" t="s">
        <v>135</v>
      </c>
      <c r="B37" s="32">
        <v>4962890750</v>
      </c>
      <c r="C37" s="32">
        <v>-3186459039</v>
      </c>
      <c r="D37" s="32">
        <v>0</v>
      </c>
      <c r="E37" s="32">
        <v>1776431711</v>
      </c>
      <c r="F37" s="33">
        <v>4.0659890142324944E-3</v>
      </c>
      <c r="G37" s="32">
        <v>4962890750</v>
      </c>
      <c r="H37" s="32">
        <v>6662876129</v>
      </c>
      <c r="I37" s="32">
        <v>-6111</v>
      </c>
      <c r="J37" s="32">
        <v>11625760768</v>
      </c>
      <c r="K37" s="33">
        <v>4.3063413378296167E-3</v>
      </c>
    </row>
    <row r="38" spans="1:11" x14ac:dyDescent="0.45">
      <c r="A38" s="32" t="s">
        <v>272</v>
      </c>
      <c r="B38" s="32">
        <v>1426212732</v>
      </c>
      <c r="C38" s="32">
        <v>-2855204077</v>
      </c>
      <c r="D38" s="32">
        <v>0</v>
      </c>
      <c r="E38" s="32">
        <v>-1428991345</v>
      </c>
      <c r="F38" s="33">
        <v>-3.2707494885534142E-3</v>
      </c>
      <c r="G38" s="32">
        <v>1426212732</v>
      </c>
      <c r="H38" s="32">
        <v>9879419294</v>
      </c>
      <c r="I38" s="32">
        <v>0</v>
      </c>
      <c r="J38" s="32">
        <v>11305632026</v>
      </c>
      <c r="K38" s="33">
        <v>4.1877612584169596E-3</v>
      </c>
    </row>
    <row r="39" spans="1:11" x14ac:dyDescent="0.45">
      <c r="A39" s="32" t="s">
        <v>267</v>
      </c>
      <c r="B39" s="32">
        <v>2597904400</v>
      </c>
      <c r="C39" s="32">
        <v>-966683475</v>
      </c>
      <c r="D39" s="32">
        <v>0</v>
      </c>
      <c r="E39" s="32">
        <v>1631220925</v>
      </c>
      <c r="F39" s="33">
        <v>3.7336230375568701E-3</v>
      </c>
      <c r="G39" s="32">
        <v>2597904400</v>
      </c>
      <c r="H39" s="32">
        <v>9502497420</v>
      </c>
      <c r="I39" s="32">
        <v>0</v>
      </c>
      <c r="J39" s="32">
        <v>12100401820</v>
      </c>
      <c r="K39" s="33">
        <v>4.4821548973589479E-3</v>
      </c>
    </row>
    <row r="40" spans="1:11" x14ac:dyDescent="0.45">
      <c r="A40" s="32" t="s">
        <v>250</v>
      </c>
      <c r="B40" s="32">
        <v>0</v>
      </c>
      <c r="C40" s="32">
        <v>2062538296</v>
      </c>
      <c r="D40" s="32">
        <v>0</v>
      </c>
      <c r="E40" s="32">
        <v>2062538296</v>
      </c>
      <c r="F40" s="33">
        <v>4.7208446015912231E-3</v>
      </c>
      <c r="G40" s="32">
        <v>2500717640</v>
      </c>
      <c r="H40" s="32">
        <v>5817158981</v>
      </c>
      <c r="I40" s="32">
        <v>0</v>
      </c>
      <c r="J40" s="32">
        <v>8317876621</v>
      </c>
      <c r="K40" s="33">
        <v>3.0810556531124062E-3</v>
      </c>
    </row>
    <row r="41" spans="1:11" x14ac:dyDescent="0.45">
      <c r="A41" s="32" t="s">
        <v>173</v>
      </c>
      <c r="B41" s="32">
        <v>5794283250</v>
      </c>
      <c r="C41" s="32">
        <v>4609754486</v>
      </c>
      <c r="D41" s="32">
        <v>1773017067</v>
      </c>
      <c r="E41" s="32">
        <v>12177054803</v>
      </c>
      <c r="F41" s="33">
        <v>2.7871474455290802E-2</v>
      </c>
      <c r="G41" s="32">
        <v>5794283250</v>
      </c>
      <c r="H41" s="32">
        <v>21049392382</v>
      </c>
      <c r="I41" s="32">
        <v>1773017067</v>
      </c>
      <c r="J41" s="32">
        <v>28616692699</v>
      </c>
      <c r="K41" s="33">
        <v>1.0600015704853586E-2</v>
      </c>
    </row>
    <row r="42" spans="1:11" x14ac:dyDescent="0.45">
      <c r="A42" s="32" t="s">
        <v>317</v>
      </c>
      <c r="B42" s="32">
        <v>0</v>
      </c>
      <c r="C42" s="32">
        <v>-655623252</v>
      </c>
      <c r="D42" s="32">
        <v>0</v>
      </c>
      <c r="E42" s="32">
        <v>-655623252</v>
      </c>
      <c r="F42" s="33">
        <v>-1.5006244954987647E-3</v>
      </c>
      <c r="G42" s="32">
        <v>0</v>
      </c>
      <c r="H42" s="32">
        <v>1873209290</v>
      </c>
      <c r="I42" s="32">
        <v>0</v>
      </c>
      <c r="J42" s="32">
        <v>1873209290</v>
      </c>
      <c r="K42" s="33">
        <v>6.938624285248552E-4</v>
      </c>
    </row>
    <row r="43" spans="1:11" x14ac:dyDescent="0.45">
      <c r="A43" s="32" t="s">
        <v>318</v>
      </c>
      <c r="B43" s="32">
        <v>0</v>
      </c>
      <c r="C43" s="32">
        <v>2110113347</v>
      </c>
      <c r="D43" s="32">
        <v>0</v>
      </c>
      <c r="E43" s="32">
        <v>2110113347</v>
      </c>
      <c r="F43" s="33">
        <v>4.8297368452500898E-3</v>
      </c>
      <c r="G43" s="32">
        <v>0</v>
      </c>
      <c r="H43" s="32">
        <v>5283723686</v>
      </c>
      <c r="I43" s="32">
        <v>0</v>
      </c>
      <c r="J43" s="32">
        <v>5283723686</v>
      </c>
      <c r="K43" s="33">
        <v>1.9571637659464413E-3</v>
      </c>
    </row>
    <row r="44" spans="1:11" x14ac:dyDescent="0.45">
      <c r="A44" s="32" t="s">
        <v>84</v>
      </c>
      <c r="B44" s="32">
        <v>0</v>
      </c>
      <c r="C44" s="32">
        <v>-3067100979</v>
      </c>
      <c r="D44" s="32">
        <v>0</v>
      </c>
      <c r="E44" s="32">
        <v>-3067100979</v>
      </c>
      <c r="F44" s="33">
        <v>-7.0201397604727454E-3</v>
      </c>
      <c r="G44" s="32">
        <v>2367178800</v>
      </c>
      <c r="H44" s="32">
        <v>-536932284</v>
      </c>
      <c r="I44" s="32">
        <v>-935000</v>
      </c>
      <c r="J44" s="32">
        <v>1829311516</v>
      </c>
      <c r="K44" s="33">
        <v>6.7760209059194055E-4</v>
      </c>
    </row>
    <row r="45" spans="1:11" x14ac:dyDescent="0.45">
      <c r="A45" s="32" t="s">
        <v>116</v>
      </c>
      <c r="B45" s="32">
        <v>0</v>
      </c>
      <c r="C45" s="32">
        <v>-9067260377</v>
      </c>
      <c r="D45" s="32">
        <v>1588589186</v>
      </c>
      <c r="E45" s="32">
        <v>-7478671191</v>
      </c>
      <c r="F45" s="33">
        <v>-1.7117570416791017E-2</v>
      </c>
      <c r="G45" s="32">
        <v>1696622400</v>
      </c>
      <c r="H45" s="32">
        <v>-1618436157</v>
      </c>
      <c r="I45" s="32">
        <v>1588589186</v>
      </c>
      <c r="J45" s="32">
        <v>1666775429</v>
      </c>
      <c r="K45" s="33">
        <v>6.173964933579298E-4</v>
      </c>
    </row>
    <row r="46" spans="1:11" x14ac:dyDescent="0.45">
      <c r="A46" s="32" t="s">
        <v>175</v>
      </c>
      <c r="B46" s="32">
        <v>964920240</v>
      </c>
      <c r="C46" s="32">
        <v>-5313910806</v>
      </c>
      <c r="D46" s="32">
        <v>0</v>
      </c>
      <c r="E46" s="32">
        <v>-4348990566</v>
      </c>
      <c r="F46" s="33">
        <v>-9.9541951175835322E-3</v>
      </c>
      <c r="G46" s="32">
        <v>964920240</v>
      </c>
      <c r="H46" s="32">
        <v>-2132081185</v>
      </c>
      <c r="I46" s="32">
        <v>32753698</v>
      </c>
      <c r="J46" s="32">
        <v>-1134407247</v>
      </c>
      <c r="K46" s="33">
        <v>-4.2020001264226876E-4</v>
      </c>
    </row>
    <row r="47" spans="1:11" x14ac:dyDescent="0.45">
      <c r="A47" s="32" t="s">
        <v>277</v>
      </c>
      <c r="B47" s="32">
        <v>0</v>
      </c>
      <c r="C47" s="32">
        <v>4713194287</v>
      </c>
      <c r="D47" s="32">
        <v>0</v>
      </c>
      <c r="E47" s="32">
        <v>4713194287</v>
      </c>
      <c r="F47" s="33">
        <v>1.078780347942424E-2</v>
      </c>
      <c r="G47" s="32">
        <v>2638839500</v>
      </c>
      <c r="H47" s="32">
        <v>30149976221</v>
      </c>
      <c r="I47" s="32">
        <v>0</v>
      </c>
      <c r="J47" s="32">
        <v>32788815721</v>
      </c>
      <c r="K47" s="33">
        <v>1.2145427329493445E-2</v>
      </c>
    </row>
    <row r="48" spans="1:11" x14ac:dyDescent="0.45">
      <c r="A48" s="32" t="s">
        <v>319</v>
      </c>
      <c r="B48" s="32">
        <v>6171223200</v>
      </c>
      <c r="C48" s="32">
        <v>-10393175918</v>
      </c>
      <c r="D48" s="32">
        <v>118483647</v>
      </c>
      <c r="E48" s="32">
        <v>-4103469071</v>
      </c>
      <c r="F48" s="33">
        <v>-9.3922327886933454E-3</v>
      </c>
      <c r="G48" s="32">
        <v>6171223200</v>
      </c>
      <c r="H48" s="32">
        <v>-7038251120</v>
      </c>
      <c r="I48" s="32">
        <v>118483647</v>
      </c>
      <c r="J48" s="32">
        <v>-748544273</v>
      </c>
      <c r="K48" s="33">
        <v>-2.7727107157479036E-4</v>
      </c>
    </row>
    <row r="49" spans="1:11" x14ac:dyDescent="0.45">
      <c r="A49" s="32" t="s">
        <v>320</v>
      </c>
      <c r="B49" s="32">
        <v>0</v>
      </c>
      <c r="C49" s="32">
        <v>-1104787309</v>
      </c>
      <c r="D49" s="32">
        <v>320760029</v>
      </c>
      <c r="E49" s="32">
        <v>-784027280</v>
      </c>
      <c r="F49" s="33">
        <v>-1.7945222929757665E-3</v>
      </c>
      <c r="G49" s="32">
        <v>0</v>
      </c>
      <c r="H49" s="32">
        <v>1188659054</v>
      </c>
      <c r="I49" s="32">
        <v>320760029</v>
      </c>
      <c r="J49" s="32">
        <v>1509419083</v>
      </c>
      <c r="K49" s="33">
        <v>5.5910954327593586E-4</v>
      </c>
    </row>
    <row r="50" spans="1:11" x14ac:dyDescent="0.45">
      <c r="A50" s="32" t="s">
        <v>321</v>
      </c>
      <c r="B50" s="32">
        <v>0</v>
      </c>
      <c r="C50" s="32">
        <v>-5729714830</v>
      </c>
      <c r="D50" s="32">
        <v>0</v>
      </c>
      <c r="E50" s="32">
        <v>-5729714830</v>
      </c>
      <c r="F50" s="33">
        <v>-1.3114468408329942E-2</v>
      </c>
      <c r="G50" s="32">
        <v>0</v>
      </c>
      <c r="H50" s="32">
        <v>11010040262</v>
      </c>
      <c r="I50" s="32">
        <v>0</v>
      </c>
      <c r="J50" s="32">
        <v>11010040262</v>
      </c>
      <c r="K50" s="33">
        <v>4.0782700123955466E-3</v>
      </c>
    </row>
    <row r="51" spans="1:11" x14ac:dyDescent="0.45">
      <c r="A51" s="32" t="s">
        <v>322</v>
      </c>
      <c r="B51" s="32">
        <v>0</v>
      </c>
      <c r="C51" s="32">
        <v>0</v>
      </c>
      <c r="D51" s="32">
        <v>0</v>
      </c>
      <c r="E51" s="32">
        <v>0</v>
      </c>
      <c r="F51" s="33">
        <v>0</v>
      </c>
      <c r="G51" s="32">
        <v>0</v>
      </c>
      <c r="H51" s="32">
        <v>-7609759878</v>
      </c>
      <c r="I51" s="32">
        <v>0</v>
      </c>
      <c r="J51" s="32">
        <v>-7609759878</v>
      </c>
      <c r="K51" s="33">
        <v>-2.8187594934680716E-3</v>
      </c>
    </row>
    <row r="52" spans="1:11" x14ac:dyDescent="0.45">
      <c r="A52" s="32" t="s">
        <v>323</v>
      </c>
      <c r="B52" s="32">
        <v>0</v>
      </c>
      <c r="C52" s="32">
        <v>9875914628</v>
      </c>
      <c r="D52" s="32">
        <v>0</v>
      </c>
      <c r="E52" s="32">
        <v>9875914628</v>
      </c>
      <c r="F52" s="33">
        <v>2.2604505500716091E-2</v>
      </c>
      <c r="G52" s="32">
        <v>0</v>
      </c>
      <c r="H52" s="32">
        <v>36120243316</v>
      </c>
      <c r="I52" s="32">
        <v>0</v>
      </c>
      <c r="J52" s="32">
        <v>36120243316</v>
      </c>
      <c r="K52" s="33">
        <v>1.3379433830454915E-2</v>
      </c>
    </row>
    <row r="53" spans="1:11" x14ac:dyDescent="0.45">
      <c r="A53" s="32" t="s">
        <v>259</v>
      </c>
      <c r="B53" s="32">
        <v>5927112280</v>
      </c>
      <c r="C53" s="32">
        <v>-10321382804</v>
      </c>
      <c r="D53" s="32">
        <v>0</v>
      </c>
      <c r="E53" s="32">
        <v>-4394270524</v>
      </c>
      <c r="F53" s="33">
        <v>-1.0057834233375531E-2</v>
      </c>
      <c r="G53" s="32">
        <v>5927112280</v>
      </c>
      <c r="H53" s="32">
        <v>12170205958</v>
      </c>
      <c r="I53" s="32">
        <v>0</v>
      </c>
      <c r="J53" s="32">
        <v>18097318238</v>
      </c>
      <c r="K53" s="33">
        <v>6.7034950389370717E-3</v>
      </c>
    </row>
    <row r="54" spans="1:11" x14ac:dyDescent="0.45">
      <c r="A54" s="32" t="s">
        <v>274</v>
      </c>
      <c r="B54" s="32">
        <v>0</v>
      </c>
      <c r="C54" s="32">
        <v>14873326391</v>
      </c>
      <c r="D54" s="32">
        <v>0</v>
      </c>
      <c r="E54" s="32">
        <v>14873326391</v>
      </c>
      <c r="F54" s="33">
        <v>3.4042840676863056E-2</v>
      </c>
      <c r="G54" s="32">
        <v>1858116000</v>
      </c>
      <c r="H54" s="32">
        <v>20101635862</v>
      </c>
      <c r="I54" s="32">
        <v>0</v>
      </c>
      <c r="J54" s="32">
        <v>21959751862</v>
      </c>
      <c r="K54" s="33">
        <v>8.134193460449116E-3</v>
      </c>
    </row>
    <row r="55" spans="1:11" x14ac:dyDescent="0.45">
      <c r="A55" s="32" t="s">
        <v>283</v>
      </c>
      <c r="B55" s="32">
        <v>5440000000</v>
      </c>
      <c r="C55" s="32">
        <v>-2262375600</v>
      </c>
      <c r="D55" s="32">
        <v>0</v>
      </c>
      <c r="E55" s="32">
        <v>3177624400</v>
      </c>
      <c r="F55" s="33">
        <v>7.2731114974771589E-3</v>
      </c>
      <c r="G55" s="32">
        <v>5440000000</v>
      </c>
      <c r="H55" s="32">
        <v>18006589242</v>
      </c>
      <c r="I55" s="32">
        <v>0</v>
      </c>
      <c r="J55" s="32">
        <v>23446589242</v>
      </c>
      <c r="K55" s="33">
        <v>8.6849384310275675E-3</v>
      </c>
    </row>
    <row r="56" spans="1:11" x14ac:dyDescent="0.45">
      <c r="A56" s="32" t="s">
        <v>255</v>
      </c>
      <c r="B56" s="32">
        <v>283989048</v>
      </c>
      <c r="C56" s="32">
        <v>-1341875299</v>
      </c>
      <c r="D56" s="32">
        <v>0</v>
      </c>
      <c r="E56" s="32">
        <v>-1057886251</v>
      </c>
      <c r="F56" s="33">
        <v>-2.4213449063303729E-3</v>
      </c>
      <c r="G56" s="32">
        <v>283989048</v>
      </c>
      <c r="H56" s="32">
        <v>6924076539</v>
      </c>
      <c r="I56" s="32">
        <v>0</v>
      </c>
      <c r="J56" s="32">
        <v>7208065587</v>
      </c>
      <c r="K56" s="33">
        <v>2.6699664153183099E-3</v>
      </c>
    </row>
    <row r="57" spans="1:11" x14ac:dyDescent="0.45">
      <c r="A57" s="32" t="s">
        <v>286</v>
      </c>
      <c r="B57" s="32">
        <v>1392086800</v>
      </c>
      <c r="C57" s="32">
        <v>-1296321294</v>
      </c>
      <c r="D57" s="32">
        <v>0</v>
      </c>
      <c r="E57" s="32">
        <v>95765506</v>
      </c>
      <c r="F57" s="33">
        <v>2.1919305590374931E-4</v>
      </c>
      <c r="G57" s="32">
        <v>1392086800</v>
      </c>
      <c r="H57" s="32">
        <v>3740205701</v>
      </c>
      <c r="I57" s="32">
        <v>0</v>
      </c>
      <c r="J57" s="32">
        <v>5132292501</v>
      </c>
      <c r="K57" s="33">
        <v>1.9010715768144428E-3</v>
      </c>
    </row>
    <row r="58" spans="1:11" x14ac:dyDescent="0.45">
      <c r="A58" s="32" t="s">
        <v>262</v>
      </c>
      <c r="B58" s="32">
        <v>0</v>
      </c>
      <c r="C58" s="32">
        <v>1100136893</v>
      </c>
      <c r="D58" s="32">
        <v>0</v>
      </c>
      <c r="E58" s="32">
        <v>1100136893</v>
      </c>
      <c r="F58" s="33">
        <v>2.5180503665811161E-3</v>
      </c>
      <c r="G58" s="32">
        <v>273608000</v>
      </c>
      <c r="H58" s="32">
        <v>1899270667</v>
      </c>
      <c r="I58" s="32">
        <v>0</v>
      </c>
      <c r="J58" s="32">
        <v>2172878667</v>
      </c>
      <c r="K58" s="33">
        <v>8.0486407836172441E-4</v>
      </c>
    </row>
    <row r="59" spans="1:11" x14ac:dyDescent="0.45">
      <c r="A59" s="32" t="s">
        <v>324</v>
      </c>
      <c r="B59" s="32">
        <v>0</v>
      </c>
      <c r="C59" s="32">
        <v>-154017470</v>
      </c>
      <c r="D59" s="32">
        <v>0</v>
      </c>
      <c r="E59" s="32">
        <v>-154017470</v>
      </c>
      <c r="F59" s="33">
        <v>-3.5252317167168765E-4</v>
      </c>
      <c r="G59" s="32">
        <v>0</v>
      </c>
      <c r="H59" s="32">
        <v>9764707615</v>
      </c>
      <c r="I59" s="32">
        <v>0</v>
      </c>
      <c r="J59" s="32">
        <v>9764707615</v>
      </c>
      <c r="K59" s="33">
        <v>3.6169817092776895E-3</v>
      </c>
    </row>
    <row r="60" spans="1:11" x14ac:dyDescent="0.45">
      <c r="A60" s="32" t="s">
        <v>265</v>
      </c>
      <c r="B60" s="32">
        <v>5974377600</v>
      </c>
      <c r="C60" s="32">
        <v>12412159666</v>
      </c>
      <c r="D60" s="32">
        <v>0</v>
      </c>
      <c r="E60" s="32">
        <v>18386537266</v>
      </c>
      <c r="F60" s="33">
        <v>4.2084059899633465E-2</v>
      </c>
      <c r="G60" s="32">
        <v>5974377600</v>
      </c>
      <c r="H60" s="32">
        <v>41015703731</v>
      </c>
      <c r="I60" s="32">
        <v>0</v>
      </c>
      <c r="J60" s="32">
        <v>46990081331</v>
      </c>
      <c r="K60" s="33">
        <v>1.7405771006457117E-2</v>
      </c>
    </row>
    <row r="61" spans="1:11" x14ac:dyDescent="0.45">
      <c r="A61" s="32" t="s">
        <v>205</v>
      </c>
      <c r="B61" s="32">
        <v>0</v>
      </c>
      <c r="C61" s="32">
        <v>25002693884</v>
      </c>
      <c r="D61" s="32">
        <v>0</v>
      </c>
      <c r="E61" s="32">
        <v>25002693884</v>
      </c>
      <c r="F61" s="33">
        <v>5.7227462237394153E-2</v>
      </c>
      <c r="G61" s="32">
        <v>7357161000</v>
      </c>
      <c r="H61" s="32">
        <v>34893757887</v>
      </c>
      <c r="I61" s="32">
        <v>0</v>
      </c>
      <c r="J61" s="32">
        <v>42250918887</v>
      </c>
      <c r="K61" s="33">
        <v>1.565032019798519E-2</v>
      </c>
    </row>
    <row r="62" spans="1:11" x14ac:dyDescent="0.45">
      <c r="A62" s="32" t="s">
        <v>325</v>
      </c>
      <c r="B62" s="32">
        <v>0</v>
      </c>
      <c r="C62" s="32">
        <v>-6043869358</v>
      </c>
      <c r="D62" s="32">
        <v>0</v>
      </c>
      <c r="E62" s="32">
        <v>-6043869358</v>
      </c>
      <c r="F62" s="33">
        <v>-1.3833521582009409E-2</v>
      </c>
      <c r="G62" s="32">
        <v>0</v>
      </c>
      <c r="H62" s="32">
        <v>21088015748</v>
      </c>
      <c r="I62" s="32">
        <v>0</v>
      </c>
      <c r="J62" s="32">
        <v>21088015748</v>
      </c>
      <c r="K62" s="33">
        <v>7.8112904403104212E-3</v>
      </c>
    </row>
    <row r="63" spans="1:11" x14ac:dyDescent="0.45">
      <c r="A63" s="32" t="s">
        <v>154</v>
      </c>
      <c r="B63" s="32">
        <v>0</v>
      </c>
      <c r="C63" s="32">
        <v>4081019981</v>
      </c>
      <c r="D63" s="32">
        <v>0</v>
      </c>
      <c r="E63" s="32">
        <v>4081019981</v>
      </c>
      <c r="F63" s="33">
        <v>9.3408501474387968E-3</v>
      </c>
      <c r="G63" s="32">
        <v>0</v>
      </c>
      <c r="H63" s="32">
        <v>13443886411</v>
      </c>
      <c r="I63" s="32">
        <v>376321840</v>
      </c>
      <c r="J63" s="32">
        <v>13820208251</v>
      </c>
      <c r="K63" s="33">
        <v>5.1191948016433885E-3</v>
      </c>
    </row>
    <row r="64" spans="1:11" x14ac:dyDescent="0.45">
      <c r="A64" s="32" t="s">
        <v>326</v>
      </c>
      <c r="B64" s="32">
        <v>0</v>
      </c>
      <c r="C64" s="32">
        <v>-19067340</v>
      </c>
      <c r="D64" s="32">
        <v>0</v>
      </c>
      <c r="E64" s="32">
        <v>-19067340</v>
      </c>
      <c r="F64" s="33">
        <v>-4.3642316499176598E-5</v>
      </c>
      <c r="G64" s="32">
        <v>0</v>
      </c>
      <c r="H64" s="32">
        <v>469639345</v>
      </c>
      <c r="I64" s="32">
        <v>0</v>
      </c>
      <c r="J64" s="32">
        <v>469639345</v>
      </c>
      <c r="K64" s="33">
        <v>1.7396085861421406E-4</v>
      </c>
    </row>
    <row r="65" spans="1:11" x14ac:dyDescent="0.45">
      <c r="A65" s="32" t="s">
        <v>327</v>
      </c>
      <c r="B65" s="32">
        <v>3080532040</v>
      </c>
      <c r="C65" s="32">
        <v>-3312630930</v>
      </c>
      <c r="D65" s="32">
        <v>0</v>
      </c>
      <c r="E65" s="32">
        <v>-232098890</v>
      </c>
      <c r="F65" s="33">
        <v>-5.312399745579391E-4</v>
      </c>
      <c r="G65" s="32">
        <v>3080532040</v>
      </c>
      <c r="H65" s="32">
        <v>2178681616</v>
      </c>
      <c r="I65" s="32">
        <v>0</v>
      </c>
      <c r="J65" s="32">
        <v>5259213656</v>
      </c>
      <c r="K65" s="33">
        <v>1.9480849144642256E-3</v>
      </c>
    </row>
    <row r="66" spans="1:11" x14ac:dyDescent="0.45">
      <c r="A66" s="32" t="s">
        <v>96</v>
      </c>
      <c r="B66" s="32">
        <v>0</v>
      </c>
      <c r="C66" s="32">
        <v>2091875364</v>
      </c>
      <c r="D66" s="32">
        <v>1006481120</v>
      </c>
      <c r="E66" s="32">
        <v>3098356484</v>
      </c>
      <c r="F66" s="33">
        <v>7.0916789810222085E-3</v>
      </c>
      <c r="G66" s="32">
        <v>2875713190</v>
      </c>
      <c r="H66" s="32">
        <v>16165078816</v>
      </c>
      <c r="I66" s="32">
        <v>1460443360</v>
      </c>
      <c r="J66" s="32">
        <v>20501235366</v>
      </c>
      <c r="K66" s="33">
        <v>7.5939389339737947E-3</v>
      </c>
    </row>
    <row r="67" spans="1:11" x14ac:dyDescent="0.45">
      <c r="A67" s="32" t="s">
        <v>136</v>
      </c>
      <c r="B67" s="32">
        <v>3045055160</v>
      </c>
      <c r="C67" s="32">
        <v>-2911242545</v>
      </c>
      <c r="D67" s="32">
        <v>0</v>
      </c>
      <c r="E67" s="32">
        <v>133812615</v>
      </c>
      <c r="F67" s="33">
        <v>3.0627725185644491E-4</v>
      </c>
      <c r="G67" s="32">
        <v>3045055160</v>
      </c>
      <c r="H67" s="32">
        <v>8229616371</v>
      </c>
      <c r="I67" s="32">
        <v>-115958600</v>
      </c>
      <c r="J67" s="32">
        <v>11158712931</v>
      </c>
      <c r="K67" s="33">
        <v>4.1333404093438835E-3</v>
      </c>
    </row>
    <row r="68" spans="1:11" x14ac:dyDescent="0.45">
      <c r="A68" s="32" t="s">
        <v>126</v>
      </c>
      <c r="B68" s="32">
        <v>0</v>
      </c>
      <c r="C68" s="32">
        <v>-3051124709</v>
      </c>
      <c r="D68" s="32">
        <v>945983006</v>
      </c>
      <c r="E68" s="32">
        <v>-2105141703</v>
      </c>
      <c r="F68" s="33">
        <v>-4.8183574886660448E-3</v>
      </c>
      <c r="G68" s="32">
        <v>1854451144</v>
      </c>
      <c r="H68" s="32">
        <v>2978388142</v>
      </c>
      <c r="I68" s="32">
        <v>945981788</v>
      </c>
      <c r="J68" s="32">
        <v>5778821074</v>
      </c>
      <c r="K68" s="33">
        <v>2.1405546330683914E-3</v>
      </c>
    </row>
    <row r="69" spans="1:11" x14ac:dyDescent="0.45">
      <c r="A69" s="32" t="s">
        <v>106</v>
      </c>
      <c r="B69" s="32">
        <v>0</v>
      </c>
      <c r="C69" s="32">
        <v>1002372448</v>
      </c>
      <c r="D69" s="32">
        <v>132517982</v>
      </c>
      <c r="E69" s="32">
        <v>1134890430</v>
      </c>
      <c r="F69" s="33">
        <v>2.5975960641571728E-3</v>
      </c>
      <c r="G69" s="32">
        <v>2136047450</v>
      </c>
      <c r="H69" s="32">
        <v>2758123607</v>
      </c>
      <c r="I69" s="32">
        <v>132517982</v>
      </c>
      <c r="J69" s="32">
        <v>5026689039</v>
      </c>
      <c r="K69" s="33">
        <v>1.8619546052111512E-3</v>
      </c>
    </row>
    <row r="70" spans="1:11" x14ac:dyDescent="0.45">
      <c r="A70" s="32" t="s">
        <v>87</v>
      </c>
      <c r="B70" s="32">
        <v>5071385800</v>
      </c>
      <c r="C70" s="32">
        <v>5179711977</v>
      </c>
      <c r="D70" s="32">
        <v>1687539638</v>
      </c>
      <c r="E70" s="32">
        <v>11938637415</v>
      </c>
      <c r="F70" s="33">
        <v>2.7325772374874605E-2</v>
      </c>
      <c r="G70" s="32">
        <v>5071385800</v>
      </c>
      <c r="H70" s="32">
        <v>15147969025</v>
      </c>
      <c r="I70" s="32">
        <v>2719323345</v>
      </c>
      <c r="J70" s="32">
        <v>22938678170</v>
      </c>
      <c r="K70" s="33">
        <v>8.4968011994998611E-3</v>
      </c>
    </row>
    <row r="71" spans="1:11" x14ac:dyDescent="0.45">
      <c r="A71" s="32" t="s">
        <v>280</v>
      </c>
      <c r="B71" s="32">
        <v>0</v>
      </c>
      <c r="C71" s="32">
        <v>-2086603888</v>
      </c>
      <c r="D71" s="32">
        <v>0</v>
      </c>
      <c r="E71" s="32">
        <v>-2086603888</v>
      </c>
      <c r="F71" s="33">
        <v>-4.7759271764445613E-3</v>
      </c>
      <c r="G71" s="32">
        <v>2926798560</v>
      </c>
      <c r="H71" s="32">
        <v>3721744926</v>
      </c>
      <c r="I71" s="32">
        <v>0</v>
      </c>
      <c r="J71" s="32">
        <v>6648543486</v>
      </c>
      <c r="K71" s="33">
        <v>2.4627117503506868E-3</v>
      </c>
    </row>
    <row r="72" spans="1:11" x14ac:dyDescent="0.45">
      <c r="A72" s="32" t="s">
        <v>278</v>
      </c>
      <c r="B72" s="32">
        <v>2937249600</v>
      </c>
      <c r="C72" s="32">
        <v>-5149028901</v>
      </c>
      <c r="D72" s="32">
        <v>0</v>
      </c>
      <c r="E72" s="32">
        <v>-2211779301</v>
      </c>
      <c r="F72" s="33">
        <v>-5.0624351524947674E-3</v>
      </c>
      <c r="G72" s="32">
        <v>2937249600</v>
      </c>
      <c r="H72" s="32">
        <v>910287785</v>
      </c>
      <c r="I72" s="32">
        <v>0</v>
      </c>
      <c r="J72" s="32">
        <v>3847537385</v>
      </c>
      <c r="K72" s="33">
        <v>1.4251806501537642E-3</v>
      </c>
    </row>
    <row r="73" spans="1:11" x14ac:dyDescent="0.45">
      <c r="A73" s="32" t="s">
        <v>148</v>
      </c>
      <c r="B73" s="32">
        <v>5657121600</v>
      </c>
      <c r="C73" s="32">
        <v>-11682872204</v>
      </c>
      <c r="D73" s="32">
        <v>0</v>
      </c>
      <c r="E73" s="32">
        <v>-6025750604</v>
      </c>
      <c r="F73" s="33">
        <v>-1.379205043833448E-2</v>
      </c>
      <c r="G73" s="32">
        <v>5657121600</v>
      </c>
      <c r="H73" s="32">
        <v>-6248407025</v>
      </c>
      <c r="I73" s="32">
        <v>-16873074</v>
      </c>
      <c r="J73" s="32">
        <v>-608158499</v>
      </c>
      <c r="K73" s="33">
        <v>-2.2527025426196277E-4</v>
      </c>
    </row>
    <row r="74" spans="1:11" x14ac:dyDescent="0.45">
      <c r="A74" s="32" t="s">
        <v>328</v>
      </c>
      <c r="B74" s="32">
        <v>4885105680</v>
      </c>
      <c r="C74" s="32">
        <v>-5231788323</v>
      </c>
      <c r="D74" s="32">
        <v>0</v>
      </c>
      <c r="E74" s="32">
        <v>-346682643</v>
      </c>
      <c r="F74" s="33">
        <v>-7.9350520998613602E-4</v>
      </c>
      <c r="G74" s="32">
        <v>4885105680</v>
      </c>
      <c r="H74" s="32">
        <v>-1007458233</v>
      </c>
      <c r="I74" s="32">
        <v>-545523643</v>
      </c>
      <c r="J74" s="32">
        <v>3332123804</v>
      </c>
      <c r="K74" s="33">
        <v>1.2342643863296871E-3</v>
      </c>
    </row>
    <row r="75" spans="1:11" x14ac:dyDescent="0.45">
      <c r="A75" s="32" t="s">
        <v>329</v>
      </c>
      <c r="B75" s="32">
        <v>0</v>
      </c>
      <c r="C75" s="32">
        <v>12695543614</v>
      </c>
      <c r="D75" s="32">
        <v>71053603</v>
      </c>
      <c r="E75" s="32">
        <v>12766597217</v>
      </c>
      <c r="F75" s="33">
        <v>2.9220849702256378E-2</v>
      </c>
      <c r="G75" s="32">
        <v>0</v>
      </c>
      <c r="H75" s="32">
        <v>12695543614</v>
      </c>
      <c r="I75" s="32">
        <v>71053603</v>
      </c>
      <c r="J75" s="32">
        <v>12766597217</v>
      </c>
      <c r="K75" s="33">
        <v>4.7289228151256276E-3</v>
      </c>
    </row>
    <row r="76" spans="1:11" x14ac:dyDescent="0.45">
      <c r="A76" s="32" t="s">
        <v>157</v>
      </c>
      <c r="B76" s="32">
        <v>2532289790</v>
      </c>
      <c r="C76" s="32">
        <v>-4352215141</v>
      </c>
      <c r="D76" s="32">
        <v>3425371417</v>
      </c>
      <c r="E76" s="32">
        <v>1605446066</v>
      </c>
      <c r="F76" s="33">
        <v>3.6746282037625573E-3</v>
      </c>
      <c r="G76" s="32">
        <v>2532289790</v>
      </c>
      <c r="H76" s="32">
        <v>11579649438</v>
      </c>
      <c r="I76" s="32">
        <v>7220782522</v>
      </c>
      <c r="J76" s="32">
        <v>21332721750</v>
      </c>
      <c r="K76" s="33">
        <v>7.9019329017421223E-3</v>
      </c>
    </row>
    <row r="77" spans="1:11" x14ac:dyDescent="0.45">
      <c r="A77" s="32" t="s">
        <v>142</v>
      </c>
      <c r="B77" s="32">
        <v>0</v>
      </c>
      <c r="C77" s="32">
        <v>-2758415026</v>
      </c>
      <c r="D77" s="32">
        <v>562194674</v>
      </c>
      <c r="E77" s="32">
        <v>-2196220352</v>
      </c>
      <c r="F77" s="33">
        <v>-5.0268230232385341E-3</v>
      </c>
      <c r="G77" s="32">
        <v>0</v>
      </c>
      <c r="H77" s="32">
        <v>14603912973</v>
      </c>
      <c r="I77" s="32">
        <v>562194674</v>
      </c>
      <c r="J77" s="32">
        <v>15166107647</v>
      </c>
      <c r="K77" s="33">
        <v>5.6177344087466052E-3</v>
      </c>
    </row>
    <row r="78" spans="1:11" x14ac:dyDescent="0.45">
      <c r="A78" s="32" t="s">
        <v>160</v>
      </c>
      <c r="B78" s="32">
        <v>0</v>
      </c>
      <c r="C78" s="32">
        <v>5571546376</v>
      </c>
      <c r="D78" s="32">
        <v>458772357</v>
      </c>
      <c r="E78" s="32">
        <v>6030318733</v>
      </c>
      <c r="F78" s="33">
        <v>1.3802506208862884E-2</v>
      </c>
      <c r="G78" s="32">
        <v>0</v>
      </c>
      <c r="H78" s="32">
        <v>10944360926</v>
      </c>
      <c r="I78" s="32">
        <v>458772357</v>
      </c>
      <c r="J78" s="32">
        <v>11403133283</v>
      </c>
      <c r="K78" s="33">
        <v>4.223877062095387E-3</v>
      </c>
    </row>
    <row r="79" spans="1:11" x14ac:dyDescent="0.45">
      <c r="A79" s="32" t="s">
        <v>176</v>
      </c>
      <c r="B79" s="32">
        <v>0</v>
      </c>
      <c r="C79" s="32">
        <v>25726029923</v>
      </c>
      <c r="D79" s="32">
        <v>0</v>
      </c>
      <c r="E79" s="32">
        <v>25726029923</v>
      </c>
      <c r="F79" s="33">
        <v>5.8883071270919476E-2</v>
      </c>
      <c r="G79" s="32">
        <v>5542935000</v>
      </c>
      <c r="H79" s="32">
        <v>45006245243</v>
      </c>
      <c r="I79" s="32">
        <v>470351280</v>
      </c>
      <c r="J79" s="32">
        <v>51019531523</v>
      </c>
      <c r="K79" s="33">
        <v>1.8898334656854698E-2</v>
      </c>
    </row>
    <row r="80" spans="1:11" x14ac:dyDescent="0.45">
      <c r="A80" s="32" t="s">
        <v>179</v>
      </c>
      <c r="B80" s="32">
        <v>260610760</v>
      </c>
      <c r="C80" s="32">
        <v>-5061548333</v>
      </c>
      <c r="D80" s="32">
        <v>0</v>
      </c>
      <c r="E80" s="32">
        <v>-4800937573</v>
      </c>
      <c r="F80" s="33">
        <v>-1.0988634862212283E-2</v>
      </c>
      <c r="G80" s="32">
        <v>260610760</v>
      </c>
      <c r="H80" s="32">
        <v>2694762026</v>
      </c>
      <c r="I80" s="32">
        <v>0</v>
      </c>
      <c r="J80" s="32">
        <v>2955372786</v>
      </c>
      <c r="K80" s="33">
        <v>1.0947106388150718E-3</v>
      </c>
    </row>
    <row r="81" spans="1:11" x14ac:dyDescent="0.45">
      <c r="A81" s="32" t="s">
        <v>222</v>
      </c>
      <c r="B81" s="32">
        <v>1150107900</v>
      </c>
      <c r="C81" s="32">
        <v>11298053903</v>
      </c>
      <c r="D81" s="32">
        <v>0</v>
      </c>
      <c r="E81" s="32">
        <v>12448161803</v>
      </c>
      <c r="F81" s="33">
        <v>2.8491998214721447E-2</v>
      </c>
      <c r="G81" s="32">
        <v>1150107900</v>
      </c>
      <c r="H81" s="32">
        <v>15388575656</v>
      </c>
      <c r="I81" s="32">
        <v>0</v>
      </c>
      <c r="J81" s="32">
        <v>16538683556</v>
      </c>
      <c r="K81" s="33">
        <v>6.1261553623675703E-3</v>
      </c>
    </row>
    <row r="82" spans="1:11" x14ac:dyDescent="0.45">
      <c r="A82" s="32" t="s">
        <v>281</v>
      </c>
      <c r="B82" s="32">
        <v>0</v>
      </c>
      <c r="C82" s="32">
        <v>1835975430</v>
      </c>
      <c r="D82" s="32">
        <v>0</v>
      </c>
      <c r="E82" s="32">
        <v>1835975430</v>
      </c>
      <c r="F82" s="33">
        <v>4.2022757658263738E-3</v>
      </c>
      <c r="G82" s="32">
        <v>3066175800</v>
      </c>
      <c r="H82" s="32">
        <v>4894460927</v>
      </c>
      <c r="I82" s="32">
        <v>0</v>
      </c>
      <c r="J82" s="32">
        <v>7960636727</v>
      </c>
      <c r="K82" s="33">
        <v>2.9487290936937296E-3</v>
      </c>
    </row>
    <row r="83" spans="1:11" x14ac:dyDescent="0.45">
      <c r="A83" s="32" t="s">
        <v>330</v>
      </c>
      <c r="B83" s="32">
        <v>0</v>
      </c>
      <c r="C83" s="32">
        <v>-150725813</v>
      </c>
      <c r="D83" s="32">
        <v>0</v>
      </c>
      <c r="E83" s="32">
        <v>-150725813</v>
      </c>
      <c r="F83" s="33">
        <v>-3.4498905644634789E-4</v>
      </c>
      <c r="G83" s="32">
        <v>0</v>
      </c>
      <c r="H83" s="32">
        <v>863026833</v>
      </c>
      <c r="I83" s="32">
        <v>0</v>
      </c>
      <c r="J83" s="32">
        <v>863026833</v>
      </c>
      <c r="K83" s="33">
        <v>3.1967698293205386E-4</v>
      </c>
    </row>
    <row r="84" spans="1:11" x14ac:dyDescent="0.45">
      <c r="A84" s="32" t="s">
        <v>166</v>
      </c>
      <c r="B84" s="32">
        <v>0</v>
      </c>
      <c r="C84" s="32">
        <v>-10128347669</v>
      </c>
      <c r="D84" s="32">
        <v>-59961681</v>
      </c>
      <c r="E84" s="32">
        <v>-10188309350</v>
      </c>
      <c r="F84" s="33">
        <v>-2.3319530739170761E-2</v>
      </c>
      <c r="G84" s="32">
        <v>0</v>
      </c>
      <c r="H84" s="32">
        <v>-9713314466</v>
      </c>
      <c r="I84" s="32">
        <v>-59961681</v>
      </c>
      <c r="J84" s="32">
        <v>-9773276147</v>
      </c>
      <c r="K84" s="33">
        <v>-3.6201556111231225E-3</v>
      </c>
    </row>
    <row r="85" spans="1:11" x14ac:dyDescent="0.45">
      <c r="A85" s="32" t="s">
        <v>109</v>
      </c>
      <c r="B85" s="32">
        <v>0</v>
      </c>
      <c r="C85" s="32">
        <v>-6271146400</v>
      </c>
      <c r="D85" s="32">
        <v>0</v>
      </c>
      <c r="E85" s="32">
        <v>-6271146400</v>
      </c>
      <c r="F85" s="33">
        <v>-1.4353725060835541E-2</v>
      </c>
      <c r="G85" s="32">
        <v>0</v>
      </c>
      <c r="H85" s="32">
        <v>-3858086920</v>
      </c>
      <c r="I85" s="32">
        <v>-296679920</v>
      </c>
      <c r="J85" s="32">
        <v>-4154766840</v>
      </c>
      <c r="K85" s="33">
        <v>-1.5389826566346671E-3</v>
      </c>
    </row>
    <row r="86" spans="1:11" x14ac:dyDescent="0.45">
      <c r="A86" s="32" t="s">
        <v>149</v>
      </c>
      <c r="B86" s="32">
        <v>0</v>
      </c>
      <c r="C86" s="32">
        <v>4013464734</v>
      </c>
      <c r="D86" s="32">
        <v>0</v>
      </c>
      <c r="E86" s="32">
        <v>4013464734</v>
      </c>
      <c r="F86" s="33">
        <v>9.1862261951332295E-3</v>
      </c>
      <c r="G86" s="32">
        <v>0</v>
      </c>
      <c r="H86" s="32">
        <v>12659335910</v>
      </c>
      <c r="I86" s="32">
        <v>1269787814</v>
      </c>
      <c r="J86" s="32">
        <v>13929123724</v>
      </c>
      <c r="K86" s="33">
        <v>5.1595385875743841E-3</v>
      </c>
    </row>
    <row r="87" spans="1:11" x14ac:dyDescent="0.45">
      <c r="A87" s="32" t="s">
        <v>121</v>
      </c>
      <c r="B87" s="32">
        <v>0</v>
      </c>
      <c r="C87" s="32">
        <v>8968036427</v>
      </c>
      <c r="D87" s="32">
        <v>982780860</v>
      </c>
      <c r="E87" s="32">
        <v>9950817287</v>
      </c>
      <c r="F87" s="33">
        <v>2.2775946590595848E-2</v>
      </c>
      <c r="G87" s="32">
        <v>324518880</v>
      </c>
      <c r="H87" s="32">
        <v>22642902864</v>
      </c>
      <c r="I87" s="32">
        <v>1533413855</v>
      </c>
      <c r="J87" s="32">
        <v>24500835599</v>
      </c>
      <c r="K87" s="33">
        <v>9.0754457499035608E-3</v>
      </c>
    </row>
    <row r="88" spans="1:11" x14ac:dyDescent="0.45">
      <c r="A88" s="32" t="s">
        <v>302</v>
      </c>
      <c r="B88" s="32">
        <v>0</v>
      </c>
      <c r="C88" s="32">
        <v>5932315725</v>
      </c>
      <c r="D88" s="32">
        <v>0</v>
      </c>
      <c r="E88" s="32">
        <v>5932315725</v>
      </c>
      <c r="F88" s="33">
        <v>1.3578191842359357E-2</v>
      </c>
      <c r="G88" s="32">
        <v>1281113520</v>
      </c>
      <c r="H88" s="32">
        <v>17561376665</v>
      </c>
      <c r="I88" s="32">
        <v>0</v>
      </c>
      <c r="J88" s="32">
        <v>18842490185</v>
      </c>
      <c r="K88" s="33">
        <v>6.9795169546804075E-3</v>
      </c>
    </row>
    <row r="89" spans="1:11" x14ac:dyDescent="0.45">
      <c r="A89" s="32" t="s">
        <v>221</v>
      </c>
      <c r="B89" s="32">
        <v>4584349440</v>
      </c>
      <c r="C89" s="32">
        <v>4989129750</v>
      </c>
      <c r="D89" s="32">
        <v>0</v>
      </c>
      <c r="E89" s="32">
        <v>9573479190</v>
      </c>
      <c r="F89" s="33">
        <v>2.1912275587903755E-2</v>
      </c>
      <c r="G89" s="32">
        <v>4584349440</v>
      </c>
      <c r="H89" s="32">
        <v>29445648131</v>
      </c>
      <c r="I89" s="32">
        <v>0</v>
      </c>
      <c r="J89" s="32">
        <v>34029997571</v>
      </c>
      <c r="K89" s="33">
        <v>1.2605178120437885E-2</v>
      </c>
    </row>
    <row r="90" spans="1:11" x14ac:dyDescent="0.45">
      <c r="A90" s="32" t="s">
        <v>171</v>
      </c>
      <c r="B90" s="32">
        <v>5064416544</v>
      </c>
      <c r="C90" s="32">
        <v>-2108503684</v>
      </c>
      <c r="D90" s="32">
        <v>1761474263</v>
      </c>
      <c r="E90" s="32">
        <v>4717387123</v>
      </c>
      <c r="F90" s="33">
        <v>1.0797400259874012E-2</v>
      </c>
      <c r="G90" s="32">
        <v>5064416544</v>
      </c>
      <c r="H90" s="32">
        <v>21769035172</v>
      </c>
      <c r="I90" s="32">
        <v>1761474263</v>
      </c>
      <c r="J90" s="32">
        <v>28594925979</v>
      </c>
      <c r="K90" s="33">
        <v>1.0591953013043947E-2</v>
      </c>
    </row>
    <row r="91" spans="1:11" x14ac:dyDescent="0.45">
      <c r="A91" s="32" t="s">
        <v>129</v>
      </c>
      <c r="B91" s="32">
        <v>0</v>
      </c>
      <c r="C91" s="32">
        <v>21534879075</v>
      </c>
      <c r="D91" s="32">
        <v>4864863652</v>
      </c>
      <c r="E91" s="32">
        <v>26399742727</v>
      </c>
      <c r="F91" s="33">
        <v>6.0425100071041349E-2</v>
      </c>
      <c r="G91" s="32">
        <v>0</v>
      </c>
      <c r="H91" s="32">
        <v>48721947511</v>
      </c>
      <c r="I91" s="32">
        <v>4864863652</v>
      </c>
      <c r="J91" s="32">
        <v>53586811163</v>
      </c>
      <c r="K91" s="33">
        <v>1.9849290268287106E-2</v>
      </c>
    </row>
    <row r="92" spans="1:11" x14ac:dyDescent="0.45">
      <c r="A92" s="32" t="s">
        <v>115</v>
      </c>
      <c r="B92" s="32">
        <v>0</v>
      </c>
      <c r="C92" s="32">
        <v>13454206318</v>
      </c>
      <c r="D92" s="32">
        <v>1083719482</v>
      </c>
      <c r="E92" s="32">
        <v>14537925800</v>
      </c>
      <c r="F92" s="33">
        <v>3.3275158412507728E-2</v>
      </c>
      <c r="G92" s="32">
        <v>0</v>
      </c>
      <c r="H92" s="32">
        <v>49405238660</v>
      </c>
      <c r="I92" s="32">
        <v>1177819610</v>
      </c>
      <c r="J92" s="32">
        <v>50583058270</v>
      </c>
      <c r="K92" s="33">
        <v>1.8736658973881378E-2</v>
      </c>
    </row>
    <row r="93" spans="1:11" x14ac:dyDescent="0.45">
      <c r="A93" s="32" t="s">
        <v>289</v>
      </c>
      <c r="B93" s="32">
        <v>2099766900</v>
      </c>
      <c r="C93" s="32">
        <v>7721338189</v>
      </c>
      <c r="D93" s="32">
        <v>0</v>
      </c>
      <c r="E93" s="32">
        <v>9821105089</v>
      </c>
      <c r="F93" s="33">
        <v>2.2479054585789731E-2</v>
      </c>
      <c r="G93" s="32">
        <v>2099766900</v>
      </c>
      <c r="H93" s="32">
        <v>23874867925</v>
      </c>
      <c r="I93" s="32">
        <v>0</v>
      </c>
      <c r="J93" s="32">
        <v>25974634825</v>
      </c>
      <c r="K93" s="33">
        <v>9.621361209307679E-3</v>
      </c>
    </row>
    <row r="94" spans="1:11" x14ac:dyDescent="0.45">
      <c r="A94" s="32" t="s">
        <v>264</v>
      </c>
      <c r="B94" s="32">
        <v>5231894640</v>
      </c>
      <c r="C94" s="32">
        <v>-5840383606</v>
      </c>
      <c r="D94" s="32">
        <v>0</v>
      </c>
      <c r="E94" s="32">
        <v>-608488966</v>
      </c>
      <c r="F94" s="33">
        <v>-1.392741097627079E-3</v>
      </c>
      <c r="G94" s="32">
        <v>5231894640</v>
      </c>
      <c r="H94" s="32">
        <v>-4264607166</v>
      </c>
      <c r="I94" s="32">
        <v>0</v>
      </c>
      <c r="J94" s="32">
        <v>967287474</v>
      </c>
      <c r="K94" s="33">
        <v>3.5829655520836797E-4</v>
      </c>
    </row>
    <row r="95" spans="1:11" x14ac:dyDescent="0.45">
      <c r="A95" s="32" t="s">
        <v>244</v>
      </c>
      <c r="B95" s="32">
        <v>0</v>
      </c>
      <c r="C95" s="32">
        <v>-7948722962</v>
      </c>
      <c r="D95" s="32">
        <v>0</v>
      </c>
      <c r="E95" s="32">
        <v>-7948722962</v>
      </c>
      <c r="F95" s="33">
        <v>-1.8193449284057268E-2</v>
      </c>
      <c r="G95" s="32">
        <v>4876820845</v>
      </c>
      <c r="H95" s="32">
        <v>4905189541</v>
      </c>
      <c r="I95" s="32">
        <v>0</v>
      </c>
      <c r="J95" s="32">
        <v>9782010386</v>
      </c>
      <c r="K95" s="33">
        <v>3.6233908931154815E-3</v>
      </c>
    </row>
    <row r="96" spans="1:11" x14ac:dyDescent="0.45">
      <c r="A96" s="32" t="s">
        <v>260</v>
      </c>
      <c r="B96" s="32">
        <v>0</v>
      </c>
      <c r="C96" s="32">
        <v>6745451460</v>
      </c>
      <c r="D96" s="32">
        <v>0</v>
      </c>
      <c r="E96" s="32">
        <v>6745451460</v>
      </c>
      <c r="F96" s="33">
        <v>1.5439339076512659E-2</v>
      </c>
      <c r="G96" s="32">
        <v>70000000</v>
      </c>
      <c r="H96" s="32">
        <v>10815636362</v>
      </c>
      <c r="I96" s="32">
        <v>0</v>
      </c>
      <c r="J96" s="32">
        <v>10885636362</v>
      </c>
      <c r="K96" s="33">
        <v>4.0321891005440135E-3</v>
      </c>
    </row>
    <row r="97" spans="1:11" x14ac:dyDescent="0.45">
      <c r="A97" s="32" t="s">
        <v>108</v>
      </c>
      <c r="B97" s="32">
        <v>0</v>
      </c>
      <c r="C97" s="32">
        <v>-4479021702</v>
      </c>
      <c r="D97" s="32">
        <v>426219299</v>
      </c>
      <c r="E97" s="32">
        <v>-4052802403</v>
      </c>
      <c r="F97" s="33">
        <v>-9.2762642917339003E-3</v>
      </c>
      <c r="G97" s="32">
        <v>0</v>
      </c>
      <c r="H97" s="32">
        <v>15618328198</v>
      </c>
      <c r="I97" s="32">
        <v>426219299</v>
      </c>
      <c r="J97" s="32">
        <v>16044547497</v>
      </c>
      <c r="K97" s="33">
        <v>5.9431205847002861E-3</v>
      </c>
    </row>
    <row r="98" spans="1:11" x14ac:dyDescent="0.45">
      <c r="A98" s="32" t="s">
        <v>331</v>
      </c>
      <c r="B98" s="32">
        <v>0</v>
      </c>
      <c r="C98" s="32">
        <v>-4574907670</v>
      </c>
      <c r="D98" s="32">
        <v>0</v>
      </c>
      <c r="E98" s="32">
        <v>-4574907670</v>
      </c>
      <c r="F98" s="33">
        <v>-1.0471285899797799E-2</v>
      </c>
      <c r="G98" s="32">
        <v>0</v>
      </c>
      <c r="H98" s="32">
        <v>-4784054967</v>
      </c>
      <c r="I98" s="32">
        <v>0</v>
      </c>
      <c r="J98" s="32">
        <v>-4784054967</v>
      </c>
      <c r="K98" s="33">
        <v>-1.7720796150861584E-3</v>
      </c>
    </row>
    <row r="99" spans="1:11" x14ac:dyDescent="0.45">
      <c r="A99" s="32" t="s">
        <v>90</v>
      </c>
      <c r="B99" s="32">
        <v>10536089950</v>
      </c>
      <c r="C99" s="32">
        <v>-14068737655</v>
      </c>
      <c r="D99" s="32">
        <v>1435282868</v>
      </c>
      <c r="E99" s="32">
        <v>-2097364837</v>
      </c>
      <c r="F99" s="33">
        <v>-4.8005573945079875E-3</v>
      </c>
      <c r="G99" s="32">
        <v>10536089950</v>
      </c>
      <c r="H99" s="32">
        <v>-8873088766</v>
      </c>
      <c r="I99" s="32">
        <v>1435282868</v>
      </c>
      <c r="J99" s="32">
        <v>3098284052</v>
      </c>
      <c r="K99" s="33">
        <v>1.1476469330239916E-3</v>
      </c>
    </row>
    <row r="100" spans="1:11" x14ac:dyDescent="0.45">
      <c r="A100" s="32" t="s">
        <v>332</v>
      </c>
      <c r="B100" s="32">
        <v>0</v>
      </c>
      <c r="C100" s="32">
        <v>-3526534288</v>
      </c>
      <c r="D100" s="32">
        <v>0</v>
      </c>
      <c r="E100" s="32">
        <v>-3526534288</v>
      </c>
      <c r="F100" s="33">
        <v>-8.0717145413096106E-3</v>
      </c>
      <c r="G100" s="32">
        <v>0</v>
      </c>
      <c r="H100" s="32">
        <v>3318426969</v>
      </c>
      <c r="I100" s="32">
        <v>0</v>
      </c>
      <c r="J100" s="32">
        <v>3318426969</v>
      </c>
      <c r="K100" s="33">
        <v>1.2291908906733612E-3</v>
      </c>
    </row>
    <row r="101" spans="1:11" x14ac:dyDescent="0.45">
      <c r="A101" s="32" t="s">
        <v>269</v>
      </c>
      <c r="B101" s="32">
        <v>0</v>
      </c>
      <c r="C101" s="32">
        <v>17124015529</v>
      </c>
      <c r="D101" s="32">
        <v>0</v>
      </c>
      <c r="E101" s="32">
        <v>17124015529</v>
      </c>
      <c r="F101" s="33">
        <v>3.9194334681892332E-2</v>
      </c>
      <c r="G101" s="32">
        <v>2183591330</v>
      </c>
      <c r="H101" s="32">
        <v>30487737036</v>
      </c>
      <c r="I101" s="32">
        <v>0</v>
      </c>
      <c r="J101" s="32">
        <v>32671328366</v>
      </c>
      <c r="K101" s="33">
        <v>1.2101908400831042E-2</v>
      </c>
    </row>
    <row r="102" spans="1:11" x14ac:dyDescent="0.45">
      <c r="A102" s="32" t="s">
        <v>170</v>
      </c>
      <c r="B102" s="32">
        <v>0</v>
      </c>
      <c r="C102" s="32">
        <v>-3102573642</v>
      </c>
      <c r="D102" s="32">
        <v>0</v>
      </c>
      <c r="E102" s="32">
        <v>-3102573642</v>
      </c>
      <c r="F102" s="33">
        <v>-7.1013314309267593E-3</v>
      </c>
      <c r="G102" s="32">
        <v>0</v>
      </c>
      <c r="H102" s="32">
        <v>4330713705</v>
      </c>
      <c r="I102" s="32">
        <v>154233242</v>
      </c>
      <c r="J102" s="32">
        <v>4484946947</v>
      </c>
      <c r="K102" s="33">
        <v>1.6612858995860283E-3</v>
      </c>
    </row>
    <row r="103" spans="1:11" x14ac:dyDescent="0.45">
      <c r="A103" s="32" t="s">
        <v>100</v>
      </c>
      <c r="B103" s="32">
        <v>0</v>
      </c>
      <c r="C103" s="32">
        <v>-8733076554</v>
      </c>
      <c r="D103" s="32">
        <v>-419712197</v>
      </c>
      <c r="E103" s="32">
        <v>-9152788751</v>
      </c>
      <c r="F103" s="33">
        <v>-2.0949377496873988E-2</v>
      </c>
      <c r="G103" s="32">
        <v>2127401140</v>
      </c>
      <c r="H103" s="32">
        <v>-10280030517</v>
      </c>
      <c r="I103" s="32">
        <v>-419712197</v>
      </c>
      <c r="J103" s="32">
        <v>-8572341574</v>
      </c>
      <c r="K103" s="33">
        <v>-3.1753129639241861E-3</v>
      </c>
    </row>
    <row r="104" spans="1:11" x14ac:dyDescent="0.45">
      <c r="A104" s="32" t="s">
        <v>333</v>
      </c>
      <c r="B104" s="32">
        <v>0</v>
      </c>
      <c r="C104" s="32">
        <v>6099380247</v>
      </c>
      <c r="D104" s="32">
        <v>0</v>
      </c>
      <c r="E104" s="32">
        <v>6099380247</v>
      </c>
      <c r="F104" s="33">
        <v>1.3960577783183178E-2</v>
      </c>
      <c r="G104" s="32">
        <v>0</v>
      </c>
      <c r="H104" s="32">
        <v>3333127618</v>
      </c>
      <c r="I104" s="32">
        <v>0</v>
      </c>
      <c r="J104" s="32">
        <v>3333127618</v>
      </c>
      <c r="K104" s="33">
        <v>1.2346362128114077E-3</v>
      </c>
    </row>
    <row r="105" spans="1:11" x14ac:dyDescent="0.45">
      <c r="A105" s="32" t="s">
        <v>210</v>
      </c>
      <c r="B105" s="32">
        <v>0</v>
      </c>
      <c r="C105" s="32">
        <v>-5631852082</v>
      </c>
      <c r="D105" s="32">
        <v>0</v>
      </c>
      <c r="E105" s="32">
        <v>-5631852082</v>
      </c>
      <c r="F105" s="33">
        <v>-1.289047507618738E-2</v>
      </c>
      <c r="G105" s="32">
        <v>1648155000</v>
      </c>
      <c r="H105" s="32">
        <v>-1614730008</v>
      </c>
      <c r="I105" s="32">
        <v>0</v>
      </c>
      <c r="J105" s="32">
        <v>33424992</v>
      </c>
      <c r="K105" s="33">
        <v>1.2381075753977207E-5</v>
      </c>
    </row>
    <row r="106" spans="1:11" x14ac:dyDescent="0.45">
      <c r="A106" s="32" t="s">
        <v>117</v>
      </c>
      <c r="B106" s="32">
        <v>0</v>
      </c>
      <c r="C106" s="32">
        <v>377199737</v>
      </c>
      <c r="D106" s="32">
        <v>0</v>
      </c>
      <c r="E106" s="32">
        <v>377199737</v>
      </c>
      <c r="F106" s="33">
        <v>8.6335431714964822E-4</v>
      </c>
      <c r="G106" s="32">
        <v>0</v>
      </c>
      <c r="H106" s="32">
        <v>2133512562</v>
      </c>
      <c r="I106" s="32">
        <v>-179029616</v>
      </c>
      <c r="J106" s="32">
        <v>1954482946</v>
      </c>
      <c r="K106" s="33">
        <v>7.2396730608888531E-4</v>
      </c>
    </row>
    <row r="107" spans="1:11" x14ac:dyDescent="0.45">
      <c r="A107" s="32" t="s">
        <v>204</v>
      </c>
      <c r="B107" s="32">
        <v>4422000000</v>
      </c>
      <c r="C107" s="32">
        <v>20795597752</v>
      </c>
      <c r="D107" s="32">
        <v>0</v>
      </c>
      <c r="E107" s="32">
        <v>25217597752</v>
      </c>
      <c r="F107" s="33">
        <v>5.7719345353977443E-2</v>
      </c>
      <c r="G107" s="32">
        <v>4422000000</v>
      </c>
      <c r="H107" s="32">
        <v>41383106869</v>
      </c>
      <c r="I107" s="32">
        <v>0</v>
      </c>
      <c r="J107" s="32">
        <v>45805106869</v>
      </c>
      <c r="K107" s="33">
        <v>1.6966840203405605E-2</v>
      </c>
    </row>
    <row r="108" spans="1:11" x14ac:dyDescent="0.45">
      <c r="A108" s="32" t="s">
        <v>114</v>
      </c>
      <c r="B108" s="32">
        <v>3144040000</v>
      </c>
      <c r="C108" s="32">
        <v>-5987793778</v>
      </c>
      <c r="D108" s="32">
        <v>707615070</v>
      </c>
      <c r="E108" s="32">
        <v>-2136138708</v>
      </c>
      <c r="F108" s="33">
        <v>-4.8893050410113931E-3</v>
      </c>
      <c r="G108" s="32">
        <v>3144040000</v>
      </c>
      <c r="H108" s="32">
        <v>4254714843</v>
      </c>
      <c r="I108" s="32">
        <v>707615070</v>
      </c>
      <c r="J108" s="32">
        <v>8106369913</v>
      </c>
      <c r="K108" s="33">
        <v>3.0027106657980539E-3</v>
      </c>
    </row>
    <row r="109" spans="1:11" x14ac:dyDescent="0.45">
      <c r="A109" s="32" t="s">
        <v>242</v>
      </c>
      <c r="B109" s="32">
        <v>0</v>
      </c>
      <c r="C109" s="32">
        <v>-12030281480</v>
      </c>
      <c r="D109" s="32">
        <v>0</v>
      </c>
      <c r="E109" s="32">
        <v>-12030281480</v>
      </c>
      <c r="F109" s="33">
        <v>-2.753553206290666E-2</v>
      </c>
      <c r="G109" s="32">
        <v>3640000000</v>
      </c>
      <c r="H109" s="32">
        <v>5278876400</v>
      </c>
      <c r="I109" s="32">
        <v>0</v>
      </c>
      <c r="J109" s="32">
        <v>8918876400</v>
      </c>
      <c r="K109" s="33">
        <v>3.3036742192416833E-3</v>
      </c>
    </row>
    <row r="110" spans="1:11" x14ac:dyDescent="0.45">
      <c r="A110" s="32" t="s">
        <v>227</v>
      </c>
      <c r="B110" s="32">
        <v>0</v>
      </c>
      <c r="C110" s="32">
        <v>28560597032</v>
      </c>
      <c r="D110" s="32">
        <v>0</v>
      </c>
      <c r="E110" s="32">
        <v>28560597032</v>
      </c>
      <c r="F110" s="33">
        <v>6.5370975452055072E-2</v>
      </c>
      <c r="G110" s="32">
        <v>1830403200</v>
      </c>
      <c r="H110" s="32">
        <v>49470223317</v>
      </c>
      <c r="I110" s="32">
        <v>0</v>
      </c>
      <c r="J110" s="32">
        <v>51300626517</v>
      </c>
      <c r="K110" s="33">
        <v>1.9002456100317658E-2</v>
      </c>
    </row>
    <row r="111" spans="1:11" x14ac:dyDescent="0.45">
      <c r="A111" s="32" t="s">
        <v>94</v>
      </c>
      <c r="B111" s="32">
        <v>6842132375</v>
      </c>
      <c r="C111" s="32">
        <v>-11029046967</v>
      </c>
      <c r="D111" s="32">
        <v>338922551</v>
      </c>
      <c r="E111" s="32">
        <v>-3847992041</v>
      </c>
      <c r="F111" s="33">
        <v>-8.8074837150664189E-3</v>
      </c>
      <c r="G111" s="32">
        <v>6842132375</v>
      </c>
      <c r="H111" s="32">
        <v>232311722</v>
      </c>
      <c r="I111" s="32">
        <v>891125413</v>
      </c>
      <c r="J111" s="32">
        <v>7965569510</v>
      </c>
      <c r="K111" s="33">
        <v>2.9505562642133496E-3</v>
      </c>
    </row>
    <row r="112" spans="1:11" x14ac:dyDescent="0.45">
      <c r="A112" s="32" t="s">
        <v>224</v>
      </c>
      <c r="B112" s="32">
        <v>871875000</v>
      </c>
      <c r="C112" s="32">
        <v>-837227812</v>
      </c>
      <c r="D112" s="32">
        <v>0</v>
      </c>
      <c r="E112" s="32">
        <v>34647188</v>
      </c>
      <c r="F112" s="33">
        <v>7.9302280470294932E-5</v>
      </c>
      <c r="G112" s="32">
        <v>871875000</v>
      </c>
      <c r="H112" s="32">
        <v>-519081243</v>
      </c>
      <c r="I112" s="32">
        <v>0</v>
      </c>
      <c r="J112" s="32">
        <v>352793757</v>
      </c>
      <c r="K112" s="33">
        <v>1.306796492560784E-4</v>
      </c>
    </row>
    <row r="113" spans="1:11" x14ac:dyDescent="0.45">
      <c r="A113" s="32" t="s">
        <v>334</v>
      </c>
      <c r="B113" s="32">
        <v>0</v>
      </c>
      <c r="C113" s="32">
        <v>-1026800996</v>
      </c>
      <c r="D113" s="32">
        <v>0</v>
      </c>
      <c r="E113" s="32">
        <v>-1026800996</v>
      </c>
      <c r="F113" s="33">
        <v>-2.3501953628089585E-3</v>
      </c>
      <c r="G113" s="32">
        <v>0</v>
      </c>
      <c r="H113" s="32">
        <v>-211551964</v>
      </c>
      <c r="I113" s="32">
        <v>0</v>
      </c>
      <c r="J113" s="32">
        <v>-211551964</v>
      </c>
      <c r="K113" s="33">
        <v>-7.8361750757835894E-5</v>
      </c>
    </row>
    <row r="114" spans="1:11" x14ac:dyDescent="0.45">
      <c r="A114" s="32" t="s">
        <v>335</v>
      </c>
      <c r="B114" s="32">
        <v>0</v>
      </c>
      <c r="C114" s="32">
        <v>4197302100</v>
      </c>
      <c r="D114" s="32">
        <v>0</v>
      </c>
      <c r="E114" s="32">
        <v>4197302100</v>
      </c>
      <c r="F114" s="33">
        <v>9.607002691033914E-3</v>
      </c>
      <c r="G114" s="32">
        <v>0</v>
      </c>
      <c r="H114" s="32">
        <v>13886818650</v>
      </c>
      <c r="I114" s="32">
        <v>0</v>
      </c>
      <c r="J114" s="32">
        <v>13886818650</v>
      </c>
      <c r="K114" s="33">
        <v>5.1438682075793316E-3</v>
      </c>
    </row>
    <row r="115" spans="1:11" x14ac:dyDescent="0.45">
      <c r="A115" s="32" t="s">
        <v>288</v>
      </c>
      <c r="B115" s="32">
        <v>502599600</v>
      </c>
      <c r="C115" s="32">
        <v>-610925268</v>
      </c>
      <c r="D115" s="32">
        <v>0</v>
      </c>
      <c r="E115" s="32">
        <v>-108325668</v>
      </c>
      <c r="F115" s="33">
        <v>-2.479414059769599E-4</v>
      </c>
      <c r="G115" s="32">
        <v>502599600</v>
      </c>
      <c r="H115" s="32">
        <v>112210764</v>
      </c>
      <c r="I115" s="32">
        <v>0</v>
      </c>
      <c r="J115" s="32">
        <v>614810364</v>
      </c>
      <c r="K115" s="33">
        <v>2.2773419634668278E-4</v>
      </c>
    </row>
    <row r="116" spans="1:11" x14ac:dyDescent="0.45">
      <c r="A116" s="32" t="s">
        <v>254</v>
      </c>
      <c r="B116" s="32">
        <v>479197000</v>
      </c>
      <c r="C116" s="32">
        <v>-1315250809</v>
      </c>
      <c r="D116" s="32">
        <v>0</v>
      </c>
      <c r="E116" s="32">
        <v>-836053809</v>
      </c>
      <c r="F116" s="33">
        <v>-1.9136033103054825E-3</v>
      </c>
      <c r="G116" s="32">
        <v>479197000</v>
      </c>
      <c r="H116" s="32">
        <v>341642629</v>
      </c>
      <c r="I116" s="32">
        <v>0</v>
      </c>
      <c r="J116" s="32">
        <v>820839629</v>
      </c>
      <c r="K116" s="33">
        <v>3.0405026360262241E-4</v>
      </c>
    </row>
    <row r="117" spans="1:11" x14ac:dyDescent="0.45">
      <c r="A117" s="32" t="s">
        <v>258</v>
      </c>
      <c r="B117" s="32">
        <v>6556758000</v>
      </c>
      <c r="C117" s="32">
        <v>-12632627523</v>
      </c>
      <c r="D117" s="32">
        <v>0</v>
      </c>
      <c r="E117" s="32">
        <v>-6075869523</v>
      </c>
      <c r="F117" s="33">
        <v>-1.3906765218980054E-2</v>
      </c>
      <c r="G117" s="32">
        <v>6556758000</v>
      </c>
      <c r="H117" s="32">
        <v>-2894091823</v>
      </c>
      <c r="I117" s="32">
        <v>0</v>
      </c>
      <c r="J117" s="32">
        <v>3662666177</v>
      </c>
      <c r="K117" s="33">
        <v>1.3567018175791063E-3</v>
      </c>
    </row>
    <row r="118" spans="1:11" x14ac:dyDescent="0.45">
      <c r="A118" s="32" t="s">
        <v>336</v>
      </c>
      <c r="B118" s="32">
        <v>0</v>
      </c>
      <c r="C118" s="32">
        <v>23979631116</v>
      </c>
      <c r="D118" s="32">
        <v>3731275772</v>
      </c>
      <c r="E118" s="32">
        <v>27710906888</v>
      </c>
      <c r="F118" s="33">
        <v>6.3426160591110711E-2</v>
      </c>
      <c r="G118" s="32">
        <v>1489369410</v>
      </c>
      <c r="H118" s="32">
        <v>31264332112</v>
      </c>
      <c r="I118" s="32">
        <v>3731275772</v>
      </c>
      <c r="J118" s="32">
        <v>36484977294</v>
      </c>
      <c r="K118" s="33">
        <v>1.3514536301434338E-2</v>
      </c>
    </row>
    <row r="119" spans="1:11" x14ac:dyDescent="0.45">
      <c r="A119" s="32" t="s">
        <v>292</v>
      </c>
      <c r="B119" s="32">
        <v>5115925000</v>
      </c>
      <c r="C119" s="32">
        <v>-9674633740</v>
      </c>
      <c r="D119" s="32">
        <v>0</v>
      </c>
      <c r="E119" s="32">
        <v>-4558708740</v>
      </c>
      <c r="F119" s="33">
        <v>-1.0434208948843549E-2</v>
      </c>
      <c r="G119" s="32">
        <v>5115925000</v>
      </c>
      <c r="H119" s="32">
        <v>11628449340</v>
      </c>
      <c r="I119" s="32">
        <v>0</v>
      </c>
      <c r="J119" s="32">
        <v>16744374340</v>
      </c>
      <c r="K119" s="33">
        <v>6.2023460516158714E-3</v>
      </c>
    </row>
    <row r="120" spans="1:11" x14ac:dyDescent="0.45">
      <c r="A120" s="32" t="s">
        <v>337</v>
      </c>
      <c r="B120" s="32">
        <v>0</v>
      </c>
      <c r="C120" s="32">
        <v>13905671780</v>
      </c>
      <c r="D120" s="32">
        <v>0</v>
      </c>
      <c r="E120" s="32">
        <v>13905671780</v>
      </c>
      <c r="F120" s="33">
        <v>3.1828022626985641E-2</v>
      </c>
      <c r="G120" s="32">
        <v>0</v>
      </c>
      <c r="H120" s="32">
        <v>13628248849</v>
      </c>
      <c r="I120" s="32">
        <v>0</v>
      </c>
      <c r="J120" s="32">
        <v>13628248849</v>
      </c>
      <c r="K120" s="33">
        <v>5.0480904047343284E-3</v>
      </c>
    </row>
    <row r="121" spans="1:11" x14ac:dyDescent="0.45">
      <c r="A121" s="32" t="s">
        <v>338</v>
      </c>
      <c r="B121" s="32">
        <v>2491071440</v>
      </c>
      <c r="C121" s="32">
        <v>18555172480</v>
      </c>
      <c r="D121" s="32">
        <v>1292714556</v>
      </c>
      <c r="E121" s="32">
        <v>22338958476</v>
      </c>
      <c r="F121" s="33">
        <v>5.1130566511718767E-2</v>
      </c>
      <c r="G121" s="32">
        <v>2491071440</v>
      </c>
      <c r="H121" s="32">
        <v>35788341521</v>
      </c>
      <c r="I121" s="32">
        <v>1292714556</v>
      </c>
      <c r="J121" s="32">
        <v>39572127517</v>
      </c>
      <c r="K121" s="33">
        <v>1.4658059111398529E-2</v>
      </c>
    </row>
    <row r="122" spans="1:11" x14ac:dyDescent="0.45">
      <c r="A122" s="32" t="s">
        <v>295</v>
      </c>
      <c r="B122" s="32">
        <v>1834313800</v>
      </c>
      <c r="C122" s="32">
        <v>-2184161465</v>
      </c>
      <c r="D122" s="32">
        <v>0</v>
      </c>
      <c r="E122" s="32">
        <v>-349847665</v>
      </c>
      <c r="F122" s="33">
        <v>-8.0074947645701535E-4</v>
      </c>
      <c r="G122" s="32">
        <v>1834313800</v>
      </c>
      <c r="H122" s="32">
        <v>10292033571</v>
      </c>
      <c r="I122" s="32">
        <v>0</v>
      </c>
      <c r="J122" s="32">
        <v>12126347371</v>
      </c>
      <c r="K122" s="33">
        <v>4.4917654855203357E-3</v>
      </c>
    </row>
    <row r="123" spans="1:11" x14ac:dyDescent="0.45">
      <c r="A123" s="32" t="s">
        <v>246</v>
      </c>
      <c r="B123" s="32">
        <v>0</v>
      </c>
      <c r="C123" s="32">
        <v>-1584725721</v>
      </c>
      <c r="D123" s="32">
        <v>0</v>
      </c>
      <c r="E123" s="32">
        <v>-1584725721</v>
      </c>
      <c r="F123" s="33">
        <v>-3.6272024037053846E-3</v>
      </c>
      <c r="G123" s="32">
        <v>2861984800</v>
      </c>
      <c r="H123" s="32">
        <v>3878380410</v>
      </c>
      <c r="I123" s="32">
        <v>0</v>
      </c>
      <c r="J123" s="32">
        <v>6740365210</v>
      </c>
      <c r="K123" s="33">
        <v>2.4967237770612627E-3</v>
      </c>
    </row>
    <row r="124" spans="1:11" x14ac:dyDescent="0.45">
      <c r="A124" s="32" t="s">
        <v>339</v>
      </c>
      <c r="B124" s="32">
        <v>0</v>
      </c>
      <c r="C124" s="32">
        <v>-678417350</v>
      </c>
      <c r="D124" s="32">
        <v>0</v>
      </c>
      <c r="E124" s="32">
        <v>-678417350</v>
      </c>
      <c r="F124" s="33">
        <v>-1.5527968089535649E-3</v>
      </c>
      <c r="G124" s="32">
        <v>0</v>
      </c>
      <c r="H124" s="32">
        <v>1112519288</v>
      </c>
      <c r="I124" s="32">
        <v>0</v>
      </c>
      <c r="J124" s="32">
        <v>1112519288</v>
      </c>
      <c r="K124" s="33">
        <v>4.1209241224317376E-4</v>
      </c>
    </row>
    <row r="125" spans="1:11" x14ac:dyDescent="0.45">
      <c r="A125" s="32" t="s">
        <v>161</v>
      </c>
      <c r="B125" s="32">
        <v>0</v>
      </c>
      <c r="C125" s="32">
        <v>-5124925561</v>
      </c>
      <c r="D125" s="32">
        <v>935713472</v>
      </c>
      <c r="E125" s="32">
        <v>-4189212089</v>
      </c>
      <c r="F125" s="33">
        <v>-9.5884858543622119E-3</v>
      </c>
      <c r="G125" s="32">
        <v>0</v>
      </c>
      <c r="H125" s="32">
        <v>10603036889</v>
      </c>
      <c r="I125" s="32">
        <v>5633720712</v>
      </c>
      <c r="J125" s="32">
        <v>16236757601</v>
      </c>
      <c r="K125" s="33">
        <v>6.0143178450707251E-3</v>
      </c>
    </row>
    <row r="126" spans="1:11" x14ac:dyDescent="0.45">
      <c r="A126" s="32" t="s">
        <v>340</v>
      </c>
      <c r="B126" s="32">
        <v>0</v>
      </c>
      <c r="C126" s="32">
        <v>8413788470</v>
      </c>
      <c r="D126" s="32">
        <v>0</v>
      </c>
      <c r="E126" s="32">
        <v>8413788470</v>
      </c>
      <c r="F126" s="33">
        <v>1.9257915334014226E-2</v>
      </c>
      <c r="G126" s="32">
        <v>0</v>
      </c>
      <c r="H126" s="32">
        <v>19931161567</v>
      </c>
      <c r="I126" s="32">
        <v>0</v>
      </c>
      <c r="J126" s="32">
        <v>19931161567</v>
      </c>
      <c r="K126" s="33">
        <v>7.3827757752578087E-3</v>
      </c>
    </row>
    <row r="127" spans="1:11" x14ac:dyDescent="0.45">
      <c r="A127" s="32" t="s">
        <v>237</v>
      </c>
      <c r="B127" s="32">
        <v>0</v>
      </c>
      <c r="C127" s="32">
        <v>-1221969401</v>
      </c>
      <c r="D127" s="32">
        <v>0</v>
      </c>
      <c r="E127" s="32">
        <v>-1221969401</v>
      </c>
      <c r="F127" s="33">
        <v>-2.7969069283261976E-3</v>
      </c>
      <c r="G127" s="32">
        <v>4411303200</v>
      </c>
      <c r="H127" s="32">
        <v>8948950045</v>
      </c>
      <c r="I127" s="32">
        <v>0</v>
      </c>
      <c r="J127" s="32">
        <v>13360253245</v>
      </c>
      <c r="K127" s="33">
        <v>4.9488211551004949E-3</v>
      </c>
    </row>
    <row r="128" spans="1:11" x14ac:dyDescent="0.45">
      <c r="A128" s="32" t="s">
        <v>341</v>
      </c>
      <c r="B128" s="32">
        <v>0</v>
      </c>
      <c r="C128" s="32">
        <v>10359892912</v>
      </c>
      <c r="D128" s="32">
        <v>0</v>
      </c>
      <c r="E128" s="32">
        <v>10359892912</v>
      </c>
      <c r="F128" s="33">
        <v>2.3712260093074353E-2</v>
      </c>
      <c r="G128" s="32">
        <v>0</v>
      </c>
      <c r="H128" s="32">
        <v>32164833511</v>
      </c>
      <c r="I128" s="32">
        <v>0</v>
      </c>
      <c r="J128" s="32">
        <v>32164833511</v>
      </c>
      <c r="K128" s="33">
        <v>1.1914295755515981E-2</v>
      </c>
    </row>
    <row r="129" spans="1:11" x14ac:dyDescent="0.45">
      <c r="A129" s="32" t="s">
        <v>98</v>
      </c>
      <c r="B129" s="32">
        <v>0</v>
      </c>
      <c r="C129" s="32">
        <v>-2212385718</v>
      </c>
      <c r="D129" s="32">
        <v>40773513</v>
      </c>
      <c r="E129" s="32">
        <v>-2171612205</v>
      </c>
      <c r="F129" s="33">
        <v>-4.9704986203678529E-3</v>
      </c>
      <c r="G129" s="32">
        <v>3041877200</v>
      </c>
      <c r="H129" s="32">
        <v>6367573928</v>
      </c>
      <c r="I129" s="32">
        <v>40773513</v>
      </c>
      <c r="J129" s="32">
        <v>9450224641</v>
      </c>
      <c r="K129" s="33">
        <v>3.5004928998135006E-3</v>
      </c>
    </row>
    <row r="130" spans="1:11" x14ac:dyDescent="0.45">
      <c r="A130" s="32" t="s">
        <v>122</v>
      </c>
      <c r="B130" s="32">
        <v>0</v>
      </c>
      <c r="C130" s="32">
        <v>-10859402880</v>
      </c>
      <c r="D130" s="32">
        <v>0</v>
      </c>
      <c r="E130" s="32">
        <v>-10859402880</v>
      </c>
      <c r="F130" s="33">
        <v>-2.4855564409143063E-2</v>
      </c>
      <c r="G130" s="32">
        <v>0</v>
      </c>
      <c r="H130" s="32">
        <v>-9594507125</v>
      </c>
      <c r="I130" s="32">
        <v>168481962</v>
      </c>
      <c r="J130" s="32">
        <v>-9426025163</v>
      </c>
      <c r="K130" s="33">
        <v>-3.4915290810540313E-3</v>
      </c>
    </row>
    <row r="131" spans="1:11" x14ac:dyDescent="0.45">
      <c r="A131" s="32" t="s">
        <v>231</v>
      </c>
      <c r="B131" s="32">
        <v>0</v>
      </c>
      <c r="C131" s="32">
        <v>72461052</v>
      </c>
      <c r="D131" s="32">
        <v>0</v>
      </c>
      <c r="E131" s="32">
        <v>72461052</v>
      </c>
      <c r="F131" s="33">
        <v>1.6585261317243483E-4</v>
      </c>
      <c r="G131" s="32">
        <v>2127243220</v>
      </c>
      <c r="H131" s="32">
        <v>-302163669</v>
      </c>
      <c r="I131" s="32">
        <v>0</v>
      </c>
      <c r="J131" s="32">
        <v>1825079551</v>
      </c>
      <c r="K131" s="33">
        <v>6.7603451267739148E-4</v>
      </c>
    </row>
    <row r="132" spans="1:11" x14ac:dyDescent="0.45">
      <c r="A132" s="32" t="s">
        <v>342</v>
      </c>
      <c r="B132" s="32">
        <v>0</v>
      </c>
      <c r="C132" s="32">
        <v>3118696270</v>
      </c>
      <c r="D132" s="32">
        <v>0</v>
      </c>
      <c r="E132" s="32">
        <v>3118696270</v>
      </c>
      <c r="F132" s="33">
        <v>7.1382337379068874E-3</v>
      </c>
      <c r="G132" s="32">
        <v>0</v>
      </c>
      <c r="H132" s="32">
        <v>7944652348</v>
      </c>
      <c r="I132" s="32">
        <v>0</v>
      </c>
      <c r="J132" s="32">
        <v>7944652348</v>
      </c>
      <c r="K132" s="33">
        <v>2.9428082603460575E-3</v>
      </c>
    </row>
    <row r="133" spans="1:11" x14ac:dyDescent="0.45">
      <c r="A133" s="32" t="s">
        <v>271</v>
      </c>
      <c r="B133" s="32">
        <v>744676650</v>
      </c>
      <c r="C133" s="32">
        <v>206492796</v>
      </c>
      <c r="D133" s="32">
        <v>0</v>
      </c>
      <c r="E133" s="32">
        <v>951169446</v>
      </c>
      <c r="F133" s="33">
        <v>2.1770859494128947E-3</v>
      </c>
      <c r="G133" s="32">
        <v>744676650</v>
      </c>
      <c r="H133" s="32">
        <v>5927557909</v>
      </c>
      <c r="I133" s="32">
        <v>0</v>
      </c>
      <c r="J133" s="32">
        <v>6672234559</v>
      </c>
      <c r="K133" s="33">
        <v>2.4714872489209182E-3</v>
      </c>
    </row>
    <row r="134" spans="1:11" x14ac:dyDescent="0.45">
      <c r="A134" s="32" t="s">
        <v>209</v>
      </c>
      <c r="B134" s="32">
        <v>0</v>
      </c>
      <c r="C134" s="32">
        <v>-359246147</v>
      </c>
      <c r="D134" s="32">
        <v>0</v>
      </c>
      <c r="E134" s="32">
        <v>-359246147</v>
      </c>
      <c r="F134" s="33">
        <v>-8.2226120940224079E-4</v>
      </c>
      <c r="G134" s="32">
        <v>1804618080</v>
      </c>
      <c r="H134" s="32">
        <v>1402102071</v>
      </c>
      <c r="I134" s="32">
        <v>0</v>
      </c>
      <c r="J134" s="32">
        <v>3206720151</v>
      </c>
      <c r="K134" s="33">
        <v>1.1878131522465652E-3</v>
      </c>
    </row>
    <row r="135" spans="1:11" x14ac:dyDescent="0.45">
      <c r="A135" s="32" t="s">
        <v>110</v>
      </c>
      <c r="B135" s="32">
        <v>6234139416</v>
      </c>
      <c r="C135" s="32">
        <v>-11069956671</v>
      </c>
      <c r="D135" s="32">
        <v>634166760</v>
      </c>
      <c r="E135" s="32">
        <v>-4201650495</v>
      </c>
      <c r="F135" s="33">
        <v>-9.6169555229891537E-3</v>
      </c>
      <c r="G135" s="32">
        <v>6234139416</v>
      </c>
      <c r="H135" s="32">
        <v>14516904776</v>
      </c>
      <c r="I135" s="32">
        <v>634163805</v>
      </c>
      <c r="J135" s="32">
        <v>21385207997</v>
      </c>
      <c r="K135" s="33">
        <v>7.9213745279405352E-3</v>
      </c>
    </row>
    <row r="136" spans="1:11" x14ac:dyDescent="0.45">
      <c r="A136" s="32" t="s">
        <v>82</v>
      </c>
      <c r="B136" s="32">
        <v>0</v>
      </c>
      <c r="C136" s="32">
        <v>2005648344</v>
      </c>
      <c r="D136" s="32">
        <v>44340260</v>
      </c>
      <c r="E136" s="32">
        <v>2049988604</v>
      </c>
      <c r="F136" s="33">
        <v>4.6921202157969178E-3</v>
      </c>
      <c r="G136" s="32">
        <v>0</v>
      </c>
      <c r="H136" s="32">
        <v>10931031978</v>
      </c>
      <c r="I136" s="32">
        <v>207146474</v>
      </c>
      <c r="J136" s="32">
        <v>11138178452</v>
      </c>
      <c r="K136" s="33">
        <v>4.1257341565116481E-3</v>
      </c>
    </row>
    <row r="137" spans="1:11" x14ac:dyDescent="0.45">
      <c r="A137" s="32" t="s">
        <v>276</v>
      </c>
      <c r="B137" s="32">
        <v>0</v>
      </c>
      <c r="C137" s="32">
        <v>-10577598200</v>
      </c>
      <c r="D137" s="32">
        <v>0</v>
      </c>
      <c r="E137" s="32">
        <v>-10577598200</v>
      </c>
      <c r="F137" s="33">
        <v>-2.4210555245016908E-2</v>
      </c>
      <c r="G137" s="32">
        <v>8450000000</v>
      </c>
      <c r="H137" s="32">
        <v>-15977193759</v>
      </c>
      <c r="I137" s="32">
        <v>0</v>
      </c>
      <c r="J137" s="32">
        <v>-7527193759</v>
      </c>
      <c r="K137" s="33">
        <v>-2.7881758698713659E-3</v>
      </c>
    </row>
    <row r="138" spans="1:11" x14ac:dyDescent="0.45">
      <c r="A138" s="32" t="s">
        <v>185</v>
      </c>
      <c r="B138" s="32">
        <v>2906681004</v>
      </c>
      <c r="C138" s="32">
        <v>-3251362752</v>
      </c>
      <c r="D138" s="32">
        <v>0</v>
      </c>
      <c r="E138" s="32">
        <v>-344681748</v>
      </c>
      <c r="F138" s="33">
        <v>-7.8892545775684653E-4</v>
      </c>
      <c r="G138" s="32">
        <v>2906681004</v>
      </c>
      <c r="H138" s="32">
        <v>-1021965009</v>
      </c>
      <c r="I138" s="32">
        <v>0</v>
      </c>
      <c r="J138" s="32">
        <v>1884715995</v>
      </c>
      <c r="K138" s="33">
        <v>6.9812466997232268E-4</v>
      </c>
    </row>
    <row r="139" spans="1:11" x14ac:dyDescent="0.45">
      <c r="A139" s="32" t="s">
        <v>343</v>
      </c>
      <c r="B139" s="32">
        <v>0</v>
      </c>
      <c r="C139" s="32">
        <v>670402419</v>
      </c>
      <c r="D139" s="32">
        <v>0</v>
      </c>
      <c r="E139" s="32">
        <v>670402419</v>
      </c>
      <c r="F139" s="33">
        <v>1.5344518192790186E-3</v>
      </c>
      <c r="G139" s="32">
        <v>333500000</v>
      </c>
      <c r="H139" s="32">
        <v>493530291</v>
      </c>
      <c r="I139" s="32">
        <v>0</v>
      </c>
      <c r="J139" s="32">
        <v>827030291</v>
      </c>
      <c r="K139" s="33">
        <v>3.0634336976669474E-4</v>
      </c>
    </row>
    <row r="140" spans="1:11" x14ac:dyDescent="0.45">
      <c r="A140" s="32" t="s">
        <v>261</v>
      </c>
      <c r="B140" s="32">
        <v>46399232</v>
      </c>
      <c r="C140" s="32">
        <v>-173371506</v>
      </c>
      <c r="D140" s="32">
        <v>0</v>
      </c>
      <c r="E140" s="32">
        <v>-126972274</v>
      </c>
      <c r="F140" s="33">
        <v>-2.9062072468043112E-4</v>
      </c>
      <c r="G140" s="32">
        <v>46399232</v>
      </c>
      <c r="H140" s="32">
        <v>-32497120</v>
      </c>
      <c r="I140" s="32">
        <v>0</v>
      </c>
      <c r="J140" s="32">
        <v>13902112</v>
      </c>
      <c r="K140" s="33">
        <v>5.1495330743018748E-6</v>
      </c>
    </row>
    <row r="141" spans="1:11" x14ac:dyDescent="0.45">
      <c r="A141" s="32" t="s">
        <v>344</v>
      </c>
      <c r="B141" s="32">
        <v>0</v>
      </c>
      <c r="C141" s="32">
        <v>1923757848</v>
      </c>
      <c r="D141" s="32">
        <v>0</v>
      </c>
      <c r="E141" s="32">
        <v>1923757848</v>
      </c>
      <c r="F141" s="33">
        <v>4.4031967159651464E-3</v>
      </c>
      <c r="G141" s="32">
        <v>0</v>
      </c>
      <c r="H141" s="32">
        <v>7626111719</v>
      </c>
      <c r="I141" s="32">
        <v>0</v>
      </c>
      <c r="J141" s="32">
        <v>7626111719</v>
      </c>
      <c r="K141" s="33">
        <v>2.8248164397835112E-3</v>
      </c>
    </row>
    <row r="142" spans="1:11" x14ac:dyDescent="0.45">
      <c r="A142" s="32" t="s">
        <v>345</v>
      </c>
      <c r="B142" s="32">
        <v>0</v>
      </c>
      <c r="C142" s="32">
        <v>1285044046</v>
      </c>
      <c r="D142" s="32">
        <v>0</v>
      </c>
      <c r="E142" s="32">
        <v>1285044046</v>
      </c>
      <c r="F142" s="33">
        <v>2.9412754464395374E-3</v>
      </c>
      <c r="G142" s="32">
        <v>0</v>
      </c>
      <c r="H142" s="32">
        <v>8562766970</v>
      </c>
      <c r="I142" s="32">
        <v>0</v>
      </c>
      <c r="J142" s="32">
        <v>8562766970</v>
      </c>
      <c r="K142" s="33">
        <v>3.1717663992028443E-3</v>
      </c>
    </row>
    <row r="143" spans="1:11" x14ac:dyDescent="0.45">
      <c r="A143" s="32" t="s">
        <v>346</v>
      </c>
      <c r="B143" s="32">
        <v>0</v>
      </c>
      <c r="C143" s="32">
        <v>0</v>
      </c>
      <c r="D143" s="32">
        <v>0</v>
      </c>
      <c r="E143" s="32">
        <v>0</v>
      </c>
      <c r="F143" s="33">
        <v>0</v>
      </c>
      <c r="G143" s="32">
        <v>0</v>
      </c>
      <c r="H143" s="32">
        <v>-7419613155</v>
      </c>
      <c r="I143" s="32">
        <v>0</v>
      </c>
      <c r="J143" s="32">
        <v>-7419613155</v>
      </c>
      <c r="K143" s="33">
        <v>-2.7483265377374159E-3</v>
      </c>
    </row>
    <row r="144" spans="1:11" x14ac:dyDescent="0.45">
      <c r="A144" s="32" t="s">
        <v>240</v>
      </c>
      <c r="B144" s="32">
        <v>0</v>
      </c>
      <c r="C144" s="32">
        <v>-8666322356</v>
      </c>
      <c r="D144" s="32">
        <v>0</v>
      </c>
      <c r="E144" s="32">
        <v>-8666322356</v>
      </c>
      <c r="F144" s="33">
        <v>-1.9835927987041813E-2</v>
      </c>
      <c r="G144" s="32">
        <v>3806450365</v>
      </c>
      <c r="H144" s="32">
        <v>-951056591</v>
      </c>
      <c r="I144" s="32">
        <v>0</v>
      </c>
      <c r="J144" s="32">
        <v>2855393774</v>
      </c>
      <c r="K144" s="33">
        <v>1.0576770406804845E-3</v>
      </c>
    </row>
    <row r="145" spans="1:11" x14ac:dyDescent="0.45">
      <c r="A145" s="32" t="s">
        <v>130</v>
      </c>
      <c r="B145" s="32">
        <v>0</v>
      </c>
      <c r="C145" s="32">
        <v>3151735492</v>
      </c>
      <c r="D145" s="32">
        <v>1070138499</v>
      </c>
      <c r="E145" s="32">
        <v>4221873991</v>
      </c>
      <c r="F145" s="33">
        <v>9.6632441092917975E-3</v>
      </c>
      <c r="G145" s="32">
        <v>0</v>
      </c>
      <c r="H145" s="32">
        <v>10420682374</v>
      </c>
      <c r="I145" s="32">
        <v>1070138499</v>
      </c>
      <c r="J145" s="32">
        <v>11490820873</v>
      </c>
      <c r="K145" s="33">
        <v>4.2563577488364248E-3</v>
      </c>
    </row>
    <row r="146" spans="1:11" x14ac:dyDescent="0.45">
      <c r="A146" s="32" t="s">
        <v>347</v>
      </c>
      <c r="B146" s="32">
        <v>0</v>
      </c>
      <c r="C146" s="32">
        <v>-5599969912</v>
      </c>
      <c r="D146" s="32">
        <v>0</v>
      </c>
      <c r="E146" s="32">
        <v>-5599969912</v>
      </c>
      <c r="F146" s="33">
        <v>-1.281750151229118E-2</v>
      </c>
      <c r="G146" s="32">
        <v>0</v>
      </c>
      <c r="H146" s="32">
        <v>4388967063</v>
      </c>
      <c r="I146" s="32">
        <v>0</v>
      </c>
      <c r="J146" s="32">
        <v>4388967063</v>
      </c>
      <c r="K146" s="33">
        <v>1.6257336333457867E-3</v>
      </c>
    </row>
    <row r="147" spans="1:11" x14ac:dyDescent="0.45">
      <c r="A147" s="32" t="s">
        <v>144</v>
      </c>
      <c r="B147" s="32">
        <v>0</v>
      </c>
      <c r="C147" s="32">
        <v>38655258133</v>
      </c>
      <c r="D147" s="32">
        <v>13400929110</v>
      </c>
      <c r="E147" s="32">
        <v>52056187243</v>
      </c>
      <c r="F147" s="33">
        <v>0.11914890065417648</v>
      </c>
      <c r="G147" s="32">
        <v>1515856860</v>
      </c>
      <c r="H147" s="32">
        <v>79688092494</v>
      </c>
      <c r="I147" s="32">
        <v>13731766322</v>
      </c>
      <c r="J147" s="32">
        <v>94935715676</v>
      </c>
      <c r="K147" s="33">
        <v>3.5165491963097477E-2</v>
      </c>
    </row>
    <row r="148" spans="1:11" x14ac:dyDescent="0.45">
      <c r="A148" s="32" t="s">
        <v>167</v>
      </c>
      <c r="B148" s="32">
        <v>0</v>
      </c>
      <c r="C148" s="32">
        <v>-5383707</v>
      </c>
      <c r="D148" s="32">
        <v>1215570971</v>
      </c>
      <c r="E148" s="32">
        <v>1210187264</v>
      </c>
      <c r="F148" s="33">
        <v>2.7699393622162604E-3</v>
      </c>
      <c r="G148" s="32">
        <v>2038135050</v>
      </c>
      <c r="H148" s="32">
        <v>4357069965</v>
      </c>
      <c r="I148" s="32">
        <v>1539717707</v>
      </c>
      <c r="J148" s="32">
        <v>7934922722</v>
      </c>
      <c r="K148" s="33">
        <v>2.939204273348428E-3</v>
      </c>
    </row>
    <row r="149" spans="1:11" x14ac:dyDescent="0.45">
      <c r="A149" s="32" t="s">
        <v>291</v>
      </c>
      <c r="B149" s="32">
        <v>0</v>
      </c>
      <c r="C149" s="32">
        <v>-261498548</v>
      </c>
      <c r="D149" s="32">
        <v>0</v>
      </c>
      <c r="E149" s="32">
        <v>-261498548</v>
      </c>
      <c r="F149" s="33">
        <v>-5.9853143626175038E-4</v>
      </c>
      <c r="G149" s="32">
        <v>1522650584</v>
      </c>
      <c r="H149" s="32">
        <v>3749217475</v>
      </c>
      <c r="I149" s="32">
        <v>0</v>
      </c>
      <c r="J149" s="32">
        <v>5271868059</v>
      </c>
      <c r="K149" s="33">
        <v>1.9527722790016458E-3</v>
      </c>
    </row>
    <row r="150" spans="1:11" x14ac:dyDescent="0.45">
      <c r="A150" s="32" t="s">
        <v>226</v>
      </c>
      <c r="B150" s="32">
        <v>1670854500</v>
      </c>
      <c r="C150" s="32">
        <v>-1610569115</v>
      </c>
      <c r="D150" s="32">
        <v>0</v>
      </c>
      <c r="E150" s="32">
        <v>60285385</v>
      </c>
      <c r="F150" s="33">
        <v>1.3798431519261277E-4</v>
      </c>
      <c r="G150" s="32">
        <v>1670854500</v>
      </c>
      <c r="H150" s="32">
        <v>10639165871</v>
      </c>
      <c r="I150" s="32">
        <v>0</v>
      </c>
      <c r="J150" s="32">
        <v>12310020371</v>
      </c>
      <c r="K150" s="33">
        <v>4.5598004854078529E-3</v>
      </c>
    </row>
    <row r="151" spans="1:11" x14ac:dyDescent="0.45">
      <c r="A151" s="32" t="s">
        <v>85</v>
      </c>
      <c r="B151" s="32">
        <v>4950000000</v>
      </c>
      <c r="C151" s="32">
        <v>-14498772390</v>
      </c>
      <c r="D151" s="32">
        <v>22655869500</v>
      </c>
      <c r="E151" s="32">
        <v>13107097110</v>
      </c>
      <c r="F151" s="33">
        <v>3.0000203513445657E-2</v>
      </c>
      <c r="G151" s="32">
        <v>4950000000</v>
      </c>
      <c r="H151" s="32">
        <v>22224744810</v>
      </c>
      <c r="I151" s="32">
        <v>76009511500</v>
      </c>
      <c r="J151" s="32">
        <v>103184256310</v>
      </c>
      <c r="K151" s="33">
        <v>3.8220864615073374E-2</v>
      </c>
    </row>
    <row r="152" spans="1:11" x14ac:dyDescent="0.45">
      <c r="A152" s="32" t="s">
        <v>92</v>
      </c>
      <c r="B152" s="32">
        <v>0</v>
      </c>
      <c r="C152" s="32">
        <v>-3882474190</v>
      </c>
      <c r="D152" s="32">
        <v>1930803939</v>
      </c>
      <c r="E152" s="32">
        <v>-1951670251</v>
      </c>
      <c r="F152" s="33">
        <v>-4.4670840713056693E-3</v>
      </c>
      <c r="G152" s="32">
        <v>0</v>
      </c>
      <c r="H152" s="32">
        <v>3704492560</v>
      </c>
      <c r="I152" s="32">
        <v>1930803939</v>
      </c>
      <c r="J152" s="32">
        <v>5635296499</v>
      </c>
      <c r="K152" s="33">
        <v>2.0873911607889551E-3</v>
      </c>
    </row>
    <row r="153" spans="1:11" x14ac:dyDescent="0.45">
      <c r="A153" s="32" t="s">
        <v>256</v>
      </c>
      <c r="B153" s="32">
        <v>2967249000</v>
      </c>
      <c r="C153" s="32">
        <v>-2169493174</v>
      </c>
      <c r="D153" s="32">
        <v>0</v>
      </c>
      <c r="E153" s="32">
        <v>797755826</v>
      </c>
      <c r="F153" s="33">
        <v>1.825944900932907E-3</v>
      </c>
      <c r="G153" s="32">
        <v>2967249000</v>
      </c>
      <c r="H153" s="32">
        <v>14685402607</v>
      </c>
      <c r="I153" s="32">
        <v>0</v>
      </c>
      <c r="J153" s="32">
        <v>17652651607</v>
      </c>
      <c r="K153" s="33">
        <v>6.5387844163084458E-3</v>
      </c>
    </row>
    <row r="154" spans="1:11" x14ac:dyDescent="0.45">
      <c r="A154" s="32" t="s">
        <v>188</v>
      </c>
      <c r="B154" s="32">
        <v>1127493108</v>
      </c>
      <c r="C154" s="32">
        <v>-1629524370</v>
      </c>
      <c r="D154" s="32">
        <v>0</v>
      </c>
      <c r="E154" s="32">
        <v>-502031262</v>
      </c>
      <c r="F154" s="33">
        <v>-1.1490751845136789E-3</v>
      </c>
      <c r="G154" s="32">
        <v>1127493108</v>
      </c>
      <c r="H154" s="32">
        <v>12337437084</v>
      </c>
      <c r="I154" s="32">
        <v>0</v>
      </c>
      <c r="J154" s="32">
        <v>13464930192</v>
      </c>
      <c r="K154" s="33">
        <v>4.9875949328325002E-3</v>
      </c>
    </row>
    <row r="155" spans="1:11" x14ac:dyDescent="0.45">
      <c r="A155" s="32" t="s">
        <v>141</v>
      </c>
      <c r="B155" s="32">
        <v>0</v>
      </c>
      <c r="C155" s="32">
        <v>-8485587451</v>
      </c>
      <c r="D155" s="32">
        <v>497412244</v>
      </c>
      <c r="E155" s="32">
        <v>-7988175207</v>
      </c>
      <c r="F155" s="33">
        <v>-1.8283749628147897E-2</v>
      </c>
      <c r="G155" s="32">
        <v>0</v>
      </c>
      <c r="H155" s="32">
        <v>-3521436918</v>
      </c>
      <c r="I155" s="32">
        <v>86151484</v>
      </c>
      <c r="J155" s="32">
        <v>-3435285434</v>
      </c>
      <c r="K155" s="33">
        <v>-1.2724768698490179E-3</v>
      </c>
    </row>
    <row r="156" spans="1:11" x14ac:dyDescent="0.45">
      <c r="A156" s="32" t="s">
        <v>137</v>
      </c>
      <c r="B156" s="32">
        <v>2799690240</v>
      </c>
      <c r="C156" s="32">
        <v>-3212118734</v>
      </c>
      <c r="D156" s="32">
        <v>0</v>
      </c>
      <c r="E156" s="32">
        <v>-412428494</v>
      </c>
      <c r="F156" s="33">
        <v>-9.4398772290349659E-4</v>
      </c>
      <c r="G156" s="32">
        <v>2799690240</v>
      </c>
      <c r="H156" s="32">
        <v>8092463640</v>
      </c>
      <c r="I156" s="32">
        <v>3976941057</v>
      </c>
      <c r="J156" s="32">
        <v>14869094937</v>
      </c>
      <c r="K156" s="33">
        <v>5.5077168248260444E-3</v>
      </c>
    </row>
    <row r="157" spans="1:11" x14ac:dyDescent="0.45">
      <c r="A157" s="32" t="s">
        <v>120</v>
      </c>
      <c r="B157" s="32">
        <v>0</v>
      </c>
      <c r="C157" s="32">
        <v>-4868005815</v>
      </c>
      <c r="D157" s="32">
        <v>2691310596</v>
      </c>
      <c r="E157" s="32">
        <v>-2176695219</v>
      </c>
      <c r="F157" s="33">
        <v>-4.9821328863828155E-3</v>
      </c>
      <c r="G157" s="32">
        <v>0</v>
      </c>
      <c r="H157" s="32">
        <v>7173694530</v>
      </c>
      <c r="I157" s="32">
        <v>2691310596</v>
      </c>
      <c r="J157" s="32">
        <v>9865005126</v>
      </c>
      <c r="K157" s="33">
        <v>3.6541332838128863E-3</v>
      </c>
    </row>
    <row r="158" spans="1:11" x14ac:dyDescent="0.45">
      <c r="A158" s="32" t="s">
        <v>348</v>
      </c>
      <c r="B158" s="32">
        <v>0</v>
      </c>
      <c r="C158" s="32">
        <v>-200881588</v>
      </c>
      <c r="D158" s="32">
        <v>0</v>
      </c>
      <c r="E158" s="32">
        <v>-200881588</v>
      </c>
      <c r="F158" s="33">
        <v>-4.5978819501583311E-4</v>
      </c>
      <c r="G158" s="32">
        <v>0</v>
      </c>
      <c r="H158" s="32">
        <v>13519330910</v>
      </c>
      <c r="I158" s="32">
        <v>0</v>
      </c>
      <c r="J158" s="32">
        <v>13519330910</v>
      </c>
      <c r="K158" s="33">
        <v>5.0077457053630892E-3</v>
      </c>
    </row>
    <row r="159" spans="1:11" x14ac:dyDescent="0.45">
      <c r="A159" s="32" t="s">
        <v>349</v>
      </c>
      <c r="B159" s="32">
        <v>0</v>
      </c>
      <c r="C159" s="32">
        <v>15132569777</v>
      </c>
      <c r="D159" s="32">
        <v>795797500</v>
      </c>
      <c r="E159" s="32">
        <v>15928367277</v>
      </c>
      <c r="F159" s="33">
        <v>3.6457672964239463E-2</v>
      </c>
      <c r="G159" s="32">
        <v>1503117000</v>
      </c>
      <c r="H159" s="32">
        <v>28390328938</v>
      </c>
      <c r="I159" s="32">
        <v>795797500</v>
      </c>
      <c r="J159" s="32">
        <v>30689243438</v>
      </c>
      <c r="K159" s="33">
        <v>1.1367716941805876E-2</v>
      </c>
    </row>
    <row r="160" spans="1:11" x14ac:dyDescent="0.45">
      <c r="A160" s="32" t="s">
        <v>159</v>
      </c>
      <c r="B160" s="32">
        <v>0</v>
      </c>
      <c r="C160" s="32">
        <v>4554519300</v>
      </c>
      <c r="D160" s="32">
        <v>0</v>
      </c>
      <c r="E160" s="32">
        <v>4554519300</v>
      </c>
      <c r="F160" s="33">
        <v>1.0424619941334673E-2</v>
      </c>
      <c r="G160" s="32">
        <v>0</v>
      </c>
      <c r="H160" s="32">
        <v>13442374570</v>
      </c>
      <c r="I160" s="32">
        <v>1891774875</v>
      </c>
      <c r="J160" s="32">
        <v>15334149445</v>
      </c>
      <c r="K160" s="33">
        <v>5.6799793968941728E-3</v>
      </c>
    </row>
    <row r="161" spans="1:11" x14ac:dyDescent="0.45">
      <c r="A161" s="32" t="s">
        <v>350</v>
      </c>
      <c r="B161" s="32">
        <v>236800000</v>
      </c>
      <c r="C161" s="32">
        <v>-641403328</v>
      </c>
      <c r="D161" s="32">
        <v>0</v>
      </c>
      <c r="E161" s="32">
        <v>-404603328</v>
      </c>
      <c r="F161" s="33">
        <v>-9.2607707720091849E-4</v>
      </c>
      <c r="G161" s="32">
        <v>236800000</v>
      </c>
      <c r="H161" s="32">
        <v>-1202189969</v>
      </c>
      <c r="I161" s="32">
        <v>0</v>
      </c>
      <c r="J161" s="32">
        <v>-965389969</v>
      </c>
      <c r="K161" s="33">
        <v>-3.575936933154302E-4</v>
      </c>
    </row>
    <row r="162" spans="1:11" x14ac:dyDescent="0.45">
      <c r="A162" s="32" t="s">
        <v>351</v>
      </c>
      <c r="B162" s="32">
        <v>0</v>
      </c>
      <c r="C162" s="32">
        <v>-7078854180</v>
      </c>
      <c r="D162" s="32">
        <v>0</v>
      </c>
      <c r="E162" s="32">
        <v>-7078854180</v>
      </c>
      <c r="F162" s="33">
        <v>-1.6202448510126699E-2</v>
      </c>
      <c r="G162" s="32">
        <v>0</v>
      </c>
      <c r="H162" s="32">
        <v>2802765842</v>
      </c>
      <c r="I162" s="32">
        <v>0</v>
      </c>
      <c r="J162" s="32">
        <v>2802765842</v>
      </c>
      <c r="K162" s="33">
        <v>1.0381829324136176E-3</v>
      </c>
    </row>
    <row r="163" spans="1:11" x14ac:dyDescent="0.45">
      <c r="A163" s="32" t="s">
        <v>352</v>
      </c>
      <c r="B163" s="32">
        <v>0</v>
      </c>
      <c r="C163" s="32">
        <v>-2263693612</v>
      </c>
      <c r="D163" s="32">
        <v>0</v>
      </c>
      <c r="E163" s="32">
        <v>-2263693612</v>
      </c>
      <c r="F163" s="33">
        <v>-5.1812593194471941E-3</v>
      </c>
      <c r="G163" s="32">
        <v>0</v>
      </c>
      <c r="H163" s="32">
        <v>15723249001</v>
      </c>
      <c r="I163" s="32">
        <v>0</v>
      </c>
      <c r="J163" s="32">
        <v>15723249001</v>
      </c>
      <c r="K163" s="33">
        <v>5.8241072123525845E-3</v>
      </c>
    </row>
    <row r="164" spans="1:11" x14ac:dyDescent="0.45">
      <c r="A164" s="32" t="s">
        <v>139</v>
      </c>
      <c r="B164" s="32">
        <v>0</v>
      </c>
      <c r="C164" s="32">
        <v>2725776152</v>
      </c>
      <c r="D164" s="32">
        <v>270108258</v>
      </c>
      <c r="E164" s="32">
        <v>2995884410</v>
      </c>
      <c r="F164" s="33">
        <v>6.8571355845214359E-3</v>
      </c>
      <c r="G164" s="32">
        <v>0</v>
      </c>
      <c r="H164" s="32">
        <v>13556424471</v>
      </c>
      <c r="I164" s="32">
        <v>270108258</v>
      </c>
      <c r="J164" s="32">
        <v>13826532729</v>
      </c>
      <c r="K164" s="33">
        <v>5.1215374750903219E-3</v>
      </c>
    </row>
    <row r="165" spans="1:11" x14ac:dyDescent="0.45">
      <c r="A165" s="32" t="s">
        <v>353</v>
      </c>
      <c r="B165" s="32">
        <v>0</v>
      </c>
      <c r="C165" s="32">
        <v>-2731853068</v>
      </c>
      <c r="D165" s="32">
        <v>0</v>
      </c>
      <c r="E165" s="32">
        <v>-2731853068</v>
      </c>
      <c r="F165" s="33">
        <v>-6.252806958018403E-3</v>
      </c>
      <c r="G165" s="32">
        <v>0</v>
      </c>
      <c r="H165" s="32">
        <v>13151420860</v>
      </c>
      <c r="I165" s="32">
        <v>0</v>
      </c>
      <c r="J165" s="32">
        <v>13151420860</v>
      </c>
      <c r="K165" s="33">
        <v>4.8714667737271584E-3</v>
      </c>
    </row>
    <row r="166" spans="1:11" x14ac:dyDescent="0.45">
      <c r="A166" s="32" t="s">
        <v>138</v>
      </c>
      <c r="B166" s="32">
        <v>0</v>
      </c>
      <c r="C166" s="32">
        <v>9214464</v>
      </c>
      <c r="D166" s="32">
        <v>251924735</v>
      </c>
      <c r="E166" s="32">
        <v>261139199</v>
      </c>
      <c r="F166" s="33">
        <v>5.9770893963706842E-4</v>
      </c>
      <c r="G166" s="32">
        <v>7076893570</v>
      </c>
      <c r="H166" s="32">
        <v>6222893602</v>
      </c>
      <c r="I166" s="32">
        <v>251924735</v>
      </c>
      <c r="J166" s="32">
        <v>13551711907</v>
      </c>
      <c r="K166" s="33">
        <v>5.0197400710415103E-3</v>
      </c>
    </row>
    <row r="167" spans="1:11" x14ac:dyDescent="0.45">
      <c r="A167" s="32" t="s">
        <v>305</v>
      </c>
      <c r="B167" s="32">
        <v>0</v>
      </c>
      <c r="C167" s="32">
        <v>2515289061</v>
      </c>
      <c r="D167" s="32">
        <v>0</v>
      </c>
      <c r="E167" s="32">
        <v>2515289061</v>
      </c>
      <c r="F167" s="33">
        <v>5.7571240292079917E-3</v>
      </c>
      <c r="G167" s="32">
        <v>3902416320</v>
      </c>
      <c r="H167" s="32">
        <v>9862466378</v>
      </c>
      <c r="I167" s="32">
        <v>0</v>
      </c>
      <c r="J167" s="32">
        <v>13764882698</v>
      </c>
      <c r="K167" s="33">
        <v>5.0987014575365691E-3</v>
      </c>
    </row>
    <row r="168" spans="1:11" x14ac:dyDescent="0.45">
      <c r="A168" s="32" t="s">
        <v>118</v>
      </c>
      <c r="B168" s="32">
        <v>10320000000</v>
      </c>
      <c r="C168" s="32">
        <v>-3726748836</v>
      </c>
      <c r="D168" s="32">
        <v>373473306</v>
      </c>
      <c r="E168" s="32">
        <v>6966724470</v>
      </c>
      <c r="F168" s="33">
        <v>1.5945800215567477E-2</v>
      </c>
      <c r="G168" s="32">
        <v>10320000000</v>
      </c>
      <c r="H168" s="32">
        <v>8182837928</v>
      </c>
      <c r="I168" s="32">
        <v>373473306</v>
      </c>
      <c r="J168" s="32">
        <v>18876311234</v>
      </c>
      <c r="K168" s="33">
        <v>6.9920447353825832E-3</v>
      </c>
    </row>
    <row r="169" spans="1:11" x14ac:dyDescent="0.45">
      <c r="A169" s="32" t="s">
        <v>354</v>
      </c>
      <c r="B169" s="32">
        <v>0</v>
      </c>
      <c r="C169" s="32">
        <v>-712591338</v>
      </c>
      <c r="D169" s="32">
        <v>0</v>
      </c>
      <c r="E169" s="32">
        <v>-712591338</v>
      </c>
      <c r="F169" s="33">
        <v>-1.6310160047268117E-3</v>
      </c>
      <c r="G169" s="32">
        <v>0</v>
      </c>
      <c r="H169" s="32">
        <v>11520226628</v>
      </c>
      <c r="I169" s="32">
        <v>0</v>
      </c>
      <c r="J169" s="32">
        <v>11520226628</v>
      </c>
      <c r="K169" s="33">
        <v>4.2672500440464846E-3</v>
      </c>
    </row>
    <row r="170" spans="1:11" x14ac:dyDescent="0.45">
      <c r="A170" s="32" t="s">
        <v>212</v>
      </c>
      <c r="B170" s="32">
        <v>0</v>
      </c>
      <c r="C170" s="32">
        <v>756605875</v>
      </c>
      <c r="D170" s="32">
        <v>0</v>
      </c>
      <c r="E170" s="32">
        <v>756605875</v>
      </c>
      <c r="F170" s="33">
        <v>1.731758759317579E-3</v>
      </c>
      <c r="G170" s="32">
        <v>187500000</v>
      </c>
      <c r="H170" s="32">
        <v>1265144250</v>
      </c>
      <c r="I170" s="32">
        <v>0</v>
      </c>
      <c r="J170" s="32">
        <v>1452644250</v>
      </c>
      <c r="K170" s="33">
        <v>5.3807936596751932E-4</v>
      </c>
    </row>
    <row r="171" spans="1:11" x14ac:dyDescent="0.45">
      <c r="A171" s="32" t="s">
        <v>207</v>
      </c>
      <c r="B171" s="32">
        <v>0</v>
      </c>
      <c r="C171" s="32">
        <v>-1085962614</v>
      </c>
      <c r="D171" s="32">
        <v>0</v>
      </c>
      <c r="E171" s="32">
        <v>-1085962614</v>
      </c>
      <c r="F171" s="33">
        <v>-2.4856075418207861E-3</v>
      </c>
      <c r="G171" s="32">
        <v>1143000000</v>
      </c>
      <c r="H171" s="32">
        <v>-164453868</v>
      </c>
      <c r="I171" s="32">
        <v>0</v>
      </c>
      <c r="J171" s="32">
        <v>978546132</v>
      </c>
      <c r="K171" s="33">
        <v>3.6246691664289341E-4</v>
      </c>
    </row>
    <row r="172" spans="1:11" x14ac:dyDescent="0.45">
      <c r="A172" s="32" t="s">
        <v>355</v>
      </c>
      <c r="B172" s="32">
        <v>0</v>
      </c>
      <c r="C172" s="32">
        <v>61272672</v>
      </c>
      <c r="D172" s="32">
        <v>0</v>
      </c>
      <c r="E172" s="32">
        <v>61272672</v>
      </c>
      <c r="F172" s="33">
        <v>1.4024406887244031E-4</v>
      </c>
      <c r="G172" s="32">
        <v>0</v>
      </c>
      <c r="H172" s="32">
        <v>522430155</v>
      </c>
      <c r="I172" s="32">
        <v>0</v>
      </c>
      <c r="J172" s="32">
        <v>522430155</v>
      </c>
      <c r="K172" s="33">
        <v>1.9351529912758255E-4</v>
      </c>
    </row>
    <row r="173" spans="1:11" x14ac:dyDescent="0.45">
      <c r="A173" s="32" t="s">
        <v>86</v>
      </c>
      <c r="B173" s="32">
        <v>0</v>
      </c>
      <c r="C173" s="32">
        <v>6733048296</v>
      </c>
      <c r="D173" s="32">
        <v>261288654</v>
      </c>
      <c r="E173" s="32">
        <v>6994336950</v>
      </c>
      <c r="F173" s="33">
        <v>1.6009001091593558E-2</v>
      </c>
      <c r="G173" s="32">
        <v>0</v>
      </c>
      <c r="H173" s="32">
        <v>16157158046</v>
      </c>
      <c r="I173" s="32">
        <v>434401050</v>
      </c>
      <c r="J173" s="32">
        <v>16591559096</v>
      </c>
      <c r="K173" s="33">
        <v>6.1457411880357542E-3</v>
      </c>
    </row>
    <row r="174" spans="1:11" x14ac:dyDescent="0.45">
      <c r="A174" s="32" t="s">
        <v>195</v>
      </c>
      <c r="B174" s="32">
        <v>1482852504</v>
      </c>
      <c r="C174" s="32">
        <v>-561402492</v>
      </c>
      <c r="D174" s="32">
        <v>0</v>
      </c>
      <c r="E174" s="32">
        <v>921450012</v>
      </c>
      <c r="F174" s="33">
        <v>2.1090625678187977E-3</v>
      </c>
      <c r="G174" s="32">
        <v>1482852504</v>
      </c>
      <c r="H174" s="32">
        <v>9409321415</v>
      </c>
      <c r="I174" s="32">
        <v>0</v>
      </c>
      <c r="J174" s="32">
        <v>10892173919</v>
      </c>
      <c r="K174" s="33">
        <v>4.0346107013767962E-3</v>
      </c>
    </row>
    <row r="175" spans="1:11" x14ac:dyDescent="0.45">
      <c r="A175" s="32" t="s">
        <v>102</v>
      </c>
      <c r="B175" s="32">
        <v>913816380</v>
      </c>
      <c r="C175" s="32">
        <v>318588744</v>
      </c>
      <c r="D175" s="32">
        <v>0</v>
      </c>
      <c r="E175" s="32">
        <v>1232405124</v>
      </c>
      <c r="F175" s="33">
        <v>2.8207927522567377E-3</v>
      </c>
      <c r="G175" s="32">
        <v>913816380</v>
      </c>
      <c r="H175" s="32">
        <v>5213282165</v>
      </c>
      <c r="I175" s="32">
        <v>-293174328</v>
      </c>
      <c r="J175" s="32">
        <v>5833924217</v>
      </c>
      <c r="K175" s="33">
        <v>2.1609655934589052E-3</v>
      </c>
    </row>
    <row r="176" spans="1:11" x14ac:dyDescent="0.45">
      <c r="A176" s="32" t="s">
        <v>356</v>
      </c>
      <c r="B176" s="32">
        <v>0</v>
      </c>
      <c r="C176" s="32">
        <v>2236636166</v>
      </c>
      <c r="D176" s="32">
        <v>0</v>
      </c>
      <c r="E176" s="32">
        <v>2236636166</v>
      </c>
      <c r="F176" s="33">
        <v>5.1193288340207329E-3</v>
      </c>
      <c r="G176" s="32">
        <v>0</v>
      </c>
      <c r="H176" s="32">
        <v>5471893</v>
      </c>
      <c r="I176" s="32">
        <v>0</v>
      </c>
      <c r="J176" s="32">
        <v>5471893</v>
      </c>
      <c r="K176" s="33">
        <v>2.0268642622459743E-6</v>
      </c>
    </row>
    <row r="177" spans="1:11" x14ac:dyDescent="0.45">
      <c r="A177" s="32" t="s">
        <v>146</v>
      </c>
      <c r="B177" s="32">
        <v>0</v>
      </c>
      <c r="C177" s="32">
        <v>-11293640476</v>
      </c>
      <c r="D177" s="32">
        <v>1667599764</v>
      </c>
      <c r="E177" s="32">
        <v>-9626040712</v>
      </c>
      <c r="F177" s="33">
        <v>-2.2032581124953099E-2</v>
      </c>
      <c r="G177" s="32">
        <v>0</v>
      </c>
      <c r="H177" s="32">
        <v>922767914</v>
      </c>
      <c r="I177" s="32">
        <v>2854445327</v>
      </c>
      <c r="J177" s="32">
        <v>3777213241</v>
      </c>
      <c r="K177" s="33">
        <v>1.3991316221032084E-3</v>
      </c>
    </row>
    <row r="178" spans="1:11" x14ac:dyDescent="0.45">
      <c r="A178" s="32" t="s">
        <v>357</v>
      </c>
      <c r="B178" s="32">
        <v>0</v>
      </c>
      <c r="C178" s="32">
        <v>1264900596</v>
      </c>
      <c r="D178" s="32">
        <v>0</v>
      </c>
      <c r="E178" s="32">
        <v>1264900596</v>
      </c>
      <c r="F178" s="33">
        <v>2.8951700735723551E-3</v>
      </c>
      <c r="G178" s="32">
        <v>0</v>
      </c>
      <c r="H178" s="32">
        <v>11090648627</v>
      </c>
      <c r="I178" s="32">
        <v>0</v>
      </c>
      <c r="J178" s="32">
        <v>11090648627</v>
      </c>
      <c r="K178" s="33">
        <v>4.1081284570428705E-3</v>
      </c>
    </row>
    <row r="179" spans="1:11" x14ac:dyDescent="0.45">
      <c r="A179" s="32" t="s">
        <v>358</v>
      </c>
      <c r="B179" s="32">
        <v>3210181763</v>
      </c>
      <c r="C179" s="32">
        <v>17505078156</v>
      </c>
      <c r="D179" s="32">
        <v>447380275</v>
      </c>
      <c r="E179" s="32">
        <v>21162640194</v>
      </c>
      <c r="F179" s="33">
        <v>4.8438148231727346E-2</v>
      </c>
      <c r="G179" s="32">
        <v>3210181763</v>
      </c>
      <c r="H179" s="32">
        <v>43208363769</v>
      </c>
      <c r="I179" s="32">
        <v>447380275</v>
      </c>
      <c r="J179" s="32">
        <v>46865925807</v>
      </c>
      <c r="K179" s="33">
        <v>1.735978209648464E-2</v>
      </c>
    </row>
    <row r="180" spans="1:11" x14ac:dyDescent="0.45">
      <c r="A180" s="32" t="s">
        <v>297</v>
      </c>
      <c r="B180" s="32">
        <v>4498853600</v>
      </c>
      <c r="C180" s="32">
        <v>-8481747177</v>
      </c>
      <c r="D180" s="32">
        <v>0</v>
      </c>
      <c r="E180" s="32">
        <v>-3982893577</v>
      </c>
      <c r="F180" s="33">
        <v>-9.1162533457719644E-3</v>
      </c>
      <c r="G180" s="32">
        <v>4498853600</v>
      </c>
      <c r="H180" s="32">
        <v>5074194172</v>
      </c>
      <c r="I180" s="32">
        <v>0</v>
      </c>
      <c r="J180" s="32">
        <v>9573047772</v>
      </c>
      <c r="K180" s="33">
        <v>3.5459882731333106E-3</v>
      </c>
    </row>
    <row r="181" spans="1:11" x14ac:dyDescent="0.45">
      <c r="A181" s="32" t="s">
        <v>103</v>
      </c>
      <c r="B181" s="32">
        <v>0</v>
      </c>
      <c r="C181" s="32">
        <v>-8673314585</v>
      </c>
      <c r="D181" s="32">
        <v>0</v>
      </c>
      <c r="E181" s="32">
        <v>-8673314585</v>
      </c>
      <c r="F181" s="33">
        <v>-1.985193216334814E-2</v>
      </c>
      <c r="G181" s="32">
        <v>0</v>
      </c>
      <c r="H181" s="32">
        <v>18183166749</v>
      </c>
      <c r="I181" s="32">
        <v>103351864</v>
      </c>
      <c r="J181" s="32">
        <v>18286518613</v>
      </c>
      <c r="K181" s="33">
        <v>6.7735774543810573E-3</v>
      </c>
    </row>
    <row r="182" spans="1:11" x14ac:dyDescent="0.45">
      <c r="A182" s="32" t="s">
        <v>252</v>
      </c>
      <c r="B182" s="32">
        <v>3911151400</v>
      </c>
      <c r="C182" s="32">
        <v>-253752344</v>
      </c>
      <c r="D182" s="32">
        <v>0</v>
      </c>
      <c r="E182" s="32">
        <v>3657399056</v>
      </c>
      <c r="F182" s="33">
        <v>8.3712446080964481E-3</v>
      </c>
      <c r="G182" s="32">
        <v>3911151400</v>
      </c>
      <c r="H182" s="32">
        <v>11866653726</v>
      </c>
      <c r="I182" s="32">
        <v>0</v>
      </c>
      <c r="J182" s="32">
        <v>15777805126</v>
      </c>
      <c r="K182" s="33">
        <v>5.8443155497687445E-3</v>
      </c>
    </row>
    <row r="183" spans="1:11" x14ac:dyDescent="0.45">
      <c r="A183" s="32" t="s">
        <v>105</v>
      </c>
      <c r="B183" s="32">
        <v>0</v>
      </c>
      <c r="C183" s="32">
        <v>-3999815196</v>
      </c>
      <c r="D183" s="32">
        <v>185191689</v>
      </c>
      <c r="E183" s="32">
        <v>-3814623507</v>
      </c>
      <c r="F183" s="33">
        <v>-8.731108084173933E-3</v>
      </c>
      <c r="G183" s="32">
        <v>0</v>
      </c>
      <c r="H183" s="32">
        <v>-906765943</v>
      </c>
      <c r="I183" s="32">
        <v>185191689</v>
      </c>
      <c r="J183" s="32">
        <v>-721574254</v>
      </c>
      <c r="K183" s="33">
        <v>-2.6728100640663099E-4</v>
      </c>
    </row>
    <row r="184" spans="1:11" x14ac:dyDescent="0.45">
      <c r="A184" s="32" t="s">
        <v>119</v>
      </c>
      <c r="B184" s="32">
        <v>2126589384</v>
      </c>
      <c r="C184" s="32">
        <v>2081327065</v>
      </c>
      <c r="D184" s="32">
        <v>721319800</v>
      </c>
      <c r="E184" s="32">
        <v>4929236249</v>
      </c>
      <c r="F184" s="33">
        <v>1.1282291524568821E-2</v>
      </c>
      <c r="G184" s="32">
        <v>2126589384</v>
      </c>
      <c r="H184" s="32">
        <v>20010611589</v>
      </c>
      <c r="I184" s="32">
        <v>661369976</v>
      </c>
      <c r="J184" s="32">
        <v>22798570949</v>
      </c>
      <c r="K184" s="33">
        <v>8.4449035620410319E-3</v>
      </c>
    </row>
    <row r="185" spans="1:11" x14ac:dyDescent="0.45">
      <c r="A185" s="32" t="s">
        <v>80</v>
      </c>
      <c r="B185" s="32">
        <v>0</v>
      </c>
      <c r="C185" s="32">
        <v>1197276792</v>
      </c>
      <c r="D185" s="32">
        <v>0</v>
      </c>
      <c r="E185" s="32">
        <v>1197276792</v>
      </c>
      <c r="F185" s="33">
        <v>2.7403892044502707E-3</v>
      </c>
      <c r="G185" s="32">
        <v>0</v>
      </c>
      <c r="H185" s="32">
        <v>17136024090</v>
      </c>
      <c r="I185" s="32">
        <v>253806880</v>
      </c>
      <c r="J185" s="32">
        <v>17389830970</v>
      </c>
      <c r="K185" s="33">
        <v>6.4414320454715124E-3</v>
      </c>
    </row>
    <row r="186" spans="1:11" x14ac:dyDescent="0.45">
      <c r="A186" s="32" t="s">
        <v>172</v>
      </c>
      <c r="B186" s="32">
        <v>0</v>
      </c>
      <c r="C186" s="32">
        <v>-2100646287</v>
      </c>
      <c r="D186" s="32">
        <v>-2079513079</v>
      </c>
      <c r="E186" s="32">
        <v>-4180159366</v>
      </c>
      <c r="F186" s="33">
        <v>-9.5677655125449793E-3</v>
      </c>
      <c r="G186" s="32">
        <v>0</v>
      </c>
      <c r="H186" s="32">
        <v>-7366576993</v>
      </c>
      <c r="I186" s="32">
        <v>-2654112711</v>
      </c>
      <c r="J186" s="32">
        <v>-10020689704</v>
      </c>
      <c r="K186" s="33">
        <v>-3.7118009880847073E-3</v>
      </c>
    </row>
    <row r="187" spans="1:11" x14ac:dyDescent="0.45">
      <c r="A187" s="32" t="s">
        <v>359</v>
      </c>
      <c r="B187" s="32">
        <v>0</v>
      </c>
      <c r="C187" s="32">
        <v>3098492855</v>
      </c>
      <c r="D187" s="32">
        <v>251535205</v>
      </c>
      <c r="E187" s="32">
        <v>3350028060</v>
      </c>
      <c r="F187" s="33">
        <v>7.667717934208053E-3</v>
      </c>
      <c r="G187" s="32">
        <v>8686541250</v>
      </c>
      <c r="H187" s="32">
        <v>3278777061</v>
      </c>
      <c r="I187" s="32">
        <v>251535205</v>
      </c>
      <c r="J187" s="32">
        <v>12216853516</v>
      </c>
      <c r="K187" s="33">
        <v>4.5252902037145977E-3</v>
      </c>
    </row>
    <row r="188" spans="1:11" x14ac:dyDescent="0.45">
      <c r="A188" s="32" t="s">
        <v>266</v>
      </c>
      <c r="B188" s="32">
        <v>0</v>
      </c>
      <c r="C188" s="32">
        <v>22301010210</v>
      </c>
      <c r="D188" s="32">
        <v>0</v>
      </c>
      <c r="E188" s="32">
        <v>22301010210</v>
      </c>
      <c r="F188" s="33">
        <v>5.1043708552749818E-2</v>
      </c>
      <c r="G188" s="32">
        <v>2770858350</v>
      </c>
      <c r="H188" s="32">
        <v>37001347352</v>
      </c>
      <c r="I188" s="32">
        <v>0</v>
      </c>
      <c r="J188" s="32">
        <v>39772205702</v>
      </c>
      <c r="K188" s="33">
        <v>1.4732170816951167E-2</v>
      </c>
    </row>
    <row r="189" spans="1:11" x14ac:dyDescent="0.45">
      <c r="A189" s="32" t="s">
        <v>145</v>
      </c>
      <c r="B189" s="32">
        <v>0</v>
      </c>
      <c r="C189" s="32">
        <v>-14186519717</v>
      </c>
      <c r="D189" s="32">
        <v>1354738084</v>
      </c>
      <c r="E189" s="32">
        <v>-12831781633</v>
      </c>
      <c r="F189" s="33">
        <v>-2.9370047173633403E-2</v>
      </c>
      <c r="G189" s="32">
        <v>0</v>
      </c>
      <c r="H189" s="32">
        <v>-318599041</v>
      </c>
      <c r="I189" s="32">
        <v>5216944922</v>
      </c>
      <c r="J189" s="32">
        <v>4898345881</v>
      </c>
      <c r="K189" s="33">
        <v>1.8144145381349148E-3</v>
      </c>
    </row>
    <row r="190" spans="1:11" x14ac:dyDescent="0.45">
      <c r="A190" s="32" t="s">
        <v>131</v>
      </c>
      <c r="B190" s="32">
        <v>0</v>
      </c>
      <c r="C190" s="32">
        <v>2127082652</v>
      </c>
      <c r="D190" s="32">
        <v>0</v>
      </c>
      <c r="E190" s="32">
        <v>2127082652</v>
      </c>
      <c r="F190" s="33">
        <v>4.8685770704509339E-3</v>
      </c>
      <c r="G190" s="32">
        <v>0</v>
      </c>
      <c r="H190" s="32">
        <v>8118666277</v>
      </c>
      <c r="I190" s="32">
        <v>-1100</v>
      </c>
      <c r="J190" s="32">
        <v>8118665177</v>
      </c>
      <c r="K190" s="33">
        <v>3.0072650003211301E-3</v>
      </c>
    </row>
    <row r="191" spans="1:11" x14ac:dyDescent="0.45">
      <c r="A191" s="32" t="s">
        <v>113</v>
      </c>
      <c r="B191" s="32">
        <v>0</v>
      </c>
      <c r="C191" s="32">
        <v>-8412477179</v>
      </c>
      <c r="D191" s="32">
        <v>0</v>
      </c>
      <c r="E191" s="32">
        <v>-8412477179</v>
      </c>
      <c r="F191" s="33">
        <v>-1.9254913983178478E-2</v>
      </c>
      <c r="G191" s="32">
        <v>0</v>
      </c>
      <c r="H191" s="32">
        <v>8237886395</v>
      </c>
      <c r="I191" s="32">
        <v>1758415948</v>
      </c>
      <c r="J191" s="32">
        <v>9996302343</v>
      </c>
      <c r="K191" s="33">
        <v>3.7027675748835735E-3</v>
      </c>
    </row>
    <row r="192" spans="1:11" x14ac:dyDescent="0.45">
      <c r="A192" s="32" t="s">
        <v>199</v>
      </c>
      <c r="B192" s="32">
        <v>0</v>
      </c>
      <c r="C192" s="32">
        <v>104637561</v>
      </c>
      <c r="D192" s="32">
        <v>0</v>
      </c>
      <c r="E192" s="32">
        <v>104637561</v>
      </c>
      <c r="F192" s="33">
        <v>2.394998754343237E-4</v>
      </c>
      <c r="G192" s="32">
        <v>2254263435</v>
      </c>
      <c r="H192" s="32">
        <v>1739623522</v>
      </c>
      <c r="I192" s="32">
        <v>0</v>
      </c>
      <c r="J192" s="32">
        <v>3993886957</v>
      </c>
      <c r="K192" s="33">
        <v>1.4793905400916328E-3</v>
      </c>
    </row>
    <row r="193" spans="1:11" x14ac:dyDescent="0.45">
      <c r="A193" s="32" t="s">
        <v>270</v>
      </c>
      <c r="B193" s="32">
        <v>2459937690</v>
      </c>
      <c r="C193" s="32">
        <v>4998079142</v>
      </c>
      <c r="D193" s="32">
        <v>0</v>
      </c>
      <c r="E193" s="32">
        <v>7458016832</v>
      </c>
      <c r="F193" s="33">
        <v>1.7070295648912243E-2</v>
      </c>
      <c r="G193" s="32">
        <v>2459937690</v>
      </c>
      <c r="H193" s="32">
        <v>20346554735</v>
      </c>
      <c r="I193" s="32">
        <v>0</v>
      </c>
      <c r="J193" s="32">
        <v>22806492425</v>
      </c>
      <c r="K193" s="33">
        <v>8.447837785464013E-3</v>
      </c>
    </row>
    <row r="194" spans="1:11" x14ac:dyDescent="0.45">
      <c r="A194" s="32" t="s">
        <v>164</v>
      </c>
      <c r="B194" s="32">
        <v>0</v>
      </c>
      <c r="C194" s="32">
        <v>3085151621</v>
      </c>
      <c r="D194" s="32">
        <v>0</v>
      </c>
      <c r="E194" s="32">
        <v>3085151621</v>
      </c>
      <c r="F194" s="33">
        <v>7.0614550058702326E-3</v>
      </c>
      <c r="G194" s="32">
        <v>11472972420</v>
      </c>
      <c r="H194" s="32">
        <v>2532667611</v>
      </c>
      <c r="I194" s="32">
        <v>191695739</v>
      </c>
      <c r="J194" s="32">
        <v>14197335770</v>
      </c>
      <c r="K194" s="33">
        <v>5.2588880102954197E-3</v>
      </c>
    </row>
    <row r="195" spans="1:11" x14ac:dyDescent="0.45">
      <c r="A195" s="32" t="s">
        <v>152</v>
      </c>
      <c r="B195" s="32">
        <v>6565583200</v>
      </c>
      <c r="C195" s="32">
        <v>13966878861</v>
      </c>
      <c r="D195" s="32">
        <v>4084517789</v>
      </c>
      <c r="E195" s="32">
        <v>24616979850</v>
      </c>
      <c r="F195" s="33">
        <v>5.6344619955775312E-2</v>
      </c>
      <c r="G195" s="32">
        <v>6565583200</v>
      </c>
      <c r="H195" s="32">
        <v>48317850097</v>
      </c>
      <c r="I195" s="32">
        <v>4174188294</v>
      </c>
      <c r="J195" s="32">
        <v>59057621591</v>
      </c>
      <c r="K195" s="33">
        <v>2.1875753531007305E-2</v>
      </c>
    </row>
    <row r="196" spans="1:11" x14ac:dyDescent="0.45">
      <c r="A196" s="32" t="s">
        <v>360</v>
      </c>
      <c r="B196" s="32">
        <v>0</v>
      </c>
      <c r="C196" s="32">
        <v>-17789354209</v>
      </c>
      <c r="D196" s="32">
        <v>0</v>
      </c>
      <c r="E196" s="32">
        <v>-17789354209</v>
      </c>
      <c r="F196" s="33">
        <v>-4.0717196352775868E-2</v>
      </c>
      <c r="G196" s="32">
        <v>0</v>
      </c>
      <c r="H196" s="32">
        <v>6040897329</v>
      </c>
      <c r="I196" s="32">
        <v>0</v>
      </c>
      <c r="J196" s="32">
        <v>6040897329</v>
      </c>
      <c r="K196" s="33">
        <v>2.2376312745967918E-3</v>
      </c>
    </row>
    <row r="197" spans="1:11" x14ac:dyDescent="0.45">
      <c r="A197" s="32" t="s">
        <v>155</v>
      </c>
      <c r="B197" s="32">
        <v>0</v>
      </c>
      <c r="C197" s="32">
        <v>-2223548419</v>
      </c>
      <c r="D197" s="32">
        <v>11027647222</v>
      </c>
      <c r="E197" s="32">
        <v>8804098803</v>
      </c>
      <c r="F197" s="33">
        <v>2.0151277863118183E-2</v>
      </c>
      <c r="G197" s="32">
        <v>0</v>
      </c>
      <c r="H197" s="32">
        <v>8587485679</v>
      </c>
      <c r="I197" s="32">
        <v>10644627890</v>
      </c>
      <c r="J197" s="32">
        <v>19232113569</v>
      </c>
      <c r="K197" s="33">
        <v>7.1238388032189189E-3</v>
      </c>
    </row>
    <row r="198" spans="1:11" x14ac:dyDescent="0.45">
      <c r="A198" s="32" t="s">
        <v>257</v>
      </c>
      <c r="B198" s="32">
        <v>0</v>
      </c>
      <c r="C198" s="32">
        <v>6089572163</v>
      </c>
      <c r="D198" s="32">
        <v>0</v>
      </c>
      <c r="E198" s="32">
        <v>6089572163</v>
      </c>
      <c r="F198" s="33">
        <v>1.3938128531941079E-2</v>
      </c>
      <c r="G198" s="32">
        <v>1733619000</v>
      </c>
      <c r="H198" s="32">
        <v>21181619181</v>
      </c>
      <c r="I198" s="32">
        <v>0</v>
      </c>
      <c r="J198" s="32">
        <v>22915238181</v>
      </c>
      <c r="K198" s="33">
        <v>8.4881187058890497E-3</v>
      </c>
    </row>
    <row r="199" spans="1:11" x14ac:dyDescent="0.45">
      <c r="A199" s="32" t="s">
        <v>233</v>
      </c>
      <c r="B199" s="32">
        <v>3680000000</v>
      </c>
      <c r="C199" s="32">
        <v>-5540835680</v>
      </c>
      <c r="D199" s="32">
        <v>0</v>
      </c>
      <c r="E199" s="32">
        <v>-1860835680</v>
      </c>
      <c r="F199" s="33">
        <v>-4.259177195115863E-3</v>
      </c>
      <c r="G199" s="32">
        <v>3680000000</v>
      </c>
      <c r="H199" s="32">
        <v>-7973095944</v>
      </c>
      <c r="I199" s="32">
        <v>0</v>
      </c>
      <c r="J199" s="32">
        <v>-4293095944</v>
      </c>
      <c r="K199" s="33">
        <v>-1.5902216551542119E-3</v>
      </c>
    </row>
    <row r="200" spans="1:11" x14ac:dyDescent="0.45">
      <c r="A200" s="32" t="s">
        <v>361</v>
      </c>
      <c r="B200" s="32">
        <v>0</v>
      </c>
      <c r="C200" s="32">
        <v>13342879257</v>
      </c>
      <c r="D200" s="32">
        <v>0</v>
      </c>
      <c r="E200" s="32">
        <v>13342879257</v>
      </c>
      <c r="F200" s="33">
        <v>3.0539873917614743E-2</v>
      </c>
      <c r="G200" s="32">
        <v>0</v>
      </c>
      <c r="H200" s="32">
        <v>33602834156</v>
      </c>
      <c r="I200" s="32">
        <v>0</v>
      </c>
      <c r="J200" s="32">
        <v>33602834156</v>
      </c>
      <c r="K200" s="33">
        <v>1.2446950929225913E-2</v>
      </c>
    </row>
    <row r="201" spans="1:11" x14ac:dyDescent="0.45">
      <c r="A201" s="32" t="s">
        <v>362</v>
      </c>
      <c r="B201" s="32">
        <v>0</v>
      </c>
      <c r="C201" s="32">
        <v>1190724000</v>
      </c>
      <c r="D201" s="32">
        <v>0</v>
      </c>
      <c r="E201" s="32">
        <v>1190724000</v>
      </c>
      <c r="F201" s="33">
        <v>2.725390834335862E-3</v>
      </c>
      <c r="G201" s="32">
        <v>0</v>
      </c>
      <c r="H201" s="32">
        <v>2079485420</v>
      </c>
      <c r="I201" s="32">
        <v>0</v>
      </c>
      <c r="J201" s="32">
        <v>2079485420</v>
      </c>
      <c r="K201" s="33">
        <v>7.7026993796471541E-4</v>
      </c>
    </row>
    <row r="202" spans="1:11" x14ac:dyDescent="0.45">
      <c r="A202" s="32" t="s">
        <v>128</v>
      </c>
      <c r="B202" s="32">
        <v>2793294400</v>
      </c>
      <c r="C202" s="32">
        <v>-7360540585</v>
      </c>
      <c r="D202" s="32">
        <v>182422708</v>
      </c>
      <c r="E202" s="32">
        <v>-4384823477</v>
      </c>
      <c r="F202" s="33">
        <v>-1.0036211342340043E-2</v>
      </c>
      <c r="G202" s="32">
        <v>2793294400</v>
      </c>
      <c r="H202" s="32">
        <v>-254532706</v>
      </c>
      <c r="I202" s="32">
        <v>182422708</v>
      </c>
      <c r="J202" s="32">
        <v>2721184402</v>
      </c>
      <c r="K202" s="33">
        <v>1.0079640474320282E-3</v>
      </c>
    </row>
    <row r="203" spans="1:11" x14ac:dyDescent="0.45">
      <c r="A203" s="32" t="s">
        <v>93</v>
      </c>
      <c r="B203" s="32">
        <v>0</v>
      </c>
      <c r="C203" s="32">
        <v>3039391100</v>
      </c>
      <c r="D203" s="32">
        <v>2041033293</v>
      </c>
      <c r="E203" s="32">
        <v>5080424393</v>
      </c>
      <c r="F203" s="33">
        <v>1.1628338788181421E-2</v>
      </c>
      <c r="G203" s="32">
        <v>0</v>
      </c>
      <c r="H203" s="32">
        <v>24542126675</v>
      </c>
      <c r="I203" s="32">
        <v>2041033293</v>
      </c>
      <c r="J203" s="32">
        <v>26583159968</v>
      </c>
      <c r="K203" s="33">
        <v>9.8467672735389825E-3</v>
      </c>
    </row>
    <row r="204" spans="1:11" x14ac:dyDescent="0.45">
      <c r="A204" s="32" t="s">
        <v>127</v>
      </c>
      <c r="B204" s="32">
        <v>0</v>
      </c>
      <c r="C204" s="32">
        <v>-2641415041</v>
      </c>
      <c r="D204" s="32">
        <v>1431727215</v>
      </c>
      <c r="E204" s="32">
        <v>-1209687826</v>
      </c>
      <c r="F204" s="33">
        <v>-2.7687962226242814E-3</v>
      </c>
      <c r="G204" s="32">
        <v>0</v>
      </c>
      <c r="H204" s="32">
        <v>3365005955</v>
      </c>
      <c r="I204" s="32">
        <v>2428160676</v>
      </c>
      <c r="J204" s="32">
        <v>5793166631</v>
      </c>
      <c r="K204" s="33">
        <v>2.1458684242564342E-3</v>
      </c>
    </row>
    <row r="205" spans="1:11" x14ac:dyDescent="0.45">
      <c r="A205" s="32" t="s">
        <v>363</v>
      </c>
      <c r="B205" s="32">
        <v>0</v>
      </c>
      <c r="C205" s="32">
        <v>5384017333</v>
      </c>
      <c r="D205" s="32">
        <v>722099744</v>
      </c>
      <c r="E205" s="32">
        <v>6106117077</v>
      </c>
      <c r="F205" s="33">
        <v>1.3975997389014991E-2</v>
      </c>
      <c r="G205" s="32">
        <v>0</v>
      </c>
      <c r="H205" s="32">
        <v>5834643927</v>
      </c>
      <c r="I205" s="32">
        <v>722099744</v>
      </c>
      <c r="J205" s="32">
        <v>6556743671</v>
      </c>
      <c r="K205" s="33">
        <v>2.4287078390343849E-3</v>
      </c>
    </row>
    <row r="206" spans="1:11" x14ac:dyDescent="0.45">
      <c r="A206" s="32" t="s">
        <v>248</v>
      </c>
      <c r="B206" s="32">
        <v>0</v>
      </c>
      <c r="C206" s="32">
        <v>-4280371631</v>
      </c>
      <c r="D206" s="32">
        <v>0</v>
      </c>
      <c r="E206" s="32">
        <v>-4280371631</v>
      </c>
      <c r="F206" s="33">
        <v>-9.7971365410276807E-3</v>
      </c>
      <c r="G206" s="32">
        <v>142948777</v>
      </c>
      <c r="H206" s="32">
        <v>-5768188875</v>
      </c>
      <c r="I206" s="32">
        <v>0</v>
      </c>
      <c r="J206" s="32">
        <v>-5625240098</v>
      </c>
      <c r="K206" s="33">
        <v>-2.083666131846738E-3</v>
      </c>
    </row>
    <row r="207" spans="1:11" x14ac:dyDescent="0.45">
      <c r="A207" s="32" t="s">
        <v>162</v>
      </c>
      <c r="B207" s="32">
        <v>7744403200</v>
      </c>
      <c r="C207" s="32">
        <v>-6470513305</v>
      </c>
      <c r="D207" s="32">
        <v>1191746872</v>
      </c>
      <c r="E207" s="32">
        <v>2465636767</v>
      </c>
      <c r="F207" s="33">
        <v>5.6434772840585285E-3</v>
      </c>
      <c r="G207" s="32">
        <v>7744403200</v>
      </c>
      <c r="H207" s="32">
        <v>2547089929</v>
      </c>
      <c r="I207" s="32">
        <v>1191746872</v>
      </c>
      <c r="J207" s="32">
        <v>11483240001</v>
      </c>
      <c r="K207" s="33">
        <v>4.2535496898094185E-3</v>
      </c>
    </row>
    <row r="208" spans="1:11" x14ac:dyDescent="0.45">
      <c r="A208" s="32" t="s">
        <v>296</v>
      </c>
      <c r="B208" s="32">
        <v>888818310</v>
      </c>
      <c r="C208" s="32">
        <v>5883110249</v>
      </c>
      <c r="D208" s="32">
        <v>0</v>
      </c>
      <c r="E208" s="32">
        <v>6771928559</v>
      </c>
      <c r="F208" s="33">
        <v>1.5499941233632531E-2</v>
      </c>
      <c r="G208" s="32">
        <v>888818310</v>
      </c>
      <c r="H208" s="32">
        <v>13449481479</v>
      </c>
      <c r="I208" s="32">
        <v>0</v>
      </c>
      <c r="J208" s="32">
        <v>14338299789</v>
      </c>
      <c r="K208" s="33">
        <v>5.3111030174919534E-3</v>
      </c>
    </row>
    <row r="209" spans="1:11" x14ac:dyDescent="0.45">
      <c r="A209" s="32" t="s">
        <v>111</v>
      </c>
      <c r="B209" s="32">
        <v>0</v>
      </c>
      <c r="C209" s="32">
        <v>3430078965</v>
      </c>
      <c r="D209" s="32">
        <v>555116264</v>
      </c>
      <c r="E209" s="32">
        <v>3985195229</v>
      </c>
      <c r="F209" s="33">
        <v>9.1215214862181392E-3</v>
      </c>
      <c r="G209" s="32">
        <v>0</v>
      </c>
      <c r="H209" s="32">
        <v>12946877253</v>
      </c>
      <c r="I209" s="32">
        <v>555116264</v>
      </c>
      <c r="J209" s="32">
        <v>13501993517</v>
      </c>
      <c r="K209" s="33">
        <v>5.0013236970613524E-3</v>
      </c>
    </row>
    <row r="210" spans="1:11" x14ac:dyDescent="0.45">
      <c r="A210" s="32" t="s">
        <v>101</v>
      </c>
      <c r="B210" s="32">
        <v>0</v>
      </c>
      <c r="C210" s="32">
        <v>-1418736532</v>
      </c>
      <c r="D210" s="32">
        <v>0</v>
      </c>
      <c r="E210" s="32">
        <v>-1418736532</v>
      </c>
      <c r="F210" s="33">
        <v>-3.2472777408116805E-3</v>
      </c>
      <c r="G210" s="32">
        <v>0</v>
      </c>
      <c r="H210" s="32">
        <v>6003028954</v>
      </c>
      <c r="I210" s="32">
        <v>202360400</v>
      </c>
      <c r="J210" s="32">
        <v>6205389354</v>
      </c>
      <c r="K210" s="33">
        <v>2.2985613781088617E-3</v>
      </c>
    </row>
    <row r="211" spans="1:11" x14ac:dyDescent="0.45">
      <c r="A211" s="32" t="s">
        <v>364</v>
      </c>
      <c r="B211" s="32">
        <v>0</v>
      </c>
      <c r="C211" s="32">
        <v>-1513544914</v>
      </c>
      <c r="D211" s="32">
        <v>0</v>
      </c>
      <c r="E211" s="32">
        <v>-1513544914</v>
      </c>
      <c r="F211" s="33">
        <v>-3.4642800816740574E-3</v>
      </c>
      <c r="G211" s="32">
        <v>0</v>
      </c>
      <c r="H211" s="32">
        <v>8331210390</v>
      </c>
      <c r="I211" s="32">
        <v>639008733</v>
      </c>
      <c r="J211" s="32">
        <v>8970219123</v>
      </c>
      <c r="K211" s="33">
        <v>3.3226922684570269E-3</v>
      </c>
    </row>
    <row r="212" spans="1:11" x14ac:dyDescent="0.45">
      <c r="A212" s="32" t="s">
        <v>365</v>
      </c>
      <c r="B212" s="32">
        <v>0</v>
      </c>
      <c r="C212" s="32">
        <v>-391659725</v>
      </c>
      <c r="D212" s="32">
        <v>0</v>
      </c>
      <c r="E212" s="32">
        <v>-391659725</v>
      </c>
      <c r="F212" s="33">
        <v>-8.9645108748417294E-4</v>
      </c>
      <c r="G212" s="32">
        <v>0</v>
      </c>
      <c r="H212" s="32">
        <v>16101566481</v>
      </c>
      <c r="I212" s="32">
        <v>0</v>
      </c>
      <c r="J212" s="32">
        <v>16101566481</v>
      </c>
      <c r="K212" s="33">
        <v>5.9642411988897765E-3</v>
      </c>
    </row>
    <row r="213" spans="1:11" x14ac:dyDescent="0.45">
      <c r="A213" s="32" t="s">
        <v>366</v>
      </c>
      <c r="B213" s="32">
        <v>0</v>
      </c>
      <c r="C213" s="32">
        <v>-1113712080</v>
      </c>
      <c r="D213" s="32">
        <v>0</v>
      </c>
      <c r="E213" s="32">
        <v>-1113712080</v>
      </c>
      <c r="F213" s="33">
        <v>-2.5491219585068651E-3</v>
      </c>
      <c r="G213" s="32">
        <v>0</v>
      </c>
      <c r="H213" s="32">
        <v>13028905699</v>
      </c>
      <c r="I213" s="32">
        <v>0</v>
      </c>
      <c r="J213" s="32">
        <v>13028905699</v>
      </c>
      <c r="K213" s="33">
        <v>4.8260854767218598E-3</v>
      </c>
    </row>
    <row r="214" spans="1:11" x14ac:dyDescent="0.45">
      <c r="A214" s="32" t="s">
        <v>282</v>
      </c>
      <c r="B214" s="32">
        <v>9028226775</v>
      </c>
      <c r="C214" s="32">
        <v>-7899453830</v>
      </c>
      <c r="D214" s="32">
        <v>0</v>
      </c>
      <c r="E214" s="32">
        <v>1128772945</v>
      </c>
      <c r="F214" s="33">
        <v>2.5835940472765293E-3</v>
      </c>
      <c r="G214" s="32">
        <v>9028226775</v>
      </c>
      <c r="H214" s="32">
        <v>-64418033</v>
      </c>
      <c r="I214" s="32">
        <v>0</v>
      </c>
      <c r="J214" s="32">
        <v>8963808742</v>
      </c>
      <c r="K214" s="33">
        <v>3.3203177753599799E-3</v>
      </c>
    </row>
    <row r="215" spans="1:11" x14ac:dyDescent="0.45">
      <c r="A215" s="32" t="s">
        <v>223</v>
      </c>
      <c r="B215" s="32">
        <v>1685422200</v>
      </c>
      <c r="C215" s="32">
        <v>12559678087</v>
      </c>
      <c r="D215" s="32">
        <v>0</v>
      </c>
      <c r="E215" s="32">
        <v>14245100287</v>
      </c>
      <c r="F215" s="33">
        <v>3.260492419434307E-2</v>
      </c>
      <c r="G215" s="32">
        <v>1685422200</v>
      </c>
      <c r="H215" s="32">
        <v>16473079781</v>
      </c>
      <c r="I215" s="32">
        <v>0</v>
      </c>
      <c r="J215" s="32">
        <v>18158501981</v>
      </c>
      <c r="K215" s="33">
        <v>6.7261583370163908E-3</v>
      </c>
    </row>
    <row r="216" spans="1:11" x14ac:dyDescent="0.45">
      <c r="A216" s="32" t="s">
        <v>367</v>
      </c>
      <c r="B216" s="32">
        <v>0</v>
      </c>
      <c r="C216" s="32">
        <v>0</v>
      </c>
      <c r="D216" s="32">
        <v>0</v>
      </c>
      <c r="E216" s="32">
        <v>0</v>
      </c>
      <c r="F216" s="33">
        <v>0</v>
      </c>
      <c r="G216" s="32">
        <v>0</v>
      </c>
      <c r="H216" s="32">
        <v>-10547611801</v>
      </c>
      <c r="I216" s="32">
        <v>0</v>
      </c>
      <c r="J216" s="32">
        <v>-10547611801</v>
      </c>
      <c r="K216" s="33">
        <v>-3.9069801641755057E-3</v>
      </c>
    </row>
    <row r="217" spans="1:11" x14ac:dyDescent="0.45">
      <c r="A217" s="32" t="s">
        <v>107</v>
      </c>
      <c r="B217" s="32">
        <v>5895107190</v>
      </c>
      <c r="C217" s="32">
        <v>-5821683069</v>
      </c>
      <c r="D217" s="32">
        <v>0</v>
      </c>
      <c r="E217" s="32">
        <v>73424121</v>
      </c>
      <c r="F217" s="33">
        <v>1.6805693543807575E-4</v>
      </c>
      <c r="G217" s="32">
        <v>5895107190</v>
      </c>
      <c r="H217" s="32">
        <v>5512004210</v>
      </c>
      <c r="I217" s="32">
        <v>236629705</v>
      </c>
      <c r="J217" s="32">
        <v>11643741105</v>
      </c>
      <c r="K217" s="33">
        <v>4.3130015014125741E-3</v>
      </c>
    </row>
    <row r="218" spans="1:11" x14ac:dyDescent="0.45">
      <c r="A218" s="32" t="s">
        <v>368</v>
      </c>
      <c r="B218" s="32">
        <v>0</v>
      </c>
      <c r="C218" s="32">
        <v>-3328715172</v>
      </c>
      <c r="D218" s="32">
        <v>0</v>
      </c>
      <c r="E218" s="32">
        <v>-3328715172</v>
      </c>
      <c r="F218" s="33">
        <v>-7.618935891007087E-3</v>
      </c>
      <c r="G218" s="32">
        <v>0</v>
      </c>
      <c r="H218" s="32">
        <v>7407087040</v>
      </c>
      <c r="I218" s="32">
        <v>0</v>
      </c>
      <c r="J218" s="32">
        <v>7407087040</v>
      </c>
      <c r="K218" s="33">
        <v>2.7436866928357917E-3</v>
      </c>
    </row>
    <row r="219" spans="1:11" x14ac:dyDescent="0.45">
      <c r="A219" s="32" t="s">
        <v>369</v>
      </c>
      <c r="B219" s="32">
        <v>0</v>
      </c>
      <c r="C219" s="32">
        <v>3463663306</v>
      </c>
      <c r="D219" s="32">
        <v>0</v>
      </c>
      <c r="E219" s="32">
        <v>3463663306</v>
      </c>
      <c r="F219" s="33">
        <v>7.9278121776312979E-3</v>
      </c>
      <c r="G219" s="32">
        <v>0</v>
      </c>
      <c r="H219" s="32">
        <v>26947300524</v>
      </c>
      <c r="I219" s="32">
        <v>0</v>
      </c>
      <c r="J219" s="32">
        <v>26947300524</v>
      </c>
      <c r="K219" s="33">
        <v>9.9816499328656133E-3</v>
      </c>
    </row>
    <row r="220" spans="1:11" x14ac:dyDescent="0.45">
      <c r="A220" s="32" t="s">
        <v>279</v>
      </c>
      <c r="B220" s="32">
        <v>0</v>
      </c>
      <c r="C220" s="32">
        <v>28308084748</v>
      </c>
      <c r="D220" s="32">
        <v>0</v>
      </c>
      <c r="E220" s="32">
        <v>28308084748</v>
      </c>
      <c r="F220" s="33">
        <v>6.4793012242805231E-2</v>
      </c>
      <c r="G220" s="32">
        <v>2778066980</v>
      </c>
      <c r="H220" s="32">
        <v>44561378350</v>
      </c>
      <c r="I220" s="32">
        <v>0</v>
      </c>
      <c r="J220" s="32">
        <v>47339445330</v>
      </c>
      <c r="K220" s="33">
        <v>1.7535180226280759E-2</v>
      </c>
    </row>
    <row r="221" spans="1:11" x14ac:dyDescent="0.45">
      <c r="A221" s="32" t="s">
        <v>303</v>
      </c>
      <c r="B221" s="32">
        <v>1505716000</v>
      </c>
      <c r="C221" s="32">
        <v>1374550670</v>
      </c>
      <c r="D221" s="32">
        <v>0</v>
      </c>
      <c r="E221" s="32">
        <v>2880266670</v>
      </c>
      <c r="F221" s="33">
        <v>6.5925037060318558E-3</v>
      </c>
      <c r="G221" s="32">
        <v>1505716000</v>
      </c>
      <c r="H221" s="32">
        <v>6075160427</v>
      </c>
      <c r="I221" s="32">
        <v>0</v>
      </c>
      <c r="J221" s="32">
        <v>7580876427</v>
      </c>
      <c r="K221" s="33">
        <v>2.808060666827596E-3</v>
      </c>
    </row>
    <row r="222" spans="1:11" x14ac:dyDescent="0.45">
      <c r="A222" s="32" t="s">
        <v>370</v>
      </c>
      <c r="B222" s="32">
        <v>0</v>
      </c>
      <c r="C222" s="32">
        <v>-2338895930</v>
      </c>
      <c r="D222" s="32">
        <v>0</v>
      </c>
      <c r="E222" s="32">
        <v>-2338895930</v>
      </c>
      <c r="F222" s="33">
        <v>-5.353386284384502E-3</v>
      </c>
      <c r="G222" s="32">
        <v>3535674660</v>
      </c>
      <c r="H222" s="32">
        <v>729034200</v>
      </c>
      <c r="I222" s="32">
        <v>325752815</v>
      </c>
      <c r="J222" s="32">
        <v>4590461675</v>
      </c>
      <c r="K222" s="33">
        <v>1.7003700028979543E-3</v>
      </c>
    </row>
    <row r="223" spans="1:11" x14ac:dyDescent="0.45">
      <c r="A223" s="32" t="s">
        <v>371</v>
      </c>
      <c r="B223" s="32">
        <v>2986695250</v>
      </c>
      <c r="C223" s="32">
        <v>7745914981</v>
      </c>
      <c r="D223" s="32">
        <v>650892186</v>
      </c>
      <c r="E223" s="32">
        <v>11383502417</v>
      </c>
      <c r="F223" s="33">
        <v>2.6055150605792721E-2</v>
      </c>
      <c r="G223" s="32">
        <v>2986695250</v>
      </c>
      <c r="H223" s="32">
        <v>25128823557</v>
      </c>
      <c r="I223" s="32">
        <v>650892186</v>
      </c>
      <c r="J223" s="32">
        <v>28766410993</v>
      </c>
      <c r="K223" s="33">
        <v>1.0655473415651848E-2</v>
      </c>
    </row>
    <row r="224" spans="1:11" x14ac:dyDescent="0.45">
      <c r="A224" s="32" t="s">
        <v>238</v>
      </c>
      <c r="B224" s="32">
        <v>0</v>
      </c>
      <c r="C224" s="32">
        <v>-6007889231</v>
      </c>
      <c r="D224" s="32">
        <v>0</v>
      </c>
      <c r="E224" s="32">
        <v>-6007889231</v>
      </c>
      <c r="F224" s="33">
        <v>-1.3751168401638441E-2</v>
      </c>
      <c r="G224" s="32">
        <v>3146846500</v>
      </c>
      <c r="H224" s="32">
        <v>5992078996</v>
      </c>
      <c r="I224" s="32">
        <v>0</v>
      </c>
      <c r="J224" s="32">
        <v>9138925496</v>
      </c>
      <c r="K224" s="33">
        <v>3.3851834243050745E-3</v>
      </c>
    </row>
    <row r="225" spans="1:11" x14ac:dyDescent="0.45">
      <c r="A225" s="32" t="s">
        <v>285</v>
      </c>
      <c r="B225" s="32">
        <v>7464643400</v>
      </c>
      <c r="C225" s="32">
        <v>-10795223551</v>
      </c>
      <c r="D225" s="32">
        <v>0</v>
      </c>
      <c r="E225" s="32">
        <v>-3330580151</v>
      </c>
      <c r="F225" s="33">
        <v>-7.6232045516478643E-3</v>
      </c>
      <c r="G225" s="32">
        <v>7464643400</v>
      </c>
      <c r="H225" s="32">
        <v>19889471400</v>
      </c>
      <c r="I225" s="32">
        <v>0</v>
      </c>
      <c r="J225" s="32">
        <v>27354114800</v>
      </c>
      <c r="K225" s="33">
        <v>1.0132339523724915E-2</v>
      </c>
    </row>
    <row r="226" spans="1:11" x14ac:dyDescent="0.45">
      <c r="A226" s="32" t="s">
        <v>372</v>
      </c>
      <c r="B226" s="32">
        <v>0</v>
      </c>
      <c r="C226" s="32">
        <v>10640350376</v>
      </c>
      <c r="D226" s="32">
        <v>0</v>
      </c>
      <c r="E226" s="32">
        <v>10640350376</v>
      </c>
      <c r="F226" s="33">
        <v>2.4354185679361921E-2</v>
      </c>
      <c r="G226" s="32">
        <v>0</v>
      </c>
      <c r="H226" s="32">
        <v>10640350376</v>
      </c>
      <c r="I226" s="32">
        <v>0</v>
      </c>
      <c r="J226" s="32">
        <v>10640350376</v>
      </c>
      <c r="K226" s="33">
        <v>3.9413318050791415E-3</v>
      </c>
    </row>
    <row r="227" spans="1:11" x14ac:dyDescent="0.45">
      <c r="A227" s="32" t="s">
        <v>300</v>
      </c>
      <c r="B227" s="32">
        <v>0</v>
      </c>
      <c r="C227" s="32">
        <v>9241815886</v>
      </c>
      <c r="D227" s="32">
        <v>0</v>
      </c>
      <c r="E227" s="32">
        <v>9241815886</v>
      </c>
      <c r="F227" s="33">
        <v>2.115314741982522E-2</v>
      </c>
      <c r="G227" s="32">
        <v>1406886000</v>
      </c>
      <c r="H227" s="32">
        <v>10068756182</v>
      </c>
      <c r="I227" s="32">
        <v>0</v>
      </c>
      <c r="J227" s="32">
        <v>11475642182</v>
      </c>
      <c r="K227" s="33">
        <v>4.2507353533810356E-3</v>
      </c>
    </row>
    <row r="228" spans="1:11" x14ac:dyDescent="0.45">
      <c r="A228" s="32" t="s">
        <v>183</v>
      </c>
      <c r="B228" s="32">
        <v>93500000</v>
      </c>
      <c r="C228" s="32">
        <v>249888479</v>
      </c>
      <c r="D228" s="32">
        <v>0</v>
      </c>
      <c r="E228" s="32">
        <v>343388479</v>
      </c>
      <c r="F228" s="33">
        <v>7.8596535660919965E-4</v>
      </c>
      <c r="G228" s="32">
        <v>93500000</v>
      </c>
      <c r="H228" s="32">
        <v>629562733</v>
      </c>
      <c r="I228" s="32">
        <v>0</v>
      </c>
      <c r="J228" s="32">
        <v>723062733</v>
      </c>
      <c r="K228" s="33">
        <v>2.6783235945578672E-4</v>
      </c>
    </row>
    <row r="229" spans="1:11" x14ac:dyDescent="0.45">
      <c r="A229" s="32" t="s">
        <v>373</v>
      </c>
      <c r="B229" s="32">
        <v>0</v>
      </c>
      <c r="C229" s="32">
        <v>590400650</v>
      </c>
      <c r="D229" s="32">
        <v>0</v>
      </c>
      <c r="E229" s="32">
        <v>590400650</v>
      </c>
      <c r="F229" s="33">
        <v>1.351339622024865E-3</v>
      </c>
      <c r="G229" s="32">
        <v>0</v>
      </c>
      <c r="H229" s="32">
        <v>7091753690</v>
      </c>
      <c r="I229" s="32">
        <v>0</v>
      </c>
      <c r="J229" s="32">
        <v>7091753690</v>
      </c>
      <c r="K229" s="33">
        <v>2.6268828924308311E-3</v>
      </c>
    </row>
    <row r="230" spans="1:11" x14ac:dyDescent="0.45">
      <c r="A230" s="32" t="s">
        <v>374</v>
      </c>
      <c r="B230" s="32">
        <v>0</v>
      </c>
      <c r="C230" s="32">
        <v>-167969061</v>
      </c>
      <c r="D230" s="32">
        <v>0</v>
      </c>
      <c r="E230" s="32">
        <v>-167969061</v>
      </c>
      <c r="F230" s="33">
        <v>-3.8445629659047883E-4</v>
      </c>
      <c r="G230" s="32">
        <v>0</v>
      </c>
      <c r="H230" s="32">
        <v>296661775</v>
      </c>
      <c r="I230" s="32">
        <v>0</v>
      </c>
      <c r="J230" s="32">
        <v>296661775</v>
      </c>
      <c r="K230" s="33">
        <v>1.098875927804064E-4</v>
      </c>
    </row>
    <row r="231" spans="1:11" x14ac:dyDescent="0.45">
      <c r="A231" s="32" t="s">
        <v>375</v>
      </c>
      <c r="B231" s="59">
        <v>0</v>
      </c>
      <c r="C231" s="59">
        <v>0</v>
      </c>
      <c r="D231" s="59">
        <v>0</v>
      </c>
      <c r="E231" s="59">
        <v>0</v>
      </c>
      <c r="F231" s="60">
        <v>0</v>
      </c>
      <c r="G231" s="59">
        <v>0</v>
      </c>
      <c r="H231" s="59">
        <v>0</v>
      </c>
      <c r="I231" s="59">
        <v>32508649</v>
      </c>
      <c r="J231" s="32">
        <v>32508649</v>
      </c>
      <c r="K231" s="33">
        <v>1.2041649731089101E-5</v>
      </c>
    </row>
    <row r="232" spans="1:11" ht="19.5" thickBot="1" x14ac:dyDescent="0.5">
      <c r="A232" s="32" t="s">
        <v>2</v>
      </c>
      <c r="B232" s="34">
        <f t="shared" ref="B232:K232" si="0">SUM(B11:B231)</f>
        <v>289788595432</v>
      </c>
      <c r="C232" s="34">
        <f t="shared" si="0"/>
        <v>30724217063</v>
      </c>
      <c r="D232" s="34">
        <f t="shared" si="0"/>
        <v>115596441564</v>
      </c>
      <c r="E232" s="34">
        <f t="shared" si="0"/>
        <v>436109254059</v>
      </c>
      <c r="F232" s="61">
        <f t="shared" si="0"/>
        <v>0.99818947445541384</v>
      </c>
      <c r="G232" s="34">
        <f t="shared" si="0"/>
        <v>439399317290</v>
      </c>
      <c r="H232" s="34">
        <f t="shared" si="0"/>
        <v>2059885816462</v>
      </c>
      <c r="I232" s="34">
        <f t="shared" si="0"/>
        <v>196298852461</v>
      </c>
      <c r="J232" s="34">
        <f t="shared" si="0"/>
        <v>2695583986213</v>
      </c>
      <c r="K232" s="61">
        <f t="shared" si="0"/>
        <v>0.99848130209009467</v>
      </c>
    </row>
    <row r="233" spans="1:11" ht="19.5" thickTop="1" x14ac:dyDescent="0.45"/>
  </sheetData>
  <mergeCells count="15">
    <mergeCell ref="G7:K7"/>
    <mergeCell ref="B7:F7"/>
    <mergeCell ref="A8:A10"/>
    <mergeCell ref="A1:K1"/>
    <mergeCell ref="A2:K2"/>
    <mergeCell ref="A3:K3"/>
    <mergeCell ref="B8:B9"/>
    <mergeCell ref="C8:C9"/>
    <mergeCell ref="D8:D9"/>
    <mergeCell ref="G8:G9"/>
    <mergeCell ref="H8:H9"/>
    <mergeCell ref="I8:I9"/>
    <mergeCell ref="E8:F9"/>
    <mergeCell ref="J8:K9"/>
    <mergeCell ref="A5:K5"/>
  </mergeCells>
  <pageMargins left="0.70866141732283472" right="0.70866141732283472" top="0.74803149606299213" bottom="0.74803149606299213" header="0.31496062992125984" footer="0.31496062992125984"/>
  <pageSetup scale="64" fitToHeight="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F16"/>
  <sheetViews>
    <sheetView rightToLeft="1" view="pageBreakPreview" zoomScaleNormal="100" zoomScaleSheetLayoutView="100" workbookViewId="0">
      <selection activeCell="L109" sqref="L109"/>
    </sheetView>
  </sheetViews>
  <sheetFormatPr defaultColWidth="9.140625" defaultRowHeight="18.75" x14ac:dyDescent="0.45"/>
  <cols>
    <col min="1" max="1" width="23.7109375" style="27" customWidth="1"/>
    <col min="2" max="2" width="29.42578125" style="27" customWidth="1"/>
    <col min="3" max="3" width="12.5703125" style="27" customWidth="1"/>
    <col min="4" max="4" width="22.42578125" style="27" customWidth="1"/>
    <col min="5" max="5" width="11.140625" style="27" customWidth="1"/>
    <col min="6" max="16384" width="9.140625" style="27"/>
  </cols>
  <sheetData>
    <row r="1" spans="1:6" ht="21" x14ac:dyDescent="0.55000000000000004">
      <c r="A1" s="92" t="s">
        <v>69</v>
      </c>
      <c r="B1" s="92"/>
      <c r="C1" s="92"/>
      <c r="D1" s="92"/>
      <c r="E1" s="92"/>
    </row>
    <row r="2" spans="1:6" ht="21" x14ac:dyDescent="0.55000000000000004">
      <c r="A2" s="92" t="s">
        <v>61</v>
      </c>
      <c r="B2" s="92"/>
      <c r="C2" s="92"/>
      <c r="D2" s="92"/>
      <c r="E2" s="92"/>
    </row>
    <row r="3" spans="1:6" ht="21" x14ac:dyDescent="0.55000000000000004">
      <c r="A3" s="92" t="s">
        <v>70</v>
      </c>
      <c r="B3" s="92"/>
      <c r="C3" s="92"/>
      <c r="D3" s="92"/>
      <c r="E3" s="92"/>
    </row>
    <row r="4" spans="1:6" ht="21" x14ac:dyDescent="0.45">
      <c r="A4" s="118" t="s">
        <v>397</v>
      </c>
      <c r="B4" s="93"/>
      <c r="C4" s="93"/>
      <c r="D4" s="93"/>
      <c r="E4" s="93"/>
    </row>
    <row r="5" spans="1:6" ht="19.5" thickBot="1" x14ac:dyDescent="0.5">
      <c r="A5" s="28"/>
      <c r="B5" s="28"/>
      <c r="C5" s="28"/>
      <c r="D5" s="28"/>
      <c r="E5" s="28"/>
    </row>
    <row r="6" spans="1:6" ht="37.5" customHeight="1" thickBot="1" x14ac:dyDescent="0.5">
      <c r="A6" s="56" t="s">
        <v>19</v>
      </c>
      <c r="B6" s="117" t="s">
        <v>67</v>
      </c>
      <c r="C6" s="117"/>
      <c r="D6" s="119" t="s">
        <v>71</v>
      </c>
      <c r="E6" s="119"/>
      <c r="F6" s="62"/>
    </row>
    <row r="7" spans="1:6" ht="59.25" customHeight="1" x14ac:dyDescent="0.45">
      <c r="A7" s="52" t="s">
        <v>15</v>
      </c>
      <c r="B7" s="53" t="s">
        <v>16</v>
      </c>
      <c r="C7" s="53" t="s">
        <v>17</v>
      </c>
      <c r="D7" s="53" t="s">
        <v>16</v>
      </c>
      <c r="E7" s="53" t="s">
        <v>17</v>
      </c>
      <c r="F7" s="63"/>
    </row>
    <row r="8" spans="1:6" ht="22.5" customHeight="1" thickBot="1" x14ac:dyDescent="0.5">
      <c r="A8" s="51"/>
      <c r="B8" s="64" t="s">
        <v>63</v>
      </c>
      <c r="C8" s="51"/>
      <c r="D8" s="64" t="s">
        <v>63</v>
      </c>
      <c r="E8" s="51"/>
      <c r="F8" s="63"/>
    </row>
    <row r="9" spans="1:6" x14ac:dyDescent="0.45">
      <c r="A9" s="32" t="s">
        <v>73</v>
      </c>
      <c r="B9" s="32">
        <v>63126</v>
      </c>
      <c r="C9" s="33">
        <f>B9/B15</f>
        <v>7.9803681678873256E-5</v>
      </c>
      <c r="D9" s="32">
        <v>319404</v>
      </c>
      <c r="E9" s="33">
        <f>D9/D15</f>
        <v>7.7903419023338979E-5</v>
      </c>
    </row>
    <row r="10" spans="1:6" x14ac:dyDescent="0.45">
      <c r="A10" s="32" t="s">
        <v>74</v>
      </c>
      <c r="B10" s="32">
        <v>31552</v>
      </c>
      <c r="C10" s="33">
        <f>B10/B15</f>
        <v>3.9887934675598155E-5</v>
      </c>
      <c r="D10" s="32">
        <v>94390</v>
      </c>
      <c r="E10" s="33">
        <f>D10/D15</f>
        <v>2.302195251660269E-5</v>
      </c>
    </row>
    <row r="11" spans="1:6" x14ac:dyDescent="0.45">
      <c r="A11" s="32" t="s">
        <v>75</v>
      </c>
      <c r="B11" s="32">
        <v>3732</v>
      </c>
      <c r="C11" s="33">
        <f>B11/B15</f>
        <v>4.7179821313809684E-6</v>
      </c>
      <c r="D11" s="32">
        <v>6825282</v>
      </c>
      <c r="E11" s="33">
        <f>D11/D15</f>
        <v>1.6647030206210726E-3</v>
      </c>
    </row>
    <row r="12" spans="1:6" x14ac:dyDescent="0.45">
      <c r="A12" s="32" t="s">
        <v>76</v>
      </c>
      <c r="B12" s="32">
        <v>790917727</v>
      </c>
      <c r="C12" s="33">
        <f>B12/B15</f>
        <v>0.99987559040151419</v>
      </c>
      <c r="D12" s="32">
        <v>4089826046</v>
      </c>
      <c r="E12" s="33">
        <f>D12/D15</f>
        <v>0.99751860400653602</v>
      </c>
    </row>
    <row r="13" spans="1:6" x14ac:dyDescent="0.45">
      <c r="A13" s="32" t="s">
        <v>77</v>
      </c>
      <c r="D13" s="32">
        <v>3101</v>
      </c>
      <c r="E13" s="33">
        <f>D13/D15</f>
        <v>7.563415060280214E-7</v>
      </c>
    </row>
    <row r="14" spans="1:6" x14ac:dyDescent="0.45">
      <c r="A14" s="59" t="s">
        <v>78</v>
      </c>
      <c r="D14" s="59">
        <v>2931546</v>
      </c>
      <c r="E14" s="33">
        <f>D14/D15</f>
        <v>7.150112597969758E-4</v>
      </c>
    </row>
    <row r="15" spans="1:6" ht="19.5" thickBot="1" x14ac:dyDescent="0.5">
      <c r="A15" s="34" t="s">
        <v>2</v>
      </c>
      <c r="B15" s="34">
        <f>SUM(B9:B14)</f>
        <v>791016137</v>
      </c>
      <c r="C15" s="58">
        <f>SUM(C9:C14)</f>
        <v>1</v>
      </c>
      <c r="D15" s="34">
        <f>SUM(D9:D14)</f>
        <v>4099999769</v>
      </c>
      <c r="E15" s="61">
        <f>SUM(E9:E14)</f>
        <v>1</v>
      </c>
    </row>
    <row r="16" spans="1:6" ht="19.5" thickTop="1" x14ac:dyDescent="0.45">
      <c r="C16" s="65"/>
    </row>
  </sheetData>
  <mergeCells count="6">
    <mergeCell ref="B6:C6"/>
    <mergeCell ref="A4:E4"/>
    <mergeCell ref="D6:E6"/>
    <mergeCell ref="A1:E1"/>
    <mergeCell ref="A2:E2"/>
    <mergeCell ref="A3:E3"/>
  </mergeCell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2"/>
  <sheetViews>
    <sheetView rightToLeft="1" view="pageBreakPreview" zoomScaleNormal="100" zoomScaleSheetLayoutView="100" workbookViewId="0">
      <selection activeCell="L109" sqref="L109"/>
    </sheetView>
  </sheetViews>
  <sheetFormatPr defaultRowHeight="22.5" x14ac:dyDescent="0.55000000000000004"/>
  <cols>
    <col min="1" max="1" width="27.28515625" style="36" customWidth="1"/>
    <col min="2" max="2" width="17.85546875" style="36" customWidth="1"/>
    <col min="3" max="3" width="18" style="36" customWidth="1"/>
    <col min="4" max="16384" width="9.140625" style="36"/>
  </cols>
  <sheetData>
    <row r="1" spans="1:3" x14ac:dyDescent="0.55000000000000004">
      <c r="A1" s="120" t="s">
        <v>69</v>
      </c>
      <c r="B1" s="120"/>
      <c r="C1" s="120"/>
    </row>
    <row r="2" spans="1:3" x14ac:dyDescent="0.55000000000000004">
      <c r="A2" s="120" t="s">
        <v>61</v>
      </c>
      <c r="B2" s="120"/>
      <c r="C2" s="120"/>
    </row>
    <row r="3" spans="1:3" x14ac:dyDescent="0.55000000000000004">
      <c r="A3" s="120" t="s">
        <v>70</v>
      </c>
      <c r="B3" s="120"/>
      <c r="C3" s="120"/>
    </row>
    <row r="4" spans="1:3" x14ac:dyDescent="0.55000000000000004">
      <c r="A4" s="66"/>
      <c r="B4" s="66"/>
      <c r="C4" s="66"/>
    </row>
    <row r="5" spans="1:3" ht="24" x14ac:dyDescent="0.55000000000000004">
      <c r="A5" s="110" t="s">
        <v>398</v>
      </c>
      <c r="B5" s="110"/>
      <c r="C5" s="110"/>
    </row>
    <row r="6" spans="1:3" ht="24" x14ac:dyDescent="0.55000000000000004">
      <c r="A6" s="37"/>
      <c r="B6" s="37"/>
      <c r="C6" s="37"/>
    </row>
    <row r="7" spans="1:3" ht="39.75" customHeight="1" thickBot="1" x14ac:dyDescent="0.6">
      <c r="A7" s="67"/>
      <c r="B7" s="68" t="s">
        <v>67</v>
      </c>
      <c r="C7" s="68" t="s">
        <v>71</v>
      </c>
    </row>
    <row r="8" spans="1:3" ht="39.75" customHeight="1" x14ac:dyDescent="0.55000000000000004">
      <c r="A8" s="123" t="s">
        <v>28</v>
      </c>
      <c r="B8" s="121" t="s">
        <v>6</v>
      </c>
      <c r="C8" s="121" t="s">
        <v>6</v>
      </c>
    </row>
    <row r="9" spans="1:3" ht="39.75" customHeight="1" thickBot="1" x14ac:dyDescent="0.6">
      <c r="A9" s="124"/>
      <c r="B9" s="122"/>
      <c r="C9" s="122"/>
    </row>
    <row r="10" spans="1:3" ht="39.75" customHeight="1" x14ac:dyDescent="0.55000000000000004">
      <c r="A10" s="71" t="s">
        <v>165</v>
      </c>
      <c r="B10" s="69">
        <v>2968</v>
      </c>
      <c r="C10" s="69">
        <v>4665</v>
      </c>
    </row>
    <row r="11" spans="1:3" ht="39.75" customHeight="1" thickBot="1" x14ac:dyDescent="0.6">
      <c r="A11" s="71" t="s">
        <v>2</v>
      </c>
      <c r="B11" s="49">
        <f>SUM(B10:B10)</f>
        <v>2968</v>
      </c>
      <c r="C11" s="43">
        <f>SUM(C10:C10)</f>
        <v>4665</v>
      </c>
    </row>
    <row r="12" spans="1:3" ht="23.25" thickTop="1" x14ac:dyDescent="0.55000000000000004">
      <c r="C12" s="70"/>
    </row>
  </sheetData>
  <mergeCells count="7">
    <mergeCell ref="A1:C1"/>
    <mergeCell ref="A2:C2"/>
    <mergeCell ref="A3:C3"/>
    <mergeCell ref="C8:C9"/>
    <mergeCell ref="B8:B9"/>
    <mergeCell ref="A5:C5"/>
    <mergeCell ref="A8:A9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M139"/>
  <sheetViews>
    <sheetView rightToLeft="1" view="pageBreakPreview" topLeftCell="A127" zoomScale="98" zoomScaleNormal="100" zoomScaleSheetLayoutView="98" workbookViewId="0">
      <selection activeCell="L109" sqref="L109"/>
    </sheetView>
  </sheetViews>
  <sheetFormatPr defaultColWidth="9.140625" defaultRowHeight="15.75" x14ac:dyDescent="0.4"/>
  <cols>
    <col min="1" max="1" width="22.42578125" style="2" bestFit="1" customWidth="1"/>
    <col min="2" max="2" width="14.28515625" style="2" customWidth="1"/>
    <col min="3" max="3" width="21.140625" style="2" customWidth="1"/>
    <col min="4" max="4" width="13.85546875" style="2" bestFit="1" customWidth="1"/>
    <col min="5" max="5" width="13.7109375" style="2" bestFit="1" customWidth="1"/>
    <col min="6" max="6" width="12.85546875" style="2" bestFit="1" customWidth="1"/>
    <col min="7" max="7" width="14.28515625" style="2" bestFit="1" customWidth="1"/>
    <col min="8" max="8" width="13.7109375" style="2" bestFit="1" customWidth="1"/>
    <col min="9" max="9" width="12.85546875" style="2" bestFit="1" customWidth="1"/>
    <col min="10" max="10" width="14.28515625" style="2" bestFit="1" customWidth="1"/>
    <col min="11" max="16384" width="9.140625" style="2"/>
  </cols>
  <sheetData>
    <row r="1" spans="1:13" ht="21" x14ac:dyDescent="0.55000000000000004">
      <c r="A1" s="92" t="s">
        <v>69</v>
      </c>
      <c r="B1" s="92"/>
      <c r="C1" s="92"/>
      <c r="D1" s="92"/>
      <c r="E1" s="92"/>
      <c r="F1" s="92"/>
      <c r="G1" s="92"/>
      <c r="H1" s="92"/>
      <c r="I1" s="92"/>
      <c r="J1" s="92"/>
    </row>
    <row r="2" spans="1:13" ht="21" x14ac:dyDescent="0.55000000000000004">
      <c r="A2" s="92" t="s">
        <v>61</v>
      </c>
      <c r="B2" s="92"/>
      <c r="C2" s="92"/>
      <c r="D2" s="92"/>
      <c r="E2" s="92"/>
      <c r="F2" s="92"/>
      <c r="G2" s="92"/>
      <c r="H2" s="92"/>
      <c r="I2" s="92"/>
      <c r="J2" s="92"/>
    </row>
    <row r="3" spans="1:13" ht="21" x14ac:dyDescent="0.55000000000000004">
      <c r="A3" s="92" t="s">
        <v>70</v>
      </c>
      <c r="B3" s="92"/>
      <c r="C3" s="92"/>
      <c r="D3" s="92"/>
      <c r="E3" s="92"/>
      <c r="F3" s="92"/>
      <c r="G3" s="92"/>
      <c r="H3" s="92"/>
      <c r="I3" s="92"/>
      <c r="J3" s="92"/>
    </row>
    <row r="4" spans="1:13" ht="21" x14ac:dyDescent="0.4">
      <c r="A4" s="93" t="s">
        <v>11</v>
      </c>
      <c r="B4" s="93"/>
      <c r="C4" s="93"/>
      <c r="D4" s="93"/>
      <c r="E4" s="93"/>
      <c r="F4" s="93"/>
      <c r="G4" s="93"/>
      <c r="H4" s="93"/>
      <c r="I4" s="93"/>
      <c r="J4" s="93"/>
      <c r="K4" s="15"/>
      <c r="L4" s="15"/>
      <c r="M4" s="15"/>
    </row>
    <row r="5" spans="1:13" ht="16.5" customHeight="1" thickBot="1" x14ac:dyDescent="0.45">
      <c r="B5" s="125" t="s">
        <v>46</v>
      </c>
      <c r="C5" s="125"/>
      <c r="D5" s="125"/>
      <c r="E5" s="126" t="s">
        <v>67</v>
      </c>
      <c r="F5" s="126"/>
      <c r="G5" s="126"/>
      <c r="H5" s="126" t="s">
        <v>71</v>
      </c>
      <c r="I5" s="126"/>
      <c r="J5" s="126"/>
      <c r="K5" s="1"/>
      <c r="L5" s="1"/>
      <c r="M5" s="1"/>
    </row>
    <row r="6" spans="1:13" ht="47.25" customHeight="1" thickBot="1" x14ac:dyDescent="0.45">
      <c r="A6" s="12" t="s">
        <v>30</v>
      </c>
      <c r="B6" s="8" t="s">
        <v>40</v>
      </c>
      <c r="C6" s="7" t="s">
        <v>45</v>
      </c>
      <c r="D6" s="7" t="s">
        <v>41</v>
      </c>
      <c r="E6" s="7" t="s">
        <v>42</v>
      </c>
      <c r="F6" s="4" t="s">
        <v>43</v>
      </c>
      <c r="G6" s="7" t="s">
        <v>44</v>
      </c>
      <c r="H6" s="7" t="s">
        <v>42</v>
      </c>
      <c r="I6" s="9" t="s">
        <v>43</v>
      </c>
      <c r="J6" s="7" t="s">
        <v>44</v>
      </c>
    </row>
    <row r="7" spans="1:13" x14ac:dyDescent="0.4">
      <c r="A7" s="13" t="s">
        <v>176</v>
      </c>
      <c r="B7" s="13" t="s">
        <v>178</v>
      </c>
      <c r="C7" s="13">
        <v>5542935</v>
      </c>
      <c r="D7" s="13">
        <v>1000</v>
      </c>
      <c r="H7" s="13">
        <v>5542935000</v>
      </c>
      <c r="I7" s="13">
        <v>-172871894</v>
      </c>
      <c r="J7" s="13">
        <v>5370063106</v>
      </c>
    </row>
    <row r="8" spans="1:13" x14ac:dyDescent="0.4">
      <c r="A8" s="13" t="s">
        <v>179</v>
      </c>
      <c r="B8" s="13" t="s">
        <v>180</v>
      </c>
      <c r="C8" s="13">
        <v>158909</v>
      </c>
      <c r="D8" s="13">
        <v>1640</v>
      </c>
      <c r="E8" s="13">
        <v>260610760</v>
      </c>
      <c r="F8" s="13">
        <v>-15764100</v>
      </c>
      <c r="G8" s="13">
        <v>244846660</v>
      </c>
      <c r="H8" s="13">
        <v>260610760</v>
      </c>
      <c r="I8" s="13">
        <v>-15764100</v>
      </c>
      <c r="J8" s="13">
        <v>244846660</v>
      </c>
    </row>
    <row r="9" spans="1:13" x14ac:dyDescent="0.4">
      <c r="A9" s="13" t="s">
        <v>181</v>
      </c>
      <c r="B9" s="13" t="s">
        <v>182</v>
      </c>
      <c r="C9" s="13">
        <v>4862943</v>
      </c>
      <c r="D9" s="13">
        <v>800</v>
      </c>
      <c r="E9" s="13">
        <v>3890354400</v>
      </c>
      <c r="F9" s="13">
        <v>-160927332</v>
      </c>
      <c r="G9" s="13">
        <v>3729427068</v>
      </c>
      <c r="H9" s="13">
        <v>3890354400</v>
      </c>
      <c r="I9" s="13">
        <v>-160927332</v>
      </c>
      <c r="J9" s="13">
        <v>3729427068</v>
      </c>
    </row>
    <row r="10" spans="1:13" x14ac:dyDescent="0.4">
      <c r="A10" s="13" t="s">
        <v>183</v>
      </c>
      <c r="B10" s="13" t="s">
        <v>184</v>
      </c>
      <c r="C10" s="13">
        <v>50000</v>
      </c>
      <c r="D10" s="13">
        <v>1870</v>
      </c>
      <c r="E10" s="13">
        <v>93500000</v>
      </c>
      <c r="F10" s="13">
        <v>-6217391</v>
      </c>
      <c r="G10" s="13">
        <v>87282609</v>
      </c>
      <c r="H10" s="13">
        <v>93500000</v>
      </c>
      <c r="I10" s="13">
        <v>-6217391</v>
      </c>
      <c r="J10" s="13">
        <v>87282609</v>
      </c>
    </row>
    <row r="11" spans="1:13" x14ac:dyDescent="0.4">
      <c r="A11" s="13" t="s">
        <v>185</v>
      </c>
      <c r="B11" s="13" t="s">
        <v>186</v>
      </c>
      <c r="C11" s="13">
        <v>3814542</v>
      </c>
      <c r="D11" s="13">
        <v>762</v>
      </c>
      <c r="E11" s="13">
        <v>2906681004</v>
      </c>
      <c r="F11" s="13">
        <v>-193283136</v>
      </c>
      <c r="G11" s="13">
        <v>2713397868</v>
      </c>
      <c r="H11" s="13">
        <v>2906681004</v>
      </c>
      <c r="I11" s="13">
        <v>-193283136</v>
      </c>
      <c r="J11" s="13">
        <v>2713397868</v>
      </c>
    </row>
    <row r="12" spans="1:13" x14ac:dyDescent="0.4">
      <c r="A12" s="13" t="s">
        <v>143</v>
      </c>
      <c r="B12" s="13" t="s">
        <v>187</v>
      </c>
      <c r="C12" s="13">
        <v>10724125</v>
      </c>
      <c r="D12" s="13">
        <v>810</v>
      </c>
      <c r="H12" s="13">
        <v>8686541250</v>
      </c>
      <c r="I12" s="13">
        <v>-163456421</v>
      </c>
      <c r="J12" s="13">
        <v>8523084829</v>
      </c>
    </row>
    <row r="13" spans="1:13" x14ac:dyDescent="0.4">
      <c r="A13" s="13" t="s">
        <v>188</v>
      </c>
      <c r="B13" s="13" t="s">
        <v>182</v>
      </c>
      <c r="C13" s="13">
        <v>8948358</v>
      </c>
      <c r="D13" s="13">
        <v>126</v>
      </c>
      <c r="E13" s="13">
        <v>1127493108</v>
      </c>
      <c r="F13" s="13">
        <v>-21216268</v>
      </c>
      <c r="G13" s="13">
        <v>1106276840</v>
      </c>
      <c r="H13" s="13">
        <v>1127493108</v>
      </c>
      <c r="I13" s="13">
        <v>-21216268</v>
      </c>
      <c r="J13" s="13">
        <v>1106276840</v>
      </c>
    </row>
    <row r="14" spans="1:13" x14ac:dyDescent="0.4">
      <c r="A14" s="13" t="s">
        <v>144</v>
      </c>
      <c r="B14" s="13" t="s">
        <v>189</v>
      </c>
      <c r="C14" s="13">
        <v>8421427</v>
      </c>
      <c r="D14" s="13">
        <v>180</v>
      </c>
      <c r="H14" s="13">
        <v>1515856860</v>
      </c>
      <c r="I14" s="13">
        <v>-61749754</v>
      </c>
      <c r="J14" s="13">
        <v>1454107106</v>
      </c>
    </row>
    <row r="15" spans="1:13" x14ac:dyDescent="0.4">
      <c r="A15" s="13" t="s">
        <v>96</v>
      </c>
      <c r="B15" s="13" t="s">
        <v>190</v>
      </c>
      <c r="C15" s="13">
        <v>1505609</v>
      </c>
      <c r="D15" s="13">
        <v>1910</v>
      </c>
      <c r="H15" s="13">
        <v>2875713190</v>
      </c>
      <c r="I15" s="13">
        <v>-159968522</v>
      </c>
      <c r="J15" s="13">
        <v>2715744668</v>
      </c>
    </row>
    <row r="16" spans="1:13" x14ac:dyDescent="0.4">
      <c r="A16" s="13" t="s">
        <v>107</v>
      </c>
      <c r="B16" s="13" t="s">
        <v>191</v>
      </c>
      <c r="C16" s="13">
        <v>28071939</v>
      </c>
      <c r="D16" s="13">
        <v>210</v>
      </c>
      <c r="E16" s="13">
        <v>5895107190</v>
      </c>
      <c r="F16" s="13">
        <v>-423488311</v>
      </c>
      <c r="G16" s="13">
        <v>5471618879</v>
      </c>
      <c r="H16" s="13">
        <v>5895107190</v>
      </c>
      <c r="I16" s="13">
        <v>-423488311</v>
      </c>
      <c r="J16" s="13">
        <v>5471618879</v>
      </c>
    </row>
    <row r="17" spans="1:10" x14ac:dyDescent="0.4">
      <c r="A17" s="13" t="s">
        <v>192</v>
      </c>
      <c r="B17" s="13" t="s">
        <v>187</v>
      </c>
      <c r="C17" s="13">
        <v>1750000</v>
      </c>
      <c r="D17" s="13">
        <v>570</v>
      </c>
      <c r="H17" s="13">
        <v>997500000</v>
      </c>
      <c r="I17" s="13">
        <v>-40634034</v>
      </c>
      <c r="J17" s="13">
        <v>956865966</v>
      </c>
    </row>
    <row r="18" spans="1:10" x14ac:dyDescent="0.4">
      <c r="A18" s="13" t="s">
        <v>110</v>
      </c>
      <c r="B18" s="13" t="s">
        <v>193</v>
      </c>
      <c r="C18" s="13">
        <v>14703159</v>
      </c>
      <c r="D18" s="13">
        <v>424</v>
      </c>
      <c r="E18" s="13">
        <v>6234139416</v>
      </c>
      <c r="F18" s="13">
        <v>-480761700</v>
      </c>
      <c r="G18" s="13">
        <v>5753377716</v>
      </c>
      <c r="H18" s="13">
        <v>6234139416</v>
      </c>
      <c r="I18" s="13">
        <v>-480761700</v>
      </c>
      <c r="J18" s="13">
        <v>5753377716</v>
      </c>
    </row>
    <row r="19" spans="1:10" x14ac:dyDescent="0.4">
      <c r="A19" s="13" t="s">
        <v>95</v>
      </c>
      <c r="B19" s="13" t="s">
        <v>194</v>
      </c>
      <c r="C19" s="13">
        <v>16845192</v>
      </c>
      <c r="D19" s="13">
        <v>290</v>
      </c>
      <c r="E19" s="13">
        <v>4885105680</v>
      </c>
      <c r="F19" s="13">
        <v>-295495453</v>
      </c>
      <c r="G19" s="13">
        <v>4589610227</v>
      </c>
      <c r="H19" s="13">
        <v>4885105680</v>
      </c>
      <c r="I19" s="13">
        <v>-295495453</v>
      </c>
      <c r="J19" s="13">
        <v>4589610227</v>
      </c>
    </row>
    <row r="20" spans="1:10" x14ac:dyDescent="0.4">
      <c r="A20" s="13" t="s">
        <v>195</v>
      </c>
      <c r="B20" s="13" t="s">
        <v>193</v>
      </c>
      <c r="C20" s="13">
        <v>9210264</v>
      </c>
      <c r="D20" s="13">
        <v>161</v>
      </c>
      <c r="E20" s="13">
        <v>1482852504</v>
      </c>
      <c r="F20" s="13">
        <v>-51943941</v>
      </c>
      <c r="G20" s="13">
        <v>1430908563</v>
      </c>
      <c r="H20" s="13">
        <v>1482852504</v>
      </c>
      <c r="I20" s="13">
        <v>-51943941</v>
      </c>
      <c r="J20" s="13">
        <v>1430908563</v>
      </c>
    </row>
    <row r="21" spans="1:10" x14ac:dyDescent="0.4">
      <c r="A21" s="13" t="s">
        <v>196</v>
      </c>
      <c r="B21" s="13" t="s">
        <v>197</v>
      </c>
      <c r="C21" s="13">
        <v>2875000</v>
      </c>
      <c r="D21" s="13">
        <v>116</v>
      </c>
      <c r="H21" s="13">
        <v>333500000</v>
      </c>
      <c r="I21" s="13">
        <v>0</v>
      </c>
      <c r="J21" s="13">
        <v>333500000</v>
      </c>
    </row>
    <row r="22" spans="1:10" x14ac:dyDescent="0.4">
      <c r="A22" s="13" t="s">
        <v>84</v>
      </c>
      <c r="B22" s="13" t="s">
        <v>198</v>
      </c>
      <c r="C22" s="13">
        <v>9863245</v>
      </c>
      <c r="D22" s="13">
        <v>240</v>
      </c>
      <c r="H22" s="13">
        <v>2367178800</v>
      </c>
      <c r="I22" s="13">
        <v>0</v>
      </c>
      <c r="J22" s="13">
        <v>2367178800</v>
      </c>
    </row>
    <row r="23" spans="1:10" x14ac:dyDescent="0.4">
      <c r="A23" s="13" t="s">
        <v>199</v>
      </c>
      <c r="B23" s="13" t="s">
        <v>200</v>
      </c>
      <c r="C23" s="13">
        <v>3665469</v>
      </c>
      <c r="D23" s="13">
        <v>615</v>
      </c>
      <c r="H23" s="13">
        <v>2254263435</v>
      </c>
      <c r="I23" s="13">
        <v>0</v>
      </c>
      <c r="J23" s="13">
        <v>2254263435</v>
      </c>
    </row>
    <row r="24" spans="1:10" x14ac:dyDescent="0.4">
      <c r="A24" s="13" t="s">
        <v>164</v>
      </c>
      <c r="B24" s="13" t="s">
        <v>198</v>
      </c>
      <c r="C24" s="13">
        <v>29417878</v>
      </c>
      <c r="D24" s="13">
        <v>390</v>
      </c>
      <c r="H24" s="13">
        <v>11472972420</v>
      </c>
      <c r="I24" s="13">
        <v>0</v>
      </c>
      <c r="J24" s="13">
        <v>11472972420</v>
      </c>
    </row>
    <row r="25" spans="1:10" x14ac:dyDescent="0.4">
      <c r="A25" s="13" t="s">
        <v>135</v>
      </c>
      <c r="B25" s="13" t="s">
        <v>201</v>
      </c>
      <c r="C25" s="13">
        <v>5838695</v>
      </c>
      <c r="D25" s="13">
        <v>850</v>
      </c>
      <c r="E25" s="13">
        <v>4962890750</v>
      </c>
      <c r="F25" s="13">
        <v>-167509880</v>
      </c>
      <c r="G25" s="13">
        <v>4795380870</v>
      </c>
      <c r="H25" s="13">
        <v>4962890750</v>
      </c>
      <c r="I25" s="13">
        <v>-167509880</v>
      </c>
      <c r="J25" s="13">
        <v>4795380870</v>
      </c>
    </row>
    <row r="26" spans="1:10" x14ac:dyDescent="0.4">
      <c r="A26" s="13" t="s">
        <v>153</v>
      </c>
      <c r="B26" s="13" t="s">
        <v>202</v>
      </c>
      <c r="C26" s="13">
        <v>5516183</v>
      </c>
      <c r="D26" s="13">
        <v>270</v>
      </c>
      <c r="H26" s="13">
        <v>1489369410</v>
      </c>
      <c r="I26" s="13">
        <v>-26058953</v>
      </c>
      <c r="J26" s="13">
        <v>1463310457</v>
      </c>
    </row>
    <row r="27" spans="1:10" x14ac:dyDescent="0.4">
      <c r="A27" s="13" t="s">
        <v>203</v>
      </c>
      <c r="B27" s="13" t="s">
        <v>184</v>
      </c>
      <c r="C27" s="13">
        <v>14328056</v>
      </c>
      <c r="D27" s="13">
        <v>215</v>
      </c>
      <c r="E27" s="13">
        <v>3080532040</v>
      </c>
      <c r="F27" s="13">
        <v>-184474874</v>
      </c>
      <c r="G27" s="13">
        <v>2896057166</v>
      </c>
      <c r="H27" s="13">
        <v>3080532040</v>
      </c>
      <c r="I27" s="13">
        <v>-184474874</v>
      </c>
      <c r="J27" s="13">
        <v>2896057166</v>
      </c>
    </row>
    <row r="28" spans="1:10" x14ac:dyDescent="0.4">
      <c r="A28" s="13" t="s">
        <v>204</v>
      </c>
      <c r="B28" s="13" t="s">
        <v>201</v>
      </c>
      <c r="C28" s="13">
        <v>13400000</v>
      </c>
      <c r="D28" s="13">
        <v>330</v>
      </c>
      <c r="E28" s="13">
        <v>4422000000</v>
      </c>
      <c r="F28" s="13">
        <v>-341013906</v>
      </c>
      <c r="G28" s="13">
        <v>4080986094</v>
      </c>
      <c r="H28" s="13">
        <v>4422000000</v>
      </c>
      <c r="I28" s="13">
        <v>-341013906</v>
      </c>
      <c r="J28" s="13">
        <v>4080986094</v>
      </c>
    </row>
    <row r="29" spans="1:10" x14ac:dyDescent="0.4">
      <c r="A29" s="13" t="s">
        <v>205</v>
      </c>
      <c r="B29" s="13" t="s">
        <v>206</v>
      </c>
      <c r="C29" s="13">
        <v>7357161</v>
      </c>
      <c r="D29" s="13">
        <v>1000</v>
      </c>
      <c r="H29" s="13">
        <v>7357161000</v>
      </c>
      <c r="I29" s="13">
        <v>0</v>
      </c>
      <c r="J29" s="13">
        <v>7357161000</v>
      </c>
    </row>
    <row r="30" spans="1:10" x14ac:dyDescent="0.4">
      <c r="A30" s="13" t="s">
        <v>207</v>
      </c>
      <c r="B30" s="13" t="s">
        <v>208</v>
      </c>
      <c r="C30" s="13">
        <v>285750</v>
      </c>
      <c r="D30" s="13">
        <v>4000</v>
      </c>
      <c r="H30" s="13">
        <v>1143000000</v>
      </c>
      <c r="I30" s="13">
        <v>-12390244</v>
      </c>
      <c r="J30" s="13">
        <v>1130609756</v>
      </c>
    </row>
    <row r="31" spans="1:10" x14ac:dyDescent="0.4">
      <c r="A31" s="13" t="s">
        <v>209</v>
      </c>
      <c r="B31" s="13" t="s">
        <v>200</v>
      </c>
      <c r="C31" s="13">
        <v>11278863</v>
      </c>
      <c r="D31" s="13">
        <v>160</v>
      </c>
      <c r="H31" s="13">
        <v>1804618080</v>
      </c>
      <c r="I31" s="13">
        <v>-32767107</v>
      </c>
      <c r="J31" s="13">
        <v>1771850973</v>
      </c>
    </row>
    <row r="32" spans="1:10" x14ac:dyDescent="0.4">
      <c r="A32" s="13" t="s">
        <v>210</v>
      </c>
      <c r="B32" s="13" t="s">
        <v>211</v>
      </c>
      <c r="C32" s="13">
        <v>1648155</v>
      </c>
      <c r="D32" s="13">
        <v>1000</v>
      </c>
      <c r="H32" s="13">
        <v>1648155000</v>
      </c>
      <c r="I32" s="13">
        <v>-67139034</v>
      </c>
      <c r="J32" s="13">
        <v>1581015966</v>
      </c>
    </row>
    <row r="33" spans="1:10" x14ac:dyDescent="0.4">
      <c r="A33" s="13" t="s">
        <v>212</v>
      </c>
      <c r="B33" s="13" t="s">
        <v>213</v>
      </c>
      <c r="C33" s="13">
        <v>250000</v>
      </c>
      <c r="D33" s="13">
        <v>750</v>
      </c>
      <c r="H33" s="13">
        <v>187500000</v>
      </c>
      <c r="I33" s="13">
        <v>0</v>
      </c>
      <c r="J33" s="13">
        <v>187500000</v>
      </c>
    </row>
    <row r="34" spans="1:10" x14ac:dyDescent="0.4">
      <c r="A34" s="13" t="s">
        <v>214</v>
      </c>
      <c r="B34" s="13" t="s">
        <v>189</v>
      </c>
      <c r="C34" s="13">
        <v>3860139</v>
      </c>
      <c r="D34" s="13">
        <v>240</v>
      </c>
      <c r="H34" s="13">
        <v>926433360</v>
      </c>
      <c r="I34" s="13">
        <v>-25905593</v>
      </c>
      <c r="J34" s="13">
        <v>900527767</v>
      </c>
    </row>
    <row r="35" spans="1:10" x14ac:dyDescent="0.4">
      <c r="A35" s="13" t="s">
        <v>114</v>
      </c>
      <c r="B35" s="13" t="s">
        <v>215</v>
      </c>
      <c r="C35" s="13">
        <v>189400</v>
      </c>
      <c r="D35" s="13">
        <v>16600</v>
      </c>
      <c r="E35" s="13">
        <v>3144040000</v>
      </c>
      <c r="F35" s="13">
        <v>-242460733</v>
      </c>
      <c r="G35" s="13">
        <v>2901579267</v>
      </c>
      <c r="H35" s="13">
        <v>3144040000</v>
      </c>
      <c r="I35" s="13">
        <v>-242460733</v>
      </c>
      <c r="J35" s="13">
        <v>2901579267</v>
      </c>
    </row>
    <row r="36" spans="1:10" x14ac:dyDescent="0.4">
      <c r="A36" s="13" t="s">
        <v>148</v>
      </c>
      <c r="B36" s="13" t="s">
        <v>215</v>
      </c>
      <c r="C36" s="13">
        <v>3535701</v>
      </c>
      <c r="D36" s="13">
        <v>1600</v>
      </c>
      <c r="E36" s="13">
        <v>5657121600</v>
      </c>
      <c r="F36" s="13">
        <v>0</v>
      </c>
      <c r="G36" s="13">
        <v>5657121600</v>
      </c>
      <c r="H36" s="13">
        <v>5657121600</v>
      </c>
      <c r="I36" s="13">
        <v>0</v>
      </c>
      <c r="J36" s="13">
        <v>5657121600</v>
      </c>
    </row>
    <row r="37" spans="1:10" x14ac:dyDescent="0.4">
      <c r="A37" s="13" t="s">
        <v>128</v>
      </c>
      <c r="B37" s="13" t="s">
        <v>191</v>
      </c>
      <c r="C37" s="13">
        <v>6983236</v>
      </c>
      <c r="D37" s="13">
        <v>400</v>
      </c>
      <c r="E37" s="13">
        <v>2793294400</v>
      </c>
      <c r="F37" s="13">
        <v>-56240827</v>
      </c>
      <c r="G37" s="13">
        <v>2737053573</v>
      </c>
      <c r="H37" s="13">
        <v>2793294400</v>
      </c>
      <c r="I37" s="13">
        <v>-56240827</v>
      </c>
      <c r="J37" s="13">
        <v>2737053573</v>
      </c>
    </row>
    <row r="38" spans="1:10" x14ac:dyDescent="0.4">
      <c r="A38" s="13" t="s">
        <v>123</v>
      </c>
      <c r="B38" s="13" t="s">
        <v>216</v>
      </c>
      <c r="C38" s="13">
        <v>8960615</v>
      </c>
      <c r="D38" s="13">
        <v>240</v>
      </c>
      <c r="H38" s="13">
        <v>2150547600</v>
      </c>
      <c r="I38" s="13">
        <v>-94359325</v>
      </c>
      <c r="J38" s="13">
        <v>2056188275</v>
      </c>
    </row>
    <row r="39" spans="1:10" x14ac:dyDescent="0.4">
      <c r="A39" s="13" t="s">
        <v>157</v>
      </c>
      <c r="B39" s="13" t="s">
        <v>217</v>
      </c>
      <c r="C39" s="13">
        <v>13327841</v>
      </c>
      <c r="D39" s="13">
        <v>190</v>
      </c>
      <c r="E39" s="13">
        <v>2532289790</v>
      </c>
      <c r="F39" s="13">
        <v>-187874385</v>
      </c>
      <c r="G39" s="13">
        <v>2344415405</v>
      </c>
      <c r="H39" s="13">
        <v>2532289790</v>
      </c>
      <c r="I39" s="13">
        <v>-187874385</v>
      </c>
      <c r="J39" s="13">
        <v>2344415405</v>
      </c>
    </row>
    <row r="40" spans="1:10" x14ac:dyDescent="0.4">
      <c r="A40" s="13" t="s">
        <v>125</v>
      </c>
      <c r="B40" s="13" t="s">
        <v>218</v>
      </c>
      <c r="C40" s="13">
        <v>18441112</v>
      </c>
      <c r="D40" s="13">
        <v>260</v>
      </c>
      <c r="E40" s="13">
        <v>4794689120</v>
      </c>
      <c r="F40" s="13">
        <v>-301591485</v>
      </c>
      <c r="G40" s="13">
        <v>4493097635</v>
      </c>
      <c r="H40" s="13">
        <v>4794689120</v>
      </c>
      <c r="I40" s="13">
        <v>-301591485</v>
      </c>
      <c r="J40" s="13">
        <v>4493097635</v>
      </c>
    </row>
    <row r="41" spans="1:10" x14ac:dyDescent="0.4">
      <c r="A41" s="13" t="s">
        <v>87</v>
      </c>
      <c r="B41" s="13" t="s">
        <v>218</v>
      </c>
      <c r="C41" s="13">
        <v>1950533</v>
      </c>
      <c r="D41" s="13">
        <v>2600</v>
      </c>
      <c r="E41" s="13">
        <v>5071385800</v>
      </c>
      <c r="F41" s="13">
        <v>-318996026</v>
      </c>
      <c r="G41" s="13">
        <v>4752389774</v>
      </c>
      <c r="H41" s="13">
        <v>5071385800</v>
      </c>
      <c r="I41" s="13">
        <v>-318996026</v>
      </c>
      <c r="J41" s="13">
        <v>4752389774</v>
      </c>
    </row>
    <row r="42" spans="1:10" x14ac:dyDescent="0.4">
      <c r="A42" s="13" t="s">
        <v>162</v>
      </c>
      <c r="B42" s="13" t="s">
        <v>182</v>
      </c>
      <c r="C42" s="13">
        <v>9680504</v>
      </c>
      <c r="D42" s="13">
        <v>800</v>
      </c>
      <c r="E42" s="13">
        <v>7744403200</v>
      </c>
      <c r="F42" s="13">
        <v>-519592547</v>
      </c>
      <c r="G42" s="13">
        <v>7224810653</v>
      </c>
      <c r="H42" s="13">
        <v>7744403200</v>
      </c>
      <c r="I42" s="13">
        <v>-519592547</v>
      </c>
      <c r="J42" s="13">
        <v>7224810653</v>
      </c>
    </row>
    <row r="43" spans="1:10" x14ac:dyDescent="0.4">
      <c r="A43" s="13" t="s">
        <v>173</v>
      </c>
      <c r="B43" s="13" t="s">
        <v>219</v>
      </c>
      <c r="C43" s="13">
        <v>1740025</v>
      </c>
      <c r="D43" s="13">
        <v>3330</v>
      </c>
      <c r="E43" s="13">
        <v>5794283250</v>
      </c>
      <c r="F43" s="13">
        <v>-343475553</v>
      </c>
      <c r="G43" s="13">
        <v>5450807697</v>
      </c>
      <c r="H43" s="13">
        <v>5794283250</v>
      </c>
      <c r="I43" s="13">
        <v>-343475553</v>
      </c>
      <c r="J43" s="13">
        <v>5450807697</v>
      </c>
    </row>
    <row r="44" spans="1:10" x14ac:dyDescent="0.4">
      <c r="A44" s="13" t="s">
        <v>156</v>
      </c>
      <c r="B44" s="13" t="s">
        <v>220</v>
      </c>
      <c r="C44" s="13">
        <v>8999143</v>
      </c>
      <c r="D44" s="13">
        <v>745</v>
      </c>
      <c r="E44" s="13">
        <v>6704361535</v>
      </c>
      <c r="F44" s="13">
        <v>-517024088</v>
      </c>
      <c r="G44" s="13">
        <v>6187337447</v>
      </c>
      <c r="H44" s="13">
        <v>6704361535</v>
      </c>
      <c r="I44" s="13">
        <v>-517024088</v>
      </c>
      <c r="J44" s="13">
        <v>6187337447</v>
      </c>
    </row>
    <row r="45" spans="1:10" x14ac:dyDescent="0.4">
      <c r="A45" s="13" t="s">
        <v>221</v>
      </c>
      <c r="B45" s="13" t="s">
        <v>182</v>
      </c>
      <c r="C45" s="13">
        <v>4929408</v>
      </c>
      <c r="D45" s="13">
        <v>930</v>
      </c>
      <c r="E45" s="13">
        <v>4584349440</v>
      </c>
      <c r="F45" s="13">
        <v>-353533901</v>
      </c>
      <c r="G45" s="13">
        <v>4230815539</v>
      </c>
      <c r="H45" s="13">
        <v>4584349440</v>
      </c>
      <c r="I45" s="13">
        <v>-353533901</v>
      </c>
      <c r="J45" s="13">
        <v>4230815539</v>
      </c>
    </row>
    <row r="46" spans="1:10" x14ac:dyDescent="0.4">
      <c r="A46" s="13" t="s">
        <v>81</v>
      </c>
      <c r="B46" s="13" t="s">
        <v>215</v>
      </c>
      <c r="C46" s="13">
        <v>2650076</v>
      </c>
      <c r="D46" s="13">
        <v>940</v>
      </c>
      <c r="E46" s="13">
        <v>2491071440</v>
      </c>
      <c r="F46" s="13">
        <v>-192105383</v>
      </c>
      <c r="G46" s="13">
        <v>2298966057</v>
      </c>
      <c r="H46" s="13">
        <v>2491071440</v>
      </c>
      <c r="I46" s="13">
        <v>-192105383</v>
      </c>
      <c r="J46" s="13">
        <v>2298966057</v>
      </c>
    </row>
    <row r="47" spans="1:10" x14ac:dyDescent="0.4">
      <c r="A47" s="13" t="s">
        <v>138</v>
      </c>
      <c r="B47" s="13" t="s">
        <v>187</v>
      </c>
      <c r="C47" s="13">
        <v>4749593</v>
      </c>
      <c r="D47" s="13">
        <v>1490</v>
      </c>
      <c r="H47" s="13">
        <v>7076893570</v>
      </c>
      <c r="I47" s="13">
        <v>-419506578</v>
      </c>
      <c r="J47" s="13">
        <v>6657386992</v>
      </c>
    </row>
    <row r="48" spans="1:10" x14ac:dyDescent="0.4">
      <c r="A48" s="13" t="s">
        <v>222</v>
      </c>
      <c r="B48" s="13" t="s">
        <v>182</v>
      </c>
      <c r="C48" s="13">
        <v>3833693</v>
      </c>
      <c r="D48" s="13">
        <v>300</v>
      </c>
      <c r="E48" s="13">
        <v>1150107900</v>
      </c>
      <c r="F48" s="13">
        <v>-55481085</v>
      </c>
      <c r="G48" s="13">
        <v>1094626815</v>
      </c>
      <c r="H48" s="13">
        <v>1150107900</v>
      </c>
      <c r="I48" s="13">
        <v>-55481085</v>
      </c>
      <c r="J48" s="13">
        <v>1094626815</v>
      </c>
    </row>
    <row r="49" spans="1:10" x14ac:dyDescent="0.4">
      <c r="A49" s="13" t="s">
        <v>223</v>
      </c>
      <c r="B49" s="13" t="s">
        <v>193</v>
      </c>
      <c r="C49" s="13">
        <v>16854222</v>
      </c>
      <c r="D49" s="13">
        <v>100</v>
      </c>
      <c r="E49" s="13">
        <v>1685422200</v>
      </c>
      <c r="F49" s="13">
        <v>-128006749</v>
      </c>
      <c r="G49" s="13">
        <v>1557415451</v>
      </c>
      <c r="H49" s="13">
        <v>1685422200</v>
      </c>
      <c r="I49" s="13">
        <v>-128006749</v>
      </c>
      <c r="J49" s="13">
        <v>1557415451</v>
      </c>
    </row>
    <row r="50" spans="1:10" x14ac:dyDescent="0.4">
      <c r="A50" s="13" t="s">
        <v>119</v>
      </c>
      <c r="B50" s="13" t="s">
        <v>191</v>
      </c>
      <c r="C50" s="13">
        <v>30820136</v>
      </c>
      <c r="D50" s="13">
        <v>69</v>
      </c>
      <c r="E50" s="13">
        <v>2126589384</v>
      </c>
      <c r="F50" s="13">
        <v>-154022357</v>
      </c>
      <c r="G50" s="13">
        <v>1972567027</v>
      </c>
      <c r="H50" s="13">
        <v>2126589384</v>
      </c>
      <c r="I50" s="13">
        <v>-154022357</v>
      </c>
      <c r="J50" s="13">
        <v>1972567027</v>
      </c>
    </row>
    <row r="51" spans="1:10" x14ac:dyDescent="0.4">
      <c r="A51" s="13" t="s">
        <v>126</v>
      </c>
      <c r="B51" s="13" t="s">
        <v>187</v>
      </c>
      <c r="C51" s="13">
        <v>20378584</v>
      </c>
      <c r="D51" s="13">
        <v>91</v>
      </c>
      <c r="H51" s="13">
        <v>1854451144</v>
      </c>
      <c r="I51" s="13">
        <v>-38556664</v>
      </c>
      <c r="J51" s="13">
        <v>1815894480</v>
      </c>
    </row>
    <row r="52" spans="1:10" x14ac:dyDescent="0.4">
      <c r="A52" s="13" t="s">
        <v>224</v>
      </c>
      <c r="B52" s="13" t="s">
        <v>225</v>
      </c>
      <c r="C52" s="13">
        <v>562500</v>
      </c>
      <c r="D52" s="13">
        <v>1550</v>
      </c>
      <c r="E52" s="13">
        <v>871875000</v>
      </c>
      <c r="F52" s="13">
        <v>-62118321</v>
      </c>
      <c r="G52" s="13">
        <v>809756679</v>
      </c>
      <c r="H52" s="13">
        <v>871875000</v>
      </c>
      <c r="I52" s="13">
        <v>-62118321</v>
      </c>
      <c r="J52" s="13">
        <v>809756679</v>
      </c>
    </row>
    <row r="53" spans="1:10" x14ac:dyDescent="0.4">
      <c r="A53" s="13" t="s">
        <v>226</v>
      </c>
      <c r="B53" s="13" t="s">
        <v>225</v>
      </c>
      <c r="C53" s="13">
        <v>4773870</v>
      </c>
      <c r="D53" s="13">
        <v>350</v>
      </c>
      <c r="E53" s="13">
        <v>1670854500</v>
      </c>
      <c r="F53" s="13">
        <v>-79564500</v>
      </c>
      <c r="G53" s="13">
        <v>1591290000</v>
      </c>
      <c r="H53" s="13">
        <v>1670854500</v>
      </c>
      <c r="I53" s="13">
        <v>-79564500</v>
      </c>
      <c r="J53" s="13">
        <v>1591290000</v>
      </c>
    </row>
    <row r="54" spans="1:10" x14ac:dyDescent="0.4">
      <c r="A54" s="13" t="s">
        <v>227</v>
      </c>
      <c r="B54" s="13" t="s">
        <v>228</v>
      </c>
      <c r="C54" s="13">
        <v>11440020</v>
      </c>
      <c r="D54" s="13">
        <v>160</v>
      </c>
      <c r="H54" s="13">
        <v>1830403200</v>
      </c>
      <c r="I54" s="13">
        <v>-106281476</v>
      </c>
      <c r="J54" s="13">
        <v>1724121724</v>
      </c>
    </row>
    <row r="55" spans="1:10" x14ac:dyDescent="0.4">
      <c r="A55" s="13" t="s">
        <v>229</v>
      </c>
      <c r="B55" s="13" t="s">
        <v>219</v>
      </c>
      <c r="C55" s="13">
        <v>6400000</v>
      </c>
      <c r="D55" s="13">
        <v>37</v>
      </c>
      <c r="E55" s="13">
        <v>236800000</v>
      </c>
      <c r="F55" s="13">
        <v>-14894994</v>
      </c>
      <c r="G55" s="13">
        <v>221905006</v>
      </c>
      <c r="H55" s="13">
        <v>236800000</v>
      </c>
      <c r="I55" s="13">
        <v>-14894994</v>
      </c>
      <c r="J55" s="13">
        <v>221905006</v>
      </c>
    </row>
    <row r="56" spans="1:10" x14ac:dyDescent="0.4">
      <c r="A56" s="13" t="s">
        <v>90</v>
      </c>
      <c r="B56" s="13" t="s">
        <v>191</v>
      </c>
      <c r="C56" s="13">
        <v>3975883</v>
      </c>
      <c r="D56" s="13">
        <v>2650</v>
      </c>
      <c r="E56" s="13">
        <v>10536089950</v>
      </c>
      <c r="F56" s="13">
        <v>-369076515</v>
      </c>
      <c r="G56" s="13">
        <v>10167013435</v>
      </c>
      <c r="H56" s="13">
        <v>10536089950</v>
      </c>
      <c r="I56" s="13">
        <v>-369076515</v>
      </c>
      <c r="J56" s="13">
        <v>10167013435</v>
      </c>
    </row>
    <row r="57" spans="1:10" x14ac:dyDescent="0.4">
      <c r="A57" s="13" t="s">
        <v>172</v>
      </c>
      <c r="B57" s="13" t="s">
        <v>230</v>
      </c>
      <c r="C57" s="13">
        <v>860136</v>
      </c>
      <c r="D57" s="13">
        <v>1500</v>
      </c>
      <c r="H57" s="13">
        <v>0</v>
      </c>
      <c r="I57" s="13">
        <v>0</v>
      </c>
      <c r="J57" s="13">
        <v>0</v>
      </c>
    </row>
    <row r="58" spans="1:10" x14ac:dyDescent="0.4">
      <c r="A58" s="13" t="s">
        <v>116</v>
      </c>
      <c r="B58" s="13" t="s">
        <v>200</v>
      </c>
      <c r="C58" s="13">
        <v>3534630</v>
      </c>
      <c r="D58" s="13">
        <v>480</v>
      </c>
      <c r="H58" s="13">
        <v>1696622400</v>
      </c>
      <c r="I58" s="13">
        <v>0</v>
      </c>
      <c r="J58" s="13">
        <v>1696622400</v>
      </c>
    </row>
    <row r="59" spans="1:10" x14ac:dyDescent="0.4">
      <c r="A59" s="13" t="s">
        <v>231</v>
      </c>
      <c r="B59" s="13" t="s">
        <v>232</v>
      </c>
      <c r="C59" s="13">
        <v>2874653</v>
      </c>
      <c r="D59" s="13">
        <v>740</v>
      </c>
      <c r="H59" s="13">
        <v>2127243220</v>
      </c>
      <c r="I59" s="13">
        <v>-21632982</v>
      </c>
      <c r="J59" s="13">
        <v>2105610238</v>
      </c>
    </row>
    <row r="60" spans="1:10" x14ac:dyDescent="0.4">
      <c r="A60" s="13" t="s">
        <v>233</v>
      </c>
      <c r="B60" s="13" t="s">
        <v>234</v>
      </c>
      <c r="C60" s="13">
        <v>800000</v>
      </c>
      <c r="D60" s="13">
        <v>4600</v>
      </c>
      <c r="E60" s="13">
        <v>3680000000</v>
      </c>
      <c r="F60" s="13">
        <v>-251282706</v>
      </c>
      <c r="G60" s="13">
        <v>3428717294</v>
      </c>
      <c r="H60" s="13">
        <v>3680000000</v>
      </c>
      <c r="I60" s="13">
        <v>-251282706</v>
      </c>
      <c r="J60" s="13">
        <v>3428717294</v>
      </c>
    </row>
    <row r="61" spans="1:10" x14ac:dyDescent="0.4">
      <c r="A61" s="13" t="s">
        <v>235</v>
      </c>
      <c r="B61" s="13" t="s">
        <v>236</v>
      </c>
      <c r="C61" s="13">
        <v>84882</v>
      </c>
      <c r="D61" s="13">
        <v>28874</v>
      </c>
      <c r="H61" s="13">
        <v>2450882868</v>
      </c>
      <c r="I61" s="13">
        <v>0</v>
      </c>
      <c r="J61" s="13">
        <v>2450882868</v>
      </c>
    </row>
    <row r="62" spans="1:10" x14ac:dyDescent="0.4">
      <c r="A62" s="13" t="s">
        <v>237</v>
      </c>
      <c r="B62" s="13" t="s">
        <v>236</v>
      </c>
      <c r="C62" s="13">
        <v>612681</v>
      </c>
      <c r="D62" s="13">
        <v>7200</v>
      </c>
      <c r="H62" s="13">
        <v>4411303200</v>
      </c>
      <c r="I62" s="13">
        <v>0</v>
      </c>
      <c r="J62" s="13">
        <v>4411303200</v>
      </c>
    </row>
    <row r="63" spans="1:10" x14ac:dyDescent="0.4">
      <c r="A63" s="13" t="s">
        <v>238</v>
      </c>
      <c r="B63" s="13" t="s">
        <v>190</v>
      </c>
      <c r="C63" s="13">
        <v>3983350</v>
      </c>
      <c r="D63" s="13">
        <v>790</v>
      </c>
      <c r="H63" s="13">
        <v>3146846500</v>
      </c>
      <c r="I63" s="13">
        <v>-55059225</v>
      </c>
      <c r="J63" s="13">
        <v>3091787275</v>
      </c>
    </row>
    <row r="64" spans="1:10" x14ac:dyDescent="0.4">
      <c r="A64" s="13" t="s">
        <v>98</v>
      </c>
      <c r="B64" s="13" t="s">
        <v>239</v>
      </c>
      <c r="C64" s="13">
        <v>2001235</v>
      </c>
      <c r="D64" s="13">
        <v>1520</v>
      </c>
      <c r="H64" s="13">
        <v>3041877200</v>
      </c>
      <c r="I64" s="13">
        <v>-92912584</v>
      </c>
      <c r="J64" s="13">
        <v>2948964616</v>
      </c>
    </row>
    <row r="65" spans="1:10" x14ac:dyDescent="0.4">
      <c r="A65" s="13" t="s">
        <v>240</v>
      </c>
      <c r="B65" s="13" t="s">
        <v>241</v>
      </c>
      <c r="C65" s="13">
        <v>5476907</v>
      </c>
      <c r="D65" s="13">
        <v>695</v>
      </c>
      <c r="H65" s="13">
        <v>3806450365</v>
      </c>
      <c r="I65" s="13">
        <v>0</v>
      </c>
      <c r="J65" s="13">
        <v>3806450365</v>
      </c>
    </row>
    <row r="66" spans="1:10" x14ac:dyDescent="0.4">
      <c r="A66" s="13" t="s">
        <v>242</v>
      </c>
      <c r="B66" s="13" t="s">
        <v>243</v>
      </c>
      <c r="C66" s="13">
        <v>2800000</v>
      </c>
      <c r="D66" s="13">
        <v>1300</v>
      </c>
      <c r="H66" s="13">
        <v>3640000000</v>
      </c>
      <c r="I66" s="13">
        <v>-161989529</v>
      </c>
      <c r="J66" s="13">
        <v>3478010471</v>
      </c>
    </row>
    <row r="67" spans="1:10" x14ac:dyDescent="0.4">
      <c r="A67" s="13" t="s">
        <v>244</v>
      </c>
      <c r="B67" s="13" t="s">
        <v>245</v>
      </c>
      <c r="C67" s="13">
        <v>1027781</v>
      </c>
      <c r="D67" s="13">
        <v>4745</v>
      </c>
      <c r="H67" s="13">
        <v>4876820845</v>
      </c>
      <c r="I67" s="13">
        <v>0</v>
      </c>
      <c r="J67" s="13">
        <v>4876820845</v>
      </c>
    </row>
    <row r="68" spans="1:10" x14ac:dyDescent="0.4">
      <c r="A68" s="13" t="s">
        <v>246</v>
      </c>
      <c r="B68" s="13" t="s">
        <v>247</v>
      </c>
      <c r="C68" s="13">
        <v>104452</v>
      </c>
      <c r="D68" s="13">
        <v>27400</v>
      </c>
      <c r="H68" s="13">
        <v>2861984800</v>
      </c>
      <c r="I68" s="13">
        <v>0</v>
      </c>
      <c r="J68" s="13">
        <v>2861984800</v>
      </c>
    </row>
    <row r="69" spans="1:10" x14ac:dyDescent="0.4">
      <c r="A69" s="13" t="s">
        <v>248</v>
      </c>
      <c r="B69" s="13" t="s">
        <v>249</v>
      </c>
      <c r="C69" s="13">
        <v>144247</v>
      </c>
      <c r="D69" s="13">
        <v>991</v>
      </c>
      <c r="H69" s="13">
        <v>142948777</v>
      </c>
      <c r="I69" s="13">
        <v>-6629238</v>
      </c>
      <c r="J69" s="13">
        <v>136319539</v>
      </c>
    </row>
    <row r="70" spans="1:10" x14ac:dyDescent="0.4">
      <c r="A70" s="13" t="s">
        <v>250</v>
      </c>
      <c r="B70" s="13" t="s">
        <v>251</v>
      </c>
      <c r="C70" s="13">
        <v>336344</v>
      </c>
      <c r="D70" s="13">
        <v>7435</v>
      </c>
      <c r="H70" s="13">
        <v>2500717640</v>
      </c>
      <c r="I70" s="13">
        <v>0</v>
      </c>
      <c r="J70" s="13">
        <v>2500717640</v>
      </c>
    </row>
    <row r="71" spans="1:10" x14ac:dyDescent="0.4">
      <c r="A71" s="13" t="s">
        <v>252</v>
      </c>
      <c r="B71" s="13" t="s">
        <v>253</v>
      </c>
      <c r="C71" s="13">
        <v>1504289</v>
      </c>
      <c r="D71" s="13">
        <v>2600</v>
      </c>
      <c r="E71" s="13">
        <v>3911151400</v>
      </c>
      <c r="F71" s="13">
        <v>0</v>
      </c>
      <c r="G71" s="13">
        <v>3911151400</v>
      </c>
      <c r="H71" s="13">
        <v>3911151400</v>
      </c>
      <c r="I71" s="13">
        <v>0</v>
      </c>
      <c r="J71" s="13">
        <v>3911151400</v>
      </c>
    </row>
    <row r="72" spans="1:10" x14ac:dyDescent="0.4">
      <c r="A72" s="13" t="s">
        <v>254</v>
      </c>
      <c r="B72" s="13" t="s">
        <v>72</v>
      </c>
      <c r="C72" s="13">
        <v>21110</v>
      </c>
      <c r="D72" s="13">
        <v>22700</v>
      </c>
      <c r="E72" s="13">
        <v>479197000</v>
      </c>
      <c r="F72" s="13">
        <v>-18309240</v>
      </c>
      <c r="G72" s="13">
        <v>460887760</v>
      </c>
      <c r="H72" s="13">
        <v>479197000</v>
      </c>
      <c r="I72" s="13">
        <v>-18309240</v>
      </c>
      <c r="J72" s="13">
        <v>460887760</v>
      </c>
    </row>
    <row r="73" spans="1:10" x14ac:dyDescent="0.4">
      <c r="A73" s="13" t="s">
        <v>255</v>
      </c>
      <c r="B73" s="13" t="s">
        <v>180</v>
      </c>
      <c r="C73" s="13">
        <v>6761644</v>
      </c>
      <c r="D73" s="13">
        <v>42</v>
      </c>
      <c r="E73" s="13">
        <v>283989048</v>
      </c>
      <c r="F73" s="13">
        <v>-17692317</v>
      </c>
      <c r="G73" s="13">
        <v>266296731</v>
      </c>
      <c r="H73" s="13">
        <v>283989048</v>
      </c>
      <c r="I73" s="13">
        <v>-17692317</v>
      </c>
      <c r="J73" s="13">
        <v>266296731</v>
      </c>
    </row>
    <row r="74" spans="1:10" x14ac:dyDescent="0.4">
      <c r="A74" s="13" t="s">
        <v>256</v>
      </c>
      <c r="B74" s="13" t="s">
        <v>72</v>
      </c>
      <c r="C74" s="13">
        <v>520570</v>
      </c>
      <c r="D74" s="13">
        <v>5700</v>
      </c>
      <c r="E74" s="13">
        <v>2967249000</v>
      </c>
      <c r="F74" s="13">
        <v>-175893626</v>
      </c>
      <c r="G74" s="13">
        <v>2791355374</v>
      </c>
      <c r="H74" s="13">
        <v>2967249000</v>
      </c>
      <c r="I74" s="13">
        <v>-175893626</v>
      </c>
      <c r="J74" s="13">
        <v>2791355374</v>
      </c>
    </row>
    <row r="75" spans="1:10" x14ac:dyDescent="0.4">
      <c r="A75" s="13" t="s">
        <v>257</v>
      </c>
      <c r="B75" s="13" t="s">
        <v>187</v>
      </c>
      <c r="C75" s="13">
        <v>1155746</v>
      </c>
      <c r="D75" s="13">
        <v>1500</v>
      </c>
      <c r="H75" s="13">
        <v>1733619000</v>
      </c>
      <c r="I75" s="13">
        <v>-64038697</v>
      </c>
      <c r="J75" s="13">
        <v>1669580303</v>
      </c>
    </row>
    <row r="76" spans="1:10" x14ac:dyDescent="0.4">
      <c r="A76" s="13" t="s">
        <v>258</v>
      </c>
      <c r="B76" s="13" t="s">
        <v>182</v>
      </c>
      <c r="C76" s="13">
        <v>5463965</v>
      </c>
      <c r="D76" s="13">
        <v>1200</v>
      </c>
      <c r="E76" s="13">
        <v>6556758000</v>
      </c>
      <c r="F76" s="13">
        <v>-26835299</v>
      </c>
      <c r="G76" s="13">
        <v>6529922701</v>
      </c>
      <c r="H76" s="13">
        <v>6556758000</v>
      </c>
      <c r="I76" s="13">
        <v>-26835299</v>
      </c>
      <c r="J76" s="13">
        <v>6529922701</v>
      </c>
    </row>
    <row r="77" spans="1:10" x14ac:dyDescent="0.4">
      <c r="A77" s="13" t="s">
        <v>259</v>
      </c>
      <c r="B77" s="13" t="s">
        <v>186</v>
      </c>
      <c r="C77" s="13">
        <v>1467107</v>
      </c>
      <c r="D77" s="13">
        <v>4040</v>
      </c>
      <c r="E77" s="13">
        <v>5927112280</v>
      </c>
      <c r="F77" s="13">
        <v>-296934057</v>
      </c>
      <c r="G77" s="13">
        <v>5630178223</v>
      </c>
      <c r="H77" s="13">
        <v>5927112280</v>
      </c>
      <c r="I77" s="13">
        <v>-296934057</v>
      </c>
      <c r="J77" s="13">
        <v>5630178223</v>
      </c>
    </row>
    <row r="78" spans="1:10" x14ac:dyDescent="0.4">
      <c r="A78" s="13" t="s">
        <v>260</v>
      </c>
      <c r="B78" s="13" t="s">
        <v>189</v>
      </c>
      <c r="C78" s="13">
        <v>200000</v>
      </c>
      <c r="D78" s="13">
        <v>350</v>
      </c>
      <c r="H78" s="13">
        <v>70000000</v>
      </c>
      <c r="I78" s="13">
        <v>0</v>
      </c>
      <c r="J78" s="13">
        <v>70000000</v>
      </c>
    </row>
    <row r="79" spans="1:10" x14ac:dyDescent="0.4">
      <c r="A79" s="13" t="s">
        <v>261</v>
      </c>
      <c r="B79" s="13" t="s">
        <v>182</v>
      </c>
      <c r="C79" s="13">
        <v>724988</v>
      </c>
      <c r="D79" s="13">
        <v>64</v>
      </c>
      <c r="E79" s="13">
        <v>46399232</v>
      </c>
      <c r="F79" s="13">
        <v>-315641</v>
      </c>
      <c r="G79" s="13">
        <v>46083591</v>
      </c>
      <c r="H79" s="13">
        <v>46399232</v>
      </c>
      <c r="I79" s="13">
        <v>-315641</v>
      </c>
      <c r="J79" s="13">
        <v>46083591</v>
      </c>
    </row>
    <row r="80" spans="1:10" x14ac:dyDescent="0.4">
      <c r="A80" s="13" t="s">
        <v>118</v>
      </c>
      <c r="B80" s="13" t="s">
        <v>182</v>
      </c>
      <c r="C80" s="13">
        <v>12900000</v>
      </c>
      <c r="D80" s="13">
        <v>800</v>
      </c>
      <c r="E80" s="13">
        <v>10320000000</v>
      </c>
      <c r="F80" s="13">
        <v>-795853350</v>
      </c>
      <c r="G80" s="13">
        <v>9524146650</v>
      </c>
      <c r="H80" s="13">
        <v>10320000000</v>
      </c>
      <c r="I80" s="13">
        <v>-795853350</v>
      </c>
      <c r="J80" s="13">
        <v>9524146650</v>
      </c>
    </row>
    <row r="81" spans="1:10" x14ac:dyDescent="0.4">
      <c r="A81" s="13" t="s">
        <v>262</v>
      </c>
      <c r="B81" s="13" t="s">
        <v>263</v>
      </c>
      <c r="C81" s="13">
        <v>23792</v>
      </c>
      <c r="D81" s="13">
        <v>11500</v>
      </c>
      <c r="H81" s="13">
        <v>273608000</v>
      </c>
      <c r="I81" s="13">
        <v>-16219031</v>
      </c>
      <c r="J81" s="13">
        <v>257388969</v>
      </c>
    </row>
    <row r="82" spans="1:10" x14ac:dyDescent="0.4">
      <c r="A82" s="13" t="s">
        <v>264</v>
      </c>
      <c r="B82" s="13" t="s">
        <v>182</v>
      </c>
      <c r="C82" s="13">
        <v>2843421</v>
      </c>
      <c r="D82" s="13">
        <v>1840</v>
      </c>
      <c r="E82" s="13">
        <v>5231894640</v>
      </c>
      <c r="F82" s="13">
        <v>-24964732</v>
      </c>
      <c r="G82" s="13">
        <v>5206929908</v>
      </c>
      <c r="H82" s="13">
        <v>5231894640</v>
      </c>
      <c r="I82" s="13">
        <v>-24964732</v>
      </c>
      <c r="J82" s="13">
        <v>5206929908</v>
      </c>
    </row>
    <row r="83" spans="1:10" x14ac:dyDescent="0.4">
      <c r="A83" s="13" t="s">
        <v>265</v>
      </c>
      <c r="B83" s="13" t="s">
        <v>234</v>
      </c>
      <c r="C83" s="13">
        <v>3733986</v>
      </c>
      <c r="D83" s="13">
        <v>1600</v>
      </c>
      <c r="E83" s="13">
        <v>5974377600</v>
      </c>
      <c r="F83" s="13">
        <v>-205468013</v>
      </c>
      <c r="G83" s="13">
        <v>5768909587</v>
      </c>
      <c r="H83" s="13">
        <v>5974377600</v>
      </c>
      <c r="I83" s="13">
        <v>-205468013</v>
      </c>
      <c r="J83" s="13">
        <v>5768909587</v>
      </c>
    </row>
    <row r="84" spans="1:10" x14ac:dyDescent="0.4">
      <c r="A84" s="13" t="s">
        <v>171</v>
      </c>
      <c r="B84" s="13" t="s">
        <v>234</v>
      </c>
      <c r="C84" s="13">
        <v>19183396</v>
      </c>
      <c r="D84" s="13">
        <v>264</v>
      </c>
      <c r="E84" s="13">
        <v>5064416544</v>
      </c>
      <c r="F84" s="13">
        <v>-88610249</v>
      </c>
      <c r="G84" s="13">
        <v>4975806295</v>
      </c>
      <c r="H84" s="13">
        <v>5064416544</v>
      </c>
      <c r="I84" s="13">
        <v>-88610249</v>
      </c>
      <c r="J84" s="13">
        <v>4975806295</v>
      </c>
    </row>
    <row r="85" spans="1:10" x14ac:dyDescent="0.4">
      <c r="A85" s="13" t="s">
        <v>91</v>
      </c>
      <c r="B85" s="13" t="s">
        <v>180</v>
      </c>
      <c r="C85" s="13">
        <v>6453452</v>
      </c>
      <c r="D85" s="13">
        <v>580</v>
      </c>
      <c r="E85" s="13">
        <v>3743002160</v>
      </c>
      <c r="F85" s="13">
        <v>-288651241</v>
      </c>
      <c r="G85" s="13">
        <v>3454350919</v>
      </c>
      <c r="H85" s="13">
        <v>3743002160</v>
      </c>
      <c r="I85" s="13">
        <v>-288651241</v>
      </c>
      <c r="J85" s="13">
        <v>3454350919</v>
      </c>
    </row>
    <row r="86" spans="1:10" x14ac:dyDescent="0.4">
      <c r="A86" s="13" t="s">
        <v>266</v>
      </c>
      <c r="B86" s="13" t="s">
        <v>241</v>
      </c>
      <c r="C86" s="13">
        <v>6157463</v>
      </c>
      <c r="D86" s="13">
        <v>450</v>
      </c>
      <c r="H86" s="13">
        <v>2770858350</v>
      </c>
      <c r="I86" s="13">
        <v>0</v>
      </c>
      <c r="J86" s="13">
        <v>2770858350</v>
      </c>
    </row>
    <row r="87" spans="1:10" x14ac:dyDescent="0.4">
      <c r="A87" s="13" t="s">
        <v>267</v>
      </c>
      <c r="B87" s="13" t="s">
        <v>201</v>
      </c>
      <c r="C87" s="13">
        <v>8329531</v>
      </c>
      <c r="D87" s="13">
        <v>400</v>
      </c>
      <c r="E87" s="13">
        <v>2597904400</v>
      </c>
      <c r="F87" s="13">
        <v>-256941284</v>
      </c>
      <c r="G87" s="13">
        <v>2340963116</v>
      </c>
      <c r="H87" s="13">
        <v>2597904400</v>
      </c>
      <c r="I87" s="13">
        <v>-256941284</v>
      </c>
      <c r="J87" s="13">
        <v>2340963116</v>
      </c>
    </row>
    <row r="88" spans="1:10" x14ac:dyDescent="0.4">
      <c r="A88" s="13" t="s">
        <v>133</v>
      </c>
      <c r="B88" s="13" t="s">
        <v>268</v>
      </c>
      <c r="C88" s="13">
        <v>5612182</v>
      </c>
      <c r="D88" s="13">
        <v>630</v>
      </c>
      <c r="H88" s="13">
        <v>3535674660</v>
      </c>
      <c r="I88" s="13">
        <v>-209588962</v>
      </c>
      <c r="J88" s="13">
        <v>3326085698</v>
      </c>
    </row>
    <row r="89" spans="1:10" x14ac:dyDescent="0.4">
      <c r="A89" s="13" t="s">
        <v>269</v>
      </c>
      <c r="B89" s="13" t="s">
        <v>211</v>
      </c>
      <c r="C89" s="13">
        <v>7043843</v>
      </c>
      <c r="D89" s="13">
        <v>310</v>
      </c>
      <c r="H89" s="13">
        <v>2183591330</v>
      </c>
      <c r="I89" s="13">
        <v>-91699373</v>
      </c>
      <c r="J89" s="13">
        <v>2091891957</v>
      </c>
    </row>
    <row r="90" spans="1:10" x14ac:dyDescent="0.4">
      <c r="A90" s="13" t="s">
        <v>270</v>
      </c>
      <c r="B90" s="13" t="s">
        <v>253</v>
      </c>
      <c r="C90" s="13">
        <v>3904663</v>
      </c>
      <c r="D90" s="13">
        <v>630</v>
      </c>
      <c r="E90" s="13">
        <v>2459937690</v>
      </c>
      <c r="F90" s="13">
        <v>-123236956</v>
      </c>
      <c r="G90" s="13">
        <v>2336700734</v>
      </c>
      <c r="H90" s="13">
        <v>2459937690</v>
      </c>
      <c r="I90" s="13">
        <v>-123236956</v>
      </c>
      <c r="J90" s="13">
        <v>2336700734</v>
      </c>
    </row>
    <row r="91" spans="1:10" x14ac:dyDescent="0.4">
      <c r="A91" s="13" t="s">
        <v>271</v>
      </c>
      <c r="B91" s="13" t="s">
        <v>218</v>
      </c>
      <c r="C91" s="13">
        <v>204021</v>
      </c>
      <c r="D91" s="13">
        <v>3650</v>
      </c>
      <c r="E91" s="13">
        <v>744676650</v>
      </c>
      <c r="F91" s="13">
        <v>-1527020</v>
      </c>
      <c r="G91" s="13">
        <v>743149630</v>
      </c>
      <c r="H91" s="13">
        <v>744676650</v>
      </c>
      <c r="I91" s="13">
        <v>-1527020</v>
      </c>
      <c r="J91" s="13">
        <v>743149630</v>
      </c>
    </row>
    <row r="92" spans="1:10" x14ac:dyDescent="0.4">
      <c r="A92" s="13" t="s">
        <v>272</v>
      </c>
      <c r="B92" s="13" t="s">
        <v>273</v>
      </c>
      <c r="C92" s="13">
        <v>25021276</v>
      </c>
      <c r="D92" s="13">
        <v>57</v>
      </c>
      <c r="E92" s="13">
        <v>1426212732</v>
      </c>
      <c r="F92" s="13">
        <v>-100769964</v>
      </c>
      <c r="G92" s="13">
        <v>1325442768</v>
      </c>
      <c r="H92" s="13">
        <v>1426212732</v>
      </c>
      <c r="I92" s="13">
        <v>-100769964</v>
      </c>
      <c r="J92" s="13">
        <v>1325442768</v>
      </c>
    </row>
    <row r="93" spans="1:10" x14ac:dyDescent="0.4">
      <c r="A93" s="13" t="s">
        <v>274</v>
      </c>
      <c r="B93" s="13" t="s">
        <v>275</v>
      </c>
      <c r="C93" s="13">
        <v>1440400</v>
      </c>
      <c r="D93" s="13">
        <v>1290</v>
      </c>
      <c r="H93" s="13">
        <v>1858116000</v>
      </c>
      <c r="I93" s="13">
        <v>-89635322</v>
      </c>
      <c r="J93" s="13">
        <v>1768480678</v>
      </c>
    </row>
    <row r="94" spans="1:10" x14ac:dyDescent="0.4">
      <c r="A94" s="13" t="s">
        <v>276</v>
      </c>
      <c r="B94" s="13" t="s">
        <v>253</v>
      </c>
      <c r="C94" s="13">
        <v>13000000</v>
      </c>
      <c r="D94" s="13">
        <v>650</v>
      </c>
      <c r="H94" s="13">
        <v>8450000000</v>
      </c>
      <c r="I94" s="13">
        <v>-480361757</v>
      </c>
      <c r="J94" s="13">
        <v>7969638243</v>
      </c>
    </row>
    <row r="95" spans="1:10" x14ac:dyDescent="0.4">
      <c r="A95" s="13" t="s">
        <v>277</v>
      </c>
      <c r="B95" s="13" t="s">
        <v>211</v>
      </c>
      <c r="C95" s="13">
        <v>23989450</v>
      </c>
      <c r="D95" s="13">
        <v>110</v>
      </c>
      <c r="H95" s="13">
        <v>2638839500</v>
      </c>
      <c r="I95" s="13">
        <v>-110817407</v>
      </c>
      <c r="J95" s="13">
        <v>2528022093</v>
      </c>
    </row>
    <row r="96" spans="1:10" x14ac:dyDescent="0.4">
      <c r="A96" s="13" t="s">
        <v>278</v>
      </c>
      <c r="B96" s="13" t="s">
        <v>253</v>
      </c>
      <c r="C96" s="13">
        <v>2447708</v>
      </c>
      <c r="D96" s="13">
        <v>1200</v>
      </c>
      <c r="E96" s="13">
        <v>2937249600</v>
      </c>
      <c r="F96" s="13">
        <v>0</v>
      </c>
      <c r="G96" s="13">
        <v>2937249600</v>
      </c>
      <c r="H96" s="13">
        <v>2937249600</v>
      </c>
      <c r="I96" s="13">
        <v>0</v>
      </c>
      <c r="J96" s="13">
        <v>2937249600</v>
      </c>
    </row>
    <row r="97" spans="1:10" x14ac:dyDescent="0.4">
      <c r="A97" s="13" t="s">
        <v>137</v>
      </c>
      <c r="B97" s="13" t="s">
        <v>186</v>
      </c>
      <c r="C97" s="13">
        <v>4374516</v>
      </c>
      <c r="D97" s="13">
        <v>640</v>
      </c>
      <c r="E97" s="13">
        <v>2799690240</v>
      </c>
      <c r="F97" s="13">
        <v>-34096363</v>
      </c>
      <c r="G97" s="13">
        <v>2765593877</v>
      </c>
      <c r="H97" s="13">
        <v>2799690240</v>
      </c>
      <c r="I97" s="13">
        <v>-34096363</v>
      </c>
      <c r="J97" s="13">
        <v>2765593877</v>
      </c>
    </row>
    <row r="98" spans="1:10" x14ac:dyDescent="0.4">
      <c r="A98" s="13" t="s">
        <v>279</v>
      </c>
      <c r="B98" s="13" t="s">
        <v>187</v>
      </c>
      <c r="C98" s="13">
        <v>10684873</v>
      </c>
      <c r="D98" s="13">
        <v>260</v>
      </c>
      <c r="H98" s="13">
        <v>2778066980</v>
      </c>
      <c r="I98" s="13">
        <v>-164679228</v>
      </c>
      <c r="J98" s="13">
        <v>2613387752</v>
      </c>
    </row>
    <row r="99" spans="1:10" x14ac:dyDescent="0.4">
      <c r="A99" s="13" t="s">
        <v>158</v>
      </c>
      <c r="B99" s="13" t="s">
        <v>275</v>
      </c>
      <c r="C99" s="13">
        <v>3340260</v>
      </c>
      <c r="D99" s="13">
        <v>450</v>
      </c>
      <c r="H99" s="13">
        <v>1503117000</v>
      </c>
      <c r="I99" s="13">
        <v>-72510207</v>
      </c>
      <c r="J99" s="13">
        <v>1430606793</v>
      </c>
    </row>
    <row r="100" spans="1:10" x14ac:dyDescent="0.4">
      <c r="A100" s="13" t="s">
        <v>280</v>
      </c>
      <c r="B100" s="13" t="s">
        <v>275</v>
      </c>
      <c r="C100" s="13">
        <v>3484284</v>
      </c>
      <c r="D100" s="13">
        <v>840</v>
      </c>
      <c r="H100" s="13">
        <v>2926798560</v>
      </c>
      <c r="I100" s="13">
        <v>-132079203</v>
      </c>
      <c r="J100" s="13">
        <v>2794719357</v>
      </c>
    </row>
    <row r="101" spans="1:10" x14ac:dyDescent="0.4">
      <c r="A101" s="13" t="s">
        <v>281</v>
      </c>
      <c r="B101" s="13" t="s">
        <v>190</v>
      </c>
      <c r="C101" s="13">
        <v>881085</v>
      </c>
      <c r="D101" s="13">
        <v>3480</v>
      </c>
      <c r="H101" s="13">
        <v>3066175800</v>
      </c>
      <c r="I101" s="13">
        <v>-61735083</v>
      </c>
      <c r="J101" s="13">
        <v>3004440717</v>
      </c>
    </row>
    <row r="102" spans="1:10" x14ac:dyDescent="0.4">
      <c r="A102" s="13" t="s">
        <v>282</v>
      </c>
      <c r="B102" s="13" t="s">
        <v>234</v>
      </c>
      <c r="C102" s="13">
        <v>5768835</v>
      </c>
      <c r="D102" s="13">
        <v>1565</v>
      </c>
      <c r="E102" s="13">
        <v>9028226775</v>
      </c>
      <c r="F102" s="13">
        <v>-643232442</v>
      </c>
      <c r="G102" s="13">
        <v>8384994333</v>
      </c>
      <c r="H102" s="13">
        <v>9028226775</v>
      </c>
      <c r="I102" s="13">
        <v>-643232442</v>
      </c>
      <c r="J102" s="13">
        <v>8384994333</v>
      </c>
    </row>
    <row r="103" spans="1:10" x14ac:dyDescent="0.4">
      <c r="A103" s="13" t="s">
        <v>283</v>
      </c>
      <c r="B103" s="13" t="s">
        <v>284</v>
      </c>
      <c r="C103" s="13">
        <v>4000000</v>
      </c>
      <c r="D103" s="13">
        <v>1360</v>
      </c>
      <c r="E103" s="13">
        <v>5440000000</v>
      </c>
      <c r="F103" s="13">
        <v>-187089947</v>
      </c>
      <c r="G103" s="13">
        <v>5252910053</v>
      </c>
      <c r="H103" s="13">
        <v>5440000000</v>
      </c>
      <c r="I103" s="13">
        <v>-187089947</v>
      </c>
      <c r="J103" s="13">
        <v>5252910053</v>
      </c>
    </row>
    <row r="104" spans="1:10" x14ac:dyDescent="0.4">
      <c r="A104" s="13" t="s">
        <v>285</v>
      </c>
      <c r="B104" s="13" t="s">
        <v>217</v>
      </c>
      <c r="C104" s="13">
        <v>7941110</v>
      </c>
      <c r="D104" s="13">
        <v>940</v>
      </c>
      <c r="E104" s="13">
        <v>7464643400</v>
      </c>
      <c r="F104" s="13">
        <v>-437964248</v>
      </c>
      <c r="G104" s="13">
        <v>7026679152</v>
      </c>
      <c r="H104" s="13">
        <v>7464643400</v>
      </c>
      <c r="I104" s="13">
        <v>-437964248</v>
      </c>
      <c r="J104" s="13">
        <v>7026679152</v>
      </c>
    </row>
    <row r="105" spans="1:10" x14ac:dyDescent="0.4">
      <c r="A105" s="13" t="s">
        <v>286</v>
      </c>
      <c r="B105" s="13" t="s">
        <v>186</v>
      </c>
      <c r="C105" s="13">
        <v>2141672</v>
      </c>
      <c r="D105" s="13">
        <v>650</v>
      </c>
      <c r="E105" s="13">
        <v>1392086800</v>
      </c>
      <c r="F105" s="13">
        <v>-99181757</v>
      </c>
      <c r="G105" s="13">
        <v>1292905043</v>
      </c>
      <c r="H105" s="13">
        <v>1392086800</v>
      </c>
      <c r="I105" s="13">
        <v>-99181757</v>
      </c>
      <c r="J105" s="13">
        <v>1292905043</v>
      </c>
    </row>
    <row r="106" spans="1:10" x14ac:dyDescent="0.4">
      <c r="A106" s="13" t="s">
        <v>100</v>
      </c>
      <c r="B106" s="13" t="s">
        <v>287</v>
      </c>
      <c r="C106" s="13">
        <v>3667933</v>
      </c>
      <c r="D106" s="13">
        <v>580</v>
      </c>
      <c r="H106" s="13">
        <v>2127401140</v>
      </c>
      <c r="I106" s="13">
        <v>-44231680</v>
      </c>
      <c r="J106" s="13">
        <v>2083169460</v>
      </c>
    </row>
    <row r="107" spans="1:10" x14ac:dyDescent="0.4">
      <c r="A107" s="13" t="s">
        <v>288</v>
      </c>
      <c r="B107" s="13" t="s">
        <v>234</v>
      </c>
      <c r="C107" s="13">
        <v>1256499</v>
      </c>
      <c r="D107" s="13">
        <v>400</v>
      </c>
      <c r="E107" s="13">
        <v>502599600</v>
      </c>
      <c r="F107" s="13">
        <v>-17285171</v>
      </c>
      <c r="G107" s="13">
        <v>485314429</v>
      </c>
      <c r="H107" s="13">
        <v>502599600</v>
      </c>
      <c r="I107" s="13">
        <v>-17285171</v>
      </c>
      <c r="J107" s="13">
        <v>485314429</v>
      </c>
    </row>
    <row r="108" spans="1:10" x14ac:dyDescent="0.4">
      <c r="A108" s="13" t="s">
        <v>289</v>
      </c>
      <c r="B108" s="13" t="s">
        <v>201</v>
      </c>
      <c r="C108" s="13">
        <v>2470314</v>
      </c>
      <c r="D108" s="13">
        <v>850</v>
      </c>
      <c r="E108" s="13">
        <v>2099766900</v>
      </c>
      <c r="F108" s="13">
        <v>-158247157</v>
      </c>
      <c r="G108" s="13">
        <v>1941519743</v>
      </c>
      <c r="H108" s="13">
        <v>2099766900</v>
      </c>
      <c r="I108" s="13">
        <v>-158247157</v>
      </c>
      <c r="J108" s="13">
        <v>1941519743</v>
      </c>
    </row>
    <row r="109" spans="1:10" x14ac:dyDescent="0.4">
      <c r="A109" s="13" t="s">
        <v>169</v>
      </c>
      <c r="B109" s="13" t="s">
        <v>290</v>
      </c>
      <c r="C109" s="13">
        <v>1086071</v>
      </c>
      <c r="D109" s="13">
        <v>2750</v>
      </c>
      <c r="E109" s="13">
        <v>2986695250</v>
      </c>
      <c r="F109" s="13">
        <v>-205716254</v>
      </c>
      <c r="G109" s="13">
        <v>2780978996</v>
      </c>
      <c r="H109" s="13">
        <v>2986695250</v>
      </c>
      <c r="I109" s="13">
        <v>-205716254</v>
      </c>
      <c r="J109" s="13">
        <v>2780978996</v>
      </c>
    </row>
    <row r="110" spans="1:10" x14ac:dyDescent="0.4">
      <c r="A110" s="13" t="s">
        <v>291</v>
      </c>
      <c r="B110" s="13" t="s">
        <v>187</v>
      </c>
      <c r="C110" s="13">
        <v>14640871</v>
      </c>
      <c r="D110" s="13">
        <v>104</v>
      </c>
      <c r="H110" s="13">
        <v>1522650584</v>
      </c>
      <c r="I110" s="13">
        <v>-31658060</v>
      </c>
      <c r="J110" s="13">
        <v>1490992524</v>
      </c>
    </row>
    <row r="111" spans="1:10" x14ac:dyDescent="0.4">
      <c r="A111" s="13" t="s">
        <v>292</v>
      </c>
      <c r="B111" s="13" t="s">
        <v>180</v>
      </c>
      <c r="C111" s="13">
        <v>594875</v>
      </c>
      <c r="D111" s="13">
        <v>8600</v>
      </c>
      <c r="E111" s="13">
        <v>5115925000</v>
      </c>
      <c r="F111" s="13">
        <v>-188978760</v>
      </c>
      <c r="G111" s="13">
        <v>4926946240</v>
      </c>
      <c r="H111" s="13">
        <v>5115925000</v>
      </c>
      <c r="I111" s="13">
        <v>-188978760</v>
      </c>
      <c r="J111" s="13">
        <v>4926946240</v>
      </c>
    </row>
    <row r="112" spans="1:10" x14ac:dyDescent="0.4">
      <c r="A112" s="13" t="s">
        <v>174</v>
      </c>
      <c r="B112" s="13" t="s">
        <v>293</v>
      </c>
      <c r="C112" s="13">
        <v>1458231</v>
      </c>
      <c r="D112" s="13">
        <v>650</v>
      </c>
      <c r="E112" s="13">
        <v>947850150</v>
      </c>
      <c r="F112" s="13">
        <v>-59050395</v>
      </c>
      <c r="G112" s="13">
        <v>888799755</v>
      </c>
      <c r="H112" s="13">
        <v>947850150</v>
      </c>
      <c r="I112" s="13">
        <v>-59050395</v>
      </c>
      <c r="J112" s="13">
        <v>888799755</v>
      </c>
    </row>
    <row r="113" spans="1:10" x14ac:dyDescent="0.4">
      <c r="A113" s="13" t="s">
        <v>167</v>
      </c>
      <c r="B113" s="13" t="s">
        <v>294</v>
      </c>
      <c r="C113" s="13">
        <v>13587567</v>
      </c>
      <c r="D113" s="13">
        <v>150</v>
      </c>
      <c r="H113" s="13">
        <v>2038135050</v>
      </c>
      <c r="I113" s="13">
        <v>-85590973</v>
      </c>
      <c r="J113" s="13">
        <v>1952544077</v>
      </c>
    </row>
    <row r="114" spans="1:10" x14ac:dyDescent="0.4">
      <c r="A114" s="13" t="s">
        <v>102</v>
      </c>
      <c r="B114" s="13" t="s">
        <v>182</v>
      </c>
      <c r="C114" s="13">
        <v>1234887</v>
      </c>
      <c r="D114" s="13">
        <v>740</v>
      </c>
      <c r="E114" s="13">
        <v>913816380</v>
      </c>
      <c r="F114" s="13">
        <v>-28499914</v>
      </c>
      <c r="G114" s="13">
        <v>885316466</v>
      </c>
      <c r="H114" s="13">
        <v>913816380</v>
      </c>
      <c r="I114" s="13">
        <v>-28499914</v>
      </c>
      <c r="J114" s="13">
        <v>885316466</v>
      </c>
    </row>
    <row r="115" spans="1:10" x14ac:dyDescent="0.4">
      <c r="A115" s="13" t="s">
        <v>136</v>
      </c>
      <c r="B115" s="13" t="s">
        <v>191</v>
      </c>
      <c r="C115" s="13">
        <v>635048</v>
      </c>
      <c r="D115" s="13">
        <v>4795</v>
      </c>
      <c r="E115" s="13">
        <v>3045055160</v>
      </c>
      <c r="F115" s="13">
        <v>-195195844</v>
      </c>
      <c r="G115" s="13">
        <v>2849859316</v>
      </c>
      <c r="H115" s="13">
        <v>3045055160</v>
      </c>
      <c r="I115" s="13">
        <v>-195195844</v>
      </c>
      <c r="J115" s="13">
        <v>2849859316</v>
      </c>
    </row>
    <row r="116" spans="1:10" x14ac:dyDescent="0.4">
      <c r="A116" s="13" t="s">
        <v>295</v>
      </c>
      <c r="B116" s="13" t="s">
        <v>234</v>
      </c>
      <c r="C116" s="13">
        <v>3335116</v>
      </c>
      <c r="D116" s="13">
        <v>550</v>
      </c>
      <c r="E116" s="13">
        <v>1834313800</v>
      </c>
      <c r="F116" s="13">
        <v>-131772066</v>
      </c>
      <c r="G116" s="13">
        <v>1702541734</v>
      </c>
      <c r="H116" s="13">
        <v>1834313800</v>
      </c>
      <c r="I116" s="13">
        <v>-131772066</v>
      </c>
      <c r="J116" s="13">
        <v>1702541734</v>
      </c>
    </row>
    <row r="117" spans="1:10" x14ac:dyDescent="0.4">
      <c r="A117" s="13" t="s">
        <v>94</v>
      </c>
      <c r="B117" s="13" t="s">
        <v>182</v>
      </c>
      <c r="C117" s="13">
        <v>16099135</v>
      </c>
      <c r="D117" s="13">
        <v>425</v>
      </c>
      <c r="E117" s="13">
        <v>6842132375</v>
      </c>
      <c r="F117" s="13">
        <v>-523654660</v>
      </c>
      <c r="G117" s="13">
        <v>6318477715</v>
      </c>
      <c r="H117" s="13">
        <v>6842132375</v>
      </c>
      <c r="I117" s="13">
        <v>-523654660</v>
      </c>
      <c r="J117" s="13">
        <v>6318477715</v>
      </c>
    </row>
    <row r="118" spans="1:10" x14ac:dyDescent="0.4">
      <c r="A118" s="13" t="s">
        <v>97</v>
      </c>
      <c r="B118" s="13" t="s">
        <v>290</v>
      </c>
      <c r="C118" s="13">
        <v>3737468</v>
      </c>
      <c r="D118" s="13">
        <v>2050</v>
      </c>
      <c r="E118" s="13">
        <v>7661809400</v>
      </c>
      <c r="F118" s="13">
        <v>-481936663</v>
      </c>
      <c r="G118" s="13">
        <v>7179872737</v>
      </c>
      <c r="H118" s="13">
        <v>7661809400</v>
      </c>
      <c r="I118" s="13">
        <v>-481936663</v>
      </c>
      <c r="J118" s="13">
        <v>7179872737</v>
      </c>
    </row>
    <row r="119" spans="1:10" x14ac:dyDescent="0.4">
      <c r="A119" s="13" t="s">
        <v>296</v>
      </c>
      <c r="B119" s="13" t="s">
        <v>225</v>
      </c>
      <c r="C119" s="13">
        <v>10456686</v>
      </c>
      <c r="D119" s="13">
        <v>85</v>
      </c>
      <c r="E119" s="13">
        <v>888818310</v>
      </c>
      <c r="F119" s="13">
        <v>-24278182</v>
      </c>
      <c r="G119" s="13">
        <v>864540128</v>
      </c>
      <c r="H119" s="13">
        <v>888818310</v>
      </c>
      <c r="I119" s="13">
        <v>-24278182</v>
      </c>
      <c r="J119" s="13">
        <v>864540128</v>
      </c>
    </row>
    <row r="120" spans="1:10" x14ac:dyDescent="0.4">
      <c r="A120" s="13" t="s">
        <v>297</v>
      </c>
      <c r="B120" s="13" t="s">
        <v>201</v>
      </c>
      <c r="C120" s="13">
        <v>5623567</v>
      </c>
      <c r="D120" s="13">
        <v>800</v>
      </c>
      <c r="E120" s="13">
        <v>4498853600</v>
      </c>
      <c r="F120" s="13">
        <v>-336416175</v>
      </c>
      <c r="G120" s="13">
        <v>4162437425</v>
      </c>
      <c r="H120" s="13">
        <v>4498853600</v>
      </c>
      <c r="I120" s="13">
        <v>-336416175</v>
      </c>
      <c r="J120" s="13">
        <v>4162437425</v>
      </c>
    </row>
    <row r="121" spans="1:10" x14ac:dyDescent="0.4">
      <c r="A121" s="13" t="s">
        <v>83</v>
      </c>
      <c r="B121" s="13" t="s">
        <v>201</v>
      </c>
      <c r="C121" s="13">
        <v>10285372</v>
      </c>
      <c r="D121" s="13">
        <v>600</v>
      </c>
      <c r="E121" s="13">
        <v>6171223200</v>
      </c>
      <c r="F121" s="13">
        <v>-402986406</v>
      </c>
      <c r="G121" s="13">
        <v>5768236794</v>
      </c>
      <c r="H121" s="13">
        <v>6171223200</v>
      </c>
      <c r="I121" s="13">
        <v>-402986406</v>
      </c>
      <c r="J121" s="13">
        <v>5768236794</v>
      </c>
    </row>
    <row r="122" spans="1:10" x14ac:dyDescent="0.4">
      <c r="A122" s="13" t="s">
        <v>175</v>
      </c>
      <c r="B122" s="13" t="s">
        <v>298</v>
      </c>
      <c r="C122" s="13">
        <v>12061503</v>
      </c>
      <c r="D122" s="13">
        <v>80</v>
      </c>
      <c r="E122" s="13">
        <v>964920240</v>
      </c>
      <c r="F122" s="13">
        <v>-64163494</v>
      </c>
      <c r="G122" s="13">
        <v>900756746</v>
      </c>
      <c r="H122" s="13">
        <v>964920240</v>
      </c>
      <c r="I122" s="13">
        <v>-64163494</v>
      </c>
      <c r="J122" s="13">
        <v>900756746</v>
      </c>
    </row>
    <row r="123" spans="1:10" x14ac:dyDescent="0.4">
      <c r="A123" s="13" t="s">
        <v>177</v>
      </c>
      <c r="B123" s="13" t="s">
        <v>299</v>
      </c>
      <c r="C123" s="13">
        <v>8205417</v>
      </c>
      <c r="D123" s="13">
        <v>400</v>
      </c>
      <c r="E123" s="13">
        <v>3282166800</v>
      </c>
      <c r="F123" s="13">
        <v>-228015412</v>
      </c>
      <c r="G123" s="13">
        <v>3054151388</v>
      </c>
      <c r="H123" s="13">
        <v>3282166800</v>
      </c>
      <c r="I123" s="13">
        <v>-228015412</v>
      </c>
      <c r="J123" s="13">
        <v>3054151388</v>
      </c>
    </row>
    <row r="124" spans="1:10" x14ac:dyDescent="0.4">
      <c r="A124" s="13" t="s">
        <v>300</v>
      </c>
      <c r="B124" s="13" t="s">
        <v>301</v>
      </c>
      <c r="C124" s="13">
        <v>206895</v>
      </c>
      <c r="D124" s="13">
        <v>6800</v>
      </c>
      <c r="H124" s="13">
        <v>1406886000</v>
      </c>
      <c r="I124" s="13">
        <v>0</v>
      </c>
      <c r="J124" s="13">
        <v>1406886000</v>
      </c>
    </row>
    <row r="125" spans="1:10" x14ac:dyDescent="0.4">
      <c r="A125" s="13" t="s">
        <v>302</v>
      </c>
      <c r="B125" s="13" t="s">
        <v>211</v>
      </c>
      <c r="C125" s="13">
        <v>21351892</v>
      </c>
      <c r="D125" s="13">
        <v>60</v>
      </c>
      <c r="H125" s="13">
        <v>1281113520</v>
      </c>
      <c r="I125" s="13">
        <v>-52187279</v>
      </c>
      <c r="J125" s="13">
        <v>1228926241</v>
      </c>
    </row>
    <row r="126" spans="1:10" x14ac:dyDescent="0.4">
      <c r="A126" s="13" t="s">
        <v>112</v>
      </c>
      <c r="B126" s="13" t="s">
        <v>218</v>
      </c>
      <c r="C126" s="13">
        <v>882048</v>
      </c>
      <c r="D126" s="13">
        <v>5800</v>
      </c>
      <c r="E126" s="13">
        <v>5115878400</v>
      </c>
      <c r="F126" s="13">
        <v>-318715610</v>
      </c>
      <c r="G126" s="13">
        <v>4797162790</v>
      </c>
      <c r="H126" s="13">
        <v>5115878400</v>
      </c>
      <c r="I126" s="13">
        <v>-318715610</v>
      </c>
      <c r="J126" s="13">
        <v>4797162790</v>
      </c>
    </row>
    <row r="127" spans="1:10" x14ac:dyDescent="0.4">
      <c r="A127" s="13" t="s">
        <v>88</v>
      </c>
      <c r="B127" s="13" t="s">
        <v>253</v>
      </c>
      <c r="C127" s="13">
        <v>2238593</v>
      </c>
      <c r="D127" s="13">
        <v>4850</v>
      </c>
      <c r="E127" s="13">
        <v>10857176050</v>
      </c>
      <c r="F127" s="13">
        <v>0</v>
      </c>
      <c r="G127" s="13">
        <v>10857176050</v>
      </c>
      <c r="H127" s="13">
        <v>10857176050</v>
      </c>
      <c r="I127" s="13">
        <v>0</v>
      </c>
      <c r="J127" s="13">
        <v>10857176050</v>
      </c>
    </row>
    <row r="128" spans="1:10" x14ac:dyDescent="0.4">
      <c r="A128" s="13" t="s">
        <v>85</v>
      </c>
      <c r="B128" s="13" t="s">
        <v>217</v>
      </c>
      <c r="C128" s="13">
        <v>4500000</v>
      </c>
      <c r="D128" s="13">
        <v>1100</v>
      </c>
      <c r="E128" s="13">
        <v>4950000000</v>
      </c>
      <c r="F128" s="13">
        <v>-83333333</v>
      </c>
      <c r="G128" s="13">
        <v>4866666667</v>
      </c>
      <c r="H128" s="13">
        <v>4950000000</v>
      </c>
      <c r="I128" s="13">
        <v>-83333333</v>
      </c>
      <c r="J128" s="13">
        <v>4866666667</v>
      </c>
    </row>
    <row r="129" spans="1:10" x14ac:dyDescent="0.4">
      <c r="A129" s="13" t="s">
        <v>104</v>
      </c>
      <c r="B129" s="13" t="s">
        <v>184</v>
      </c>
      <c r="C129" s="13">
        <v>3329460</v>
      </c>
      <c r="D129" s="13">
        <v>1227</v>
      </c>
      <c r="E129" s="13">
        <v>4085247420</v>
      </c>
      <c r="F129" s="13">
        <v>-256966783</v>
      </c>
      <c r="G129" s="13">
        <v>3828280637</v>
      </c>
      <c r="H129" s="13">
        <v>4085247420</v>
      </c>
      <c r="I129" s="13">
        <v>-256966783</v>
      </c>
      <c r="J129" s="13">
        <v>3828280637</v>
      </c>
    </row>
    <row r="130" spans="1:10" x14ac:dyDescent="0.4">
      <c r="A130" s="13" t="s">
        <v>134</v>
      </c>
      <c r="B130" s="13" t="s">
        <v>72</v>
      </c>
      <c r="C130" s="13">
        <v>6591749</v>
      </c>
      <c r="D130" s="13">
        <v>487</v>
      </c>
      <c r="E130" s="13">
        <v>3210181763</v>
      </c>
      <c r="F130" s="13">
        <v>-190294280</v>
      </c>
      <c r="G130" s="13">
        <v>3019887483</v>
      </c>
      <c r="H130" s="13">
        <v>3210181763</v>
      </c>
      <c r="I130" s="13">
        <v>-190294280</v>
      </c>
      <c r="J130" s="13">
        <v>3019887483</v>
      </c>
    </row>
    <row r="131" spans="1:10" x14ac:dyDescent="0.4">
      <c r="A131" s="13" t="s">
        <v>168</v>
      </c>
      <c r="B131" s="13" t="s">
        <v>194</v>
      </c>
      <c r="C131" s="13">
        <v>14595002</v>
      </c>
      <c r="D131" s="13">
        <v>441</v>
      </c>
      <c r="E131" s="13">
        <v>6436395882</v>
      </c>
      <c r="F131" s="13">
        <v>-496359227</v>
      </c>
      <c r="G131" s="13">
        <v>5940036655</v>
      </c>
      <c r="H131" s="13">
        <v>6436395882</v>
      </c>
      <c r="I131" s="13">
        <v>-496359227</v>
      </c>
      <c r="J131" s="13">
        <v>5940036655</v>
      </c>
    </row>
    <row r="132" spans="1:10" x14ac:dyDescent="0.4">
      <c r="A132" s="13" t="s">
        <v>152</v>
      </c>
      <c r="B132" s="13" t="s">
        <v>215</v>
      </c>
      <c r="C132" s="13">
        <v>5968712</v>
      </c>
      <c r="D132" s="13">
        <v>1100</v>
      </c>
      <c r="E132" s="13">
        <v>6565583200</v>
      </c>
      <c r="F132" s="13">
        <v>-316723049</v>
      </c>
      <c r="G132" s="13">
        <v>6248860151</v>
      </c>
      <c r="H132" s="13">
        <v>6565583200</v>
      </c>
      <c r="I132" s="13">
        <v>-316723049</v>
      </c>
      <c r="J132" s="13">
        <v>6248860151</v>
      </c>
    </row>
    <row r="133" spans="1:10" x14ac:dyDescent="0.4">
      <c r="A133" s="13" t="s">
        <v>303</v>
      </c>
      <c r="B133" s="13" t="s">
        <v>186</v>
      </c>
      <c r="C133" s="13">
        <v>1505716</v>
      </c>
      <c r="D133" s="13">
        <v>1000</v>
      </c>
      <c r="E133" s="13">
        <v>1505716000</v>
      </c>
      <c r="F133" s="13">
        <v>-107277476</v>
      </c>
      <c r="G133" s="13">
        <v>1398438524</v>
      </c>
      <c r="H133" s="13">
        <v>1505716000</v>
      </c>
      <c r="I133" s="13">
        <v>-107277476</v>
      </c>
      <c r="J133" s="13">
        <v>1398438524</v>
      </c>
    </row>
    <row r="134" spans="1:10" x14ac:dyDescent="0.4">
      <c r="A134" s="13" t="s">
        <v>150</v>
      </c>
      <c r="B134" s="13" t="s">
        <v>304</v>
      </c>
      <c r="C134" s="13">
        <v>14321983</v>
      </c>
      <c r="D134" s="13">
        <v>200</v>
      </c>
      <c r="H134" s="13">
        <v>2864396600</v>
      </c>
      <c r="I134" s="13">
        <v>-114877181</v>
      </c>
      <c r="J134" s="13">
        <v>2749519419</v>
      </c>
    </row>
    <row r="135" spans="1:10" x14ac:dyDescent="0.4">
      <c r="A135" s="13" t="s">
        <v>305</v>
      </c>
      <c r="B135" s="13" t="s">
        <v>304</v>
      </c>
      <c r="C135" s="13">
        <v>26913216</v>
      </c>
      <c r="D135" s="13">
        <v>145</v>
      </c>
      <c r="H135" s="13">
        <v>3902416320</v>
      </c>
      <c r="I135" s="13">
        <v>-158968339</v>
      </c>
      <c r="J135" s="13">
        <v>3743447981</v>
      </c>
    </row>
    <row r="136" spans="1:10" x14ac:dyDescent="0.4">
      <c r="A136" s="13" t="s">
        <v>106</v>
      </c>
      <c r="B136" s="13" t="s">
        <v>189</v>
      </c>
      <c r="C136" s="13">
        <v>11242355</v>
      </c>
      <c r="D136" s="13">
        <v>190</v>
      </c>
      <c r="H136" s="13">
        <v>2136047450</v>
      </c>
      <c r="I136" s="13">
        <v>-78904127</v>
      </c>
      <c r="J136" s="13">
        <v>2057143323</v>
      </c>
    </row>
    <row r="137" spans="1:10" x14ac:dyDescent="0.4">
      <c r="A137" s="13" t="s">
        <v>121</v>
      </c>
      <c r="B137" s="21" t="s">
        <v>306</v>
      </c>
      <c r="C137" s="21">
        <v>8112972</v>
      </c>
      <c r="D137" s="21">
        <v>40</v>
      </c>
      <c r="E137" s="72"/>
      <c r="F137" s="72"/>
      <c r="G137" s="72"/>
      <c r="H137" s="21">
        <v>324518880</v>
      </c>
      <c r="I137" s="21">
        <v>0</v>
      </c>
      <c r="J137" s="21">
        <v>324518880</v>
      </c>
    </row>
    <row r="138" spans="1:10" ht="16.5" thickBot="1" x14ac:dyDescent="0.45">
      <c r="A138" s="13" t="s">
        <v>2</v>
      </c>
      <c r="B138" s="25">
        <f t="shared" ref="B138:J138" si="0">SUM(B7:B137)</f>
        <v>0</v>
      </c>
      <c r="C138" s="13">
        <f t="shared" si="0"/>
        <v>868933180</v>
      </c>
      <c r="D138" s="25">
        <f t="shared" si="0"/>
        <v>267022</v>
      </c>
      <c r="E138" s="13">
        <f t="shared" si="0"/>
        <v>289788595432</v>
      </c>
      <c r="F138" s="13">
        <f t="shared" si="0"/>
        <v>-15128872504</v>
      </c>
      <c r="G138" s="13">
        <f t="shared" si="0"/>
        <v>274659722928</v>
      </c>
      <c r="H138" s="13">
        <f t="shared" si="0"/>
        <v>439399317290</v>
      </c>
      <c r="I138" s="25">
        <f t="shared" si="0"/>
        <v>-18948523570</v>
      </c>
      <c r="J138" s="13">
        <f t="shared" si="0"/>
        <v>420450793720</v>
      </c>
    </row>
    <row r="139" spans="1:10" ht="16.5" thickTop="1" x14ac:dyDescent="0.4">
      <c r="C139" s="23"/>
      <c r="E139" s="23"/>
      <c r="F139" s="23"/>
      <c r="G139" s="23"/>
      <c r="H139" s="23"/>
      <c r="J139" s="23"/>
    </row>
  </sheetData>
  <mergeCells count="7">
    <mergeCell ref="B5:D5"/>
    <mergeCell ref="E5:G5"/>
    <mergeCell ref="H5:J5"/>
    <mergeCell ref="A1:J1"/>
    <mergeCell ref="A2:J2"/>
    <mergeCell ref="A3:J3"/>
    <mergeCell ref="A4:J4"/>
  </mergeCells>
  <pageMargins left="0.70866141732283472" right="0.70866141732283472" top="0.74803149606299213" bottom="0.74803149606299213" header="0.31496062992125984" footer="0.31496062992125984"/>
  <pageSetup scale="79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H14"/>
  <sheetViews>
    <sheetView rightToLeft="1" view="pageBreakPreview" zoomScale="60" zoomScaleNormal="100" workbookViewId="0">
      <selection activeCell="L109" sqref="L109"/>
    </sheetView>
  </sheetViews>
  <sheetFormatPr defaultRowHeight="18.75" x14ac:dyDescent="0.45"/>
  <cols>
    <col min="1" max="1" width="9.140625" style="27"/>
    <col min="2" max="2" width="12.28515625" style="27" customWidth="1"/>
    <col min="3" max="3" width="16.5703125" style="27" customWidth="1"/>
    <col min="4" max="4" width="12.42578125" style="27" customWidth="1"/>
    <col min="5" max="5" width="14" style="27" customWidth="1"/>
    <col min="6" max="6" width="17.85546875" style="27" customWidth="1"/>
    <col min="7" max="7" width="9.140625" style="27" bestFit="1" customWidth="1"/>
    <col min="8" max="8" width="15.140625" style="27" customWidth="1"/>
    <col min="9" max="16384" width="9.140625" style="27"/>
  </cols>
  <sheetData>
    <row r="1" spans="2:8" ht="21" x14ac:dyDescent="0.55000000000000004">
      <c r="B1" s="92" t="s">
        <v>69</v>
      </c>
      <c r="C1" s="92"/>
      <c r="D1" s="92"/>
      <c r="E1" s="92"/>
      <c r="F1" s="92"/>
      <c r="G1" s="92"/>
      <c r="H1" s="92"/>
    </row>
    <row r="2" spans="2:8" ht="21" x14ac:dyDescent="0.55000000000000004">
      <c r="B2" s="92" t="s">
        <v>61</v>
      </c>
      <c r="C2" s="92"/>
      <c r="D2" s="92"/>
      <c r="E2" s="92"/>
      <c r="F2" s="92"/>
      <c r="G2" s="92"/>
      <c r="H2" s="92"/>
    </row>
    <row r="3" spans="2:8" ht="21" x14ac:dyDescent="0.55000000000000004">
      <c r="B3" s="92" t="s">
        <v>70</v>
      </c>
      <c r="C3" s="92"/>
      <c r="D3" s="92"/>
      <c r="E3" s="92"/>
      <c r="F3" s="92"/>
      <c r="G3" s="92"/>
      <c r="H3" s="92"/>
    </row>
    <row r="4" spans="2:8" ht="21" x14ac:dyDescent="0.45">
      <c r="B4" s="93" t="s">
        <v>65</v>
      </c>
      <c r="C4" s="93"/>
      <c r="D4" s="93"/>
      <c r="E4" s="93"/>
      <c r="F4" s="93"/>
      <c r="G4" s="93"/>
      <c r="H4" s="93"/>
    </row>
    <row r="5" spans="2:8" ht="16.5" customHeight="1" thickBot="1" x14ac:dyDescent="0.5">
      <c r="B5" s="73"/>
      <c r="C5" s="112" t="s">
        <v>67</v>
      </c>
      <c r="D5" s="112"/>
      <c r="E5" s="112"/>
      <c r="F5" s="112" t="s">
        <v>71</v>
      </c>
      <c r="G5" s="112"/>
      <c r="H5" s="112"/>
    </row>
    <row r="6" spans="2:8" ht="71.25" customHeight="1" thickBot="1" x14ac:dyDescent="0.5">
      <c r="B6" s="74" t="s">
        <v>38</v>
      </c>
      <c r="C6" s="75" t="s">
        <v>62</v>
      </c>
      <c r="D6" s="75" t="s">
        <v>43</v>
      </c>
      <c r="E6" s="75" t="s">
        <v>47</v>
      </c>
      <c r="F6" s="75" t="s">
        <v>62</v>
      </c>
      <c r="G6" s="75" t="s">
        <v>43</v>
      </c>
      <c r="H6" s="75" t="s">
        <v>47</v>
      </c>
    </row>
    <row r="7" spans="2:8" ht="30" customHeight="1" x14ac:dyDescent="0.45">
      <c r="B7" s="32" t="s">
        <v>75</v>
      </c>
      <c r="C7" s="32">
        <v>3732</v>
      </c>
      <c r="D7" s="32">
        <v>0</v>
      </c>
      <c r="E7" s="32">
        <v>3732</v>
      </c>
      <c r="F7" s="32">
        <v>6825282</v>
      </c>
      <c r="G7" s="32">
        <v>0</v>
      </c>
      <c r="H7" s="32">
        <v>6825282</v>
      </c>
    </row>
    <row r="8" spans="2:8" ht="30" customHeight="1" x14ac:dyDescent="0.45">
      <c r="B8" s="32" t="s">
        <v>73</v>
      </c>
      <c r="C8" s="32">
        <v>63126</v>
      </c>
      <c r="D8" s="32">
        <v>0</v>
      </c>
      <c r="E8" s="32">
        <v>63126</v>
      </c>
      <c r="F8" s="32">
        <v>319404</v>
      </c>
      <c r="G8" s="32">
        <v>0</v>
      </c>
      <c r="H8" s="32">
        <v>319404</v>
      </c>
    </row>
    <row r="9" spans="2:8" ht="30" customHeight="1" x14ac:dyDescent="0.45">
      <c r="B9" s="32" t="s">
        <v>74</v>
      </c>
      <c r="C9" s="32">
        <v>31552</v>
      </c>
      <c r="D9" s="32">
        <v>0</v>
      </c>
      <c r="E9" s="32">
        <v>31552</v>
      </c>
      <c r="F9" s="32">
        <v>94390</v>
      </c>
      <c r="G9" s="32">
        <v>0</v>
      </c>
      <c r="H9" s="32">
        <v>94390</v>
      </c>
    </row>
    <row r="10" spans="2:8" ht="30" customHeight="1" x14ac:dyDescent="0.45">
      <c r="B10" s="32" t="s">
        <v>76</v>
      </c>
      <c r="C10" s="32">
        <v>790917727</v>
      </c>
      <c r="D10" s="32">
        <v>0</v>
      </c>
      <c r="E10" s="32">
        <v>790917727</v>
      </c>
      <c r="F10" s="32">
        <v>4089826046</v>
      </c>
      <c r="G10" s="32">
        <v>0</v>
      </c>
      <c r="H10" s="32">
        <v>4089826046</v>
      </c>
    </row>
    <row r="11" spans="2:8" ht="30" customHeight="1" x14ac:dyDescent="0.45">
      <c r="B11" s="32" t="s">
        <v>77</v>
      </c>
      <c r="F11" s="32">
        <v>3101</v>
      </c>
      <c r="G11" s="32">
        <v>0</v>
      </c>
      <c r="H11" s="32">
        <v>3101</v>
      </c>
    </row>
    <row r="12" spans="2:8" ht="30" customHeight="1" x14ac:dyDescent="0.45">
      <c r="B12" s="32" t="s">
        <v>78</v>
      </c>
      <c r="C12" s="76"/>
      <c r="F12" s="32">
        <v>2931546</v>
      </c>
      <c r="G12" s="32">
        <v>0</v>
      </c>
      <c r="H12" s="32">
        <v>2931546</v>
      </c>
    </row>
    <row r="13" spans="2:8" ht="30" customHeight="1" thickBot="1" x14ac:dyDescent="0.5">
      <c r="B13" s="57" t="s">
        <v>2</v>
      </c>
      <c r="C13" s="34">
        <f t="shared" ref="C13:H13" si="0">SUM(C7:C12)</f>
        <v>791016137</v>
      </c>
      <c r="D13" s="57">
        <f t="shared" si="0"/>
        <v>0</v>
      </c>
      <c r="E13" s="34">
        <f t="shared" si="0"/>
        <v>791016137</v>
      </c>
      <c r="F13" s="57">
        <f t="shared" si="0"/>
        <v>4099999769</v>
      </c>
      <c r="G13" s="34">
        <f t="shared" si="0"/>
        <v>0</v>
      </c>
      <c r="H13" s="34">
        <f t="shared" si="0"/>
        <v>4099999769</v>
      </c>
    </row>
    <row r="14" spans="2:8" ht="19.5" thickTop="1" x14ac:dyDescent="0.45">
      <c r="D14" s="65"/>
      <c r="F14" s="65"/>
    </row>
  </sheetData>
  <mergeCells count="6">
    <mergeCell ref="B1:H1"/>
    <mergeCell ref="B2:H2"/>
    <mergeCell ref="B3:H3"/>
    <mergeCell ref="B4:H4"/>
    <mergeCell ref="C5:E5"/>
    <mergeCell ref="F5:H5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I107"/>
  <sheetViews>
    <sheetView rightToLeft="1" view="pageBreakPreview" topLeftCell="A91" zoomScale="60" zoomScaleNormal="100" workbookViewId="0">
      <selection activeCell="L109" sqref="L109"/>
    </sheetView>
  </sheetViews>
  <sheetFormatPr defaultRowHeight="18.75" x14ac:dyDescent="0.45"/>
  <cols>
    <col min="1" max="1" width="26" style="27" bestFit="1" customWidth="1"/>
    <col min="2" max="2" width="13" style="27" bestFit="1" customWidth="1"/>
    <col min="3" max="3" width="17.28515625" style="27" bestFit="1" customWidth="1"/>
    <col min="4" max="4" width="17.5703125" style="27" bestFit="1" customWidth="1"/>
    <col min="5" max="5" width="19.140625" style="27" bestFit="1" customWidth="1"/>
    <col min="6" max="6" width="13.28515625" style="27" bestFit="1" customWidth="1"/>
    <col min="7" max="7" width="19.140625" style="27" bestFit="1" customWidth="1"/>
    <col min="8" max="8" width="19" style="27" bestFit="1" customWidth="1"/>
    <col min="9" max="9" width="17" style="27" bestFit="1" customWidth="1"/>
    <col min="10" max="16384" width="9.140625" style="27"/>
  </cols>
  <sheetData>
    <row r="1" spans="1:9" ht="21" x14ac:dyDescent="0.55000000000000004">
      <c r="A1" s="92" t="s">
        <v>69</v>
      </c>
      <c r="B1" s="92"/>
      <c r="C1" s="92"/>
      <c r="D1" s="92"/>
      <c r="E1" s="92"/>
      <c r="F1" s="92"/>
      <c r="G1" s="92"/>
      <c r="H1" s="92"/>
      <c r="I1" s="92"/>
    </row>
    <row r="2" spans="1:9" ht="21" x14ac:dyDescent="0.55000000000000004">
      <c r="A2" s="92" t="s">
        <v>61</v>
      </c>
      <c r="B2" s="92"/>
      <c r="C2" s="92"/>
      <c r="D2" s="92"/>
      <c r="E2" s="92"/>
      <c r="F2" s="92"/>
      <c r="G2" s="92"/>
      <c r="H2" s="92"/>
      <c r="I2" s="92"/>
    </row>
    <row r="3" spans="1:9" ht="21" x14ac:dyDescent="0.55000000000000004">
      <c r="A3" s="92" t="s">
        <v>70</v>
      </c>
      <c r="B3" s="92"/>
      <c r="C3" s="92"/>
      <c r="D3" s="92"/>
      <c r="E3" s="92"/>
      <c r="F3" s="92"/>
      <c r="G3" s="92"/>
      <c r="H3" s="92"/>
      <c r="I3" s="92"/>
    </row>
    <row r="4" spans="1:9" ht="21" x14ac:dyDescent="0.55000000000000004">
      <c r="A4" s="10"/>
      <c r="B4" s="10"/>
      <c r="C4" s="10"/>
      <c r="D4" s="10"/>
      <c r="E4" s="10"/>
      <c r="F4" s="10"/>
      <c r="G4" s="10"/>
      <c r="H4" s="10"/>
      <c r="I4" s="10"/>
    </row>
    <row r="5" spans="1:9" ht="21" x14ac:dyDescent="0.45">
      <c r="A5" s="93" t="s">
        <v>55</v>
      </c>
      <c r="B5" s="93"/>
      <c r="C5" s="93"/>
      <c r="D5" s="93"/>
      <c r="E5" s="93"/>
      <c r="F5" s="93"/>
      <c r="G5" s="93"/>
      <c r="H5" s="93"/>
      <c r="I5" s="93"/>
    </row>
    <row r="6" spans="1:9" ht="27.75" customHeight="1" thickBot="1" x14ac:dyDescent="0.5">
      <c r="B6" s="112" t="s">
        <v>67</v>
      </c>
      <c r="C6" s="112"/>
      <c r="D6" s="112"/>
      <c r="E6" s="112"/>
      <c r="F6" s="112" t="s">
        <v>71</v>
      </c>
      <c r="G6" s="112"/>
      <c r="H6" s="112"/>
      <c r="I6" s="112"/>
    </row>
    <row r="7" spans="1:9" ht="54" customHeight="1" thickBot="1" x14ac:dyDescent="0.5">
      <c r="A7" s="77" t="s">
        <v>38</v>
      </c>
      <c r="B7" s="31" t="s">
        <v>3</v>
      </c>
      <c r="C7" s="54" t="s">
        <v>51</v>
      </c>
      <c r="D7" s="31" t="s">
        <v>49</v>
      </c>
      <c r="E7" s="54" t="s">
        <v>52</v>
      </c>
      <c r="F7" s="31" t="s">
        <v>3</v>
      </c>
      <c r="G7" s="54" t="s">
        <v>20</v>
      </c>
      <c r="H7" s="31" t="s">
        <v>49</v>
      </c>
      <c r="I7" s="54" t="s">
        <v>52</v>
      </c>
    </row>
    <row r="8" spans="1:9" x14ac:dyDescent="0.45">
      <c r="A8" s="32" t="s">
        <v>79</v>
      </c>
      <c r="B8" s="32">
        <v>1200000</v>
      </c>
      <c r="C8" s="32">
        <v>7752605528</v>
      </c>
      <c r="D8" s="32">
        <v>7431845499</v>
      </c>
      <c r="E8" s="32">
        <v>320760029</v>
      </c>
      <c r="F8" s="32">
        <v>1200000</v>
      </c>
      <c r="G8" s="32">
        <v>7752605528</v>
      </c>
      <c r="H8" s="32">
        <v>7431845499</v>
      </c>
      <c r="I8" s="32">
        <v>320760029</v>
      </c>
    </row>
    <row r="9" spans="1:9" x14ac:dyDescent="0.45">
      <c r="A9" s="32" t="s">
        <v>80</v>
      </c>
      <c r="B9" s="32">
        <v>0</v>
      </c>
      <c r="C9" s="32">
        <v>0</v>
      </c>
      <c r="D9" s="32">
        <v>0</v>
      </c>
      <c r="E9" s="32">
        <v>0</v>
      </c>
      <c r="F9" s="32">
        <v>400000</v>
      </c>
      <c r="G9" s="32">
        <v>4048461610</v>
      </c>
      <c r="H9" s="32">
        <v>3794654730</v>
      </c>
      <c r="I9" s="32">
        <v>253806880</v>
      </c>
    </row>
    <row r="10" spans="1:9" x14ac:dyDescent="0.45">
      <c r="A10" s="32" t="s">
        <v>81</v>
      </c>
      <c r="B10" s="32">
        <v>100000</v>
      </c>
      <c r="C10" s="32">
        <v>2092697437</v>
      </c>
      <c r="D10" s="32">
        <v>799982881</v>
      </c>
      <c r="E10" s="32">
        <v>1292714556</v>
      </c>
      <c r="F10" s="32">
        <v>100000</v>
      </c>
      <c r="G10" s="32">
        <v>2092697437</v>
      </c>
      <c r="H10" s="32">
        <v>799982881</v>
      </c>
      <c r="I10" s="32">
        <v>1292714556</v>
      </c>
    </row>
    <row r="11" spans="1:9" x14ac:dyDescent="0.45">
      <c r="A11" s="32" t="s">
        <v>82</v>
      </c>
      <c r="B11" s="32">
        <v>58894</v>
      </c>
      <c r="C11" s="32">
        <v>148982275</v>
      </c>
      <c r="D11" s="32">
        <v>104642015</v>
      </c>
      <c r="E11" s="32">
        <v>44340260</v>
      </c>
      <c r="F11" s="32">
        <v>858894</v>
      </c>
      <c r="G11" s="32">
        <v>1736614280</v>
      </c>
      <c r="H11" s="32">
        <v>1529467806</v>
      </c>
      <c r="I11" s="32">
        <v>207146474</v>
      </c>
    </row>
    <row r="12" spans="1:9" x14ac:dyDescent="0.45">
      <c r="A12" s="32" t="s">
        <v>83</v>
      </c>
      <c r="B12" s="32">
        <v>2400000</v>
      </c>
      <c r="C12" s="32">
        <v>12656898949</v>
      </c>
      <c r="D12" s="32">
        <v>12538415302</v>
      </c>
      <c r="E12" s="32">
        <v>118483647</v>
      </c>
      <c r="F12" s="32">
        <v>2400000</v>
      </c>
      <c r="G12" s="32">
        <v>12656898949</v>
      </c>
      <c r="H12" s="32">
        <v>12538415302</v>
      </c>
      <c r="I12" s="32">
        <v>118483647</v>
      </c>
    </row>
    <row r="13" spans="1:9" x14ac:dyDescent="0.45">
      <c r="A13" s="32" t="s">
        <v>84</v>
      </c>
      <c r="B13" s="32">
        <v>0</v>
      </c>
      <c r="C13" s="32">
        <v>0</v>
      </c>
      <c r="D13" s="32">
        <v>0</v>
      </c>
      <c r="E13" s="32">
        <v>0</v>
      </c>
      <c r="F13" s="32">
        <v>400000</v>
      </c>
      <c r="G13" s="32">
        <v>491372117</v>
      </c>
      <c r="H13" s="32">
        <v>492307117</v>
      </c>
      <c r="I13" s="32">
        <v>-935000</v>
      </c>
    </row>
    <row r="14" spans="1:9" x14ac:dyDescent="0.45">
      <c r="A14" s="32" t="s">
        <v>85</v>
      </c>
      <c r="B14" s="32">
        <v>10500000</v>
      </c>
      <c r="C14" s="32">
        <v>156596301344</v>
      </c>
      <c r="D14" s="32">
        <v>133940431844</v>
      </c>
      <c r="E14" s="32">
        <v>22655869500</v>
      </c>
      <c r="F14" s="32">
        <v>35500000</v>
      </c>
      <c r="G14" s="32">
        <v>528860285725</v>
      </c>
      <c r="H14" s="32">
        <v>452850774225</v>
      </c>
      <c r="I14" s="32">
        <v>76009511500</v>
      </c>
    </row>
    <row r="15" spans="1:9" x14ac:dyDescent="0.45">
      <c r="A15" s="32" t="s">
        <v>86</v>
      </c>
      <c r="B15" s="32">
        <v>300000</v>
      </c>
      <c r="C15" s="32">
        <v>928764740</v>
      </c>
      <c r="D15" s="32">
        <v>667476086</v>
      </c>
      <c r="E15" s="32">
        <v>261288654</v>
      </c>
      <c r="F15" s="32">
        <v>1500000</v>
      </c>
      <c r="G15" s="32">
        <v>4197302138</v>
      </c>
      <c r="H15" s="32">
        <v>3762901088</v>
      </c>
      <c r="I15" s="32">
        <v>434401050</v>
      </c>
    </row>
    <row r="16" spans="1:9" x14ac:dyDescent="0.45">
      <c r="A16" s="32" t="s">
        <v>87</v>
      </c>
      <c r="B16" s="32">
        <v>330000</v>
      </c>
      <c r="C16" s="32">
        <v>11275708461</v>
      </c>
      <c r="D16" s="32">
        <v>9588168823</v>
      </c>
      <c r="E16" s="32">
        <v>1687539638</v>
      </c>
      <c r="F16" s="32">
        <v>490745</v>
      </c>
      <c r="G16" s="32">
        <v>16976325729</v>
      </c>
      <c r="H16" s="32">
        <v>14257002384</v>
      </c>
      <c r="I16" s="32">
        <v>2719323345</v>
      </c>
    </row>
    <row r="17" spans="1:9" x14ac:dyDescent="0.45">
      <c r="A17" s="32" t="s">
        <v>88</v>
      </c>
      <c r="B17" s="32">
        <v>420000</v>
      </c>
      <c r="C17" s="32">
        <v>19707827861</v>
      </c>
      <c r="D17" s="32">
        <v>20090781848</v>
      </c>
      <c r="E17" s="32">
        <v>-382953987</v>
      </c>
      <c r="F17" s="32">
        <v>420000</v>
      </c>
      <c r="G17" s="32">
        <v>19707827861</v>
      </c>
      <c r="H17" s="32">
        <v>20090781848</v>
      </c>
      <c r="I17" s="32">
        <v>-382953987</v>
      </c>
    </row>
    <row r="18" spans="1:9" x14ac:dyDescent="0.45">
      <c r="A18" s="32" t="s">
        <v>89</v>
      </c>
      <c r="B18" s="32">
        <v>0</v>
      </c>
      <c r="C18" s="32">
        <v>0</v>
      </c>
      <c r="D18" s="32">
        <v>0</v>
      </c>
      <c r="E18" s="32">
        <v>0</v>
      </c>
      <c r="F18" s="32">
        <v>1</v>
      </c>
      <c r="G18" s="32">
        <v>1</v>
      </c>
      <c r="H18" s="32">
        <v>373</v>
      </c>
      <c r="I18" s="32">
        <v>-372</v>
      </c>
    </row>
    <row r="19" spans="1:9" x14ac:dyDescent="0.45">
      <c r="A19" s="32" t="s">
        <v>90</v>
      </c>
      <c r="B19" s="32">
        <v>6600000</v>
      </c>
      <c r="C19" s="32">
        <v>39293922978</v>
      </c>
      <c r="D19" s="32">
        <v>37858640110</v>
      </c>
      <c r="E19" s="32">
        <v>1435282868</v>
      </c>
      <c r="F19" s="32">
        <v>6600000</v>
      </c>
      <c r="G19" s="32">
        <v>39293922978</v>
      </c>
      <c r="H19" s="32">
        <v>37858640110</v>
      </c>
      <c r="I19" s="32">
        <v>1435282868</v>
      </c>
    </row>
    <row r="20" spans="1:9" x14ac:dyDescent="0.45">
      <c r="A20" s="32" t="s">
        <v>91</v>
      </c>
      <c r="B20" s="32">
        <v>0</v>
      </c>
      <c r="C20" s="32">
        <v>0</v>
      </c>
      <c r="D20" s="32">
        <v>0</v>
      </c>
      <c r="E20" s="32">
        <v>0</v>
      </c>
      <c r="F20" s="32">
        <v>176343</v>
      </c>
      <c r="G20" s="32">
        <v>1125120558</v>
      </c>
      <c r="H20" s="32">
        <v>1170689922</v>
      </c>
      <c r="I20" s="32">
        <v>-45569364</v>
      </c>
    </row>
    <row r="21" spans="1:9" x14ac:dyDescent="0.45">
      <c r="A21" s="32" t="s">
        <v>92</v>
      </c>
      <c r="B21" s="32">
        <v>3000000</v>
      </c>
      <c r="C21" s="32">
        <v>7538350190</v>
      </c>
      <c r="D21" s="32">
        <v>5607546251</v>
      </c>
      <c r="E21" s="32">
        <v>1930803939</v>
      </c>
      <c r="F21" s="32">
        <v>3000000</v>
      </c>
      <c r="G21" s="32">
        <v>7538350190</v>
      </c>
      <c r="H21" s="32">
        <v>5607546251</v>
      </c>
      <c r="I21" s="32">
        <v>1930803939</v>
      </c>
    </row>
    <row r="22" spans="1:9" x14ac:dyDescent="0.45">
      <c r="A22" s="32" t="s">
        <v>93</v>
      </c>
      <c r="B22" s="32">
        <v>200000</v>
      </c>
      <c r="C22" s="32">
        <v>5735320631</v>
      </c>
      <c r="D22" s="32">
        <v>3694287338</v>
      </c>
      <c r="E22" s="32">
        <v>2041033293</v>
      </c>
      <c r="F22" s="32">
        <v>200000</v>
      </c>
      <c r="G22" s="32">
        <v>5735320631</v>
      </c>
      <c r="H22" s="32">
        <v>3694287338</v>
      </c>
      <c r="I22" s="32">
        <v>2041033293</v>
      </c>
    </row>
    <row r="23" spans="1:9" x14ac:dyDescent="0.45">
      <c r="A23" s="32" t="s">
        <v>94</v>
      </c>
      <c r="B23" s="32">
        <v>300000</v>
      </c>
      <c r="C23" s="32">
        <v>1768294603</v>
      </c>
      <c r="D23" s="32">
        <v>1429372052</v>
      </c>
      <c r="E23" s="32">
        <v>338922551</v>
      </c>
      <c r="F23" s="32">
        <v>1900000</v>
      </c>
      <c r="G23" s="32">
        <v>9761029501</v>
      </c>
      <c r="H23" s="32">
        <v>8869904088</v>
      </c>
      <c r="I23" s="32">
        <v>891125413</v>
      </c>
    </row>
    <row r="24" spans="1:9" x14ac:dyDescent="0.45">
      <c r="A24" s="32" t="s">
        <v>95</v>
      </c>
      <c r="B24" s="32">
        <v>0</v>
      </c>
      <c r="C24" s="32">
        <v>0</v>
      </c>
      <c r="D24" s="32">
        <v>0</v>
      </c>
      <c r="E24" s="32">
        <v>0</v>
      </c>
      <c r="F24" s="32">
        <v>11200000</v>
      </c>
      <c r="G24" s="32">
        <v>16330794757</v>
      </c>
      <c r="H24" s="32">
        <v>16876318400</v>
      </c>
      <c r="I24" s="32">
        <v>-545523643</v>
      </c>
    </row>
    <row r="25" spans="1:9" x14ac:dyDescent="0.45">
      <c r="A25" s="32" t="s">
        <v>96</v>
      </c>
      <c r="B25" s="32">
        <v>100000</v>
      </c>
      <c r="C25" s="32">
        <v>2715842996</v>
      </c>
      <c r="D25" s="32">
        <v>1709361876</v>
      </c>
      <c r="E25" s="32">
        <v>1006481120</v>
      </c>
      <c r="F25" s="32">
        <v>300000</v>
      </c>
      <c r="G25" s="32">
        <v>6600580070</v>
      </c>
      <c r="H25" s="32">
        <v>5140136710</v>
      </c>
      <c r="I25" s="32">
        <v>1460443360</v>
      </c>
    </row>
    <row r="26" spans="1:9" x14ac:dyDescent="0.45">
      <c r="A26" s="32" t="s">
        <v>97</v>
      </c>
      <c r="B26" s="32">
        <v>0</v>
      </c>
      <c r="C26" s="32">
        <v>0</v>
      </c>
      <c r="D26" s="32">
        <v>0</v>
      </c>
      <c r="E26" s="32">
        <v>0</v>
      </c>
      <c r="F26" s="32">
        <v>291304</v>
      </c>
      <c r="G26" s="32">
        <v>4812719554</v>
      </c>
      <c r="H26" s="32">
        <v>4709211763</v>
      </c>
      <c r="I26" s="32">
        <v>103507791</v>
      </c>
    </row>
    <row r="27" spans="1:9" x14ac:dyDescent="0.45">
      <c r="A27" s="32" t="s">
        <v>98</v>
      </c>
      <c r="B27" s="32">
        <v>100000</v>
      </c>
      <c r="C27" s="32">
        <v>1053790746</v>
      </c>
      <c r="D27" s="32">
        <v>1013017233</v>
      </c>
      <c r="E27" s="32">
        <v>40773513</v>
      </c>
      <c r="F27" s="32">
        <v>100000</v>
      </c>
      <c r="G27" s="32">
        <v>1053790746</v>
      </c>
      <c r="H27" s="32">
        <v>1013017233</v>
      </c>
      <c r="I27" s="32">
        <v>40773513</v>
      </c>
    </row>
    <row r="28" spans="1:9" x14ac:dyDescent="0.45">
      <c r="A28" s="32" t="s">
        <v>99</v>
      </c>
      <c r="B28" s="32">
        <v>2004151</v>
      </c>
      <c r="C28" s="32">
        <v>10154247722</v>
      </c>
      <c r="D28" s="32">
        <v>9432147978</v>
      </c>
      <c r="E28" s="32">
        <v>722099744</v>
      </c>
      <c r="F28" s="32">
        <v>2004151</v>
      </c>
      <c r="G28" s="32">
        <v>10154247722</v>
      </c>
      <c r="H28" s="32">
        <v>9432147978</v>
      </c>
      <c r="I28" s="32">
        <v>722099744</v>
      </c>
    </row>
    <row r="29" spans="1:9" x14ac:dyDescent="0.45">
      <c r="A29" s="32" t="s">
        <v>100</v>
      </c>
      <c r="B29" s="32">
        <v>600000</v>
      </c>
      <c r="C29" s="32">
        <v>3214954810</v>
      </c>
      <c r="D29" s="32">
        <v>3634667007</v>
      </c>
      <c r="E29" s="32">
        <v>-419712197</v>
      </c>
      <c r="F29" s="32">
        <v>600000</v>
      </c>
      <c r="G29" s="32">
        <v>3214954810</v>
      </c>
      <c r="H29" s="32">
        <v>3634667007</v>
      </c>
      <c r="I29" s="32">
        <v>-419712197</v>
      </c>
    </row>
    <row r="30" spans="1:9" x14ac:dyDescent="0.45">
      <c r="A30" s="32" t="s">
        <v>101</v>
      </c>
      <c r="B30" s="32">
        <v>0</v>
      </c>
      <c r="C30" s="32">
        <v>0</v>
      </c>
      <c r="D30" s="32">
        <v>0</v>
      </c>
      <c r="E30" s="32">
        <v>0</v>
      </c>
      <c r="F30" s="32">
        <v>400000</v>
      </c>
      <c r="G30" s="32">
        <v>5596402840</v>
      </c>
      <c r="H30" s="32">
        <v>5394042440</v>
      </c>
      <c r="I30" s="32">
        <v>202360400</v>
      </c>
    </row>
    <row r="31" spans="1:9" x14ac:dyDescent="0.45">
      <c r="A31" s="32" t="s">
        <v>102</v>
      </c>
      <c r="B31" s="32">
        <v>0</v>
      </c>
      <c r="C31" s="32">
        <v>0</v>
      </c>
      <c r="D31" s="32">
        <v>0</v>
      </c>
      <c r="E31" s="32">
        <v>0</v>
      </c>
      <c r="F31" s="32">
        <v>2400000</v>
      </c>
      <c r="G31" s="32">
        <v>11915241864</v>
      </c>
      <c r="H31" s="32">
        <v>12208416192</v>
      </c>
      <c r="I31" s="32">
        <v>-293174328</v>
      </c>
    </row>
    <row r="32" spans="1:9" x14ac:dyDescent="0.45">
      <c r="A32" s="32" t="s">
        <v>103</v>
      </c>
      <c r="B32" s="32">
        <v>0</v>
      </c>
      <c r="C32" s="32">
        <v>0</v>
      </c>
      <c r="D32" s="32">
        <v>0</v>
      </c>
      <c r="E32" s="32">
        <v>0</v>
      </c>
      <c r="F32" s="32">
        <v>400000</v>
      </c>
      <c r="G32" s="32">
        <v>1497533890</v>
      </c>
      <c r="H32" s="32">
        <v>1394182026</v>
      </c>
      <c r="I32" s="32">
        <v>103351864</v>
      </c>
    </row>
    <row r="33" spans="1:9" x14ac:dyDescent="0.45">
      <c r="A33" s="32" t="s">
        <v>104</v>
      </c>
      <c r="B33" s="32">
        <v>400000</v>
      </c>
      <c r="C33" s="32">
        <v>10291824466</v>
      </c>
      <c r="D33" s="32">
        <v>8851785595</v>
      </c>
      <c r="E33" s="32">
        <v>1440038871</v>
      </c>
      <c r="F33" s="32">
        <v>400000</v>
      </c>
      <c r="G33" s="32">
        <v>10291824466</v>
      </c>
      <c r="H33" s="32">
        <v>8851785595</v>
      </c>
      <c r="I33" s="32">
        <v>1440038871</v>
      </c>
    </row>
    <row r="34" spans="1:9" x14ac:dyDescent="0.45">
      <c r="A34" s="32" t="s">
        <v>105</v>
      </c>
      <c r="B34" s="32">
        <v>1000000</v>
      </c>
      <c r="C34" s="32">
        <v>2555464625</v>
      </c>
      <c r="D34" s="32">
        <v>2370272936</v>
      </c>
      <c r="E34" s="32">
        <v>185191689</v>
      </c>
      <c r="F34" s="32">
        <v>1000000</v>
      </c>
      <c r="G34" s="32">
        <v>2555464625</v>
      </c>
      <c r="H34" s="32">
        <v>2370272936</v>
      </c>
      <c r="I34" s="32">
        <v>185191689</v>
      </c>
    </row>
    <row r="35" spans="1:9" x14ac:dyDescent="0.45">
      <c r="A35" s="32" t="s">
        <v>106</v>
      </c>
      <c r="B35" s="32">
        <v>1000000</v>
      </c>
      <c r="C35" s="32">
        <v>2003763433</v>
      </c>
      <c r="D35" s="32">
        <v>1871245451</v>
      </c>
      <c r="E35" s="32">
        <v>132517982</v>
      </c>
      <c r="F35" s="32">
        <v>1000000</v>
      </c>
      <c r="G35" s="32">
        <v>2003763433</v>
      </c>
      <c r="H35" s="32">
        <v>1871245451</v>
      </c>
      <c r="I35" s="32">
        <v>132517982</v>
      </c>
    </row>
    <row r="36" spans="1:9" x14ac:dyDescent="0.45">
      <c r="A36" s="32" t="s">
        <v>107</v>
      </c>
      <c r="B36" s="32">
        <v>0</v>
      </c>
      <c r="C36" s="32">
        <v>0</v>
      </c>
      <c r="D36" s="32">
        <v>0</v>
      </c>
      <c r="E36" s="32">
        <v>0</v>
      </c>
      <c r="F36" s="32">
        <v>4400000</v>
      </c>
      <c r="G36" s="32">
        <v>10237940328</v>
      </c>
      <c r="H36" s="32">
        <v>10001310623</v>
      </c>
      <c r="I36" s="32">
        <v>236629705</v>
      </c>
    </row>
    <row r="37" spans="1:9" x14ac:dyDescent="0.45">
      <c r="A37" s="32" t="s">
        <v>108</v>
      </c>
      <c r="B37" s="32">
        <v>1000000</v>
      </c>
      <c r="C37" s="32">
        <v>1914088909</v>
      </c>
      <c r="D37" s="32">
        <v>1487869610</v>
      </c>
      <c r="E37" s="32">
        <v>426219299</v>
      </c>
      <c r="F37" s="32">
        <v>1000000</v>
      </c>
      <c r="G37" s="32">
        <v>1914088909</v>
      </c>
      <c r="H37" s="32">
        <v>1487869610</v>
      </c>
      <c r="I37" s="32">
        <v>426219299</v>
      </c>
    </row>
    <row r="38" spans="1:9" x14ac:dyDescent="0.45">
      <c r="A38" s="32" t="s">
        <v>109</v>
      </c>
      <c r="B38" s="32">
        <v>0</v>
      </c>
      <c r="C38" s="32">
        <v>0</v>
      </c>
      <c r="D38" s="32">
        <v>0</v>
      </c>
      <c r="E38" s="32">
        <v>0</v>
      </c>
      <c r="F38" s="32">
        <v>1000000</v>
      </c>
      <c r="G38" s="32">
        <v>5953669660</v>
      </c>
      <c r="H38" s="32">
        <v>6250349580</v>
      </c>
      <c r="I38" s="32">
        <v>-296679920</v>
      </c>
    </row>
    <row r="39" spans="1:9" x14ac:dyDescent="0.45">
      <c r="A39" s="32" t="s">
        <v>110</v>
      </c>
      <c r="B39" s="32">
        <v>600000</v>
      </c>
      <c r="C39" s="32">
        <v>2664418253</v>
      </c>
      <c r="D39" s="32">
        <v>2030251493</v>
      </c>
      <c r="E39" s="32">
        <v>634166760</v>
      </c>
      <c r="F39" s="32">
        <v>600001</v>
      </c>
      <c r="G39" s="32">
        <v>2664418254</v>
      </c>
      <c r="H39" s="32">
        <v>2030254449</v>
      </c>
      <c r="I39" s="32">
        <v>634163805</v>
      </c>
    </row>
    <row r="40" spans="1:9" x14ac:dyDescent="0.45">
      <c r="A40" s="32" t="s">
        <v>111</v>
      </c>
      <c r="B40" s="32">
        <v>100000</v>
      </c>
      <c r="C40" s="32">
        <v>2255429716</v>
      </c>
      <c r="D40" s="32">
        <v>1700313452</v>
      </c>
      <c r="E40" s="32">
        <v>555116264</v>
      </c>
      <c r="F40" s="32">
        <v>100000</v>
      </c>
      <c r="G40" s="32">
        <v>2255429716</v>
      </c>
      <c r="H40" s="32">
        <v>1700313452</v>
      </c>
      <c r="I40" s="32">
        <v>555116264</v>
      </c>
    </row>
    <row r="41" spans="1:9" x14ac:dyDescent="0.45">
      <c r="A41" s="32" t="s">
        <v>112</v>
      </c>
      <c r="B41" s="32">
        <v>150000</v>
      </c>
      <c r="C41" s="32">
        <v>7125590117</v>
      </c>
      <c r="D41" s="32">
        <v>3814343117</v>
      </c>
      <c r="E41" s="32">
        <v>3311247000</v>
      </c>
      <c r="F41" s="32">
        <v>150000</v>
      </c>
      <c r="G41" s="32">
        <v>7125590117</v>
      </c>
      <c r="H41" s="32">
        <v>3814343117</v>
      </c>
      <c r="I41" s="32">
        <v>3311247000</v>
      </c>
    </row>
    <row r="42" spans="1:9" x14ac:dyDescent="0.45">
      <c r="A42" s="32" t="s">
        <v>113</v>
      </c>
      <c r="B42" s="32">
        <v>0</v>
      </c>
      <c r="C42" s="32">
        <v>0</v>
      </c>
      <c r="D42" s="32">
        <v>0</v>
      </c>
      <c r="E42" s="32">
        <v>0</v>
      </c>
      <c r="F42" s="32">
        <v>200000</v>
      </c>
      <c r="G42" s="32">
        <v>8217007741</v>
      </c>
      <c r="H42" s="32">
        <v>6458591793</v>
      </c>
      <c r="I42" s="32">
        <v>1758415948</v>
      </c>
    </row>
    <row r="43" spans="1:9" x14ac:dyDescent="0.45">
      <c r="A43" s="32" t="s">
        <v>114</v>
      </c>
      <c r="B43" s="32">
        <v>30000</v>
      </c>
      <c r="C43" s="32">
        <v>4432793717</v>
      </c>
      <c r="D43" s="32">
        <v>3725178647</v>
      </c>
      <c r="E43" s="32">
        <v>707615070</v>
      </c>
      <c r="F43" s="32">
        <v>30000</v>
      </c>
      <c r="G43" s="32">
        <v>4432793717</v>
      </c>
      <c r="H43" s="32">
        <v>3725178647</v>
      </c>
      <c r="I43" s="32">
        <v>707615070</v>
      </c>
    </row>
    <row r="44" spans="1:9" x14ac:dyDescent="0.45">
      <c r="A44" s="32" t="s">
        <v>115</v>
      </c>
      <c r="B44" s="32">
        <v>600000</v>
      </c>
      <c r="C44" s="32">
        <v>2232607515</v>
      </c>
      <c r="D44" s="32">
        <v>1148888033</v>
      </c>
      <c r="E44" s="32">
        <v>1083719482</v>
      </c>
      <c r="F44" s="32">
        <v>1400000</v>
      </c>
      <c r="G44" s="32">
        <v>3816270447</v>
      </c>
      <c r="H44" s="32">
        <v>2638450837</v>
      </c>
      <c r="I44" s="32">
        <v>1177819610</v>
      </c>
    </row>
    <row r="45" spans="1:9" x14ac:dyDescent="0.45">
      <c r="A45" s="32" t="s">
        <v>116</v>
      </c>
      <c r="B45" s="32">
        <v>4500000</v>
      </c>
      <c r="C45" s="32">
        <v>25827647206</v>
      </c>
      <c r="D45" s="32">
        <v>24239058020</v>
      </c>
      <c r="E45" s="32">
        <v>1588589186</v>
      </c>
      <c r="F45" s="32">
        <v>4500000</v>
      </c>
      <c r="G45" s="32">
        <v>25827647206</v>
      </c>
      <c r="H45" s="32">
        <v>24239058020</v>
      </c>
      <c r="I45" s="32">
        <v>1588589186</v>
      </c>
    </row>
    <row r="46" spans="1:9" x14ac:dyDescent="0.45">
      <c r="A46" s="32" t="s">
        <v>117</v>
      </c>
      <c r="B46" s="32">
        <v>0</v>
      </c>
      <c r="C46" s="32">
        <v>0</v>
      </c>
      <c r="D46" s="32">
        <v>0</v>
      </c>
      <c r="E46" s="32">
        <v>0</v>
      </c>
      <c r="F46" s="32">
        <v>1600000</v>
      </c>
      <c r="G46" s="32">
        <v>3308625113</v>
      </c>
      <c r="H46" s="32">
        <v>3487654729</v>
      </c>
      <c r="I46" s="32">
        <v>-179029616</v>
      </c>
    </row>
    <row r="47" spans="1:9" x14ac:dyDescent="0.45">
      <c r="A47" s="32" t="s">
        <v>118</v>
      </c>
      <c r="B47" s="32">
        <v>300000</v>
      </c>
      <c r="C47" s="32">
        <v>1732503426</v>
      </c>
      <c r="D47" s="32">
        <v>1359030120</v>
      </c>
      <c r="E47" s="32">
        <v>373473306</v>
      </c>
      <c r="F47" s="32">
        <v>300000</v>
      </c>
      <c r="G47" s="32">
        <v>1732503426</v>
      </c>
      <c r="H47" s="32">
        <v>1359030120</v>
      </c>
      <c r="I47" s="32">
        <v>373473306</v>
      </c>
    </row>
    <row r="48" spans="1:9" x14ac:dyDescent="0.45">
      <c r="A48" s="32" t="s">
        <v>119</v>
      </c>
      <c r="B48" s="32">
        <v>1000000</v>
      </c>
      <c r="C48" s="32">
        <v>2272129243</v>
      </c>
      <c r="D48" s="32">
        <v>1550809443</v>
      </c>
      <c r="E48" s="32">
        <v>721319800</v>
      </c>
      <c r="F48" s="32">
        <v>3400000</v>
      </c>
      <c r="G48" s="32">
        <v>5846997523</v>
      </c>
      <c r="H48" s="32">
        <v>5185627547</v>
      </c>
      <c r="I48" s="32">
        <v>661369976</v>
      </c>
    </row>
    <row r="49" spans="1:9" x14ac:dyDescent="0.45">
      <c r="A49" s="32" t="s">
        <v>120</v>
      </c>
      <c r="B49" s="32">
        <v>6000000</v>
      </c>
      <c r="C49" s="32">
        <v>9599113434</v>
      </c>
      <c r="D49" s="32">
        <v>6907802838</v>
      </c>
      <c r="E49" s="32">
        <v>2691310596</v>
      </c>
      <c r="F49" s="32">
        <v>6000000</v>
      </c>
      <c r="G49" s="32">
        <v>9599113434</v>
      </c>
      <c r="H49" s="32">
        <v>6907802838</v>
      </c>
      <c r="I49" s="32">
        <v>2691310596</v>
      </c>
    </row>
    <row r="50" spans="1:9" x14ac:dyDescent="0.45">
      <c r="A50" s="32" t="s">
        <v>121</v>
      </c>
      <c r="B50" s="32">
        <v>900000</v>
      </c>
      <c r="C50" s="32">
        <v>3756734267</v>
      </c>
      <c r="D50" s="32">
        <v>2773953407</v>
      </c>
      <c r="E50" s="32">
        <v>982780860</v>
      </c>
      <c r="F50" s="32">
        <v>3300000</v>
      </c>
      <c r="G50" s="32">
        <v>11391690184</v>
      </c>
      <c r="H50" s="32">
        <v>9858276329</v>
      </c>
      <c r="I50" s="32">
        <v>1533413855</v>
      </c>
    </row>
    <row r="51" spans="1:9" x14ac:dyDescent="0.45">
      <c r="A51" s="32" t="s">
        <v>122</v>
      </c>
      <c r="B51" s="32">
        <v>0</v>
      </c>
      <c r="C51" s="32">
        <v>0</v>
      </c>
      <c r="D51" s="32">
        <v>0</v>
      </c>
      <c r="E51" s="32">
        <v>0</v>
      </c>
      <c r="F51" s="32">
        <v>7600000</v>
      </c>
      <c r="G51" s="32">
        <v>4349662909</v>
      </c>
      <c r="H51" s="32">
        <v>4181180947</v>
      </c>
      <c r="I51" s="32">
        <v>168481962</v>
      </c>
    </row>
    <row r="52" spans="1:9" x14ac:dyDescent="0.45">
      <c r="A52" s="32" t="s">
        <v>123</v>
      </c>
      <c r="B52" s="32">
        <v>0</v>
      </c>
      <c r="C52" s="32">
        <v>0</v>
      </c>
      <c r="D52" s="32">
        <v>0</v>
      </c>
      <c r="E52" s="32">
        <v>0</v>
      </c>
      <c r="F52" s="32">
        <v>2400000</v>
      </c>
      <c r="G52" s="32">
        <v>3942891022</v>
      </c>
      <c r="H52" s="32">
        <v>3917724859</v>
      </c>
      <c r="I52" s="32">
        <v>25166163</v>
      </c>
    </row>
    <row r="53" spans="1:9" x14ac:dyDescent="0.45">
      <c r="A53" s="32" t="s">
        <v>124</v>
      </c>
      <c r="B53" s="32">
        <v>300000</v>
      </c>
      <c r="C53" s="32">
        <v>878158960</v>
      </c>
      <c r="D53" s="32">
        <v>807105357</v>
      </c>
      <c r="E53" s="32">
        <v>71053603</v>
      </c>
      <c r="F53" s="32">
        <v>300000</v>
      </c>
      <c r="G53" s="32">
        <v>878158960</v>
      </c>
      <c r="H53" s="32">
        <v>807105357</v>
      </c>
      <c r="I53" s="32">
        <v>71053603</v>
      </c>
    </row>
    <row r="54" spans="1:9" x14ac:dyDescent="0.45">
      <c r="A54" s="32" t="s">
        <v>125</v>
      </c>
      <c r="B54" s="32">
        <v>6000000</v>
      </c>
      <c r="C54" s="32">
        <v>27508499893</v>
      </c>
      <c r="D54" s="32">
        <v>22229547714</v>
      </c>
      <c r="E54" s="32">
        <v>5278952179</v>
      </c>
      <c r="F54" s="32">
        <v>6000000</v>
      </c>
      <c r="G54" s="32">
        <v>27508499893</v>
      </c>
      <c r="H54" s="32">
        <v>22229547714</v>
      </c>
      <c r="I54" s="32">
        <v>5278952179</v>
      </c>
    </row>
    <row r="55" spans="1:9" x14ac:dyDescent="0.45">
      <c r="A55" s="32" t="s">
        <v>126</v>
      </c>
      <c r="B55" s="32">
        <v>5000000</v>
      </c>
      <c r="C55" s="32">
        <v>7135840567</v>
      </c>
      <c r="D55" s="32">
        <v>6189857561</v>
      </c>
      <c r="E55" s="32">
        <v>945983006</v>
      </c>
      <c r="F55" s="32">
        <v>5000001</v>
      </c>
      <c r="G55" s="32">
        <v>7135840568</v>
      </c>
      <c r="H55" s="32">
        <v>6189858780</v>
      </c>
      <c r="I55" s="32">
        <v>945981788</v>
      </c>
    </row>
    <row r="56" spans="1:9" x14ac:dyDescent="0.45">
      <c r="A56" s="32" t="s">
        <v>127</v>
      </c>
      <c r="B56" s="32">
        <v>2100000</v>
      </c>
      <c r="C56" s="32">
        <v>9774982247</v>
      </c>
      <c r="D56" s="32">
        <v>8343255032</v>
      </c>
      <c r="E56" s="32">
        <v>1431727215</v>
      </c>
      <c r="F56" s="32">
        <v>3700000</v>
      </c>
      <c r="G56" s="32">
        <v>17128911193</v>
      </c>
      <c r="H56" s="32">
        <v>14700750517</v>
      </c>
      <c r="I56" s="32">
        <v>2428160676</v>
      </c>
    </row>
    <row r="57" spans="1:9" x14ac:dyDescent="0.45">
      <c r="A57" s="32" t="s">
        <v>128</v>
      </c>
      <c r="B57" s="32">
        <v>300000</v>
      </c>
      <c r="C57" s="32">
        <v>1893251175</v>
      </c>
      <c r="D57" s="32">
        <v>1710828467</v>
      </c>
      <c r="E57" s="32">
        <v>182422708</v>
      </c>
      <c r="F57" s="32">
        <v>300000</v>
      </c>
      <c r="G57" s="32">
        <v>1893251175</v>
      </c>
      <c r="H57" s="32">
        <v>1710828467</v>
      </c>
      <c r="I57" s="32">
        <v>182422708</v>
      </c>
    </row>
    <row r="58" spans="1:9" x14ac:dyDescent="0.45">
      <c r="A58" s="32" t="s">
        <v>129</v>
      </c>
      <c r="B58" s="32">
        <v>1153268</v>
      </c>
      <c r="C58" s="32">
        <v>10719438846</v>
      </c>
      <c r="D58" s="32">
        <v>5854575194</v>
      </c>
      <c r="E58" s="32">
        <v>4864863652</v>
      </c>
      <c r="F58" s="32">
        <v>1153268</v>
      </c>
      <c r="G58" s="32">
        <v>10719438846</v>
      </c>
      <c r="H58" s="32">
        <v>5854575194</v>
      </c>
      <c r="I58" s="32">
        <v>4864863652</v>
      </c>
    </row>
    <row r="59" spans="1:9" x14ac:dyDescent="0.45">
      <c r="A59" s="32" t="s">
        <v>130</v>
      </c>
      <c r="B59" s="32">
        <v>1200000</v>
      </c>
      <c r="C59" s="32">
        <v>5204719277</v>
      </c>
      <c r="D59" s="32">
        <v>4134580778</v>
      </c>
      <c r="E59" s="32">
        <v>1070138499</v>
      </c>
      <c r="F59" s="32">
        <v>1200000</v>
      </c>
      <c r="G59" s="32">
        <v>5204719277</v>
      </c>
      <c r="H59" s="32">
        <v>4134580778</v>
      </c>
      <c r="I59" s="32">
        <v>1070138499</v>
      </c>
    </row>
    <row r="60" spans="1:9" x14ac:dyDescent="0.45">
      <c r="A60" s="32" t="s">
        <v>131</v>
      </c>
      <c r="B60" s="32">
        <v>0</v>
      </c>
      <c r="C60" s="32">
        <v>0</v>
      </c>
      <c r="D60" s="32">
        <v>0</v>
      </c>
      <c r="E60" s="32">
        <v>0</v>
      </c>
      <c r="F60" s="32">
        <v>1</v>
      </c>
      <c r="G60" s="32">
        <v>1</v>
      </c>
      <c r="H60" s="32">
        <v>1101</v>
      </c>
      <c r="I60" s="32">
        <v>-1100</v>
      </c>
    </row>
    <row r="61" spans="1:9" x14ac:dyDescent="0.45">
      <c r="A61" s="32" t="s">
        <v>132</v>
      </c>
      <c r="B61" s="32">
        <v>4000000</v>
      </c>
      <c r="C61" s="32">
        <v>7918374180</v>
      </c>
      <c r="D61" s="32">
        <v>7779764743</v>
      </c>
      <c r="E61" s="32">
        <v>138609437</v>
      </c>
      <c r="F61" s="32">
        <v>4000000</v>
      </c>
      <c r="G61" s="32">
        <v>7918374180</v>
      </c>
      <c r="H61" s="32">
        <v>7779764743</v>
      </c>
      <c r="I61" s="32">
        <v>138609437</v>
      </c>
    </row>
    <row r="62" spans="1:9" x14ac:dyDescent="0.45">
      <c r="A62" s="32" t="s">
        <v>133</v>
      </c>
      <c r="B62" s="32">
        <v>0</v>
      </c>
      <c r="C62" s="32">
        <v>0</v>
      </c>
      <c r="D62" s="32">
        <v>0</v>
      </c>
      <c r="E62" s="32">
        <v>0</v>
      </c>
      <c r="F62" s="32">
        <v>3768107</v>
      </c>
      <c r="G62" s="32">
        <v>11445156839</v>
      </c>
      <c r="H62" s="32">
        <v>11119404024</v>
      </c>
      <c r="I62" s="32">
        <v>325752815</v>
      </c>
    </row>
    <row r="63" spans="1:9" x14ac:dyDescent="0.45">
      <c r="A63" s="32" t="s">
        <v>134</v>
      </c>
      <c r="B63" s="32">
        <v>100000</v>
      </c>
      <c r="C63" s="32">
        <v>1147064127</v>
      </c>
      <c r="D63" s="32">
        <v>699683852</v>
      </c>
      <c r="E63" s="32">
        <v>447380275</v>
      </c>
      <c r="F63" s="32">
        <v>100000</v>
      </c>
      <c r="G63" s="32">
        <v>1147064127</v>
      </c>
      <c r="H63" s="32">
        <v>699683852</v>
      </c>
      <c r="I63" s="32">
        <v>447380275</v>
      </c>
    </row>
    <row r="64" spans="1:9" x14ac:dyDescent="0.45">
      <c r="A64" s="32" t="s">
        <v>135</v>
      </c>
      <c r="B64" s="32">
        <v>0</v>
      </c>
      <c r="C64" s="32">
        <v>0</v>
      </c>
      <c r="D64" s="32">
        <v>0</v>
      </c>
      <c r="E64" s="32">
        <v>0</v>
      </c>
      <c r="F64" s="32">
        <v>1</v>
      </c>
      <c r="G64" s="32">
        <v>1</v>
      </c>
      <c r="H64" s="32">
        <v>6112</v>
      </c>
      <c r="I64" s="32">
        <v>-6111</v>
      </c>
    </row>
    <row r="65" spans="1:9" x14ac:dyDescent="0.45">
      <c r="A65" s="32" t="s">
        <v>136</v>
      </c>
      <c r="B65" s="32">
        <v>0</v>
      </c>
      <c r="C65" s="32">
        <v>0</v>
      </c>
      <c r="D65" s="32">
        <v>0</v>
      </c>
      <c r="E65" s="32">
        <v>0</v>
      </c>
      <c r="F65" s="32">
        <v>200000</v>
      </c>
      <c r="G65" s="32">
        <v>4985164492</v>
      </c>
      <c r="H65" s="32">
        <v>5101123092</v>
      </c>
      <c r="I65" s="32">
        <v>-115958600</v>
      </c>
    </row>
    <row r="66" spans="1:9" x14ac:dyDescent="0.45">
      <c r="A66" s="32" t="s">
        <v>137</v>
      </c>
      <c r="B66" s="32">
        <v>0</v>
      </c>
      <c r="C66" s="32">
        <v>0</v>
      </c>
      <c r="D66" s="32">
        <v>0</v>
      </c>
      <c r="E66" s="32">
        <v>0</v>
      </c>
      <c r="F66" s="32">
        <v>1600000</v>
      </c>
      <c r="G66" s="32">
        <v>11964701522</v>
      </c>
      <c r="H66" s="32">
        <v>7987760465</v>
      </c>
      <c r="I66" s="32">
        <v>3976941057</v>
      </c>
    </row>
    <row r="67" spans="1:9" x14ac:dyDescent="0.45">
      <c r="A67" s="32" t="s">
        <v>138</v>
      </c>
      <c r="B67" s="32">
        <v>200000</v>
      </c>
      <c r="C67" s="32">
        <v>2317942730</v>
      </c>
      <c r="D67" s="32">
        <v>2066017995</v>
      </c>
      <c r="E67" s="32">
        <v>251924735</v>
      </c>
      <c r="F67" s="32">
        <v>200000</v>
      </c>
      <c r="G67" s="32">
        <v>2317942730</v>
      </c>
      <c r="H67" s="32">
        <v>2066017995</v>
      </c>
      <c r="I67" s="32">
        <v>251924735</v>
      </c>
    </row>
    <row r="68" spans="1:9" x14ac:dyDescent="0.45">
      <c r="A68" s="32" t="s">
        <v>139</v>
      </c>
      <c r="B68" s="32">
        <v>134886</v>
      </c>
      <c r="C68" s="32">
        <v>1814911924</v>
      </c>
      <c r="D68" s="32">
        <v>1544803666</v>
      </c>
      <c r="E68" s="32">
        <v>270108258</v>
      </c>
      <c r="F68" s="32">
        <v>134886</v>
      </c>
      <c r="G68" s="32">
        <v>1814911924</v>
      </c>
      <c r="H68" s="32">
        <v>1544803666</v>
      </c>
      <c r="I68" s="32">
        <v>270108258</v>
      </c>
    </row>
    <row r="69" spans="1:9" x14ac:dyDescent="0.45">
      <c r="A69" s="32" t="s">
        <v>140</v>
      </c>
      <c r="B69" s="32">
        <v>100000</v>
      </c>
      <c r="C69" s="32">
        <v>1240754262</v>
      </c>
      <c r="D69" s="32">
        <v>1315027964</v>
      </c>
      <c r="E69" s="32">
        <v>-74273702</v>
      </c>
      <c r="F69" s="32">
        <v>100000</v>
      </c>
      <c r="G69" s="32">
        <v>1240754262</v>
      </c>
      <c r="H69" s="32">
        <v>1315027964</v>
      </c>
      <c r="I69" s="32">
        <v>-74273702</v>
      </c>
    </row>
    <row r="70" spans="1:9" x14ac:dyDescent="0.45">
      <c r="A70" s="32" t="s">
        <v>141</v>
      </c>
      <c r="B70" s="32">
        <v>27000000</v>
      </c>
      <c r="C70" s="32">
        <v>14794745832</v>
      </c>
      <c r="D70" s="32">
        <v>14297333588</v>
      </c>
      <c r="E70" s="32">
        <v>497412244</v>
      </c>
      <c r="F70" s="32">
        <v>56200000</v>
      </c>
      <c r="G70" s="32">
        <v>28034074277</v>
      </c>
      <c r="H70" s="32">
        <v>27947922793</v>
      </c>
      <c r="I70" s="32">
        <v>86151484</v>
      </c>
    </row>
    <row r="71" spans="1:9" x14ac:dyDescent="0.45">
      <c r="A71" s="32" t="s">
        <v>142</v>
      </c>
      <c r="B71" s="32">
        <v>298800</v>
      </c>
      <c r="C71" s="32">
        <v>1310487023</v>
      </c>
      <c r="D71" s="32">
        <v>748292349</v>
      </c>
      <c r="E71" s="32">
        <v>562194674</v>
      </c>
      <c r="F71" s="32">
        <v>298800</v>
      </c>
      <c r="G71" s="32">
        <v>1310487023</v>
      </c>
      <c r="H71" s="32">
        <v>748292349</v>
      </c>
      <c r="I71" s="32">
        <v>562194674</v>
      </c>
    </row>
    <row r="72" spans="1:9" x14ac:dyDescent="0.45">
      <c r="A72" s="32" t="s">
        <v>143</v>
      </c>
      <c r="B72" s="32">
        <v>1200000</v>
      </c>
      <c r="C72" s="32">
        <v>6420736889</v>
      </c>
      <c r="D72" s="32">
        <v>6169201684</v>
      </c>
      <c r="E72" s="32">
        <v>251535205</v>
      </c>
      <c r="F72" s="32">
        <v>1200000</v>
      </c>
      <c r="G72" s="32">
        <v>6420736889</v>
      </c>
      <c r="H72" s="32">
        <v>6169201684</v>
      </c>
      <c r="I72" s="32">
        <v>251535205</v>
      </c>
    </row>
    <row r="73" spans="1:9" x14ac:dyDescent="0.45">
      <c r="A73" s="32" t="s">
        <v>144</v>
      </c>
      <c r="B73" s="32">
        <v>2400000</v>
      </c>
      <c r="C73" s="32">
        <v>22719014095</v>
      </c>
      <c r="D73" s="32">
        <v>9318084985</v>
      </c>
      <c r="E73" s="32">
        <v>13400929110</v>
      </c>
      <c r="F73" s="32">
        <v>2600000</v>
      </c>
      <c r="G73" s="32">
        <v>23832433443</v>
      </c>
      <c r="H73" s="32">
        <v>10100667121</v>
      </c>
      <c r="I73" s="32">
        <v>13731766322</v>
      </c>
    </row>
    <row r="74" spans="1:9" x14ac:dyDescent="0.45">
      <c r="A74" s="32" t="s">
        <v>145</v>
      </c>
      <c r="B74" s="32">
        <v>1000000</v>
      </c>
      <c r="C74" s="32">
        <v>13509933642</v>
      </c>
      <c r="D74" s="32">
        <v>12155195558</v>
      </c>
      <c r="E74" s="32">
        <v>1354738084</v>
      </c>
      <c r="F74" s="32">
        <v>2800000</v>
      </c>
      <c r="G74" s="32">
        <v>39240487139</v>
      </c>
      <c r="H74" s="32">
        <v>34023542217</v>
      </c>
      <c r="I74" s="32">
        <v>5216944922</v>
      </c>
    </row>
    <row r="75" spans="1:9" x14ac:dyDescent="0.45">
      <c r="A75" s="32" t="s">
        <v>146</v>
      </c>
      <c r="B75" s="32">
        <v>10000000</v>
      </c>
      <c r="C75" s="32">
        <v>12452988583</v>
      </c>
      <c r="D75" s="32">
        <v>10785388819</v>
      </c>
      <c r="E75" s="32">
        <v>1667599764</v>
      </c>
      <c r="F75" s="32">
        <v>16400000</v>
      </c>
      <c r="G75" s="32">
        <v>20012317284</v>
      </c>
      <c r="H75" s="32">
        <v>17157871957</v>
      </c>
      <c r="I75" s="32">
        <v>2854445327</v>
      </c>
    </row>
    <row r="76" spans="1:9" x14ac:dyDescent="0.45">
      <c r="A76" s="32" t="s">
        <v>147</v>
      </c>
      <c r="B76" s="32">
        <v>0</v>
      </c>
      <c r="C76" s="32">
        <v>0</v>
      </c>
      <c r="D76" s="32">
        <v>0</v>
      </c>
      <c r="E76" s="32">
        <v>0</v>
      </c>
      <c r="F76" s="32">
        <v>2478</v>
      </c>
      <c r="G76" s="32">
        <v>691257663</v>
      </c>
      <c r="H76" s="32">
        <v>658749014</v>
      </c>
      <c r="I76" s="32">
        <v>32508649</v>
      </c>
    </row>
    <row r="77" spans="1:9" x14ac:dyDescent="0.45">
      <c r="A77" s="32" t="s">
        <v>148</v>
      </c>
      <c r="B77" s="32">
        <v>0</v>
      </c>
      <c r="C77" s="32">
        <v>0</v>
      </c>
      <c r="D77" s="32">
        <v>0</v>
      </c>
      <c r="E77" s="32">
        <v>0</v>
      </c>
      <c r="F77" s="32">
        <v>200000</v>
      </c>
      <c r="G77" s="32">
        <v>1976284192</v>
      </c>
      <c r="H77" s="32">
        <v>1993157266</v>
      </c>
      <c r="I77" s="32">
        <v>-16873074</v>
      </c>
    </row>
    <row r="78" spans="1:9" x14ac:dyDescent="0.45">
      <c r="A78" s="32" t="s">
        <v>149</v>
      </c>
      <c r="B78" s="32">
        <v>0</v>
      </c>
      <c r="C78" s="32">
        <v>0</v>
      </c>
      <c r="D78" s="32">
        <v>0</v>
      </c>
      <c r="E78" s="32">
        <v>0</v>
      </c>
      <c r="F78" s="32">
        <v>862720</v>
      </c>
      <c r="G78" s="32">
        <v>10682601390</v>
      </c>
      <c r="H78" s="32">
        <v>9412813576</v>
      </c>
      <c r="I78" s="32">
        <v>1269787814</v>
      </c>
    </row>
    <row r="79" spans="1:9" x14ac:dyDescent="0.45">
      <c r="A79" s="32" t="s">
        <v>150</v>
      </c>
      <c r="B79" s="32">
        <v>1000000</v>
      </c>
      <c r="C79" s="32">
        <v>2073844300</v>
      </c>
      <c r="D79" s="32">
        <v>2364347949</v>
      </c>
      <c r="E79" s="32">
        <v>-290503649</v>
      </c>
      <c r="F79" s="32">
        <v>1000000</v>
      </c>
      <c r="G79" s="32">
        <v>2073844300</v>
      </c>
      <c r="H79" s="32">
        <v>2364347949</v>
      </c>
      <c r="I79" s="32">
        <v>-290503649</v>
      </c>
    </row>
    <row r="80" spans="1:9" x14ac:dyDescent="0.45">
      <c r="A80" s="32" t="s">
        <v>151</v>
      </c>
      <c r="B80" s="32">
        <v>0</v>
      </c>
      <c r="C80" s="32">
        <v>0</v>
      </c>
      <c r="D80" s="32">
        <v>0</v>
      </c>
      <c r="E80" s="32">
        <v>0</v>
      </c>
      <c r="F80" s="32">
        <v>800000</v>
      </c>
      <c r="G80" s="32">
        <v>3971331590</v>
      </c>
      <c r="H80" s="32">
        <v>3332322857</v>
      </c>
      <c r="I80" s="32">
        <v>639008733</v>
      </c>
    </row>
    <row r="81" spans="1:9" x14ac:dyDescent="0.45">
      <c r="A81" s="32" t="s">
        <v>152</v>
      </c>
      <c r="B81" s="32">
        <v>600000</v>
      </c>
      <c r="C81" s="32">
        <v>10232288298</v>
      </c>
      <c r="D81" s="32">
        <v>6147770509</v>
      </c>
      <c r="E81" s="32">
        <v>4084517789</v>
      </c>
      <c r="F81" s="32">
        <v>800000</v>
      </c>
      <c r="G81" s="32">
        <v>12314070784</v>
      </c>
      <c r="H81" s="32">
        <v>8139882490</v>
      </c>
      <c r="I81" s="32">
        <v>4174188294</v>
      </c>
    </row>
    <row r="82" spans="1:9" x14ac:dyDescent="0.45">
      <c r="A82" s="32" t="s">
        <v>153</v>
      </c>
      <c r="B82" s="32">
        <v>2100000</v>
      </c>
      <c r="C82" s="32">
        <v>13877888264</v>
      </c>
      <c r="D82" s="32">
        <v>10146612492</v>
      </c>
      <c r="E82" s="32">
        <v>3731275772</v>
      </c>
      <c r="F82" s="32">
        <v>2100000</v>
      </c>
      <c r="G82" s="32">
        <v>13877888264</v>
      </c>
      <c r="H82" s="32">
        <v>10146612492</v>
      </c>
      <c r="I82" s="32">
        <v>3731275772</v>
      </c>
    </row>
    <row r="83" spans="1:9" x14ac:dyDescent="0.45">
      <c r="A83" s="32" t="s">
        <v>154</v>
      </c>
      <c r="B83" s="32">
        <v>0</v>
      </c>
      <c r="C83" s="32">
        <v>0</v>
      </c>
      <c r="D83" s="32">
        <v>0</v>
      </c>
      <c r="E83" s="32">
        <v>0</v>
      </c>
      <c r="F83" s="32">
        <v>800000</v>
      </c>
      <c r="G83" s="32">
        <v>2350489194</v>
      </c>
      <c r="H83" s="32">
        <v>1974167354</v>
      </c>
      <c r="I83" s="32">
        <v>376321840</v>
      </c>
    </row>
    <row r="84" spans="1:9" x14ac:dyDescent="0.45">
      <c r="A84" s="32" t="s">
        <v>155</v>
      </c>
      <c r="B84" s="32">
        <v>29000000</v>
      </c>
      <c r="C84" s="32">
        <v>63857616048</v>
      </c>
      <c r="D84" s="32">
        <v>52829968826</v>
      </c>
      <c r="E84" s="32">
        <v>11027647222</v>
      </c>
      <c r="F84" s="32">
        <v>33400000</v>
      </c>
      <c r="G84" s="32">
        <v>70578097118</v>
      </c>
      <c r="H84" s="32">
        <v>59933469228</v>
      </c>
      <c r="I84" s="32">
        <v>10644627890</v>
      </c>
    </row>
    <row r="85" spans="1:9" x14ac:dyDescent="0.45">
      <c r="A85" s="32" t="s">
        <v>156</v>
      </c>
      <c r="B85" s="32">
        <v>5502306</v>
      </c>
      <c r="C85" s="32">
        <v>35371573506</v>
      </c>
      <c r="D85" s="32">
        <v>31525600485</v>
      </c>
      <c r="E85" s="32">
        <v>3845973021</v>
      </c>
      <c r="F85" s="32">
        <v>5502306</v>
      </c>
      <c r="G85" s="32">
        <v>35371573506</v>
      </c>
      <c r="H85" s="32">
        <v>31525600485</v>
      </c>
      <c r="I85" s="32">
        <v>3845973021</v>
      </c>
    </row>
    <row r="86" spans="1:9" x14ac:dyDescent="0.45">
      <c r="A86" s="32" t="s">
        <v>157</v>
      </c>
      <c r="B86" s="32">
        <v>4000000</v>
      </c>
      <c r="C86" s="32">
        <v>9170223341</v>
      </c>
      <c r="D86" s="32">
        <v>5744851924</v>
      </c>
      <c r="E86" s="32">
        <v>3425371417</v>
      </c>
      <c r="F86" s="32">
        <v>10800000</v>
      </c>
      <c r="G86" s="32">
        <v>22747557242</v>
      </c>
      <c r="H86" s="32">
        <v>15526774720</v>
      </c>
      <c r="I86" s="32">
        <v>7220782522</v>
      </c>
    </row>
    <row r="87" spans="1:9" x14ac:dyDescent="0.45">
      <c r="A87" s="32" t="s">
        <v>158</v>
      </c>
      <c r="B87" s="32">
        <v>100000</v>
      </c>
      <c r="C87" s="32">
        <v>1528095805</v>
      </c>
      <c r="D87" s="32">
        <v>732298305</v>
      </c>
      <c r="E87" s="32">
        <v>795797500</v>
      </c>
      <c r="F87" s="32">
        <v>100000</v>
      </c>
      <c r="G87" s="32">
        <v>1528095805</v>
      </c>
      <c r="H87" s="32">
        <v>732298305</v>
      </c>
      <c r="I87" s="32">
        <v>795797500</v>
      </c>
    </row>
    <row r="88" spans="1:9" x14ac:dyDescent="0.45">
      <c r="A88" s="32" t="s">
        <v>159</v>
      </c>
      <c r="B88" s="32">
        <v>0</v>
      </c>
      <c r="C88" s="32">
        <v>0</v>
      </c>
      <c r="D88" s="32">
        <v>0</v>
      </c>
      <c r="E88" s="32">
        <v>0</v>
      </c>
      <c r="F88" s="32">
        <v>2000000</v>
      </c>
      <c r="G88" s="32">
        <v>7056146197</v>
      </c>
      <c r="H88" s="32">
        <v>5164371322</v>
      </c>
      <c r="I88" s="32">
        <v>1891774875</v>
      </c>
    </row>
    <row r="89" spans="1:9" x14ac:dyDescent="0.45">
      <c r="A89" s="32" t="s">
        <v>160</v>
      </c>
      <c r="B89" s="32">
        <v>300000</v>
      </c>
      <c r="C89" s="32">
        <v>1661060037</v>
      </c>
      <c r="D89" s="32">
        <v>1202287680</v>
      </c>
      <c r="E89" s="32">
        <v>458772357</v>
      </c>
      <c r="F89" s="32">
        <v>300000</v>
      </c>
      <c r="G89" s="32">
        <v>1661060037</v>
      </c>
      <c r="H89" s="32">
        <v>1202287680</v>
      </c>
      <c r="I89" s="32">
        <v>458772357</v>
      </c>
    </row>
    <row r="90" spans="1:9" x14ac:dyDescent="0.45">
      <c r="A90" s="32" t="s">
        <v>161</v>
      </c>
      <c r="B90" s="32">
        <v>200000</v>
      </c>
      <c r="C90" s="32">
        <v>3609878275</v>
      </c>
      <c r="D90" s="32">
        <v>2674164803</v>
      </c>
      <c r="E90" s="32">
        <v>935713472</v>
      </c>
      <c r="F90" s="32">
        <v>1000000</v>
      </c>
      <c r="G90" s="32">
        <v>18997161394</v>
      </c>
      <c r="H90" s="32">
        <v>13363440682</v>
      </c>
      <c r="I90" s="32">
        <v>5633720712</v>
      </c>
    </row>
    <row r="91" spans="1:9" x14ac:dyDescent="0.45">
      <c r="A91" s="32" t="s">
        <v>162</v>
      </c>
      <c r="B91" s="32">
        <v>1500000</v>
      </c>
      <c r="C91" s="32">
        <v>6206648882</v>
      </c>
      <c r="D91" s="32">
        <v>5014902010</v>
      </c>
      <c r="E91" s="32">
        <v>1191746872</v>
      </c>
      <c r="F91" s="32">
        <v>1500000</v>
      </c>
      <c r="G91" s="32">
        <v>6206648882</v>
      </c>
      <c r="H91" s="32">
        <v>5014902010</v>
      </c>
      <c r="I91" s="32">
        <v>1191746872</v>
      </c>
    </row>
    <row r="92" spans="1:9" x14ac:dyDescent="0.45">
      <c r="A92" s="32" t="s">
        <v>163</v>
      </c>
      <c r="B92" s="32">
        <v>100000</v>
      </c>
      <c r="C92" s="32">
        <v>1039898966</v>
      </c>
      <c r="D92" s="32">
        <v>680534346</v>
      </c>
      <c r="E92" s="32">
        <v>359364620</v>
      </c>
      <c r="F92" s="32">
        <v>1100000</v>
      </c>
      <c r="G92" s="32">
        <v>7717876167</v>
      </c>
      <c r="H92" s="32">
        <v>7514865347</v>
      </c>
      <c r="I92" s="32">
        <v>203010820</v>
      </c>
    </row>
    <row r="93" spans="1:9" x14ac:dyDescent="0.45">
      <c r="A93" s="32" t="s">
        <v>164</v>
      </c>
      <c r="B93" s="32">
        <v>0</v>
      </c>
      <c r="C93" s="32">
        <v>0</v>
      </c>
      <c r="D93" s="32">
        <v>0</v>
      </c>
      <c r="E93" s="32">
        <v>0</v>
      </c>
      <c r="F93" s="32">
        <v>10800000</v>
      </c>
      <c r="G93" s="32">
        <v>17649714249</v>
      </c>
      <c r="H93" s="32">
        <v>17458018510</v>
      </c>
      <c r="I93" s="32">
        <v>191695739</v>
      </c>
    </row>
    <row r="94" spans="1:9" x14ac:dyDescent="0.45">
      <c r="A94" s="32" t="s">
        <v>166</v>
      </c>
      <c r="B94" s="32">
        <v>100759</v>
      </c>
      <c r="C94" s="32">
        <v>970807103</v>
      </c>
      <c r="D94" s="32">
        <v>1030768784</v>
      </c>
      <c r="E94" s="32">
        <v>-59961681</v>
      </c>
      <c r="F94" s="32">
        <v>100759</v>
      </c>
      <c r="G94" s="32">
        <v>970807103</v>
      </c>
      <c r="H94" s="32">
        <v>1030768784</v>
      </c>
      <c r="I94" s="32">
        <v>-59961681</v>
      </c>
    </row>
    <row r="95" spans="1:9" x14ac:dyDescent="0.45">
      <c r="A95" s="32" t="s">
        <v>167</v>
      </c>
      <c r="B95" s="32">
        <v>2679641</v>
      </c>
      <c r="C95" s="32">
        <v>7362161044</v>
      </c>
      <c r="D95" s="32">
        <v>6146590073</v>
      </c>
      <c r="E95" s="32">
        <v>1215570971</v>
      </c>
      <c r="F95" s="32">
        <v>4279641</v>
      </c>
      <c r="G95" s="32">
        <v>11359510224</v>
      </c>
      <c r="H95" s="32">
        <v>9819792517</v>
      </c>
      <c r="I95" s="32">
        <v>1539717707</v>
      </c>
    </row>
    <row r="96" spans="1:9" x14ac:dyDescent="0.45">
      <c r="A96" s="32" t="s">
        <v>168</v>
      </c>
      <c r="B96" s="32">
        <v>600000</v>
      </c>
      <c r="C96" s="32">
        <v>3784156258</v>
      </c>
      <c r="D96" s="32">
        <v>1573235122</v>
      </c>
      <c r="E96" s="32">
        <v>2210921136</v>
      </c>
      <c r="F96" s="32">
        <v>600000</v>
      </c>
      <c r="G96" s="32">
        <v>3784156258</v>
      </c>
      <c r="H96" s="32">
        <v>1573235122</v>
      </c>
      <c r="I96" s="32">
        <v>2210921136</v>
      </c>
    </row>
    <row r="97" spans="1:9" x14ac:dyDescent="0.45">
      <c r="A97" s="32" t="s">
        <v>169</v>
      </c>
      <c r="B97" s="32">
        <v>30000</v>
      </c>
      <c r="C97" s="32">
        <v>1205310375</v>
      </c>
      <c r="D97" s="32">
        <v>554418189</v>
      </c>
      <c r="E97" s="32">
        <v>650892186</v>
      </c>
      <c r="F97" s="32">
        <v>30000</v>
      </c>
      <c r="G97" s="32">
        <v>1205310375</v>
      </c>
      <c r="H97" s="32">
        <v>554418189</v>
      </c>
      <c r="I97" s="32">
        <v>650892186</v>
      </c>
    </row>
    <row r="98" spans="1:9" x14ac:dyDescent="0.45">
      <c r="A98" s="32" t="s">
        <v>170</v>
      </c>
      <c r="B98" s="32">
        <v>0</v>
      </c>
      <c r="C98" s="32">
        <v>0</v>
      </c>
      <c r="D98" s="32">
        <v>0</v>
      </c>
      <c r="E98" s="32">
        <v>0</v>
      </c>
      <c r="F98" s="32">
        <v>1820608</v>
      </c>
      <c r="G98" s="32">
        <v>3703034452</v>
      </c>
      <c r="H98" s="32">
        <v>3548801210</v>
      </c>
      <c r="I98" s="32">
        <v>154233242</v>
      </c>
    </row>
    <row r="99" spans="1:9" x14ac:dyDescent="0.45">
      <c r="A99" s="32" t="s">
        <v>171</v>
      </c>
      <c r="B99" s="32">
        <v>2100000</v>
      </c>
      <c r="C99" s="32">
        <v>8480931755</v>
      </c>
      <c r="D99" s="32">
        <v>6719457492</v>
      </c>
      <c r="E99" s="32">
        <v>1761474263</v>
      </c>
      <c r="F99" s="32">
        <v>2100000</v>
      </c>
      <c r="G99" s="32">
        <v>8480931755</v>
      </c>
      <c r="H99" s="32">
        <v>6719457492</v>
      </c>
      <c r="I99" s="32">
        <v>1761474263</v>
      </c>
    </row>
    <row r="100" spans="1:9" x14ac:dyDescent="0.45">
      <c r="A100" s="32" t="s">
        <v>172</v>
      </c>
      <c r="B100" s="32">
        <v>1300000</v>
      </c>
      <c r="C100" s="32">
        <v>18807485663</v>
      </c>
      <c r="D100" s="32">
        <v>20886998742</v>
      </c>
      <c r="E100" s="32">
        <v>-2079513079</v>
      </c>
      <c r="F100" s="32">
        <v>1800000</v>
      </c>
      <c r="G100" s="32">
        <v>26264606195</v>
      </c>
      <c r="H100" s="32">
        <v>28918718906</v>
      </c>
      <c r="I100" s="32">
        <v>-2654112711</v>
      </c>
    </row>
    <row r="101" spans="1:9" x14ac:dyDescent="0.45">
      <c r="A101" s="32" t="s">
        <v>173</v>
      </c>
      <c r="B101" s="32">
        <v>150000</v>
      </c>
      <c r="C101" s="32">
        <v>6114462245</v>
      </c>
      <c r="D101" s="32">
        <v>4341445178</v>
      </c>
      <c r="E101" s="32">
        <v>1773017067</v>
      </c>
      <c r="F101" s="32">
        <v>150000</v>
      </c>
      <c r="G101" s="32">
        <v>6114462245</v>
      </c>
      <c r="H101" s="32">
        <v>4341445178</v>
      </c>
      <c r="I101" s="32">
        <v>1773017067</v>
      </c>
    </row>
    <row r="102" spans="1:9" x14ac:dyDescent="0.45">
      <c r="A102" s="32" t="s">
        <v>174</v>
      </c>
      <c r="B102" s="32">
        <v>647704</v>
      </c>
      <c r="C102" s="32">
        <v>13131426008</v>
      </c>
      <c r="D102" s="32">
        <v>13146364157</v>
      </c>
      <c r="E102" s="32">
        <v>-14938149</v>
      </c>
      <c r="F102" s="32">
        <v>987610</v>
      </c>
      <c r="G102" s="32">
        <v>19311754748</v>
      </c>
      <c r="H102" s="32">
        <v>19413995008</v>
      </c>
      <c r="I102" s="32">
        <v>-102240260</v>
      </c>
    </row>
    <row r="103" spans="1:9" x14ac:dyDescent="0.45">
      <c r="A103" s="32" t="s">
        <v>175</v>
      </c>
      <c r="B103" s="32">
        <v>0</v>
      </c>
      <c r="C103" s="32">
        <v>0</v>
      </c>
      <c r="D103" s="32">
        <v>0</v>
      </c>
      <c r="E103" s="32">
        <v>0</v>
      </c>
      <c r="F103" s="32">
        <v>111827</v>
      </c>
      <c r="G103" s="32">
        <v>417663156</v>
      </c>
      <c r="H103" s="32">
        <v>384909458</v>
      </c>
      <c r="I103" s="32">
        <v>32753698</v>
      </c>
    </row>
    <row r="104" spans="1:9" x14ac:dyDescent="0.45">
      <c r="A104" s="32" t="s">
        <v>176</v>
      </c>
      <c r="B104" s="32">
        <v>0</v>
      </c>
      <c r="C104" s="32">
        <v>0</v>
      </c>
      <c r="D104" s="32">
        <v>0</v>
      </c>
      <c r="E104" s="32">
        <v>0</v>
      </c>
      <c r="F104" s="32">
        <v>1400000</v>
      </c>
      <c r="G104" s="32">
        <v>10446618605</v>
      </c>
      <c r="H104" s="32">
        <v>9976267325</v>
      </c>
      <c r="I104" s="32">
        <v>470351280</v>
      </c>
    </row>
    <row r="105" spans="1:9" x14ac:dyDescent="0.45">
      <c r="A105" s="32" t="s">
        <v>177</v>
      </c>
      <c r="B105" s="59">
        <v>93050</v>
      </c>
      <c r="C105" s="59">
        <v>758958581</v>
      </c>
      <c r="D105" s="59">
        <v>725988363</v>
      </c>
      <c r="E105" s="59">
        <v>32970218</v>
      </c>
      <c r="F105" s="59">
        <v>93050</v>
      </c>
      <c r="G105" s="59">
        <v>758958581</v>
      </c>
      <c r="H105" s="59">
        <v>725988363</v>
      </c>
      <c r="I105" s="59">
        <v>32970218</v>
      </c>
    </row>
    <row r="106" spans="1:9" ht="19.5" thickBot="1" x14ac:dyDescent="0.5">
      <c r="A106" s="32" t="s">
        <v>2</v>
      </c>
      <c r="B106" s="34">
        <f t="shared" ref="B106:I106" si="0">SUM(B8:B105)</f>
        <v>160383459</v>
      </c>
      <c r="C106" s="34">
        <f t="shared" si="0"/>
        <v>719305178604</v>
      </c>
      <c r="D106" s="34">
        <f t="shared" si="0"/>
        <v>603708737040</v>
      </c>
      <c r="E106" s="34">
        <f t="shared" si="0"/>
        <v>115596441564</v>
      </c>
      <c r="F106" s="34">
        <f t="shared" si="0"/>
        <v>307017502</v>
      </c>
      <c r="G106" s="34">
        <f t="shared" si="0"/>
        <v>1413040731432</v>
      </c>
      <c r="H106" s="34">
        <f t="shared" si="0"/>
        <v>1216741878971</v>
      </c>
      <c r="I106" s="34">
        <f t="shared" si="0"/>
        <v>196298852461</v>
      </c>
    </row>
    <row r="107" spans="1:9" ht="19.5" thickTop="1" x14ac:dyDescent="0.45"/>
  </sheetData>
  <mergeCells count="7">
    <mergeCell ref="A1:I1"/>
    <mergeCell ref="A2:I2"/>
    <mergeCell ref="A3:I3"/>
    <mergeCell ref="B6:E6"/>
    <mergeCell ref="F6:I6"/>
    <mergeCell ref="A5:E5"/>
    <mergeCell ref="F5:I5"/>
  </mergeCells>
  <pageMargins left="0.70866141732283472" right="0.70866141732283472" top="0.74803149606299213" bottom="0.74803149606299213" header="0.31496062992125984" footer="0.31496062992125984"/>
  <pageSetup scale="75" fitToHeight="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I237"/>
  <sheetViews>
    <sheetView rightToLeft="1" view="pageBreakPreview" topLeftCell="A172" zoomScaleNormal="100" zoomScaleSheetLayoutView="100" workbookViewId="0">
      <selection activeCell="O34" sqref="O34"/>
    </sheetView>
  </sheetViews>
  <sheetFormatPr defaultRowHeight="18.75" x14ac:dyDescent="0.45"/>
  <cols>
    <col min="1" max="1" width="28.85546875" style="27" customWidth="1"/>
    <col min="2" max="2" width="13.7109375" style="27" bestFit="1" customWidth="1"/>
    <col min="3" max="3" width="17.85546875" style="27" bestFit="1" customWidth="1"/>
    <col min="4" max="4" width="17.5703125" style="27" bestFit="1" customWidth="1"/>
    <col min="5" max="5" width="16.42578125" style="27" bestFit="1" customWidth="1"/>
    <col min="6" max="6" width="13.7109375" style="27" bestFit="1" customWidth="1"/>
    <col min="7" max="7" width="17.85546875" style="27" bestFit="1" customWidth="1"/>
    <col min="8" max="9" width="17.5703125" style="27" bestFit="1" customWidth="1"/>
    <col min="10" max="16384" width="9.140625" style="27"/>
  </cols>
  <sheetData>
    <row r="1" spans="1:9" ht="21" x14ac:dyDescent="0.55000000000000004">
      <c r="A1" s="92" t="s">
        <v>69</v>
      </c>
      <c r="B1" s="92"/>
      <c r="C1" s="92"/>
      <c r="D1" s="92"/>
      <c r="E1" s="92"/>
      <c r="F1" s="92"/>
      <c r="G1" s="92"/>
      <c r="H1" s="92"/>
      <c r="I1" s="92"/>
    </row>
    <row r="2" spans="1:9" ht="21" x14ac:dyDescent="0.55000000000000004">
      <c r="A2" s="92" t="s">
        <v>61</v>
      </c>
      <c r="B2" s="92"/>
      <c r="C2" s="92"/>
      <c r="D2" s="92"/>
      <c r="E2" s="92"/>
      <c r="F2" s="92"/>
      <c r="G2" s="92"/>
      <c r="H2" s="92"/>
      <c r="I2" s="92"/>
    </row>
    <row r="3" spans="1:9" ht="21" x14ac:dyDescent="0.55000000000000004">
      <c r="A3" s="92" t="s">
        <v>70</v>
      </c>
      <c r="B3" s="92"/>
      <c r="C3" s="92"/>
      <c r="D3" s="92"/>
      <c r="E3" s="92"/>
      <c r="F3" s="92"/>
      <c r="G3" s="92"/>
      <c r="H3" s="92"/>
      <c r="I3" s="92"/>
    </row>
    <row r="4" spans="1:9" ht="21" x14ac:dyDescent="0.45">
      <c r="A4" s="93" t="s">
        <v>48</v>
      </c>
      <c r="B4" s="93"/>
      <c r="C4" s="93"/>
      <c r="D4" s="93"/>
    </row>
    <row r="5" spans="1:9" ht="16.5" customHeight="1" thickBot="1" x14ac:dyDescent="0.5">
      <c r="B5" s="107" t="s">
        <v>67</v>
      </c>
      <c r="C5" s="107"/>
      <c r="D5" s="107"/>
      <c r="E5" s="107"/>
      <c r="F5" s="112" t="s">
        <v>71</v>
      </c>
      <c r="G5" s="112"/>
      <c r="H5" s="112"/>
      <c r="I5" s="112"/>
    </row>
    <row r="6" spans="1:9" ht="53.25" customHeight="1" thickBot="1" x14ac:dyDescent="0.5">
      <c r="A6" s="77" t="s">
        <v>38</v>
      </c>
      <c r="B6" s="31" t="s">
        <v>3</v>
      </c>
      <c r="C6" s="54" t="s">
        <v>20</v>
      </c>
      <c r="D6" s="31" t="s">
        <v>49</v>
      </c>
      <c r="E6" s="78" t="s">
        <v>50</v>
      </c>
      <c r="F6" s="31" t="s">
        <v>3</v>
      </c>
      <c r="G6" s="54" t="s">
        <v>20</v>
      </c>
      <c r="H6" s="31" t="s">
        <v>49</v>
      </c>
      <c r="I6" s="78" t="s">
        <v>50</v>
      </c>
    </row>
    <row r="7" spans="1:9" x14ac:dyDescent="0.45">
      <c r="A7" s="32" t="s">
        <v>127</v>
      </c>
      <c r="B7" s="32">
        <v>6927544</v>
      </c>
      <c r="C7" s="32">
        <v>31139193205</v>
      </c>
      <c r="D7" s="32">
        <v>33780608246</v>
      </c>
      <c r="E7" s="32">
        <v>-2641415041</v>
      </c>
      <c r="F7" s="32">
        <v>6927544</v>
      </c>
      <c r="G7" s="32">
        <v>31139193205</v>
      </c>
      <c r="H7" s="32">
        <v>27774187250</v>
      </c>
      <c r="I7" s="32">
        <v>3365005955</v>
      </c>
    </row>
    <row r="8" spans="1:9" x14ac:dyDescent="0.45">
      <c r="A8" s="32" t="s">
        <v>176</v>
      </c>
      <c r="B8" s="32">
        <v>6142935</v>
      </c>
      <c r="C8" s="32">
        <v>91980342197</v>
      </c>
      <c r="D8" s="32">
        <v>66254312274</v>
      </c>
      <c r="E8" s="32">
        <v>25726029923</v>
      </c>
      <c r="F8" s="32">
        <v>6142935</v>
      </c>
      <c r="G8" s="32">
        <v>91980342197</v>
      </c>
      <c r="H8" s="32">
        <v>46974096954</v>
      </c>
      <c r="I8" s="32">
        <v>45006245243</v>
      </c>
    </row>
    <row r="9" spans="1:9" x14ac:dyDescent="0.45">
      <c r="A9" s="32" t="s">
        <v>179</v>
      </c>
      <c r="B9" s="32">
        <v>158909</v>
      </c>
      <c r="C9" s="32">
        <v>20167353016</v>
      </c>
      <c r="D9" s="32">
        <v>25228901349</v>
      </c>
      <c r="E9" s="32">
        <v>-5061548333</v>
      </c>
      <c r="F9" s="32">
        <v>158909</v>
      </c>
      <c r="G9" s="32">
        <v>20167353016</v>
      </c>
      <c r="H9" s="32">
        <v>17472590990</v>
      </c>
      <c r="I9" s="32">
        <v>2694762026</v>
      </c>
    </row>
    <row r="10" spans="1:9" x14ac:dyDescent="0.45">
      <c r="A10" s="32" t="s">
        <v>181</v>
      </c>
      <c r="B10" s="32">
        <v>4862943</v>
      </c>
      <c r="C10" s="32">
        <v>55684567280</v>
      </c>
      <c r="D10" s="32">
        <v>49170341472</v>
      </c>
      <c r="E10" s="32">
        <v>6514225808</v>
      </c>
      <c r="F10" s="32">
        <v>4862943</v>
      </c>
      <c r="G10" s="32">
        <v>55684567280</v>
      </c>
      <c r="H10" s="32">
        <v>34613248660</v>
      </c>
      <c r="I10" s="32">
        <v>21071318620</v>
      </c>
    </row>
    <row r="11" spans="1:9" x14ac:dyDescent="0.45">
      <c r="A11" s="32" t="s">
        <v>183</v>
      </c>
      <c r="B11" s="32">
        <v>112243</v>
      </c>
      <c r="C11" s="32">
        <v>1881129858</v>
      </c>
      <c r="D11" s="32">
        <v>1530198683</v>
      </c>
      <c r="E11" s="32">
        <v>350931175</v>
      </c>
      <c r="F11" s="32">
        <v>112243</v>
      </c>
      <c r="G11" s="32">
        <v>1881129858</v>
      </c>
      <c r="H11" s="32">
        <v>1251567125</v>
      </c>
      <c r="I11" s="32">
        <v>629562733</v>
      </c>
    </row>
    <row r="12" spans="1:9" x14ac:dyDescent="0.45">
      <c r="A12" s="32" t="s">
        <v>376</v>
      </c>
      <c r="B12" s="32">
        <v>0</v>
      </c>
      <c r="C12" s="32">
        <v>0</v>
      </c>
      <c r="D12" s="32">
        <v>101042696</v>
      </c>
      <c r="E12" s="32">
        <v>-101042696</v>
      </c>
      <c r="F12" s="32">
        <v>0</v>
      </c>
      <c r="G12" s="32">
        <v>0</v>
      </c>
      <c r="H12" s="32">
        <v>0</v>
      </c>
      <c r="I12" s="32">
        <v>0</v>
      </c>
    </row>
    <row r="13" spans="1:9" x14ac:dyDescent="0.45">
      <c r="A13" s="32" t="s">
        <v>185</v>
      </c>
      <c r="B13" s="32">
        <v>3814542</v>
      </c>
      <c r="C13" s="32">
        <v>14829847803</v>
      </c>
      <c r="D13" s="32">
        <v>18081210555</v>
      </c>
      <c r="E13" s="32">
        <v>-3251362752</v>
      </c>
      <c r="F13" s="32">
        <v>3814542</v>
      </c>
      <c r="G13" s="32">
        <v>14829847803</v>
      </c>
      <c r="H13" s="32">
        <v>15851812812</v>
      </c>
      <c r="I13" s="32">
        <v>-1021965009</v>
      </c>
    </row>
    <row r="14" spans="1:9" x14ac:dyDescent="0.45">
      <c r="A14" s="32" t="s">
        <v>330</v>
      </c>
      <c r="B14" s="32">
        <v>245000</v>
      </c>
      <c r="C14" s="32">
        <v>3388899731</v>
      </c>
      <c r="D14" s="32">
        <v>3539625544</v>
      </c>
      <c r="E14" s="32">
        <v>-150725813</v>
      </c>
      <c r="F14" s="32">
        <v>245000</v>
      </c>
      <c r="G14" s="32">
        <v>3388899731</v>
      </c>
      <c r="H14" s="32">
        <v>2525872898</v>
      </c>
      <c r="I14" s="32">
        <v>863026833</v>
      </c>
    </row>
    <row r="15" spans="1:9" x14ac:dyDescent="0.45">
      <c r="A15" s="32" t="s">
        <v>143</v>
      </c>
      <c r="B15" s="32">
        <v>9524125</v>
      </c>
      <c r="C15" s="32">
        <v>52639304572</v>
      </c>
      <c r="D15" s="32">
        <v>49540811717</v>
      </c>
      <c r="E15" s="32">
        <v>3098492855</v>
      </c>
      <c r="F15" s="32">
        <v>9524125</v>
      </c>
      <c r="G15" s="32">
        <v>52639304572</v>
      </c>
      <c r="H15" s="32">
        <v>49360527511</v>
      </c>
      <c r="I15" s="32">
        <v>3278777061</v>
      </c>
    </row>
    <row r="16" spans="1:9" x14ac:dyDescent="0.45">
      <c r="A16" s="32" t="s">
        <v>149</v>
      </c>
      <c r="B16" s="32">
        <v>3135450</v>
      </c>
      <c r="C16" s="32">
        <v>48068240410</v>
      </c>
      <c r="D16" s="32">
        <v>44054775676</v>
      </c>
      <c r="E16" s="32">
        <v>4013464734</v>
      </c>
      <c r="F16" s="32">
        <v>3135450</v>
      </c>
      <c r="G16" s="32">
        <v>48068240410</v>
      </c>
      <c r="H16" s="32">
        <v>35408904500</v>
      </c>
      <c r="I16" s="32">
        <v>12659335910</v>
      </c>
    </row>
    <row r="17" spans="1:9" x14ac:dyDescent="0.45">
      <c r="A17" s="32" t="s">
        <v>188</v>
      </c>
      <c r="B17" s="32">
        <v>10967693</v>
      </c>
      <c r="C17" s="32">
        <v>30308911962</v>
      </c>
      <c r="D17" s="32">
        <v>31938436332</v>
      </c>
      <c r="E17" s="32">
        <v>-1629524370</v>
      </c>
      <c r="F17" s="32">
        <v>10967693</v>
      </c>
      <c r="G17" s="32">
        <v>30308911962</v>
      </c>
      <c r="H17" s="32">
        <v>17971474878</v>
      </c>
      <c r="I17" s="32">
        <v>12337437084</v>
      </c>
    </row>
    <row r="18" spans="1:9" x14ac:dyDescent="0.45">
      <c r="A18" s="32" t="s">
        <v>144</v>
      </c>
      <c r="B18" s="32">
        <v>12621427</v>
      </c>
      <c r="C18" s="32">
        <v>129621985872</v>
      </c>
      <c r="D18" s="32">
        <v>90966727739</v>
      </c>
      <c r="E18" s="32">
        <v>38655258133</v>
      </c>
      <c r="F18" s="32">
        <v>12621427</v>
      </c>
      <c r="G18" s="32">
        <v>129621985872</v>
      </c>
      <c r="H18" s="32">
        <v>49933893378</v>
      </c>
      <c r="I18" s="32">
        <v>79688092494</v>
      </c>
    </row>
    <row r="19" spans="1:9" x14ac:dyDescent="0.45">
      <c r="A19" s="32" t="s">
        <v>96</v>
      </c>
      <c r="B19" s="32">
        <v>1405609</v>
      </c>
      <c r="C19" s="32">
        <v>40489407940</v>
      </c>
      <c r="D19" s="32">
        <v>38397532576</v>
      </c>
      <c r="E19" s="32">
        <v>2091875364</v>
      </c>
      <c r="F19" s="32">
        <v>1405609</v>
      </c>
      <c r="G19" s="32">
        <v>40489407940</v>
      </c>
      <c r="H19" s="32">
        <v>24324329124</v>
      </c>
      <c r="I19" s="32">
        <v>16165078816</v>
      </c>
    </row>
    <row r="20" spans="1:9" x14ac:dyDescent="0.45">
      <c r="A20" s="32" t="s">
        <v>117</v>
      </c>
      <c r="B20" s="32">
        <v>10003637</v>
      </c>
      <c r="C20" s="32">
        <v>24448498786</v>
      </c>
      <c r="D20" s="32">
        <v>24071299049</v>
      </c>
      <c r="E20" s="32">
        <v>377199737</v>
      </c>
      <c r="F20" s="32">
        <v>10003637</v>
      </c>
      <c r="G20" s="32">
        <v>24448498786</v>
      </c>
      <c r="H20" s="32">
        <v>22314986224</v>
      </c>
      <c r="I20" s="32">
        <v>2133512562</v>
      </c>
    </row>
    <row r="21" spans="1:9" x14ac:dyDescent="0.45">
      <c r="A21" s="32" t="s">
        <v>107</v>
      </c>
      <c r="B21" s="32">
        <v>28071939</v>
      </c>
      <c r="C21" s="32">
        <v>77631725894</v>
      </c>
      <c r="D21" s="32">
        <v>83453408963</v>
      </c>
      <c r="E21" s="32">
        <v>-5821683069</v>
      </c>
      <c r="F21" s="32">
        <v>28071939</v>
      </c>
      <c r="G21" s="32">
        <v>77631725894</v>
      </c>
      <c r="H21" s="32">
        <v>72119721684</v>
      </c>
      <c r="I21" s="32">
        <v>5512004210</v>
      </c>
    </row>
    <row r="22" spans="1:9" x14ac:dyDescent="0.45">
      <c r="A22" s="32" t="s">
        <v>141</v>
      </c>
      <c r="B22" s="32">
        <v>104507736</v>
      </c>
      <c r="C22" s="32">
        <v>52264745165</v>
      </c>
      <c r="D22" s="32">
        <v>60750332616</v>
      </c>
      <c r="E22" s="32">
        <v>-8485587451</v>
      </c>
      <c r="F22" s="32">
        <v>104507736</v>
      </c>
      <c r="G22" s="32">
        <v>52264745165</v>
      </c>
      <c r="H22" s="32">
        <v>55786182083</v>
      </c>
      <c r="I22" s="32">
        <v>-3521436918</v>
      </c>
    </row>
    <row r="23" spans="1:9" x14ac:dyDescent="0.45">
      <c r="A23" s="32" t="s">
        <v>192</v>
      </c>
      <c r="B23" s="32">
        <v>1750000</v>
      </c>
      <c r="C23" s="32">
        <v>7102172525</v>
      </c>
      <c r="D23" s="32">
        <v>4652009827</v>
      </c>
      <c r="E23" s="32">
        <v>2450162698</v>
      </c>
      <c r="F23" s="32">
        <v>1750000</v>
      </c>
      <c r="G23" s="32">
        <v>7102172525</v>
      </c>
      <c r="H23" s="32">
        <v>4554767367</v>
      </c>
      <c r="I23" s="32">
        <v>2547405158</v>
      </c>
    </row>
    <row r="24" spans="1:9" x14ac:dyDescent="0.45">
      <c r="A24" s="32" t="s">
        <v>377</v>
      </c>
      <c r="B24" s="32">
        <v>31353305</v>
      </c>
      <c r="C24" s="32">
        <v>41688664896</v>
      </c>
      <c r="D24" s="32">
        <v>47288634808</v>
      </c>
      <c r="E24" s="32">
        <v>-5599969912</v>
      </c>
      <c r="F24" s="32">
        <v>31353305</v>
      </c>
      <c r="G24" s="32">
        <v>41688664896</v>
      </c>
      <c r="H24" s="32">
        <v>37299697833</v>
      </c>
      <c r="I24" s="32">
        <v>4388967063</v>
      </c>
    </row>
    <row r="25" spans="1:9" x14ac:dyDescent="0.45">
      <c r="A25" s="32" t="s">
        <v>89</v>
      </c>
      <c r="B25" s="32">
        <v>36217996</v>
      </c>
      <c r="C25" s="32">
        <v>18975280310</v>
      </c>
      <c r="D25" s="32">
        <v>23072215832</v>
      </c>
      <c r="E25" s="32">
        <v>-4096935522</v>
      </c>
      <c r="F25" s="32">
        <v>36217996</v>
      </c>
      <c r="G25" s="32">
        <v>18975280310</v>
      </c>
      <c r="H25" s="32">
        <v>13510635983</v>
      </c>
      <c r="I25" s="32">
        <v>5464644327</v>
      </c>
    </row>
    <row r="26" spans="1:9" x14ac:dyDescent="0.45">
      <c r="A26" s="32" t="s">
        <v>159</v>
      </c>
      <c r="B26" s="32">
        <v>6800000</v>
      </c>
      <c r="C26" s="32">
        <v>35558987720</v>
      </c>
      <c r="D26" s="32">
        <v>31004468420</v>
      </c>
      <c r="E26" s="32">
        <v>4554519300</v>
      </c>
      <c r="F26" s="32">
        <v>6800000</v>
      </c>
      <c r="G26" s="32">
        <v>35558987720</v>
      </c>
      <c r="H26" s="32">
        <v>22116613150</v>
      </c>
      <c r="I26" s="32">
        <v>13442374570</v>
      </c>
    </row>
    <row r="27" spans="1:9" x14ac:dyDescent="0.45">
      <c r="A27" s="32" t="s">
        <v>92</v>
      </c>
      <c r="B27" s="32">
        <v>6075143</v>
      </c>
      <c r="C27" s="32">
        <v>15178962640</v>
      </c>
      <c r="D27" s="32">
        <v>19061436830</v>
      </c>
      <c r="E27" s="32">
        <v>-3882474190</v>
      </c>
      <c r="F27" s="32">
        <v>6075143</v>
      </c>
      <c r="G27" s="32">
        <v>15178962640</v>
      </c>
      <c r="H27" s="32">
        <v>11474470080</v>
      </c>
      <c r="I27" s="32">
        <v>3704492560</v>
      </c>
    </row>
    <row r="28" spans="1:9" x14ac:dyDescent="0.45">
      <c r="A28" s="32" t="s">
        <v>368</v>
      </c>
      <c r="B28" s="32">
        <v>62123085</v>
      </c>
      <c r="C28" s="32">
        <v>39513081947</v>
      </c>
      <c r="D28" s="32">
        <v>42841797119</v>
      </c>
      <c r="E28" s="32">
        <v>-3328715172</v>
      </c>
      <c r="F28" s="32">
        <v>62123085</v>
      </c>
      <c r="G28" s="32">
        <v>39513081947</v>
      </c>
      <c r="H28" s="32">
        <v>32105994907</v>
      </c>
      <c r="I28" s="32">
        <v>7407087040</v>
      </c>
    </row>
    <row r="29" spans="1:9" x14ac:dyDescent="0.45">
      <c r="A29" s="32" t="s">
        <v>146</v>
      </c>
      <c r="B29" s="32">
        <v>43696139</v>
      </c>
      <c r="C29" s="32">
        <v>48474655251</v>
      </c>
      <c r="D29" s="32">
        <v>59768295727</v>
      </c>
      <c r="E29" s="32">
        <v>-11293640476</v>
      </c>
      <c r="F29" s="32">
        <v>43696139</v>
      </c>
      <c r="G29" s="32">
        <v>48474655251</v>
      </c>
      <c r="H29" s="32">
        <v>47551887337</v>
      </c>
      <c r="I29" s="32">
        <v>922767914</v>
      </c>
    </row>
    <row r="30" spans="1:9" x14ac:dyDescent="0.45">
      <c r="A30" s="32" t="s">
        <v>110</v>
      </c>
      <c r="B30" s="32">
        <v>14703159</v>
      </c>
      <c r="C30" s="32">
        <v>64777395899</v>
      </c>
      <c r="D30" s="32">
        <v>75847352570</v>
      </c>
      <c r="E30" s="32">
        <v>-11069956671</v>
      </c>
      <c r="F30" s="32">
        <v>14703159</v>
      </c>
      <c r="G30" s="32">
        <v>64777395899</v>
      </c>
      <c r="H30" s="32">
        <v>50260491123</v>
      </c>
      <c r="I30" s="32">
        <v>14516904776</v>
      </c>
    </row>
    <row r="31" spans="1:9" x14ac:dyDescent="0.45">
      <c r="A31" s="32" t="s">
        <v>95</v>
      </c>
      <c r="B31" s="32">
        <v>16845192</v>
      </c>
      <c r="C31" s="32">
        <v>26041936761</v>
      </c>
      <c r="D31" s="32">
        <v>31273725084</v>
      </c>
      <c r="E31" s="32">
        <v>-5231788323</v>
      </c>
      <c r="F31" s="32">
        <v>16845192</v>
      </c>
      <c r="G31" s="32">
        <v>26041936761</v>
      </c>
      <c r="H31" s="32">
        <v>27049394994</v>
      </c>
      <c r="I31" s="32">
        <v>-1007458233</v>
      </c>
    </row>
    <row r="32" spans="1:9" x14ac:dyDescent="0.45">
      <c r="A32" s="32" t="s">
        <v>195</v>
      </c>
      <c r="B32" s="32">
        <v>10526015</v>
      </c>
      <c r="C32" s="32">
        <v>26947194172</v>
      </c>
      <c r="D32" s="32">
        <v>27508596664</v>
      </c>
      <c r="E32" s="32">
        <v>-561402492</v>
      </c>
      <c r="F32" s="32">
        <v>10526015</v>
      </c>
      <c r="G32" s="32">
        <v>26947194172</v>
      </c>
      <c r="H32" s="32">
        <v>17537872757</v>
      </c>
      <c r="I32" s="32">
        <v>9409321415</v>
      </c>
    </row>
    <row r="33" spans="1:9" x14ac:dyDescent="0.45">
      <c r="A33" s="32" t="s">
        <v>132</v>
      </c>
      <c r="B33" s="32">
        <v>16851248</v>
      </c>
      <c r="C33" s="32">
        <v>31769876921</v>
      </c>
      <c r="D33" s="32">
        <v>36435294642</v>
      </c>
      <c r="E33" s="32">
        <v>-4665417721</v>
      </c>
      <c r="F33" s="32">
        <v>16851248</v>
      </c>
      <c r="G33" s="32">
        <v>31769876921</v>
      </c>
      <c r="H33" s="32">
        <v>33034557028</v>
      </c>
      <c r="I33" s="32">
        <v>-1264680107</v>
      </c>
    </row>
    <row r="34" spans="1:9" x14ac:dyDescent="0.45">
      <c r="A34" s="32" t="s">
        <v>196</v>
      </c>
      <c r="B34" s="32">
        <v>2875000</v>
      </c>
      <c r="C34" s="32">
        <v>6161996700</v>
      </c>
      <c r="D34" s="32">
        <v>5491594281</v>
      </c>
      <c r="E34" s="32">
        <v>670402419</v>
      </c>
      <c r="F34" s="32">
        <v>2875000</v>
      </c>
      <c r="G34" s="32">
        <v>6161996700</v>
      </c>
      <c r="H34" s="32">
        <v>5668466409</v>
      </c>
      <c r="I34" s="32">
        <v>493530291</v>
      </c>
    </row>
    <row r="35" spans="1:9" x14ac:dyDescent="0.45">
      <c r="A35" s="32" t="s">
        <v>378</v>
      </c>
      <c r="B35" s="32">
        <v>6000000</v>
      </c>
      <c r="C35" s="32">
        <v>74420250000</v>
      </c>
      <c r="D35" s="32">
        <v>73229526000</v>
      </c>
      <c r="E35" s="32">
        <v>1190724000</v>
      </c>
      <c r="F35" s="32">
        <v>6000000</v>
      </c>
      <c r="G35" s="32">
        <v>74420250000</v>
      </c>
      <c r="H35" s="32">
        <v>72340764580</v>
      </c>
      <c r="I35" s="32">
        <v>2079485420</v>
      </c>
    </row>
    <row r="36" spans="1:9" x14ac:dyDescent="0.45">
      <c r="A36" s="32" t="s">
        <v>84</v>
      </c>
      <c r="B36" s="32">
        <v>17463245</v>
      </c>
      <c r="C36" s="32">
        <v>21833600186</v>
      </c>
      <c r="D36" s="32">
        <v>24900701165</v>
      </c>
      <c r="E36" s="32">
        <v>-3067100979</v>
      </c>
      <c r="F36" s="32">
        <v>17463245</v>
      </c>
      <c r="G36" s="32">
        <v>21833600186</v>
      </c>
      <c r="H36" s="32">
        <v>22370532470</v>
      </c>
      <c r="I36" s="32">
        <v>-536932284</v>
      </c>
    </row>
    <row r="37" spans="1:9" x14ac:dyDescent="0.45">
      <c r="A37" s="32" t="s">
        <v>199</v>
      </c>
      <c r="B37" s="32">
        <v>4793305</v>
      </c>
      <c r="C37" s="32">
        <v>13222382652</v>
      </c>
      <c r="D37" s="32">
        <v>13117745091</v>
      </c>
      <c r="E37" s="32">
        <v>104637561</v>
      </c>
      <c r="F37" s="32">
        <v>4793305</v>
      </c>
      <c r="G37" s="32">
        <v>13222382652</v>
      </c>
      <c r="H37" s="32">
        <v>11482759130</v>
      </c>
      <c r="I37" s="32">
        <v>1739623522</v>
      </c>
    </row>
    <row r="38" spans="1:9" x14ac:dyDescent="0.45">
      <c r="A38" s="32" t="s">
        <v>164</v>
      </c>
      <c r="B38" s="32">
        <v>18617878</v>
      </c>
      <c r="C38" s="32">
        <v>32865178048</v>
      </c>
      <c r="D38" s="32">
        <v>29780026427</v>
      </c>
      <c r="E38" s="32">
        <v>3085151621</v>
      </c>
      <c r="F38" s="32">
        <v>18617878</v>
      </c>
      <c r="G38" s="32">
        <v>32865178048</v>
      </c>
      <c r="H38" s="32">
        <v>30332510437</v>
      </c>
      <c r="I38" s="32">
        <v>2532667611</v>
      </c>
    </row>
    <row r="39" spans="1:9" x14ac:dyDescent="0.45">
      <c r="A39" s="32" t="s">
        <v>105</v>
      </c>
      <c r="B39" s="32">
        <v>13092011</v>
      </c>
      <c r="C39" s="32">
        <v>30385504017</v>
      </c>
      <c r="D39" s="32">
        <v>34385319213</v>
      </c>
      <c r="E39" s="32">
        <v>-3999815196</v>
      </c>
      <c r="F39" s="32">
        <v>13092011</v>
      </c>
      <c r="G39" s="32">
        <v>30385504017</v>
      </c>
      <c r="H39" s="32">
        <v>31292269960</v>
      </c>
      <c r="I39" s="32">
        <v>-906765943</v>
      </c>
    </row>
    <row r="40" spans="1:9" x14ac:dyDescent="0.45">
      <c r="A40" s="32" t="s">
        <v>135</v>
      </c>
      <c r="B40" s="32">
        <v>5838695</v>
      </c>
      <c r="C40" s="32">
        <v>42988229206</v>
      </c>
      <c r="D40" s="32">
        <v>46174688245</v>
      </c>
      <c r="E40" s="32">
        <v>-3186459039</v>
      </c>
      <c r="F40" s="32">
        <v>5838695</v>
      </c>
      <c r="G40" s="32">
        <v>42988229206</v>
      </c>
      <c r="H40" s="32">
        <v>36325353077</v>
      </c>
      <c r="I40" s="32">
        <v>6662876129</v>
      </c>
    </row>
    <row r="41" spans="1:9" x14ac:dyDescent="0.45">
      <c r="A41" s="32" t="s">
        <v>153</v>
      </c>
      <c r="B41" s="32">
        <v>9216183</v>
      </c>
      <c r="C41" s="32">
        <v>76268815491</v>
      </c>
      <c r="D41" s="32">
        <v>52289184375</v>
      </c>
      <c r="E41" s="32">
        <v>23979631116</v>
      </c>
      <c r="F41" s="32">
        <v>9216183</v>
      </c>
      <c r="G41" s="32">
        <v>76268815491</v>
      </c>
      <c r="H41" s="32">
        <v>45004483379</v>
      </c>
      <c r="I41" s="32">
        <v>31264332112</v>
      </c>
    </row>
    <row r="42" spans="1:9" x14ac:dyDescent="0.45">
      <c r="A42" s="32" t="s">
        <v>203</v>
      </c>
      <c r="B42" s="32">
        <v>14328056</v>
      </c>
      <c r="C42" s="32">
        <v>32984136295</v>
      </c>
      <c r="D42" s="32">
        <v>36296767225</v>
      </c>
      <c r="E42" s="32">
        <v>-3312630930</v>
      </c>
      <c r="F42" s="32">
        <v>14328056</v>
      </c>
      <c r="G42" s="32">
        <v>32984136295</v>
      </c>
      <c r="H42" s="32">
        <v>30805454679</v>
      </c>
      <c r="I42" s="32">
        <v>2178681616</v>
      </c>
    </row>
    <row r="43" spans="1:9" x14ac:dyDescent="0.45">
      <c r="A43" s="32" t="s">
        <v>204</v>
      </c>
      <c r="B43" s="32">
        <v>13400000</v>
      </c>
      <c r="C43" s="32">
        <v>71800657200</v>
      </c>
      <c r="D43" s="32">
        <v>51005059448</v>
      </c>
      <c r="E43" s="32">
        <v>20795597752</v>
      </c>
      <c r="F43" s="32">
        <v>13400000</v>
      </c>
      <c r="G43" s="32">
        <v>71800657200</v>
      </c>
      <c r="H43" s="32">
        <v>30417550331</v>
      </c>
      <c r="I43" s="32">
        <v>41383106869</v>
      </c>
    </row>
    <row r="44" spans="1:9" x14ac:dyDescent="0.45">
      <c r="A44" s="32" t="s">
        <v>205</v>
      </c>
      <c r="B44" s="32">
        <v>8157161</v>
      </c>
      <c r="C44" s="32">
        <v>67585786315</v>
      </c>
      <c r="D44" s="32">
        <v>42583092431</v>
      </c>
      <c r="E44" s="32">
        <v>25002693884</v>
      </c>
      <c r="F44" s="32">
        <v>8157161</v>
      </c>
      <c r="G44" s="32">
        <v>67585786315</v>
      </c>
      <c r="H44" s="32">
        <v>32692028428</v>
      </c>
      <c r="I44" s="32">
        <v>34893757887</v>
      </c>
    </row>
    <row r="45" spans="1:9" x14ac:dyDescent="0.45">
      <c r="A45" s="32" t="s">
        <v>374</v>
      </c>
      <c r="B45" s="32">
        <v>842177</v>
      </c>
      <c r="C45" s="32">
        <v>2916477732</v>
      </c>
      <c r="D45" s="32">
        <v>3084446793</v>
      </c>
      <c r="E45" s="32">
        <v>-167969061</v>
      </c>
      <c r="F45" s="32">
        <v>842177</v>
      </c>
      <c r="G45" s="32">
        <v>2916477732</v>
      </c>
      <c r="H45" s="32">
        <v>2619815957</v>
      </c>
      <c r="I45" s="32">
        <v>296661775</v>
      </c>
    </row>
    <row r="46" spans="1:9" x14ac:dyDescent="0.45">
      <c r="A46" s="32" t="s">
        <v>207</v>
      </c>
      <c r="B46" s="32">
        <v>285750</v>
      </c>
      <c r="C46" s="32">
        <v>14792341926</v>
      </c>
      <c r="D46" s="32">
        <v>15878304540</v>
      </c>
      <c r="E46" s="32">
        <v>-1085962614</v>
      </c>
      <c r="F46" s="32">
        <v>285750</v>
      </c>
      <c r="G46" s="32">
        <v>14792341926</v>
      </c>
      <c r="H46" s="32">
        <v>14956795794</v>
      </c>
      <c r="I46" s="32">
        <v>-164453868</v>
      </c>
    </row>
    <row r="47" spans="1:9" x14ac:dyDescent="0.45">
      <c r="A47" s="32" t="s">
        <v>209</v>
      </c>
      <c r="B47" s="32">
        <v>11678863</v>
      </c>
      <c r="C47" s="32">
        <v>16421025496</v>
      </c>
      <c r="D47" s="32">
        <v>16780271643</v>
      </c>
      <c r="E47" s="32">
        <v>-359246147</v>
      </c>
      <c r="F47" s="32">
        <v>11678863</v>
      </c>
      <c r="G47" s="32">
        <v>16421025496</v>
      </c>
      <c r="H47" s="32">
        <v>15018923425</v>
      </c>
      <c r="I47" s="32">
        <v>1402102071</v>
      </c>
    </row>
    <row r="48" spans="1:9" x14ac:dyDescent="0.45">
      <c r="A48" s="32" t="s">
        <v>210</v>
      </c>
      <c r="B48" s="32">
        <v>4235616</v>
      </c>
      <c r="C48" s="32">
        <v>25217248130</v>
      </c>
      <c r="D48" s="32">
        <v>30849100212</v>
      </c>
      <c r="E48" s="32">
        <v>-5631852082</v>
      </c>
      <c r="F48" s="32">
        <v>4235616</v>
      </c>
      <c r="G48" s="32">
        <v>25217248130</v>
      </c>
      <c r="H48" s="32">
        <v>26831978138</v>
      </c>
      <c r="I48" s="32">
        <v>-1614730008</v>
      </c>
    </row>
    <row r="49" spans="1:9" x14ac:dyDescent="0.45">
      <c r="A49" s="32" t="s">
        <v>212</v>
      </c>
      <c r="B49" s="32">
        <v>250000</v>
      </c>
      <c r="C49" s="32">
        <v>2465790950</v>
      </c>
      <c r="D49" s="32">
        <v>1709185075</v>
      </c>
      <c r="E49" s="32">
        <v>756605875</v>
      </c>
      <c r="F49" s="32">
        <v>250000</v>
      </c>
      <c r="G49" s="32">
        <v>2465790950</v>
      </c>
      <c r="H49" s="32">
        <v>1200646700</v>
      </c>
      <c r="I49" s="32">
        <v>1265144250</v>
      </c>
    </row>
    <row r="50" spans="1:9" x14ac:dyDescent="0.45">
      <c r="A50" s="32" t="s">
        <v>214</v>
      </c>
      <c r="B50" s="32">
        <v>11060139</v>
      </c>
      <c r="C50" s="32">
        <v>50373616536</v>
      </c>
      <c r="D50" s="32">
        <v>55970685040</v>
      </c>
      <c r="E50" s="32">
        <v>-5597068504</v>
      </c>
      <c r="F50" s="32">
        <v>11060139</v>
      </c>
      <c r="G50" s="32">
        <v>50373616536</v>
      </c>
      <c r="H50" s="32">
        <v>54429826563</v>
      </c>
      <c r="I50" s="32">
        <v>-4056210027</v>
      </c>
    </row>
    <row r="51" spans="1:9" x14ac:dyDescent="0.45">
      <c r="A51" s="32" t="s">
        <v>114</v>
      </c>
      <c r="B51" s="32">
        <v>159400</v>
      </c>
      <c r="C51" s="32">
        <v>24231312782</v>
      </c>
      <c r="D51" s="32">
        <v>30219106560</v>
      </c>
      <c r="E51" s="32">
        <v>-5987793778</v>
      </c>
      <c r="F51" s="32">
        <v>159400</v>
      </c>
      <c r="G51" s="32">
        <v>24231312782</v>
      </c>
      <c r="H51" s="32">
        <v>19976597939</v>
      </c>
      <c r="I51" s="32">
        <v>4254714843</v>
      </c>
    </row>
    <row r="52" spans="1:9" x14ac:dyDescent="0.45">
      <c r="A52" s="32" t="s">
        <v>148</v>
      </c>
      <c r="B52" s="32">
        <v>3535701</v>
      </c>
      <c r="C52" s="32">
        <v>29259806061</v>
      </c>
      <c r="D52" s="32">
        <v>40942678265</v>
      </c>
      <c r="E52" s="32">
        <v>-11682872204</v>
      </c>
      <c r="F52" s="32">
        <v>3535701</v>
      </c>
      <c r="G52" s="32">
        <v>29259806061</v>
      </c>
      <c r="H52" s="32">
        <v>35508213086</v>
      </c>
      <c r="I52" s="32">
        <v>-6248407025</v>
      </c>
    </row>
    <row r="53" spans="1:9" x14ac:dyDescent="0.45">
      <c r="A53" s="32" t="s">
        <v>128</v>
      </c>
      <c r="B53" s="32">
        <v>6983236</v>
      </c>
      <c r="C53" s="32">
        <v>39912512174</v>
      </c>
      <c r="D53" s="32">
        <v>47273052759</v>
      </c>
      <c r="E53" s="32">
        <v>-7360540585</v>
      </c>
      <c r="F53" s="32">
        <v>6983236</v>
      </c>
      <c r="G53" s="32">
        <v>39912512174</v>
      </c>
      <c r="H53" s="32">
        <v>40167044880</v>
      </c>
      <c r="I53" s="32">
        <v>-254532706</v>
      </c>
    </row>
    <row r="54" spans="1:9" x14ac:dyDescent="0.45">
      <c r="A54" s="32" t="s">
        <v>123</v>
      </c>
      <c r="B54" s="32">
        <v>12960615</v>
      </c>
      <c r="C54" s="32">
        <v>28074317481</v>
      </c>
      <c r="D54" s="32">
        <v>25399348156</v>
      </c>
      <c r="E54" s="32">
        <v>2674969325</v>
      </c>
      <c r="F54" s="32">
        <v>12960615</v>
      </c>
      <c r="G54" s="32">
        <v>28074317481</v>
      </c>
      <c r="H54" s="32">
        <v>23372761437</v>
      </c>
      <c r="I54" s="32">
        <v>4701556044</v>
      </c>
    </row>
    <row r="55" spans="1:9" x14ac:dyDescent="0.45">
      <c r="A55" s="32" t="s">
        <v>157</v>
      </c>
      <c r="B55" s="32">
        <v>13327841</v>
      </c>
      <c r="C55" s="32">
        <v>30959296103</v>
      </c>
      <c r="D55" s="32">
        <v>35311511244</v>
      </c>
      <c r="E55" s="32">
        <v>-4352215141</v>
      </c>
      <c r="F55" s="32">
        <v>13327841</v>
      </c>
      <c r="G55" s="32">
        <v>30959296103</v>
      </c>
      <c r="H55" s="32">
        <v>19379646665</v>
      </c>
      <c r="I55" s="32">
        <v>11579649438</v>
      </c>
    </row>
    <row r="56" spans="1:9" x14ac:dyDescent="0.45">
      <c r="A56" s="32" t="s">
        <v>125</v>
      </c>
      <c r="B56" s="32">
        <v>12441112</v>
      </c>
      <c r="C56" s="32">
        <v>52836352634</v>
      </c>
      <c r="D56" s="32">
        <v>60906106089</v>
      </c>
      <c r="E56" s="32">
        <v>-8069753455</v>
      </c>
      <c r="F56" s="32">
        <v>12441112</v>
      </c>
      <c r="G56" s="32">
        <v>52836352634</v>
      </c>
      <c r="H56" s="32">
        <v>46537731045</v>
      </c>
      <c r="I56" s="32">
        <v>6298621589</v>
      </c>
    </row>
    <row r="57" spans="1:9" x14ac:dyDescent="0.45">
      <c r="A57" s="32" t="s">
        <v>323</v>
      </c>
      <c r="B57" s="32">
        <v>4607801</v>
      </c>
      <c r="C57" s="32">
        <v>71326050093</v>
      </c>
      <c r="D57" s="32">
        <v>61450135465</v>
      </c>
      <c r="E57" s="32">
        <v>9875914628</v>
      </c>
      <c r="F57" s="32">
        <v>4607801</v>
      </c>
      <c r="G57" s="32">
        <v>71326050093</v>
      </c>
      <c r="H57" s="32">
        <v>35205806777</v>
      </c>
      <c r="I57" s="32">
        <v>36120243316</v>
      </c>
    </row>
    <row r="58" spans="1:9" x14ac:dyDescent="0.45">
      <c r="A58" s="32" t="s">
        <v>82</v>
      </c>
      <c r="B58" s="32">
        <v>14006369</v>
      </c>
      <c r="C58" s="32">
        <v>36093365097</v>
      </c>
      <c r="D58" s="32">
        <v>34087716753</v>
      </c>
      <c r="E58" s="32">
        <v>2005648344</v>
      </c>
      <c r="F58" s="32">
        <v>14006369</v>
      </c>
      <c r="G58" s="32">
        <v>36093365097</v>
      </c>
      <c r="H58" s="32">
        <v>25162333119</v>
      </c>
      <c r="I58" s="32">
        <v>10931031978</v>
      </c>
    </row>
    <row r="59" spans="1:9" x14ac:dyDescent="0.45">
      <c r="A59" s="32" t="s">
        <v>87</v>
      </c>
      <c r="B59" s="32">
        <v>1620533</v>
      </c>
      <c r="C59" s="32">
        <v>62664004728</v>
      </c>
      <c r="D59" s="32">
        <v>57484292751</v>
      </c>
      <c r="E59" s="32">
        <v>5179711977</v>
      </c>
      <c r="F59" s="32">
        <v>1620533</v>
      </c>
      <c r="G59" s="32">
        <v>62664004728</v>
      </c>
      <c r="H59" s="32">
        <v>47516035703</v>
      </c>
      <c r="I59" s="32">
        <v>15147969025</v>
      </c>
    </row>
    <row r="60" spans="1:9" x14ac:dyDescent="0.45">
      <c r="A60" s="32" t="s">
        <v>162</v>
      </c>
      <c r="B60" s="32">
        <v>15261008</v>
      </c>
      <c r="C60" s="32">
        <v>54060654257</v>
      </c>
      <c r="D60" s="32">
        <v>60531167562</v>
      </c>
      <c r="E60" s="32">
        <v>-6470513305</v>
      </c>
      <c r="F60" s="32">
        <v>15261008</v>
      </c>
      <c r="G60" s="32">
        <v>54060654257</v>
      </c>
      <c r="H60" s="32">
        <v>51513564328</v>
      </c>
      <c r="I60" s="32">
        <v>2547089929</v>
      </c>
    </row>
    <row r="61" spans="1:9" x14ac:dyDescent="0.45">
      <c r="A61" s="32" t="s">
        <v>173</v>
      </c>
      <c r="B61" s="32">
        <v>1590025</v>
      </c>
      <c r="C61" s="32">
        <v>67574351792</v>
      </c>
      <c r="D61" s="32">
        <v>62964597306</v>
      </c>
      <c r="E61" s="32">
        <v>4609754486</v>
      </c>
      <c r="F61" s="32">
        <v>1590025</v>
      </c>
      <c r="G61" s="32">
        <v>67574351792</v>
      </c>
      <c r="H61" s="32">
        <v>46524959410</v>
      </c>
      <c r="I61" s="32">
        <v>21049392382</v>
      </c>
    </row>
    <row r="62" spans="1:9" x14ac:dyDescent="0.45">
      <c r="A62" s="32" t="s">
        <v>337</v>
      </c>
      <c r="B62" s="32">
        <v>700000</v>
      </c>
      <c r="C62" s="32">
        <v>40438971580</v>
      </c>
      <c r="D62" s="32">
        <v>26533299800</v>
      </c>
      <c r="E62" s="32">
        <v>13905671780</v>
      </c>
      <c r="F62" s="32">
        <v>700000</v>
      </c>
      <c r="G62" s="32">
        <v>40438971580</v>
      </c>
      <c r="H62" s="32">
        <v>26810722731</v>
      </c>
      <c r="I62" s="32">
        <v>13628248849</v>
      </c>
    </row>
    <row r="63" spans="1:9" x14ac:dyDescent="0.45">
      <c r="A63" s="32" t="s">
        <v>156</v>
      </c>
      <c r="B63" s="32">
        <v>3496837</v>
      </c>
      <c r="C63" s="32">
        <v>23074212892</v>
      </c>
      <c r="D63" s="32">
        <v>34724215694</v>
      </c>
      <c r="E63" s="32">
        <v>-11650002802</v>
      </c>
      <c r="F63" s="32">
        <v>3496837</v>
      </c>
      <c r="G63" s="32">
        <v>23074212892</v>
      </c>
      <c r="H63" s="32">
        <v>20210334855</v>
      </c>
      <c r="I63" s="32">
        <v>2863878037</v>
      </c>
    </row>
    <row r="64" spans="1:9" x14ac:dyDescent="0.45">
      <c r="A64" s="32" t="s">
        <v>221</v>
      </c>
      <c r="B64" s="32">
        <v>4929408</v>
      </c>
      <c r="C64" s="32">
        <v>59722817886</v>
      </c>
      <c r="D64" s="32">
        <v>54733688136</v>
      </c>
      <c r="E64" s="32">
        <v>4989129750</v>
      </c>
      <c r="F64" s="32">
        <v>4929408</v>
      </c>
      <c r="G64" s="32">
        <v>59722817886</v>
      </c>
      <c r="H64" s="32">
        <v>30277169755</v>
      </c>
      <c r="I64" s="32">
        <v>29445648131</v>
      </c>
    </row>
    <row r="65" spans="1:9" x14ac:dyDescent="0.45">
      <c r="A65" s="32" t="s">
        <v>81</v>
      </c>
      <c r="B65" s="32">
        <v>2550076</v>
      </c>
      <c r="C65" s="32">
        <v>56604240723</v>
      </c>
      <c r="D65" s="32">
        <v>38049068243</v>
      </c>
      <c r="E65" s="32">
        <v>18555172480</v>
      </c>
      <c r="F65" s="32">
        <v>2550076</v>
      </c>
      <c r="G65" s="32">
        <v>56604240723</v>
      </c>
      <c r="H65" s="32">
        <v>20815899202</v>
      </c>
      <c r="I65" s="32">
        <v>35788341521</v>
      </c>
    </row>
    <row r="66" spans="1:9" x14ac:dyDescent="0.45">
      <c r="A66" s="32" t="s">
        <v>138</v>
      </c>
      <c r="B66" s="32">
        <v>4549593</v>
      </c>
      <c r="C66" s="32">
        <v>53631364796</v>
      </c>
      <c r="D66" s="32">
        <v>53622150332</v>
      </c>
      <c r="E66" s="32">
        <v>9214464</v>
      </c>
      <c r="F66" s="32">
        <v>4549593</v>
      </c>
      <c r="G66" s="32">
        <v>53631364796</v>
      </c>
      <c r="H66" s="32">
        <v>47408471194</v>
      </c>
      <c r="I66" s="32">
        <v>6222893602</v>
      </c>
    </row>
    <row r="67" spans="1:9" x14ac:dyDescent="0.45">
      <c r="A67" s="32" t="s">
        <v>222</v>
      </c>
      <c r="B67" s="32">
        <v>3833693</v>
      </c>
      <c r="C67" s="32">
        <v>74103060615</v>
      </c>
      <c r="D67" s="32">
        <v>62805006712</v>
      </c>
      <c r="E67" s="32">
        <v>11298053903</v>
      </c>
      <c r="F67" s="32">
        <v>3833693</v>
      </c>
      <c r="G67" s="32">
        <v>74103060615</v>
      </c>
      <c r="H67" s="32">
        <v>58714484959</v>
      </c>
      <c r="I67" s="32">
        <v>15388575656</v>
      </c>
    </row>
    <row r="68" spans="1:9" x14ac:dyDescent="0.45">
      <c r="A68" s="32" t="s">
        <v>223</v>
      </c>
      <c r="B68" s="32">
        <v>16854222</v>
      </c>
      <c r="C68" s="32">
        <v>40806410828</v>
      </c>
      <c r="D68" s="32">
        <v>28246732741</v>
      </c>
      <c r="E68" s="32">
        <v>12559678087</v>
      </c>
      <c r="F68" s="32">
        <v>16854222</v>
      </c>
      <c r="G68" s="32">
        <v>40806410828</v>
      </c>
      <c r="H68" s="32">
        <v>24333331047</v>
      </c>
      <c r="I68" s="32">
        <v>16473079781</v>
      </c>
    </row>
    <row r="69" spans="1:9" x14ac:dyDescent="0.45">
      <c r="A69" s="32" t="s">
        <v>109</v>
      </c>
      <c r="B69" s="32">
        <v>8000000</v>
      </c>
      <c r="C69" s="32">
        <v>46517617600</v>
      </c>
      <c r="D69" s="32">
        <v>52788764000</v>
      </c>
      <c r="E69" s="32">
        <v>-6271146400</v>
      </c>
      <c r="F69" s="32">
        <v>8000000</v>
      </c>
      <c r="G69" s="32">
        <v>46517617600</v>
      </c>
      <c r="H69" s="32">
        <v>50375704520</v>
      </c>
      <c r="I69" s="32">
        <v>-3858086920</v>
      </c>
    </row>
    <row r="70" spans="1:9" x14ac:dyDescent="0.45">
      <c r="A70" s="32" t="s">
        <v>332</v>
      </c>
      <c r="B70" s="32">
        <v>1725246</v>
      </c>
      <c r="C70" s="32">
        <v>25644409529</v>
      </c>
      <c r="D70" s="32">
        <v>29170943817</v>
      </c>
      <c r="E70" s="32">
        <v>-3526534288</v>
      </c>
      <c r="F70" s="32">
        <v>1725246</v>
      </c>
      <c r="G70" s="32">
        <v>25644409529</v>
      </c>
      <c r="H70" s="32">
        <v>22325982560</v>
      </c>
      <c r="I70" s="32">
        <v>3318426969</v>
      </c>
    </row>
    <row r="71" spans="1:9" x14ac:dyDescent="0.45">
      <c r="A71" s="32" t="s">
        <v>119</v>
      </c>
      <c r="B71" s="32">
        <v>29820136</v>
      </c>
      <c r="C71" s="32">
        <v>66783786669</v>
      </c>
      <c r="D71" s="32">
        <v>64702459604</v>
      </c>
      <c r="E71" s="32">
        <v>2081327065</v>
      </c>
      <c r="F71" s="32">
        <v>29820136</v>
      </c>
      <c r="G71" s="32">
        <v>66783786669</v>
      </c>
      <c r="H71" s="32">
        <v>46773175080</v>
      </c>
      <c r="I71" s="32">
        <v>20010611589</v>
      </c>
    </row>
    <row r="72" spans="1:9" x14ac:dyDescent="0.45">
      <c r="A72" s="32" t="s">
        <v>126</v>
      </c>
      <c r="B72" s="32">
        <v>15378584</v>
      </c>
      <c r="C72" s="32">
        <v>22187614771</v>
      </c>
      <c r="D72" s="32">
        <v>25238739480</v>
      </c>
      <c r="E72" s="32">
        <v>-3051124709</v>
      </c>
      <c r="F72" s="32">
        <v>15378584</v>
      </c>
      <c r="G72" s="32">
        <v>22187614771</v>
      </c>
      <c r="H72" s="32">
        <v>19209226629</v>
      </c>
      <c r="I72" s="32">
        <v>2978388142</v>
      </c>
    </row>
    <row r="73" spans="1:9" x14ac:dyDescent="0.45">
      <c r="A73" s="32" t="s">
        <v>352</v>
      </c>
      <c r="B73" s="32">
        <v>10369674</v>
      </c>
      <c r="C73" s="32">
        <v>49183888488</v>
      </c>
      <c r="D73" s="32">
        <v>51447582100</v>
      </c>
      <c r="E73" s="32">
        <v>-2263693612</v>
      </c>
      <c r="F73" s="32">
        <v>10369674</v>
      </c>
      <c r="G73" s="32">
        <v>49183888488</v>
      </c>
      <c r="H73" s="32">
        <v>33460639487</v>
      </c>
      <c r="I73" s="32">
        <v>15723249001</v>
      </c>
    </row>
    <row r="74" spans="1:9" x14ac:dyDescent="0.45">
      <c r="A74" s="32" t="s">
        <v>224</v>
      </c>
      <c r="B74" s="32">
        <v>562500</v>
      </c>
      <c r="C74" s="32">
        <v>4113579319</v>
      </c>
      <c r="D74" s="32">
        <v>4950807131</v>
      </c>
      <c r="E74" s="32">
        <v>-837227812</v>
      </c>
      <c r="F74" s="32">
        <v>562500</v>
      </c>
      <c r="G74" s="32">
        <v>4113579319</v>
      </c>
      <c r="H74" s="32">
        <v>4632660562</v>
      </c>
      <c r="I74" s="32">
        <v>-519081243</v>
      </c>
    </row>
    <row r="75" spans="1:9" x14ac:dyDescent="0.45">
      <c r="A75" s="32" t="s">
        <v>226</v>
      </c>
      <c r="B75" s="32">
        <v>4773870</v>
      </c>
      <c r="C75" s="32">
        <v>36332544444</v>
      </c>
      <c r="D75" s="32">
        <v>37943113559</v>
      </c>
      <c r="E75" s="32">
        <v>-1610569115</v>
      </c>
      <c r="F75" s="32">
        <v>4773870</v>
      </c>
      <c r="G75" s="32">
        <v>36332544444</v>
      </c>
      <c r="H75" s="32">
        <v>25693378573</v>
      </c>
      <c r="I75" s="32">
        <v>10639165871</v>
      </c>
    </row>
    <row r="76" spans="1:9" x14ac:dyDescent="0.45">
      <c r="A76" s="32" t="s">
        <v>122</v>
      </c>
      <c r="B76" s="32">
        <v>115200000</v>
      </c>
      <c r="C76" s="32">
        <v>54297014400</v>
      </c>
      <c r="D76" s="32">
        <v>65156417280</v>
      </c>
      <c r="E76" s="32">
        <v>-10859402880</v>
      </c>
      <c r="F76" s="32">
        <v>115200000</v>
      </c>
      <c r="G76" s="32">
        <v>54297014400</v>
      </c>
      <c r="H76" s="32">
        <v>63891521525</v>
      </c>
      <c r="I76" s="32">
        <v>-9594507125</v>
      </c>
    </row>
    <row r="77" spans="1:9" x14ac:dyDescent="0.45">
      <c r="A77" s="32" t="s">
        <v>227</v>
      </c>
      <c r="B77" s="32">
        <v>11440020</v>
      </c>
      <c r="C77" s="32">
        <v>83207144771</v>
      </c>
      <c r="D77" s="32">
        <v>54646547739</v>
      </c>
      <c r="E77" s="32">
        <v>28560597032</v>
      </c>
      <c r="F77" s="32">
        <v>11440020</v>
      </c>
      <c r="G77" s="32">
        <v>83207144771</v>
      </c>
      <c r="H77" s="32">
        <v>33736921454</v>
      </c>
      <c r="I77" s="32">
        <v>49470223317</v>
      </c>
    </row>
    <row r="78" spans="1:9" x14ac:dyDescent="0.45">
      <c r="A78" s="32" t="s">
        <v>229</v>
      </c>
      <c r="B78" s="32">
        <v>6400000</v>
      </c>
      <c r="C78" s="32">
        <v>19813647360</v>
      </c>
      <c r="D78" s="32">
        <v>20455050688</v>
      </c>
      <c r="E78" s="32">
        <v>-641403328</v>
      </c>
      <c r="F78" s="32">
        <v>6400000</v>
      </c>
      <c r="G78" s="32">
        <v>19813647360</v>
      </c>
      <c r="H78" s="32">
        <v>21015837329</v>
      </c>
      <c r="I78" s="32">
        <v>-1202189969</v>
      </c>
    </row>
    <row r="79" spans="1:9" x14ac:dyDescent="0.45">
      <c r="A79" s="32" t="s">
        <v>90</v>
      </c>
      <c r="B79" s="32">
        <v>9640317</v>
      </c>
      <c r="C79" s="32">
        <v>46872407013</v>
      </c>
      <c r="D79" s="32">
        <v>60941144668</v>
      </c>
      <c r="E79" s="32">
        <v>-14068737655</v>
      </c>
      <c r="F79" s="32">
        <v>9640317</v>
      </c>
      <c r="G79" s="32">
        <v>46872407013</v>
      </c>
      <c r="H79" s="32">
        <v>55745495779</v>
      </c>
      <c r="I79" s="32">
        <v>-8873088766</v>
      </c>
    </row>
    <row r="80" spans="1:9" x14ac:dyDescent="0.45">
      <c r="A80" s="32" t="s">
        <v>155</v>
      </c>
      <c r="B80" s="32">
        <v>26645457</v>
      </c>
      <c r="C80" s="32">
        <v>57585204031</v>
      </c>
      <c r="D80" s="32">
        <v>59808752450</v>
      </c>
      <c r="E80" s="32">
        <v>-2223548419</v>
      </c>
      <c r="F80" s="32">
        <v>26645457</v>
      </c>
      <c r="G80" s="32">
        <v>57585204031</v>
      </c>
      <c r="H80" s="32">
        <v>48997718352</v>
      </c>
      <c r="I80" s="32">
        <v>8587485679</v>
      </c>
    </row>
    <row r="81" spans="1:9" x14ac:dyDescent="0.45">
      <c r="A81" s="32" t="s">
        <v>308</v>
      </c>
      <c r="B81" s="32">
        <v>8380920</v>
      </c>
      <c r="C81" s="32">
        <v>35759382600</v>
      </c>
      <c r="D81" s="32">
        <v>42245968281</v>
      </c>
      <c r="E81" s="32">
        <v>-6486585681</v>
      </c>
      <c r="F81" s="32">
        <v>8380920</v>
      </c>
      <c r="G81" s="32">
        <v>35759382600</v>
      </c>
      <c r="H81" s="32">
        <v>43662956453</v>
      </c>
      <c r="I81" s="32">
        <v>-7903573853</v>
      </c>
    </row>
    <row r="82" spans="1:9" x14ac:dyDescent="0.45">
      <c r="A82" s="32" t="s">
        <v>342</v>
      </c>
      <c r="B82" s="32">
        <v>1237383</v>
      </c>
      <c r="C82" s="32">
        <v>20136215682</v>
      </c>
      <c r="D82" s="32">
        <v>15406065906</v>
      </c>
      <c r="E82" s="32">
        <v>4730149776</v>
      </c>
      <c r="F82" s="32">
        <v>1237383</v>
      </c>
      <c r="G82" s="32">
        <v>20136215682</v>
      </c>
      <c r="H82" s="32">
        <v>12191563334</v>
      </c>
      <c r="I82" s="32">
        <v>7944652348</v>
      </c>
    </row>
    <row r="83" spans="1:9" x14ac:dyDescent="0.45">
      <c r="A83" s="32" t="s">
        <v>379</v>
      </c>
      <c r="B83" s="32">
        <v>0</v>
      </c>
      <c r="C83" s="32">
        <v>0</v>
      </c>
      <c r="D83" s="32">
        <v>1611453506</v>
      </c>
      <c r="E83" s="32">
        <v>-1611453506</v>
      </c>
      <c r="F83" s="32">
        <v>0</v>
      </c>
      <c r="G83" s="32">
        <v>0</v>
      </c>
      <c r="H83" s="32">
        <v>0</v>
      </c>
      <c r="I83" s="32">
        <v>0</v>
      </c>
    </row>
    <row r="84" spans="1:9" x14ac:dyDescent="0.45">
      <c r="A84" s="32" t="s">
        <v>172</v>
      </c>
      <c r="B84" s="32">
        <v>2860136</v>
      </c>
      <c r="C84" s="32">
        <v>38909352209</v>
      </c>
      <c r="D84" s="32">
        <v>41009998496</v>
      </c>
      <c r="E84" s="32">
        <v>-2100646287</v>
      </c>
      <c r="F84" s="32">
        <v>2860136</v>
      </c>
      <c r="G84" s="32">
        <v>38909352209</v>
      </c>
      <c r="H84" s="32">
        <v>46275929202</v>
      </c>
      <c r="I84" s="32">
        <v>-7366576993</v>
      </c>
    </row>
    <row r="85" spans="1:9" x14ac:dyDescent="0.45">
      <c r="A85" s="32" t="s">
        <v>324</v>
      </c>
      <c r="B85" s="32">
        <v>517391</v>
      </c>
      <c r="C85" s="32">
        <v>25993015066</v>
      </c>
      <c r="D85" s="32">
        <v>26147032536</v>
      </c>
      <c r="E85" s="32">
        <v>-154017470</v>
      </c>
      <c r="F85" s="32">
        <v>517391</v>
      </c>
      <c r="G85" s="32">
        <v>25993015066</v>
      </c>
      <c r="H85" s="32">
        <v>16228307451</v>
      </c>
      <c r="I85" s="32">
        <v>9764707615</v>
      </c>
    </row>
    <row r="86" spans="1:9" x14ac:dyDescent="0.45">
      <c r="A86" s="32" t="s">
        <v>116</v>
      </c>
      <c r="B86" s="32">
        <v>6434630</v>
      </c>
      <c r="C86" s="32">
        <v>33329127419</v>
      </c>
      <c r="D86" s="32">
        <v>42396387796</v>
      </c>
      <c r="E86" s="32">
        <v>-9067260377</v>
      </c>
      <c r="F86" s="32">
        <v>6434630</v>
      </c>
      <c r="G86" s="32">
        <v>33329127419</v>
      </c>
      <c r="H86" s="32">
        <v>34947563576</v>
      </c>
      <c r="I86" s="32">
        <v>-1618436157</v>
      </c>
    </row>
    <row r="87" spans="1:9" x14ac:dyDescent="0.45">
      <c r="A87" s="32" t="s">
        <v>355</v>
      </c>
      <c r="B87" s="32">
        <v>3250000</v>
      </c>
      <c r="C87" s="32">
        <v>4060120772</v>
      </c>
      <c r="D87" s="32">
        <v>3998848100</v>
      </c>
      <c r="E87" s="32">
        <v>61272672</v>
      </c>
      <c r="F87" s="32">
        <v>3250000</v>
      </c>
      <c r="G87" s="32">
        <v>4060120772</v>
      </c>
      <c r="H87" s="32">
        <v>3537690617</v>
      </c>
      <c r="I87" s="32">
        <v>522430155</v>
      </c>
    </row>
    <row r="88" spans="1:9" x14ac:dyDescent="0.45">
      <c r="A88" s="32" t="s">
        <v>99</v>
      </c>
      <c r="B88" s="32">
        <v>10186336</v>
      </c>
      <c r="C88" s="32">
        <v>54176712538</v>
      </c>
      <c r="D88" s="32">
        <v>48792695205</v>
      </c>
      <c r="E88" s="32">
        <v>5384017333</v>
      </c>
      <c r="F88" s="32">
        <v>10186336</v>
      </c>
      <c r="G88" s="32">
        <v>54176712538</v>
      </c>
      <c r="H88" s="32">
        <v>48342068611</v>
      </c>
      <c r="I88" s="32">
        <v>5834643927</v>
      </c>
    </row>
    <row r="89" spans="1:9" x14ac:dyDescent="0.45">
      <c r="A89" s="32" t="s">
        <v>231</v>
      </c>
      <c r="B89" s="32">
        <v>4024513</v>
      </c>
      <c r="C89" s="32">
        <v>20166687748</v>
      </c>
      <c r="D89" s="32">
        <v>20116038045</v>
      </c>
      <c r="E89" s="32">
        <v>50649703</v>
      </c>
      <c r="F89" s="32">
        <v>4024513</v>
      </c>
      <c r="G89" s="32">
        <v>20166687748</v>
      </c>
      <c r="H89" s="32">
        <v>20468851417</v>
      </c>
      <c r="I89" s="32">
        <v>-302163669</v>
      </c>
    </row>
    <row r="90" spans="1:9" x14ac:dyDescent="0.45">
      <c r="A90" s="32" t="s">
        <v>380</v>
      </c>
      <c r="B90" s="32">
        <v>0</v>
      </c>
      <c r="C90" s="32">
        <v>0</v>
      </c>
      <c r="D90" s="32">
        <v>-21811349</v>
      </c>
      <c r="E90" s="32">
        <v>21811349</v>
      </c>
      <c r="F90" s="32">
        <v>0</v>
      </c>
      <c r="G90" s="32">
        <v>0</v>
      </c>
      <c r="H90" s="32">
        <v>0</v>
      </c>
      <c r="I90" s="32">
        <v>0</v>
      </c>
    </row>
    <row r="91" spans="1:9" x14ac:dyDescent="0.45">
      <c r="A91" s="32" t="s">
        <v>233</v>
      </c>
      <c r="B91" s="32">
        <v>800000</v>
      </c>
      <c r="C91" s="32">
        <v>19265914320</v>
      </c>
      <c r="D91" s="32">
        <v>24806750000</v>
      </c>
      <c r="E91" s="32">
        <v>-5540835680</v>
      </c>
      <c r="F91" s="32">
        <v>800000</v>
      </c>
      <c r="G91" s="32">
        <v>19265914320</v>
      </c>
      <c r="H91" s="32">
        <v>27239010264</v>
      </c>
      <c r="I91" s="32">
        <v>-7973095944</v>
      </c>
    </row>
    <row r="92" spans="1:9" x14ac:dyDescent="0.45">
      <c r="A92" s="32" t="s">
        <v>235</v>
      </c>
      <c r="B92" s="32">
        <v>84882</v>
      </c>
      <c r="C92" s="32">
        <v>15927110531</v>
      </c>
      <c r="D92" s="32">
        <v>14633401288</v>
      </c>
      <c r="E92" s="32">
        <v>1293709243</v>
      </c>
      <c r="F92" s="32">
        <v>84882</v>
      </c>
      <c r="G92" s="32">
        <v>15927110531</v>
      </c>
      <c r="H92" s="32">
        <v>10580452802</v>
      </c>
      <c r="I92" s="32">
        <v>5346657729</v>
      </c>
    </row>
    <row r="93" spans="1:9" x14ac:dyDescent="0.45">
      <c r="A93" s="32" t="s">
        <v>237</v>
      </c>
      <c r="B93" s="32">
        <v>612681</v>
      </c>
      <c r="C93" s="32">
        <v>27473033460</v>
      </c>
      <c r="D93" s="32">
        <v>28695002861</v>
      </c>
      <c r="E93" s="32">
        <v>-1221969401</v>
      </c>
      <c r="F93" s="32">
        <v>612681</v>
      </c>
      <c r="G93" s="32">
        <v>27473033460</v>
      </c>
      <c r="H93" s="32">
        <v>18524083415</v>
      </c>
      <c r="I93" s="32">
        <v>8948950045</v>
      </c>
    </row>
    <row r="94" spans="1:9" x14ac:dyDescent="0.45">
      <c r="A94" s="32" t="s">
        <v>238</v>
      </c>
      <c r="B94" s="32">
        <v>3983350</v>
      </c>
      <c r="C94" s="32">
        <v>20434728502</v>
      </c>
      <c r="D94" s="32">
        <v>26442617733</v>
      </c>
      <c r="E94" s="32">
        <v>-6007889231</v>
      </c>
      <c r="F94" s="32">
        <v>3983350</v>
      </c>
      <c r="G94" s="32">
        <v>20434728502</v>
      </c>
      <c r="H94" s="32">
        <v>14442649506</v>
      </c>
      <c r="I94" s="32">
        <v>5992078996</v>
      </c>
    </row>
    <row r="95" spans="1:9" x14ac:dyDescent="0.45">
      <c r="A95" s="32" t="s">
        <v>321</v>
      </c>
      <c r="B95" s="32">
        <v>2830564</v>
      </c>
      <c r="C95" s="32">
        <v>33367162835</v>
      </c>
      <c r="D95" s="32">
        <v>39096877665</v>
      </c>
      <c r="E95" s="32">
        <v>-5729714830</v>
      </c>
      <c r="F95" s="32">
        <v>2830564</v>
      </c>
      <c r="G95" s="32">
        <v>33367162835</v>
      </c>
      <c r="H95" s="32">
        <v>22357122573</v>
      </c>
      <c r="I95" s="32">
        <v>11010040262</v>
      </c>
    </row>
    <row r="96" spans="1:9" x14ac:dyDescent="0.45">
      <c r="A96" s="32" t="s">
        <v>98</v>
      </c>
      <c r="B96" s="32">
        <v>3001235</v>
      </c>
      <c r="C96" s="32">
        <v>37016980686</v>
      </c>
      <c r="D96" s="32">
        <v>39229366404</v>
      </c>
      <c r="E96" s="32">
        <v>-2212385718</v>
      </c>
      <c r="F96" s="32">
        <v>3001235</v>
      </c>
      <c r="G96" s="32">
        <v>37016980686</v>
      </c>
      <c r="H96" s="32">
        <v>30649406758</v>
      </c>
      <c r="I96" s="32">
        <v>6367573928</v>
      </c>
    </row>
    <row r="97" spans="1:9" x14ac:dyDescent="0.45">
      <c r="A97" s="32" t="s">
        <v>240</v>
      </c>
      <c r="B97" s="32">
        <v>12476907</v>
      </c>
      <c r="C97" s="32">
        <v>57445336761</v>
      </c>
      <c r="D97" s="32">
        <v>66111659117</v>
      </c>
      <c r="E97" s="32">
        <v>-8666322356</v>
      </c>
      <c r="F97" s="32">
        <v>12476907</v>
      </c>
      <c r="G97" s="32">
        <v>57445336761</v>
      </c>
      <c r="H97" s="32">
        <v>58396393352</v>
      </c>
      <c r="I97" s="32">
        <v>-951056591</v>
      </c>
    </row>
    <row r="98" spans="1:9" x14ac:dyDescent="0.45">
      <c r="A98" s="32" t="s">
        <v>242</v>
      </c>
      <c r="B98" s="32">
        <v>2800000</v>
      </c>
      <c r="C98" s="32">
        <v>26616650480</v>
      </c>
      <c r="D98" s="32">
        <v>38646931960</v>
      </c>
      <c r="E98" s="32">
        <v>-12030281480</v>
      </c>
      <c r="F98" s="32">
        <v>2800000</v>
      </c>
      <c r="G98" s="32">
        <v>26616650480</v>
      </c>
      <c r="H98" s="32">
        <v>21337774080</v>
      </c>
      <c r="I98" s="32">
        <v>5278876400</v>
      </c>
    </row>
    <row r="99" spans="1:9" x14ac:dyDescent="0.45">
      <c r="A99" s="32" t="s">
        <v>80</v>
      </c>
      <c r="B99" s="32">
        <v>2513758</v>
      </c>
      <c r="C99" s="32">
        <v>41181333002</v>
      </c>
      <c r="D99" s="32">
        <v>39984056210</v>
      </c>
      <c r="E99" s="32">
        <v>1197276792</v>
      </c>
      <c r="F99" s="32">
        <v>2513758</v>
      </c>
      <c r="G99" s="32">
        <v>41181333002</v>
      </c>
      <c r="H99" s="32">
        <v>24045308912</v>
      </c>
      <c r="I99" s="32">
        <v>17136024090</v>
      </c>
    </row>
    <row r="100" spans="1:9" x14ac:dyDescent="0.45">
      <c r="A100" s="32" t="s">
        <v>244</v>
      </c>
      <c r="B100" s="32">
        <v>3022885</v>
      </c>
      <c r="C100" s="32">
        <v>42203219652</v>
      </c>
      <c r="D100" s="32">
        <v>50151942614</v>
      </c>
      <c r="E100" s="32">
        <v>-7948722962</v>
      </c>
      <c r="F100" s="32">
        <v>3022885</v>
      </c>
      <c r="G100" s="32">
        <v>42203219652</v>
      </c>
      <c r="H100" s="32">
        <v>35253139248</v>
      </c>
      <c r="I100" s="32">
        <v>6950080404</v>
      </c>
    </row>
    <row r="101" spans="1:9" x14ac:dyDescent="0.45">
      <c r="A101" s="32" t="s">
        <v>381</v>
      </c>
      <c r="B101" s="32">
        <v>0</v>
      </c>
      <c r="C101" s="32">
        <v>0</v>
      </c>
      <c r="D101" s="32">
        <v>0</v>
      </c>
      <c r="E101" s="32">
        <v>0</v>
      </c>
      <c r="F101" s="32">
        <v>0</v>
      </c>
      <c r="G101" s="32">
        <v>0</v>
      </c>
      <c r="H101" s="32">
        <v>2044890863</v>
      </c>
      <c r="I101" s="32">
        <v>-2044890863</v>
      </c>
    </row>
    <row r="102" spans="1:9" x14ac:dyDescent="0.45">
      <c r="A102" s="32" t="s">
        <v>246</v>
      </c>
      <c r="B102" s="32">
        <v>104452</v>
      </c>
      <c r="C102" s="32">
        <v>17039169945</v>
      </c>
      <c r="D102" s="32">
        <v>18623895666</v>
      </c>
      <c r="E102" s="32">
        <v>-1584725721</v>
      </c>
      <c r="F102" s="32">
        <v>104452</v>
      </c>
      <c r="G102" s="32">
        <v>17039169945</v>
      </c>
      <c r="H102" s="32">
        <v>13160789535</v>
      </c>
      <c r="I102" s="32">
        <v>3878380410</v>
      </c>
    </row>
    <row r="103" spans="1:9" x14ac:dyDescent="0.45">
      <c r="A103" s="32" t="s">
        <v>248</v>
      </c>
      <c r="B103" s="32">
        <v>2856766</v>
      </c>
      <c r="C103" s="32">
        <v>20806574679</v>
      </c>
      <c r="D103" s="32">
        <v>25086946310</v>
      </c>
      <c r="E103" s="32">
        <v>-4280371631</v>
      </c>
      <c r="F103" s="32">
        <v>2856766</v>
      </c>
      <c r="G103" s="32">
        <v>20806574679</v>
      </c>
      <c r="H103" s="32">
        <v>26574763554</v>
      </c>
      <c r="I103" s="32">
        <v>-5768188875</v>
      </c>
    </row>
    <row r="104" spans="1:9" x14ac:dyDescent="0.45">
      <c r="A104" s="32" t="s">
        <v>250</v>
      </c>
      <c r="B104" s="32">
        <v>336344</v>
      </c>
      <c r="C104" s="32">
        <v>16480281726</v>
      </c>
      <c r="D104" s="32">
        <v>14417743430</v>
      </c>
      <c r="E104" s="32">
        <v>2062538296</v>
      </c>
      <c r="F104" s="32">
        <v>336344</v>
      </c>
      <c r="G104" s="32">
        <v>16480281726</v>
      </c>
      <c r="H104" s="32">
        <v>10663122745</v>
      </c>
      <c r="I104" s="32">
        <v>5817158981</v>
      </c>
    </row>
    <row r="105" spans="1:9" x14ac:dyDescent="0.45">
      <c r="A105" s="32" t="s">
        <v>325</v>
      </c>
      <c r="B105" s="32">
        <v>2324791</v>
      </c>
      <c r="C105" s="32">
        <v>60784716633</v>
      </c>
      <c r="D105" s="32">
        <v>66828585991</v>
      </c>
      <c r="E105" s="32">
        <v>-6043869358</v>
      </c>
      <c r="F105" s="32">
        <v>2324791</v>
      </c>
      <c r="G105" s="32">
        <v>60784716633</v>
      </c>
      <c r="H105" s="32">
        <v>39696700885</v>
      </c>
      <c r="I105" s="32">
        <v>21088015748</v>
      </c>
    </row>
    <row r="106" spans="1:9" x14ac:dyDescent="0.45">
      <c r="A106" s="32" t="s">
        <v>252</v>
      </c>
      <c r="B106" s="32">
        <v>1504289</v>
      </c>
      <c r="C106" s="32">
        <v>28017244080</v>
      </c>
      <c r="D106" s="32">
        <v>28270996424</v>
      </c>
      <c r="E106" s="32">
        <v>-253752344</v>
      </c>
      <c r="F106" s="32">
        <v>1504289</v>
      </c>
      <c r="G106" s="32">
        <v>28017244080</v>
      </c>
      <c r="H106" s="32">
        <v>16150590354</v>
      </c>
      <c r="I106" s="32">
        <v>11866653726</v>
      </c>
    </row>
    <row r="107" spans="1:9" x14ac:dyDescent="0.45">
      <c r="A107" s="32" t="s">
        <v>366</v>
      </c>
      <c r="B107" s="32">
        <v>512506</v>
      </c>
      <c r="C107" s="32">
        <v>30919495180</v>
      </c>
      <c r="D107" s="32">
        <v>32033207260</v>
      </c>
      <c r="E107" s="32">
        <v>-1113712080</v>
      </c>
      <c r="F107" s="32">
        <v>512506</v>
      </c>
      <c r="G107" s="32">
        <v>30919495180</v>
      </c>
      <c r="H107" s="32">
        <v>17890589481</v>
      </c>
      <c r="I107" s="32">
        <v>13028905699</v>
      </c>
    </row>
    <row r="108" spans="1:9" x14ac:dyDescent="0.45">
      <c r="A108" s="32" t="s">
        <v>254</v>
      </c>
      <c r="B108" s="32">
        <v>21110</v>
      </c>
      <c r="C108" s="32">
        <v>2633015236</v>
      </c>
      <c r="D108" s="32">
        <v>3948266045</v>
      </c>
      <c r="E108" s="32">
        <v>-1315250809</v>
      </c>
      <c r="F108" s="32">
        <v>21110</v>
      </c>
      <c r="G108" s="32">
        <v>2633015236</v>
      </c>
      <c r="H108" s="32">
        <v>2291372607</v>
      </c>
      <c r="I108" s="32">
        <v>341642629</v>
      </c>
    </row>
    <row r="109" spans="1:9" x14ac:dyDescent="0.45">
      <c r="A109" s="32" t="s">
        <v>255</v>
      </c>
      <c r="B109" s="32">
        <v>6761644</v>
      </c>
      <c r="C109" s="32">
        <v>20530692065</v>
      </c>
      <c r="D109" s="32">
        <v>21872567364</v>
      </c>
      <c r="E109" s="32">
        <v>-1341875299</v>
      </c>
      <c r="F109" s="32">
        <v>6761644</v>
      </c>
      <c r="G109" s="32">
        <v>20530692065</v>
      </c>
      <c r="H109" s="32">
        <v>13606615526</v>
      </c>
      <c r="I109" s="32">
        <v>6924076539</v>
      </c>
    </row>
    <row r="110" spans="1:9" x14ac:dyDescent="0.45">
      <c r="A110" s="32" t="s">
        <v>256</v>
      </c>
      <c r="B110" s="32">
        <v>520570</v>
      </c>
      <c r="C110" s="32">
        <v>35667500879</v>
      </c>
      <c r="D110" s="32">
        <v>37836994053</v>
      </c>
      <c r="E110" s="32">
        <v>-2169493174</v>
      </c>
      <c r="F110" s="32">
        <v>520570</v>
      </c>
      <c r="G110" s="32">
        <v>35667500879</v>
      </c>
      <c r="H110" s="32">
        <v>20982098272</v>
      </c>
      <c r="I110" s="32">
        <v>14685402607</v>
      </c>
    </row>
    <row r="111" spans="1:9" x14ac:dyDescent="0.45">
      <c r="A111" s="32" t="s">
        <v>257</v>
      </c>
      <c r="B111" s="32">
        <v>1155746</v>
      </c>
      <c r="C111" s="32">
        <v>36927349086</v>
      </c>
      <c r="D111" s="32">
        <v>30837776923</v>
      </c>
      <c r="E111" s="32">
        <v>6089572163</v>
      </c>
      <c r="F111" s="32">
        <v>1155746</v>
      </c>
      <c r="G111" s="32">
        <v>36927349086</v>
      </c>
      <c r="H111" s="32">
        <v>15745729905</v>
      </c>
      <c r="I111" s="32">
        <v>21181619181</v>
      </c>
    </row>
    <row r="112" spans="1:9" x14ac:dyDescent="0.45">
      <c r="A112" s="32" t="s">
        <v>382</v>
      </c>
      <c r="B112" s="32">
        <v>3019851</v>
      </c>
      <c r="C112" s="32">
        <v>16390896308</v>
      </c>
      <c r="D112" s="32">
        <v>14467138460</v>
      </c>
      <c r="E112" s="32">
        <v>1923757848</v>
      </c>
      <c r="F112" s="32">
        <v>3019851</v>
      </c>
      <c r="G112" s="32">
        <v>16390896308</v>
      </c>
      <c r="H112" s="32">
        <v>8764784589</v>
      </c>
      <c r="I112" s="32">
        <v>7626111719</v>
      </c>
    </row>
    <row r="113" spans="1:9" x14ac:dyDescent="0.45">
      <c r="A113" s="32" t="s">
        <v>258</v>
      </c>
      <c r="B113" s="32">
        <v>5463965</v>
      </c>
      <c r="C113" s="32">
        <v>36379798574</v>
      </c>
      <c r="D113" s="32">
        <v>49012426097</v>
      </c>
      <c r="E113" s="32">
        <v>-12632627523</v>
      </c>
      <c r="F113" s="32">
        <v>5463965</v>
      </c>
      <c r="G113" s="32">
        <v>36379798574</v>
      </c>
      <c r="H113" s="32">
        <v>39273890397</v>
      </c>
      <c r="I113" s="32">
        <v>-2894091823</v>
      </c>
    </row>
    <row r="114" spans="1:9" x14ac:dyDescent="0.45">
      <c r="A114" s="32" t="s">
        <v>259</v>
      </c>
      <c r="B114" s="32">
        <v>1467107</v>
      </c>
      <c r="C114" s="32">
        <v>36918232427</v>
      </c>
      <c r="D114" s="32">
        <v>47239615231</v>
      </c>
      <c r="E114" s="32">
        <v>-10321382804</v>
      </c>
      <c r="F114" s="32">
        <v>1467107</v>
      </c>
      <c r="G114" s="32">
        <v>36918232427</v>
      </c>
      <c r="H114" s="32">
        <v>24748026469</v>
      </c>
      <c r="I114" s="32">
        <v>12170205958</v>
      </c>
    </row>
    <row r="115" spans="1:9" x14ac:dyDescent="0.45">
      <c r="A115" s="32" t="s">
        <v>139</v>
      </c>
      <c r="B115" s="32">
        <v>4643025</v>
      </c>
      <c r="C115" s="32">
        <v>67218091140</v>
      </c>
      <c r="D115" s="32">
        <v>64492314988</v>
      </c>
      <c r="E115" s="32">
        <v>2725776152</v>
      </c>
      <c r="F115" s="32">
        <v>4643025</v>
      </c>
      <c r="G115" s="32">
        <v>67218091140</v>
      </c>
      <c r="H115" s="32">
        <v>53661666669</v>
      </c>
      <c r="I115" s="32">
        <v>13556424471</v>
      </c>
    </row>
    <row r="116" spans="1:9" x14ac:dyDescent="0.45">
      <c r="A116" s="32" t="s">
        <v>115</v>
      </c>
      <c r="B116" s="32">
        <v>23585402</v>
      </c>
      <c r="C116" s="32">
        <v>95250563449</v>
      </c>
      <c r="D116" s="32">
        <v>81796357131</v>
      </c>
      <c r="E116" s="32">
        <v>13454206318</v>
      </c>
      <c r="F116" s="32">
        <v>23585402</v>
      </c>
      <c r="G116" s="32">
        <v>95250563449</v>
      </c>
      <c r="H116" s="32">
        <v>45845324789</v>
      </c>
      <c r="I116" s="32">
        <v>49405238660</v>
      </c>
    </row>
    <row r="117" spans="1:9" x14ac:dyDescent="0.45">
      <c r="A117" s="32" t="s">
        <v>113</v>
      </c>
      <c r="B117" s="32">
        <v>2065696</v>
      </c>
      <c r="C117" s="32">
        <v>75860439569</v>
      </c>
      <c r="D117" s="32">
        <v>84272916748</v>
      </c>
      <c r="E117" s="32">
        <v>-8412477179</v>
      </c>
      <c r="F117" s="32">
        <v>2065696</v>
      </c>
      <c r="G117" s="32">
        <v>75860439569</v>
      </c>
      <c r="H117" s="32">
        <v>67622553174</v>
      </c>
      <c r="I117" s="32">
        <v>8237886395</v>
      </c>
    </row>
    <row r="118" spans="1:9" x14ac:dyDescent="0.45">
      <c r="A118" s="32" t="s">
        <v>260</v>
      </c>
      <c r="B118" s="32">
        <v>6600000</v>
      </c>
      <c r="C118" s="32">
        <v>62542778100</v>
      </c>
      <c r="D118" s="32">
        <v>55797326640</v>
      </c>
      <c r="E118" s="32">
        <v>6745451460</v>
      </c>
      <c r="F118" s="32">
        <v>6600000</v>
      </c>
      <c r="G118" s="32">
        <v>62542778100</v>
      </c>
      <c r="H118" s="32">
        <v>51727141738</v>
      </c>
      <c r="I118" s="32">
        <v>10815636362</v>
      </c>
    </row>
    <row r="119" spans="1:9" x14ac:dyDescent="0.45">
      <c r="A119" s="32" t="s">
        <v>261</v>
      </c>
      <c r="B119" s="32">
        <v>724988</v>
      </c>
      <c r="C119" s="32">
        <v>1445961524</v>
      </c>
      <c r="D119" s="32">
        <v>1619333030</v>
      </c>
      <c r="E119" s="32">
        <v>-173371506</v>
      </c>
      <c r="F119" s="32">
        <v>724988</v>
      </c>
      <c r="G119" s="32">
        <v>1445961524</v>
      </c>
      <c r="H119" s="32">
        <v>1478458644</v>
      </c>
      <c r="I119" s="32">
        <v>-32497120</v>
      </c>
    </row>
    <row r="120" spans="1:9" x14ac:dyDescent="0.45">
      <c r="A120" s="32" t="s">
        <v>86</v>
      </c>
      <c r="B120" s="32">
        <v>15672652</v>
      </c>
      <c r="C120" s="32">
        <v>50853412848</v>
      </c>
      <c r="D120" s="32">
        <v>44672496861</v>
      </c>
      <c r="E120" s="32">
        <v>6180915987</v>
      </c>
      <c r="F120" s="32">
        <v>15672652</v>
      </c>
      <c r="G120" s="32">
        <v>50853412848</v>
      </c>
      <c r="H120" s="32">
        <v>35248387111</v>
      </c>
      <c r="I120" s="32">
        <v>15605025737</v>
      </c>
    </row>
    <row r="121" spans="1:9" x14ac:dyDescent="0.45">
      <c r="A121" s="32" t="s">
        <v>383</v>
      </c>
      <c r="B121" s="32">
        <v>5324217</v>
      </c>
      <c r="C121" s="32">
        <v>8759314811</v>
      </c>
      <c r="D121" s="32">
        <v>8207182502</v>
      </c>
      <c r="E121" s="32">
        <v>552132309</v>
      </c>
      <c r="F121" s="32">
        <v>5324217</v>
      </c>
      <c r="G121" s="32">
        <v>8759314811</v>
      </c>
      <c r="H121" s="32">
        <v>8207182502</v>
      </c>
      <c r="I121" s="32">
        <v>552132309</v>
      </c>
    </row>
    <row r="122" spans="1:9" x14ac:dyDescent="0.45">
      <c r="A122" s="32" t="s">
        <v>118</v>
      </c>
      <c r="B122" s="32">
        <v>12900000</v>
      </c>
      <c r="C122" s="32">
        <v>67201485750</v>
      </c>
      <c r="D122" s="32">
        <v>70928234586</v>
      </c>
      <c r="E122" s="32">
        <v>-3726748836</v>
      </c>
      <c r="F122" s="32">
        <v>12900000</v>
      </c>
      <c r="G122" s="32">
        <v>67201485750</v>
      </c>
      <c r="H122" s="32">
        <v>59018647822</v>
      </c>
      <c r="I122" s="32">
        <v>8182837928</v>
      </c>
    </row>
    <row r="123" spans="1:9" x14ac:dyDescent="0.45">
      <c r="A123" s="32" t="s">
        <v>313</v>
      </c>
      <c r="B123" s="32">
        <v>1875000</v>
      </c>
      <c r="C123" s="32">
        <v>11311878000</v>
      </c>
      <c r="D123" s="32">
        <v>11870029875</v>
      </c>
      <c r="E123" s="32">
        <v>-558151875</v>
      </c>
      <c r="F123" s="32">
        <v>1875000</v>
      </c>
      <c r="G123" s="32">
        <v>11311878000</v>
      </c>
      <c r="H123" s="32">
        <v>6586192125</v>
      </c>
      <c r="I123" s="32">
        <v>4725685875</v>
      </c>
    </row>
    <row r="124" spans="1:9" x14ac:dyDescent="0.45">
      <c r="A124" s="32" t="s">
        <v>262</v>
      </c>
      <c r="B124" s="32">
        <v>23792</v>
      </c>
      <c r="C124" s="32">
        <v>3331101194</v>
      </c>
      <c r="D124" s="32">
        <v>2230964301</v>
      </c>
      <c r="E124" s="32">
        <v>1100136893</v>
      </c>
      <c r="F124" s="32">
        <v>23792</v>
      </c>
      <c r="G124" s="32">
        <v>3331101194</v>
      </c>
      <c r="H124" s="32">
        <v>1431830527</v>
      </c>
      <c r="I124" s="32">
        <v>1899270667</v>
      </c>
    </row>
    <row r="125" spans="1:9" x14ac:dyDescent="0.45">
      <c r="A125" s="32" t="s">
        <v>264</v>
      </c>
      <c r="B125" s="32">
        <v>2843421</v>
      </c>
      <c r="C125" s="32">
        <v>42124119440</v>
      </c>
      <c r="D125" s="32">
        <v>47964503046</v>
      </c>
      <c r="E125" s="32">
        <v>-5840383606</v>
      </c>
      <c r="F125" s="32">
        <v>2843421</v>
      </c>
      <c r="G125" s="32">
        <v>42124119440</v>
      </c>
      <c r="H125" s="32">
        <v>46388726606</v>
      </c>
      <c r="I125" s="32">
        <v>-4264607166</v>
      </c>
    </row>
    <row r="126" spans="1:9" x14ac:dyDescent="0.45">
      <c r="A126" s="32" t="s">
        <v>265</v>
      </c>
      <c r="B126" s="32">
        <v>3733986</v>
      </c>
      <c r="C126" s="32">
        <v>72990909078</v>
      </c>
      <c r="D126" s="32">
        <v>60578749412</v>
      </c>
      <c r="E126" s="32">
        <v>12412159666</v>
      </c>
      <c r="F126" s="32">
        <v>3733986</v>
      </c>
      <c r="G126" s="32">
        <v>72990909078</v>
      </c>
      <c r="H126" s="32">
        <v>31975205347</v>
      </c>
      <c r="I126" s="32">
        <v>41015703731</v>
      </c>
    </row>
    <row r="127" spans="1:9" x14ac:dyDescent="0.45">
      <c r="A127" s="32" t="s">
        <v>171</v>
      </c>
      <c r="B127" s="32">
        <v>19183396</v>
      </c>
      <c r="C127" s="32">
        <v>83754476735</v>
      </c>
      <c r="D127" s="32">
        <v>85862980419</v>
      </c>
      <c r="E127" s="32">
        <v>-2108503684</v>
      </c>
      <c r="F127" s="32">
        <v>19183396</v>
      </c>
      <c r="G127" s="32">
        <v>83754476735</v>
      </c>
      <c r="H127" s="32">
        <v>61985441563</v>
      </c>
      <c r="I127" s="32">
        <v>21769035172</v>
      </c>
    </row>
    <row r="128" spans="1:9" x14ac:dyDescent="0.45">
      <c r="A128" s="32" t="s">
        <v>91</v>
      </c>
      <c r="B128" s="32">
        <v>6453452</v>
      </c>
      <c r="C128" s="32">
        <v>35603831497</v>
      </c>
      <c r="D128" s="32">
        <v>43416183013</v>
      </c>
      <c r="E128" s="32">
        <v>-7812351516</v>
      </c>
      <c r="F128" s="32">
        <v>6453452</v>
      </c>
      <c r="G128" s="32">
        <v>35603831497</v>
      </c>
      <c r="H128" s="32">
        <v>44463179556</v>
      </c>
      <c r="I128" s="32">
        <v>-8859348059</v>
      </c>
    </row>
    <row r="129" spans="1:9" x14ac:dyDescent="0.45">
      <c r="A129" s="32" t="s">
        <v>266</v>
      </c>
      <c r="B129" s="32">
        <v>6157463</v>
      </c>
      <c r="C129" s="32">
        <v>62626124563</v>
      </c>
      <c r="D129" s="32">
        <v>40325114353</v>
      </c>
      <c r="E129" s="32">
        <v>22301010210</v>
      </c>
      <c r="F129" s="32">
        <v>6157463</v>
      </c>
      <c r="G129" s="32">
        <v>62626124563</v>
      </c>
      <c r="H129" s="32">
        <v>25624777211</v>
      </c>
      <c r="I129" s="32">
        <v>37001347352</v>
      </c>
    </row>
    <row r="130" spans="1:9" x14ac:dyDescent="0.45">
      <c r="A130" s="32" t="s">
        <v>360</v>
      </c>
      <c r="B130" s="32">
        <v>25239055</v>
      </c>
      <c r="C130" s="32">
        <v>72902959132</v>
      </c>
      <c r="D130" s="32">
        <v>90692313341</v>
      </c>
      <c r="E130" s="32">
        <v>-17789354209</v>
      </c>
      <c r="F130" s="32">
        <v>25239055</v>
      </c>
      <c r="G130" s="32">
        <v>72902959132</v>
      </c>
      <c r="H130" s="32">
        <v>66862061803</v>
      </c>
      <c r="I130" s="32">
        <v>6040897329</v>
      </c>
    </row>
    <row r="131" spans="1:9" x14ac:dyDescent="0.45">
      <c r="A131" s="32" t="s">
        <v>267</v>
      </c>
      <c r="B131" s="32">
        <v>6494761</v>
      </c>
      <c r="C131" s="32">
        <v>23200403391</v>
      </c>
      <c r="D131" s="32">
        <v>24167086866</v>
      </c>
      <c r="E131" s="32">
        <v>-966683475</v>
      </c>
      <c r="F131" s="32">
        <v>6494761</v>
      </c>
      <c r="G131" s="32">
        <v>23200403391</v>
      </c>
      <c r="H131" s="32">
        <v>13697905971</v>
      </c>
      <c r="I131" s="32">
        <v>9502497420</v>
      </c>
    </row>
    <row r="132" spans="1:9" x14ac:dyDescent="0.45">
      <c r="A132" s="32" t="s">
        <v>133</v>
      </c>
      <c r="B132" s="32">
        <v>5612182</v>
      </c>
      <c r="C132" s="32">
        <v>17987223461</v>
      </c>
      <c r="D132" s="32">
        <v>20326119391</v>
      </c>
      <c r="E132" s="32">
        <v>-2338895930</v>
      </c>
      <c r="F132" s="32">
        <v>5612182</v>
      </c>
      <c r="G132" s="32">
        <v>17987223461</v>
      </c>
      <c r="H132" s="32">
        <v>17258189261</v>
      </c>
      <c r="I132" s="32">
        <v>729034200</v>
      </c>
    </row>
    <row r="133" spans="1:9" x14ac:dyDescent="0.45">
      <c r="A133" s="32" t="s">
        <v>142</v>
      </c>
      <c r="B133" s="32">
        <v>9019663</v>
      </c>
      <c r="C133" s="32">
        <v>37500252811</v>
      </c>
      <c r="D133" s="32">
        <v>40258667837</v>
      </c>
      <c r="E133" s="32">
        <v>-2758415026</v>
      </c>
      <c r="F133" s="32">
        <v>9019663</v>
      </c>
      <c r="G133" s="32">
        <v>37500252811</v>
      </c>
      <c r="H133" s="32">
        <v>22896339838</v>
      </c>
      <c r="I133" s="32">
        <v>14603912973</v>
      </c>
    </row>
    <row r="134" spans="1:9" x14ac:dyDescent="0.45">
      <c r="A134" s="32" t="s">
        <v>140</v>
      </c>
      <c r="B134" s="32">
        <v>4238313</v>
      </c>
      <c r="C134" s="32">
        <v>52148830422</v>
      </c>
      <c r="D134" s="32">
        <v>54163892662</v>
      </c>
      <c r="E134" s="32">
        <v>-2015062240</v>
      </c>
      <c r="F134" s="32">
        <v>4238313</v>
      </c>
      <c r="G134" s="32">
        <v>52148830422</v>
      </c>
      <c r="H134" s="32">
        <v>56144665364</v>
      </c>
      <c r="I134" s="32">
        <v>-3995834942</v>
      </c>
    </row>
    <row r="135" spans="1:9" x14ac:dyDescent="0.45">
      <c r="A135" s="32" t="s">
        <v>269</v>
      </c>
      <c r="B135" s="32">
        <v>7043843</v>
      </c>
      <c r="C135" s="32">
        <v>54377486048</v>
      </c>
      <c r="D135" s="32">
        <v>37253470519</v>
      </c>
      <c r="E135" s="32">
        <v>17124015529</v>
      </c>
      <c r="F135" s="32">
        <v>7043843</v>
      </c>
      <c r="G135" s="32">
        <v>54377486048</v>
      </c>
      <c r="H135" s="32">
        <v>23889749012</v>
      </c>
      <c r="I135" s="32">
        <v>30487737036</v>
      </c>
    </row>
    <row r="136" spans="1:9" x14ac:dyDescent="0.45">
      <c r="A136" s="32" t="s">
        <v>270</v>
      </c>
      <c r="B136" s="32">
        <v>3904663</v>
      </c>
      <c r="C136" s="32">
        <v>35374001989</v>
      </c>
      <c r="D136" s="32">
        <v>30375922847</v>
      </c>
      <c r="E136" s="32">
        <v>4998079142</v>
      </c>
      <c r="F136" s="32">
        <v>3904663</v>
      </c>
      <c r="G136" s="32">
        <v>35374001989</v>
      </c>
      <c r="H136" s="32">
        <v>15027447254</v>
      </c>
      <c r="I136" s="32">
        <v>20346554735</v>
      </c>
    </row>
    <row r="137" spans="1:9" x14ac:dyDescent="0.45">
      <c r="A137" s="32" t="s">
        <v>384</v>
      </c>
      <c r="B137" s="32">
        <v>1200163</v>
      </c>
      <c r="C137" s="32">
        <v>7609759879</v>
      </c>
      <c r="D137" s="32">
        <v>7609759879</v>
      </c>
      <c r="E137" s="32">
        <v>0</v>
      </c>
      <c r="F137" s="32">
        <v>1200163</v>
      </c>
      <c r="G137" s="32">
        <v>7609759879</v>
      </c>
      <c r="H137" s="32">
        <v>15219519757</v>
      </c>
      <c r="I137" s="32">
        <v>-7609759878</v>
      </c>
    </row>
    <row r="138" spans="1:9" x14ac:dyDescent="0.45">
      <c r="A138" s="32" t="s">
        <v>145</v>
      </c>
      <c r="B138" s="32">
        <v>5738492</v>
      </c>
      <c r="C138" s="32">
        <v>70037841519</v>
      </c>
      <c r="D138" s="32">
        <v>84224361236</v>
      </c>
      <c r="E138" s="32">
        <v>-14186519717</v>
      </c>
      <c r="F138" s="32">
        <v>5738492</v>
      </c>
      <c r="G138" s="32">
        <v>70037841519</v>
      </c>
      <c r="H138" s="32">
        <v>70356440560</v>
      </c>
      <c r="I138" s="32">
        <v>-318599041</v>
      </c>
    </row>
    <row r="139" spans="1:9" x14ac:dyDescent="0.45">
      <c r="A139" s="32" t="s">
        <v>271</v>
      </c>
      <c r="B139" s="32">
        <v>204021</v>
      </c>
      <c r="C139" s="32">
        <v>12504960794</v>
      </c>
      <c r="D139" s="32">
        <v>12298467998</v>
      </c>
      <c r="E139" s="32">
        <v>206492796</v>
      </c>
      <c r="F139" s="32">
        <v>204021</v>
      </c>
      <c r="G139" s="32">
        <v>12504960794</v>
      </c>
      <c r="H139" s="32">
        <v>6577402885</v>
      </c>
      <c r="I139" s="32">
        <v>5927557909</v>
      </c>
    </row>
    <row r="140" spans="1:9" x14ac:dyDescent="0.45">
      <c r="A140" s="32" t="s">
        <v>317</v>
      </c>
      <c r="B140" s="32">
        <v>4967900</v>
      </c>
      <c r="C140" s="32">
        <v>22133446617</v>
      </c>
      <c r="D140" s="32">
        <v>22789069869</v>
      </c>
      <c r="E140" s="32">
        <v>-655623252</v>
      </c>
      <c r="F140" s="32">
        <v>4967900</v>
      </c>
      <c r="G140" s="32">
        <v>22133446617</v>
      </c>
      <c r="H140" s="32">
        <v>20260237327</v>
      </c>
      <c r="I140" s="32">
        <v>1873209290</v>
      </c>
    </row>
    <row r="141" spans="1:9" x14ac:dyDescent="0.45">
      <c r="A141" s="32" t="s">
        <v>272</v>
      </c>
      <c r="B141" s="32">
        <v>25021276</v>
      </c>
      <c r="C141" s="32">
        <v>35454186274</v>
      </c>
      <c r="D141" s="32">
        <v>38309390351</v>
      </c>
      <c r="E141" s="32">
        <v>-2855204077</v>
      </c>
      <c r="F141" s="32">
        <v>25021276</v>
      </c>
      <c r="G141" s="32">
        <v>35454186274</v>
      </c>
      <c r="H141" s="32">
        <v>25574766980</v>
      </c>
      <c r="I141" s="32">
        <v>9879419294</v>
      </c>
    </row>
    <row r="142" spans="1:9" x14ac:dyDescent="0.45">
      <c r="A142" s="32" t="s">
        <v>130</v>
      </c>
      <c r="B142" s="32">
        <v>9515801</v>
      </c>
      <c r="C142" s="32">
        <v>43528744187</v>
      </c>
      <c r="D142" s="32">
        <v>40377008695</v>
      </c>
      <c r="E142" s="32">
        <v>3151735492</v>
      </c>
      <c r="F142" s="32">
        <v>9515801</v>
      </c>
      <c r="G142" s="32">
        <v>43528744187</v>
      </c>
      <c r="H142" s="32">
        <v>33108061813</v>
      </c>
      <c r="I142" s="32">
        <v>10420682374</v>
      </c>
    </row>
    <row r="143" spans="1:9" x14ac:dyDescent="0.45">
      <c r="A143" s="32" t="s">
        <v>274</v>
      </c>
      <c r="B143" s="32">
        <v>5767758</v>
      </c>
      <c r="C143" s="32">
        <v>73485544282</v>
      </c>
      <c r="D143" s="32">
        <v>58612217891</v>
      </c>
      <c r="E143" s="32">
        <v>14873326391</v>
      </c>
      <c r="F143" s="32">
        <v>5767758</v>
      </c>
      <c r="G143" s="32">
        <v>73485544282</v>
      </c>
      <c r="H143" s="32">
        <v>53383908420</v>
      </c>
      <c r="I143" s="32">
        <v>20101635862</v>
      </c>
    </row>
    <row r="144" spans="1:9" x14ac:dyDescent="0.45">
      <c r="A144" s="32" t="s">
        <v>367</v>
      </c>
      <c r="B144" s="32">
        <v>8858150</v>
      </c>
      <c r="C144" s="32">
        <v>7031741200</v>
      </c>
      <c r="D144" s="32">
        <v>7031741200</v>
      </c>
      <c r="E144" s="32">
        <v>0</v>
      </c>
      <c r="F144" s="32">
        <v>8858150</v>
      </c>
      <c r="G144" s="32">
        <v>7031741200</v>
      </c>
      <c r="H144" s="32">
        <v>17579353001</v>
      </c>
      <c r="I144" s="32">
        <v>-10547611801</v>
      </c>
    </row>
    <row r="145" spans="1:9" x14ac:dyDescent="0.45">
      <c r="A145" s="32" t="s">
        <v>276</v>
      </c>
      <c r="B145" s="32">
        <v>13000000</v>
      </c>
      <c r="C145" s="32">
        <v>61659657800</v>
      </c>
      <c r="D145" s="32">
        <v>72237256000</v>
      </c>
      <c r="E145" s="32">
        <v>-10577598200</v>
      </c>
      <c r="F145" s="32">
        <v>13000000</v>
      </c>
      <c r="G145" s="32">
        <v>61659657800</v>
      </c>
      <c r="H145" s="32">
        <v>77636851559</v>
      </c>
      <c r="I145" s="32">
        <v>-15977193759</v>
      </c>
    </row>
    <row r="146" spans="1:9" x14ac:dyDescent="0.45">
      <c r="A146" s="32" t="s">
        <v>351</v>
      </c>
      <c r="B146" s="32">
        <v>5800000</v>
      </c>
      <c r="C146" s="32">
        <v>27221935180</v>
      </c>
      <c r="D146" s="32">
        <v>34300789360</v>
      </c>
      <c r="E146" s="32">
        <v>-7078854180</v>
      </c>
      <c r="F146" s="32">
        <v>5800000</v>
      </c>
      <c r="G146" s="32">
        <v>27221935180</v>
      </c>
      <c r="H146" s="32">
        <v>24419169338</v>
      </c>
      <c r="I146" s="32">
        <v>2802765842</v>
      </c>
    </row>
    <row r="147" spans="1:9" x14ac:dyDescent="0.45">
      <c r="A147" s="32" t="s">
        <v>346</v>
      </c>
      <c r="B147" s="32">
        <v>5729478</v>
      </c>
      <c r="C147" s="32">
        <v>7419171821</v>
      </c>
      <c r="D147" s="32">
        <v>7419171821</v>
      </c>
      <c r="E147" s="32">
        <v>0</v>
      </c>
      <c r="F147" s="32">
        <v>5729478</v>
      </c>
      <c r="G147" s="32">
        <v>7419171821</v>
      </c>
      <c r="H147" s="32">
        <v>14838784976</v>
      </c>
      <c r="I147" s="32">
        <v>-7419613155</v>
      </c>
    </row>
    <row r="148" spans="1:9" x14ac:dyDescent="0.45">
      <c r="A148" s="32" t="s">
        <v>124</v>
      </c>
      <c r="B148" s="32">
        <v>25300000</v>
      </c>
      <c r="C148" s="32">
        <v>81338356440</v>
      </c>
      <c r="D148" s="32">
        <v>68642812826</v>
      </c>
      <c r="E148" s="32">
        <v>12695543614</v>
      </c>
      <c r="F148" s="32">
        <v>25300000</v>
      </c>
      <c r="G148" s="32">
        <v>81338356440</v>
      </c>
      <c r="H148" s="32">
        <v>68642812826</v>
      </c>
      <c r="I148" s="32">
        <v>12695543614</v>
      </c>
    </row>
    <row r="149" spans="1:9" x14ac:dyDescent="0.45">
      <c r="A149" s="32" t="s">
        <v>277</v>
      </c>
      <c r="B149" s="32">
        <v>23989450</v>
      </c>
      <c r="C149" s="32">
        <v>56748763539</v>
      </c>
      <c r="D149" s="32">
        <v>52035569252</v>
      </c>
      <c r="E149" s="32">
        <v>4713194287</v>
      </c>
      <c r="F149" s="32">
        <v>23989450</v>
      </c>
      <c r="G149" s="32">
        <v>56748763539</v>
      </c>
      <c r="H149" s="32">
        <v>26598787318</v>
      </c>
      <c r="I149" s="32">
        <v>30149976221</v>
      </c>
    </row>
    <row r="150" spans="1:9" x14ac:dyDescent="0.45">
      <c r="A150" s="32" t="s">
        <v>120</v>
      </c>
      <c r="B150" s="32">
        <v>14809541</v>
      </c>
      <c r="C150" s="32">
        <v>24408500055</v>
      </c>
      <c r="D150" s="32">
        <v>29276505870</v>
      </c>
      <c r="E150" s="32">
        <v>-4868005815</v>
      </c>
      <c r="F150" s="32">
        <v>14809541</v>
      </c>
      <c r="G150" s="32">
        <v>24408500055</v>
      </c>
      <c r="H150" s="32">
        <v>17234805525</v>
      </c>
      <c r="I150" s="32">
        <v>7173694530</v>
      </c>
    </row>
    <row r="151" spans="1:9" x14ac:dyDescent="0.45">
      <c r="A151" s="32" t="s">
        <v>278</v>
      </c>
      <c r="B151" s="32">
        <v>2447708</v>
      </c>
      <c r="C151" s="32">
        <v>23122054307</v>
      </c>
      <c r="D151" s="32">
        <v>28271083208</v>
      </c>
      <c r="E151" s="32">
        <v>-5149028901</v>
      </c>
      <c r="F151" s="32">
        <v>2447708</v>
      </c>
      <c r="G151" s="32">
        <v>23122054307</v>
      </c>
      <c r="H151" s="32">
        <v>22211766522</v>
      </c>
      <c r="I151" s="32">
        <v>910287785</v>
      </c>
    </row>
    <row r="152" spans="1:9" x14ac:dyDescent="0.45">
      <c r="A152" s="32" t="s">
        <v>161</v>
      </c>
      <c r="B152" s="32">
        <v>2367583</v>
      </c>
      <c r="C152" s="32">
        <v>42592475107</v>
      </c>
      <c r="D152" s="32">
        <v>47717400668</v>
      </c>
      <c r="E152" s="32">
        <v>-5124925561</v>
      </c>
      <c r="F152" s="32">
        <v>2367583</v>
      </c>
      <c r="G152" s="32">
        <v>42592475107</v>
      </c>
      <c r="H152" s="32">
        <v>31989438218</v>
      </c>
      <c r="I152" s="32">
        <v>10603036889</v>
      </c>
    </row>
    <row r="153" spans="1:9" x14ac:dyDescent="0.45">
      <c r="A153" s="32" t="s">
        <v>137</v>
      </c>
      <c r="B153" s="32">
        <v>4374516</v>
      </c>
      <c r="C153" s="32">
        <v>30428313949</v>
      </c>
      <c r="D153" s="32">
        <v>33640432683</v>
      </c>
      <c r="E153" s="32">
        <v>-3212118734</v>
      </c>
      <c r="F153" s="32">
        <v>4374516</v>
      </c>
      <c r="G153" s="32">
        <v>30428313949</v>
      </c>
      <c r="H153" s="32">
        <v>22335850309</v>
      </c>
      <c r="I153" s="32">
        <v>8092463640</v>
      </c>
    </row>
    <row r="154" spans="1:9" x14ac:dyDescent="0.45">
      <c r="A154" s="32" t="s">
        <v>339</v>
      </c>
      <c r="B154" s="32">
        <v>1753083</v>
      </c>
      <c r="C154" s="32">
        <v>24736140325</v>
      </c>
      <c r="D154" s="32">
        <v>25414557675</v>
      </c>
      <c r="E154" s="32">
        <v>-678417350</v>
      </c>
      <c r="F154" s="32">
        <v>1753083</v>
      </c>
      <c r="G154" s="32">
        <v>24736140325</v>
      </c>
      <c r="H154" s="32">
        <v>23623621037</v>
      </c>
      <c r="I154" s="32">
        <v>1112519288</v>
      </c>
    </row>
    <row r="155" spans="1:9" x14ac:dyDescent="0.45">
      <c r="A155" s="32" t="s">
        <v>357</v>
      </c>
      <c r="B155" s="32">
        <v>8977144</v>
      </c>
      <c r="C155" s="32">
        <v>33047755011</v>
      </c>
      <c r="D155" s="32">
        <v>31782854415</v>
      </c>
      <c r="E155" s="32">
        <v>1264900596</v>
      </c>
      <c r="F155" s="32">
        <v>8977144</v>
      </c>
      <c r="G155" s="32">
        <v>33047755011</v>
      </c>
      <c r="H155" s="32">
        <v>21957106384</v>
      </c>
      <c r="I155" s="32">
        <v>11090648627</v>
      </c>
    </row>
    <row r="156" spans="1:9" x14ac:dyDescent="0.45">
      <c r="A156" s="32" t="s">
        <v>279</v>
      </c>
      <c r="B156" s="32">
        <v>10684873</v>
      </c>
      <c r="C156" s="32">
        <v>70081063739</v>
      </c>
      <c r="D156" s="32">
        <v>41772978991</v>
      </c>
      <c r="E156" s="32">
        <v>28308084748</v>
      </c>
      <c r="F156" s="32">
        <v>10684873</v>
      </c>
      <c r="G156" s="32">
        <v>70081063739</v>
      </c>
      <c r="H156" s="32">
        <v>25519685389</v>
      </c>
      <c r="I156" s="32">
        <v>44561378350</v>
      </c>
    </row>
    <row r="157" spans="1:9" x14ac:dyDescent="0.45">
      <c r="A157" s="32" t="s">
        <v>103</v>
      </c>
      <c r="B157" s="32">
        <v>19865640</v>
      </c>
      <c r="C157" s="32">
        <v>97377668298</v>
      </c>
      <c r="D157" s="32">
        <v>106050982883</v>
      </c>
      <c r="E157" s="32">
        <v>-8673314585</v>
      </c>
      <c r="F157" s="32">
        <v>19865640</v>
      </c>
      <c r="G157" s="32">
        <v>97377668298</v>
      </c>
      <c r="H157" s="32">
        <v>79194501549</v>
      </c>
      <c r="I157" s="32">
        <v>18183166749</v>
      </c>
    </row>
    <row r="158" spans="1:9" x14ac:dyDescent="0.45">
      <c r="A158" s="32" t="s">
        <v>108</v>
      </c>
      <c r="B158" s="32">
        <v>45293355</v>
      </c>
      <c r="C158" s="32">
        <v>83684307975</v>
      </c>
      <c r="D158" s="32">
        <v>88163329677</v>
      </c>
      <c r="E158" s="32">
        <v>-4479021702</v>
      </c>
      <c r="F158" s="32">
        <v>45293355</v>
      </c>
      <c r="G158" s="32">
        <v>83684307975</v>
      </c>
      <c r="H158" s="32">
        <v>68065979777</v>
      </c>
      <c r="I158" s="32">
        <v>15618328198</v>
      </c>
    </row>
    <row r="159" spans="1:9" x14ac:dyDescent="0.45">
      <c r="A159" s="32" t="s">
        <v>158</v>
      </c>
      <c r="B159" s="32">
        <v>3240260</v>
      </c>
      <c r="C159" s="32">
        <v>52504424864</v>
      </c>
      <c r="D159" s="32">
        <v>37371855087</v>
      </c>
      <c r="E159" s="32">
        <v>15132569777</v>
      </c>
      <c r="F159" s="32">
        <v>3240260</v>
      </c>
      <c r="G159" s="32">
        <v>52504424864</v>
      </c>
      <c r="H159" s="32">
        <v>24114095926</v>
      </c>
      <c r="I159" s="32">
        <v>28390328938</v>
      </c>
    </row>
    <row r="160" spans="1:9" x14ac:dyDescent="0.45">
      <c r="A160" s="32" t="s">
        <v>111</v>
      </c>
      <c r="B160" s="32">
        <v>1962852</v>
      </c>
      <c r="C160" s="32">
        <v>46666392531</v>
      </c>
      <c r="D160" s="32">
        <v>43236313566</v>
      </c>
      <c r="E160" s="32">
        <v>3430078965</v>
      </c>
      <c r="F160" s="32">
        <v>1962852</v>
      </c>
      <c r="G160" s="32">
        <v>46666392531</v>
      </c>
      <c r="H160" s="32">
        <v>33719515278</v>
      </c>
      <c r="I160" s="32">
        <v>12946877253</v>
      </c>
    </row>
    <row r="161" spans="1:9" x14ac:dyDescent="0.45">
      <c r="A161" s="32" t="s">
        <v>280</v>
      </c>
      <c r="B161" s="32">
        <v>4684284</v>
      </c>
      <c r="C161" s="32">
        <v>43598938666</v>
      </c>
      <c r="D161" s="32">
        <v>45685542554</v>
      </c>
      <c r="E161" s="32">
        <v>-2086603888</v>
      </c>
      <c r="F161" s="32">
        <v>4684284</v>
      </c>
      <c r="G161" s="32">
        <v>43598938666</v>
      </c>
      <c r="H161" s="32">
        <v>39877193740</v>
      </c>
      <c r="I161" s="32">
        <v>3721744926</v>
      </c>
    </row>
    <row r="162" spans="1:9" x14ac:dyDescent="0.45">
      <c r="A162" s="32" t="s">
        <v>281</v>
      </c>
      <c r="B162" s="32">
        <v>2202712</v>
      </c>
      <c r="C162" s="32">
        <v>14622232892</v>
      </c>
      <c r="D162" s="32">
        <v>12786257462</v>
      </c>
      <c r="E162" s="32">
        <v>1835975430</v>
      </c>
      <c r="F162" s="32">
        <v>2202712</v>
      </c>
      <c r="G162" s="32">
        <v>14622232892</v>
      </c>
      <c r="H162" s="32">
        <v>10842794642</v>
      </c>
      <c r="I162" s="32">
        <v>3779438250</v>
      </c>
    </row>
    <row r="163" spans="1:9" x14ac:dyDescent="0.45">
      <c r="A163" s="32" t="s">
        <v>385</v>
      </c>
      <c r="B163" s="32">
        <v>0</v>
      </c>
      <c r="C163" s="32">
        <v>0</v>
      </c>
      <c r="D163" s="32">
        <v>0</v>
      </c>
      <c r="E163" s="32">
        <v>0</v>
      </c>
      <c r="F163" s="32">
        <v>0</v>
      </c>
      <c r="G163" s="32">
        <v>0</v>
      </c>
      <c r="H163" s="32">
        <v>-1115022677</v>
      </c>
      <c r="I163" s="32">
        <v>1115022677</v>
      </c>
    </row>
    <row r="164" spans="1:9" x14ac:dyDescent="0.45">
      <c r="A164" s="32" t="s">
        <v>282</v>
      </c>
      <c r="B164" s="32">
        <v>5768835</v>
      </c>
      <c r="C164" s="32">
        <v>36005481585</v>
      </c>
      <c r="D164" s="32">
        <v>43904935415</v>
      </c>
      <c r="E164" s="32">
        <v>-7899453830</v>
      </c>
      <c r="F164" s="32">
        <v>5768835</v>
      </c>
      <c r="G164" s="32">
        <v>36005481585</v>
      </c>
      <c r="H164" s="32">
        <v>36069899618</v>
      </c>
      <c r="I164" s="32">
        <v>-64418033</v>
      </c>
    </row>
    <row r="165" spans="1:9" x14ac:dyDescent="0.45">
      <c r="A165" s="32" t="s">
        <v>353</v>
      </c>
      <c r="B165" s="32">
        <v>1764830</v>
      </c>
      <c r="C165" s="32">
        <v>32116785428</v>
      </c>
      <c r="D165" s="32">
        <v>34848638496</v>
      </c>
      <c r="E165" s="32">
        <v>-2731853068</v>
      </c>
      <c r="F165" s="32">
        <v>1764830</v>
      </c>
      <c r="G165" s="32">
        <v>32116785428</v>
      </c>
      <c r="H165" s="32">
        <v>18965364568</v>
      </c>
      <c r="I165" s="32">
        <v>13151420860</v>
      </c>
    </row>
    <row r="166" spans="1:9" x14ac:dyDescent="0.45">
      <c r="A166" s="32" t="s">
        <v>283</v>
      </c>
      <c r="B166" s="32">
        <v>4000000</v>
      </c>
      <c r="C166" s="32">
        <v>44215551200</v>
      </c>
      <c r="D166" s="32">
        <v>46477926800</v>
      </c>
      <c r="E166" s="32">
        <v>-2262375600</v>
      </c>
      <c r="F166" s="32">
        <v>4000000</v>
      </c>
      <c r="G166" s="32">
        <v>44215551200</v>
      </c>
      <c r="H166" s="32">
        <v>26208961958</v>
      </c>
      <c r="I166" s="32">
        <v>18006589242</v>
      </c>
    </row>
    <row r="167" spans="1:9" x14ac:dyDescent="0.45">
      <c r="A167" s="32" t="s">
        <v>285</v>
      </c>
      <c r="B167" s="32">
        <v>7941110</v>
      </c>
      <c r="C167" s="32">
        <v>64062166036</v>
      </c>
      <c r="D167" s="32">
        <v>74857389587</v>
      </c>
      <c r="E167" s="32">
        <v>-10795223551</v>
      </c>
      <c r="F167" s="32">
        <v>7941110</v>
      </c>
      <c r="G167" s="32">
        <v>64062166036</v>
      </c>
      <c r="H167" s="32">
        <v>44172694636</v>
      </c>
      <c r="I167" s="32">
        <v>19889471400</v>
      </c>
    </row>
    <row r="168" spans="1:9" x14ac:dyDescent="0.45">
      <c r="A168" s="32" t="s">
        <v>286</v>
      </c>
      <c r="B168" s="32">
        <v>2141672</v>
      </c>
      <c r="C168" s="32">
        <v>15067078647</v>
      </c>
      <c r="D168" s="32">
        <v>16363399941</v>
      </c>
      <c r="E168" s="32">
        <v>-1296321294</v>
      </c>
      <c r="F168" s="32">
        <v>2141672</v>
      </c>
      <c r="G168" s="32">
        <v>15067078647</v>
      </c>
      <c r="H168" s="32">
        <v>11326872946</v>
      </c>
      <c r="I168" s="32">
        <v>3740205701</v>
      </c>
    </row>
    <row r="169" spans="1:9" x14ac:dyDescent="0.45">
      <c r="A169" s="32" t="s">
        <v>131</v>
      </c>
      <c r="B169" s="32">
        <v>13516623</v>
      </c>
      <c r="C169" s="32">
        <v>23685838364</v>
      </c>
      <c r="D169" s="32">
        <v>21558755712</v>
      </c>
      <c r="E169" s="32">
        <v>2127082652</v>
      </c>
      <c r="F169" s="32">
        <v>13516623</v>
      </c>
      <c r="G169" s="32">
        <v>23685838364</v>
      </c>
      <c r="H169" s="32">
        <v>15567172087</v>
      </c>
      <c r="I169" s="32">
        <v>8118666277</v>
      </c>
    </row>
    <row r="170" spans="1:9" x14ac:dyDescent="0.45">
      <c r="A170" s="32" t="s">
        <v>333</v>
      </c>
      <c r="B170" s="32">
        <v>2451893</v>
      </c>
      <c r="C170" s="32">
        <v>17322531854</v>
      </c>
      <c r="D170" s="32">
        <v>11223151607</v>
      </c>
      <c r="E170" s="32">
        <v>6099380247</v>
      </c>
      <c r="F170" s="32">
        <v>2451893</v>
      </c>
      <c r="G170" s="32">
        <v>17322531854</v>
      </c>
      <c r="H170" s="32">
        <v>13989404236</v>
      </c>
      <c r="I170" s="32">
        <v>3333127618</v>
      </c>
    </row>
    <row r="171" spans="1:9" x14ac:dyDescent="0.45">
      <c r="A171" s="32" t="s">
        <v>100</v>
      </c>
      <c r="B171" s="32">
        <v>15767933</v>
      </c>
      <c r="C171" s="32">
        <v>85896797360</v>
      </c>
      <c r="D171" s="32">
        <v>94629873914</v>
      </c>
      <c r="E171" s="32">
        <v>-8733076554</v>
      </c>
      <c r="F171" s="32">
        <v>15767933</v>
      </c>
      <c r="G171" s="32">
        <v>85896797360</v>
      </c>
      <c r="H171" s="32">
        <v>96176827877</v>
      </c>
      <c r="I171" s="32">
        <v>-10280030517</v>
      </c>
    </row>
    <row r="172" spans="1:9" x14ac:dyDescent="0.45">
      <c r="A172" s="32" t="s">
        <v>315</v>
      </c>
      <c r="B172" s="32">
        <v>2152500</v>
      </c>
      <c r="C172" s="32">
        <v>33191282659</v>
      </c>
      <c r="D172" s="32">
        <v>34152420188</v>
      </c>
      <c r="E172" s="32">
        <v>-961137529</v>
      </c>
      <c r="F172" s="32">
        <v>2152500</v>
      </c>
      <c r="G172" s="32">
        <v>33191282659</v>
      </c>
      <c r="H172" s="32">
        <v>31646991244</v>
      </c>
      <c r="I172" s="32">
        <v>1544291415</v>
      </c>
    </row>
    <row r="173" spans="1:9" x14ac:dyDescent="0.45">
      <c r="A173" s="32" t="s">
        <v>160</v>
      </c>
      <c r="B173" s="32">
        <v>6818151</v>
      </c>
      <c r="C173" s="32">
        <v>38563046149</v>
      </c>
      <c r="D173" s="32">
        <v>32991499773</v>
      </c>
      <c r="E173" s="32">
        <v>5571546376</v>
      </c>
      <c r="F173" s="32">
        <v>6818151</v>
      </c>
      <c r="G173" s="32">
        <v>38563046149</v>
      </c>
      <c r="H173" s="32">
        <v>27618685223</v>
      </c>
      <c r="I173" s="32">
        <v>10944360926</v>
      </c>
    </row>
    <row r="174" spans="1:9" x14ac:dyDescent="0.45">
      <c r="A174" s="26" t="s">
        <v>288</v>
      </c>
      <c r="B174" s="32">
        <v>1256499</v>
      </c>
      <c r="C174" s="32">
        <v>7742542692</v>
      </c>
      <c r="D174" s="32">
        <v>8353467960</v>
      </c>
      <c r="E174" s="32">
        <v>-610925268</v>
      </c>
      <c r="F174" s="32">
        <v>1256499</v>
      </c>
      <c r="G174" s="32">
        <v>7742542692</v>
      </c>
      <c r="H174" s="32">
        <v>7630331928</v>
      </c>
      <c r="I174" s="32">
        <v>112210764</v>
      </c>
    </row>
    <row r="175" spans="1:9" x14ac:dyDescent="0.45">
      <c r="A175" s="32" t="s">
        <v>373</v>
      </c>
      <c r="B175" s="32">
        <v>700000</v>
      </c>
      <c r="C175" s="32">
        <v>19135926950</v>
      </c>
      <c r="D175" s="32">
        <v>18545526300</v>
      </c>
      <c r="E175" s="32">
        <v>590400650</v>
      </c>
      <c r="F175" s="32">
        <v>700000</v>
      </c>
      <c r="G175" s="32">
        <v>19135926950</v>
      </c>
      <c r="H175" s="32">
        <v>12044173260</v>
      </c>
      <c r="I175" s="32">
        <v>7091753690</v>
      </c>
    </row>
    <row r="176" spans="1:9" x14ac:dyDescent="0.45">
      <c r="A176" s="32" t="s">
        <v>354</v>
      </c>
      <c r="B176" s="32">
        <v>7979362</v>
      </c>
      <c r="C176" s="32">
        <v>37767340906</v>
      </c>
      <c r="D176" s="32">
        <v>38479932244</v>
      </c>
      <c r="E176" s="32">
        <v>-712591338</v>
      </c>
      <c r="F176" s="32">
        <v>7979362</v>
      </c>
      <c r="G176" s="32">
        <v>37767340906</v>
      </c>
      <c r="H176" s="32">
        <v>26247114278</v>
      </c>
      <c r="I176" s="32">
        <v>11520226628</v>
      </c>
    </row>
    <row r="177" spans="1:9" x14ac:dyDescent="0.45">
      <c r="A177" s="32" t="s">
        <v>101</v>
      </c>
      <c r="B177" s="32">
        <v>893618</v>
      </c>
      <c r="C177" s="32">
        <v>18150960514</v>
      </c>
      <c r="D177" s="32">
        <v>19569697046</v>
      </c>
      <c r="E177" s="32">
        <v>-1418736532</v>
      </c>
      <c r="F177" s="32">
        <v>893618</v>
      </c>
      <c r="G177" s="32">
        <v>18150960514</v>
      </c>
      <c r="H177" s="32">
        <v>12147931560</v>
      </c>
      <c r="I177" s="32">
        <v>6003028954</v>
      </c>
    </row>
    <row r="178" spans="1:9" x14ac:dyDescent="0.45">
      <c r="A178" s="32" t="s">
        <v>386</v>
      </c>
      <c r="B178" s="32">
        <v>13385383</v>
      </c>
      <c r="C178" s="32">
        <v>93106217066</v>
      </c>
      <c r="D178" s="32">
        <v>82746324154</v>
      </c>
      <c r="E178" s="32">
        <v>10359892912</v>
      </c>
      <c r="F178" s="32">
        <v>13385383</v>
      </c>
      <c r="G178" s="32">
        <v>93106217066</v>
      </c>
      <c r="H178" s="32">
        <v>60941383555</v>
      </c>
      <c r="I178" s="32">
        <v>32164833511</v>
      </c>
    </row>
    <row r="179" spans="1:9" x14ac:dyDescent="0.45">
      <c r="A179" s="32" t="s">
        <v>289</v>
      </c>
      <c r="B179" s="32">
        <v>2470314</v>
      </c>
      <c r="C179" s="32">
        <v>43239493860</v>
      </c>
      <c r="D179" s="32">
        <v>35518155671</v>
      </c>
      <c r="E179" s="32">
        <v>7721338189</v>
      </c>
      <c r="F179" s="32">
        <v>2470314</v>
      </c>
      <c r="G179" s="32">
        <v>43239493860</v>
      </c>
      <c r="H179" s="32">
        <v>19364625935</v>
      </c>
      <c r="I179" s="32">
        <v>23874867925</v>
      </c>
    </row>
    <row r="180" spans="1:9" x14ac:dyDescent="0.45">
      <c r="A180" s="32" t="s">
        <v>326</v>
      </c>
      <c r="B180" s="32">
        <v>1483336</v>
      </c>
      <c r="C180" s="32">
        <v>4562796419</v>
      </c>
      <c r="D180" s="32">
        <v>4367037734</v>
      </c>
      <c r="E180" s="32">
        <v>195758685</v>
      </c>
      <c r="F180" s="32">
        <v>1483336</v>
      </c>
      <c r="G180" s="32">
        <v>4562796419</v>
      </c>
      <c r="H180" s="32">
        <v>4449440889</v>
      </c>
      <c r="I180" s="32">
        <v>113355530</v>
      </c>
    </row>
    <row r="181" spans="1:9" x14ac:dyDescent="0.45">
      <c r="A181" s="32" t="s">
        <v>387</v>
      </c>
      <c r="B181" s="32">
        <v>499999</v>
      </c>
      <c r="C181" s="32">
        <v>761069568</v>
      </c>
      <c r="D181" s="32">
        <v>975895593</v>
      </c>
      <c r="E181" s="32">
        <v>-214826025</v>
      </c>
      <c r="F181" s="32">
        <v>499999</v>
      </c>
      <c r="G181" s="32">
        <v>761069568</v>
      </c>
      <c r="H181" s="32">
        <v>404785753</v>
      </c>
      <c r="I181" s="32">
        <v>356283815</v>
      </c>
    </row>
    <row r="182" spans="1:9" x14ac:dyDescent="0.45">
      <c r="A182" s="32" t="s">
        <v>169</v>
      </c>
      <c r="B182" s="32">
        <v>1056071</v>
      </c>
      <c r="C182" s="32">
        <v>44976192955</v>
      </c>
      <c r="D182" s="32">
        <v>37230277974</v>
      </c>
      <c r="E182" s="32">
        <v>7745914981</v>
      </c>
      <c r="F182" s="32">
        <v>1056071</v>
      </c>
      <c r="G182" s="32">
        <v>44976192955</v>
      </c>
      <c r="H182" s="32">
        <v>19847369398</v>
      </c>
      <c r="I182" s="32">
        <v>25128823557</v>
      </c>
    </row>
    <row r="183" spans="1:9" x14ac:dyDescent="0.45">
      <c r="A183" s="32" t="s">
        <v>291</v>
      </c>
      <c r="B183" s="32">
        <v>14640871</v>
      </c>
      <c r="C183" s="32">
        <v>24973111258</v>
      </c>
      <c r="D183" s="32">
        <v>25234609806</v>
      </c>
      <c r="E183" s="32">
        <v>-261498548</v>
      </c>
      <c r="F183" s="32">
        <v>14640871</v>
      </c>
      <c r="G183" s="32">
        <v>24973111258</v>
      </c>
      <c r="H183" s="32">
        <v>21223893783</v>
      </c>
      <c r="I183" s="32">
        <v>3749217475</v>
      </c>
    </row>
    <row r="184" spans="1:9" x14ac:dyDescent="0.45">
      <c r="A184" s="32" t="s">
        <v>170</v>
      </c>
      <c r="B184" s="32">
        <v>23780964</v>
      </c>
      <c r="C184" s="32">
        <v>55689243670</v>
      </c>
      <c r="D184" s="32">
        <v>58791817312</v>
      </c>
      <c r="E184" s="32">
        <v>-3102573642</v>
      </c>
      <c r="F184" s="32">
        <v>23780964</v>
      </c>
      <c r="G184" s="32">
        <v>55689243670</v>
      </c>
      <c r="H184" s="32">
        <v>51358529965</v>
      </c>
      <c r="I184" s="32">
        <v>4330713705</v>
      </c>
    </row>
    <row r="185" spans="1:9" x14ac:dyDescent="0.45">
      <c r="A185" s="32" t="s">
        <v>340</v>
      </c>
      <c r="B185" s="32">
        <v>2845414</v>
      </c>
      <c r="C185" s="32">
        <v>58614177397</v>
      </c>
      <c r="D185" s="32">
        <v>50200388927</v>
      </c>
      <c r="E185" s="32">
        <v>8413788470</v>
      </c>
      <c r="F185" s="32">
        <v>2845414</v>
      </c>
      <c r="G185" s="32">
        <v>58614177397</v>
      </c>
      <c r="H185" s="32">
        <v>38683015830</v>
      </c>
      <c r="I185" s="32">
        <v>19931161567</v>
      </c>
    </row>
    <row r="186" spans="1:9" x14ac:dyDescent="0.45">
      <c r="A186" s="32" t="s">
        <v>292</v>
      </c>
      <c r="B186" s="32">
        <v>594875</v>
      </c>
      <c r="C186" s="32">
        <v>41732556769</v>
      </c>
      <c r="D186" s="32">
        <v>51407190509</v>
      </c>
      <c r="E186" s="32">
        <v>-9674633740</v>
      </c>
      <c r="F186" s="32">
        <v>594875</v>
      </c>
      <c r="G186" s="32">
        <v>41732556769</v>
      </c>
      <c r="H186" s="32">
        <v>30104107429</v>
      </c>
      <c r="I186" s="32">
        <v>11628449340</v>
      </c>
    </row>
    <row r="187" spans="1:9" x14ac:dyDescent="0.45">
      <c r="A187" s="32" t="s">
        <v>174</v>
      </c>
      <c r="B187" s="32">
        <v>2461948</v>
      </c>
      <c r="C187" s="32">
        <v>29534868246</v>
      </c>
      <c r="D187" s="32">
        <v>30320669444</v>
      </c>
      <c r="E187" s="32">
        <v>-785801198</v>
      </c>
      <c r="F187" s="32">
        <v>2461948</v>
      </c>
      <c r="G187" s="32">
        <v>29534868246</v>
      </c>
      <c r="H187" s="32">
        <v>29827834556</v>
      </c>
      <c r="I187" s="32">
        <v>-292966310</v>
      </c>
    </row>
    <row r="188" spans="1:9" x14ac:dyDescent="0.45">
      <c r="A188" s="32" t="s">
        <v>166</v>
      </c>
      <c r="B188" s="32">
        <v>7556849</v>
      </c>
      <c r="C188" s="32">
        <v>68160770125</v>
      </c>
      <c r="D188" s="32">
        <v>78289117794</v>
      </c>
      <c r="E188" s="32">
        <v>-10128347669</v>
      </c>
      <c r="F188" s="32">
        <v>7556849</v>
      </c>
      <c r="G188" s="32">
        <v>68160770125</v>
      </c>
      <c r="H188" s="32">
        <v>77874084591</v>
      </c>
      <c r="I188" s="32">
        <v>-9713314466</v>
      </c>
    </row>
    <row r="189" spans="1:9" x14ac:dyDescent="0.45">
      <c r="A189" s="32" t="s">
        <v>167</v>
      </c>
      <c r="B189" s="32">
        <v>9307926</v>
      </c>
      <c r="C189" s="32">
        <v>25906911928</v>
      </c>
      <c r="D189" s="32">
        <v>25912295635</v>
      </c>
      <c r="E189" s="32">
        <v>-5383707</v>
      </c>
      <c r="F189" s="32">
        <v>9307926</v>
      </c>
      <c r="G189" s="32">
        <v>25906911928</v>
      </c>
      <c r="H189" s="32">
        <v>21549841963</v>
      </c>
      <c r="I189" s="32">
        <v>4357069965</v>
      </c>
    </row>
    <row r="190" spans="1:9" x14ac:dyDescent="0.45">
      <c r="A190" s="32" t="s">
        <v>93</v>
      </c>
      <c r="B190" s="32">
        <v>2458695</v>
      </c>
      <c r="C190" s="32">
        <v>70507020413</v>
      </c>
      <c r="D190" s="32">
        <v>67467629313</v>
      </c>
      <c r="E190" s="32">
        <v>3039391100</v>
      </c>
      <c r="F190" s="32">
        <v>2458695</v>
      </c>
      <c r="G190" s="32">
        <v>70507020413</v>
      </c>
      <c r="H190" s="32">
        <v>45964893738</v>
      </c>
      <c r="I190" s="32">
        <v>24542126675</v>
      </c>
    </row>
    <row r="191" spans="1:9" x14ac:dyDescent="0.45">
      <c r="A191" s="32" t="s">
        <v>102</v>
      </c>
      <c r="B191" s="32">
        <v>1234887</v>
      </c>
      <c r="C191" s="32">
        <v>11542715267</v>
      </c>
      <c r="D191" s="32">
        <v>11224126523</v>
      </c>
      <c r="E191" s="32">
        <v>318588744</v>
      </c>
      <c r="F191" s="32">
        <v>1234887</v>
      </c>
      <c r="G191" s="32">
        <v>11542715267</v>
      </c>
      <c r="H191" s="32">
        <v>6329433102</v>
      </c>
      <c r="I191" s="32">
        <v>5213282165</v>
      </c>
    </row>
    <row r="192" spans="1:9" x14ac:dyDescent="0.45">
      <c r="A192" s="32" t="s">
        <v>163</v>
      </c>
      <c r="B192" s="32">
        <v>3565617</v>
      </c>
      <c r="C192" s="32">
        <v>39201646969</v>
      </c>
      <c r="D192" s="32">
        <v>41467460457</v>
      </c>
      <c r="E192" s="32">
        <v>-2265813488</v>
      </c>
      <c r="F192" s="32">
        <v>3565617</v>
      </c>
      <c r="G192" s="32">
        <v>39201646969</v>
      </c>
      <c r="H192" s="32">
        <v>24554100177</v>
      </c>
      <c r="I192" s="32">
        <v>14647546792</v>
      </c>
    </row>
    <row r="193" spans="1:9" x14ac:dyDescent="0.45">
      <c r="A193" s="32" t="s">
        <v>361</v>
      </c>
      <c r="B193" s="32">
        <v>2326440</v>
      </c>
      <c r="C193" s="32">
        <v>82712000652</v>
      </c>
      <c r="D193" s="32">
        <v>69369121395</v>
      </c>
      <c r="E193" s="32">
        <v>13342879257</v>
      </c>
      <c r="F193" s="32">
        <v>2326440</v>
      </c>
      <c r="G193" s="32">
        <v>82712000652</v>
      </c>
      <c r="H193" s="32">
        <v>49109166496</v>
      </c>
      <c r="I193" s="32">
        <v>33602834156</v>
      </c>
    </row>
    <row r="194" spans="1:9" x14ac:dyDescent="0.45">
      <c r="A194" s="32" t="s">
        <v>136</v>
      </c>
      <c r="B194" s="32">
        <v>635048</v>
      </c>
      <c r="C194" s="32">
        <v>24550218516</v>
      </c>
      <c r="D194" s="32">
        <v>27461461061</v>
      </c>
      <c r="E194" s="32">
        <v>-2911242545</v>
      </c>
      <c r="F194" s="32">
        <v>635048</v>
      </c>
      <c r="G194" s="32">
        <v>24550218516</v>
      </c>
      <c r="H194" s="32">
        <v>16320602145</v>
      </c>
      <c r="I194" s="32">
        <v>8229616371</v>
      </c>
    </row>
    <row r="195" spans="1:9" x14ac:dyDescent="0.45">
      <c r="A195" s="32" t="s">
        <v>369</v>
      </c>
      <c r="B195" s="32">
        <v>3490646</v>
      </c>
      <c r="C195" s="32">
        <v>54656606975</v>
      </c>
      <c r="D195" s="32">
        <v>51192943669</v>
      </c>
      <c r="E195" s="32">
        <v>3463663306</v>
      </c>
      <c r="F195" s="32">
        <v>3490646</v>
      </c>
      <c r="G195" s="32">
        <v>54656606975</v>
      </c>
      <c r="H195" s="32">
        <v>27709306451</v>
      </c>
      <c r="I195" s="32">
        <v>26947300524</v>
      </c>
    </row>
    <row r="196" spans="1:9" x14ac:dyDescent="0.45">
      <c r="A196" s="32" t="s">
        <v>388</v>
      </c>
      <c r="B196" s="32">
        <v>275726</v>
      </c>
      <c r="C196" s="32">
        <v>6380226959</v>
      </c>
      <c r="D196" s="32">
        <v>4143590793</v>
      </c>
      <c r="E196" s="32">
        <v>2236636166</v>
      </c>
      <c r="F196" s="32">
        <v>275726</v>
      </c>
      <c r="G196" s="32">
        <v>6380226959</v>
      </c>
      <c r="H196" s="32">
        <v>6374755066</v>
      </c>
      <c r="I196" s="32">
        <v>5471893</v>
      </c>
    </row>
    <row r="197" spans="1:9" x14ac:dyDescent="0.45">
      <c r="A197" s="32" t="s">
        <v>389</v>
      </c>
      <c r="B197" s="32">
        <v>487887</v>
      </c>
      <c r="C197" s="32">
        <v>11333146980</v>
      </c>
      <c r="D197" s="32">
        <v>14015147590</v>
      </c>
      <c r="E197" s="32">
        <v>-2682000610</v>
      </c>
      <c r="F197" s="32">
        <v>487887</v>
      </c>
      <c r="G197" s="32">
        <v>11333146980</v>
      </c>
      <c r="H197" s="32">
        <v>13075963261</v>
      </c>
      <c r="I197" s="32">
        <v>-1742816281</v>
      </c>
    </row>
    <row r="198" spans="1:9" x14ac:dyDescent="0.45">
      <c r="A198" s="32" t="s">
        <v>295</v>
      </c>
      <c r="B198" s="32">
        <v>3335116</v>
      </c>
      <c r="C198" s="32">
        <v>22073268141</v>
      </c>
      <c r="D198" s="32">
        <v>24257429606</v>
      </c>
      <c r="E198" s="32">
        <v>-2184161465</v>
      </c>
      <c r="F198" s="32">
        <v>3335116</v>
      </c>
      <c r="G198" s="32">
        <v>22073268141</v>
      </c>
      <c r="H198" s="32">
        <v>11781234570</v>
      </c>
      <c r="I198" s="32">
        <v>10292033571</v>
      </c>
    </row>
    <row r="199" spans="1:9" x14ac:dyDescent="0.45">
      <c r="A199" s="32" t="s">
        <v>94</v>
      </c>
      <c r="B199" s="32">
        <v>16099135</v>
      </c>
      <c r="C199" s="32">
        <v>40719481462</v>
      </c>
      <c r="D199" s="32">
        <v>51748528429</v>
      </c>
      <c r="E199" s="32">
        <v>-11029046967</v>
      </c>
      <c r="F199" s="32">
        <v>16099135</v>
      </c>
      <c r="G199" s="32">
        <v>40719481462</v>
      </c>
      <c r="H199" s="32">
        <v>40487169740</v>
      </c>
      <c r="I199" s="32">
        <v>232311722</v>
      </c>
    </row>
    <row r="200" spans="1:9" x14ac:dyDescent="0.45">
      <c r="A200" s="32" t="s">
        <v>97</v>
      </c>
      <c r="B200" s="32">
        <v>3737468</v>
      </c>
      <c r="C200" s="32">
        <v>48730706673</v>
      </c>
      <c r="D200" s="32">
        <v>61265698191</v>
      </c>
      <c r="E200" s="32">
        <v>-12534991518</v>
      </c>
      <c r="F200" s="32">
        <v>3737468</v>
      </c>
      <c r="G200" s="32">
        <v>48730706673</v>
      </c>
      <c r="H200" s="32">
        <v>60900823842</v>
      </c>
      <c r="I200" s="32">
        <v>-12170117169</v>
      </c>
    </row>
    <row r="201" spans="1:9" x14ac:dyDescent="0.45">
      <c r="A201" s="32" t="s">
        <v>296</v>
      </c>
      <c r="B201" s="32">
        <v>10456686</v>
      </c>
      <c r="C201" s="32">
        <v>37145563826</v>
      </c>
      <c r="D201" s="32">
        <v>31262453577</v>
      </c>
      <c r="E201" s="32">
        <v>5883110249</v>
      </c>
      <c r="F201" s="32">
        <v>10456686</v>
      </c>
      <c r="G201" s="32">
        <v>37145563826</v>
      </c>
      <c r="H201" s="32">
        <v>23696082347</v>
      </c>
      <c r="I201" s="32">
        <v>13449481479</v>
      </c>
    </row>
    <row r="202" spans="1:9" x14ac:dyDescent="0.45">
      <c r="A202" s="32" t="s">
        <v>297</v>
      </c>
      <c r="B202" s="32">
        <v>5623567</v>
      </c>
      <c r="C202" s="32">
        <v>56414778922</v>
      </c>
      <c r="D202" s="32">
        <v>64896526099</v>
      </c>
      <c r="E202" s="32">
        <v>-8481747177</v>
      </c>
      <c r="F202" s="32">
        <v>5623567</v>
      </c>
      <c r="G202" s="32">
        <v>56414778922</v>
      </c>
      <c r="H202" s="32">
        <v>51340584750</v>
      </c>
      <c r="I202" s="32">
        <v>5074194172</v>
      </c>
    </row>
    <row r="203" spans="1:9" x14ac:dyDescent="0.45">
      <c r="A203" s="32" t="s">
        <v>372</v>
      </c>
      <c r="B203" s="32">
        <v>16626589</v>
      </c>
      <c r="C203" s="32">
        <v>81995385371</v>
      </c>
      <c r="D203" s="32">
        <v>71355034995</v>
      </c>
      <c r="E203" s="32">
        <v>10640350376</v>
      </c>
      <c r="F203" s="32">
        <v>16626589</v>
      </c>
      <c r="G203" s="32">
        <v>81995385371</v>
      </c>
      <c r="H203" s="32">
        <v>71355034995</v>
      </c>
      <c r="I203" s="32">
        <v>10640350376</v>
      </c>
    </row>
    <row r="204" spans="1:9" x14ac:dyDescent="0.45">
      <c r="A204" s="32" t="s">
        <v>79</v>
      </c>
      <c r="B204" s="32">
        <v>2800000</v>
      </c>
      <c r="C204" s="32">
        <v>18670552320</v>
      </c>
      <c r="D204" s="32">
        <v>19775339629</v>
      </c>
      <c r="E204" s="32">
        <v>-1104787309</v>
      </c>
      <c r="F204" s="32">
        <v>2800000</v>
      </c>
      <c r="G204" s="32">
        <v>18670552320</v>
      </c>
      <c r="H204" s="32">
        <v>17481893266</v>
      </c>
      <c r="I204" s="32">
        <v>1188659054</v>
      </c>
    </row>
    <row r="205" spans="1:9" x14ac:dyDescent="0.45">
      <c r="A205" s="32" t="s">
        <v>83</v>
      </c>
      <c r="B205" s="32">
        <v>10285372</v>
      </c>
      <c r="C205" s="32">
        <v>26739369115</v>
      </c>
      <c r="D205" s="32">
        <v>37132545033</v>
      </c>
      <c r="E205" s="32">
        <v>-10393175918</v>
      </c>
      <c r="F205" s="32">
        <v>10285372</v>
      </c>
      <c r="G205" s="32">
        <v>26739369115</v>
      </c>
      <c r="H205" s="32">
        <v>33777620235</v>
      </c>
      <c r="I205" s="32">
        <v>-7038251120</v>
      </c>
    </row>
    <row r="206" spans="1:9" x14ac:dyDescent="0.45">
      <c r="A206" s="32" t="s">
        <v>175</v>
      </c>
      <c r="B206" s="32">
        <v>12061503</v>
      </c>
      <c r="C206" s="32">
        <v>39734648372</v>
      </c>
      <c r="D206" s="32">
        <v>45048559178</v>
      </c>
      <c r="E206" s="32">
        <v>-5313910806</v>
      </c>
      <c r="F206" s="32">
        <v>12061503</v>
      </c>
      <c r="G206" s="32">
        <v>39734648372</v>
      </c>
      <c r="H206" s="32">
        <v>41866729557</v>
      </c>
      <c r="I206" s="32">
        <v>-2132081185</v>
      </c>
    </row>
    <row r="207" spans="1:9" x14ac:dyDescent="0.45">
      <c r="A207" s="32" t="s">
        <v>177</v>
      </c>
      <c r="B207" s="32">
        <v>12308125</v>
      </c>
      <c r="C207" s="32">
        <v>69736134036</v>
      </c>
      <c r="D207" s="32">
        <v>66624835592</v>
      </c>
      <c r="E207" s="32">
        <v>3111298444</v>
      </c>
      <c r="F207" s="32">
        <v>12308125</v>
      </c>
      <c r="G207" s="32">
        <v>69736134036</v>
      </c>
      <c r="H207" s="32">
        <v>64541118952</v>
      </c>
      <c r="I207" s="32">
        <v>5195015084</v>
      </c>
    </row>
    <row r="208" spans="1:9" x14ac:dyDescent="0.45">
      <c r="A208" s="32" t="s">
        <v>154</v>
      </c>
      <c r="B208" s="32">
        <v>8769322</v>
      </c>
      <c r="C208" s="32">
        <v>36720478295</v>
      </c>
      <c r="D208" s="32">
        <v>32639458314</v>
      </c>
      <c r="E208" s="32">
        <v>4081019981</v>
      </c>
      <c r="F208" s="32">
        <v>8769322</v>
      </c>
      <c r="G208" s="32">
        <v>36720478295</v>
      </c>
      <c r="H208" s="32">
        <v>23276591884</v>
      </c>
      <c r="I208" s="32">
        <v>13443886411</v>
      </c>
    </row>
    <row r="209" spans="1:9" x14ac:dyDescent="0.45">
      <c r="A209" s="32" t="s">
        <v>300</v>
      </c>
      <c r="B209" s="32">
        <v>906895</v>
      </c>
      <c r="C209" s="32">
        <v>55207926446</v>
      </c>
      <c r="D209" s="32">
        <v>45966110560</v>
      </c>
      <c r="E209" s="32">
        <v>9241815886</v>
      </c>
      <c r="F209" s="32">
        <v>906895</v>
      </c>
      <c r="G209" s="32">
        <v>55207926446</v>
      </c>
      <c r="H209" s="32">
        <v>45139170264</v>
      </c>
      <c r="I209" s="32">
        <v>10068756182</v>
      </c>
    </row>
    <row r="210" spans="1:9" x14ac:dyDescent="0.45">
      <c r="A210" s="32" t="s">
        <v>302</v>
      </c>
      <c r="B210" s="32">
        <v>21351892</v>
      </c>
      <c r="C210" s="32">
        <v>38284623268</v>
      </c>
      <c r="D210" s="32">
        <v>32352307543</v>
      </c>
      <c r="E210" s="32">
        <v>5932315725</v>
      </c>
      <c r="F210" s="32">
        <v>21351892</v>
      </c>
      <c r="G210" s="32">
        <v>38284623268</v>
      </c>
      <c r="H210" s="32">
        <v>20723246603</v>
      </c>
      <c r="I210" s="32">
        <v>17561376665</v>
      </c>
    </row>
    <row r="211" spans="1:9" x14ac:dyDescent="0.45">
      <c r="A211" s="32" t="s">
        <v>112</v>
      </c>
      <c r="B211" s="32">
        <v>3770924</v>
      </c>
      <c r="C211" s="32">
        <v>40471035777</v>
      </c>
      <c r="D211" s="32">
        <v>43749414507</v>
      </c>
      <c r="E211" s="32">
        <v>-3278378730</v>
      </c>
      <c r="F211" s="32">
        <v>3770924</v>
      </c>
      <c r="G211" s="32">
        <v>40471035777</v>
      </c>
      <c r="H211" s="32">
        <v>22755973993</v>
      </c>
      <c r="I211" s="32">
        <v>17715061784</v>
      </c>
    </row>
    <row r="212" spans="1:9" x14ac:dyDescent="0.45">
      <c r="A212" s="32" t="s">
        <v>88</v>
      </c>
      <c r="B212" s="32">
        <v>1818593</v>
      </c>
      <c r="C212" s="32">
        <v>75682209480</v>
      </c>
      <c r="D212" s="32">
        <v>106880041077</v>
      </c>
      <c r="E212" s="32">
        <v>-31197831597</v>
      </c>
      <c r="F212" s="32">
        <v>1818593</v>
      </c>
      <c r="G212" s="32">
        <v>75682209480</v>
      </c>
      <c r="H212" s="32">
        <v>87657524276</v>
      </c>
      <c r="I212" s="32">
        <v>-11975314796</v>
      </c>
    </row>
    <row r="213" spans="1:9" x14ac:dyDescent="0.45">
      <c r="A213" s="32" t="s">
        <v>85</v>
      </c>
      <c r="B213" s="32">
        <v>4500000</v>
      </c>
      <c r="C213" s="32">
        <v>80150609250</v>
      </c>
      <c r="D213" s="32">
        <v>94649381640</v>
      </c>
      <c r="E213" s="32">
        <v>-14498772390</v>
      </c>
      <c r="F213" s="32">
        <v>4500000</v>
      </c>
      <c r="G213" s="32">
        <v>80150609250</v>
      </c>
      <c r="H213" s="32">
        <v>57925864440</v>
      </c>
      <c r="I213" s="32">
        <v>22224744810</v>
      </c>
    </row>
    <row r="214" spans="1:9" x14ac:dyDescent="0.45">
      <c r="A214" s="32" t="s">
        <v>104</v>
      </c>
      <c r="B214" s="32">
        <v>3329460</v>
      </c>
      <c r="C214" s="32">
        <v>66636098441</v>
      </c>
      <c r="D214" s="32">
        <v>92298179250</v>
      </c>
      <c r="E214" s="32">
        <v>-25662080809</v>
      </c>
      <c r="F214" s="32">
        <v>3329460</v>
      </c>
      <c r="G214" s="32">
        <v>66636098441</v>
      </c>
      <c r="H214" s="32">
        <v>74346518265</v>
      </c>
      <c r="I214" s="32">
        <v>-7710419824</v>
      </c>
    </row>
    <row r="215" spans="1:9" x14ac:dyDescent="0.45">
      <c r="A215" s="32" t="s">
        <v>312</v>
      </c>
      <c r="B215" s="32">
        <v>392921</v>
      </c>
      <c r="C215" s="32">
        <v>18757305801</v>
      </c>
      <c r="D215" s="32">
        <v>22866680217</v>
      </c>
      <c r="E215" s="32">
        <v>-4109374416</v>
      </c>
      <c r="F215" s="32">
        <v>392921</v>
      </c>
      <c r="G215" s="32">
        <v>18757305801</v>
      </c>
      <c r="H215" s="32">
        <v>17778697663</v>
      </c>
      <c r="I215" s="32">
        <v>978608138</v>
      </c>
    </row>
    <row r="216" spans="1:9" x14ac:dyDescent="0.45">
      <c r="A216" s="32" t="s">
        <v>390</v>
      </c>
      <c r="B216" s="32">
        <v>1881856</v>
      </c>
      <c r="C216" s="32">
        <v>19550727880</v>
      </c>
      <c r="D216" s="32">
        <v>24125635550</v>
      </c>
      <c r="E216" s="32">
        <v>-4574907670</v>
      </c>
      <c r="F216" s="32">
        <v>1881856</v>
      </c>
      <c r="G216" s="32">
        <v>19550727880</v>
      </c>
      <c r="H216" s="32">
        <v>24334782847</v>
      </c>
      <c r="I216" s="32">
        <v>-4784054967</v>
      </c>
    </row>
    <row r="217" spans="1:9" x14ac:dyDescent="0.45">
      <c r="A217" s="32" t="s">
        <v>391</v>
      </c>
      <c r="B217" s="32">
        <v>1136013</v>
      </c>
      <c r="C217" s="32">
        <v>30345075197</v>
      </c>
      <c r="D217" s="32">
        <v>29060031151</v>
      </c>
      <c r="E217" s="32">
        <v>1285044046</v>
      </c>
      <c r="F217" s="32">
        <v>1136013</v>
      </c>
      <c r="G217" s="32">
        <v>30345075197</v>
      </c>
      <c r="H217" s="32">
        <v>21782308227</v>
      </c>
      <c r="I217" s="32">
        <v>8562766970</v>
      </c>
    </row>
    <row r="218" spans="1:9" x14ac:dyDescent="0.45">
      <c r="A218" s="32" t="s">
        <v>134</v>
      </c>
      <c r="B218" s="32">
        <v>7791749</v>
      </c>
      <c r="C218" s="32">
        <v>98422234072</v>
      </c>
      <c r="D218" s="32">
        <v>80917155916</v>
      </c>
      <c r="E218" s="32">
        <v>17505078156</v>
      </c>
      <c r="F218" s="32">
        <v>7791749</v>
      </c>
      <c r="G218" s="32">
        <v>98422234072</v>
      </c>
      <c r="H218" s="32">
        <v>55213870303</v>
      </c>
      <c r="I218" s="32">
        <v>43208363769</v>
      </c>
    </row>
    <row r="219" spans="1:9" x14ac:dyDescent="0.45">
      <c r="A219" s="32" t="s">
        <v>168</v>
      </c>
      <c r="B219" s="32">
        <v>13995002</v>
      </c>
      <c r="C219" s="32">
        <v>94430380315</v>
      </c>
      <c r="D219" s="32">
        <v>68896550561</v>
      </c>
      <c r="E219" s="32">
        <v>25533829754</v>
      </c>
      <c r="F219" s="32">
        <v>13995002</v>
      </c>
      <c r="G219" s="32">
        <v>94430380315</v>
      </c>
      <c r="H219" s="32">
        <v>37383321148</v>
      </c>
      <c r="I219" s="32">
        <v>57047059167</v>
      </c>
    </row>
    <row r="220" spans="1:9" x14ac:dyDescent="0.45">
      <c r="A220" s="32" t="s">
        <v>152</v>
      </c>
      <c r="B220" s="32">
        <v>5368712</v>
      </c>
      <c r="C220" s="32">
        <v>104040447552</v>
      </c>
      <c r="D220" s="32">
        <v>90073568691</v>
      </c>
      <c r="E220" s="32">
        <v>13966878861</v>
      </c>
      <c r="F220" s="32">
        <v>5368712</v>
      </c>
      <c r="G220" s="32">
        <v>104040447552</v>
      </c>
      <c r="H220" s="32">
        <v>55722597455</v>
      </c>
      <c r="I220" s="32">
        <v>48317850097</v>
      </c>
    </row>
    <row r="221" spans="1:9" x14ac:dyDescent="0.45">
      <c r="A221" s="32" t="s">
        <v>314</v>
      </c>
      <c r="B221" s="32">
        <v>900000</v>
      </c>
      <c r="C221" s="32">
        <v>5795849070</v>
      </c>
      <c r="D221" s="32">
        <v>6626379060</v>
      </c>
      <c r="E221" s="32">
        <v>-830529990</v>
      </c>
      <c r="F221" s="32">
        <v>900000</v>
      </c>
      <c r="G221" s="32">
        <v>5795849070</v>
      </c>
      <c r="H221" s="32">
        <v>4728662685</v>
      </c>
      <c r="I221" s="32">
        <v>1067186385</v>
      </c>
    </row>
    <row r="222" spans="1:9" x14ac:dyDescent="0.45">
      <c r="A222" s="32" t="s">
        <v>303</v>
      </c>
      <c r="B222" s="32">
        <v>1505716</v>
      </c>
      <c r="C222" s="32">
        <v>20707904660</v>
      </c>
      <c r="D222" s="32">
        <v>19333353990</v>
      </c>
      <c r="E222" s="32">
        <v>1374550670</v>
      </c>
      <c r="F222" s="32">
        <v>1505716</v>
      </c>
      <c r="G222" s="32">
        <v>20707904660</v>
      </c>
      <c r="H222" s="32">
        <v>14632744233</v>
      </c>
      <c r="I222" s="32">
        <v>6075160427</v>
      </c>
    </row>
    <row r="223" spans="1:9" x14ac:dyDescent="0.45">
      <c r="A223" s="32" t="s">
        <v>151</v>
      </c>
      <c r="B223" s="32">
        <v>11733352</v>
      </c>
      <c r="C223" s="32">
        <v>59843237392</v>
      </c>
      <c r="D223" s="32">
        <v>61356782306</v>
      </c>
      <c r="E223" s="32">
        <v>-1513544914</v>
      </c>
      <c r="F223" s="32">
        <v>11733352</v>
      </c>
      <c r="G223" s="32">
        <v>59843237392</v>
      </c>
      <c r="H223" s="32">
        <v>51512027002</v>
      </c>
      <c r="I223" s="32">
        <v>8331210390</v>
      </c>
    </row>
    <row r="224" spans="1:9" x14ac:dyDescent="0.45">
      <c r="A224" s="32" t="s">
        <v>348</v>
      </c>
      <c r="B224" s="32">
        <v>2024465</v>
      </c>
      <c r="C224" s="32">
        <v>28926948752</v>
      </c>
      <c r="D224" s="32">
        <v>29127830340</v>
      </c>
      <c r="E224" s="32">
        <v>-200881588</v>
      </c>
      <c r="F224" s="32">
        <v>2024465</v>
      </c>
      <c r="G224" s="32">
        <v>28926948752</v>
      </c>
      <c r="H224" s="32">
        <v>15407617842</v>
      </c>
      <c r="I224" s="32">
        <v>13519330910</v>
      </c>
    </row>
    <row r="225" spans="1:9" x14ac:dyDescent="0.45">
      <c r="A225" s="32" t="s">
        <v>365</v>
      </c>
      <c r="B225" s="32">
        <v>2192838</v>
      </c>
      <c r="C225" s="32">
        <v>36163247961</v>
      </c>
      <c r="D225" s="32">
        <v>36554907686</v>
      </c>
      <c r="E225" s="32">
        <v>-391659725</v>
      </c>
      <c r="F225" s="32">
        <v>2192838</v>
      </c>
      <c r="G225" s="32">
        <v>36163247961</v>
      </c>
      <c r="H225" s="32">
        <v>20061681480</v>
      </c>
      <c r="I225" s="32">
        <v>16101566481</v>
      </c>
    </row>
    <row r="226" spans="1:9" x14ac:dyDescent="0.45">
      <c r="A226" s="32" t="s">
        <v>129</v>
      </c>
      <c r="B226" s="32">
        <v>9957775</v>
      </c>
      <c r="C226" s="32">
        <v>99993710160</v>
      </c>
      <c r="D226" s="32">
        <v>78458831085</v>
      </c>
      <c r="E226" s="32">
        <v>21534879075</v>
      </c>
      <c r="F226" s="32">
        <v>9957775</v>
      </c>
      <c r="G226" s="32">
        <v>99993710160</v>
      </c>
      <c r="H226" s="32">
        <v>51271762649</v>
      </c>
      <c r="I226" s="32">
        <v>48721947511</v>
      </c>
    </row>
    <row r="227" spans="1:9" x14ac:dyDescent="0.45">
      <c r="A227" s="32" t="s">
        <v>150</v>
      </c>
      <c r="B227" s="32">
        <v>30893229</v>
      </c>
      <c r="C227" s="32">
        <v>64404945538</v>
      </c>
      <c r="D227" s="32">
        <v>73487761775</v>
      </c>
      <c r="E227" s="32">
        <v>-9082816237</v>
      </c>
      <c r="F227" s="32">
        <v>30893229</v>
      </c>
      <c r="G227" s="32">
        <v>64404945538</v>
      </c>
      <c r="H227" s="32">
        <v>73541444351</v>
      </c>
      <c r="I227" s="32">
        <v>-9136498813</v>
      </c>
    </row>
    <row r="228" spans="1:9" x14ac:dyDescent="0.45">
      <c r="A228" s="32" t="s">
        <v>392</v>
      </c>
      <c r="B228" s="32">
        <v>0</v>
      </c>
      <c r="C228" s="32">
        <v>0</v>
      </c>
      <c r="D228" s="32">
        <v>95946723</v>
      </c>
      <c r="E228" s="32">
        <v>-95946723</v>
      </c>
      <c r="F228" s="32">
        <v>0</v>
      </c>
      <c r="G228" s="32">
        <v>0</v>
      </c>
      <c r="H228" s="32">
        <v>0</v>
      </c>
      <c r="I228" s="32">
        <v>0</v>
      </c>
    </row>
    <row r="229" spans="1:9" x14ac:dyDescent="0.45">
      <c r="A229" s="32" t="s">
        <v>393</v>
      </c>
      <c r="B229" s="32">
        <v>15752234</v>
      </c>
      <c r="C229" s="32">
        <v>28916368078</v>
      </c>
      <c r="D229" s="32">
        <v>26806254731</v>
      </c>
      <c r="E229" s="32">
        <v>2110113347</v>
      </c>
      <c r="F229" s="32">
        <v>15752234</v>
      </c>
      <c r="G229" s="32">
        <v>28916368078</v>
      </c>
      <c r="H229" s="32">
        <v>23632644392</v>
      </c>
      <c r="I229" s="32">
        <v>5283723686</v>
      </c>
    </row>
    <row r="230" spans="1:9" x14ac:dyDescent="0.45">
      <c r="A230" s="32" t="s">
        <v>394</v>
      </c>
      <c r="B230" s="32">
        <v>1500000</v>
      </c>
      <c r="C230" s="32">
        <v>26999666700</v>
      </c>
      <c r="D230" s="32">
        <v>22802364600</v>
      </c>
      <c r="E230" s="32">
        <v>4197302100</v>
      </c>
      <c r="F230" s="32">
        <v>1500000</v>
      </c>
      <c r="G230" s="32">
        <v>26999666700</v>
      </c>
      <c r="H230" s="32">
        <v>13112848050</v>
      </c>
      <c r="I230" s="32">
        <v>13886818650</v>
      </c>
    </row>
    <row r="231" spans="1:9" x14ac:dyDescent="0.45">
      <c r="A231" s="32" t="s">
        <v>305</v>
      </c>
      <c r="B231" s="32">
        <v>30913216</v>
      </c>
      <c r="C231" s="32">
        <v>41686315046</v>
      </c>
      <c r="D231" s="32">
        <v>39171025985</v>
      </c>
      <c r="E231" s="32">
        <v>2515289061</v>
      </c>
      <c r="F231" s="32">
        <v>30913216</v>
      </c>
      <c r="G231" s="32">
        <v>41686315046</v>
      </c>
      <c r="H231" s="32">
        <v>31823848668</v>
      </c>
      <c r="I231" s="32">
        <v>9862466378</v>
      </c>
    </row>
    <row r="232" spans="1:9" x14ac:dyDescent="0.45">
      <c r="A232" s="32" t="s">
        <v>334</v>
      </c>
      <c r="B232" s="32">
        <v>5200000</v>
      </c>
      <c r="C232" s="32">
        <v>14824116892</v>
      </c>
      <c r="D232" s="32">
        <v>15850917888</v>
      </c>
      <c r="E232" s="32">
        <v>-1026800996</v>
      </c>
      <c r="F232" s="32">
        <v>5200000</v>
      </c>
      <c r="G232" s="32">
        <v>14824116892</v>
      </c>
      <c r="H232" s="32">
        <v>15035668856</v>
      </c>
      <c r="I232" s="32">
        <v>-211551964</v>
      </c>
    </row>
    <row r="233" spans="1:9" x14ac:dyDescent="0.45">
      <c r="A233" s="32" t="s">
        <v>106</v>
      </c>
      <c r="B233" s="32">
        <v>11417778</v>
      </c>
      <c r="C233" s="32">
        <v>24301817346</v>
      </c>
      <c r="D233" s="32">
        <v>23339173947</v>
      </c>
      <c r="E233" s="32">
        <v>962643399</v>
      </c>
      <c r="F233" s="32">
        <v>11417778</v>
      </c>
      <c r="G233" s="32">
        <v>24301817346</v>
      </c>
      <c r="H233" s="32">
        <v>21543693739</v>
      </c>
      <c r="I233" s="32">
        <v>2758123607</v>
      </c>
    </row>
    <row r="234" spans="1:9" x14ac:dyDescent="0.45">
      <c r="A234" s="32" t="s">
        <v>395</v>
      </c>
      <c r="B234" s="32">
        <v>0</v>
      </c>
      <c r="C234" s="32">
        <v>0</v>
      </c>
      <c r="D234" s="32">
        <v>-39729049</v>
      </c>
      <c r="E234" s="32">
        <v>39729049</v>
      </c>
      <c r="F234" s="32">
        <v>0</v>
      </c>
      <c r="G234" s="32">
        <v>0</v>
      </c>
      <c r="H234" s="32">
        <v>0</v>
      </c>
      <c r="I234" s="32">
        <v>0</v>
      </c>
    </row>
    <row r="235" spans="1:9" x14ac:dyDescent="0.45">
      <c r="A235" s="32" t="s">
        <v>121</v>
      </c>
      <c r="B235" s="59">
        <v>18536480</v>
      </c>
      <c r="C235" s="59">
        <v>80378253452</v>
      </c>
      <c r="D235" s="59">
        <v>71410217025</v>
      </c>
      <c r="E235" s="59">
        <v>8968036427</v>
      </c>
      <c r="F235" s="59">
        <v>18536480</v>
      </c>
      <c r="G235" s="59">
        <v>80378253452</v>
      </c>
      <c r="H235" s="59">
        <v>57735350588</v>
      </c>
      <c r="I235" s="59">
        <v>22642902864</v>
      </c>
    </row>
    <row r="236" spans="1:9" ht="19.5" thickBot="1" x14ac:dyDescent="0.5">
      <c r="A236" s="32" t="s">
        <v>2</v>
      </c>
      <c r="B236" s="34">
        <f t="shared" ref="B236:I236" si="0">SUM(B7:B235)</f>
        <v>1959687994</v>
      </c>
      <c r="C236" s="34">
        <f t="shared" si="0"/>
        <v>9010220177209</v>
      </c>
      <c r="D236" s="34">
        <f t="shared" si="0"/>
        <v>8979495960146</v>
      </c>
      <c r="E236" s="34">
        <f t="shared" si="0"/>
        <v>30724217063</v>
      </c>
      <c r="F236" s="34">
        <f t="shared" si="0"/>
        <v>1959687994</v>
      </c>
      <c r="G236" s="34">
        <f t="shared" si="0"/>
        <v>9010220177209</v>
      </c>
      <c r="H236" s="34">
        <f t="shared" si="0"/>
        <v>6950334360747</v>
      </c>
      <c r="I236" s="34">
        <f t="shared" si="0"/>
        <v>2059885816462</v>
      </c>
    </row>
    <row r="237" spans="1:9" ht="19.5" thickTop="1" x14ac:dyDescent="0.45"/>
  </sheetData>
  <mergeCells count="6">
    <mergeCell ref="B5:E5"/>
    <mergeCell ref="F5:I5"/>
    <mergeCell ref="A4:D4"/>
    <mergeCell ref="A1:I1"/>
    <mergeCell ref="A2:I2"/>
    <mergeCell ref="A3:I3"/>
  </mergeCells>
  <pageMargins left="0.70866141732283472" right="0.70866141732283472" top="0.74803149606299213" bottom="0.74803149606299213" header="0.31496062992125984" footer="0.31496062992125984"/>
  <pageSetup scale="75" fitToHeight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1</vt:lpstr>
      <vt:lpstr> سهام</vt:lpstr>
      <vt:lpstr>تعدیل قیمت</vt:lpstr>
      <vt:lpstr>سپرده</vt:lpstr>
      <vt:lpstr>درآمدها</vt:lpstr>
      <vt:lpstr>درآمد سرمایه گذاری در سهام </vt:lpstr>
      <vt:lpstr>درآمد سپرده بانکی</vt:lpstr>
      <vt:lpstr>سایر درآمدها</vt:lpstr>
      <vt:lpstr>درآمد سود سهام</vt:lpstr>
      <vt:lpstr>سود  سپرده بانکی</vt:lpstr>
      <vt:lpstr>درآمد ناشی ازفروش</vt:lpstr>
      <vt:lpstr>درآمد ناشی از تغییر قیمت اوراق </vt:lpstr>
      <vt:lpstr>' سهام'!Print_Area</vt:lpstr>
      <vt:lpstr>'تعدیل قیمت'!Print_Area</vt:lpstr>
      <vt:lpstr>'درآمد سرمایه گذاری در سهام '!Print_Area</vt:lpstr>
      <vt:lpstr>'درآمد ناشی از تغییر قیمت اوراق '!Print_Area</vt:lpstr>
      <vt:lpstr>'سایر درآمدها'!Print_Area</vt:lpstr>
      <vt:lpstr>سپرده!Print_Area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Akbar Iranshahi</dc:creator>
  <cp:lastModifiedBy>Mostafa Langari</cp:lastModifiedBy>
  <cp:lastPrinted>2026-07-26T06:25:44Z</cp:lastPrinted>
  <dcterms:created xsi:type="dcterms:W3CDTF">2017-11-22T14:26:20Z</dcterms:created>
  <dcterms:modified xsi:type="dcterms:W3CDTF">2026-07-26T06:26:45Z</dcterms:modified>
</cp:coreProperties>
</file>