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zaei\پرتفو\پرتفوی1404.07.30\پرتفوی مشترک1404.07.30\"/>
    </mc:Choice>
  </mc:AlternateContent>
  <xr:revisionPtr revIDLastSave="0" documentId="13_ncr:1_{6CBF6E03-888C-42FE-85F3-F256444B0C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</sheets>
  <definedNames>
    <definedName name="_xlnm._FilterDatabase" localSheetId="10" hidden="1">'11'!$A$8:$Q$199</definedName>
    <definedName name="_xlnm.Print_Titles" localSheetId="1">'1'!$1:$10</definedName>
    <definedName name="_xlnm.Print_Titles" localSheetId="9">'10'!$1:$8</definedName>
    <definedName name="_xlnm.Print_Titles" localSheetId="10">'11'!$1:$8</definedName>
    <definedName name="_xlnm.Print_Titles" localSheetId="11">'12'!$1:$8</definedName>
    <definedName name="_xlnm.Print_Titles" localSheetId="7">'8'!$1:$8</definedName>
  </definedNames>
  <calcPr calcId="191029"/>
</workbook>
</file>

<file path=xl/calcChain.xml><?xml version="1.0" encoding="utf-8"?>
<calcChain xmlns="http://schemas.openxmlformats.org/spreadsheetml/2006/main">
  <c r="E9" i="16" l="1"/>
  <c r="C9" i="16"/>
  <c r="G16" i="15"/>
  <c r="I14" i="15" s="1"/>
  <c r="C16" i="15"/>
  <c r="E14" i="15" s="1"/>
  <c r="Q9" i="14"/>
  <c r="O9" i="14"/>
  <c r="M9" i="14"/>
  <c r="K9" i="14"/>
  <c r="I9" i="14"/>
  <c r="G9" i="14"/>
  <c r="E9" i="14"/>
  <c r="C9" i="14"/>
  <c r="U205" i="13"/>
  <c r="S205" i="13"/>
  <c r="Q205" i="13"/>
  <c r="O205" i="13"/>
  <c r="M205" i="13"/>
  <c r="K205" i="13"/>
  <c r="I205" i="13"/>
  <c r="G205" i="13"/>
  <c r="E205" i="13"/>
  <c r="C205" i="13"/>
  <c r="Q199" i="12"/>
  <c r="O199" i="12"/>
  <c r="M199" i="12"/>
  <c r="K199" i="12"/>
  <c r="I199" i="12"/>
  <c r="G199" i="12"/>
  <c r="E199" i="12"/>
  <c r="C199" i="12"/>
  <c r="Q99" i="11"/>
  <c r="O99" i="11"/>
  <c r="M99" i="11"/>
  <c r="K99" i="11"/>
  <c r="I99" i="11"/>
  <c r="G99" i="11"/>
  <c r="E99" i="11"/>
  <c r="C99" i="11"/>
  <c r="M16" i="10"/>
  <c r="K16" i="10"/>
  <c r="I16" i="10"/>
  <c r="G16" i="10"/>
  <c r="E16" i="10"/>
  <c r="C16" i="10"/>
  <c r="S78" i="9"/>
  <c r="Q78" i="9"/>
  <c r="O78" i="9"/>
  <c r="M78" i="9"/>
  <c r="K78" i="9"/>
  <c r="I78" i="9"/>
  <c r="E13" i="8"/>
  <c r="I13" i="8"/>
  <c r="G13" i="8"/>
  <c r="K16" i="6"/>
  <c r="I16" i="6"/>
  <c r="G16" i="6"/>
  <c r="E16" i="6"/>
  <c r="C16" i="6"/>
  <c r="K10" i="5"/>
  <c r="AI10" i="4"/>
  <c r="AG10" i="4"/>
  <c r="AE10" i="4"/>
  <c r="AC10" i="4"/>
  <c r="AA10" i="4"/>
  <c r="Y10" i="4"/>
  <c r="X10" i="4"/>
  <c r="V10" i="4"/>
  <c r="U10" i="4"/>
  <c r="S10" i="4"/>
  <c r="Q10" i="4"/>
  <c r="O10" i="4"/>
  <c r="W201" i="2"/>
  <c r="U201" i="2"/>
  <c r="S201" i="2"/>
  <c r="Q201" i="2"/>
  <c r="O201" i="2"/>
  <c r="M201" i="2"/>
  <c r="L201" i="2"/>
  <c r="J201" i="2"/>
  <c r="I201" i="2"/>
  <c r="G201" i="2"/>
  <c r="E201" i="2"/>
  <c r="C201" i="2"/>
  <c r="E12" i="15" l="1"/>
  <c r="E13" i="15"/>
  <c r="E11" i="15"/>
  <c r="E15" i="15"/>
  <c r="I11" i="15"/>
  <c r="I15" i="15"/>
  <c r="I12" i="15"/>
  <c r="E9" i="15"/>
  <c r="E16" i="15" s="1"/>
  <c r="I9" i="15"/>
  <c r="I13" i="15"/>
  <c r="E10" i="15"/>
  <c r="I10" i="15"/>
  <c r="I16" i="15" l="1"/>
</calcChain>
</file>

<file path=xl/sharedStrings.xml><?xml version="1.0" encoding="utf-8"?>
<sst xmlns="http://schemas.openxmlformats.org/spreadsheetml/2006/main" count="1098" uniqueCount="389">
  <si>
    <t>‫شاخصی هم ‏وزن تراز</t>
  </si>
  <si>
    <t>‫صورت وضعیت پورتفوی</t>
  </si>
  <si>
    <t>‫برای ماه منتهی به 1404/07/30</t>
  </si>
  <si>
    <t>‫1- سرمایه گذاری ها</t>
  </si>
  <si>
    <t>‫1-1- سرمایه گذاری در سهام و حق تقدم سهام</t>
  </si>
  <si>
    <t>‫1404/06/31</t>
  </si>
  <si>
    <t>‫تغییرات طی دوره</t>
  </si>
  <si>
    <t>‫1404/07/30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</si>
  <si>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</si>
  <si>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</si>
  <si>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</si>
  <si>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</si>
  <si>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</si>
  <si>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</si>
  <si>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</si>
  <si>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</si>
  <si>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</si>
  <si>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‫آريان كيميا تك</t>
  </si>
  <si>
    <t>‫آلوميناي ايران</t>
  </si>
  <si>
    <t>‫آنتي بيوتيك سازي ايران</t>
  </si>
  <si>
    <t>‫آهن و فولاد غدير ايرانيان</t>
  </si>
  <si>
    <t>‫اخشان خراسان</t>
  </si>
  <si>
    <t>‫ارتباطات سیار</t>
  </si>
  <si>
    <t>‫افست</t>
  </si>
  <si>
    <t>‫اقتصاد نوين</t>
  </si>
  <si>
    <t>‫البرز دارو</t>
  </si>
  <si>
    <t>‫الكتريك خودرو</t>
  </si>
  <si>
    <t>‫املاح ايران</t>
  </si>
  <si>
    <t>‫ايران ترانسفو</t>
  </si>
  <si>
    <t>‫ايران خودرو</t>
  </si>
  <si>
    <t>‫ايمن خودرو شرق</t>
  </si>
  <si>
    <t>‫ایرکا پارت صنعت</t>
  </si>
  <si>
    <t>‫بانك تجارت</t>
  </si>
  <si>
    <t>‫بانك صادرات</t>
  </si>
  <si>
    <t>‫بانك ملت</t>
  </si>
  <si>
    <t>‫برق مپنا</t>
  </si>
  <si>
    <t>‫بهار رز عاليس چناران</t>
  </si>
  <si>
    <t>‫بهمن دیزل</t>
  </si>
  <si>
    <t>‫بيمه آسيا</t>
  </si>
  <si>
    <t>‫بيمه البرز</t>
  </si>
  <si>
    <t>‫بيمه ايران - معين</t>
  </si>
  <si>
    <t>‫بيمه پارسيان</t>
  </si>
  <si>
    <t>‫تامين سرمايه لوتوس پارسيان</t>
  </si>
  <si>
    <t>‫تامين سرمايه نوين</t>
  </si>
  <si>
    <t>‫تامين ماسه</t>
  </si>
  <si>
    <t>‫تايدواتر</t>
  </si>
  <si>
    <t>‫تجارت الکترونیک پارسیان</t>
  </si>
  <si>
    <t xml:space="preserve">‫تراكتور سازي </t>
  </si>
  <si>
    <t>‫توزيع دارو پخش</t>
  </si>
  <si>
    <t>‫توسعه معادن كروميت كاوندگان</t>
  </si>
  <si>
    <t>‫توسعه نيشكر و صنايع جانبي</t>
  </si>
  <si>
    <t>‫توسعه و عمران اميد</t>
  </si>
  <si>
    <t>‫توكا رنگ فولاد سپاهان</t>
  </si>
  <si>
    <t>‫توليد انرژي برق شمس پاسارگاد</t>
  </si>
  <si>
    <t>‫توليد ژلاتين كپسول ايران</t>
  </si>
  <si>
    <t>‫توليدات پتروشيمي قائد بصير</t>
  </si>
  <si>
    <t>‫توليدي برنا باطري</t>
  </si>
  <si>
    <t>‫توليدي و صنعتي گوهرفام</t>
  </si>
  <si>
    <t>‫توليدي چدن سازان</t>
  </si>
  <si>
    <t>‫حفاري شمال</t>
  </si>
  <si>
    <t>‫حمل و نقل ريلي پارسيان</t>
  </si>
  <si>
    <t>‫خاك چيني</t>
  </si>
  <si>
    <t>‫داده پردازي</t>
  </si>
  <si>
    <t>‫دارو ابوريحان</t>
  </si>
  <si>
    <t>‫داروسازي زاگرس</t>
  </si>
  <si>
    <t>‫داروسازي فارابي</t>
  </si>
  <si>
    <t>‫داروسازي‌ اكسير</t>
  </si>
  <si>
    <t>‫دارويي ره آورد تامين</t>
  </si>
  <si>
    <t>‫دارويي و نهاده هاي زاگرس دارو</t>
  </si>
  <si>
    <t>‫دريايي سينا</t>
  </si>
  <si>
    <t>‫رادياتور</t>
  </si>
  <si>
    <t>‫ريخته گري تراكتورسازي</t>
  </si>
  <si>
    <t>‫ريل سير كوثر</t>
  </si>
  <si>
    <t>‫سايپا</t>
  </si>
  <si>
    <t>‫سبحان_دارو</t>
  </si>
  <si>
    <t>‫سرمايه گذاري اميد</t>
  </si>
  <si>
    <t>‫سرمايه گذاري تامين اجتماعي</t>
  </si>
  <si>
    <t>‫سرمايه گذاري سپه</t>
  </si>
  <si>
    <t>‫سرمايه گذاري صدرتامين</t>
  </si>
  <si>
    <t>‫سرمايه گذاري غدير</t>
  </si>
  <si>
    <t>‫سرمايه گذاري كشاورزي كوثر</t>
  </si>
  <si>
    <t>‫سرمايه گذاري ملي ايران</t>
  </si>
  <si>
    <t>‫سرمايه گذاري ملي ايران (تقدم)</t>
  </si>
  <si>
    <t>‫سرمايه گذاري پايا تدبيرپارسا</t>
  </si>
  <si>
    <t>‫سرمایه گذاری مسکن تهران</t>
  </si>
  <si>
    <t>‫سنگ آهن گهرزمين</t>
  </si>
  <si>
    <t>‫سيمان اروميه</t>
  </si>
  <si>
    <t>‫سيمان بهبهان</t>
  </si>
  <si>
    <t>‫سيمان تهران</t>
  </si>
  <si>
    <t>‫سيمان خاش</t>
  </si>
  <si>
    <t>‫سيمان خزر</t>
  </si>
  <si>
    <t>‫سيمان ساوه</t>
  </si>
  <si>
    <t>‫سيمان سپاهان</t>
  </si>
  <si>
    <t>‫سيمان شمال</t>
  </si>
  <si>
    <t>‫سيمان صوفيان</t>
  </si>
  <si>
    <t>‫سيمان غرب</t>
  </si>
  <si>
    <t>‫سيمان فارس نو</t>
  </si>
  <si>
    <t>‫سيمان فارس و خوزستان</t>
  </si>
  <si>
    <t>‫سيمان قاين</t>
  </si>
  <si>
    <t>‫سيمان مازندران</t>
  </si>
  <si>
    <t>‫سيمان هگمتان</t>
  </si>
  <si>
    <t>‫سيمرغ</t>
  </si>
  <si>
    <t>‫سينا دارو</t>
  </si>
  <si>
    <t>‫سپيد ماكيان</t>
  </si>
  <si>
    <t>‫شرکت سرمایه گذاری خوارزمی</t>
  </si>
  <si>
    <t>‫شهد ايران</t>
  </si>
  <si>
    <t>‫شير و گوشت زاگرس شهركرد</t>
  </si>
  <si>
    <t>‫شير پاستوريزه پگاه گلپايگان</t>
  </si>
  <si>
    <t>‫شيشه همدان</t>
  </si>
  <si>
    <t>‫شيشه و گاز</t>
  </si>
  <si>
    <t>‫شیشه قزوین</t>
  </si>
  <si>
    <t>‫صنايع ارتباطي آوا</t>
  </si>
  <si>
    <t>‫صنايع غذايي رضوي</t>
  </si>
  <si>
    <t>‫صندوق بازنشستگي</t>
  </si>
  <si>
    <t>‫صنعت غذايي كورش</t>
  </si>
  <si>
    <t>‫صنعتي آما</t>
  </si>
  <si>
    <t>‫صنعتي بارز</t>
  </si>
  <si>
    <t>‫صنعتي بهشهر</t>
  </si>
  <si>
    <t>‫صنعتي زر ماكارون</t>
  </si>
  <si>
    <t>‫صنعتي سپاهان</t>
  </si>
  <si>
    <t>‫صنعتی صبانور</t>
  </si>
  <si>
    <t>‫عطرين نخ قم</t>
  </si>
  <si>
    <t>‫عمران فارس</t>
  </si>
  <si>
    <t>‫غذايي مينو</t>
  </si>
  <si>
    <t>‫غلتك سازان سپاهان</t>
  </si>
  <si>
    <t>‫فجر انرژي خليج فارس</t>
  </si>
  <si>
    <t>‫فرآوري زغال سنگ پروده طبس</t>
  </si>
  <si>
    <t>‫فروشگاههاي زنجيره اي افق كوروش</t>
  </si>
  <si>
    <t>‫فن آوران</t>
  </si>
  <si>
    <t>‫فولاد آلياژي ايران</t>
  </si>
  <si>
    <t>‫فولاد خوزستان</t>
  </si>
  <si>
    <t>‫فولاد كاوه</t>
  </si>
  <si>
    <t>‫فولاد مباركه</t>
  </si>
  <si>
    <t>‫قاسم ايران</t>
  </si>
  <si>
    <t>‫قند اصفهان</t>
  </si>
  <si>
    <t>‫قند قزوين</t>
  </si>
  <si>
    <t>‫قند لرستان</t>
  </si>
  <si>
    <t>‫قند هكمتان</t>
  </si>
  <si>
    <t>‫قند پيرانشهر</t>
  </si>
  <si>
    <t>‫قند چهار محال</t>
  </si>
  <si>
    <t>‫كارخانجات داروپخش</t>
  </si>
  <si>
    <t>‫كاشي الوند</t>
  </si>
  <si>
    <t>‫كاشي الوند (تقدم)</t>
  </si>
  <si>
    <t>‫كاشي حافظ</t>
  </si>
  <si>
    <t>‫كاشي وسراميك سينا</t>
  </si>
  <si>
    <t>‫كاشي پارس</t>
  </si>
  <si>
    <t>‫كاني كربن طبس</t>
  </si>
  <si>
    <t>‫كربن</t>
  </si>
  <si>
    <t>‫كشاورزي مكانيزه اصفهان كشت</t>
  </si>
  <si>
    <t>‫كشاورزي و دامپروري بينالود</t>
  </si>
  <si>
    <t>‫كشت و دام قيام اصفهان</t>
  </si>
  <si>
    <t>‫كشت و دامداري فكا</t>
  </si>
  <si>
    <t>‫كشت و صنعت شهداب</t>
  </si>
  <si>
    <t>‫كشتيراني ايران</t>
  </si>
  <si>
    <t>‫كوير تاير</t>
  </si>
  <si>
    <t>‫مجتمع صنايع لاستيك يزد</t>
  </si>
  <si>
    <t>‫مديريت نيروگاهي ايرانيان مپنا</t>
  </si>
  <si>
    <t>‫ملي شيمي كشاورز</t>
  </si>
  <si>
    <t>‫ملي مس</t>
  </si>
  <si>
    <t>‫منگنز ايران</t>
  </si>
  <si>
    <t>‫مهرام</t>
  </si>
  <si>
    <t>‫مهرمام ميهن</t>
  </si>
  <si>
    <t>‫مواداوليه داروپخش</t>
  </si>
  <si>
    <t>‫موتورسازان</t>
  </si>
  <si>
    <t>‫موتوژن</t>
  </si>
  <si>
    <t>‫مپنا</t>
  </si>
  <si>
    <t>‫نخريسي و نساجي خسروي خراسان</t>
  </si>
  <si>
    <t>‫نساجي هديه البرز مشهد</t>
  </si>
  <si>
    <t>‫نسوز آذر</t>
  </si>
  <si>
    <t>‫نشاسته و گلوكز آردينه</t>
  </si>
  <si>
    <t>‫نفت اصفهان</t>
  </si>
  <si>
    <t>‫نفت بندر عباس</t>
  </si>
  <si>
    <t>‫نفت بهران</t>
  </si>
  <si>
    <t>‫نفت تبريز</t>
  </si>
  <si>
    <t>‫نفت سپاهان</t>
  </si>
  <si>
    <t>‫نفت و گاز پارسیان</t>
  </si>
  <si>
    <t>‫نورد قطعات</t>
  </si>
  <si>
    <t>‫نيان الكترونيك</t>
  </si>
  <si>
    <t>‫نيروترانس</t>
  </si>
  <si>
    <t>‫نگين طبس</t>
  </si>
  <si>
    <t>‫همكاران سيستم</t>
  </si>
  <si>
    <t>‫پارس خزر</t>
  </si>
  <si>
    <t>‫پارس سوييچ</t>
  </si>
  <si>
    <t>‫پارس شهاب</t>
  </si>
  <si>
    <t>‫پارس فنر</t>
  </si>
  <si>
    <t>‫پارس فولاد سبزوار</t>
  </si>
  <si>
    <t>‫پارس مينو</t>
  </si>
  <si>
    <t>‫پاکدیس</t>
  </si>
  <si>
    <t>‫پتروشيمي جم</t>
  </si>
  <si>
    <t>‫پتروشيمي نوري</t>
  </si>
  <si>
    <t>‫پتروشيمی پردیس</t>
  </si>
  <si>
    <t>‫پتروشیمی تامین</t>
  </si>
  <si>
    <t>‫پخش البرز</t>
  </si>
  <si>
    <t>‫پخش هجرت</t>
  </si>
  <si>
    <t>‫پديده شيمي قرن</t>
  </si>
  <si>
    <t>‫پرتو بار فرابر خليج فارس</t>
  </si>
  <si>
    <t>‫پست بانك ايران</t>
  </si>
  <si>
    <t>‫پشم شيشه</t>
  </si>
  <si>
    <t>‫پلي پروپيلن جم - جم پيلن</t>
  </si>
  <si>
    <t>‫پمپ ايران</t>
  </si>
  <si>
    <t>‫پگاه آذربايجان</t>
  </si>
  <si>
    <t>‫پگاه اصفهان</t>
  </si>
  <si>
    <t>‫پگاه خراسان</t>
  </si>
  <si>
    <t>‫چادرملو</t>
  </si>
  <si>
    <t>‫کارت اعتباری ایران کیش</t>
  </si>
  <si>
    <t>‫گروه انتخاب الكترونيك آرمان</t>
  </si>
  <si>
    <t>‫گل گهر</t>
  </si>
  <si>
    <t>‫جمع</t>
  </si>
  <si>
    <t>‫اطلاعات آماری مرتبط با اوراق اختیار فروش تبعی خریداری شده توسط صندوق سرمایه گذاری:</t>
  </si>
  <si>
    <t>‫نام سهام</t>
  </si>
  <si>
    <t>‫تعداد اوراق تبعی</t>
  </si>
  <si>
    <t>‫قیمت اعمال</t>
  </si>
  <si>
    <t>‫تاریخ اعمال</t>
  </si>
  <si>
    <t>‫نرخ سود موثر</t>
  </si>
  <si>
    <t>‫اختيارف ت محتشم-17150-4/11/08</t>
  </si>
  <si>
    <t>‫1404/11/08</t>
  </si>
  <si>
    <t>‫اطلاعات آماری مرتبط با موقعیت‌های اخذ شده در اوراق اختیار معامله توسط صندوق سرمایه گذاری:</t>
  </si>
  <si>
    <t>‫نوع اختیار</t>
  </si>
  <si>
    <t>‫نوع موقعیت</t>
  </si>
  <si>
    <t>‫تعداد اوراق</t>
  </si>
  <si>
    <t>‫اطلاعات آماری مرتبط با قراردادهای آتی توسط صندوق سرمایه گذاری:</t>
  </si>
  <si>
    <t>‫2-1- سرمایه گذاری در اوراق بهادار با درآمد ثابت یا علی الحساب</t>
  </si>
  <si>
    <t>‫اطلاعات اوراق بهادار با درآمد ثابت</t>
  </si>
  <si>
    <t>‫نام اوراق</t>
  </si>
  <si>
    <t>‫دارای مجوز از سازمان</t>
  </si>
  <si>
    <t>‫پذیرفته شده در بورس یا فرابورس</t>
  </si>
  <si>
    <t>‫تاریخ انتشار اوراق</t>
  </si>
  <si>
    <t>‫تاریخ سررسید</t>
  </si>
  <si>
    <t>‫نرخ سود اسمی</t>
  </si>
  <si>
    <t>‫نرخ سود مؤثر</t>
  </si>
  <si>
    <t>‫قیمت بازار هر ورقه</t>
  </si>
  <si>
    <t>‫اوراق بهاداری که ارزش آن‌ها در تاریخ گزارش تعدیل شده</t>
  </si>
  <si>
    <t>‫(بر اساس دستورالعمل نحوه تعیین قیمت خرید و فروش اوراق بهادار در صندوق‌های سرمایه گذاری)</t>
  </si>
  <si>
    <t>‫نام اوراق بهادار</t>
  </si>
  <si>
    <t>‫قیمت پایانی</t>
  </si>
  <si>
    <t>‫قیمت تعدیل شده</t>
  </si>
  <si>
    <t>‫درصد تعدیل</t>
  </si>
  <si>
    <t>‫خالص ارزش فروش تعدیل شده</t>
  </si>
  <si>
    <t>‫دلیل تعدیل</t>
  </si>
  <si>
    <t>‫سپرده‌های بانکی</t>
  </si>
  <si>
    <t>‫مبلغ</t>
  </si>
  <si>
    <t>‫افزایش</t>
  </si>
  <si>
    <t>‫کاهش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</si>
  <si>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</si>
  <si>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</si>
  <si>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</si>
  <si>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</si>
  <si>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</si>
  <si>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</si>
  <si>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</si>
  <si>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‫درآمد حاصل از سرمایه گذاری در اوراق بهادار با درآمد ثابت</t>
  </si>
  <si>
    <t>‫درآمد حاصل از سرمایه گذاری در سپرده بانکی و گواهی سپرده</t>
  </si>
  <si>
    <t>‫سایر درآمدها</t>
  </si>
  <si>
    <t>‫درآمد سود سهام</t>
  </si>
  <si>
    <t>‫اطلاعات مجمع</t>
  </si>
  <si>
    <t>‫طی دوره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</si>
  <si>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</si>
  <si>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</si>
  <si>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</si>
  <si>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</si>
  <si>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</si>
  <si>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</si>
  <si>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‫1404/02/23</t>
  </si>
  <si>
    <t>‫1404/05/14</t>
  </si>
  <si>
    <t>‫1404/03/21</t>
  </si>
  <si>
    <t>‫1404/03/26</t>
  </si>
  <si>
    <t>‫1404/03/12</t>
  </si>
  <si>
    <t>‫1404/04/05</t>
  </si>
  <si>
    <t>‫ايران ياسا</t>
  </si>
  <si>
    <t>‫1404/03/13</t>
  </si>
  <si>
    <t>‫1404/02/31</t>
  </si>
  <si>
    <t>‫1404/05/28</t>
  </si>
  <si>
    <t>‫1404/03/06</t>
  </si>
  <si>
    <t>‫1404/07/06</t>
  </si>
  <si>
    <t>‫1404/04/28</t>
  </si>
  <si>
    <t>‫تراكتور سازي</t>
  </si>
  <si>
    <t>‫1404/05/04</t>
  </si>
  <si>
    <t>‫1404/04/30</t>
  </si>
  <si>
    <t>‫1404/03/01</t>
  </si>
  <si>
    <t>‫1404/04/29</t>
  </si>
  <si>
    <t>‫1404/04/25</t>
  </si>
  <si>
    <t>‫1404/04/04</t>
  </si>
  <si>
    <t>‫1404/05/15</t>
  </si>
  <si>
    <t>‫1404/05/13</t>
  </si>
  <si>
    <t>‫1404/04/22</t>
  </si>
  <si>
    <t>‫زامياد</t>
  </si>
  <si>
    <t>‫سيمان آبيك</t>
  </si>
  <si>
    <t>‫1404/03/17</t>
  </si>
  <si>
    <t>‫1404/02/13</t>
  </si>
  <si>
    <t>‫1404/02/30</t>
  </si>
  <si>
    <t>‫1404/07/26</t>
  </si>
  <si>
    <t>‫1404/06/03</t>
  </si>
  <si>
    <t>‫صبا فولاد خليج فارس</t>
  </si>
  <si>
    <t>‫1404/01/31</t>
  </si>
  <si>
    <t>‫1404/04/31</t>
  </si>
  <si>
    <t>‫1404/04/19</t>
  </si>
  <si>
    <t>‫صنعتي مينو</t>
  </si>
  <si>
    <t>‫1404/03/25</t>
  </si>
  <si>
    <t>‫1404/05/08</t>
  </si>
  <si>
    <t>‫1404/03/03</t>
  </si>
  <si>
    <t>‫1404/03/28</t>
  </si>
  <si>
    <t>‫1404/04/26</t>
  </si>
  <si>
    <t>‫1404/07/15</t>
  </si>
  <si>
    <t>‫لاستيك سهند</t>
  </si>
  <si>
    <t>‫1404/02/20</t>
  </si>
  <si>
    <t>‫ليزينگ اقتصاد نوين</t>
  </si>
  <si>
    <t>‫1404/03/11</t>
  </si>
  <si>
    <t>‫1404/05/05</t>
  </si>
  <si>
    <t>‫1404/05/09</t>
  </si>
  <si>
    <t>‫1404/07/20</t>
  </si>
  <si>
    <t>‫مگسال</t>
  </si>
  <si>
    <t>‫1404/05/12</t>
  </si>
  <si>
    <t>‫1404/03/10</t>
  </si>
  <si>
    <t>‫1404/04/01</t>
  </si>
  <si>
    <t>‫1404/06/23</t>
  </si>
  <si>
    <t>‫1404/02/15</t>
  </si>
  <si>
    <t>‫1404/04/23</t>
  </si>
  <si>
    <t>‫سود اوراق بهادار با درآمد ثابت و سپرده بانکی</t>
  </si>
  <si>
    <t>‫درآمد سود</t>
  </si>
  <si>
    <t>‫خالص درآمد</t>
  </si>
  <si>
    <t>‫سود(زیان) حاصل از فروش اوراق بهادار</t>
  </si>
  <si>
    <t>‫ارزش دفتری</t>
  </si>
  <si>
    <t>‫سود و زیان ناشی از فروش</t>
  </si>
  <si>
    <t>‫ارزش دفتری برابر است با میانگین موزون خالص ارزش فروش هر سهم/ورقه در ابتدای دوره با خرید طی دوره ضربدر تعداد در پایان دوره</t>
  </si>
  <si>
    <t>‫درآمد ناشی از تغییر قیمت اوراق بهادار</t>
  </si>
  <si>
    <t>‫سود و زیان ناشی از تغییر قیمت</t>
  </si>
  <si>
    <t>‫سبحان_دارو (تقدم)</t>
  </si>
  <si>
    <t>‫1-2- درآمد حاصل از سرمایه گذاری در سهام و حق تقدم سهام:</t>
  </si>
  <si>
    <t>‫سهام</t>
  </si>
  <si>
    <t>‫درآمد تغییر ارزش</t>
  </si>
  <si>
    <t>‫درآمد فروش</t>
  </si>
  <si>
    <t>‫جمع مبلغ</t>
  </si>
  <si>
    <t>‫درصد از کل درآمد ها</t>
  </si>
  <si>
    <t>‫ارتباطات سيار</t>
  </si>
  <si>
    <t>‫ايركا پارت صنعت</t>
  </si>
  <si>
    <t>‫بهمن ديزل</t>
  </si>
  <si>
    <t>‫بيمه اتكايي ايران معين</t>
  </si>
  <si>
    <t>‫تجارت الكترونيك پارسيان</t>
  </si>
  <si>
    <t>‫توليد مواد اوليه داروپخش</t>
  </si>
  <si>
    <t>‫داروسازي اكسير</t>
  </si>
  <si>
    <t>‫شركت سرمايه گذاري خوارزمي</t>
  </si>
  <si>
    <t>‫شركت سرمايه گذاري مسكن تهران</t>
  </si>
  <si>
    <t>‫شركت پخش البرز</t>
  </si>
  <si>
    <t>‫شيشه قزوين</t>
  </si>
  <si>
    <t>‫صنعتي صبانور</t>
  </si>
  <si>
    <t>‫صنعتي پارس خزر</t>
  </si>
  <si>
    <t>‫كارت اعتباري ايران كيش</t>
  </si>
  <si>
    <t>‫لامپ پارس شهاب</t>
  </si>
  <si>
    <t>‫معادن منگنز ايران</t>
  </si>
  <si>
    <t>‫نفت و گاز پارسيان</t>
  </si>
  <si>
    <t>‫پاكديس</t>
  </si>
  <si>
    <t>‫پتروشيمي تامين</t>
  </si>
  <si>
    <t>‫پتروشيمي فجر</t>
  </si>
  <si>
    <t>‫پتروشيمي پرديس</t>
  </si>
  <si>
    <t>‫پمپ سازي ايران</t>
  </si>
  <si>
    <t>‫2-2- درآمد حاصل از سرمایه گذاری در اوراق بهادار با درآمد ثابت:</t>
  </si>
  <si>
    <t>‫درآمد سود اوراق</t>
  </si>
  <si>
    <t>‫3-2- درآمد حاصل از سرمایه گذاری در سپرده بانکی و گواهی سپرده:</t>
  </si>
  <si>
    <t>‫نام سپرده بانکی</t>
  </si>
  <si>
    <t>‫نام سپرده</t>
  </si>
  <si>
    <t>‫سود سپرده بانکی و گواهی سپرده</t>
  </si>
  <si>
    <t>‫درصد سود به میانگین سپرده</t>
  </si>
  <si>
    <t>‫4-2- سایر درآمدها:</t>
  </si>
  <si>
    <t>صندوق سرمایه گذاری  شاخصی هم ‏وزن تراز</t>
  </si>
  <si>
    <t>در راستای اجرای ابلاغیه 12020093 مورخ 1396/09/05 و ابلاغیه 12020268 مورخ 1402/12/01 سازمان بورس و اوراق بهادار</t>
  </si>
  <si>
    <t>گزارش افشای پرتفوی ماهانه
برای دوره منتهی به 30 مهر 1404</t>
  </si>
  <si>
    <t>‫%22</t>
  </si>
  <si>
    <t>‫ بانک پاسارگاد</t>
  </si>
  <si>
    <t>‫ بانک ملت</t>
  </si>
  <si>
    <t>‫ بانک سپه</t>
  </si>
  <si>
    <t>‫ بانک سامان</t>
  </si>
  <si>
    <t>‫ بانک دي</t>
  </si>
  <si>
    <t>‫ بانک خاورميانه</t>
  </si>
  <si>
    <t>‫ بانک آينده</t>
  </si>
  <si>
    <t>‫3-1- سرمایه گذاری در  سپرده بانکی و گواهی سپرده بانکی</t>
  </si>
  <si>
    <t>1-2</t>
  </si>
  <si>
    <t>درآمد حاصل از سرمایه گذاری در واحدهای صندوق های سرمایه گذاری</t>
  </si>
  <si>
    <t>2-2</t>
  </si>
  <si>
    <t>3-2</t>
  </si>
  <si>
    <t>4-2</t>
  </si>
  <si>
    <t>5-2</t>
  </si>
  <si>
    <t>‫بانک آينده</t>
  </si>
  <si>
    <t>‫بانک دي</t>
  </si>
  <si>
    <t>‫بانک سامان</t>
  </si>
  <si>
    <t>بانک ‫پاسارگاد</t>
  </si>
  <si>
    <t>‫بانک سپه</t>
  </si>
  <si>
    <t>‫بانک خاورميانه</t>
  </si>
  <si>
    <t>‫بانک ملت</t>
  </si>
  <si>
    <t>‫بانک پاسارگاد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</si>
</sst>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Calibri"/>
      <family val="2"/>
      <scheme val="minor"/>
    </font>
    <font>
      <sz val="11"/>
      <name val="Calibri"/>
      <family val="2"/>
    </font>
    <font>
      <sz val="11"/>
      <name val="B Nazanin"/>
      <charset val="178"/>
    </font>
    <font>
      <b/>
      <sz val="48"/>
      <color rgb="FFFF0000"/>
      <name val="B Nazanin"/>
      <charset val="178"/>
    </font>
    <font>
      <b/>
      <sz val="24"/>
      <color rgb="FFFF0000"/>
      <name val="B Nazanin"/>
      <charset val="178"/>
    </font>
    <font>
      <b/>
      <sz val="24"/>
      <name val="B Nazanin"/>
      <charset val="178"/>
    </font>
    <font>
      <b/>
      <sz val="18"/>
      <name val="B Nazanin"/>
      <charset val="178"/>
    </font>
    <font>
      <b/>
      <sz val="15"/>
      <name val="B Nazanin"/>
      <charset val="178"/>
    </font>
    <font>
      <sz val="22"/>
      <color rgb="FFFF0000"/>
      <name val="B Nazanin"/>
      <charset val="178"/>
    </font>
    <font>
      <b/>
      <sz val="14"/>
      <name val="B Nazanin"/>
      <charset val="178"/>
    </font>
    <font>
      <b/>
      <u/>
      <sz val="16"/>
      <name val="B Nazanin"/>
      <charset val="178"/>
    </font>
    <font>
      <sz val="11"/>
      <color indexed="8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theme="8" tint="-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2" borderId="6"/>
  </cellStyleXfs>
  <cellXfs count="41">
    <xf numFmtId="0" fontId="0" fillId="0" borderId="0" xfId="0"/>
    <xf numFmtId="0" fontId="2" fillId="3" borderId="6" xfId="1" applyFont="1" applyFill="1"/>
    <xf numFmtId="0" fontId="3" fillId="3" borderId="6" xfId="1" applyFont="1" applyFill="1" applyAlignment="1">
      <alignment horizontal="center" vertical="center" wrapText="1"/>
    </xf>
    <xf numFmtId="0" fontId="4" fillId="3" borderId="6" xfId="1" applyFont="1" applyFill="1" applyAlignment="1">
      <alignment horizontal="center" vertical="center" wrapText="1"/>
    </xf>
    <xf numFmtId="0" fontId="5" fillId="3" borderId="6" xfId="1" applyFont="1" applyFill="1" applyAlignment="1">
      <alignment horizontal="center" vertical="center" wrapText="1"/>
    </xf>
    <xf numFmtId="0" fontId="6" fillId="3" borderId="6" xfId="1" applyFont="1" applyFill="1" applyAlignment="1">
      <alignment horizontal="center"/>
    </xf>
    <xf numFmtId="0" fontId="7" fillId="3" borderId="6" xfId="1" applyFont="1" applyFill="1" applyAlignment="1">
      <alignment horizontal="center"/>
    </xf>
    <xf numFmtId="0" fontId="8" fillId="3" borderId="6" xfId="1" applyFont="1" applyFill="1" applyAlignment="1">
      <alignment horizontal="center" vertical="center" wrapText="1"/>
    </xf>
    <xf numFmtId="0" fontId="7" fillId="3" borderId="6" xfId="1" applyFont="1" applyFill="1"/>
    <xf numFmtId="0" fontId="9" fillId="3" borderId="6" xfId="1" applyFont="1" applyFill="1" applyAlignment="1">
      <alignment horizontal="center"/>
    </xf>
    <xf numFmtId="37" fontId="10" fillId="0" borderId="0" xfId="0" applyNumberFormat="1" applyFont="1" applyAlignment="1">
      <alignment horizontal="center" vertical="center"/>
    </xf>
    <xf numFmtId="0" fontId="11" fillId="0" borderId="0" xfId="0" applyFont="1"/>
    <xf numFmtId="0" fontId="11" fillId="0" borderId="0" xfId="0" applyFont="1"/>
    <xf numFmtId="37" fontId="12" fillId="0" borderId="0" xfId="0" applyNumberFormat="1" applyFont="1" applyAlignment="1">
      <alignment horizontal="right" vertical="center"/>
    </xf>
    <xf numFmtId="37" fontId="12" fillId="0" borderId="1" xfId="0" applyNumberFormat="1" applyFont="1" applyBorder="1" applyAlignment="1">
      <alignment horizontal="center" vertical="center"/>
    </xf>
    <xf numFmtId="0" fontId="11" fillId="2" borderId="2" xfId="0" applyFont="1" applyFill="1" applyBorder="1"/>
    <xf numFmtId="0" fontId="13" fillId="0" borderId="0" xfId="0" applyFont="1" applyAlignment="1">
      <alignment horizontal="center" vertical="center"/>
    </xf>
    <xf numFmtId="37" fontId="13" fillId="0" borderId="0" xfId="0" applyNumberFormat="1" applyFont="1" applyAlignment="1">
      <alignment horizontal="center" vertical="center" wrapText="1"/>
    </xf>
    <xf numFmtId="37" fontId="13" fillId="0" borderId="1" xfId="0" applyNumberFormat="1" applyFont="1" applyBorder="1" applyAlignment="1">
      <alignment horizontal="center" vertical="center"/>
    </xf>
    <xf numFmtId="37" fontId="13" fillId="0" borderId="1" xfId="0" applyNumberFormat="1" applyFont="1" applyBorder="1" applyAlignment="1">
      <alignment horizontal="center" vertical="center"/>
    </xf>
    <xf numFmtId="37" fontId="13" fillId="0" borderId="0" xfId="0" applyNumberFormat="1" applyFont="1" applyAlignment="1">
      <alignment horizontal="right" vertical="center" wrapText="1"/>
    </xf>
    <xf numFmtId="0" fontId="13" fillId="0" borderId="0" xfId="0" applyFont="1" applyAlignment="1">
      <alignment horizontal="center" vertical="center"/>
    </xf>
    <xf numFmtId="37" fontId="13" fillId="0" borderId="0" xfId="0" applyNumberFormat="1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37" fontId="13" fillId="0" borderId="3" xfId="0" applyNumberFormat="1" applyFont="1" applyBorder="1" applyAlignment="1">
      <alignment horizontal="center" vertical="center"/>
    </xf>
    <xf numFmtId="10" fontId="13" fillId="0" borderId="3" xfId="0" applyNumberFormat="1" applyFont="1" applyBorder="1" applyAlignment="1">
      <alignment horizontal="center" vertical="center"/>
    </xf>
    <xf numFmtId="37" fontId="13" fillId="0" borderId="4" xfId="0" applyNumberFormat="1" applyFont="1" applyBorder="1" applyAlignment="1">
      <alignment horizontal="center" vertical="center"/>
    </xf>
    <xf numFmtId="37" fontId="12" fillId="0" borderId="1" xfId="0" applyNumberFormat="1" applyFont="1" applyBorder="1" applyAlignment="1">
      <alignment horizontal="center" vertical="center"/>
    </xf>
    <xf numFmtId="37" fontId="12" fillId="0" borderId="1" xfId="0" applyNumberFormat="1" applyFont="1" applyBorder="1" applyAlignment="1">
      <alignment horizontal="center" vertical="center" wrapText="1"/>
    </xf>
    <xf numFmtId="37" fontId="13" fillId="0" borderId="0" xfId="0" applyNumberFormat="1" applyFont="1" applyAlignment="1">
      <alignment horizontal="center" vertical="center" wrapText="1"/>
    </xf>
    <xf numFmtId="37" fontId="12" fillId="0" borderId="0" xfId="0" applyNumberFormat="1" applyFont="1" applyAlignment="1">
      <alignment horizontal="center" vertical="center"/>
    </xf>
    <xf numFmtId="37" fontId="13" fillId="0" borderId="5" xfId="0" applyNumberFormat="1" applyFont="1" applyBorder="1" applyAlignment="1">
      <alignment horizontal="center" vertical="center"/>
    </xf>
    <xf numFmtId="0" fontId="11" fillId="2" borderId="7" xfId="0" applyFont="1" applyFill="1" applyBorder="1"/>
    <xf numFmtId="0" fontId="11" fillId="2" borderId="8" xfId="0" applyFont="1" applyFill="1" applyBorder="1"/>
    <xf numFmtId="37" fontId="12" fillId="0" borderId="0" xfId="0" applyNumberFormat="1" applyFont="1" applyAlignment="1">
      <alignment horizontal="right" vertical="center"/>
    </xf>
    <xf numFmtId="37" fontId="13" fillId="0" borderId="0" xfId="0" applyNumberFormat="1" applyFont="1" applyAlignment="1">
      <alignment horizontal="center" vertical="center"/>
    </xf>
    <xf numFmtId="37" fontId="13" fillId="0" borderId="4" xfId="0" applyNumberFormat="1" applyFont="1" applyBorder="1" applyAlignment="1">
      <alignment horizontal="center" vertical="center"/>
    </xf>
    <xf numFmtId="3" fontId="11" fillId="0" borderId="0" xfId="0" applyNumberFormat="1" applyFont="1"/>
    <xf numFmtId="37" fontId="11" fillId="0" borderId="0" xfId="0" applyNumberFormat="1" applyFont="1" applyAlignment="1">
      <alignment horizontal="right" vertical="center" wrapText="1"/>
    </xf>
    <xf numFmtId="37" fontId="11" fillId="0" borderId="0" xfId="0" applyNumberFormat="1" applyFont="1" applyAlignment="1">
      <alignment horizontal="right" vertical="center"/>
    </xf>
    <xf numFmtId="37" fontId="11" fillId="0" borderId="0" xfId="0" applyNumberFormat="1" applyFont="1" applyAlignment="1">
      <alignment horizontal="center" vertical="center" wrapText="1"/>
    </xf>
  </cellXfs>
  <cellStyles count="2">
    <cellStyle name="Normal" xfId="0" builtinId="0"/>
    <cellStyle name="Normal 2" xfId="1" xr:uid="{0D18B1E5-2EB1-4CF9-A2DB-049DD02166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"/>
  <sheetViews>
    <sheetView rightToLeft="1" tabSelected="1" view="pageBreakPreview" zoomScale="60" zoomScaleNormal="100" workbookViewId="0">
      <selection activeCellId="1" sqref="A1:W1 A1:XFD1048576"/>
    </sheetView>
  </sheetViews>
  <sheetFormatPr defaultRowHeight="18" x14ac:dyDescent="0.45"/>
  <cols>
    <col min="1" max="16384" width="9.140625" style="12"/>
  </cols>
  <sheetData>
    <row r="1" spans="1:1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45">
      <c r="A4" s="2" t="s">
        <v>363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4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4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4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51.75" customHeight="1" x14ac:dyDescent="0.4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45">
      <c r="A10" s="3"/>
      <c r="B10" s="4"/>
      <c r="C10" s="4"/>
      <c r="D10" s="4"/>
      <c r="E10" s="4"/>
      <c r="F10" s="4"/>
      <c r="G10" s="4"/>
      <c r="H10" s="4"/>
      <c r="I10" s="4"/>
      <c r="J10" s="4"/>
      <c r="K10" s="3"/>
    </row>
    <row r="11" spans="1:11" x14ac:dyDescent="0.4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4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30" x14ac:dyDescent="0.75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25.5" x14ac:dyDescent="0.65">
      <c r="A14" s="1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ht="15" customHeight="1" x14ac:dyDescent="0.45">
      <c r="A15" s="7" t="s">
        <v>365</v>
      </c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5" customHeight="1" x14ac:dyDescent="0.4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5" customHeight="1" x14ac:dyDescent="0.4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15" customHeight="1" x14ac:dyDescent="0.4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5" customHeight="1" x14ac:dyDescent="0.4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ht="15" customHeight="1" x14ac:dyDescent="0.4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9.950000000000003" customHeight="1" x14ac:dyDescent="0.65">
      <c r="A22" s="1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t="39.950000000000003" customHeight="1" x14ac:dyDescent="0.6">
      <c r="A23" s="1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ht="39.950000000000003" customHeight="1" x14ac:dyDescent="0.65">
      <c r="A24" s="1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45">
      <c r="A25" s="7" t="s">
        <v>364</v>
      </c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x14ac:dyDescent="0.4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x14ac:dyDescent="0.4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mergeCells count="7">
    <mergeCell ref="A25:K31"/>
    <mergeCell ref="A4:K9"/>
    <mergeCell ref="A10:J12"/>
    <mergeCell ref="K10:K12"/>
    <mergeCell ref="B13:K13"/>
    <mergeCell ref="A15:K20"/>
    <mergeCell ref="B23:K23"/>
  </mergeCells>
  <pageMargins left="0.7" right="0.7" top="0.75" bottom="0.75" header="0.3" footer="0.3"/>
  <pageSetup paperSize="9" scale="8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202"/>
  <sheetViews>
    <sheetView rightToLeft="1" view="pageBreakPreview" zoomScale="77" zoomScaleNormal="100" zoomScaleSheetLayoutView="77" workbookViewId="0">
      <selection activeCellId="1" sqref="A1:W1 A1:XFD1048576"/>
    </sheetView>
  </sheetViews>
  <sheetFormatPr defaultRowHeight="18" x14ac:dyDescent="0.45"/>
  <cols>
    <col min="1" max="1" width="18" style="12" bestFit="1" customWidth="1"/>
    <col min="2" max="2" width="1.42578125" style="12" customWidth="1"/>
    <col min="3" max="3" width="13.42578125" style="12" bestFit="1" customWidth="1"/>
    <col min="4" max="4" width="1.42578125" style="12" customWidth="1"/>
    <col min="5" max="5" width="19.7109375" style="12" bestFit="1" customWidth="1"/>
    <col min="6" max="6" width="1.42578125" style="12" customWidth="1"/>
    <col min="7" max="7" width="19.85546875" style="12" bestFit="1" customWidth="1"/>
    <col min="8" max="8" width="1.42578125" style="12" customWidth="1"/>
    <col min="9" max="9" width="13.7109375" style="12" bestFit="1" customWidth="1"/>
    <col min="10" max="10" width="19.7109375" style="12" bestFit="1" customWidth="1"/>
    <col min="11" max="11" width="1.42578125" style="12" customWidth="1"/>
    <col min="12" max="12" width="12.5703125" style="12" bestFit="1" customWidth="1"/>
    <col min="13" max="13" width="18" style="12" bestFit="1" customWidth="1"/>
    <col min="14" max="14" width="1.42578125" style="12" customWidth="1"/>
    <col min="15" max="15" width="15.140625" style="12" bestFit="1" customWidth="1"/>
    <col min="16" max="16" width="1.42578125" style="12" customWidth="1"/>
    <col min="17" max="17" width="14.85546875" style="12" bestFit="1" customWidth="1"/>
    <col min="18" max="18" width="1.42578125" style="12" customWidth="1"/>
    <col min="19" max="19" width="19.7109375" style="12" bestFit="1" customWidth="1"/>
    <col min="20" max="20" width="1.42578125" style="12" customWidth="1"/>
    <col min="21" max="21" width="19.42578125" style="12" bestFit="1" customWidth="1"/>
    <col min="22" max="22" width="1.42578125" style="12" customWidth="1"/>
    <col min="23" max="23" width="17.28515625" style="12" bestFit="1" customWidth="1"/>
    <col min="24" max="16384" width="9.140625" style="12"/>
  </cols>
  <sheetData>
    <row r="1" spans="1:25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5" ht="20.100000000000001" customHeight="1" x14ac:dyDescent="0.4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5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5" spans="1:25" ht="21" x14ac:dyDescent="0.45">
      <c r="A5" s="13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5" ht="21" x14ac:dyDescent="0.45">
      <c r="A6" s="13" t="s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5" x14ac:dyDescent="0.45">
      <c r="Y7" s="37"/>
    </row>
    <row r="8" spans="1:25" ht="21" x14ac:dyDescent="0.45">
      <c r="C8" s="14" t="s">
        <v>5</v>
      </c>
      <c r="D8" s="15"/>
      <c r="E8" s="15"/>
      <c r="F8" s="15"/>
      <c r="G8" s="15"/>
      <c r="I8" s="14" t="s">
        <v>6</v>
      </c>
      <c r="J8" s="15"/>
      <c r="K8" s="15"/>
      <c r="L8" s="15"/>
      <c r="M8" s="15"/>
      <c r="O8" s="14" t="s">
        <v>7</v>
      </c>
      <c r="P8" s="15"/>
      <c r="Q8" s="15"/>
      <c r="R8" s="15"/>
      <c r="S8" s="15"/>
      <c r="T8" s="15"/>
      <c r="U8" s="15"/>
      <c r="V8" s="15"/>
      <c r="W8" s="15"/>
    </row>
    <row r="9" spans="1:25" ht="18.75" x14ac:dyDescent="0.45">
      <c r="A9" s="16" t="s">
        <v>8</v>
      </c>
      <c r="C9" s="16" t="s">
        <v>9</v>
      </c>
      <c r="E9" s="16" t="s">
        <v>10</v>
      </c>
      <c r="G9" s="16" t="s">
        <v>11</v>
      </c>
      <c r="I9" s="16" t="s">
        <v>12</v>
      </c>
      <c r="J9" s="11"/>
      <c r="L9" s="16" t="s">
        <v>13</v>
      </c>
      <c r="M9" s="11"/>
      <c r="O9" s="16" t="s">
        <v>9</v>
      </c>
      <c r="Q9" s="17" t="s">
        <v>14</v>
      </c>
      <c r="S9" s="16" t="s">
        <v>10</v>
      </c>
      <c r="U9" s="16" t="s">
        <v>11</v>
      </c>
      <c r="W9" s="17" t="s">
        <v>15</v>
      </c>
    </row>
    <row r="10" spans="1:25" ht="18.75" x14ac:dyDescent="0.45">
      <c r="A10" s="18"/>
      <c r="C10" s="18"/>
      <c r="E10" s="18"/>
      <c r="G10" s="18"/>
      <c r="I10" s="19" t="s">
        <v>9</v>
      </c>
      <c r="J10" s="19" t="s">
        <v>10</v>
      </c>
      <c r="L10" s="19" t="s">
        <v>9</v>
      </c>
      <c r="M10" s="19" t="s">
        <v>16</v>
      </c>
      <c r="O10" s="18"/>
      <c r="Q10" s="18"/>
      <c r="S10" s="18"/>
      <c r="U10" s="18"/>
      <c r="W10" s="18"/>
    </row>
    <row r="11" spans="1:25" ht="18.75" x14ac:dyDescent="0.45">
      <c r="A11" s="20" t="s">
        <v>17</v>
      </c>
      <c r="H11" s="21"/>
      <c r="I11" s="22">
        <v>1183678</v>
      </c>
      <c r="J11" s="22">
        <v>9974996868</v>
      </c>
      <c r="L11" s="22">
        <v>0</v>
      </c>
      <c r="M11" s="22">
        <v>0</v>
      </c>
      <c r="O11" s="22">
        <v>1183678</v>
      </c>
      <c r="Q11" s="22">
        <v>8560</v>
      </c>
      <c r="S11" s="22">
        <v>9974996868</v>
      </c>
      <c r="U11" s="22">
        <v>10060230241</v>
      </c>
      <c r="W11" s="23">
        <v>2.5235317421840983E-3</v>
      </c>
    </row>
    <row r="12" spans="1:25" ht="18.75" x14ac:dyDescent="0.45">
      <c r="A12" s="20" t="s">
        <v>18</v>
      </c>
      <c r="H12" s="21"/>
      <c r="I12" s="22">
        <v>108909</v>
      </c>
      <c r="J12" s="22">
        <v>9972240615</v>
      </c>
      <c r="L12" s="22">
        <v>0</v>
      </c>
      <c r="M12" s="22">
        <v>0</v>
      </c>
      <c r="O12" s="22">
        <v>108909</v>
      </c>
      <c r="Q12" s="22">
        <v>117850</v>
      </c>
      <c r="S12" s="22">
        <v>9972240615</v>
      </c>
      <c r="U12" s="22">
        <v>12901462351</v>
      </c>
      <c r="W12" s="23">
        <v>3.2362330665809242E-3</v>
      </c>
    </row>
    <row r="13" spans="1:25" ht="37.5" x14ac:dyDescent="0.45">
      <c r="A13" s="20" t="s">
        <v>19</v>
      </c>
      <c r="C13" s="22">
        <v>50000</v>
      </c>
      <c r="E13" s="22">
        <v>1000908000</v>
      </c>
      <c r="G13" s="22">
        <v>1401610500</v>
      </c>
      <c r="N13" s="21"/>
      <c r="O13" s="22">
        <v>50000</v>
      </c>
      <c r="Q13" s="22">
        <v>30800</v>
      </c>
      <c r="S13" s="22">
        <v>1000908000</v>
      </c>
      <c r="U13" s="22">
        <v>1530837000</v>
      </c>
      <c r="W13" s="23">
        <v>3.8399874248065712E-4</v>
      </c>
    </row>
    <row r="14" spans="1:25" ht="37.5" x14ac:dyDescent="0.45">
      <c r="A14" s="20" t="s">
        <v>20</v>
      </c>
      <c r="H14" s="21"/>
      <c r="I14" s="22">
        <v>5685974</v>
      </c>
      <c r="J14" s="22">
        <v>24663093547</v>
      </c>
      <c r="L14" s="22">
        <v>600000</v>
      </c>
      <c r="M14" s="22">
        <v>2572999038</v>
      </c>
      <c r="O14" s="22">
        <v>5085974</v>
      </c>
      <c r="Q14" s="22">
        <v>4659</v>
      </c>
      <c r="S14" s="22">
        <v>22096571620</v>
      </c>
      <c r="U14" s="22">
        <v>23660734288</v>
      </c>
      <c r="W14" s="23">
        <v>5.9351140668542548E-3</v>
      </c>
    </row>
    <row r="15" spans="1:25" ht="18.75" x14ac:dyDescent="0.45">
      <c r="A15" s="20" t="s">
        <v>21</v>
      </c>
      <c r="C15" s="22">
        <v>245000</v>
      </c>
      <c r="E15" s="22">
        <v>1829159370</v>
      </c>
      <c r="G15" s="22">
        <v>1682876947</v>
      </c>
      <c r="N15" s="21"/>
      <c r="O15" s="22">
        <v>245000</v>
      </c>
      <c r="Q15" s="22">
        <v>9240</v>
      </c>
      <c r="S15" s="22">
        <v>1829159370</v>
      </c>
      <c r="U15" s="22">
        <v>2269813770</v>
      </c>
      <c r="W15" s="23">
        <v>5.6936540816904713E-4</v>
      </c>
    </row>
    <row r="16" spans="1:25" ht="18.75" x14ac:dyDescent="0.45">
      <c r="A16" s="20" t="s">
        <v>22</v>
      </c>
      <c r="C16" s="22">
        <v>2124125</v>
      </c>
      <c r="E16" s="22">
        <v>8803931592</v>
      </c>
      <c r="G16" s="22">
        <v>8570523526</v>
      </c>
      <c r="N16" s="21"/>
      <c r="O16" s="22">
        <v>2124125</v>
      </c>
      <c r="Q16" s="22">
        <v>4635</v>
      </c>
      <c r="S16" s="22">
        <v>8803931592</v>
      </c>
      <c r="U16" s="22">
        <v>9831080940</v>
      </c>
      <c r="W16" s="23">
        <v>2.4660513942278352E-3</v>
      </c>
    </row>
    <row r="17" spans="1:23" ht="18.75" x14ac:dyDescent="0.45">
      <c r="A17" s="20" t="s">
        <v>23</v>
      </c>
      <c r="C17" s="22">
        <v>1198170</v>
      </c>
      <c r="E17" s="22">
        <v>11620135300</v>
      </c>
      <c r="G17" s="22">
        <v>10981396992</v>
      </c>
      <c r="I17" s="22">
        <v>1400000</v>
      </c>
      <c r="J17" s="22">
        <v>13237668347</v>
      </c>
      <c r="L17" s="22">
        <v>0</v>
      </c>
      <c r="M17" s="22">
        <v>0</v>
      </c>
      <c r="O17" s="22">
        <v>2598170</v>
      </c>
      <c r="Q17" s="22">
        <v>10330</v>
      </c>
      <c r="S17" s="22">
        <v>24857803647</v>
      </c>
      <c r="U17" s="22">
        <v>26911847458</v>
      </c>
      <c r="W17" s="23">
        <v>6.750630917402225E-3</v>
      </c>
    </row>
    <row r="18" spans="1:23" ht="18.75" x14ac:dyDescent="0.45">
      <c r="A18" s="20" t="s">
        <v>24</v>
      </c>
      <c r="C18" s="22">
        <v>3000000</v>
      </c>
      <c r="E18" s="22">
        <v>10167426528</v>
      </c>
      <c r="G18" s="22">
        <v>10622418300</v>
      </c>
      <c r="I18" s="22">
        <v>4000000</v>
      </c>
      <c r="J18" s="22">
        <v>16263078062</v>
      </c>
      <c r="L18" s="22">
        <v>800000</v>
      </c>
      <c r="M18" s="22">
        <v>3351640420</v>
      </c>
      <c r="O18" s="22">
        <v>6200000</v>
      </c>
      <c r="Q18" s="22">
        <v>4231</v>
      </c>
      <c r="S18" s="22">
        <v>23409875494</v>
      </c>
      <c r="U18" s="22">
        <v>26082281520</v>
      </c>
      <c r="W18" s="23">
        <v>6.5425406524055032E-3</v>
      </c>
    </row>
    <row r="19" spans="1:23" ht="18.75" x14ac:dyDescent="0.45">
      <c r="A19" s="20" t="s">
        <v>25</v>
      </c>
      <c r="C19" s="22">
        <v>2800000</v>
      </c>
      <c r="E19" s="22">
        <v>10433055504</v>
      </c>
      <c r="G19" s="22">
        <v>10743692400</v>
      </c>
      <c r="N19" s="21"/>
      <c r="O19" s="22">
        <v>2800000</v>
      </c>
      <c r="Q19" s="22">
        <v>4097</v>
      </c>
      <c r="S19" s="22">
        <v>10433055504</v>
      </c>
      <c r="U19" s="22">
        <v>11403343980</v>
      </c>
      <c r="W19" s="23">
        <v>2.860441541715004E-3</v>
      </c>
    </row>
    <row r="20" spans="1:23" ht="18.75" x14ac:dyDescent="0.45">
      <c r="A20" s="20" t="s">
        <v>26</v>
      </c>
      <c r="C20" s="22">
        <v>12800630</v>
      </c>
      <c r="E20" s="22">
        <v>50487649254</v>
      </c>
      <c r="G20" s="22">
        <v>27128562048</v>
      </c>
      <c r="I20" s="22">
        <v>0</v>
      </c>
      <c r="J20" s="22">
        <v>0</v>
      </c>
      <c r="L20" s="22">
        <v>5474237</v>
      </c>
      <c r="M20" s="22">
        <v>11403279325</v>
      </c>
      <c r="O20" s="22">
        <v>7326393</v>
      </c>
      <c r="Q20" s="22">
        <v>2441</v>
      </c>
      <c r="S20" s="22">
        <v>28896418385</v>
      </c>
      <c r="U20" s="22">
        <v>17784599948</v>
      </c>
      <c r="W20" s="23">
        <v>4.4611307510555075E-3</v>
      </c>
    </row>
    <row r="21" spans="1:23" ht="18.75" x14ac:dyDescent="0.45">
      <c r="A21" s="20" t="s">
        <v>27</v>
      </c>
      <c r="C21" s="22">
        <v>1169902</v>
      </c>
      <c r="E21" s="22">
        <v>16218589234</v>
      </c>
      <c r="G21" s="22">
        <v>15513634049</v>
      </c>
      <c r="I21" s="22">
        <v>1480666</v>
      </c>
      <c r="J21" s="22">
        <v>21151660830</v>
      </c>
      <c r="L21" s="22">
        <v>300000</v>
      </c>
      <c r="M21" s="22">
        <v>4398671271</v>
      </c>
      <c r="O21" s="22">
        <v>2350568</v>
      </c>
      <c r="Q21" s="22">
        <v>15820</v>
      </c>
      <c r="S21" s="22">
        <v>33250970246</v>
      </c>
      <c r="U21" s="22">
        <v>36917997502</v>
      </c>
      <c r="W21" s="23">
        <v>9.2605970561673405E-3</v>
      </c>
    </row>
    <row r="22" spans="1:23" ht="18.75" x14ac:dyDescent="0.45">
      <c r="A22" s="20" t="s">
        <v>28</v>
      </c>
      <c r="C22" s="22">
        <v>8265950</v>
      </c>
      <c r="E22" s="22">
        <v>15057989859</v>
      </c>
      <c r="G22" s="22">
        <v>25636314904</v>
      </c>
      <c r="I22" s="22">
        <v>0</v>
      </c>
      <c r="J22" s="22">
        <v>0</v>
      </c>
      <c r="L22" s="22">
        <v>1600000</v>
      </c>
      <c r="M22" s="22">
        <v>5136998409</v>
      </c>
      <c r="O22" s="22">
        <v>6665950</v>
      </c>
      <c r="Q22" s="22">
        <v>3731</v>
      </c>
      <c r="S22" s="22">
        <v>12143287523</v>
      </c>
      <c r="U22" s="22">
        <v>24749184177</v>
      </c>
      <c r="W22" s="23">
        <v>6.208143389132989E-3</v>
      </c>
    </row>
    <row r="23" spans="1:23" ht="18.75" x14ac:dyDescent="0.45">
      <c r="A23" s="20" t="s">
        <v>29</v>
      </c>
      <c r="C23" s="22">
        <v>18400000</v>
      </c>
      <c r="E23" s="22">
        <v>7201076124</v>
      </c>
      <c r="G23" s="22">
        <v>7352789040</v>
      </c>
      <c r="I23" s="22">
        <v>23600000</v>
      </c>
      <c r="J23" s="22">
        <v>9907585340</v>
      </c>
      <c r="L23" s="22">
        <v>2000000</v>
      </c>
      <c r="M23" s="22">
        <v>825061535</v>
      </c>
      <c r="O23" s="22">
        <v>40000000</v>
      </c>
      <c r="Q23" s="22">
        <v>526</v>
      </c>
      <c r="S23" s="22">
        <v>16293963299</v>
      </c>
      <c r="U23" s="22">
        <v>21153384000</v>
      </c>
      <c r="W23" s="23">
        <v>5.3061644415508986E-3</v>
      </c>
    </row>
    <row r="24" spans="1:23" ht="18.75" x14ac:dyDescent="0.45">
      <c r="A24" s="20" t="s">
        <v>30</v>
      </c>
      <c r="C24" s="22">
        <v>1750000</v>
      </c>
      <c r="E24" s="22">
        <v>4291393050</v>
      </c>
      <c r="G24" s="22">
        <v>5933732962</v>
      </c>
      <c r="N24" s="21"/>
      <c r="O24" s="22">
        <v>1750000</v>
      </c>
      <c r="Q24" s="22">
        <v>4323</v>
      </c>
      <c r="S24" s="22">
        <v>4291393050</v>
      </c>
      <c r="U24" s="22">
        <v>7532413875</v>
      </c>
      <c r="W24" s="23">
        <v>1.8894483578877788E-3</v>
      </c>
    </row>
    <row r="25" spans="1:23" ht="18.75" x14ac:dyDescent="0.45">
      <c r="A25" s="20" t="s">
        <v>31</v>
      </c>
      <c r="C25" s="22">
        <v>13509504</v>
      </c>
      <c r="E25" s="22">
        <v>27573007933</v>
      </c>
      <c r="G25" s="22">
        <v>17981594962</v>
      </c>
      <c r="I25" s="22">
        <v>400000</v>
      </c>
      <c r="J25" s="22">
        <v>561720778</v>
      </c>
      <c r="L25" s="22">
        <v>2800000</v>
      </c>
      <c r="M25" s="22">
        <v>3980176228</v>
      </c>
      <c r="O25" s="22">
        <v>11109504</v>
      </c>
      <c r="Q25" s="22">
        <v>1659</v>
      </c>
      <c r="S25" s="22">
        <v>22471173750</v>
      </c>
      <c r="U25" s="22">
        <v>18298917862</v>
      </c>
      <c r="W25" s="23">
        <v>4.5901434625403199E-3</v>
      </c>
    </row>
    <row r="26" spans="1:23" ht="18.75" x14ac:dyDescent="0.45">
      <c r="A26" s="20" t="s">
        <v>32</v>
      </c>
      <c r="C26" s="22">
        <v>18400000</v>
      </c>
      <c r="E26" s="22">
        <v>7016905339</v>
      </c>
      <c r="G26" s="22">
        <v>7169883840</v>
      </c>
      <c r="I26" s="22">
        <v>10566397</v>
      </c>
      <c r="J26" s="22">
        <v>4143946758</v>
      </c>
      <c r="L26" s="22">
        <v>0</v>
      </c>
      <c r="M26" s="22">
        <v>0</v>
      </c>
      <c r="O26" s="22">
        <v>28966397</v>
      </c>
      <c r="Q26" s="22">
        <v>466</v>
      </c>
      <c r="S26" s="22">
        <v>11160852097</v>
      </c>
      <c r="U26" s="22">
        <v>13475613967</v>
      </c>
      <c r="W26" s="23">
        <v>3.3802546041693396E-3</v>
      </c>
    </row>
    <row r="27" spans="1:23" ht="18.75" x14ac:dyDescent="0.45">
      <c r="A27" s="20" t="s">
        <v>33</v>
      </c>
      <c r="C27" s="22">
        <v>15200000</v>
      </c>
      <c r="E27" s="22">
        <v>7013702472</v>
      </c>
      <c r="G27" s="22">
        <v>7010835840</v>
      </c>
      <c r="I27" s="22">
        <v>28400000</v>
      </c>
      <c r="J27" s="22">
        <v>15445920065</v>
      </c>
      <c r="L27" s="22">
        <v>2800000</v>
      </c>
      <c r="M27" s="22">
        <v>1580484116</v>
      </c>
      <c r="O27" s="22">
        <v>40800000</v>
      </c>
      <c r="Q27" s="22">
        <v>568</v>
      </c>
      <c r="S27" s="22">
        <v>21017261457</v>
      </c>
      <c r="U27" s="22">
        <v>23442084720</v>
      </c>
      <c r="W27" s="23">
        <v>5.880267496542759E-3</v>
      </c>
    </row>
    <row r="28" spans="1:23" ht="18.75" x14ac:dyDescent="0.45">
      <c r="A28" s="20" t="s">
        <v>34</v>
      </c>
      <c r="C28" s="22">
        <v>18336792</v>
      </c>
      <c r="E28" s="22">
        <v>17643374595</v>
      </c>
      <c r="G28" s="22">
        <v>18391737280</v>
      </c>
      <c r="I28" s="22">
        <v>10985366</v>
      </c>
      <c r="J28" s="22">
        <v>12480588039</v>
      </c>
      <c r="L28" s="22">
        <v>4141220</v>
      </c>
      <c r="M28" s="22">
        <v>5014376960</v>
      </c>
      <c r="O28" s="22">
        <v>25180938</v>
      </c>
      <c r="Q28" s="22">
        <v>1217</v>
      </c>
      <c r="S28" s="22">
        <v>25869502354</v>
      </c>
      <c r="U28" s="22">
        <v>30638080377</v>
      </c>
      <c r="W28" s="23">
        <v>7.6853279198172619E-3</v>
      </c>
    </row>
    <row r="29" spans="1:23" ht="18.75" x14ac:dyDescent="0.45">
      <c r="A29" s="20" t="s">
        <v>35</v>
      </c>
      <c r="H29" s="21"/>
      <c r="I29" s="22">
        <v>5060139</v>
      </c>
      <c r="J29" s="22">
        <v>21069522683</v>
      </c>
      <c r="L29" s="22">
        <v>0</v>
      </c>
      <c r="M29" s="22">
        <v>0</v>
      </c>
      <c r="O29" s="22">
        <v>5060139</v>
      </c>
      <c r="Q29" s="22">
        <v>4745</v>
      </c>
      <c r="S29" s="22">
        <v>21069522683</v>
      </c>
      <c r="U29" s="22">
        <v>24129059537</v>
      </c>
      <c r="W29" s="23">
        <v>6.0525898704100484E-3</v>
      </c>
    </row>
    <row r="30" spans="1:23" ht="18.75" x14ac:dyDescent="0.45">
      <c r="A30" s="20" t="s">
        <v>36</v>
      </c>
      <c r="H30" s="21"/>
      <c r="I30" s="22">
        <v>8769241</v>
      </c>
      <c r="J30" s="22">
        <v>36816758080</v>
      </c>
      <c r="L30" s="22">
        <v>0</v>
      </c>
      <c r="M30" s="22">
        <v>0</v>
      </c>
      <c r="O30" s="22">
        <v>8769241</v>
      </c>
      <c r="Q30" s="22">
        <v>4285</v>
      </c>
      <c r="S30" s="22">
        <v>36816758080</v>
      </c>
      <c r="U30" s="22">
        <v>37544394717</v>
      </c>
      <c r="W30" s="23">
        <v>9.4177240023107806E-3</v>
      </c>
    </row>
    <row r="31" spans="1:23" ht="18.75" x14ac:dyDescent="0.45">
      <c r="A31" s="20" t="s">
        <v>37</v>
      </c>
      <c r="C31" s="22">
        <v>8000000</v>
      </c>
      <c r="E31" s="22">
        <v>9768862019</v>
      </c>
      <c r="G31" s="22">
        <v>10020024000</v>
      </c>
      <c r="I31" s="22">
        <v>18443829</v>
      </c>
      <c r="J31" s="22">
        <v>28431436463</v>
      </c>
      <c r="L31" s="22">
        <v>0</v>
      </c>
      <c r="M31" s="22">
        <v>0</v>
      </c>
      <c r="O31" s="22">
        <v>26443829</v>
      </c>
      <c r="Q31" s="22">
        <v>1518</v>
      </c>
      <c r="S31" s="22">
        <v>38200298482</v>
      </c>
      <c r="U31" s="22">
        <v>39929175602</v>
      </c>
      <c r="W31" s="23">
        <v>1.0015928031173363E-2</v>
      </c>
    </row>
    <row r="32" spans="1:23" ht="18.75" x14ac:dyDescent="0.45">
      <c r="A32" s="20" t="s">
        <v>38</v>
      </c>
      <c r="C32" s="22">
        <v>4000000</v>
      </c>
      <c r="E32" s="22">
        <v>5016651080</v>
      </c>
      <c r="G32" s="22">
        <v>5049774000</v>
      </c>
      <c r="I32" s="22">
        <v>5313038</v>
      </c>
      <c r="J32" s="22">
        <v>7489891741</v>
      </c>
      <c r="L32" s="22">
        <v>0</v>
      </c>
      <c r="M32" s="22">
        <v>0</v>
      </c>
      <c r="O32" s="22">
        <v>9313038</v>
      </c>
      <c r="Q32" s="22">
        <v>1518</v>
      </c>
      <c r="S32" s="22">
        <v>12506542821</v>
      </c>
      <c r="U32" s="22">
        <v>14006787266</v>
      </c>
      <c r="W32" s="23">
        <v>3.513495359948892E-3</v>
      </c>
    </row>
    <row r="33" spans="1:23" ht="18.75" x14ac:dyDescent="0.45">
      <c r="A33" s="20" t="s">
        <v>39</v>
      </c>
      <c r="C33" s="22">
        <v>3304414</v>
      </c>
      <c r="E33" s="22">
        <v>6820601441</v>
      </c>
      <c r="G33" s="22">
        <v>6737027863</v>
      </c>
      <c r="I33" s="22">
        <v>5865565</v>
      </c>
      <c r="J33" s="22">
        <v>12541474497</v>
      </c>
      <c r="L33" s="22">
        <v>0</v>
      </c>
      <c r="M33" s="22">
        <v>0</v>
      </c>
      <c r="O33" s="22">
        <v>9169979</v>
      </c>
      <c r="Q33" s="22">
        <v>2175</v>
      </c>
      <c r="S33" s="22">
        <v>19362075938</v>
      </c>
      <c r="U33" s="22">
        <v>19771340829</v>
      </c>
      <c r="W33" s="23">
        <v>4.9594894920180748E-3</v>
      </c>
    </row>
    <row r="34" spans="1:23" ht="18.75" x14ac:dyDescent="0.45">
      <c r="A34" s="20" t="s">
        <v>40</v>
      </c>
      <c r="C34" s="22">
        <v>2875000</v>
      </c>
      <c r="E34" s="22">
        <v>4907321845</v>
      </c>
      <c r="G34" s="22">
        <v>5355692887</v>
      </c>
      <c r="N34" s="21"/>
      <c r="O34" s="22">
        <v>2875000</v>
      </c>
      <c r="Q34" s="22">
        <v>2017</v>
      </c>
      <c r="S34" s="22">
        <v>4907321845</v>
      </c>
      <c r="U34" s="22">
        <v>5772945375</v>
      </c>
      <c r="W34" s="23">
        <v>1.4480991538678028E-3</v>
      </c>
    </row>
    <row r="35" spans="1:23" ht="18.75" x14ac:dyDescent="0.45">
      <c r="A35" s="20" t="s">
        <v>41</v>
      </c>
      <c r="C35" s="22">
        <v>1927734</v>
      </c>
      <c r="E35" s="22">
        <v>7892221133</v>
      </c>
      <c r="G35" s="22">
        <v>7910337721</v>
      </c>
      <c r="I35" s="22">
        <v>525271</v>
      </c>
      <c r="J35" s="22">
        <v>2173595926</v>
      </c>
      <c r="L35" s="22">
        <v>0</v>
      </c>
      <c r="M35" s="22">
        <v>0</v>
      </c>
      <c r="O35" s="22">
        <v>7665640</v>
      </c>
      <c r="Q35" s="22">
        <v>1407</v>
      </c>
      <c r="S35" s="22">
        <v>10065817059</v>
      </c>
      <c r="U35" s="22">
        <v>10607080983</v>
      </c>
      <c r="W35" s="23">
        <v>2.6607050645251536E-3</v>
      </c>
    </row>
    <row r="36" spans="1:23" ht="37.5" x14ac:dyDescent="0.45">
      <c r="A36" s="20" t="s">
        <v>42</v>
      </c>
      <c r="C36" s="22">
        <v>2669494</v>
      </c>
      <c r="E36" s="22">
        <v>5779340893</v>
      </c>
      <c r="G36" s="22">
        <v>5829982292</v>
      </c>
      <c r="I36" s="22">
        <v>6121526</v>
      </c>
      <c r="J36" s="22">
        <v>13640335080</v>
      </c>
      <c r="L36" s="22">
        <v>0</v>
      </c>
      <c r="M36" s="22">
        <v>0</v>
      </c>
      <c r="O36" s="22">
        <v>8791020</v>
      </c>
      <c r="Q36" s="22">
        <v>2253</v>
      </c>
      <c r="S36" s="22">
        <v>19419675973</v>
      </c>
      <c r="U36" s="22">
        <v>19644627793</v>
      </c>
      <c r="W36" s="23">
        <v>4.9277044969598767E-3</v>
      </c>
    </row>
    <row r="37" spans="1:23" ht="18.75" x14ac:dyDescent="0.45">
      <c r="A37" s="20" t="s">
        <v>43</v>
      </c>
      <c r="C37" s="22">
        <v>5466157</v>
      </c>
      <c r="E37" s="22">
        <v>7519555410</v>
      </c>
      <c r="G37" s="22">
        <v>7721193013</v>
      </c>
      <c r="I37" s="22">
        <v>6927242</v>
      </c>
      <c r="J37" s="22">
        <v>10990717830</v>
      </c>
      <c r="L37" s="22">
        <v>0</v>
      </c>
      <c r="M37" s="22">
        <v>0</v>
      </c>
      <c r="O37" s="22">
        <v>12393399</v>
      </c>
      <c r="Q37" s="22">
        <v>1565</v>
      </c>
      <c r="S37" s="22">
        <v>18510273240</v>
      </c>
      <c r="U37" s="22">
        <v>19292584860</v>
      </c>
      <c r="W37" s="23">
        <v>4.8393972222002509E-3</v>
      </c>
    </row>
    <row r="38" spans="1:23" ht="18.75" x14ac:dyDescent="0.45">
      <c r="A38" s="20" t="s">
        <v>44</v>
      </c>
      <c r="C38" s="22">
        <v>8400000</v>
      </c>
      <c r="E38" s="22">
        <v>29482998498</v>
      </c>
      <c r="G38" s="22">
        <v>25751461680</v>
      </c>
      <c r="I38" s="22">
        <v>0</v>
      </c>
      <c r="J38" s="22">
        <v>0</v>
      </c>
      <c r="L38" s="22">
        <v>2150011</v>
      </c>
      <c r="M38" s="22">
        <v>6543109855</v>
      </c>
      <c r="O38" s="22">
        <v>6249989</v>
      </c>
      <c r="Q38" s="22">
        <v>3404</v>
      </c>
      <c r="S38" s="22">
        <v>21936716227</v>
      </c>
      <c r="U38" s="22">
        <v>21626762249</v>
      </c>
      <c r="W38" s="23">
        <v>5.4249077514746174E-3</v>
      </c>
    </row>
    <row r="39" spans="1:23" ht="18.75" x14ac:dyDescent="0.45">
      <c r="A39" s="20" t="s">
        <v>45</v>
      </c>
      <c r="C39" s="22">
        <v>7095818</v>
      </c>
      <c r="E39" s="22">
        <v>27001209901</v>
      </c>
      <c r="G39" s="22">
        <v>47047497879</v>
      </c>
      <c r="I39" s="22">
        <v>0</v>
      </c>
      <c r="J39" s="22">
        <v>0</v>
      </c>
      <c r="L39" s="22">
        <v>2983324</v>
      </c>
      <c r="M39" s="22">
        <v>17408064234</v>
      </c>
      <c r="O39" s="22">
        <v>4112494</v>
      </c>
      <c r="Q39" s="22">
        <v>6750</v>
      </c>
      <c r="S39" s="22">
        <v>15648979964</v>
      </c>
      <c r="U39" s="22">
        <v>27675926953</v>
      </c>
      <c r="W39" s="23">
        <v>6.9422944094887475E-3</v>
      </c>
    </row>
    <row r="40" spans="1:23" ht="37.5" x14ac:dyDescent="0.45">
      <c r="A40" s="20" t="s">
        <v>46</v>
      </c>
      <c r="C40" s="22">
        <v>4000000</v>
      </c>
      <c r="E40" s="22">
        <v>7346811356</v>
      </c>
      <c r="G40" s="22">
        <v>7399708200</v>
      </c>
      <c r="I40" s="22">
        <v>5360312</v>
      </c>
      <c r="J40" s="22">
        <v>10513894813</v>
      </c>
      <c r="L40" s="22">
        <v>0</v>
      </c>
      <c r="M40" s="22">
        <v>0</v>
      </c>
      <c r="O40" s="22">
        <v>9360312</v>
      </c>
      <c r="Q40" s="22">
        <v>2049</v>
      </c>
      <c r="S40" s="22">
        <v>17860706169</v>
      </c>
      <c r="U40" s="22">
        <v>19372214975</v>
      </c>
      <c r="W40" s="23">
        <v>4.8593718269580337E-3</v>
      </c>
    </row>
    <row r="41" spans="1:23" ht="18.75" x14ac:dyDescent="0.45">
      <c r="A41" s="20" t="s">
        <v>47</v>
      </c>
      <c r="C41" s="22">
        <v>1916567</v>
      </c>
      <c r="E41" s="22">
        <v>6930571783</v>
      </c>
      <c r="G41" s="22">
        <v>5976497668</v>
      </c>
      <c r="N41" s="21"/>
      <c r="O41" s="22">
        <v>1916567</v>
      </c>
      <c r="Q41" s="22">
        <v>3518</v>
      </c>
      <c r="S41" s="22">
        <v>6930571783</v>
      </c>
      <c r="U41" s="22">
        <v>6687123626</v>
      </c>
      <c r="W41" s="23">
        <v>1.6774137698505407E-3</v>
      </c>
    </row>
    <row r="42" spans="1:23" ht="18.75" x14ac:dyDescent="0.45">
      <c r="A42" s="20" t="s">
        <v>48</v>
      </c>
      <c r="C42" s="22">
        <v>7765783</v>
      </c>
      <c r="E42" s="22">
        <v>17698370570</v>
      </c>
      <c r="G42" s="22">
        <v>12413079159</v>
      </c>
      <c r="I42" s="22">
        <v>2400000</v>
      </c>
      <c r="J42" s="22">
        <v>4170983799</v>
      </c>
      <c r="L42" s="22">
        <v>765783</v>
      </c>
      <c r="M42" s="22">
        <v>1319205689</v>
      </c>
      <c r="O42" s="22">
        <v>9400000</v>
      </c>
      <c r="Q42" s="22">
        <v>1796</v>
      </c>
      <c r="S42" s="22">
        <v>20124120011</v>
      </c>
      <c r="U42" s="22">
        <v>16781949720</v>
      </c>
      <c r="W42" s="23">
        <v>4.2096236169191208E-3</v>
      </c>
    </row>
    <row r="43" spans="1:23" ht="37.5" x14ac:dyDescent="0.45">
      <c r="A43" s="20" t="s">
        <v>49</v>
      </c>
      <c r="C43" s="22">
        <v>842177</v>
      </c>
      <c r="E43" s="22">
        <v>2001916090</v>
      </c>
      <c r="G43" s="22">
        <v>3072399392</v>
      </c>
      <c r="N43" s="21"/>
      <c r="O43" s="22">
        <v>842177</v>
      </c>
      <c r="Q43" s="22">
        <v>4190</v>
      </c>
      <c r="S43" s="22">
        <v>2001916090</v>
      </c>
      <c r="U43" s="22">
        <v>3531166386</v>
      </c>
      <c r="W43" s="23">
        <v>8.8576605589881007E-4</v>
      </c>
    </row>
    <row r="44" spans="1:23" ht="37.5" x14ac:dyDescent="0.45">
      <c r="A44" s="20" t="s">
        <v>50</v>
      </c>
      <c r="C44" s="22">
        <v>285750</v>
      </c>
      <c r="E44" s="22">
        <v>12123197874</v>
      </c>
      <c r="G44" s="22">
        <v>12768037948</v>
      </c>
      <c r="N44" s="21"/>
      <c r="O44" s="22">
        <v>285750</v>
      </c>
      <c r="Q44" s="22">
        <v>49900</v>
      </c>
      <c r="S44" s="22">
        <v>12123197874</v>
      </c>
      <c r="U44" s="22">
        <v>14486539162</v>
      </c>
      <c r="W44" s="23">
        <v>3.6338374504305765E-3</v>
      </c>
    </row>
    <row r="45" spans="1:23" ht="18.75" x14ac:dyDescent="0.45">
      <c r="A45" s="20" t="s">
        <v>51</v>
      </c>
      <c r="H45" s="21"/>
      <c r="I45" s="22">
        <v>10896746</v>
      </c>
      <c r="J45" s="22">
        <v>17903509122</v>
      </c>
      <c r="L45" s="22">
        <v>0</v>
      </c>
      <c r="M45" s="22">
        <v>0</v>
      </c>
      <c r="O45" s="22">
        <v>10896746</v>
      </c>
      <c r="Q45" s="22">
        <v>1886</v>
      </c>
      <c r="S45" s="22">
        <v>17903509122</v>
      </c>
      <c r="U45" s="22">
        <v>20580629686</v>
      </c>
      <c r="W45" s="23">
        <v>5.1624934064724605E-3</v>
      </c>
    </row>
    <row r="46" spans="1:23" ht="37.5" x14ac:dyDescent="0.45">
      <c r="A46" s="20" t="s">
        <v>52</v>
      </c>
      <c r="H46" s="21"/>
      <c r="I46" s="22">
        <v>1648155</v>
      </c>
      <c r="J46" s="22">
        <v>11910020869</v>
      </c>
      <c r="L46" s="22">
        <v>0</v>
      </c>
      <c r="M46" s="22">
        <v>0</v>
      </c>
      <c r="O46" s="22">
        <v>1648155</v>
      </c>
      <c r="Q46" s="22">
        <v>7960</v>
      </c>
      <c r="S46" s="22">
        <v>11910020869</v>
      </c>
      <c r="U46" s="22">
        <v>13041253883</v>
      </c>
      <c r="W46" s="23">
        <v>3.2712987022413143E-3</v>
      </c>
    </row>
    <row r="47" spans="1:23" ht="37.5" x14ac:dyDescent="0.45">
      <c r="A47" s="20" t="s">
        <v>53</v>
      </c>
      <c r="C47" s="22">
        <v>250000</v>
      </c>
      <c r="E47" s="22">
        <v>800726400</v>
      </c>
      <c r="G47" s="22">
        <v>883958962</v>
      </c>
      <c r="N47" s="21"/>
      <c r="O47" s="22">
        <v>250000</v>
      </c>
      <c r="Q47" s="22">
        <v>4476</v>
      </c>
      <c r="S47" s="22">
        <v>800726400</v>
      </c>
      <c r="U47" s="22">
        <v>1117312200</v>
      </c>
      <c r="W47" s="23">
        <v>2.8026921204432381E-4</v>
      </c>
    </row>
    <row r="48" spans="1:23" ht="37.5" x14ac:dyDescent="0.45">
      <c r="A48" s="20" t="s">
        <v>54</v>
      </c>
      <c r="C48" s="22">
        <v>108610</v>
      </c>
      <c r="E48" s="22">
        <v>13394079252</v>
      </c>
      <c r="G48" s="22">
        <v>13155385435</v>
      </c>
      <c r="I48" s="22">
        <v>130790</v>
      </c>
      <c r="J48" s="22">
        <v>15699655575</v>
      </c>
      <c r="L48" s="22">
        <v>0</v>
      </c>
      <c r="M48" s="22">
        <v>0</v>
      </c>
      <c r="O48" s="22">
        <v>239400</v>
      </c>
      <c r="Q48" s="22">
        <v>118350</v>
      </c>
      <c r="S48" s="22">
        <v>29093734827</v>
      </c>
      <c r="U48" s="22">
        <v>28426181836</v>
      </c>
      <c r="W48" s="23">
        <v>7.1304901034861959E-3</v>
      </c>
    </row>
    <row r="49" spans="1:23" ht="37.5" x14ac:dyDescent="0.45">
      <c r="A49" s="20" t="s">
        <v>55</v>
      </c>
      <c r="C49" s="22">
        <v>5032413</v>
      </c>
      <c r="E49" s="22">
        <v>50953292663</v>
      </c>
      <c r="G49" s="22">
        <v>47423416952</v>
      </c>
      <c r="I49" s="22">
        <v>0</v>
      </c>
      <c r="J49" s="22">
        <v>0</v>
      </c>
      <c r="L49" s="22">
        <v>1432413</v>
      </c>
      <c r="M49" s="22">
        <v>14719912637</v>
      </c>
      <c r="O49" s="22">
        <v>3600000</v>
      </c>
      <c r="Q49" s="22">
        <v>12010</v>
      </c>
      <c r="S49" s="22">
        <v>36450079432</v>
      </c>
      <c r="U49" s="22">
        <v>43479747000</v>
      </c>
      <c r="W49" s="23">
        <v>1.0906561685781782E-2</v>
      </c>
    </row>
    <row r="50" spans="1:23" ht="18.75" x14ac:dyDescent="0.45">
      <c r="A50" s="20" t="s">
        <v>56</v>
      </c>
      <c r="C50" s="22">
        <v>1000000</v>
      </c>
      <c r="E50" s="22">
        <v>6555947400</v>
      </c>
      <c r="G50" s="22">
        <v>5835073500</v>
      </c>
      <c r="N50" s="21"/>
      <c r="O50" s="22">
        <v>1000000</v>
      </c>
      <c r="Q50" s="22">
        <v>6930</v>
      </c>
      <c r="S50" s="22">
        <v>6555947400</v>
      </c>
      <c r="U50" s="22">
        <v>6908647500</v>
      </c>
      <c r="W50" s="23">
        <v>1.73298133781855E-3</v>
      </c>
    </row>
    <row r="51" spans="1:23" ht="37.5" x14ac:dyDescent="0.45">
      <c r="A51" s="20" t="s">
        <v>57</v>
      </c>
      <c r="H51" s="21"/>
      <c r="I51" s="22">
        <v>3742054</v>
      </c>
      <c r="J51" s="22">
        <v>7179669122</v>
      </c>
      <c r="L51" s="22">
        <v>0</v>
      </c>
      <c r="M51" s="22">
        <v>0</v>
      </c>
      <c r="O51" s="22">
        <v>3742054</v>
      </c>
      <c r="Q51" s="22">
        <v>1986</v>
      </c>
      <c r="S51" s="22">
        <v>7179669122</v>
      </c>
      <c r="U51" s="22">
        <v>7435857769</v>
      </c>
      <c r="W51" s="23">
        <v>1.8652279978606636E-3</v>
      </c>
    </row>
    <row r="52" spans="1:23" ht="18.75" x14ac:dyDescent="0.45">
      <c r="A52" s="20" t="s">
        <v>58</v>
      </c>
      <c r="C52" s="22">
        <v>31710382</v>
      </c>
      <c r="E52" s="22">
        <v>59049611917</v>
      </c>
      <c r="G52" s="22">
        <v>38677132314</v>
      </c>
      <c r="I52" s="22">
        <v>0</v>
      </c>
      <c r="J52" s="22">
        <v>0</v>
      </c>
      <c r="L52" s="22">
        <v>3310382</v>
      </c>
      <c r="M52" s="22">
        <v>4752536058</v>
      </c>
      <c r="O52" s="22">
        <v>28400000</v>
      </c>
      <c r="Q52" s="22">
        <v>1499</v>
      </c>
      <c r="S52" s="22">
        <v>52885171123</v>
      </c>
      <c r="U52" s="22">
        <v>42741764280</v>
      </c>
      <c r="W52" s="23">
        <v>1.0721444369926171E-2</v>
      </c>
    </row>
    <row r="53" spans="1:23" ht="18.75" x14ac:dyDescent="0.45">
      <c r="A53" s="20" t="s">
        <v>59</v>
      </c>
      <c r="C53" s="22">
        <v>2503659</v>
      </c>
      <c r="E53" s="22">
        <v>9971862043</v>
      </c>
      <c r="G53" s="22">
        <v>9915228720</v>
      </c>
      <c r="I53" s="22">
        <v>1600000</v>
      </c>
      <c r="J53" s="22">
        <v>7067841209</v>
      </c>
      <c r="L53" s="22">
        <v>0</v>
      </c>
      <c r="M53" s="22">
        <v>0</v>
      </c>
      <c r="O53" s="22">
        <v>4103659</v>
      </c>
      <c r="Q53" s="22">
        <v>4769</v>
      </c>
      <c r="S53" s="22">
        <v>17039703252</v>
      </c>
      <c r="U53" s="22">
        <v>19192834687</v>
      </c>
      <c r="W53" s="23">
        <v>4.814375654917628E-3</v>
      </c>
    </row>
    <row r="54" spans="1:23" ht="37.5" x14ac:dyDescent="0.45">
      <c r="A54" s="20" t="s">
        <v>60</v>
      </c>
      <c r="C54" s="22">
        <v>5491479</v>
      </c>
      <c r="E54" s="22">
        <v>40757172649</v>
      </c>
      <c r="G54" s="22">
        <v>26529790842</v>
      </c>
      <c r="I54" s="22">
        <v>308439</v>
      </c>
      <c r="J54" s="22">
        <v>1498201397</v>
      </c>
      <c r="L54" s="22">
        <v>845247</v>
      </c>
      <c r="M54" s="22">
        <v>4104579531</v>
      </c>
      <c r="O54" s="22">
        <v>4954671</v>
      </c>
      <c r="Q54" s="22">
        <v>5820</v>
      </c>
      <c r="S54" s="22">
        <v>36023926711</v>
      </c>
      <c r="U54" s="22">
        <v>28566106104</v>
      </c>
      <c r="W54" s="23">
        <v>7.1655890349560563E-3</v>
      </c>
    </row>
    <row r="55" spans="1:23" ht="18.75" x14ac:dyDescent="0.45">
      <c r="A55" s="20" t="s">
        <v>61</v>
      </c>
      <c r="C55" s="22">
        <v>21409</v>
      </c>
      <c r="E55" s="22">
        <v>367795397</v>
      </c>
      <c r="G55" s="22">
        <v>365405354</v>
      </c>
      <c r="I55" s="22">
        <v>1130747</v>
      </c>
      <c r="J55" s="22">
        <v>19458669069</v>
      </c>
      <c r="L55" s="22">
        <v>200000</v>
      </c>
      <c r="M55" s="22">
        <v>3742598258</v>
      </c>
      <c r="O55" s="22">
        <v>952156</v>
      </c>
      <c r="Q55" s="22">
        <v>20450</v>
      </c>
      <c r="S55" s="22">
        <v>16386702084</v>
      </c>
      <c r="U55" s="22">
        <v>19071787037</v>
      </c>
      <c r="W55" s="23">
        <v>4.7840117785674756E-3</v>
      </c>
    </row>
    <row r="56" spans="1:23" ht="18.75" x14ac:dyDescent="0.45">
      <c r="A56" s="20" t="s">
        <v>62</v>
      </c>
      <c r="C56" s="22">
        <v>3200000</v>
      </c>
      <c r="E56" s="22">
        <v>9929205711</v>
      </c>
      <c r="G56" s="22">
        <v>9609680160</v>
      </c>
      <c r="I56" s="22">
        <v>2541736</v>
      </c>
      <c r="J56" s="22">
        <v>7982141485</v>
      </c>
      <c r="L56" s="22">
        <v>247939</v>
      </c>
      <c r="M56" s="22">
        <v>810619324</v>
      </c>
      <c r="O56" s="22">
        <v>5493797</v>
      </c>
      <c r="Q56" s="22">
        <v>3450</v>
      </c>
      <c r="S56" s="22">
        <v>17139790837</v>
      </c>
      <c r="U56" s="22">
        <v>19081114524</v>
      </c>
      <c r="W56" s="23">
        <v>4.7863515072770011E-3</v>
      </c>
    </row>
    <row r="57" spans="1:23" ht="18.75" x14ac:dyDescent="0.45">
      <c r="A57" s="20" t="s">
        <v>63</v>
      </c>
      <c r="C57" s="22">
        <v>40025</v>
      </c>
      <c r="E57" s="22">
        <v>688267606</v>
      </c>
      <c r="G57" s="22">
        <v>725712167</v>
      </c>
      <c r="N57" s="21"/>
      <c r="O57" s="22">
        <v>40025</v>
      </c>
      <c r="Q57" s="22">
        <v>24640</v>
      </c>
      <c r="S57" s="22">
        <v>688267606</v>
      </c>
      <c r="U57" s="22">
        <v>978756541</v>
      </c>
      <c r="W57" s="23">
        <v>2.455135856650432E-4</v>
      </c>
    </row>
    <row r="58" spans="1:23" ht="18.75" x14ac:dyDescent="0.45">
      <c r="A58" s="20" t="s">
        <v>64</v>
      </c>
      <c r="C58" s="22">
        <v>2005523</v>
      </c>
      <c r="E58" s="22">
        <v>7792169939</v>
      </c>
      <c r="G58" s="22">
        <v>7775001539</v>
      </c>
      <c r="I58" s="22">
        <v>2800000</v>
      </c>
      <c r="J58" s="22">
        <v>11882780734</v>
      </c>
      <c r="L58" s="22">
        <v>0</v>
      </c>
      <c r="M58" s="22">
        <v>0</v>
      </c>
      <c r="O58" s="22">
        <v>4805523</v>
      </c>
      <c r="Q58" s="22">
        <v>4452</v>
      </c>
      <c r="S58" s="22">
        <v>19674950673</v>
      </c>
      <c r="U58" s="22">
        <v>21477077901</v>
      </c>
      <c r="W58" s="23">
        <v>5.3873605786527966E-3</v>
      </c>
    </row>
    <row r="59" spans="1:23" ht="18.75" x14ac:dyDescent="0.45">
      <c r="A59" s="20" t="s">
        <v>65</v>
      </c>
      <c r="C59" s="22">
        <v>9371915</v>
      </c>
      <c r="E59" s="22">
        <v>45629443196</v>
      </c>
      <c r="G59" s="22">
        <v>40124667119</v>
      </c>
      <c r="I59" s="22">
        <v>0</v>
      </c>
      <c r="J59" s="22">
        <v>0</v>
      </c>
      <c r="L59" s="22">
        <v>1107078</v>
      </c>
      <c r="M59" s="22">
        <v>5091035193</v>
      </c>
      <c r="O59" s="22">
        <v>8264837</v>
      </c>
      <c r="Q59" s="22">
        <v>4872</v>
      </c>
      <c r="S59" s="22">
        <v>40239365212</v>
      </c>
      <c r="U59" s="22">
        <v>40010270141</v>
      </c>
      <c r="W59" s="23">
        <v>1.0036269975480985E-2</v>
      </c>
    </row>
    <row r="60" spans="1:23" ht="18.75" x14ac:dyDescent="0.45">
      <c r="A60" s="20" t="s">
        <v>66</v>
      </c>
      <c r="C60" s="22">
        <v>1331989</v>
      </c>
      <c r="E60" s="22">
        <v>8130355363</v>
      </c>
      <c r="G60" s="22">
        <v>7679569260</v>
      </c>
      <c r="I60" s="22">
        <v>1676915</v>
      </c>
      <c r="J60" s="22">
        <v>10232364083</v>
      </c>
      <c r="L60" s="22">
        <v>0</v>
      </c>
      <c r="M60" s="22">
        <v>0</v>
      </c>
      <c r="O60" s="22">
        <v>3008904</v>
      </c>
      <c r="Q60" s="22">
        <v>6930</v>
      </c>
      <c r="S60" s="22">
        <v>18362719446</v>
      </c>
      <c r="U60" s="22">
        <v>20817367108</v>
      </c>
      <c r="W60" s="23">
        <v>5.2218771764924645E-3</v>
      </c>
    </row>
    <row r="61" spans="1:23" ht="18.75" x14ac:dyDescent="0.45">
      <c r="A61" s="20" t="s">
        <v>67</v>
      </c>
      <c r="H61" s="21"/>
      <c r="I61" s="22">
        <v>2232181</v>
      </c>
      <c r="J61" s="22">
        <v>19841676456</v>
      </c>
      <c r="L61" s="22">
        <v>0</v>
      </c>
      <c r="M61" s="22">
        <v>0</v>
      </c>
      <c r="O61" s="22">
        <v>2232181</v>
      </c>
      <c r="Q61" s="22">
        <v>9450</v>
      </c>
      <c r="S61" s="22">
        <v>19841676456</v>
      </c>
      <c r="U61" s="22">
        <v>21123923459</v>
      </c>
      <c r="W61" s="23">
        <v>5.2987744903694213E-3</v>
      </c>
    </row>
    <row r="62" spans="1:23" ht="37.5" x14ac:dyDescent="0.45">
      <c r="A62" s="20" t="s">
        <v>68</v>
      </c>
      <c r="C62" s="22">
        <v>272374</v>
      </c>
      <c r="E62" s="22">
        <v>6749678917</v>
      </c>
      <c r="G62" s="22">
        <v>7459255473</v>
      </c>
      <c r="N62" s="21"/>
      <c r="O62" s="22">
        <v>272374</v>
      </c>
      <c r="Q62" s="22">
        <v>37850</v>
      </c>
      <c r="S62" s="22">
        <v>6749678917</v>
      </c>
      <c r="U62" s="22">
        <v>10315703576</v>
      </c>
      <c r="W62" s="23">
        <v>2.5876152725516945E-3</v>
      </c>
    </row>
    <row r="63" spans="1:23" ht="18.75" x14ac:dyDescent="0.45">
      <c r="A63" s="20" t="s">
        <v>69</v>
      </c>
      <c r="C63" s="22">
        <v>2572602</v>
      </c>
      <c r="E63" s="22">
        <v>34061638644</v>
      </c>
      <c r="G63" s="22">
        <v>23143519914</v>
      </c>
      <c r="I63" s="22">
        <v>0</v>
      </c>
      <c r="J63" s="22">
        <v>0</v>
      </c>
      <c r="L63" s="22">
        <v>1100000</v>
      </c>
      <c r="M63" s="22">
        <v>9215407672</v>
      </c>
      <c r="O63" s="22">
        <v>1472602</v>
      </c>
      <c r="Q63" s="22">
        <v>10110</v>
      </c>
      <c r="S63" s="22">
        <v>19497472672</v>
      </c>
      <c r="U63" s="22">
        <v>14814060983</v>
      </c>
      <c r="W63" s="23">
        <v>3.7159937919607165E-3</v>
      </c>
    </row>
    <row r="64" spans="1:23" ht="18.75" x14ac:dyDescent="0.45">
      <c r="A64" s="20" t="s">
        <v>70</v>
      </c>
      <c r="C64" s="22">
        <v>24699343</v>
      </c>
      <c r="E64" s="22">
        <v>64885692085</v>
      </c>
      <c r="G64" s="22">
        <v>37196858592</v>
      </c>
      <c r="I64" s="22">
        <v>0</v>
      </c>
      <c r="J64" s="22">
        <v>0</v>
      </c>
      <c r="L64" s="22">
        <v>4400000</v>
      </c>
      <c r="M64" s="22">
        <v>6847814383</v>
      </c>
      <c r="O64" s="22">
        <v>20299343</v>
      </c>
      <c r="Q64" s="22">
        <v>1954</v>
      </c>
      <c r="S64" s="22">
        <v>53326799803</v>
      </c>
      <c r="U64" s="22">
        <v>39529802780</v>
      </c>
      <c r="W64" s="23">
        <v>9.9157484160811282E-3</v>
      </c>
    </row>
    <row r="65" spans="1:23" ht="37.5" x14ac:dyDescent="0.45">
      <c r="A65" s="20" t="s">
        <v>71</v>
      </c>
      <c r="C65" s="22">
        <v>11884188</v>
      </c>
      <c r="E65" s="22">
        <v>34618398907</v>
      </c>
      <c r="G65" s="22">
        <v>24536591898</v>
      </c>
      <c r="I65" s="22">
        <v>0</v>
      </c>
      <c r="J65" s="22">
        <v>0</v>
      </c>
      <c r="L65" s="22">
        <v>2252231</v>
      </c>
      <c r="M65" s="22">
        <v>4411601082</v>
      </c>
      <c r="O65" s="22">
        <v>9631957</v>
      </c>
      <c r="Q65" s="22">
        <v>2326</v>
      </c>
      <c r="S65" s="22">
        <v>28057695627</v>
      </c>
      <c r="U65" s="22">
        <v>22289777880</v>
      </c>
      <c r="W65" s="23">
        <v>5.5912201469478255E-3</v>
      </c>
    </row>
    <row r="66" spans="1:23" ht="18.75" x14ac:dyDescent="0.45">
      <c r="A66" s="20" t="s">
        <v>72</v>
      </c>
      <c r="H66" s="21"/>
      <c r="I66" s="22">
        <v>8445149</v>
      </c>
      <c r="J66" s="22">
        <v>25327695745</v>
      </c>
      <c r="L66" s="22">
        <v>0</v>
      </c>
      <c r="M66" s="22">
        <v>0</v>
      </c>
      <c r="O66" s="22">
        <v>8445149</v>
      </c>
      <c r="Q66" s="22">
        <v>3228</v>
      </c>
      <c r="S66" s="22">
        <v>25327695745</v>
      </c>
      <c r="U66" s="22">
        <v>27098738373</v>
      </c>
      <c r="W66" s="23">
        <v>6.7975110727297085E-3</v>
      </c>
    </row>
    <row r="67" spans="1:23" ht="18.75" x14ac:dyDescent="0.45">
      <c r="A67" s="20" t="s">
        <v>73</v>
      </c>
      <c r="C67" s="22">
        <v>29200000</v>
      </c>
      <c r="E67" s="22">
        <v>11438604653</v>
      </c>
      <c r="G67" s="22">
        <v>11523425220</v>
      </c>
      <c r="N67" s="21"/>
      <c r="O67" s="22">
        <v>29200000</v>
      </c>
      <c r="Q67" s="22">
        <v>484</v>
      </c>
      <c r="S67" s="22">
        <v>11438604653</v>
      </c>
      <c r="U67" s="22">
        <v>14019683580</v>
      </c>
      <c r="W67" s="23">
        <v>3.5167303015910365E-3</v>
      </c>
    </row>
    <row r="68" spans="1:23" ht="18.75" x14ac:dyDescent="0.45">
      <c r="A68" s="20" t="s">
        <v>74</v>
      </c>
      <c r="C68" s="22">
        <v>9040020</v>
      </c>
      <c r="E68" s="22">
        <v>23189724418</v>
      </c>
      <c r="G68" s="22">
        <v>20371787674</v>
      </c>
      <c r="I68" s="22">
        <v>1200000</v>
      </c>
      <c r="J68" s="22">
        <v>2931150830</v>
      </c>
      <c r="L68" s="22">
        <v>0</v>
      </c>
      <c r="M68" s="22">
        <v>0</v>
      </c>
      <c r="O68" s="22">
        <v>10240020</v>
      </c>
      <c r="Q68" s="22">
        <v>2607</v>
      </c>
      <c r="S68" s="22">
        <v>26120875248</v>
      </c>
      <c r="U68" s="22">
        <v>26536892534</v>
      </c>
      <c r="W68" s="23">
        <v>6.6565763450977073E-3</v>
      </c>
    </row>
    <row r="69" spans="1:23" ht="18.75" x14ac:dyDescent="0.45">
      <c r="A69" s="20" t="s">
        <v>75</v>
      </c>
      <c r="C69" s="22">
        <v>600000</v>
      </c>
      <c r="E69" s="22">
        <v>7116598034</v>
      </c>
      <c r="G69" s="22">
        <v>7216803000</v>
      </c>
      <c r="I69" s="22">
        <v>1700586</v>
      </c>
      <c r="J69" s="22">
        <v>21898032263</v>
      </c>
      <c r="L69" s="22">
        <v>324703</v>
      </c>
      <c r="M69" s="22">
        <v>4351143893</v>
      </c>
      <c r="O69" s="22">
        <v>1975883</v>
      </c>
      <c r="Q69" s="22">
        <v>13770</v>
      </c>
      <c r="S69" s="22">
        <v>24989771818</v>
      </c>
      <c r="U69" s="22">
        <v>27340640826</v>
      </c>
      <c r="W69" s="23">
        <v>6.85819045123636E-3</v>
      </c>
    </row>
    <row r="70" spans="1:23" ht="37.5" x14ac:dyDescent="0.45">
      <c r="A70" s="20" t="s">
        <v>76</v>
      </c>
      <c r="C70" s="22">
        <v>8400000</v>
      </c>
      <c r="E70" s="22">
        <v>9754243420</v>
      </c>
      <c r="G70" s="22">
        <v>9761173380</v>
      </c>
      <c r="I70" s="22">
        <v>8800000</v>
      </c>
      <c r="J70" s="22">
        <v>13115359603</v>
      </c>
      <c r="L70" s="22">
        <v>0</v>
      </c>
      <c r="M70" s="22">
        <v>0</v>
      </c>
      <c r="O70" s="22">
        <v>17200000</v>
      </c>
      <c r="Q70" s="22">
        <v>1437</v>
      </c>
      <c r="S70" s="22">
        <v>22869603023</v>
      </c>
      <c r="U70" s="22">
        <v>24500946780</v>
      </c>
      <c r="W70" s="23">
        <v>6.1458749384196397E-3</v>
      </c>
    </row>
    <row r="71" spans="1:23" ht="18.75" x14ac:dyDescent="0.45">
      <c r="A71" s="20" t="s">
        <v>77</v>
      </c>
      <c r="H71" s="21"/>
      <c r="I71" s="22">
        <v>2000000</v>
      </c>
      <c r="J71" s="22">
        <v>13632639300</v>
      </c>
      <c r="L71" s="22">
        <v>0</v>
      </c>
      <c r="M71" s="22">
        <v>0</v>
      </c>
      <c r="O71" s="22">
        <v>2000000</v>
      </c>
      <c r="Q71" s="22">
        <v>7040</v>
      </c>
      <c r="S71" s="22">
        <v>13632639300</v>
      </c>
      <c r="U71" s="22">
        <v>13996224000</v>
      </c>
      <c r="W71" s="23">
        <v>3.5108456455374367E-3</v>
      </c>
    </row>
    <row r="72" spans="1:23" ht="37.5" x14ac:dyDescent="0.45">
      <c r="A72" s="20" t="s">
        <v>78</v>
      </c>
      <c r="C72" s="22">
        <v>1069126</v>
      </c>
      <c r="E72" s="22">
        <v>9972254577</v>
      </c>
      <c r="G72" s="22">
        <v>9904967007</v>
      </c>
      <c r="I72" s="22">
        <v>1605465</v>
      </c>
      <c r="J72" s="22">
        <v>17257709932</v>
      </c>
      <c r="L72" s="22">
        <v>400000</v>
      </c>
      <c r="M72" s="22">
        <v>4294518967</v>
      </c>
      <c r="O72" s="22">
        <v>2274591</v>
      </c>
      <c r="Q72" s="22">
        <v>10930</v>
      </c>
      <c r="S72" s="22">
        <v>23157571458</v>
      </c>
      <c r="U72" s="22">
        <v>25097734737</v>
      </c>
      <c r="W72" s="23">
        <v>6.2955746288606207E-3</v>
      </c>
    </row>
    <row r="73" spans="1:23" ht="18.75" x14ac:dyDescent="0.45">
      <c r="A73" s="20" t="s">
        <v>79</v>
      </c>
      <c r="C73" s="22">
        <v>1416771</v>
      </c>
      <c r="E73" s="22">
        <v>11816351684</v>
      </c>
      <c r="G73" s="22">
        <v>11956816895</v>
      </c>
      <c r="I73" s="22">
        <v>2000000</v>
      </c>
      <c r="J73" s="22">
        <v>20639135272</v>
      </c>
      <c r="L73" s="22">
        <v>1198598</v>
      </c>
      <c r="M73" s="22">
        <v>11872829751</v>
      </c>
      <c r="O73" s="22">
        <v>2218173</v>
      </c>
      <c r="Q73" s="22">
        <v>10060</v>
      </c>
      <c r="S73" s="22">
        <v>21229929491</v>
      </c>
      <c r="U73" s="22">
        <v>22226146696</v>
      </c>
      <c r="W73" s="23">
        <v>5.575258751555269E-3</v>
      </c>
    </row>
    <row r="74" spans="1:23" ht="37.5" x14ac:dyDescent="0.45">
      <c r="A74" s="20" t="s">
        <v>80</v>
      </c>
      <c r="C74" s="22">
        <v>17391</v>
      </c>
      <c r="E74" s="22">
        <v>436020453</v>
      </c>
      <c r="G74" s="22">
        <v>433225340</v>
      </c>
      <c r="I74" s="22">
        <v>700000</v>
      </c>
      <c r="J74" s="22">
        <v>23225427711</v>
      </c>
      <c r="L74" s="22">
        <v>0</v>
      </c>
      <c r="M74" s="22">
        <v>0</v>
      </c>
      <c r="O74" s="22">
        <v>717391</v>
      </c>
      <c r="Q74" s="22">
        <v>35540</v>
      </c>
      <c r="S74" s="22">
        <v>23661448164</v>
      </c>
      <c r="U74" s="22">
        <v>25372899388</v>
      </c>
      <c r="W74" s="23">
        <v>6.3645975751044923E-3</v>
      </c>
    </row>
    <row r="75" spans="1:23" ht="37.5" x14ac:dyDescent="0.45">
      <c r="A75" s="20" t="s">
        <v>81</v>
      </c>
      <c r="C75" s="22">
        <v>211739</v>
      </c>
      <c r="E75" s="22">
        <v>955225462</v>
      </c>
      <c r="G75" s="22">
        <v>952839125</v>
      </c>
      <c r="I75" s="22">
        <v>2822648</v>
      </c>
      <c r="J75" s="22">
        <v>13011765886</v>
      </c>
      <c r="L75" s="22">
        <v>0</v>
      </c>
      <c r="M75" s="22">
        <v>0</v>
      </c>
      <c r="O75" s="22">
        <v>3034387</v>
      </c>
      <c r="Q75" s="22">
        <v>4323</v>
      </c>
      <c r="S75" s="22">
        <v>11917128399</v>
      </c>
      <c r="U75" s="22">
        <v>13039604954</v>
      </c>
      <c r="W75" s="23">
        <v>3.2708850810246599E-3</v>
      </c>
    </row>
    <row r="76" spans="1:23" ht="37.5" x14ac:dyDescent="0.45">
      <c r="A76" s="20" t="s">
        <v>82</v>
      </c>
      <c r="H76" s="21"/>
      <c r="N76" s="21"/>
      <c r="O76" s="22">
        <v>700243</v>
      </c>
      <c r="Q76" s="22">
        <v>4090</v>
      </c>
      <c r="S76" s="22">
        <v>2049862949</v>
      </c>
      <c r="U76" s="22">
        <v>2313062389</v>
      </c>
      <c r="W76" s="23">
        <v>5.8021399316537589E-4</v>
      </c>
    </row>
    <row r="77" spans="1:23" ht="37.5" x14ac:dyDescent="0.45">
      <c r="A77" s="20" t="s">
        <v>83</v>
      </c>
      <c r="C77" s="22">
        <v>3250000</v>
      </c>
      <c r="E77" s="22">
        <v>3939323661</v>
      </c>
      <c r="G77" s="22">
        <v>3178971900</v>
      </c>
      <c r="N77" s="21"/>
      <c r="O77" s="22">
        <v>3250000</v>
      </c>
      <c r="Q77" s="22">
        <v>1154</v>
      </c>
      <c r="S77" s="22">
        <v>3939323661</v>
      </c>
      <c r="U77" s="22">
        <v>3750799162</v>
      </c>
      <c r="W77" s="23">
        <v>9.4085925641038376E-4</v>
      </c>
    </row>
    <row r="78" spans="1:23" ht="37.5" x14ac:dyDescent="0.45">
      <c r="A78" s="20" t="s">
        <v>84</v>
      </c>
      <c r="C78" s="22">
        <v>2000000</v>
      </c>
      <c r="E78" s="22">
        <v>8387608972</v>
      </c>
      <c r="G78" s="22">
        <v>8682032700</v>
      </c>
      <c r="I78" s="22">
        <v>1696745</v>
      </c>
      <c r="J78" s="22">
        <v>8043422744</v>
      </c>
      <c r="L78" s="22">
        <v>0</v>
      </c>
      <c r="M78" s="22">
        <v>0</v>
      </c>
      <c r="O78" s="22">
        <v>3696745</v>
      </c>
      <c r="Q78" s="22">
        <v>4895</v>
      </c>
      <c r="S78" s="22">
        <v>16431031716</v>
      </c>
      <c r="U78" s="22">
        <v>18006271900</v>
      </c>
      <c r="W78" s="23">
        <v>4.5167354632562407E-3</v>
      </c>
    </row>
    <row r="79" spans="1:23" ht="18.75" x14ac:dyDescent="0.45">
      <c r="A79" s="20" t="s">
        <v>85</v>
      </c>
      <c r="H79" s="21"/>
      <c r="I79" s="22">
        <v>4274653</v>
      </c>
      <c r="J79" s="22">
        <v>27655688363</v>
      </c>
      <c r="L79" s="22">
        <v>200000</v>
      </c>
      <c r="M79" s="22">
        <v>1286740846</v>
      </c>
      <c r="O79" s="22">
        <v>4074653</v>
      </c>
      <c r="Q79" s="22">
        <v>6470</v>
      </c>
      <c r="S79" s="22">
        <v>26361749961</v>
      </c>
      <c r="U79" s="22">
        <v>26206145031</v>
      </c>
      <c r="W79" s="23">
        <v>6.5736108659313315E-3</v>
      </c>
    </row>
    <row r="80" spans="1:23" ht="18.75" x14ac:dyDescent="0.45">
      <c r="A80" s="20" t="s">
        <v>86</v>
      </c>
      <c r="C80" s="22">
        <v>84882</v>
      </c>
      <c r="E80" s="22">
        <v>8293870385</v>
      </c>
      <c r="G80" s="22">
        <v>10013856675</v>
      </c>
      <c r="N80" s="21"/>
      <c r="O80" s="22">
        <v>84882</v>
      </c>
      <c r="Q80" s="22">
        <v>135240</v>
      </c>
      <c r="S80" s="22">
        <v>8293870385</v>
      </c>
      <c r="U80" s="22">
        <v>11449952400</v>
      </c>
      <c r="W80" s="23">
        <v>2.872132907072002E-3</v>
      </c>
    </row>
    <row r="81" spans="1:23" ht="18.75" x14ac:dyDescent="0.45">
      <c r="A81" s="20" t="s">
        <v>87</v>
      </c>
      <c r="C81" s="22">
        <v>1249725</v>
      </c>
      <c r="E81" s="22">
        <v>3974645671</v>
      </c>
      <c r="G81" s="22">
        <v>4304531857</v>
      </c>
      <c r="I81" s="22">
        <v>333625</v>
      </c>
      <c r="J81" s="22">
        <v>1254258355</v>
      </c>
      <c r="L81" s="22">
        <v>0</v>
      </c>
      <c r="M81" s="22">
        <v>0</v>
      </c>
      <c r="O81" s="22">
        <v>1583350</v>
      </c>
      <c r="Q81" s="22">
        <v>3974</v>
      </c>
      <c r="S81" s="22">
        <v>5228904026</v>
      </c>
      <c r="U81" s="22">
        <v>6363395220</v>
      </c>
      <c r="W81" s="23">
        <v>1.5962089774335378E-3</v>
      </c>
    </row>
    <row r="82" spans="1:23" ht="18.75" x14ac:dyDescent="0.45">
      <c r="A82" s="20" t="s">
        <v>88</v>
      </c>
      <c r="C82" s="22">
        <v>4930564</v>
      </c>
      <c r="E82" s="22">
        <v>30928576512</v>
      </c>
      <c r="G82" s="22">
        <v>37935498096</v>
      </c>
      <c r="I82" s="22">
        <v>400000</v>
      </c>
      <c r="J82" s="22">
        <v>3481227572</v>
      </c>
      <c r="L82" s="22">
        <v>200000</v>
      </c>
      <c r="M82" s="22">
        <v>1597555929</v>
      </c>
      <c r="O82" s="22">
        <v>5130564</v>
      </c>
      <c r="Q82" s="22">
        <v>8350</v>
      </c>
      <c r="S82" s="22">
        <v>33155238622</v>
      </c>
      <c r="U82" s="22">
        <v>42177307183</v>
      </c>
      <c r="W82" s="23">
        <v>1.0579854628214752E-2</v>
      </c>
    </row>
    <row r="83" spans="1:23" ht="18.75" x14ac:dyDescent="0.45">
      <c r="A83" s="20" t="s">
        <v>89</v>
      </c>
      <c r="C83" s="22">
        <v>1553755</v>
      </c>
      <c r="E83" s="22">
        <v>9139821160</v>
      </c>
      <c r="G83" s="22">
        <v>10255547447</v>
      </c>
      <c r="I83" s="22">
        <v>2509668</v>
      </c>
      <c r="J83" s="22">
        <v>17683084137</v>
      </c>
      <c r="L83" s="22">
        <v>0</v>
      </c>
      <c r="M83" s="22">
        <v>0</v>
      </c>
      <c r="O83" s="22">
        <v>4063423</v>
      </c>
      <c r="Q83" s="22">
        <v>7040</v>
      </c>
      <c r="S83" s="22">
        <v>26822905297</v>
      </c>
      <c r="U83" s="22">
        <v>28395896801</v>
      </c>
      <c r="W83" s="23">
        <v>7.1228933342965418E-3</v>
      </c>
    </row>
    <row r="84" spans="1:23" ht="18.75" x14ac:dyDescent="0.45">
      <c r="A84" s="20" t="s">
        <v>90</v>
      </c>
      <c r="C84" s="22">
        <v>1500000</v>
      </c>
      <c r="E84" s="22">
        <v>6692141085</v>
      </c>
      <c r="G84" s="22">
        <v>6557747850</v>
      </c>
      <c r="I84" s="22">
        <v>1684202</v>
      </c>
      <c r="J84" s="22">
        <v>7603455241</v>
      </c>
      <c r="L84" s="22">
        <v>0</v>
      </c>
      <c r="M84" s="22">
        <v>0</v>
      </c>
      <c r="O84" s="22">
        <v>3184202</v>
      </c>
      <c r="Q84" s="22">
        <v>4664</v>
      </c>
      <c r="S84" s="22">
        <v>14295596326</v>
      </c>
      <c r="U84" s="22">
        <v>14762753975</v>
      </c>
      <c r="W84" s="23">
        <v>3.703123821772875E-3</v>
      </c>
    </row>
    <row r="85" spans="1:23" ht="18.75" x14ac:dyDescent="0.45">
      <c r="A85" s="20" t="s">
        <v>91</v>
      </c>
      <c r="C85" s="22">
        <v>3000000</v>
      </c>
      <c r="E85" s="22">
        <v>16454721298</v>
      </c>
      <c r="G85" s="22">
        <v>24513273000</v>
      </c>
      <c r="I85" s="22">
        <v>400000</v>
      </c>
      <c r="J85" s="22">
        <v>3386104136</v>
      </c>
      <c r="L85" s="22">
        <v>500000</v>
      </c>
      <c r="M85" s="22">
        <v>4170039785</v>
      </c>
      <c r="O85" s="22">
        <v>2900000</v>
      </c>
      <c r="Q85" s="22">
        <v>8710</v>
      </c>
      <c r="S85" s="22">
        <v>17098371884</v>
      </c>
      <c r="U85" s="22">
        <v>25310501100</v>
      </c>
      <c r="W85" s="23">
        <v>6.3489454422353845E-3</v>
      </c>
    </row>
    <row r="86" spans="1:23" ht="18.75" x14ac:dyDescent="0.45">
      <c r="A86" s="20" t="s">
        <v>92</v>
      </c>
      <c r="C86" s="22">
        <v>1700000</v>
      </c>
      <c r="E86" s="22">
        <v>14822688194</v>
      </c>
      <c r="G86" s="22">
        <v>27950697900</v>
      </c>
      <c r="I86" s="22">
        <v>0</v>
      </c>
      <c r="J86" s="22">
        <v>0</v>
      </c>
      <c r="L86" s="22">
        <v>575243</v>
      </c>
      <c r="M86" s="22">
        <v>10176070711</v>
      </c>
      <c r="O86" s="22">
        <v>1124757</v>
      </c>
      <c r="Q86" s="22">
        <v>18790</v>
      </c>
      <c r="S86" s="22">
        <v>9807013120</v>
      </c>
      <c r="U86" s="22">
        <v>21187325986</v>
      </c>
      <c r="W86" s="23">
        <v>5.3146785289039586E-3</v>
      </c>
    </row>
    <row r="87" spans="1:23" ht="18.75" x14ac:dyDescent="0.45">
      <c r="A87" s="20" t="s">
        <v>93</v>
      </c>
      <c r="C87" s="22">
        <v>327781</v>
      </c>
      <c r="E87" s="22">
        <v>8490452900</v>
      </c>
      <c r="G87" s="22">
        <v>8634513631</v>
      </c>
      <c r="N87" s="21"/>
      <c r="O87" s="22">
        <v>327781</v>
      </c>
      <c r="Q87" s="22">
        <v>29200</v>
      </c>
      <c r="S87" s="22">
        <v>8490452900</v>
      </c>
      <c r="U87" s="22">
        <v>9576164363</v>
      </c>
      <c r="W87" s="23">
        <v>2.4021075223424069E-3</v>
      </c>
    </row>
    <row r="88" spans="1:23" ht="18.75" x14ac:dyDescent="0.45">
      <c r="A88" s="20" t="s">
        <v>94</v>
      </c>
      <c r="C88" s="22">
        <v>104452</v>
      </c>
      <c r="E88" s="22">
        <v>12026316222</v>
      </c>
      <c r="G88" s="22">
        <v>11961274821</v>
      </c>
      <c r="N88" s="21"/>
      <c r="O88" s="22">
        <v>104452</v>
      </c>
      <c r="Q88" s="22">
        <v>142610</v>
      </c>
      <c r="S88" s="22">
        <v>12026316222</v>
      </c>
      <c r="U88" s="22">
        <v>14868529118</v>
      </c>
      <c r="W88" s="23">
        <v>3.7296567066572302E-3</v>
      </c>
    </row>
    <row r="89" spans="1:23" ht="18.75" x14ac:dyDescent="0.45">
      <c r="A89" s="20" t="s">
        <v>95</v>
      </c>
      <c r="H89" s="21"/>
      <c r="I89" s="22">
        <v>3058024</v>
      </c>
      <c r="J89" s="22">
        <v>24559668246</v>
      </c>
      <c r="L89" s="22">
        <v>0</v>
      </c>
      <c r="M89" s="22">
        <v>0</v>
      </c>
      <c r="O89" s="22">
        <v>3058024</v>
      </c>
      <c r="Q89" s="22">
        <v>8380</v>
      </c>
      <c r="S89" s="22">
        <v>24559668246</v>
      </c>
      <c r="U89" s="22">
        <v>25473764985</v>
      </c>
      <c r="W89" s="23">
        <v>6.3898989379586437E-3</v>
      </c>
    </row>
    <row r="90" spans="1:23" ht="18.75" x14ac:dyDescent="0.45">
      <c r="A90" s="20" t="s">
        <v>96</v>
      </c>
      <c r="C90" s="22">
        <v>261325</v>
      </c>
      <c r="E90" s="22">
        <v>7340478709</v>
      </c>
      <c r="G90" s="22">
        <v>7624252912</v>
      </c>
      <c r="N90" s="21"/>
      <c r="O90" s="22">
        <v>261325</v>
      </c>
      <c r="Q90" s="22">
        <v>33380</v>
      </c>
      <c r="S90" s="22">
        <v>7340478709</v>
      </c>
      <c r="U90" s="22">
        <v>8663333377</v>
      </c>
      <c r="W90" s="23">
        <v>2.1731308574712426E-3</v>
      </c>
    </row>
    <row r="91" spans="1:23" ht="37.5" x14ac:dyDescent="0.45">
      <c r="A91" s="20" t="s">
        <v>97</v>
      </c>
      <c r="H91" s="21"/>
      <c r="I91" s="22">
        <v>1446759</v>
      </c>
      <c r="J91" s="22">
        <v>23961827416</v>
      </c>
      <c r="L91" s="22">
        <v>0</v>
      </c>
      <c r="M91" s="22">
        <v>0</v>
      </c>
      <c r="O91" s="22">
        <v>1446759</v>
      </c>
      <c r="Q91" s="22">
        <v>16900</v>
      </c>
      <c r="S91" s="22">
        <v>23961827416</v>
      </c>
      <c r="U91" s="22">
        <v>24448563327</v>
      </c>
      <c r="W91" s="23">
        <v>6.132734950244024E-3</v>
      </c>
    </row>
    <row r="92" spans="1:23" ht="18.75" x14ac:dyDescent="0.45">
      <c r="A92" s="20" t="s">
        <v>98</v>
      </c>
      <c r="C92" s="22">
        <v>819652</v>
      </c>
      <c r="E92" s="22">
        <v>4880445216</v>
      </c>
      <c r="G92" s="22">
        <v>5328628962</v>
      </c>
      <c r="I92" s="22">
        <v>684637</v>
      </c>
      <c r="J92" s="22">
        <v>4260853736</v>
      </c>
      <c r="L92" s="22">
        <v>0</v>
      </c>
      <c r="M92" s="22">
        <v>0</v>
      </c>
      <c r="O92" s="22">
        <v>1504289</v>
      </c>
      <c r="Q92" s="22">
        <v>8170</v>
      </c>
      <c r="S92" s="22">
        <v>9141298952</v>
      </c>
      <c r="U92" s="22">
        <v>12471122927</v>
      </c>
      <c r="W92" s="23">
        <v>3.1282857164346644E-3</v>
      </c>
    </row>
    <row r="93" spans="1:23" ht="18.75" x14ac:dyDescent="0.45">
      <c r="A93" s="20" t="s">
        <v>99</v>
      </c>
      <c r="C93" s="22">
        <v>278934</v>
      </c>
      <c r="E93" s="22">
        <v>11285913979</v>
      </c>
      <c r="G93" s="22">
        <v>10921836359</v>
      </c>
      <c r="I93" s="22">
        <v>135589</v>
      </c>
      <c r="J93" s="22">
        <v>5839452854</v>
      </c>
      <c r="L93" s="22">
        <v>0</v>
      </c>
      <c r="M93" s="22">
        <v>0</v>
      </c>
      <c r="O93" s="22">
        <v>414523</v>
      </c>
      <c r="Q93" s="22">
        <v>49170</v>
      </c>
      <c r="S93" s="22">
        <v>17125366833</v>
      </c>
      <c r="U93" s="22">
        <v>20269063571</v>
      </c>
      <c r="W93" s="23">
        <v>5.0843394316471956E-3</v>
      </c>
    </row>
    <row r="94" spans="1:23" ht="18.75" x14ac:dyDescent="0.45">
      <c r="A94" s="20" t="s">
        <v>100</v>
      </c>
      <c r="H94" s="21"/>
      <c r="I94" s="22">
        <v>121110</v>
      </c>
      <c r="J94" s="22">
        <v>15342681196</v>
      </c>
      <c r="L94" s="22">
        <v>0</v>
      </c>
      <c r="M94" s="22">
        <v>0</v>
      </c>
      <c r="O94" s="22">
        <v>121110</v>
      </c>
      <c r="Q94" s="22">
        <v>130530</v>
      </c>
      <c r="S94" s="22">
        <v>15342681196</v>
      </c>
      <c r="U94" s="22">
        <v>15597650081</v>
      </c>
      <c r="W94" s="23">
        <v>3.912551118608526E-3</v>
      </c>
    </row>
    <row r="95" spans="1:23" ht="18.75" x14ac:dyDescent="0.45">
      <c r="A95" s="20" t="s">
        <v>101</v>
      </c>
      <c r="C95" s="22">
        <v>5277521</v>
      </c>
      <c r="E95" s="22">
        <v>8258667895</v>
      </c>
      <c r="G95" s="22">
        <v>8189192930</v>
      </c>
      <c r="I95" s="22">
        <v>7343736</v>
      </c>
      <c r="J95" s="22">
        <v>11934517530</v>
      </c>
      <c r="L95" s="22">
        <v>0</v>
      </c>
      <c r="M95" s="22">
        <v>0</v>
      </c>
      <c r="O95" s="22">
        <v>12621257</v>
      </c>
      <c r="Q95" s="22">
        <v>1668</v>
      </c>
      <c r="S95" s="22">
        <v>20193185425</v>
      </c>
      <c r="U95" s="22">
        <v>20964634230</v>
      </c>
      <c r="W95" s="23">
        <v>5.2588180066767002E-3</v>
      </c>
    </row>
    <row r="96" spans="1:23" ht="18.75" x14ac:dyDescent="0.45">
      <c r="A96" s="20" t="s">
        <v>102</v>
      </c>
      <c r="C96" s="22">
        <v>335481</v>
      </c>
      <c r="E96" s="22">
        <v>9884457964</v>
      </c>
      <c r="G96" s="22">
        <v>9734423882</v>
      </c>
      <c r="I96" s="22">
        <v>100000</v>
      </c>
      <c r="J96" s="22">
        <v>3188956595</v>
      </c>
      <c r="L96" s="22">
        <v>0</v>
      </c>
      <c r="M96" s="22">
        <v>0</v>
      </c>
      <c r="O96" s="22">
        <v>435481</v>
      </c>
      <c r="Q96" s="22">
        <v>35100</v>
      </c>
      <c r="S96" s="22">
        <v>13073414559</v>
      </c>
      <c r="U96" s="22">
        <v>15185777273</v>
      </c>
      <c r="W96" s="23">
        <v>3.809235977718949E-3</v>
      </c>
    </row>
    <row r="97" spans="1:23" ht="18.75" x14ac:dyDescent="0.45">
      <c r="A97" s="20" t="s">
        <v>103</v>
      </c>
      <c r="C97" s="22">
        <v>1002361</v>
      </c>
      <c r="E97" s="22">
        <v>6895025548</v>
      </c>
      <c r="G97" s="22">
        <v>6875138969</v>
      </c>
      <c r="I97" s="22">
        <v>353385</v>
      </c>
      <c r="J97" s="22">
        <v>2422858103</v>
      </c>
      <c r="L97" s="22">
        <v>0</v>
      </c>
      <c r="M97" s="22">
        <v>0</v>
      </c>
      <c r="O97" s="22">
        <v>1355746</v>
      </c>
      <c r="Q97" s="22">
        <v>6790</v>
      </c>
      <c r="S97" s="22">
        <v>9317883651</v>
      </c>
      <c r="U97" s="22">
        <v>9218126489</v>
      </c>
      <c r="W97" s="23">
        <v>2.3122964625258177E-3</v>
      </c>
    </row>
    <row r="98" spans="1:23" ht="37.5" x14ac:dyDescent="0.45">
      <c r="A98" s="20" t="s">
        <v>104</v>
      </c>
      <c r="H98" s="21"/>
      <c r="I98" s="22">
        <v>7464575</v>
      </c>
      <c r="J98" s="22">
        <v>16719808778</v>
      </c>
      <c r="L98" s="22">
        <v>0</v>
      </c>
      <c r="M98" s="22">
        <v>0</v>
      </c>
      <c r="O98" s="22">
        <v>7464575</v>
      </c>
      <c r="Q98" s="22">
        <v>2981</v>
      </c>
      <c r="S98" s="22">
        <v>16719808778</v>
      </c>
      <c r="U98" s="22">
        <v>22356944426</v>
      </c>
      <c r="W98" s="23">
        <v>5.6080683608339338E-3</v>
      </c>
    </row>
    <row r="99" spans="1:23" ht="18.75" x14ac:dyDescent="0.45">
      <c r="A99" s="20" t="s">
        <v>105</v>
      </c>
      <c r="C99" s="22">
        <v>200523</v>
      </c>
      <c r="E99" s="22">
        <v>1119515342</v>
      </c>
      <c r="G99" s="22">
        <v>1100300983</v>
      </c>
      <c r="I99" s="22">
        <v>2883063</v>
      </c>
      <c r="J99" s="22">
        <v>16023035880</v>
      </c>
      <c r="L99" s="22">
        <v>0</v>
      </c>
      <c r="M99" s="22">
        <v>0</v>
      </c>
      <c r="O99" s="22">
        <v>3083586</v>
      </c>
      <c r="Q99" s="22">
        <v>6150</v>
      </c>
      <c r="S99" s="22">
        <v>17142551222</v>
      </c>
      <c r="U99" s="22">
        <v>18943174939</v>
      </c>
      <c r="W99" s="23">
        <v>4.7517504183444085E-3</v>
      </c>
    </row>
    <row r="100" spans="1:23" ht="37.5" x14ac:dyDescent="0.45">
      <c r="A100" s="20" t="s">
        <v>106</v>
      </c>
      <c r="H100" s="21"/>
      <c r="I100" s="22">
        <v>800000</v>
      </c>
      <c r="J100" s="22">
        <v>10651662871</v>
      </c>
      <c r="L100" s="22">
        <v>0</v>
      </c>
      <c r="M100" s="22">
        <v>0</v>
      </c>
      <c r="O100" s="22">
        <v>800000</v>
      </c>
      <c r="Q100" s="22">
        <v>13900</v>
      </c>
      <c r="S100" s="22">
        <v>10651662871</v>
      </c>
      <c r="U100" s="22">
        <v>11053836000</v>
      </c>
      <c r="W100" s="23">
        <v>2.7727701405096802E-3</v>
      </c>
    </row>
    <row r="101" spans="1:23" ht="37.5" x14ac:dyDescent="0.45">
      <c r="A101" s="20" t="s">
        <v>107</v>
      </c>
      <c r="H101" s="21"/>
      <c r="I101" s="22">
        <v>2600000</v>
      </c>
      <c r="J101" s="22">
        <v>24146628946</v>
      </c>
      <c r="L101" s="22">
        <v>0</v>
      </c>
      <c r="M101" s="22">
        <v>0</v>
      </c>
      <c r="O101" s="22">
        <v>2600000</v>
      </c>
      <c r="Q101" s="22">
        <v>10680</v>
      </c>
      <c r="S101" s="22">
        <v>24146628946</v>
      </c>
      <c r="U101" s="22">
        <v>27654471000</v>
      </c>
      <c r="W101" s="23">
        <v>6.9369123479297934E-3</v>
      </c>
    </row>
    <row r="102" spans="1:23" ht="18.75" x14ac:dyDescent="0.45">
      <c r="A102" s="20" t="s">
        <v>108</v>
      </c>
      <c r="C102" s="22">
        <v>16473051</v>
      </c>
      <c r="E102" s="22">
        <v>40170237506</v>
      </c>
      <c r="G102" s="22">
        <v>21615047977</v>
      </c>
      <c r="I102" s="22">
        <v>0</v>
      </c>
      <c r="J102" s="22">
        <v>0</v>
      </c>
      <c r="L102" s="22">
        <v>5473051</v>
      </c>
      <c r="M102" s="22">
        <v>7939792014</v>
      </c>
      <c r="O102" s="22">
        <v>11000000</v>
      </c>
      <c r="Q102" s="22">
        <v>1496</v>
      </c>
      <c r="S102" s="22">
        <v>26823969195</v>
      </c>
      <c r="U102" s="22">
        <v>16205003100</v>
      </c>
      <c r="W102" s="23">
        <v>4.0649009739738137E-3</v>
      </c>
    </row>
    <row r="103" spans="1:23" ht="18.75" x14ac:dyDescent="0.45">
      <c r="A103" s="20" t="s">
        <v>109</v>
      </c>
      <c r="C103" s="22">
        <v>419952</v>
      </c>
      <c r="E103" s="22">
        <v>12827728228</v>
      </c>
      <c r="G103" s="22">
        <v>10094020446</v>
      </c>
      <c r="I103" s="22">
        <v>215744</v>
      </c>
      <c r="J103" s="22">
        <v>6200556432</v>
      </c>
      <c r="L103" s="22">
        <v>0</v>
      </c>
      <c r="M103" s="22">
        <v>0</v>
      </c>
      <c r="O103" s="22">
        <v>635696</v>
      </c>
      <c r="Q103" s="22">
        <v>31290</v>
      </c>
      <c r="S103" s="22">
        <v>19028284660</v>
      </c>
      <c r="U103" s="22">
        <v>20170682393</v>
      </c>
      <c r="W103" s="23">
        <v>5.0596612662802982E-3</v>
      </c>
    </row>
    <row r="104" spans="1:23" ht="18.75" x14ac:dyDescent="0.45">
      <c r="A104" s="20" t="s">
        <v>110</v>
      </c>
      <c r="C104" s="22">
        <v>9448213</v>
      </c>
      <c r="E104" s="22">
        <v>15392047456</v>
      </c>
      <c r="G104" s="22">
        <v>4836878008</v>
      </c>
      <c r="N104" s="21"/>
      <c r="O104" s="22">
        <v>9448213</v>
      </c>
      <c r="Q104" s="22">
        <v>601</v>
      </c>
      <c r="S104" s="22">
        <v>15392047456</v>
      </c>
      <c r="U104" s="22">
        <v>5691549656</v>
      </c>
      <c r="W104" s="23">
        <v>1.4276816608627938E-3</v>
      </c>
    </row>
    <row r="105" spans="1:23" ht="18.75" x14ac:dyDescent="0.45">
      <c r="A105" s="20" t="s">
        <v>111</v>
      </c>
      <c r="C105" s="22">
        <v>249996</v>
      </c>
      <c r="E105" s="22">
        <v>1764072098</v>
      </c>
      <c r="G105" s="22">
        <v>1580514211</v>
      </c>
      <c r="N105" s="21"/>
      <c r="O105" s="22">
        <v>249996</v>
      </c>
      <c r="Q105" s="22">
        <v>7050</v>
      </c>
      <c r="S105" s="22">
        <v>1764072098</v>
      </c>
      <c r="U105" s="22">
        <v>1756955263</v>
      </c>
      <c r="W105" s="23">
        <v>4.4071877775803191E-4</v>
      </c>
    </row>
    <row r="106" spans="1:23" ht="18.75" x14ac:dyDescent="0.45">
      <c r="A106" s="20" t="s">
        <v>112</v>
      </c>
      <c r="C106" s="22">
        <v>1875000</v>
      </c>
      <c r="E106" s="22">
        <v>5911612875</v>
      </c>
      <c r="G106" s="22">
        <v>5682859594</v>
      </c>
      <c r="N106" s="21"/>
      <c r="O106" s="22">
        <v>1875000</v>
      </c>
      <c r="Q106" s="22">
        <v>3216</v>
      </c>
      <c r="S106" s="22">
        <v>5911612875</v>
      </c>
      <c r="U106" s="22">
        <v>6018351469</v>
      </c>
      <c r="W106" s="23">
        <v>1.5096573938979888E-3</v>
      </c>
    </row>
    <row r="107" spans="1:23" ht="18.75" x14ac:dyDescent="0.45">
      <c r="A107" s="20" t="s">
        <v>113</v>
      </c>
      <c r="C107" s="22">
        <v>603478</v>
      </c>
      <c r="E107" s="22">
        <v>7977806829</v>
      </c>
      <c r="G107" s="22">
        <v>7924511311</v>
      </c>
      <c r="I107" s="22">
        <v>339943</v>
      </c>
      <c r="J107" s="22">
        <v>4492230642</v>
      </c>
      <c r="L107" s="22">
        <v>0</v>
      </c>
      <c r="M107" s="22">
        <v>0</v>
      </c>
      <c r="O107" s="22">
        <v>943421</v>
      </c>
      <c r="Q107" s="22">
        <v>15210</v>
      </c>
      <c r="S107" s="22">
        <v>12470037471</v>
      </c>
      <c r="U107" s="22">
        <v>14348456969</v>
      </c>
      <c r="W107" s="23">
        <v>3.5992005893728863E-3</v>
      </c>
    </row>
    <row r="108" spans="1:23" ht="18.75" x14ac:dyDescent="0.45">
      <c r="A108" s="20" t="s">
        <v>114</v>
      </c>
      <c r="C108" s="22">
        <v>1623605</v>
      </c>
      <c r="E108" s="22">
        <v>5951239319</v>
      </c>
      <c r="G108" s="22">
        <v>5894125498</v>
      </c>
      <c r="I108" s="22">
        <v>2110381</v>
      </c>
      <c r="J108" s="22">
        <v>8115709411</v>
      </c>
      <c r="L108" s="22">
        <v>0</v>
      </c>
      <c r="M108" s="22">
        <v>0</v>
      </c>
      <c r="O108" s="22">
        <v>3733986</v>
      </c>
      <c r="Q108" s="22">
        <v>4766</v>
      </c>
      <c r="S108" s="22">
        <v>14066948730</v>
      </c>
      <c r="U108" s="22">
        <v>17690290021</v>
      </c>
      <c r="W108" s="23">
        <v>4.4374738278354373E-3</v>
      </c>
    </row>
    <row r="109" spans="1:23" ht="18.75" x14ac:dyDescent="0.45">
      <c r="A109" s="20" t="s">
        <v>115</v>
      </c>
      <c r="C109" s="22">
        <v>13352150</v>
      </c>
      <c r="E109" s="22">
        <v>68377235845</v>
      </c>
      <c r="G109" s="22">
        <v>38822661269</v>
      </c>
      <c r="I109" s="22">
        <v>0</v>
      </c>
      <c r="J109" s="22">
        <v>0</v>
      </c>
      <c r="L109" s="22">
        <v>4203019</v>
      </c>
      <c r="M109" s="22">
        <v>12924827488</v>
      </c>
      <c r="O109" s="22">
        <v>9149131</v>
      </c>
      <c r="Q109" s="22">
        <v>3375</v>
      </c>
      <c r="S109" s="22">
        <v>46853299893</v>
      </c>
      <c r="U109" s="22">
        <v>30167098905</v>
      </c>
      <c r="W109" s="23">
        <v>7.5671858230560206E-3</v>
      </c>
    </row>
    <row r="110" spans="1:23" ht="18.75" x14ac:dyDescent="0.45">
      <c r="A110" s="20" t="s">
        <v>116</v>
      </c>
      <c r="C110" s="22">
        <v>8640509</v>
      </c>
      <c r="E110" s="22">
        <v>56206213931</v>
      </c>
      <c r="G110" s="22">
        <v>54111317220</v>
      </c>
      <c r="I110" s="22">
        <v>600000</v>
      </c>
      <c r="J110" s="22">
        <v>4672331886</v>
      </c>
      <c r="L110" s="22">
        <v>2464654</v>
      </c>
      <c r="M110" s="22">
        <v>18527300903</v>
      </c>
      <c r="O110" s="22">
        <v>6775855</v>
      </c>
      <c r="Q110" s="22">
        <v>7610</v>
      </c>
      <c r="S110" s="22">
        <v>44846056297</v>
      </c>
      <c r="U110" s="22">
        <v>51728936930</v>
      </c>
      <c r="W110" s="23">
        <v>1.2975807829952651E-2</v>
      </c>
    </row>
    <row r="111" spans="1:23" ht="18.75" x14ac:dyDescent="0.45">
      <c r="A111" s="20" t="s">
        <v>117</v>
      </c>
      <c r="C111" s="22">
        <v>3701328</v>
      </c>
      <c r="E111" s="22">
        <v>7036740533</v>
      </c>
      <c r="G111" s="22">
        <v>7332855061</v>
      </c>
      <c r="I111" s="22">
        <v>3656135</v>
      </c>
      <c r="J111" s="22">
        <v>7422854132</v>
      </c>
      <c r="L111" s="22">
        <v>0</v>
      </c>
      <c r="M111" s="22">
        <v>0</v>
      </c>
      <c r="O111" s="22">
        <v>7357463</v>
      </c>
      <c r="Q111" s="22">
        <v>2704</v>
      </c>
      <c r="S111" s="22">
        <v>14459594665</v>
      </c>
      <c r="U111" s="22">
        <v>19776207201</v>
      </c>
      <c r="W111" s="23">
        <v>4.9607101841808868E-3</v>
      </c>
    </row>
    <row r="112" spans="1:23" ht="18.75" x14ac:dyDescent="0.45">
      <c r="A112" s="20" t="s">
        <v>118</v>
      </c>
      <c r="C112" s="22">
        <v>5200000</v>
      </c>
      <c r="E112" s="22">
        <v>9098288015</v>
      </c>
      <c r="G112" s="22">
        <v>9800537760</v>
      </c>
      <c r="I112" s="22">
        <v>4931711</v>
      </c>
      <c r="J112" s="22">
        <v>10346474460</v>
      </c>
      <c r="L112" s="22">
        <v>0</v>
      </c>
      <c r="M112" s="22">
        <v>0</v>
      </c>
      <c r="O112" s="22">
        <v>10131711</v>
      </c>
      <c r="Q112" s="22">
        <v>2488</v>
      </c>
      <c r="S112" s="22">
        <v>19444762475</v>
      </c>
      <c r="U112" s="22">
        <v>25108068308</v>
      </c>
      <c r="W112" s="23">
        <v>6.2981667260397032E-3</v>
      </c>
    </row>
    <row r="113" spans="1:23" ht="18.75" x14ac:dyDescent="0.45">
      <c r="A113" s="20" t="s">
        <v>119</v>
      </c>
      <c r="C113" s="22">
        <v>12441677</v>
      </c>
      <c r="E113" s="22">
        <v>42942663572</v>
      </c>
      <c r="G113" s="22">
        <v>27023313113</v>
      </c>
      <c r="I113" s="22">
        <v>0</v>
      </c>
      <c r="J113" s="22">
        <v>0</v>
      </c>
      <c r="L113" s="22">
        <v>3775763</v>
      </c>
      <c r="M113" s="22">
        <v>9160970434</v>
      </c>
      <c r="O113" s="22">
        <v>8665914</v>
      </c>
      <c r="Q113" s="22">
        <v>2547</v>
      </c>
      <c r="S113" s="22">
        <v>29910552206</v>
      </c>
      <c r="U113" s="22">
        <v>22061354990</v>
      </c>
      <c r="W113" s="23">
        <v>5.5339220136300408E-3</v>
      </c>
    </row>
    <row r="114" spans="1:23" ht="18.75" x14ac:dyDescent="0.45">
      <c r="A114" s="20" t="s">
        <v>120</v>
      </c>
      <c r="H114" s="21"/>
      <c r="I114" s="22">
        <v>9180289</v>
      </c>
      <c r="J114" s="22">
        <v>26190987651</v>
      </c>
      <c r="L114" s="22">
        <v>0</v>
      </c>
      <c r="M114" s="22">
        <v>0</v>
      </c>
      <c r="O114" s="22">
        <v>9180289</v>
      </c>
      <c r="Q114" s="22">
        <v>2924</v>
      </c>
      <c r="S114" s="22">
        <v>26190987651</v>
      </c>
      <c r="U114" s="22">
        <v>26637819873</v>
      </c>
      <c r="W114" s="23">
        <v>6.6818931954599073E-3</v>
      </c>
    </row>
    <row r="115" spans="1:23" ht="18.75" x14ac:dyDescent="0.45">
      <c r="A115" s="20" t="s">
        <v>121</v>
      </c>
      <c r="H115" s="21"/>
      <c r="I115" s="22">
        <v>9320937</v>
      </c>
      <c r="J115" s="22">
        <v>33215186439</v>
      </c>
      <c r="L115" s="22">
        <v>1269048</v>
      </c>
      <c r="M115" s="22">
        <v>4633943165</v>
      </c>
      <c r="O115" s="22">
        <v>8051889</v>
      </c>
      <c r="Q115" s="22">
        <v>3813</v>
      </c>
      <c r="S115" s="22">
        <v>28967048691</v>
      </c>
      <c r="U115" s="22">
        <v>30415124990</v>
      </c>
      <c r="W115" s="23">
        <v>7.6294012677718204E-3</v>
      </c>
    </row>
    <row r="116" spans="1:23" ht="18.75" x14ac:dyDescent="0.45">
      <c r="A116" s="20" t="s">
        <v>122</v>
      </c>
      <c r="H116" s="21"/>
      <c r="I116" s="22">
        <v>1243266</v>
      </c>
      <c r="J116" s="22">
        <v>18248081922</v>
      </c>
      <c r="L116" s="22">
        <v>0</v>
      </c>
      <c r="M116" s="22">
        <v>0</v>
      </c>
      <c r="O116" s="22">
        <v>1243266</v>
      </c>
      <c r="Q116" s="22">
        <v>17590</v>
      </c>
      <c r="S116" s="22">
        <v>18248081922</v>
      </c>
      <c r="U116" s="22">
        <v>21763645470</v>
      </c>
      <c r="W116" s="23">
        <v>5.4592438595845606E-3</v>
      </c>
    </row>
    <row r="117" spans="1:23" ht="18.75" x14ac:dyDescent="0.45">
      <c r="A117" s="20" t="s">
        <v>123</v>
      </c>
      <c r="C117" s="22">
        <v>2638196</v>
      </c>
      <c r="E117" s="22">
        <v>7056018619</v>
      </c>
      <c r="G117" s="22">
        <v>7109594067</v>
      </c>
      <c r="I117" s="22">
        <v>2000000</v>
      </c>
      <c r="J117" s="22">
        <v>5304011633</v>
      </c>
      <c r="L117" s="22">
        <v>0</v>
      </c>
      <c r="M117" s="22">
        <v>0</v>
      </c>
      <c r="O117" s="22">
        <v>4638196</v>
      </c>
      <c r="Q117" s="22">
        <v>3609</v>
      </c>
      <c r="S117" s="22">
        <v>12360030252</v>
      </c>
      <c r="U117" s="22">
        <v>16694978015</v>
      </c>
      <c r="W117" s="23">
        <v>4.1878074305116862E-3</v>
      </c>
    </row>
    <row r="118" spans="1:23" ht="18.75" x14ac:dyDescent="0.45">
      <c r="A118" s="20" t="s">
        <v>124</v>
      </c>
      <c r="C118" s="22">
        <v>3389045</v>
      </c>
      <c r="E118" s="22">
        <v>11156912950</v>
      </c>
      <c r="G118" s="22">
        <v>11080246919</v>
      </c>
      <c r="N118" s="21"/>
      <c r="O118" s="22">
        <v>3389045</v>
      </c>
      <c r="Q118" s="22">
        <v>4138</v>
      </c>
      <c r="S118" s="22">
        <v>11156912950</v>
      </c>
      <c r="U118" s="22">
        <v>13883155231</v>
      </c>
      <c r="W118" s="23">
        <v>3.4824832104056519E-3</v>
      </c>
    </row>
    <row r="119" spans="1:23" ht="18.75" x14ac:dyDescent="0.45">
      <c r="A119" s="20" t="s">
        <v>125</v>
      </c>
      <c r="C119" s="22">
        <v>58118</v>
      </c>
      <c r="E119" s="22">
        <v>663160038</v>
      </c>
      <c r="G119" s="22">
        <v>666113442</v>
      </c>
      <c r="I119" s="22">
        <v>2458015</v>
      </c>
      <c r="J119" s="22">
        <v>31178851288</v>
      </c>
      <c r="L119" s="22">
        <v>200000</v>
      </c>
      <c r="M119" s="22">
        <v>2629262289</v>
      </c>
      <c r="O119" s="22">
        <v>2316133</v>
      </c>
      <c r="Q119" s="22">
        <v>14970</v>
      </c>
      <c r="S119" s="22">
        <v>29423915428</v>
      </c>
      <c r="U119" s="22">
        <v>34857609411</v>
      </c>
      <c r="W119" s="23">
        <v>8.7437644763654915E-3</v>
      </c>
    </row>
    <row r="120" spans="1:23" ht="37.5" x14ac:dyDescent="0.45">
      <c r="A120" s="20" t="s">
        <v>126</v>
      </c>
      <c r="H120" s="21"/>
      <c r="I120" s="22">
        <v>316099</v>
      </c>
      <c r="J120" s="22">
        <v>2474138629</v>
      </c>
      <c r="L120" s="22">
        <v>0</v>
      </c>
      <c r="M120" s="22">
        <v>0</v>
      </c>
      <c r="O120" s="22">
        <v>316099</v>
      </c>
      <c r="Q120" s="22">
        <v>7900</v>
      </c>
      <c r="S120" s="22">
        <v>2474138629</v>
      </c>
      <c r="U120" s="22">
        <v>2548309691</v>
      </c>
      <c r="W120" s="23">
        <v>6.3922397799064958E-4</v>
      </c>
    </row>
    <row r="121" spans="1:23" ht="37.5" x14ac:dyDescent="0.45">
      <c r="A121" s="20" t="s">
        <v>127</v>
      </c>
      <c r="C121" s="22">
        <v>118610</v>
      </c>
      <c r="E121" s="22">
        <v>2536380928</v>
      </c>
      <c r="G121" s="22">
        <v>2577387353</v>
      </c>
      <c r="I121" s="22">
        <v>764250</v>
      </c>
      <c r="J121" s="22">
        <v>16511203653</v>
      </c>
      <c r="L121" s="22">
        <v>300000</v>
      </c>
      <c r="M121" s="22">
        <v>6341843654</v>
      </c>
      <c r="O121" s="22">
        <v>582860</v>
      </c>
      <c r="Q121" s="22">
        <v>24900</v>
      </c>
      <c r="S121" s="22">
        <v>12577058146</v>
      </c>
      <c r="U121" s="22">
        <v>14647029330</v>
      </c>
      <c r="W121" s="23">
        <v>3.674095180477936E-3</v>
      </c>
    </row>
    <row r="122" spans="1:23" ht="18.75" x14ac:dyDescent="0.45">
      <c r="A122" s="20" t="s">
        <v>128</v>
      </c>
      <c r="C122" s="22">
        <v>2496750</v>
      </c>
      <c r="E122" s="22">
        <v>9885767644</v>
      </c>
      <c r="G122" s="22">
        <v>9992106603</v>
      </c>
      <c r="I122" s="22">
        <v>2000000</v>
      </c>
      <c r="J122" s="22">
        <v>10075341213</v>
      </c>
      <c r="L122" s="22">
        <v>0</v>
      </c>
      <c r="M122" s="22">
        <v>0</v>
      </c>
      <c r="O122" s="22">
        <v>4496750</v>
      </c>
      <c r="Q122" s="22">
        <v>4877</v>
      </c>
      <c r="S122" s="22">
        <v>19961108857</v>
      </c>
      <c r="U122" s="22">
        <v>21661592560</v>
      </c>
      <c r="W122" s="23">
        <v>5.4336446683535605E-3</v>
      </c>
    </row>
    <row r="123" spans="1:23" ht="18.75" x14ac:dyDescent="0.45">
      <c r="A123" s="20" t="s">
        <v>129</v>
      </c>
      <c r="C123" s="22">
        <v>2078949</v>
      </c>
      <c r="E123" s="22">
        <v>6928163028</v>
      </c>
      <c r="G123" s="22">
        <v>6937506554</v>
      </c>
      <c r="I123" s="22">
        <v>3303119</v>
      </c>
      <c r="J123" s="22">
        <v>10976554264</v>
      </c>
      <c r="L123" s="22">
        <v>0</v>
      </c>
      <c r="M123" s="22">
        <v>0</v>
      </c>
      <c r="O123" s="22">
        <v>5382068</v>
      </c>
      <c r="Q123" s="22">
        <v>3703</v>
      </c>
      <c r="S123" s="22">
        <v>17904717292</v>
      </c>
      <c r="U123" s="22">
        <v>19795165373</v>
      </c>
      <c r="W123" s="23">
        <v>4.9654656964971764E-3</v>
      </c>
    </row>
    <row r="124" spans="1:23" ht="18.75" x14ac:dyDescent="0.45">
      <c r="A124" s="20" t="s">
        <v>130</v>
      </c>
      <c r="C124" s="22">
        <v>5278075</v>
      </c>
      <c r="E124" s="22">
        <v>5983357092</v>
      </c>
      <c r="G124" s="22">
        <v>5928737613</v>
      </c>
      <c r="I124" s="22">
        <v>7180075</v>
      </c>
      <c r="J124" s="22">
        <v>9972261594</v>
      </c>
      <c r="L124" s="22">
        <v>0</v>
      </c>
      <c r="M124" s="22">
        <v>0</v>
      </c>
      <c r="O124" s="22">
        <v>12458150</v>
      </c>
      <c r="Q124" s="22">
        <v>1392</v>
      </c>
      <c r="S124" s="22">
        <v>15955618686</v>
      </c>
      <c r="U124" s="22">
        <v>17238561418</v>
      </c>
      <c r="W124" s="23">
        <v>4.324161165876951E-3</v>
      </c>
    </row>
    <row r="125" spans="1:23" ht="18.75" x14ac:dyDescent="0.45">
      <c r="A125" s="20" t="s">
        <v>131</v>
      </c>
      <c r="C125" s="22">
        <v>3000000</v>
      </c>
      <c r="E125" s="22">
        <v>7822145005</v>
      </c>
      <c r="G125" s="22">
        <v>8290377000</v>
      </c>
      <c r="N125" s="21"/>
      <c r="O125" s="22">
        <v>3000000</v>
      </c>
      <c r="Q125" s="22">
        <v>3446</v>
      </c>
      <c r="S125" s="22">
        <v>7822145005</v>
      </c>
      <c r="U125" s="22">
        <v>10297363950</v>
      </c>
      <c r="W125" s="23">
        <v>2.5830149177643686E-3</v>
      </c>
    </row>
    <row r="126" spans="1:23" ht="18.75" x14ac:dyDescent="0.45">
      <c r="A126" s="20" t="s">
        <v>132</v>
      </c>
      <c r="C126" s="22">
        <v>7097743</v>
      </c>
      <c r="E126" s="22">
        <v>16614082522</v>
      </c>
      <c r="G126" s="22">
        <v>15733790487</v>
      </c>
      <c r="I126" s="22">
        <v>7200000</v>
      </c>
      <c r="J126" s="22">
        <v>20257276758</v>
      </c>
      <c r="L126" s="22">
        <v>4261937</v>
      </c>
      <c r="M126" s="22">
        <v>11370726267</v>
      </c>
      <c r="O126" s="22">
        <v>10035806</v>
      </c>
      <c r="Q126" s="22">
        <v>2739</v>
      </c>
      <c r="S126" s="22">
        <v>26269134759</v>
      </c>
      <c r="U126" s="22">
        <v>27653729669</v>
      </c>
      <c r="W126" s="23">
        <v>6.9367263907235315E-3</v>
      </c>
    </row>
    <row r="127" spans="1:23" ht="18.75" x14ac:dyDescent="0.45">
      <c r="A127" s="20" t="s">
        <v>133</v>
      </c>
      <c r="C127" s="22">
        <v>8231319</v>
      </c>
      <c r="E127" s="22">
        <v>42556668634</v>
      </c>
      <c r="G127" s="22">
        <v>30168297358</v>
      </c>
      <c r="I127" s="22">
        <v>261197</v>
      </c>
      <c r="J127" s="22">
        <v>1121552570</v>
      </c>
      <c r="L127" s="22">
        <v>0</v>
      </c>
      <c r="M127" s="22">
        <v>0</v>
      </c>
      <c r="O127" s="22">
        <v>8492516</v>
      </c>
      <c r="Q127" s="22">
        <v>4334</v>
      </c>
      <c r="S127" s="22">
        <v>43678221204</v>
      </c>
      <c r="U127" s="22">
        <v>36536913373</v>
      </c>
      <c r="W127" s="23">
        <v>9.1650050197092867E-3</v>
      </c>
    </row>
    <row r="128" spans="1:23" ht="18.75" x14ac:dyDescent="0.45">
      <c r="A128" s="20" t="s">
        <v>134</v>
      </c>
      <c r="C128" s="22">
        <v>6643838</v>
      </c>
      <c r="E128" s="22">
        <v>6352584520</v>
      </c>
      <c r="G128" s="22">
        <v>6703371771</v>
      </c>
      <c r="I128" s="22">
        <v>9168629</v>
      </c>
      <c r="J128" s="22">
        <v>9504474057</v>
      </c>
      <c r="L128" s="22">
        <v>0</v>
      </c>
      <c r="M128" s="22">
        <v>0</v>
      </c>
      <c r="O128" s="22">
        <v>15812467</v>
      </c>
      <c r="Q128" s="22">
        <v>1170</v>
      </c>
      <c r="S128" s="22">
        <v>15857058577</v>
      </c>
      <c r="U128" s="22">
        <v>18689157175</v>
      </c>
      <c r="W128" s="23">
        <v>4.6880320068193749E-3</v>
      </c>
    </row>
    <row r="129" spans="1:23" ht="18.75" x14ac:dyDescent="0.45">
      <c r="A129" s="20" t="s">
        <v>135</v>
      </c>
      <c r="C129" s="22">
        <v>1447708</v>
      </c>
      <c r="E129" s="22">
        <v>7589659743</v>
      </c>
      <c r="G129" s="22">
        <v>7871844932</v>
      </c>
      <c r="N129" s="21"/>
      <c r="O129" s="22">
        <v>1447708</v>
      </c>
      <c r="Q129" s="22">
        <v>6910</v>
      </c>
      <c r="S129" s="22">
        <v>7589659743</v>
      </c>
      <c r="U129" s="22">
        <v>9613148838</v>
      </c>
      <c r="W129" s="23">
        <v>2.4113847947700444E-3</v>
      </c>
    </row>
    <row r="130" spans="1:23" ht="18.75" x14ac:dyDescent="0.45">
      <c r="A130" s="20" t="s">
        <v>136</v>
      </c>
      <c r="C130" s="22">
        <v>775942</v>
      </c>
      <c r="E130" s="22">
        <v>5705521970</v>
      </c>
      <c r="G130" s="22">
        <v>5607533805</v>
      </c>
      <c r="I130" s="22">
        <v>600000</v>
      </c>
      <c r="J130" s="22">
        <v>5224713997</v>
      </c>
      <c r="L130" s="22">
        <v>0</v>
      </c>
      <c r="M130" s="22">
        <v>0</v>
      </c>
      <c r="O130" s="22">
        <v>1375942</v>
      </c>
      <c r="Q130" s="22">
        <v>8600</v>
      </c>
      <c r="S130" s="22">
        <v>10930235967</v>
      </c>
      <c r="U130" s="22">
        <v>11516498322</v>
      </c>
      <c r="W130" s="23">
        <v>2.8888254421787548E-3</v>
      </c>
    </row>
    <row r="131" spans="1:23" ht="18.75" x14ac:dyDescent="0.45">
      <c r="A131" s="20" t="s">
        <v>137</v>
      </c>
      <c r="C131" s="22">
        <v>4624741</v>
      </c>
      <c r="E131" s="22">
        <v>20073914716</v>
      </c>
      <c r="G131" s="22">
        <v>21101257201</v>
      </c>
      <c r="I131" s="22">
        <v>496278</v>
      </c>
      <c r="J131" s="22">
        <v>2664755575</v>
      </c>
      <c r="L131" s="22">
        <v>430014</v>
      </c>
      <c r="M131" s="22">
        <v>2195933002</v>
      </c>
      <c r="O131" s="22">
        <v>4691005</v>
      </c>
      <c r="Q131" s="22">
        <v>5490</v>
      </c>
      <c r="S131" s="22">
        <v>20868927087</v>
      </c>
      <c r="U131" s="22">
        <v>26113323713</v>
      </c>
      <c r="W131" s="23">
        <v>6.5503273488832087E-3</v>
      </c>
    </row>
    <row r="132" spans="1:23" ht="18.75" x14ac:dyDescent="0.45">
      <c r="A132" s="20" t="s">
        <v>138</v>
      </c>
      <c r="C132" s="22">
        <v>16546</v>
      </c>
      <c r="E132" s="22">
        <v>132876977</v>
      </c>
      <c r="G132" s="22">
        <v>133060690</v>
      </c>
      <c r="I132" s="22">
        <v>224537</v>
      </c>
      <c r="J132" s="22">
        <v>1833225217</v>
      </c>
      <c r="L132" s="22">
        <v>0</v>
      </c>
      <c r="M132" s="22">
        <v>0</v>
      </c>
      <c r="O132" s="22">
        <v>241083</v>
      </c>
      <c r="Q132" s="22">
        <v>8920</v>
      </c>
      <c r="S132" s="22">
        <v>1966102194</v>
      </c>
      <c r="U132" s="22">
        <v>2166422948</v>
      </c>
      <c r="W132" s="23">
        <v>5.4343061195492274E-4</v>
      </c>
    </row>
    <row r="133" spans="1:23" ht="18.75" x14ac:dyDescent="0.45">
      <c r="A133" s="20" t="s">
        <v>139</v>
      </c>
      <c r="C133" s="22">
        <v>3129644</v>
      </c>
      <c r="E133" s="22">
        <v>12763070334</v>
      </c>
      <c r="G133" s="22">
        <v>8754417648</v>
      </c>
      <c r="I133" s="22">
        <v>1782593</v>
      </c>
      <c r="J133" s="22">
        <v>5231228392</v>
      </c>
      <c r="L133" s="22">
        <v>0</v>
      </c>
      <c r="M133" s="22">
        <v>0</v>
      </c>
      <c r="O133" s="22">
        <v>4912237</v>
      </c>
      <c r="Q133" s="22">
        <v>3624</v>
      </c>
      <c r="S133" s="22">
        <v>17994298726</v>
      </c>
      <c r="U133" s="22">
        <v>17783919469</v>
      </c>
      <c r="W133" s="23">
        <v>4.4609600581076081E-3</v>
      </c>
    </row>
    <row r="134" spans="1:23" ht="18.75" x14ac:dyDescent="0.45">
      <c r="A134" s="20" t="s">
        <v>140</v>
      </c>
      <c r="C134" s="22">
        <v>7197090</v>
      </c>
      <c r="E134" s="22">
        <v>9968218012</v>
      </c>
      <c r="G134" s="22">
        <v>9894351696</v>
      </c>
      <c r="I134" s="22">
        <v>2000000</v>
      </c>
      <c r="J134" s="22">
        <v>3150921303</v>
      </c>
      <c r="L134" s="22">
        <v>0</v>
      </c>
      <c r="M134" s="22">
        <v>0</v>
      </c>
      <c r="O134" s="22">
        <v>9197090</v>
      </c>
      <c r="Q134" s="22">
        <v>1934</v>
      </c>
      <c r="S134" s="22">
        <v>13119139315</v>
      </c>
      <c r="U134" s="22">
        <v>17772762059</v>
      </c>
      <c r="W134" s="23">
        <v>4.458161307222085E-3</v>
      </c>
    </row>
    <row r="135" spans="1:23" ht="18.75" x14ac:dyDescent="0.45">
      <c r="A135" s="20" t="s">
        <v>141</v>
      </c>
      <c r="C135" s="22">
        <v>12089479</v>
      </c>
      <c r="E135" s="22">
        <v>47328888198</v>
      </c>
      <c r="G135" s="22">
        <v>38852728158</v>
      </c>
      <c r="I135" s="22">
        <v>400000</v>
      </c>
      <c r="J135" s="22">
        <v>1409065007</v>
      </c>
      <c r="L135" s="22">
        <v>1384553</v>
      </c>
      <c r="M135" s="22">
        <v>5047963235</v>
      </c>
      <c r="O135" s="22">
        <v>17465640</v>
      </c>
      <c r="Q135" s="22">
        <v>3894</v>
      </c>
      <c r="S135" s="22">
        <v>68232242027</v>
      </c>
      <c r="U135" s="22">
        <v>68057940213</v>
      </c>
      <c r="W135" s="23">
        <v>1.7071813300577231E-2</v>
      </c>
    </row>
    <row r="136" spans="1:23" ht="18.75" x14ac:dyDescent="0.45">
      <c r="A136" s="20" t="s">
        <v>142</v>
      </c>
      <c r="C136" s="22">
        <v>6360714</v>
      </c>
      <c r="E136" s="22">
        <v>18540733099</v>
      </c>
      <c r="G136" s="22">
        <v>14118963690</v>
      </c>
      <c r="N136" s="21"/>
      <c r="W136" s="23">
        <v>0</v>
      </c>
    </row>
    <row r="137" spans="1:23" ht="18.75" x14ac:dyDescent="0.45">
      <c r="A137" s="20" t="s">
        <v>143</v>
      </c>
      <c r="C137" s="22">
        <v>5000000</v>
      </c>
      <c r="E137" s="22">
        <v>5830405490</v>
      </c>
      <c r="G137" s="22">
        <v>6113407500</v>
      </c>
      <c r="I137" s="22">
        <v>10084042</v>
      </c>
      <c r="J137" s="22">
        <v>13275721974</v>
      </c>
      <c r="L137" s="22">
        <v>0</v>
      </c>
      <c r="M137" s="22">
        <v>0</v>
      </c>
      <c r="O137" s="22">
        <v>15084042</v>
      </c>
      <c r="Q137" s="22">
        <v>1615</v>
      </c>
      <c r="S137" s="22">
        <v>19106127464</v>
      </c>
      <c r="U137" s="22">
        <v>24260764375</v>
      </c>
      <c r="W137" s="23">
        <v>6.0856270207863584E-3</v>
      </c>
    </row>
    <row r="138" spans="1:23" ht="18.75" x14ac:dyDescent="0.45">
      <c r="A138" s="20" t="s">
        <v>144</v>
      </c>
      <c r="C138" s="22">
        <v>631164</v>
      </c>
      <c r="E138" s="22">
        <v>5327436849</v>
      </c>
      <c r="G138" s="22">
        <v>5646677168</v>
      </c>
      <c r="I138" s="22">
        <v>231688</v>
      </c>
      <c r="J138" s="22">
        <v>2449775777</v>
      </c>
      <c r="L138" s="22">
        <v>0</v>
      </c>
      <c r="M138" s="22">
        <v>0</v>
      </c>
      <c r="O138" s="22">
        <v>862852</v>
      </c>
      <c r="Q138" s="22">
        <v>10840</v>
      </c>
      <c r="S138" s="22">
        <v>7777212626</v>
      </c>
      <c r="U138" s="22">
        <v>9426321156</v>
      </c>
      <c r="W138" s="23">
        <v>2.3645205009565451E-3</v>
      </c>
    </row>
    <row r="139" spans="1:23" ht="18.75" x14ac:dyDescent="0.45">
      <c r="A139" s="20" t="s">
        <v>145</v>
      </c>
      <c r="C139" s="22">
        <v>5488987</v>
      </c>
      <c r="E139" s="22">
        <v>43488289299</v>
      </c>
      <c r="G139" s="22">
        <v>28154650041</v>
      </c>
      <c r="I139" s="22">
        <v>1200000</v>
      </c>
      <c r="J139" s="22">
        <v>7842839960</v>
      </c>
      <c r="L139" s="22">
        <v>2000000</v>
      </c>
      <c r="M139" s="22">
        <v>11932576303</v>
      </c>
      <c r="O139" s="22">
        <v>4688987</v>
      </c>
      <c r="Q139" s="22">
        <v>6030</v>
      </c>
      <c r="S139" s="22">
        <v>35485477120</v>
      </c>
      <c r="U139" s="22">
        <v>28525855667</v>
      </c>
      <c r="W139" s="23">
        <v>7.1554925209625373E-3</v>
      </c>
    </row>
    <row r="140" spans="1:23" ht="18.75" x14ac:dyDescent="0.45">
      <c r="A140" s="20" t="s">
        <v>146</v>
      </c>
      <c r="C140" s="22">
        <v>250000</v>
      </c>
      <c r="E140" s="22">
        <v>3403087200</v>
      </c>
      <c r="G140" s="22">
        <v>2472699375</v>
      </c>
      <c r="I140" s="22">
        <v>1494914</v>
      </c>
      <c r="J140" s="22">
        <v>15916862532</v>
      </c>
      <c r="L140" s="22">
        <v>0</v>
      </c>
      <c r="M140" s="22">
        <v>0</v>
      </c>
      <c r="O140" s="22">
        <v>1744914</v>
      </c>
      <c r="Q140" s="22">
        <v>10940</v>
      </c>
      <c r="S140" s="22">
        <v>19319949732</v>
      </c>
      <c r="U140" s="22">
        <v>18906396203</v>
      </c>
      <c r="W140" s="23">
        <v>4.7425247539699339E-3</v>
      </c>
    </row>
    <row r="141" spans="1:23" ht="18.75" x14ac:dyDescent="0.45">
      <c r="A141" s="20" t="s">
        <v>147</v>
      </c>
      <c r="C141" s="22">
        <v>7293338</v>
      </c>
      <c r="E141" s="22">
        <v>37618658319</v>
      </c>
      <c r="G141" s="22">
        <v>42847160996</v>
      </c>
      <c r="I141" s="22">
        <v>400000</v>
      </c>
      <c r="J141" s="22">
        <v>2966750564</v>
      </c>
      <c r="L141" s="22">
        <v>3793338</v>
      </c>
      <c r="M141" s="22">
        <v>23304480267</v>
      </c>
      <c r="O141" s="22">
        <v>3900000</v>
      </c>
      <c r="Q141" s="22">
        <v>7420</v>
      </c>
      <c r="S141" s="22">
        <v>21019568644</v>
      </c>
      <c r="U141" s="22">
        <v>28533211200</v>
      </c>
      <c r="W141" s="23">
        <v>7.157337600107002E-3</v>
      </c>
    </row>
    <row r="142" spans="1:23" ht="37.5" x14ac:dyDescent="0.45">
      <c r="A142" s="20" t="s">
        <v>148</v>
      </c>
      <c r="H142" s="21"/>
      <c r="I142" s="22">
        <v>1400000</v>
      </c>
      <c r="J142" s="22">
        <v>12092170716</v>
      </c>
      <c r="L142" s="22">
        <v>0</v>
      </c>
      <c r="M142" s="22">
        <v>0</v>
      </c>
      <c r="O142" s="22">
        <v>1400000</v>
      </c>
      <c r="Q142" s="22">
        <v>8560</v>
      </c>
      <c r="S142" s="22">
        <v>12092170716</v>
      </c>
      <c r="U142" s="22">
        <v>11968362000</v>
      </c>
      <c r="W142" s="23">
        <v>3.0021719866669557E-3</v>
      </c>
    </row>
    <row r="143" spans="1:23" ht="37.5" x14ac:dyDescent="0.45">
      <c r="A143" s="20" t="s">
        <v>149</v>
      </c>
      <c r="H143" s="21"/>
      <c r="I143" s="22">
        <v>2800000</v>
      </c>
      <c r="J143" s="22">
        <v>13824941564</v>
      </c>
      <c r="L143" s="22">
        <v>0</v>
      </c>
      <c r="M143" s="22">
        <v>0</v>
      </c>
      <c r="O143" s="22">
        <v>2800000</v>
      </c>
      <c r="Q143" s="22">
        <v>4979</v>
      </c>
      <c r="S143" s="22">
        <v>13824941564</v>
      </c>
      <c r="U143" s="22">
        <v>13858249860</v>
      </c>
      <c r="W143" s="23">
        <v>3.4762358887476218E-3</v>
      </c>
    </row>
    <row r="144" spans="1:23" ht="37.5" x14ac:dyDescent="0.45">
      <c r="A144" s="20" t="s">
        <v>150</v>
      </c>
      <c r="C144" s="22">
        <v>6222978</v>
      </c>
      <c r="E144" s="22">
        <v>20928191639</v>
      </c>
      <c r="G144" s="22">
        <v>23061226375</v>
      </c>
      <c r="I144" s="22">
        <v>400000</v>
      </c>
      <c r="J144" s="22">
        <v>1790001057</v>
      </c>
      <c r="L144" s="22">
        <v>691388</v>
      </c>
      <c r="M144" s="22">
        <v>2741536965</v>
      </c>
      <c r="O144" s="22">
        <v>5931590</v>
      </c>
      <c r="Q144" s="22">
        <v>4549</v>
      </c>
      <c r="S144" s="22">
        <v>20393019674</v>
      </c>
      <c r="U144" s="22">
        <v>26828151530</v>
      </c>
      <c r="W144" s="23">
        <v>6.7296364345782846E-3</v>
      </c>
    </row>
    <row r="145" spans="1:23" ht="18.75" x14ac:dyDescent="0.45">
      <c r="A145" s="20" t="s">
        <v>151</v>
      </c>
      <c r="C145" s="22">
        <v>4645601</v>
      </c>
      <c r="E145" s="22">
        <v>8003977140</v>
      </c>
      <c r="G145" s="22">
        <v>15659501255</v>
      </c>
      <c r="I145" s="22">
        <v>800000</v>
      </c>
      <c r="J145" s="22">
        <v>2946864060</v>
      </c>
      <c r="L145" s="22">
        <v>0</v>
      </c>
      <c r="M145" s="22">
        <v>0</v>
      </c>
      <c r="O145" s="22">
        <v>5445601</v>
      </c>
      <c r="Q145" s="22">
        <v>3924</v>
      </c>
      <c r="S145" s="22">
        <v>10950841200</v>
      </c>
      <c r="U145" s="22">
        <v>21241395521</v>
      </c>
      <c r="W145" s="23">
        <v>5.3282414578418626E-3</v>
      </c>
    </row>
    <row r="146" spans="1:23" ht="18.75" x14ac:dyDescent="0.45">
      <c r="A146" s="20" t="s">
        <v>152</v>
      </c>
      <c r="H146" s="21"/>
      <c r="I146" s="22">
        <v>13104132</v>
      </c>
      <c r="J146" s="22">
        <v>18159717549</v>
      </c>
      <c r="L146" s="22">
        <v>0</v>
      </c>
      <c r="M146" s="22">
        <v>0</v>
      </c>
      <c r="O146" s="22">
        <v>13104132</v>
      </c>
      <c r="Q146" s="22">
        <v>1448</v>
      </c>
      <c r="S146" s="22">
        <v>18159717549</v>
      </c>
      <c r="U146" s="22">
        <v>18874909339</v>
      </c>
      <c r="W146" s="23">
        <v>4.7346265151759536E-3</v>
      </c>
    </row>
    <row r="147" spans="1:23" ht="18.75" x14ac:dyDescent="0.45">
      <c r="A147" s="20" t="s">
        <v>153</v>
      </c>
      <c r="C147" s="22">
        <v>1651893</v>
      </c>
      <c r="E147" s="22">
        <v>9972257764</v>
      </c>
      <c r="G147" s="22">
        <v>9737440923</v>
      </c>
      <c r="I147" s="22">
        <v>1200000</v>
      </c>
      <c r="J147" s="22">
        <v>7262733527</v>
      </c>
      <c r="L147" s="22">
        <v>0</v>
      </c>
      <c r="M147" s="22">
        <v>0</v>
      </c>
      <c r="O147" s="22">
        <v>2851893</v>
      </c>
      <c r="Q147" s="22">
        <v>5580</v>
      </c>
      <c r="S147" s="22">
        <v>17234991291</v>
      </c>
      <c r="U147" s="22">
        <v>15847226483</v>
      </c>
      <c r="W147" s="23">
        <v>3.9751554484756813E-3</v>
      </c>
    </row>
    <row r="148" spans="1:23" ht="18.75" x14ac:dyDescent="0.45">
      <c r="A148" s="20" t="s">
        <v>154</v>
      </c>
      <c r="C148" s="22">
        <v>4618626</v>
      </c>
      <c r="E148" s="22">
        <v>20630706736</v>
      </c>
      <c r="G148" s="22">
        <v>25848147337</v>
      </c>
      <c r="I148" s="22">
        <v>0</v>
      </c>
      <c r="J148" s="22">
        <v>0</v>
      </c>
      <c r="L148" s="22">
        <v>150693</v>
      </c>
      <c r="M148" s="22">
        <v>983267348</v>
      </c>
      <c r="O148" s="22">
        <v>4467933</v>
      </c>
      <c r="Q148" s="22">
        <v>6560</v>
      </c>
      <c r="S148" s="22">
        <v>19957583801</v>
      </c>
      <c r="U148" s="22">
        <v>29135248119</v>
      </c>
      <c r="W148" s="23">
        <v>7.3083539524834663E-3</v>
      </c>
    </row>
    <row r="149" spans="1:23" ht="37.5" x14ac:dyDescent="0.45">
      <c r="A149" s="20" t="s">
        <v>155</v>
      </c>
      <c r="C149" s="22">
        <v>8036726</v>
      </c>
      <c r="E149" s="22">
        <v>27077893989</v>
      </c>
      <c r="G149" s="22">
        <v>27625642067</v>
      </c>
      <c r="I149" s="22">
        <v>0</v>
      </c>
      <c r="J149" s="22">
        <v>0</v>
      </c>
      <c r="L149" s="22">
        <v>498736</v>
      </c>
      <c r="M149" s="22">
        <v>2071450863</v>
      </c>
      <c r="O149" s="22">
        <v>7537990</v>
      </c>
      <c r="Q149" s="22">
        <v>4195</v>
      </c>
      <c r="S149" s="22">
        <v>25397518108</v>
      </c>
      <c r="U149" s="22">
        <v>31471183630</v>
      </c>
      <c r="W149" s="23">
        <v>7.8943054932026357E-3</v>
      </c>
    </row>
    <row r="150" spans="1:23" ht="37.5" x14ac:dyDescent="0.45">
      <c r="A150" s="20" t="s">
        <v>156</v>
      </c>
      <c r="C150" s="22">
        <v>700000</v>
      </c>
      <c r="E150" s="22">
        <v>9143294580</v>
      </c>
      <c r="G150" s="22">
        <v>9950440500</v>
      </c>
      <c r="N150" s="21"/>
      <c r="O150" s="22">
        <v>700000</v>
      </c>
      <c r="Q150" s="22">
        <v>15900</v>
      </c>
      <c r="S150" s="22">
        <v>9143294580</v>
      </c>
      <c r="U150" s="22">
        <v>11195985150</v>
      </c>
      <c r="W150" s="23">
        <v>2.8084271665971697E-3</v>
      </c>
    </row>
    <row r="151" spans="1:23" ht="18.75" x14ac:dyDescent="0.45">
      <c r="A151" s="20" t="s">
        <v>157</v>
      </c>
      <c r="C151" s="22">
        <v>7581888</v>
      </c>
      <c r="E151" s="22">
        <v>47423847484</v>
      </c>
      <c r="G151" s="22">
        <v>30742508351</v>
      </c>
      <c r="I151" s="22">
        <v>0</v>
      </c>
      <c r="J151" s="22">
        <v>0</v>
      </c>
      <c r="L151" s="22">
        <v>53361</v>
      </c>
      <c r="M151" s="22">
        <v>264315780</v>
      </c>
      <c r="O151" s="22">
        <v>7528527</v>
      </c>
      <c r="Q151" s="22">
        <v>4987</v>
      </c>
      <c r="S151" s="22">
        <v>47090080495</v>
      </c>
      <c r="U151" s="22">
        <v>37418661322</v>
      </c>
      <c r="W151" s="23">
        <v>9.3861847426980165E-3</v>
      </c>
    </row>
    <row r="152" spans="1:23" ht="18.75" x14ac:dyDescent="0.45">
      <c r="A152" s="20" t="s">
        <v>158</v>
      </c>
      <c r="C152" s="22">
        <v>1493618</v>
      </c>
      <c r="E152" s="22">
        <v>8708469847</v>
      </c>
      <c r="G152" s="22">
        <v>8715370811</v>
      </c>
      <c r="I152" s="22">
        <v>2000000</v>
      </c>
      <c r="J152" s="22">
        <v>15754606659</v>
      </c>
      <c r="L152" s="22">
        <v>800000</v>
      </c>
      <c r="M152" s="22">
        <v>6250586437</v>
      </c>
      <c r="O152" s="22">
        <v>2693618</v>
      </c>
      <c r="Q152" s="22">
        <v>7870</v>
      </c>
      <c r="S152" s="22">
        <v>18861301726</v>
      </c>
      <c r="U152" s="22">
        <v>21233296415</v>
      </c>
      <c r="W152" s="23">
        <v>5.3262098591025991E-3</v>
      </c>
    </row>
    <row r="153" spans="1:23" ht="18.75" x14ac:dyDescent="0.45">
      <c r="A153" s="20" t="s">
        <v>159</v>
      </c>
      <c r="H153" s="21"/>
      <c r="I153" s="22">
        <v>1981269</v>
      </c>
      <c r="J153" s="22">
        <v>6248771988</v>
      </c>
      <c r="L153" s="22">
        <v>0</v>
      </c>
      <c r="M153" s="22">
        <v>0</v>
      </c>
      <c r="O153" s="22">
        <v>1981269</v>
      </c>
      <c r="Q153" s="22">
        <v>4071</v>
      </c>
      <c r="S153" s="22">
        <v>6248771988</v>
      </c>
      <c r="U153" s="22">
        <v>8011846468</v>
      </c>
      <c r="W153" s="23">
        <v>2.0097103536562641E-3</v>
      </c>
    </row>
    <row r="154" spans="1:23" ht="18.75" x14ac:dyDescent="0.45">
      <c r="A154" s="20" t="s">
        <v>160</v>
      </c>
      <c r="C154" s="22">
        <v>3802300</v>
      </c>
      <c r="E154" s="22">
        <v>28975982399</v>
      </c>
      <c r="G154" s="22">
        <v>38590495176</v>
      </c>
      <c r="I154" s="22">
        <v>0</v>
      </c>
      <c r="J154" s="22">
        <v>0</v>
      </c>
      <c r="L154" s="22">
        <v>1400558</v>
      </c>
      <c r="M154" s="22">
        <v>14128323673</v>
      </c>
      <c r="O154" s="22">
        <v>2401742</v>
      </c>
      <c r="Q154" s="22">
        <v>11570</v>
      </c>
      <c r="S154" s="22">
        <v>18302825636</v>
      </c>
      <c r="U154" s="22">
        <v>27622815418</v>
      </c>
      <c r="W154" s="23">
        <v>6.9289717875170957E-3</v>
      </c>
    </row>
    <row r="155" spans="1:23" ht="18.75" x14ac:dyDescent="0.45">
      <c r="A155" s="20" t="s">
        <v>161</v>
      </c>
      <c r="C155" s="22">
        <v>999999</v>
      </c>
      <c r="E155" s="22">
        <v>3088990714</v>
      </c>
      <c r="G155" s="22">
        <v>4351946548</v>
      </c>
      <c r="N155" s="21"/>
      <c r="O155" s="22">
        <v>999999</v>
      </c>
      <c r="Q155" s="22">
        <v>5220</v>
      </c>
      <c r="S155" s="22">
        <v>3088990714</v>
      </c>
      <c r="U155" s="22">
        <v>5159114341</v>
      </c>
      <c r="W155" s="23">
        <v>1.2941243380307141E-3</v>
      </c>
    </row>
    <row r="156" spans="1:23" ht="18.75" x14ac:dyDescent="0.45">
      <c r="A156" s="20" t="s">
        <v>162</v>
      </c>
      <c r="C156" s="22">
        <v>100000</v>
      </c>
      <c r="E156" s="22">
        <v>4634296634</v>
      </c>
      <c r="G156" s="22">
        <v>4567659750</v>
      </c>
      <c r="I156" s="22">
        <v>400000</v>
      </c>
      <c r="J156" s="22">
        <v>20969441557</v>
      </c>
      <c r="L156" s="22">
        <v>0</v>
      </c>
      <c r="M156" s="22">
        <v>0</v>
      </c>
      <c r="O156" s="22">
        <v>500000</v>
      </c>
      <c r="Q156" s="22">
        <v>55320</v>
      </c>
      <c r="S156" s="22">
        <v>25603738191</v>
      </c>
      <c r="U156" s="22">
        <v>27455661000</v>
      </c>
      <c r="W156" s="23">
        <v>6.8870423813738642E-3</v>
      </c>
    </row>
    <row r="157" spans="1:23" ht="18.75" x14ac:dyDescent="0.45">
      <c r="A157" s="20" t="s">
        <v>163</v>
      </c>
      <c r="C157" s="22">
        <v>8864750</v>
      </c>
      <c r="E157" s="22">
        <v>23839913332</v>
      </c>
      <c r="G157" s="22">
        <v>25202333549</v>
      </c>
      <c r="I157" s="22">
        <v>0</v>
      </c>
      <c r="J157" s="22">
        <v>0</v>
      </c>
      <c r="L157" s="22">
        <v>2400000</v>
      </c>
      <c r="M157" s="22">
        <v>6924950014</v>
      </c>
      <c r="O157" s="22">
        <v>6464750</v>
      </c>
      <c r="Q157" s="22">
        <v>3375</v>
      </c>
      <c r="S157" s="22">
        <v>17385609263</v>
      </c>
      <c r="U157" s="22">
        <v>21688710989</v>
      </c>
      <c r="W157" s="23">
        <v>5.4404471186693358E-3</v>
      </c>
    </row>
    <row r="158" spans="1:23" ht="18.75" x14ac:dyDescent="0.45">
      <c r="A158" s="20" t="s">
        <v>164</v>
      </c>
      <c r="C158" s="22">
        <v>6903048</v>
      </c>
      <c r="E158" s="22">
        <v>13651165646</v>
      </c>
      <c r="G158" s="22">
        <v>11164433104</v>
      </c>
      <c r="I158" s="22">
        <v>1298524</v>
      </c>
      <c r="J158" s="22">
        <v>2241931785</v>
      </c>
      <c r="L158" s="22">
        <v>0</v>
      </c>
      <c r="M158" s="22">
        <v>0</v>
      </c>
      <c r="O158" s="22">
        <v>8201572</v>
      </c>
      <c r="Q158" s="22">
        <v>1806</v>
      </c>
      <c r="S158" s="22">
        <v>15893097431</v>
      </c>
      <c r="U158" s="22">
        <v>14691296309</v>
      </c>
      <c r="W158" s="23">
        <v>3.6851992132844449E-3</v>
      </c>
    </row>
    <row r="159" spans="1:23" ht="18.75" x14ac:dyDescent="0.45">
      <c r="A159" s="20" t="s">
        <v>165</v>
      </c>
      <c r="C159" s="22">
        <v>845414</v>
      </c>
      <c r="E159" s="22">
        <v>9972258712</v>
      </c>
      <c r="G159" s="22">
        <v>9840894142</v>
      </c>
      <c r="N159" s="21"/>
      <c r="O159" s="22">
        <v>845414</v>
      </c>
      <c r="Q159" s="22">
        <v>13530</v>
      </c>
      <c r="S159" s="22">
        <v>9972258712</v>
      </c>
      <c r="U159" s="22">
        <v>11412411823</v>
      </c>
      <c r="W159" s="23">
        <v>2.8627161407147749E-3</v>
      </c>
    </row>
    <row r="160" spans="1:23" ht="37.5" x14ac:dyDescent="0.45">
      <c r="A160" s="20" t="s">
        <v>166</v>
      </c>
      <c r="H160" s="21"/>
      <c r="I160" s="22">
        <v>826021</v>
      </c>
      <c r="J160" s="22">
        <v>15540795166</v>
      </c>
      <c r="L160" s="22">
        <v>0</v>
      </c>
      <c r="M160" s="22">
        <v>0</v>
      </c>
      <c r="O160" s="22">
        <v>826021</v>
      </c>
      <c r="Q160" s="22">
        <v>19920</v>
      </c>
      <c r="S160" s="22">
        <v>15540795166</v>
      </c>
      <c r="U160" s="22">
        <v>16372857130</v>
      </c>
      <c r="W160" s="23">
        <v>4.1070058724315267E-3</v>
      </c>
    </row>
    <row r="161" spans="1:23" ht="37.5" x14ac:dyDescent="0.45">
      <c r="A161" s="20" t="s">
        <v>167</v>
      </c>
      <c r="C161" s="22">
        <v>123</v>
      </c>
      <c r="E161" s="22">
        <v>1662161</v>
      </c>
      <c r="G161" s="22">
        <v>3994500</v>
      </c>
      <c r="I161" s="22">
        <v>500000</v>
      </c>
      <c r="J161" s="22">
        <v>16129855697</v>
      </c>
      <c r="L161" s="22">
        <v>0</v>
      </c>
      <c r="M161" s="22">
        <v>0</v>
      </c>
      <c r="O161" s="22">
        <v>500123</v>
      </c>
      <c r="Q161" s="22">
        <v>33650</v>
      </c>
      <c r="S161" s="22">
        <v>16131517858</v>
      </c>
      <c r="U161" s="22">
        <v>16271630087</v>
      </c>
      <c r="W161" s="23">
        <v>4.0816138436152415E-3</v>
      </c>
    </row>
    <row r="162" spans="1:23" ht="18.75" x14ac:dyDescent="0.45">
      <c r="A162" s="20" t="s">
        <v>168</v>
      </c>
      <c r="C162" s="22">
        <v>1746933</v>
      </c>
      <c r="E162" s="22">
        <v>4812020940</v>
      </c>
      <c r="G162" s="22">
        <v>4778954636</v>
      </c>
      <c r="I162" s="22">
        <v>3718084</v>
      </c>
      <c r="J162" s="22">
        <v>10966874218</v>
      </c>
      <c r="L162" s="22">
        <v>0</v>
      </c>
      <c r="M162" s="22">
        <v>0</v>
      </c>
      <c r="O162" s="22">
        <v>5465017</v>
      </c>
      <c r="Q162" s="22">
        <v>3231</v>
      </c>
      <c r="S162" s="22">
        <v>15778895158</v>
      </c>
      <c r="U162" s="22">
        <v>17394865477</v>
      </c>
      <c r="W162" s="23">
        <v>4.3633688425274517E-3</v>
      </c>
    </row>
    <row r="163" spans="1:23" ht="37.5" x14ac:dyDescent="0.45">
      <c r="A163" s="20" t="s">
        <v>169</v>
      </c>
      <c r="H163" s="21"/>
      <c r="I163" s="22">
        <v>1184435</v>
      </c>
      <c r="J163" s="22">
        <v>21180499300</v>
      </c>
      <c r="L163" s="22">
        <v>0</v>
      </c>
      <c r="M163" s="22">
        <v>0</v>
      </c>
      <c r="O163" s="22">
        <v>1184435</v>
      </c>
      <c r="Q163" s="22">
        <v>16950</v>
      </c>
      <c r="S163" s="22">
        <v>21180499300</v>
      </c>
      <c r="U163" s="22">
        <v>20003815524</v>
      </c>
      <c r="W163" s="23">
        <v>5.0178039896024516E-3</v>
      </c>
    </row>
    <row r="164" spans="1:23" ht="18.75" x14ac:dyDescent="0.45">
      <c r="A164" s="20" t="s">
        <v>170</v>
      </c>
      <c r="C164" s="22">
        <v>3052977</v>
      </c>
      <c r="E164" s="22">
        <v>9377372255</v>
      </c>
      <c r="G164" s="22">
        <v>10549005771</v>
      </c>
      <c r="N164" s="21"/>
      <c r="O164" s="22">
        <v>3052977</v>
      </c>
      <c r="Q164" s="22">
        <v>4865</v>
      </c>
      <c r="S164" s="22">
        <v>9377372255</v>
      </c>
      <c r="U164" s="22">
        <v>14870577756</v>
      </c>
      <c r="W164" s="23">
        <v>3.7301705918166548E-3</v>
      </c>
    </row>
    <row r="165" spans="1:23" ht="18.75" x14ac:dyDescent="0.45">
      <c r="A165" s="20" t="s">
        <v>171</v>
      </c>
      <c r="C165" s="22">
        <v>1726432</v>
      </c>
      <c r="E165" s="22">
        <v>16236225789</v>
      </c>
      <c r="G165" s="22">
        <v>17504829242</v>
      </c>
      <c r="N165" s="21"/>
      <c r="O165" s="22">
        <v>1726432</v>
      </c>
      <c r="Q165" s="22">
        <v>12640</v>
      </c>
      <c r="S165" s="22">
        <v>16236225789</v>
      </c>
      <c r="U165" s="22">
        <v>21623612593</v>
      </c>
      <c r="W165" s="23">
        <v>5.4241176843784818E-3</v>
      </c>
    </row>
    <row r="166" spans="1:23" ht="18.75" x14ac:dyDescent="0.45">
      <c r="A166" s="20" t="s">
        <v>172</v>
      </c>
      <c r="C166" s="22">
        <v>1234515</v>
      </c>
      <c r="E166" s="22">
        <v>16207137106</v>
      </c>
      <c r="G166" s="22">
        <v>17634427666</v>
      </c>
      <c r="I166" s="22">
        <v>300000</v>
      </c>
      <c r="J166" s="22">
        <v>4621284551</v>
      </c>
      <c r="L166" s="22">
        <v>0</v>
      </c>
      <c r="M166" s="22">
        <v>0</v>
      </c>
      <c r="O166" s="22">
        <v>1534515</v>
      </c>
      <c r="Q166" s="22">
        <v>15880</v>
      </c>
      <c r="S166" s="22">
        <v>20828421657</v>
      </c>
      <c r="U166" s="22">
        <v>24680723406</v>
      </c>
      <c r="W166" s="23">
        <v>6.1909705288132715E-3</v>
      </c>
    </row>
    <row r="167" spans="1:23" ht="18.75" x14ac:dyDescent="0.45">
      <c r="A167" s="20" t="s">
        <v>173</v>
      </c>
      <c r="C167" s="22">
        <v>635048</v>
      </c>
      <c r="E167" s="22">
        <v>10210310730</v>
      </c>
      <c r="G167" s="22">
        <v>11110342573</v>
      </c>
      <c r="I167" s="22">
        <v>400000</v>
      </c>
      <c r="J167" s="22">
        <v>9248326777</v>
      </c>
      <c r="L167" s="22">
        <v>0</v>
      </c>
      <c r="M167" s="22">
        <v>0</v>
      </c>
      <c r="O167" s="22">
        <v>1035048</v>
      </c>
      <c r="Q167" s="22">
        <v>23720</v>
      </c>
      <c r="S167" s="22">
        <v>19458637507</v>
      </c>
      <c r="U167" s="22">
        <v>24456702569</v>
      </c>
      <c r="W167" s="23">
        <v>6.1347766167916358E-3</v>
      </c>
    </row>
    <row r="168" spans="1:23" ht="18.75" x14ac:dyDescent="0.45">
      <c r="A168" s="20" t="s">
        <v>174</v>
      </c>
      <c r="H168" s="21"/>
      <c r="I168" s="22">
        <v>2000000</v>
      </c>
      <c r="J168" s="22">
        <v>11710857525</v>
      </c>
      <c r="L168" s="22">
        <v>0</v>
      </c>
      <c r="M168" s="22">
        <v>0</v>
      </c>
      <c r="O168" s="22">
        <v>2000000</v>
      </c>
      <c r="Q168" s="22">
        <v>6900</v>
      </c>
      <c r="S168" s="22">
        <v>11710857525</v>
      </c>
      <c r="U168" s="22">
        <v>14055867000</v>
      </c>
      <c r="W168" s="23">
        <v>3.5258066355042155E-3</v>
      </c>
    </row>
    <row r="169" spans="1:23" ht="18.75" x14ac:dyDescent="0.45">
      <c r="A169" s="20" t="s">
        <v>175</v>
      </c>
      <c r="C169" s="22">
        <v>200000</v>
      </c>
      <c r="E169" s="22">
        <v>10970170868</v>
      </c>
      <c r="G169" s="22">
        <v>11153241000</v>
      </c>
      <c r="I169" s="22">
        <v>200000</v>
      </c>
      <c r="J169" s="22">
        <v>13280312653</v>
      </c>
      <c r="L169" s="22">
        <v>91016</v>
      </c>
      <c r="M169" s="22">
        <v>6017256158</v>
      </c>
      <c r="O169" s="22">
        <v>308984</v>
      </c>
      <c r="Q169" s="22">
        <v>67200</v>
      </c>
      <c r="S169" s="22">
        <v>18732528501</v>
      </c>
      <c r="U169" s="22">
        <v>20692395380</v>
      </c>
      <c r="W169" s="23">
        <v>5.1905289752158853E-3</v>
      </c>
    </row>
    <row r="170" spans="1:23" ht="18.75" x14ac:dyDescent="0.45">
      <c r="A170" s="20" t="s">
        <v>176</v>
      </c>
      <c r="C170" s="22">
        <v>1467558</v>
      </c>
      <c r="E170" s="22">
        <v>13763347366</v>
      </c>
      <c r="G170" s="22">
        <v>9205192249</v>
      </c>
      <c r="I170" s="22">
        <v>600000</v>
      </c>
      <c r="J170" s="22">
        <v>3741468846</v>
      </c>
      <c r="L170" s="22">
        <v>0</v>
      </c>
      <c r="M170" s="22">
        <v>0</v>
      </c>
      <c r="O170" s="22">
        <v>2067558</v>
      </c>
      <c r="Q170" s="22">
        <v>6750</v>
      </c>
      <c r="S170" s="22">
        <v>17504816212</v>
      </c>
      <c r="U170" s="22">
        <v>13955188443</v>
      </c>
      <c r="W170" s="23">
        <v>3.5005521902022226E-3</v>
      </c>
    </row>
    <row r="171" spans="1:23" ht="18.75" x14ac:dyDescent="0.45">
      <c r="A171" s="20" t="s">
        <v>177</v>
      </c>
      <c r="H171" s="21"/>
      <c r="I171" s="22">
        <v>2276925</v>
      </c>
      <c r="J171" s="22">
        <v>14838497595</v>
      </c>
      <c r="L171" s="22">
        <v>0</v>
      </c>
      <c r="M171" s="22">
        <v>0</v>
      </c>
      <c r="O171" s="22">
        <v>2276925</v>
      </c>
      <c r="Q171" s="22">
        <v>6390</v>
      </c>
      <c r="S171" s="22">
        <v>14838497595</v>
      </c>
      <c r="U171" s="22">
        <v>14711952426</v>
      </c>
      <c r="W171" s="23">
        <v>3.6903806421057588E-3</v>
      </c>
    </row>
    <row r="172" spans="1:23" ht="18.75" x14ac:dyDescent="0.45">
      <c r="A172" s="20" t="s">
        <v>178</v>
      </c>
      <c r="C172" s="22">
        <v>2100000</v>
      </c>
      <c r="E172" s="22">
        <v>6008882859</v>
      </c>
      <c r="G172" s="22">
        <v>6183189810</v>
      </c>
      <c r="I172" s="22">
        <v>4754018</v>
      </c>
      <c r="J172" s="22">
        <v>15493152589</v>
      </c>
      <c r="L172" s="22">
        <v>0</v>
      </c>
      <c r="M172" s="22">
        <v>0</v>
      </c>
      <c r="O172" s="22">
        <v>6854018</v>
      </c>
      <c r="Q172" s="22">
        <v>3390</v>
      </c>
      <c r="S172" s="22">
        <v>21502035448</v>
      </c>
      <c r="U172" s="22">
        <v>23417094170</v>
      </c>
      <c r="W172" s="23">
        <v>5.8739988083846466E-3</v>
      </c>
    </row>
    <row r="173" spans="1:23" ht="18.75" x14ac:dyDescent="0.45">
      <c r="A173" s="20" t="s">
        <v>179</v>
      </c>
      <c r="C173" s="22">
        <v>6744759</v>
      </c>
      <c r="E173" s="22">
        <v>47076364301</v>
      </c>
      <c r="G173" s="22">
        <v>31572091764</v>
      </c>
      <c r="I173" s="22">
        <v>0</v>
      </c>
      <c r="J173" s="22">
        <v>0</v>
      </c>
      <c r="L173" s="22">
        <v>3544759</v>
      </c>
      <c r="M173" s="22">
        <v>18764562621</v>
      </c>
      <c r="O173" s="22">
        <v>3200000</v>
      </c>
      <c r="Q173" s="22">
        <v>6140</v>
      </c>
      <c r="S173" s="22">
        <v>22335025723</v>
      </c>
      <c r="U173" s="22">
        <v>19531094400</v>
      </c>
      <c r="W173" s="23">
        <v>4.8992255144545138E-3</v>
      </c>
    </row>
    <row r="174" spans="1:23" ht="18.75" x14ac:dyDescent="0.45">
      <c r="A174" s="20" t="s">
        <v>180</v>
      </c>
      <c r="C174" s="22">
        <v>300000</v>
      </c>
      <c r="E174" s="22">
        <v>8687054089</v>
      </c>
      <c r="G174" s="22">
        <v>8588592000</v>
      </c>
      <c r="I174" s="22">
        <v>600000</v>
      </c>
      <c r="J174" s="22">
        <v>16609591129</v>
      </c>
      <c r="L174" s="22">
        <v>0</v>
      </c>
      <c r="M174" s="22">
        <v>0</v>
      </c>
      <c r="O174" s="22">
        <v>900000</v>
      </c>
      <c r="Q174" s="22">
        <v>29880</v>
      </c>
      <c r="S174" s="22">
        <v>25296645218</v>
      </c>
      <c r="U174" s="22">
        <v>26436759750</v>
      </c>
      <c r="W174" s="23">
        <v>6.631458802774725E-3</v>
      </c>
    </row>
    <row r="175" spans="1:23" ht="18.75" x14ac:dyDescent="0.45">
      <c r="A175" s="20" t="s">
        <v>181</v>
      </c>
      <c r="C175" s="22">
        <v>1318090</v>
      </c>
      <c r="E175" s="22">
        <v>6367972688</v>
      </c>
      <c r="G175" s="22">
        <v>6231536466</v>
      </c>
      <c r="I175" s="22">
        <v>1696897</v>
      </c>
      <c r="J175" s="22">
        <v>8619417002</v>
      </c>
      <c r="L175" s="22">
        <v>0</v>
      </c>
      <c r="M175" s="22">
        <v>0</v>
      </c>
      <c r="O175" s="22">
        <v>3014987</v>
      </c>
      <c r="Q175" s="22">
        <v>5330</v>
      </c>
      <c r="S175" s="22">
        <v>14987389690</v>
      </c>
      <c r="U175" s="22">
        <v>16004235398</v>
      </c>
      <c r="W175" s="23">
        <v>4.0145399328579195E-3</v>
      </c>
    </row>
    <row r="176" spans="1:23" ht="18.75" x14ac:dyDescent="0.45">
      <c r="A176" s="20" t="s">
        <v>182</v>
      </c>
      <c r="H176" s="21"/>
      <c r="I176" s="22">
        <v>1641424</v>
      </c>
      <c r="J176" s="22">
        <v>7922461528</v>
      </c>
      <c r="L176" s="22">
        <v>0</v>
      </c>
      <c r="M176" s="22">
        <v>0</v>
      </c>
      <c r="O176" s="22">
        <v>1641424</v>
      </c>
      <c r="Q176" s="22">
        <v>4992</v>
      </c>
      <c r="S176" s="22">
        <v>7922461528</v>
      </c>
      <c r="U176" s="22">
        <v>8280661951</v>
      </c>
      <c r="W176" s="23">
        <v>2.0771406597119256E-3</v>
      </c>
    </row>
    <row r="177" spans="1:23" ht="18.75" x14ac:dyDescent="0.45">
      <c r="A177" s="20" t="s">
        <v>183</v>
      </c>
      <c r="H177" s="21"/>
      <c r="I177" s="22">
        <v>3657173</v>
      </c>
      <c r="J177" s="22">
        <v>19250217180</v>
      </c>
      <c r="L177" s="22">
        <v>0</v>
      </c>
      <c r="M177" s="22">
        <v>0</v>
      </c>
      <c r="O177" s="22">
        <v>3657173</v>
      </c>
      <c r="Q177" s="22">
        <v>5280</v>
      </c>
      <c r="S177" s="22">
        <v>19250217180</v>
      </c>
      <c r="U177" s="22">
        <v>19376750334</v>
      </c>
      <c r="W177" s="23">
        <v>4.8605094870437897E-3</v>
      </c>
    </row>
    <row r="178" spans="1:23" ht="18.75" x14ac:dyDescent="0.45">
      <c r="A178" s="20" t="s">
        <v>184</v>
      </c>
      <c r="H178" s="21"/>
      <c r="I178" s="22">
        <v>2000000</v>
      </c>
      <c r="J178" s="22">
        <v>5146668896</v>
      </c>
      <c r="L178" s="22">
        <v>0</v>
      </c>
      <c r="M178" s="22">
        <v>0</v>
      </c>
      <c r="O178" s="22">
        <v>2000000</v>
      </c>
      <c r="Q178" s="22">
        <v>3007</v>
      </c>
      <c r="S178" s="22">
        <v>5146668896</v>
      </c>
      <c r="U178" s="22">
        <v>5940442800</v>
      </c>
      <c r="W178" s="23">
        <v>1.4901146006911735E-3</v>
      </c>
    </row>
    <row r="179" spans="1:23" ht="18.75" x14ac:dyDescent="0.45">
      <c r="A179" s="20" t="s">
        <v>185</v>
      </c>
      <c r="C179" s="22">
        <v>307809</v>
      </c>
      <c r="E179" s="22">
        <v>11729503425</v>
      </c>
      <c r="G179" s="22">
        <v>10540926131</v>
      </c>
      <c r="I179" s="22">
        <v>400000</v>
      </c>
      <c r="J179" s="22">
        <v>15449064802</v>
      </c>
      <c r="L179" s="22">
        <v>0</v>
      </c>
      <c r="M179" s="22">
        <v>0</v>
      </c>
      <c r="O179" s="22">
        <v>707809</v>
      </c>
      <c r="Q179" s="22">
        <v>41840</v>
      </c>
      <c r="S179" s="22">
        <v>27178568227</v>
      </c>
      <c r="U179" s="22">
        <v>29621456285</v>
      </c>
      <c r="W179" s="23">
        <v>7.4303155488701662E-3</v>
      </c>
    </row>
    <row r="180" spans="1:23" ht="18.75" x14ac:dyDescent="0.45">
      <c r="A180" s="20" t="s">
        <v>186</v>
      </c>
      <c r="C180" s="22">
        <v>3134015</v>
      </c>
      <c r="E180" s="22">
        <v>12077545462</v>
      </c>
      <c r="G180" s="22">
        <v>12617238824</v>
      </c>
      <c r="I180" s="22">
        <v>1600000</v>
      </c>
      <c r="J180" s="22">
        <v>6700612353</v>
      </c>
      <c r="L180" s="22">
        <v>0</v>
      </c>
      <c r="M180" s="22">
        <v>0</v>
      </c>
      <c r="O180" s="22">
        <v>4734015</v>
      </c>
      <c r="Q180" s="22">
        <v>5396</v>
      </c>
      <c r="S180" s="22">
        <v>18778157815</v>
      </c>
      <c r="U180" s="22">
        <v>25416282946</v>
      </c>
      <c r="W180" s="23">
        <v>6.3754800085159763E-3</v>
      </c>
    </row>
    <row r="181" spans="1:23" ht="18.75" x14ac:dyDescent="0.45">
      <c r="A181" s="20" t="s">
        <v>187</v>
      </c>
      <c r="C181" s="22">
        <v>1662462</v>
      </c>
      <c r="E181" s="22">
        <v>25640645979</v>
      </c>
      <c r="G181" s="22">
        <v>38009118075</v>
      </c>
      <c r="I181" s="22">
        <v>0</v>
      </c>
      <c r="J181" s="22">
        <v>0</v>
      </c>
      <c r="L181" s="22">
        <v>162462</v>
      </c>
      <c r="M181" s="22">
        <v>3682094025</v>
      </c>
      <c r="O181" s="22">
        <v>1500000</v>
      </c>
      <c r="Q181" s="22">
        <v>27150</v>
      </c>
      <c r="S181" s="22">
        <v>23134946223</v>
      </c>
      <c r="U181" s="22">
        <v>40482686250</v>
      </c>
      <c r="W181" s="23">
        <v>1.0154771939951145E-2</v>
      </c>
    </row>
    <row r="182" spans="1:23" ht="18.75" x14ac:dyDescent="0.45">
      <c r="A182" s="20" t="s">
        <v>188</v>
      </c>
      <c r="C182" s="22">
        <v>124464</v>
      </c>
      <c r="E182" s="22">
        <v>4370508622</v>
      </c>
      <c r="G182" s="22">
        <v>4379809748</v>
      </c>
      <c r="I182" s="22">
        <v>400000</v>
      </c>
      <c r="J182" s="22">
        <v>14805726948</v>
      </c>
      <c r="L182" s="22">
        <v>200000</v>
      </c>
      <c r="M182" s="22">
        <v>7760358096</v>
      </c>
      <c r="O182" s="22">
        <v>324464</v>
      </c>
      <c r="Q182" s="22">
        <v>42920</v>
      </c>
      <c r="S182" s="22">
        <v>11863537055</v>
      </c>
      <c r="U182" s="22">
        <v>13933444573</v>
      </c>
      <c r="W182" s="23">
        <v>3.495097906867901E-3</v>
      </c>
    </row>
    <row r="183" spans="1:23" ht="18.75" x14ac:dyDescent="0.45">
      <c r="A183" s="20" t="s">
        <v>189</v>
      </c>
      <c r="C183" s="22">
        <v>606059</v>
      </c>
      <c r="E183" s="22">
        <v>19941131559</v>
      </c>
      <c r="G183" s="22">
        <v>20941264506</v>
      </c>
      <c r="I183" s="22">
        <v>0</v>
      </c>
      <c r="J183" s="22">
        <v>0</v>
      </c>
      <c r="L183" s="22">
        <v>113138</v>
      </c>
      <c r="M183" s="22">
        <v>4532503647</v>
      </c>
      <c r="O183" s="22">
        <v>492921</v>
      </c>
      <c r="Q183" s="22">
        <v>44470</v>
      </c>
      <c r="S183" s="22">
        <v>16218557119</v>
      </c>
      <c r="U183" s="22">
        <v>21946567897</v>
      </c>
      <c r="W183" s="23">
        <v>5.5051285500770887E-3</v>
      </c>
    </row>
    <row r="184" spans="1:23" ht="18.75" x14ac:dyDescent="0.45">
      <c r="A184" s="20" t="s">
        <v>190</v>
      </c>
      <c r="C184" s="22">
        <v>65229</v>
      </c>
      <c r="E184" s="22">
        <v>17862878658</v>
      </c>
      <c r="G184" s="22">
        <v>16352871815</v>
      </c>
      <c r="I184" s="22">
        <v>0</v>
      </c>
      <c r="J184" s="22">
        <v>0</v>
      </c>
      <c r="L184" s="22">
        <v>16888</v>
      </c>
      <c r="M184" s="22">
        <v>4811113928</v>
      </c>
      <c r="O184" s="22">
        <v>48341</v>
      </c>
      <c r="Q184" s="22">
        <v>282400</v>
      </c>
      <c r="S184" s="22">
        <v>13238121345</v>
      </c>
      <c r="U184" s="22">
        <v>13690405412</v>
      </c>
      <c r="W184" s="23">
        <v>3.4341333938612555E-3</v>
      </c>
    </row>
    <row r="185" spans="1:23" ht="18.75" x14ac:dyDescent="0.45">
      <c r="A185" s="20" t="s">
        <v>191</v>
      </c>
      <c r="H185" s="21"/>
      <c r="I185" s="22">
        <v>1036013</v>
      </c>
      <c r="J185" s="22">
        <v>15308591175</v>
      </c>
      <c r="L185" s="22">
        <v>0</v>
      </c>
      <c r="M185" s="22">
        <v>0</v>
      </c>
      <c r="O185" s="22">
        <v>1036013</v>
      </c>
      <c r="Q185" s="22">
        <v>17700</v>
      </c>
      <c r="S185" s="22">
        <v>15308591175</v>
      </c>
      <c r="U185" s="22">
        <v>18372501212</v>
      </c>
      <c r="W185" s="23">
        <v>4.6086012825874668E-3</v>
      </c>
    </row>
    <row r="186" spans="1:23" ht="18.75" x14ac:dyDescent="0.45">
      <c r="A186" s="20" t="s">
        <v>192</v>
      </c>
      <c r="H186" s="21"/>
      <c r="I186" s="22">
        <v>4658472</v>
      </c>
      <c r="J186" s="22">
        <v>25832654995</v>
      </c>
      <c r="L186" s="22">
        <v>0</v>
      </c>
      <c r="M186" s="22">
        <v>0</v>
      </c>
      <c r="O186" s="22">
        <v>4658472</v>
      </c>
      <c r="Q186" s="22">
        <v>5760</v>
      </c>
      <c r="S186" s="22">
        <v>25832654995</v>
      </c>
      <c r="U186" s="22">
        <v>26719451109</v>
      </c>
      <c r="W186" s="23">
        <v>6.7023697661014207E-3</v>
      </c>
    </row>
    <row r="187" spans="1:23" ht="18.75" x14ac:dyDescent="0.45">
      <c r="A187" s="20" t="s">
        <v>193</v>
      </c>
      <c r="C187" s="22">
        <v>23784453</v>
      </c>
      <c r="E187" s="22">
        <v>63796745599</v>
      </c>
      <c r="G187" s="22">
        <v>41564280617</v>
      </c>
      <c r="I187" s="22">
        <v>3200000</v>
      </c>
      <c r="J187" s="22">
        <v>6596341714</v>
      </c>
      <c r="L187" s="22">
        <v>2997400</v>
      </c>
      <c r="M187" s="22">
        <v>5498843297</v>
      </c>
      <c r="O187" s="22">
        <v>23987053</v>
      </c>
      <c r="Q187" s="22">
        <v>1907</v>
      </c>
      <c r="S187" s="22">
        <v>62353198178</v>
      </c>
      <c r="U187" s="22">
        <v>46043401297</v>
      </c>
      <c r="W187" s="23">
        <v>1.1549634740720441E-2</v>
      </c>
    </row>
    <row r="188" spans="1:23" ht="18.75" x14ac:dyDescent="0.45">
      <c r="A188" s="20" t="s">
        <v>194</v>
      </c>
      <c r="C188" s="22">
        <v>877997</v>
      </c>
      <c r="E188" s="22">
        <v>10785744988</v>
      </c>
      <c r="G188" s="22">
        <v>10298720431</v>
      </c>
      <c r="I188" s="22">
        <v>2180485</v>
      </c>
      <c r="J188" s="22">
        <v>27390399824</v>
      </c>
      <c r="L188" s="22">
        <v>777937</v>
      </c>
      <c r="M188" s="22">
        <v>9365566160</v>
      </c>
      <c r="O188" s="22">
        <v>2280545</v>
      </c>
      <c r="Q188" s="22">
        <v>14690</v>
      </c>
      <c r="S188" s="22">
        <v>28664992652</v>
      </c>
      <c r="U188" s="22">
        <v>33347213389</v>
      </c>
      <c r="W188" s="23">
        <v>8.3648931967349443E-3</v>
      </c>
    </row>
    <row r="189" spans="1:23" ht="37.5" x14ac:dyDescent="0.45">
      <c r="A189" s="20" t="s">
        <v>195</v>
      </c>
      <c r="C189" s="22">
        <v>450000</v>
      </c>
      <c r="E189" s="22">
        <v>2252043000</v>
      </c>
      <c r="G189" s="22">
        <v>7340562225</v>
      </c>
      <c r="N189" s="21"/>
      <c r="O189" s="22">
        <v>450000</v>
      </c>
      <c r="Q189" s="22">
        <v>17720</v>
      </c>
      <c r="S189" s="22">
        <v>2252043000</v>
      </c>
      <c r="U189" s="22">
        <v>7926554700</v>
      </c>
      <c r="W189" s="23">
        <v>1.9883155665849092E-3</v>
      </c>
    </row>
    <row r="190" spans="1:23" ht="18.75" x14ac:dyDescent="0.45">
      <c r="A190" s="20" t="s">
        <v>196</v>
      </c>
      <c r="C190" s="22">
        <v>1800000</v>
      </c>
      <c r="E190" s="22">
        <v>10359604746</v>
      </c>
      <c r="G190" s="22">
        <v>10270524600</v>
      </c>
      <c r="I190" s="22">
        <v>1200000</v>
      </c>
      <c r="J190" s="22">
        <v>8419806300</v>
      </c>
      <c r="L190" s="22">
        <v>0</v>
      </c>
      <c r="M190" s="22">
        <v>0</v>
      </c>
      <c r="O190" s="22">
        <v>3000000</v>
      </c>
      <c r="Q190" s="22">
        <v>7320</v>
      </c>
      <c r="S190" s="22">
        <v>18779411046</v>
      </c>
      <c r="U190" s="22">
        <v>21829338000</v>
      </c>
      <c r="W190" s="23">
        <v>5.4757223278410587E-3</v>
      </c>
    </row>
    <row r="191" spans="1:23" ht="18.75" x14ac:dyDescent="0.45">
      <c r="A191" s="20" t="s">
        <v>197</v>
      </c>
      <c r="C191" s="22">
        <v>1405716</v>
      </c>
      <c r="E191" s="22">
        <v>7977806216</v>
      </c>
      <c r="G191" s="22">
        <v>7922985782</v>
      </c>
      <c r="N191" s="21"/>
      <c r="O191" s="22">
        <v>1405716</v>
      </c>
      <c r="Q191" s="22">
        <v>7340</v>
      </c>
      <c r="S191" s="22">
        <v>7977806216</v>
      </c>
      <c r="U191" s="22">
        <v>10298484165</v>
      </c>
      <c r="W191" s="23">
        <v>2.5832959151215712E-3</v>
      </c>
    </row>
    <row r="192" spans="1:23" ht="37.5" x14ac:dyDescent="0.45">
      <c r="A192" s="20" t="s">
        <v>198</v>
      </c>
      <c r="C192" s="22">
        <v>50984</v>
      </c>
      <c r="E192" s="22">
        <v>6084973707</v>
      </c>
      <c r="G192" s="22">
        <v>6766372941</v>
      </c>
      <c r="I192" s="22">
        <v>47101</v>
      </c>
      <c r="J192" s="22">
        <v>7320602477</v>
      </c>
      <c r="L192" s="22">
        <v>0</v>
      </c>
      <c r="M192" s="22">
        <v>0</v>
      </c>
      <c r="O192" s="22">
        <v>98085</v>
      </c>
      <c r="Q192" s="22">
        <v>173480</v>
      </c>
      <c r="S192" s="22">
        <v>13405576184</v>
      </c>
      <c r="U192" s="22">
        <v>17020818394</v>
      </c>
      <c r="W192" s="23">
        <v>4.269541995188017E-3</v>
      </c>
    </row>
    <row r="193" spans="1:23" ht="18.75" x14ac:dyDescent="0.45">
      <c r="A193" s="20" t="s">
        <v>199</v>
      </c>
      <c r="H193" s="21"/>
      <c r="I193" s="22">
        <v>5267894</v>
      </c>
      <c r="J193" s="22">
        <v>16062337214</v>
      </c>
      <c r="L193" s="22">
        <v>1200000</v>
      </c>
      <c r="M193" s="22">
        <v>3600051504</v>
      </c>
      <c r="O193" s="22">
        <v>4067894</v>
      </c>
      <c r="Q193" s="22">
        <v>3279</v>
      </c>
      <c r="S193" s="22">
        <v>12486002155</v>
      </c>
      <c r="U193" s="22">
        <v>13299696511</v>
      </c>
      <c r="W193" s="23">
        <v>3.3361270570272232E-3</v>
      </c>
    </row>
    <row r="194" spans="1:23" ht="18.75" x14ac:dyDescent="0.45">
      <c r="A194" s="20" t="s">
        <v>200</v>
      </c>
      <c r="C194" s="22">
        <v>840604</v>
      </c>
      <c r="E194" s="22">
        <v>6130805191</v>
      </c>
      <c r="G194" s="22">
        <v>6233593950</v>
      </c>
      <c r="I194" s="22">
        <v>883861</v>
      </c>
      <c r="J194" s="22">
        <v>7506894050</v>
      </c>
      <c r="L194" s="22">
        <v>0</v>
      </c>
      <c r="M194" s="22">
        <v>0</v>
      </c>
      <c r="O194" s="22">
        <v>1724465</v>
      </c>
      <c r="Q194" s="22">
        <v>8940</v>
      </c>
      <c r="S194" s="22">
        <v>13637699241</v>
      </c>
      <c r="U194" s="22">
        <v>15650686476</v>
      </c>
      <c r="W194" s="23">
        <v>3.9258548922863944E-3</v>
      </c>
    </row>
    <row r="195" spans="1:23" ht="18.75" x14ac:dyDescent="0.45">
      <c r="A195" s="20" t="s">
        <v>201</v>
      </c>
      <c r="C195" s="22">
        <v>1100000</v>
      </c>
      <c r="E195" s="22">
        <v>7432586971</v>
      </c>
      <c r="G195" s="22">
        <v>7752595950</v>
      </c>
      <c r="I195" s="22">
        <v>692838</v>
      </c>
      <c r="J195" s="22">
        <v>4986128030</v>
      </c>
      <c r="L195" s="22">
        <v>0</v>
      </c>
      <c r="M195" s="22">
        <v>0</v>
      </c>
      <c r="O195" s="22">
        <v>1792838</v>
      </c>
      <c r="Q195" s="22">
        <v>8670</v>
      </c>
      <c r="S195" s="22">
        <v>12418715001</v>
      </c>
      <c r="U195" s="22">
        <v>15718744815</v>
      </c>
      <c r="W195" s="23">
        <v>3.9429268056196381E-3</v>
      </c>
    </row>
    <row r="196" spans="1:23" ht="18.75" x14ac:dyDescent="0.45">
      <c r="A196" s="20" t="s">
        <v>202</v>
      </c>
      <c r="C196" s="22">
        <v>1800885</v>
      </c>
      <c r="E196" s="22">
        <v>5622273814</v>
      </c>
      <c r="G196" s="22">
        <v>5477919387</v>
      </c>
      <c r="I196" s="22">
        <v>230445</v>
      </c>
      <c r="J196" s="22">
        <v>710426513</v>
      </c>
      <c r="L196" s="22">
        <v>0</v>
      </c>
      <c r="M196" s="22">
        <v>0</v>
      </c>
      <c r="O196" s="22">
        <v>2031330</v>
      </c>
      <c r="Q196" s="22">
        <v>3965</v>
      </c>
      <c r="S196" s="22">
        <v>6332700327</v>
      </c>
      <c r="U196" s="22">
        <v>8034570231</v>
      </c>
      <c r="W196" s="23">
        <v>2.0154104356482909E-3</v>
      </c>
    </row>
    <row r="197" spans="1:23" ht="18.75" x14ac:dyDescent="0.45">
      <c r="A197" s="20" t="s">
        <v>203</v>
      </c>
      <c r="C197" s="22">
        <v>6447274</v>
      </c>
      <c r="E197" s="22">
        <v>12745483127</v>
      </c>
      <c r="G197" s="22">
        <v>12016711349</v>
      </c>
      <c r="I197" s="22">
        <v>1600000</v>
      </c>
      <c r="J197" s="22">
        <v>2863454797</v>
      </c>
      <c r="L197" s="22">
        <v>0</v>
      </c>
      <c r="M197" s="22">
        <v>0</v>
      </c>
      <c r="O197" s="22">
        <v>8047274</v>
      </c>
      <c r="Q197" s="22">
        <v>2595</v>
      </c>
      <c r="S197" s="22">
        <v>15608937924</v>
      </c>
      <c r="U197" s="22">
        <v>20790421679</v>
      </c>
      <c r="W197" s="23">
        <v>5.2151181219023271E-3</v>
      </c>
    </row>
    <row r="198" spans="1:23" ht="37.5" x14ac:dyDescent="0.45">
      <c r="A198" s="20" t="s">
        <v>204</v>
      </c>
      <c r="C198" s="22">
        <v>2460067</v>
      </c>
      <c r="E198" s="22">
        <v>3298648158</v>
      </c>
      <c r="G198" s="22">
        <v>3240194222</v>
      </c>
      <c r="I198" s="22">
        <v>7292167</v>
      </c>
      <c r="J198" s="22">
        <v>10117236306</v>
      </c>
      <c r="L198" s="22">
        <v>0</v>
      </c>
      <c r="M198" s="22">
        <v>0</v>
      </c>
      <c r="O198" s="22">
        <v>9752234</v>
      </c>
      <c r="Q198" s="22">
        <v>1484</v>
      </c>
      <c r="S198" s="22">
        <v>13415884464</v>
      </c>
      <c r="U198" s="22">
        <v>14415287605</v>
      </c>
      <c r="W198" s="23">
        <v>3.6159645428069766E-3</v>
      </c>
    </row>
    <row r="199" spans="1:23" ht="37.5" x14ac:dyDescent="0.45">
      <c r="A199" s="20" t="s">
        <v>205</v>
      </c>
      <c r="C199" s="22">
        <v>21220067</v>
      </c>
      <c r="E199" s="22">
        <v>27467791448</v>
      </c>
      <c r="G199" s="22">
        <v>20039117221</v>
      </c>
      <c r="I199" s="22">
        <v>0</v>
      </c>
      <c r="J199" s="22">
        <v>0</v>
      </c>
      <c r="L199" s="22">
        <v>6431522</v>
      </c>
      <c r="M199" s="22">
        <v>6063698443</v>
      </c>
      <c r="O199" s="22">
        <v>14788545</v>
      </c>
      <c r="Q199" s="22">
        <v>1055</v>
      </c>
      <c r="S199" s="22">
        <v>19142666698</v>
      </c>
      <c r="U199" s="22">
        <v>15523784134</v>
      </c>
      <c r="W199" s="23">
        <v>3.8940224112672854E-3</v>
      </c>
    </row>
    <row r="200" spans="1:23" ht="18.75" x14ac:dyDescent="0.45">
      <c r="A200" s="20" t="s">
        <v>206</v>
      </c>
      <c r="C200" s="22">
        <v>7859149</v>
      </c>
      <c r="E200" s="22">
        <v>13546271717</v>
      </c>
      <c r="G200" s="22">
        <v>12937312977</v>
      </c>
      <c r="I200" s="22">
        <v>5600000</v>
      </c>
      <c r="J200" s="22">
        <v>11731676809</v>
      </c>
      <c r="L200" s="22">
        <v>0</v>
      </c>
      <c r="M200" s="22">
        <v>0</v>
      </c>
      <c r="O200" s="22">
        <v>13459149</v>
      </c>
      <c r="Q200" s="22">
        <v>2031</v>
      </c>
      <c r="S200" s="22">
        <v>25277948526</v>
      </c>
      <c r="U200" s="22">
        <v>27172885206</v>
      </c>
      <c r="W200" s="23">
        <v>6.8161102381737917E-3</v>
      </c>
    </row>
    <row r="201" spans="1:23" ht="18.75" x14ac:dyDescent="0.45">
      <c r="A201" s="24" t="s">
        <v>207</v>
      </c>
      <c r="C201" s="24">
        <f>SUM(C11:$C$200)</f>
        <v>677482346</v>
      </c>
      <c r="E201" s="24">
        <f>SUM(E11:$E$200)</f>
        <v>2252351613098</v>
      </c>
      <c r="G201" s="24">
        <f>SUM(G11:$G$200)</f>
        <v>2041843805859</v>
      </c>
      <c r="I201" s="24">
        <f>SUM(I11:$I$200)</f>
        <v>422060555</v>
      </c>
      <c r="J201" s="24">
        <f>SUM(J11:$J$200)</f>
        <v>1571135102876</v>
      </c>
      <c r="L201" s="24">
        <f>SUM(L11:$L$200)</f>
        <v>95793644</v>
      </c>
      <c r="M201" s="24">
        <f>SUM(M11:$M$200)</f>
        <v>374449169080</v>
      </c>
      <c r="O201" s="24">
        <f>SUM(O11:$O$200)</f>
        <v>1009662135</v>
      </c>
      <c r="Q201" s="24">
        <f>SUM(Q11:$Q$200)</f>
        <v>2820564</v>
      </c>
      <c r="S201" s="24">
        <f>SUM(S11:$S$200)</f>
        <v>3428021160999</v>
      </c>
      <c r="U201" s="24">
        <f>SUM(U11:$U$200)</f>
        <v>3693567753499</v>
      </c>
      <c r="W201" s="25">
        <f>SUM(W11:$W$200)</f>
        <v>0.92650319570974671</v>
      </c>
    </row>
    <row r="202" spans="1:23" ht="18.75" x14ac:dyDescent="0.45">
      <c r="C202" s="26"/>
      <c r="E202" s="26"/>
      <c r="G202" s="26"/>
      <c r="I202" s="26"/>
      <c r="J202" s="26"/>
      <c r="L202" s="26"/>
      <c r="M202" s="26"/>
      <c r="O202" s="26"/>
      <c r="Q202" s="26"/>
      <c r="S202" s="26"/>
      <c r="U202" s="26"/>
      <c r="W202" s="26"/>
    </row>
  </sheetData>
  <mergeCells count="19"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  <mergeCell ref="A1:W1"/>
    <mergeCell ref="A2:W2"/>
    <mergeCell ref="A3:W3"/>
    <mergeCell ref="A5:W5"/>
    <mergeCell ref="A6:W6"/>
  </mergeCells>
  <pageMargins left="0.7" right="0.7" top="0.75" bottom="0.75" header="0.3" footer="0.3"/>
  <pageSetup paperSize="9" scale="5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22"/>
  <sheetViews>
    <sheetView rightToLeft="1" view="pageBreakPreview" zoomScale="91" zoomScaleNormal="100" zoomScaleSheetLayoutView="91" workbookViewId="0">
      <selection activeCellId="1" sqref="A1:W1 A1:XFD1048576"/>
    </sheetView>
  </sheetViews>
  <sheetFormatPr defaultRowHeight="18" x14ac:dyDescent="0.45"/>
  <cols>
    <col min="1" max="1" width="17" style="12" customWidth="1"/>
    <col min="2" max="2" width="1.42578125" style="12" customWidth="1"/>
    <col min="3" max="3" width="12.7109375" style="12" customWidth="1"/>
    <col min="4" max="4" width="1.42578125" style="12" customWidth="1"/>
    <col min="5" max="5" width="17" style="12" customWidth="1"/>
    <col min="6" max="6" width="1.42578125" style="12" customWidth="1"/>
    <col min="7" max="7" width="17" style="12" customWidth="1"/>
    <col min="8" max="8" width="1.42578125" style="12" customWidth="1"/>
    <col min="9" max="9" width="11.42578125" style="12" customWidth="1"/>
    <col min="10" max="10" width="17" style="12" customWidth="1"/>
    <col min="11" max="11" width="1.42578125" style="12" customWidth="1"/>
    <col min="12" max="12" width="11.42578125" style="12" customWidth="1"/>
    <col min="13" max="13" width="17" style="12" customWidth="1"/>
    <col min="14" max="14" width="1.42578125" style="12" customWidth="1"/>
    <col min="15" max="15" width="12.7109375" style="12" customWidth="1"/>
    <col min="16" max="16" width="1.42578125" style="12" customWidth="1"/>
    <col min="17" max="17" width="11.42578125" style="12" customWidth="1"/>
    <col min="18" max="18" width="1.42578125" style="12" customWidth="1"/>
    <col min="19" max="19" width="17" style="12" customWidth="1"/>
    <col min="20" max="20" width="1.42578125" style="12" customWidth="1"/>
    <col min="21" max="21" width="17" style="12" customWidth="1"/>
    <col min="22" max="22" width="1.42578125" style="12" customWidth="1"/>
    <col min="23" max="23" width="8.5703125" style="12" customWidth="1"/>
    <col min="24" max="16384" width="9.140625" style="12"/>
  </cols>
  <sheetData>
    <row r="1" spans="1:24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4" ht="20.100000000000001" customHeight="1" x14ac:dyDescent="0.4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4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5" spans="1:24" ht="21" x14ac:dyDescent="0.45">
      <c r="A5" s="13" t="s">
        <v>208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7" spans="1:24" ht="21" x14ac:dyDescent="0.45">
      <c r="A7" s="14" t="s">
        <v>209</v>
      </c>
      <c r="B7" s="15"/>
      <c r="C7" s="15"/>
      <c r="D7" s="15"/>
      <c r="E7" s="15"/>
      <c r="F7" s="15"/>
      <c r="G7" s="15"/>
      <c r="I7" s="14" t="s">
        <v>5</v>
      </c>
      <c r="J7" s="15"/>
      <c r="K7" s="15"/>
      <c r="L7" s="15"/>
      <c r="M7" s="15"/>
      <c r="O7" s="14" t="s">
        <v>7</v>
      </c>
      <c r="P7" s="15"/>
      <c r="Q7" s="15"/>
      <c r="R7" s="15"/>
      <c r="S7" s="15"/>
      <c r="T7" s="15"/>
      <c r="U7" s="15"/>
      <c r="V7" s="15"/>
      <c r="W7" s="15"/>
    </row>
    <row r="8" spans="1:24" x14ac:dyDescent="0.45">
      <c r="A8" s="16"/>
      <c r="B8" s="11"/>
      <c r="C8" s="11"/>
      <c r="D8" s="11"/>
      <c r="E8" s="11"/>
      <c r="F8" s="11"/>
      <c r="G8" s="11"/>
      <c r="I8" s="16" t="s">
        <v>210</v>
      </c>
      <c r="J8" s="16" t="s">
        <v>211</v>
      </c>
      <c r="L8" s="16" t="s">
        <v>212</v>
      </c>
      <c r="M8" s="16" t="s">
        <v>213</v>
      </c>
      <c r="O8" s="16" t="s">
        <v>210</v>
      </c>
      <c r="Q8" s="16" t="s">
        <v>211</v>
      </c>
      <c r="S8" s="17" t="s">
        <v>212</v>
      </c>
      <c r="U8" s="16" t="s">
        <v>213</v>
      </c>
    </row>
    <row r="9" spans="1:24" x14ac:dyDescent="0.45">
      <c r="A9" s="11"/>
      <c r="B9" s="11"/>
      <c r="C9" s="11"/>
      <c r="D9" s="11"/>
      <c r="E9" s="11"/>
      <c r="F9" s="11"/>
      <c r="G9" s="11"/>
      <c r="I9" s="11"/>
      <c r="J9" s="11"/>
      <c r="L9" s="11"/>
      <c r="M9" s="11"/>
      <c r="O9" s="11"/>
      <c r="Q9" s="11"/>
      <c r="S9" s="11"/>
      <c r="U9" s="11"/>
    </row>
    <row r="10" spans="1:24" x14ac:dyDescent="0.45">
      <c r="A10" s="16" t="s">
        <v>214</v>
      </c>
      <c r="B10" s="11"/>
      <c r="C10" s="11"/>
      <c r="D10" s="11"/>
      <c r="E10" s="11"/>
      <c r="F10" s="11"/>
      <c r="G10" s="11"/>
      <c r="I10" s="35">
        <v>123</v>
      </c>
      <c r="J10" s="35">
        <v>17150</v>
      </c>
      <c r="L10" s="16" t="s">
        <v>215</v>
      </c>
      <c r="M10" s="36" t="s">
        <v>366</v>
      </c>
      <c r="O10" s="35">
        <v>123</v>
      </c>
      <c r="Q10" s="35">
        <v>17150</v>
      </c>
      <c r="S10" s="16" t="s">
        <v>215</v>
      </c>
      <c r="U10" s="36" t="s">
        <v>366</v>
      </c>
    </row>
    <row r="11" spans="1:24" x14ac:dyDescent="0.45">
      <c r="A11" s="11"/>
      <c r="B11" s="11"/>
      <c r="C11" s="11"/>
      <c r="D11" s="11"/>
      <c r="E11" s="11"/>
      <c r="F11" s="11"/>
      <c r="G11" s="11"/>
      <c r="I11" s="11"/>
      <c r="J11" s="11"/>
      <c r="L11" s="11"/>
      <c r="M11" s="11"/>
      <c r="O11" s="11"/>
      <c r="Q11" s="11"/>
      <c r="S11" s="11"/>
      <c r="U11" s="11"/>
    </row>
    <row r="13" spans="1:24" ht="21" x14ac:dyDescent="0.45">
      <c r="A13" s="13" t="s">
        <v>216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5" spans="1:24" ht="21" x14ac:dyDescent="0.45">
      <c r="A15" s="14" t="s">
        <v>209</v>
      </c>
      <c r="B15" s="15"/>
      <c r="C15" s="15"/>
      <c r="D15" s="15"/>
      <c r="E15" s="15"/>
      <c r="F15" s="15"/>
      <c r="G15" s="15"/>
      <c r="I15" s="14" t="s">
        <v>5</v>
      </c>
      <c r="J15" s="15"/>
      <c r="K15" s="15"/>
      <c r="L15" s="15"/>
      <c r="M15" s="15"/>
      <c r="N15" s="15"/>
      <c r="O15" s="15"/>
      <c r="Q15" s="14" t="s">
        <v>7</v>
      </c>
      <c r="R15" s="15"/>
      <c r="S15" s="15"/>
      <c r="T15" s="15"/>
      <c r="U15" s="15"/>
      <c r="V15" s="15"/>
      <c r="W15" s="15"/>
      <c r="X15" s="15"/>
    </row>
    <row r="16" spans="1:24" x14ac:dyDescent="0.45">
      <c r="A16" s="16"/>
      <c r="B16" s="11"/>
      <c r="C16" s="11"/>
      <c r="D16" s="11"/>
      <c r="E16" s="11"/>
      <c r="F16" s="11"/>
      <c r="G16" s="11"/>
      <c r="I16" s="16" t="s">
        <v>217</v>
      </c>
      <c r="J16" s="16" t="s">
        <v>218</v>
      </c>
      <c r="L16" s="16" t="s">
        <v>219</v>
      </c>
      <c r="M16" s="16" t="s">
        <v>211</v>
      </c>
      <c r="O16" s="16" t="s">
        <v>212</v>
      </c>
      <c r="Q16" s="16" t="s">
        <v>217</v>
      </c>
      <c r="S16" s="16" t="s">
        <v>218</v>
      </c>
      <c r="U16" s="16" t="s">
        <v>219</v>
      </c>
      <c r="W16" s="16" t="s">
        <v>211</v>
      </c>
      <c r="X16" s="16" t="s">
        <v>212</v>
      </c>
    </row>
    <row r="17" spans="1:24" x14ac:dyDescent="0.45">
      <c r="A17" s="11"/>
      <c r="B17" s="11"/>
      <c r="C17" s="11"/>
      <c r="D17" s="11"/>
      <c r="E17" s="11"/>
      <c r="F17" s="11"/>
      <c r="G17" s="11"/>
      <c r="I17" s="11"/>
      <c r="J17" s="11"/>
      <c r="L17" s="11"/>
      <c r="M17" s="11"/>
      <c r="O17" s="11"/>
      <c r="Q17" s="11"/>
      <c r="S17" s="11"/>
      <c r="U17" s="11"/>
      <c r="W17" s="11"/>
      <c r="X17" s="11"/>
    </row>
    <row r="19" spans="1:24" ht="21" x14ac:dyDescent="0.45">
      <c r="A19" s="13" t="s">
        <v>220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4" ht="21" x14ac:dyDescent="0.45">
      <c r="A20" s="14" t="s">
        <v>209</v>
      </c>
      <c r="B20" s="15"/>
      <c r="C20" s="15"/>
      <c r="D20" s="15"/>
      <c r="E20" s="15"/>
      <c r="F20" s="15"/>
      <c r="G20" s="15"/>
      <c r="I20" s="14" t="s">
        <v>5</v>
      </c>
      <c r="J20" s="15"/>
      <c r="K20" s="15"/>
      <c r="L20" s="15"/>
      <c r="M20" s="15"/>
      <c r="O20" s="14" t="s">
        <v>7</v>
      </c>
      <c r="P20" s="15"/>
      <c r="Q20" s="15"/>
      <c r="R20" s="15"/>
      <c r="S20" s="15"/>
      <c r="T20" s="15"/>
      <c r="U20" s="15"/>
      <c r="V20" s="15"/>
      <c r="W20" s="15"/>
    </row>
    <row r="21" spans="1:24" x14ac:dyDescent="0.45">
      <c r="A21" s="16"/>
      <c r="B21" s="11"/>
      <c r="C21" s="11"/>
      <c r="D21" s="11"/>
      <c r="E21" s="11"/>
      <c r="F21" s="11"/>
      <c r="G21" s="11"/>
      <c r="I21" s="16" t="s">
        <v>218</v>
      </c>
      <c r="J21" s="16" t="s">
        <v>219</v>
      </c>
      <c r="L21" s="16" t="s">
        <v>211</v>
      </c>
      <c r="M21" s="16" t="s">
        <v>212</v>
      </c>
      <c r="O21" s="16" t="s">
        <v>218</v>
      </c>
      <c r="Q21" s="16" t="s">
        <v>219</v>
      </c>
      <c r="S21" s="16" t="s">
        <v>211</v>
      </c>
      <c r="U21" s="16" t="s">
        <v>212</v>
      </c>
    </row>
    <row r="22" spans="1:24" x14ac:dyDescent="0.45">
      <c r="A22" s="11"/>
      <c r="B22" s="11"/>
      <c r="C22" s="11"/>
      <c r="D22" s="11"/>
      <c r="E22" s="11"/>
      <c r="F22" s="11"/>
      <c r="G22" s="11"/>
      <c r="I22" s="11"/>
      <c r="J22" s="11"/>
      <c r="L22" s="11"/>
      <c r="M22" s="11"/>
      <c r="O22" s="11"/>
      <c r="Q22" s="11"/>
      <c r="S22" s="11"/>
      <c r="U22" s="11"/>
    </row>
  </sheetData>
  <mergeCells count="53">
    <mergeCell ref="A19:W19"/>
    <mergeCell ref="A20:G20"/>
    <mergeCell ref="I20:M20"/>
    <mergeCell ref="O20:W20"/>
    <mergeCell ref="A21:G22"/>
    <mergeCell ref="I21:I22"/>
    <mergeCell ref="J21:J22"/>
    <mergeCell ref="L21:L22"/>
    <mergeCell ref="M21:M22"/>
    <mergeCell ref="O21:O22"/>
    <mergeCell ref="Q21:Q22"/>
    <mergeCell ref="S21:S22"/>
    <mergeCell ref="U21:U22"/>
    <mergeCell ref="A13:W13"/>
    <mergeCell ref="A15:G15"/>
    <mergeCell ref="I15:O15"/>
    <mergeCell ref="Q15:X15"/>
    <mergeCell ref="A16:G17"/>
    <mergeCell ref="I16:I17"/>
    <mergeCell ref="J16:J17"/>
    <mergeCell ref="L16:L17"/>
    <mergeCell ref="M16:M17"/>
    <mergeCell ref="O16:O17"/>
    <mergeCell ref="Q16:Q17"/>
    <mergeCell ref="S16:S17"/>
    <mergeCell ref="U16:U17"/>
    <mergeCell ref="W16:W17"/>
    <mergeCell ref="X16:X17"/>
    <mergeCell ref="O8:O9"/>
    <mergeCell ref="Q8:Q9"/>
    <mergeCell ref="S8:S9"/>
    <mergeCell ref="U8:U9"/>
    <mergeCell ref="A10:G11"/>
    <mergeCell ref="I10:I11"/>
    <mergeCell ref="J10:J11"/>
    <mergeCell ref="L10:L11"/>
    <mergeCell ref="M10:M11"/>
    <mergeCell ref="O10:O11"/>
    <mergeCell ref="Q10:Q11"/>
    <mergeCell ref="S10:S11"/>
    <mergeCell ref="U10:U11"/>
    <mergeCell ref="A8:G9"/>
    <mergeCell ref="I8:I9"/>
    <mergeCell ref="J8:J9"/>
    <mergeCell ref="L8:L9"/>
    <mergeCell ref="M8:M9"/>
    <mergeCell ref="A1:W1"/>
    <mergeCell ref="A2:W2"/>
    <mergeCell ref="A3:W3"/>
    <mergeCell ref="A5:W5"/>
    <mergeCell ref="A7:G7"/>
    <mergeCell ref="I7:M7"/>
    <mergeCell ref="O7:W7"/>
  </mergeCells>
  <pageMargins left="0.7" right="0.7" top="0.75" bottom="0.75" header="0.3" footer="0.3"/>
  <pageSetup paperSize="9" scale="6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11"/>
  <sheetViews>
    <sheetView rightToLeft="1" view="pageBreakPreview" zoomScale="60" zoomScaleNormal="100" workbookViewId="0">
      <selection activeCellId="1" sqref="A1:W1 A1:XFD1048576"/>
    </sheetView>
  </sheetViews>
  <sheetFormatPr defaultRowHeight="18" x14ac:dyDescent="0.45"/>
  <cols>
    <col min="1" max="1" width="17" style="12" customWidth="1"/>
    <col min="2" max="2" width="1.42578125" style="12" customWidth="1"/>
    <col min="3" max="3" width="8.5703125" style="12" customWidth="1"/>
    <col min="4" max="4" width="1.42578125" style="12" customWidth="1"/>
    <col min="5" max="5" width="11.42578125" style="12" customWidth="1"/>
    <col min="6" max="6" width="1.42578125" style="12" customWidth="1"/>
    <col min="7" max="7" width="11.42578125" style="12" customWidth="1"/>
    <col min="8" max="8" width="1.42578125" style="12" customWidth="1"/>
    <col min="9" max="9" width="11.42578125" style="12" customWidth="1"/>
    <col min="10" max="10" width="1.42578125" style="12" customWidth="1"/>
    <col min="11" max="11" width="7.140625" style="12" customWidth="1"/>
    <col min="12" max="12" width="1.42578125" style="12" customWidth="1"/>
    <col min="13" max="13" width="7.140625" style="12" customWidth="1"/>
    <col min="14" max="14" width="1.42578125" style="12" customWidth="1"/>
    <col min="15" max="15" width="11.42578125" style="12" customWidth="1"/>
    <col min="16" max="16" width="1.42578125" style="12" customWidth="1"/>
    <col min="17" max="17" width="18.42578125" style="12" customWidth="1"/>
    <col min="18" max="18" width="1.42578125" style="12" customWidth="1"/>
    <col min="19" max="19" width="18.42578125" style="12" customWidth="1"/>
    <col min="20" max="20" width="1.42578125" style="12" customWidth="1"/>
    <col min="21" max="21" width="11.42578125" style="12" customWidth="1"/>
    <col min="22" max="22" width="18.42578125" style="12" customWidth="1"/>
    <col min="23" max="23" width="1.42578125" style="12" customWidth="1"/>
    <col min="24" max="24" width="11.42578125" style="12" customWidth="1"/>
    <col min="25" max="25" width="18.42578125" style="12" customWidth="1"/>
    <col min="26" max="26" width="1.42578125" style="12" customWidth="1"/>
    <col min="27" max="27" width="11.42578125" style="12" customWidth="1"/>
    <col min="28" max="28" width="1.42578125" style="12" customWidth="1"/>
    <col min="29" max="29" width="11.42578125" style="12" customWidth="1"/>
    <col min="30" max="30" width="1.42578125" style="12" customWidth="1"/>
    <col min="31" max="31" width="18.42578125" style="12" customWidth="1"/>
    <col min="32" max="32" width="1.42578125" style="12" customWidth="1"/>
    <col min="33" max="33" width="18.42578125" style="12" customWidth="1"/>
    <col min="34" max="34" width="1.42578125" style="12" customWidth="1"/>
    <col min="35" max="35" width="8.5703125" style="12" customWidth="1"/>
    <col min="36" max="16384" width="9.140625" style="12"/>
  </cols>
  <sheetData>
    <row r="1" spans="1:35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spans="1:35" ht="20.100000000000001" customHeight="1" x14ac:dyDescent="0.4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5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5" spans="1:35" ht="21" x14ac:dyDescent="0.45">
      <c r="A5" s="13" t="s">
        <v>221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</row>
    <row r="7" spans="1:35" ht="21" x14ac:dyDescent="0.45">
      <c r="C7" s="14" t="s">
        <v>222</v>
      </c>
      <c r="D7" s="15"/>
      <c r="E7" s="15"/>
      <c r="F7" s="15"/>
      <c r="G7" s="15"/>
      <c r="H7" s="15"/>
      <c r="I7" s="15"/>
      <c r="J7" s="15"/>
      <c r="K7" s="15"/>
      <c r="L7" s="15"/>
      <c r="M7" s="15"/>
      <c r="O7" s="14" t="s">
        <v>5</v>
      </c>
      <c r="P7" s="15"/>
      <c r="Q7" s="15"/>
      <c r="R7" s="15"/>
      <c r="S7" s="15"/>
      <c r="U7" s="14" t="s">
        <v>6</v>
      </c>
      <c r="V7" s="15"/>
      <c r="W7" s="15"/>
      <c r="X7" s="15"/>
      <c r="Y7" s="15"/>
      <c r="AA7" s="14" t="s">
        <v>7</v>
      </c>
      <c r="AB7" s="15"/>
      <c r="AC7" s="15"/>
      <c r="AD7" s="15"/>
      <c r="AE7" s="15"/>
      <c r="AF7" s="15"/>
      <c r="AG7" s="15"/>
      <c r="AH7" s="15"/>
      <c r="AI7" s="15"/>
    </row>
    <row r="8" spans="1:35" ht="18.75" x14ac:dyDescent="0.45">
      <c r="A8" s="16" t="s">
        <v>223</v>
      </c>
      <c r="C8" s="17" t="s">
        <v>224</v>
      </c>
      <c r="E8" s="17" t="s">
        <v>225</v>
      </c>
      <c r="G8" s="17" t="s">
        <v>226</v>
      </c>
      <c r="I8" s="17" t="s">
        <v>227</v>
      </c>
      <c r="K8" s="17" t="s">
        <v>228</v>
      </c>
      <c r="M8" s="17" t="s">
        <v>229</v>
      </c>
      <c r="O8" s="16" t="s">
        <v>9</v>
      </c>
      <c r="Q8" s="16" t="s">
        <v>10</v>
      </c>
      <c r="S8" s="16" t="s">
        <v>11</v>
      </c>
      <c r="U8" s="16" t="s">
        <v>12</v>
      </c>
      <c r="V8" s="11"/>
      <c r="X8" s="16" t="s">
        <v>13</v>
      </c>
      <c r="Y8" s="11"/>
      <c r="AA8" s="16" t="s">
        <v>9</v>
      </c>
      <c r="AC8" s="17" t="s">
        <v>230</v>
      </c>
      <c r="AE8" s="16" t="s">
        <v>10</v>
      </c>
      <c r="AG8" s="16" t="s">
        <v>11</v>
      </c>
      <c r="AI8" s="17" t="s">
        <v>15</v>
      </c>
    </row>
    <row r="9" spans="1:35" ht="18.75" x14ac:dyDescent="0.45">
      <c r="A9" s="18"/>
      <c r="C9" s="18"/>
      <c r="E9" s="18"/>
      <c r="G9" s="18"/>
      <c r="I9" s="18"/>
      <c r="K9" s="18"/>
      <c r="M9" s="18"/>
      <c r="O9" s="18"/>
      <c r="Q9" s="18"/>
      <c r="S9" s="18"/>
      <c r="U9" s="19" t="s">
        <v>9</v>
      </c>
      <c r="V9" s="19" t="s">
        <v>10</v>
      </c>
      <c r="X9" s="19" t="s">
        <v>9</v>
      </c>
      <c r="Y9" s="19" t="s">
        <v>16</v>
      </c>
      <c r="AA9" s="18"/>
      <c r="AC9" s="18"/>
      <c r="AE9" s="18"/>
      <c r="AG9" s="18"/>
      <c r="AI9" s="18"/>
    </row>
    <row r="10" spans="1:35" ht="18.75" x14ac:dyDescent="0.45">
      <c r="A10" s="24" t="s">
        <v>207</v>
      </c>
      <c r="O10" s="24">
        <f>SUM($O$9)</f>
        <v>0</v>
      </c>
      <c r="Q10" s="24">
        <f>SUM($Q$9)</f>
        <v>0</v>
      </c>
      <c r="S10" s="24">
        <f>SUM($S$9)</f>
        <v>0</v>
      </c>
      <c r="U10" s="24">
        <f>SUM($U$9)</f>
        <v>0</v>
      </c>
      <c r="V10" s="24">
        <f>SUM($V$9)</f>
        <v>0</v>
      </c>
      <c r="X10" s="24">
        <f>SUM($X$9)</f>
        <v>0</v>
      </c>
      <c r="Y10" s="24">
        <f>SUM($Y$9)</f>
        <v>0</v>
      </c>
      <c r="AA10" s="24">
        <f>SUM($AA$9)</f>
        <v>0</v>
      </c>
      <c r="AC10" s="24">
        <f>SUM($AC$9)</f>
        <v>0</v>
      </c>
      <c r="AE10" s="24">
        <f>SUM($AE$9)</f>
        <v>0</v>
      </c>
      <c r="AG10" s="24">
        <f>SUM($AG$9)</f>
        <v>0</v>
      </c>
      <c r="AI10" s="25">
        <f>SUM($AI$9)</f>
        <v>0</v>
      </c>
    </row>
    <row r="11" spans="1:35" ht="18.75" x14ac:dyDescent="0.45">
      <c r="O11" s="26"/>
      <c r="Q11" s="26"/>
      <c r="S11" s="26"/>
      <c r="U11" s="26"/>
      <c r="V11" s="26"/>
      <c r="X11" s="26"/>
      <c r="Y11" s="26"/>
      <c r="AA11" s="26"/>
      <c r="AC11" s="26"/>
      <c r="AE11" s="26"/>
      <c r="AG11" s="26"/>
      <c r="AI11" s="26"/>
    </row>
  </sheetData>
  <mergeCells count="25">
    <mergeCell ref="AG8:AG9"/>
    <mergeCell ref="AI8:AI9"/>
    <mergeCell ref="U8:V8"/>
    <mergeCell ref="X8:Y8"/>
    <mergeCell ref="AA8:AA9"/>
    <mergeCell ref="AC8:AC9"/>
    <mergeCell ref="AE8:AE9"/>
    <mergeCell ref="K8:K9"/>
    <mergeCell ref="M8:M9"/>
    <mergeCell ref="O8:O9"/>
    <mergeCell ref="Q8:Q9"/>
    <mergeCell ref="S8:S9"/>
    <mergeCell ref="A8:A9"/>
    <mergeCell ref="C8:C9"/>
    <mergeCell ref="E8:E9"/>
    <mergeCell ref="G8:G9"/>
    <mergeCell ref="I8:I9"/>
    <mergeCell ref="A1:AI1"/>
    <mergeCell ref="A2:AI2"/>
    <mergeCell ref="A3:AI3"/>
    <mergeCell ref="A5:AI5"/>
    <mergeCell ref="C7:M7"/>
    <mergeCell ref="O7:S7"/>
    <mergeCell ref="U7:Y7"/>
    <mergeCell ref="AA7:AI7"/>
  </mergeCells>
  <pageMargins left="0.7" right="0.7" top="0.75" bottom="0.75" header="0.3" footer="0.3"/>
  <pageSetup paperSize="9" scale="4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1"/>
  <sheetViews>
    <sheetView rightToLeft="1" view="pageBreakPreview" zoomScale="60" zoomScaleNormal="100" workbookViewId="0">
      <selection activeCellId="1" sqref="A1:W1 A1:XFD1048576"/>
    </sheetView>
  </sheetViews>
  <sheetFormatPr defaultRowHeight="18" x14ac:dyDescent="0.45"/>
  <cols>
    <col min="1" max="1" width="28.42578125" style="12" customWidth="1"/>
    <col min="2" max="2" width="1.42578125" style="12" customWidth="1"/>
    <col min="3" max="3" width="11.42578125" style="12" customWidth="1"/>
    <col min="4" max="4" width="1.42578125" style="12" customWidth="1"/>
    <col min="5" max="5" width="11.42578125" style="12" customWidth="1"/>
    <col min="6" max="6" width="1.42578125" style="12" customWidth="1"/>
    <col min="7" max="7" width="14.140625" style="12" customWidth="1"/>
    <col min="8" max="8" width="1.42578125" style="12" customWidth="1"/>
    <col min="9" max="9" width="8.5703125" style="12" customWidth="1"/>
    <col min="10" max="10" width="1.42578125" style="12" customWidth="1"/>
    <col min="11" max="11" width="21.28515625" style="12" customWidth="1"/>
    <col min="12" max="12" width="1.42578125" style="12" customWidth="1"/>
    <col min="13" max="13" width="28.42578125" style="12" customWidth="1"/>
    <col min="14" max="16384" width="9.140625" style="12"/>
  </cols>
  <sheetData>
    <row r="1" spans="1:13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0.100000000000001" customHeight="1" x14ac:dyDescent="0.4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spans="1:13" ht="21" x14ac:dyDescent="0.45">
      <c r="A5" s="13" t="s">
        <v>231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21" x14ac:dyDescent="0.45">
      <c r="A6" s="13" t="s">
        <v>232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8" spans="1:13" ht="21" x14ac:dyDescent="0.45">
      <c r="C8" s="14" t="s">
        <v>7</v>
      </c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1:13" ht="42" x14ac:dyDescent="0.45">
      <c r="A9" s="27" t="s">
        <v>233</v>
      </c>
      <c r="C9" s="27" t="s">
        <v>9</v>
      </c>
      <c r="E9" s="27" t="s">
        <v>234</v>
      </c>
      <c r="G9" s="27" t="s">
        <v>235</v>
      </c>
      <c r="I9" s="27" t="s">
        <v>236</v>
      </c>
      <c r="K9" s="28" t="s">
        <v>237</v>
      </c>
      <c r="M9" s="27" t="s">
        <v>238</v>
      </c>
    </row>
    <row r="10" spans="1:13" ht="18.75" x14ac:dyDescent="0.45">
      <c r="A10" s="24" t="s">
        <v>207</v>
      </c>
      <c r="K10" s="24">
        <f>SUM($K$9)</f>
        <v>0</v>
      </c>
    </row>
    <row r="11" spans="1:13" ht="18.75" x14ac:dyDescent="0.45">
      <c r="K11" s="26"/>
    </row>
  </sheetData>
  <mergeCells count="6">
    <mergeCell ref="C8:M8"/>
    <mergeCell ref="A1:M1"/>
    <mergeCell ref="A2:M2"/>
    <mergeCell ref="A3:M3"/>
    <mergeCell ref="A5:M5"/>
    <mergeCell ref="A6:M6"/>
  </mergeCells>
  <pageMargins left="0.7" right="0.7" top="0.75" bottom="0.75" header="0.3" footer="0.3"/>
  <pageSetup paperSize="9" scale="9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19"/>
  <sheetViews>
    <sheetView rightToLeft="1" view="pageBreakPreview" zoomScale="89" zoomScaleNormal="100" zoomScaleSheetLayoutView="89" workbookViewId="0">
      <selection activeCellId="1" sqref="A1:W1 A1:XFD1048576"/>
    </sheetView>
  </sheetViews>
  <sheetFormatPr defaultRowHeight="18" x14ac:dyDescent="0.45"/>
  <cols>
    <col min="1" max="1" width="21.28515625" style="12" customWidth="1"/>
    <col min="2" max="2" width="1.42578125" style="12" customWidth="1"/>
    <col min="3" max="3" width="18.42578125" style="12" customWidth="1"/>
    <col min="4" max="4" width="1.42578125" style="12" customWidth="1"/>
    <col min="5" max="5" width="18.42578125" style="12" customWidth="1"/>
    <col min="6" max="6" width="1.42578125" style="12" customWidth="1"/>
    <col min="7" max="7" width="18.42578125" style="12" customWidth="1"/>
    <col min="8" max="8" width="1.42578125" style="12" customWidth="1"/>
    <col min="9" max="9" width="18.42578125" style="12" customWidth="1"/>
    <col min="10" max="10" width="1.42578125" style="12" customWidth="1"/>
    <col min="11" max="11" width="10.7109375" style="12" customWidth="1"/>
    <col min="12" max="16384" width="9.140625" style="12"/>
  </cols>
  <sheetData>
    <row r="1" spans="1:14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4" ht="20.100000000000001" customHeight="1" x14ac:dyDescent="0.4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4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5" spans="1:14" x14ac:dyDescent="0.45">
      <c r="A5" s="39" t="s">
        <v>374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7" spans="1:14" ht="21" x14ac:dyDescent="0.45">
      <c r="C7" s="27" t="s">
        <v>5</v>
      </c>
      <c r="E7" s="14" t="s">
        <v>6</v>
      </c>
      <c r="F7" s="15"/>
      <c r="G7" s="15"/>
      <c r="I7" s="14" t="s">
        <v>7</v>
      </c>
      <c r="J7" s="15"/>
      <c r="K7" s="15"/>
    </row>
    <row r="8" spans="1:14" ht="63" x14ac:dyDescent="0.45">
      <c r="A8" s="27" t="s">
        <v>239</v>
      </c>
      <c r="C8" s="27" t="s">
        <v>240</v>
      </c>
      <c r="E8" s="27" t="s">
        <v>241</v>
      </c>
      <c r="G8" s="27" t="s">
        <v>242</v>
      </c>
      <c r="I8" s="27" t="s">
        <v>240</v>
      </c>
      <c r="K8" s="28" t="s">
        <v>15</v>
      </c>
      <c r="N8" s="37"/>
    </row>
    <row r="9" spans="1:14" ht="18.75" x14ac:dyDescent="0.45">
      <c r="A9" s="38" t="s">
        <v>373</v>
      </c>
      <c r="C9" s="22">
        <v>8154729</v>
      </c>
      <c r="E9" s="22">
        <v>31954</v>
      </c>
      <c r="G9" s="22">
        <v>630000</v>
      </c>
      <c r="I9" s="22">
        <v>7556683</v>
      </c>
      <c r="K9" s="23">
        <v>1.8955360821073438E-6</v>
      </c>
    </row>
    <row r="10" spans="1:14" ht="18.75" x14ac:dyDescent="0.45">
      <c r="A10" s="38" t="s">
        <v>372</v>
      </c>
      <c r="C10" s="22">
        <v>2117926</v>
      </c>
      <c r="E10" s="22">
        <v>1098223110065</v>
      </c>
      <c r="G10" s="22">
        <v>1097065065576</v>
      </c>
      <c r="I10" s="22">
        <v>1160162415</v>
      </c>
      <c r="K10" s="23">
        <v>2.9101786044714249E-4</v>
      </c>
    </row>
    <row r="11" spans="1:14" ht="18.75" x14ac:dyDescent="0.45">
      <c r="A11" s="38" t="s">
        <v>371</v>
      </c>
      <c r="C11" s="22">
        <v>48217141099</v>
      </c>
      <c r="E11" s="22">
        <v>634432811806</v>
      </c>
      <c r="G11" s="22">
        <v>591654635000</v>
      </c>
      <c r="I11" s="22">
        <v>90995317905</v>
      </c>
      <c r="K11" s="23">
        <v>2.2825478902814358E-2</v>
      </c>
    </row>
    <row r="12" spans="1:14" ht="18.75" x14ac:dyDescent="0.45">
      <c r="A12" s="38" t="s">
        <v>370</v>
      </c>
      <c r="C12" s="22">
        <v>655520</v>
      </c>
      <c r="E12" s="22">
        <v>2002772</v>
      </c>
      <c r="G12" s="22">
        <v>1260000</v>
      </c>
      <c r="I12" s="22">
        <v>1398292</v>
      </c>
      <c r="K12" s="23">
        <v>3.5075084389831383E-7</v>
      </c>
    </row>
    <row r="13" spans="1:14" ht="18.75" x14ac:dyDescent="0.45">
      <c r="A13" s="38" t="s">
        <v>369</v>
      </c>
      <c r="C13" s="22">
        <v>16185501</v>
      </c>
      <c r="E13" s="22">
        <v>68444</v>
      </c>
      <c r="G13" s="22">
        <v>0</v>
      </c>
      <c r="I13" s="22">
        <v>16253945</v>
      </c>
      <c r="K13" s="23">
        <v>4.0771776749253935E-6</v>
      </c>
    </row>
    <row r="14" spans="1:14" ht="18.75" x14ac:dyDescent="0.45">
      <c r="A14" s="38" t="s">
        <v>368</v>
      </c>
      <c r="C14" s="22">
        <v>9696753</v>
      </c>
      <c r="E14" s="22">
        <v>41065</v>
      </c>
      <c r="G14" s="22">
        <v>630000</v>
      </c>
      <c r="I14" s="22">
        <v>9107818</v>
      </c>
      <c r="K14" s="23">
        <v>2.2846264225013466E-6</v>
      </c>
    </row>
    <row r="15" spans="1:14" ht="18.75" x14ac:dyDescent="0.45">
      <c r="A15" s="38" t="s">
        <v>367</v>
      </c>
      <c r="C15" s="22">
        <v>49181632</v>
      </c>
      <c r="E15" s="22">
        <v>1969681917452</v>
      </c>
      <c r="G15" s="22">
        <v>1969318049960</v>
      </c>
      <c r="I15" s="22">
        <v>413049124</v>
      </c>
      <c r="K15" s="23">
        <v>1.036102107531612E-4</v>
      </c>
    </row>
    <row r="16" spans="1:14" ht="19.5" thickBot="1" x14ac:dyDescent="0.5">
      <c r="A16" s="24" t="s">
        <v>207</v>
      </c>
      <c r="C16" s="24">
        <f>SUM(C9:$C$15)</f>
        <v>48303133160</v>
      </c>
      <c r="E16" s="24">
        <f>SUM(E9:$E$15)</f>
        <v>3702339983558</v>
      </c>
      <c r="G16" s="24">
        <f>SUM(G9:$G$15)</f>
        <v>3658040270536</v>
      </c>
      <c r="I16" s="24">
        <f>SUM(I9:$I$15)</f>
        <v>92602846182</v>
      </c>
      <c r="K16" s="25">
        <f>SUM(K9:$K$15)</f>
        <v>2.3228715065038093E-2</v>
      </c>
    </row>
    <row r="17" spans="3:11" ht="19.5" thickTop="1" x14ac:dyDescent="0.45">
      <c r="C17" s="26"/>
      <c r="E17" s="26"/>
      <c r="G17" s="26"/>
      <c r="I17" s="26"/>
      <c r="K17" s="26"/>
    </row>
    <row r="19" spans="3:11" ht="18.75" x14ac:dyDescent="0.45">
      <c r="C19" s="22"/>
      <c r="E19" s="22"/>
      <c r="G19" s="22"/>
      <c r="I19" s="22"/>
      <c r="K19" s="23"/>
    </row>
  </sheetData>
  <mergeCells count="6">
    <mergeCell ref="A1:K1"/>
    <mergeCell ref="A2:K2"/>
    <mergeCell ref="A3:K3"/>
    <mergeCell ref="A5:K5"/>
    <mergeCell ref="E7:G7"/>
    <mergeCell ref="I7:K7"/>
  </mergeCells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14"/>
  <sheetViews>
    <sheetView rightToLeft="1" view="pageBreakPreview" zoomScale="95" zoomScaleNormal="100" zoomScaleSheetLayoutView="95" workbookViewId="0">
      <selection activeCellId="1" sqref="A1:W1 A1:XFD1048576"/>
    </sheetView>
  </sheetViews>
  <sheetFormatPr defaultRowHeight="18" x14ac:dyDescent="0.45"/>
  <cols>
    <col min="1" max="1" width="57.5703125" style="12" bestFit="1" customWidth="1"/>
    <col min="2" max="2" width="1.42578125" style="12" customWidth="1"/>
    <col min="3" max="3" width="11.42578125" style="12" customWidth="1"/>
    <col min="4" max="4" width="1.42578125" style="12" customWidth="1"/>
    <col min="5" max="5" width="21.28515625" style="12" customWidth="1"/>
    <col min="6" max="6" width="1.42578125" style="12" customWidth="1"/>
    <col min="7" max="7" width="11.42578125" style="12" customWidth="1"/>
    <col min="8" max="8" width="1.42578125" style="12" customWidth="1"/>
    <col min="9" max="9" width="11.42578125" style="12" customWidth="1"/>
    <col min="10" max="16384" width="9.140625" style="12"/>
  </cols>
  <sheetData>
    <row r="1" spans="1:11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11" ht="20.100000000000001" customHeight="1" x14ac:dyDescent="0.45">
      <c r="A2" s="10" t="s">
        <v>243</v>
      </c>
      <c r="B2" s="11"/>
      <c r="C2" s="11"/>
      <c r="D2" s="11"/>
      <c r="E2" s="11"/>
      <c r="F2" s="11"/>
      <c r="G2" s="11"/>
      <c r="H2" s="11"/>
      <c r="I2" s="11"/>
    </row>
    <row r="3" spans="1:11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</row>
    <row r="5" spans="1:11" ht="21" x14ac:dyDescent="0.45">
      <c r="A5" s="13" t="s">
        <v>244</v>
      </c>
      <c r="B5" s="11"/>
      <c r="C5" s="11"/>
      <c r="D5" s="11"/>
      <c r="E5" s="11"/>
      <c r="F5" s="11"/>
      <c r="G5" s="11"/>
      <c r="H5" s="11"/>
      <c r="I5" s="11"/>
    </row>
    <row r="7" spans="1:11" ht="42" x14ac:dyDescent="0.45">
      <c r="A7" s="27" t="s">
        <v>245</v>
      </c>
      <c r="C7" s="27" t="s">
        <v>246</v>
      </c>
      <c r="E7" s="27" t="s">
        <v>240</v>
      </c>
      <c r="G7" s="28" t="s">
        <v>247</v>
      </c>
      <c r="I7" s="28" t="s">
        <v>248</v>
      </c>
      <c r="K7" s="37"/>
    </row>
    <row r="8" spans="1:11" ht="21" x14ac:dyDescent="0.45">
      <c r="A8" s="34" t="s">
        <v>249</v>
      </c>
      <c r="C8" s="21" t="s">
        <v>375</v>
      </c>
      <c r="E8" s="22">
        <v>516759845101</v>
      </c>
      <c r="G8" s="23">
        <v>0.98616476444348589</v>
      </c>
      <c r="I8" s="23">
        <v>0.12962525120785764</v>
      </c>
    </row>
    <row r="9" spans="1:11" ht="21" x14ac:dyDescent="0.45">
      <c r="A9" s="34" t="s">
        <v>376</v>
      </c>
      <c r="C9" s="21" t="s">
        <v>377</v>
      </c>
      <c r="E9" s="22">
        <v>0</v>
      </c>
      <c r="G9" s="23">
        <v>0</v>
      </c>
      <c r="I9" s="23">
        <v>0</v>
      </c>
    </row>
    <row r="10" spans="1:11" ht="21" x14ac:dyDescent="0.45">
      <c r="A10" s="34" t="s">
        <v>250</v>
      </c>
      <c r="C10" s="21" t="s">
        <v>378</v>
      </c>
      <c r="E10" s="22">
        <v>0</v>
      </c>
      <c r="G10" s="23">
        <v>0</v>
      </c>
      <c r="I10" s="23">
        <v>0</v>
      </c>
    </row>
    <row r="11" spans="1:11" ht="21" x14ac:dyDescent="0.45">
      <c r="A11" s="34" t="s">
        <v>251</v>
      </c>
      <c r="C11" s="21" t="s">
        <v>379</v>
      </c>
      <c r="E11" s="22">
        <v>7249796830</v>
      </c>
      <c r="G11" s="23">
        <v>1.3835235556514114E-2</v>
      </c>
      <c r="I11" s="23">
        <v>1.8185560356590901E-3</v>
      </c>
    </row>
    <row r="12" spans="1:11" ht="21" x14ac:dyDescent="0.45">
      <c r="A12" s="34" t="s">
        <v>252</v>
      </c>
      <c r="C12" s="21" t="s">
        <v>380</v>
      </c>
      <c r="E12" s="22">
        <v>0</v>
      </c>
      <c r="G12" s="23">
        <v>0</v>
      </c>
      <c r="I12" s="23">
        <v>0</v>
      </c>
    </row>
    <row r="13" spans="1:11" ht="21" x14ac:dyDescent="0.45">
      <c r="A13" s="27" t="s">
        <v>207</v>
      </c>
      <c r="E13" s="24">
        <f>SUM(E8:$E$12)</f>
        <v>524009641931</v>
      </c>
      <c r="G13" s="25">
        <f>SUM(G8:$G$12)</f>
        <v>1</v>
      </c>
      <c r="I13" s="25">
        <f>SUM(I8:$I$12)</f>
        <v>0.13144380724351673</v>
      </c>
    </row>
    <row r="14" spans="1:11" ht="18.75" x14ac:dyDescent="0.45">
      <c r="E14" s="26"/>
      <c r="G14" s="26"/>
      <c r="I14" s="26"/>
    </row>
  </sheetData>
  <mergeCells count="4">
    <mergeCell ref="A1:I1"/>
    <mergeCell ref="A2:I2"/>
    <mergeCell ref="A3:I3"/>
    <mergeCell ref="A5:I5"/>
  </mergeCells>
  <pageMargins left="0.7" right="0.7" top="0.75" bottom="0.75" header="0.3" footer="0.3"/>
  <pageSetup paperSize="9" scale="7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79"/>
  <sheetViews>
    <sheetView rightToLeft="1" view="pageBreakPreview" topLeftCell="A37" zoomScale="62" zoomScaleNormal="100" zoomScaleSheetLayoutView="62" workbookViewId="0">
      <selection activeCellId="1" sqref="A1:W1 A1:XFD1048576"/>
    </sheetView>
  </sheetViews>
  <sheetFormatPr defaultRowHeight="18" x14ac:dyDescent="0.45"/>
  <cols>
    <col min="1" max="1" width="17.5703125" style="12" bestFit="1" customWidth="1"/>
    <col min="2" max="2" width="1.42578125" style="12" customWidth="1"/>
    <col min="3" max="3" width="12.5703125" style="12" bestFit="1" customWidth="1"/>
    <col min="4" max="4" width="1.42578125" style="12" customWidth="1"/>
    <col min="5" max="5" width="17.5703125" style="12" bestFit="1" customWidth="1"/>
    <col min="6" max="6" width="1.42578125" style="12" customWidth="1"/>
    <col min="7" max="7" width="10.5703125" style="12" bestFit="1" customWidth="1"/>
    <col min="8" max="8" width="1.42578125" style="12" customWidth="1"/>
    <col min="9" max="9" width="15.42578125" style="12" bestFit="1" customWidth="1"/>
    <col min="10" max="10" width="1.42578125" style="12" customWidth="1"/>
    <col min="11" max="11" width="14.7109375" style="12" bestFit="1" customWidth="1"/>
    <col min="12" max="12" width="1.42578125" style="12" customWidth="1"/>
    <col min="13" max="13" width="16.140625" style="12" bestFit="1" customWidth="1"/>
    <col min="14" max="14" width="1.42578125" style="12" customWidth="1"/>
    <col min="15" max="15" width="17.7109375" style="12" bestFit="1" customWidth="1"/>
    <col min="16" max="16" width="1.42578125" style="12" customWidth="1"/>
    <col min="17" max="17" width="16.28515625" style="12" bestFit="1" customWidth="1"/>
    <col min="18" max="18" width="1.42578125" style="12" customWidth="1"/>
    <col min="19" max="19" width="18" style="12" bestFit="1" customWidth="1"/>
    <col min="20" max="16384" width="9.140625" style="12"/>
  </cols>
  <sheetData>
    <row r="1" spans="1:19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ht="20.100000000000001" customHeight="1" x14ac:dyDescent="0.45">
      <c r="A2" s="10" t="s">
        <v>243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5" spans="1:19" ht="21" x14ac:dyDescent="0.45">
      <c r="A5" s="13" t="s">
        <v>253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7" spans="1:19" ht="21" x14ac:dyDescent="0.45">
      <c r="C7" s="14" t="s">
        <v>254</v>
      </c>
      <c r="D7" s="15"/>
      <c r="E7" s="15"/>
      <c r="F7" s="15"/>
      <c r="G7" s="15"/>
      <c r="I7" s="14" t="s">
        <v>255</v>
      </c>
      <c r="J7" s="15"/>
      <c r="K7" s="15"/>
      <c r="L7" s="15"/>
      <c r="M7" s="15"/>
      <c r="O7" s="14" t="s">
        <v>7</v>
      </c>
      <c r="P7" s="15"/>
      <c r="Q7" s="15"/>
      <c r="R7" s="15"/>
      <c r="S7" s="15"/>
    </row>
    <row r="8" spans="1:19" ht="63" x14ac:dyDescent="0.45">
      <c r="A8" s="27" t="s">
        <v>209</v>
      </c>
      <c r="C8" s="28" t="s">
        <v>256</v>
      </c>
      <c r="E8" s="28" t="s">
        <v>257</v>
      </c>
      <c r="G8" s="28" t="s">
        <v>258</v>
      </c>
      <c r="I8" s="28" t="s">
        <v>259</v>
      </c>
      <c r="K8" s="28" t="s">
        <v>260</v>
      </c>
      <c r="M8" s="28" t="s">
        <v>261</v>
      </c>
      <c r="O8" s="28" t="s">
        <v>259</v>
      </c>
      <c r="Q8" s="28" t="s">
        <v>260</v>
      </c>
      <c r="S8" s="28" t="s">
        <v>261</v>
      </c>
    </row>
    <row r="9" spans="1:19" ht="37.5" x14ac:dyDescent="0.45">
      <c r="A9" s="29" t="s">
        <v>19</v>
      </c>
      <c r="C9" s="21" t="s">
        <v>262</v>
      </c>
      <c r="E9" s="22">
        <v>50000</v>
      </c>
      <c r="G9" s="22">
        <v>3980</v>
      </c>
      <c r="N9" s="21"/>
      <c r="O9" s="22">
        <v>199000000</v>
      </c>
      <c r="Q9" s="22">
        <v>0</v>
      </c>
      <c r="S9" s="22">
        <v>199000000</v>
      </c>
    </row>
    <row r="10" spans="1:19" ht="18.75" x14ac:dyDescent="0.45">
      <c r="A10" s="29" t="s">
        <v>21</v>
      </c>
      <c r="C10" s="21" t="s">
        <v>263</v>
      </c>
      <c r="E10" s="22">
        <v>245000</v>
      </c>
      <c r="G10" s="22">
        <v>100</v>
      </c>
      <c r="N10" s="21"/>
      <c r="O10" s="22">
        <v>24500000</v>
      </c>
      <c r="Q10" s="22">
        <v>-331081</v>
      </c>
      <c r="S10" s="22">
        <v>24168919</v>
      </c>
    </row>
    <row r="11" spans="1:19" ht="18.75" x14ac:dyDescent="0.45">
      <c r="A11" s="29" t="s">
        <v>22</v>
      </c>
      <c r="C11" s="21" t="s">
        <v>264</v>
      </c>
      <c r="E11" s="22">
        <v>6813853</v>
      </c>
      <c r="G11" s="22">
        <v>637</v>
      </c>
      <c r="N11" s="21"/>
      <c r="O11" s="22">
        <v>4340424361</v>
      </c>
      <c r="Q11" s="22">
        <v>0</v>
      </c>
      <c r="S11" s="22">
        <v>4340424361</v>
      </c>
    </row>
    <row r="12" spans="1:19" ht="18.75" x14ac:dyDescent="0.45">
      <c r="A12" s="29" t="s">
        <v>26</v>
      </c>
      <c r="C12" s="21" t="s">
        <v>265</v>
      </c>
      <c r="E12" s="22">
        <v>19134677</v>
      </c>
      <c r="G12" s="22">
        <v>35</v>
      </c>
      <c r="N12" s="21"/>
      <c r="O12" s="22">
        <v>669713695</v>
      </c>
      <c r="Q12" s="22">
        <v>0</v>
      </c>
      <c r="S12" s="22">
        <v>669713695</v>
      </c>
    </row>
    <row r="13" spans="1:19" ht="18.75" x14ac:dyDescent="0.45">
      <c r="A13" s="29" t="s">
        <v>27</v>
      </c>
      <c r="C13" s="21" t="s">
        <v>266</v>
      </c>
      <c r="E13" s="22">
        <v>2291471</v>
      </c>
      <c r="G13" s="22">
        <v>1940</v>
      </c>
      <c r="N13" s="21"/>
      <c r="O13" s="22">
        <v>4445453740</v>
      </c>
      <c r="Q13" s="22">
        <v>0</v>
      </c>
      <c r="S13" s="22">
        <v>4445453740</v>
      </c>
    </row>
    <row r="14" spans="1:19" ht="18.75" x14ac:dyDescent="0.45">
      <c r="A14" s="29" t="s">
        <v>28</v>
      </c>
      <c r="C14" s="21" t="s">
        <v>267</v>
      </c>
      <c r="E14" s="22">
        <v>14265950</v>
      </c>
      <c r="G14" s="22">
        <v>135</v>
      </c>
      <c r="N14" s="21"/>
      <c r="O14" s="22">
        <v>1925903250</v>
      </c>
      <c r="Q14" s="22">
        <v>-5262031</v>
      </c>
      <c r="S14" s="22">
        <v>1920641219</v>
      </c>
    </row>
    <row r="15" spans="1:19" ht="18.75" x14ac:dyDescent="0.45">
      <c r="A15" s="29" t="s">
        <v>268</v>
      </c>
      <c r="C15" s="21" t="s">
        <v>269</v>
      </c>
      <c r="E15" s="22">
        <v>500000</v>
      </c>
      <c r="G15" s="22">
        <v>1425</v>
      </c>
      <c r="N15" s="21"/>
      <c r="O15" s="22">
        <v>712500000</v>
      </c>
      <c r="Q15" s="22">
        <v>0</v>
      </c>
      <c r="S15" s="22">
        <v>712500000</v>
      </c>
    </row>
    <row r="16" spans="1:19" ht="18.75" x14ac:dyDescent="0.45">
      <c r="A16" s="29" t="s">
        <v>30</v>
      </c>
      <c r="C16" s="21" t="s">
        <v>270</v>
      </c>
      <c r="E16" s="22">
        <v>1750000</v>
      </c>
      <c r="G16" s="22">
        <v>400</v>
      </c>
      <c r="N16" s="21"/>
      <c r="O16" s="22">
        <v>700000000</v>
      </c>
      <c r="Q16" s="22">
        <v>0</v>
      </c>
      <c r="S16" s="22">
        <v>700000000</v>
      </c>
    </row>
    <row r="17" spans="1:19" ht="18.75" x14ac:dyDescent="0.45">
      <c r="A17" s="29" t="s">
        <v>31</v>
      </c>
      <c r="C17" s="21" t="s">
        <v>271</v>
      </c>
      <c r="E17" s="22">
        <v>13509504</v>
      </c>
      <c r="G17" s="22">
        <v>50</v>
      </c>
      <c r="N17" s="21"/>
      <c r="O17" s="22">
        <v>675475200</v>
      </c>
      <c r="Q17" s="22">
        <v>-11818543</v>
      </c>
      <c r="S17" s="22">
        <v>663656657</v>
      </c>
    </row>
    <row r="18" spans="1:19" ht="18.75" x14ac:dyDescent="0.45">
      <c r="A18" s="29" t="s">
        <v>40</v>
      </c>
      <c r="C18" s="21" t="s">
        <v>272</v>
      </c>
      <c r="E18" s="22">
        <v>1562500</v>
      </c>
      <c r="G18" s="22">
        <v>440</v>
      </c>
      <c r="N18" s="21"/>
      <c r="O18" s="22">
        <v>687500000</v>
      </c>
      <c r="Q18" s="22">
        <v>0</v>
      </c>
      <c r="S18" s="22">
        <v>687500000</v>
      </c>
    </row>
    <row r="19" spans="1:19" ht="18.75" x14ac:dyDescent="0.45">
      <c r="A19" s="29" t="s">
        <v>44</v>
      </c>
      <c r="C19" s="21" t="s">
        <v>273</v>
      </c>
      <c r="E19" s="22">
        <v>8400000</v>
      </c>
      <c r="G19" s="22">
        <v>50</v>
      </c>
      <c r="I19" s="22">
        <v>420000000</v>
      </c>
      <c r="K19" s="22">
        <v>-25659164</v>
      </c>
      <c r="M19" s="22">
        <v>394340836</v>
      </c>
      <c r="O19" s="22">
        <v>420000000</v>
      </c>
      <c r="Q19" s="22">
        <v>-25659164</v>
      </c>
      <c r="S19" s="22">
        <v>394340836</v>
      </c>
    </row>
    <row r="20" spans="1:19" ht="18.75" x14ac:dyDescent="0.45">
      <c r="A20" s="29" t="s">
        <v>45</v>
      </c>
      <c r="C20" s="21" t="s">
        <v>274</v>
      </c>
      <c r="E20" s="22">
        <v>18000000</v>
      </c>
      <c r="G20" s="22">
        <v>1000</v>
      </c>
      <c r="N20" s="21"/>
      <c r="O20" s="22">
        <v>18000000000</v>
      </c>
      <c r="Q20" s="22">
        <v>0</v>
      </c>
      <c r="S20" s="22">
        <v>18000000000</v>
      </c>
    </row>
    <row r="21" spans="1:19" ht="18.75" x14ac:dyDescent="0.45">
      <c r="A21" s="29" t="s">
        <v>275</v>
      </c>
      <c r="C21" s="21" t="s">
        <v>276</v>
      </c>
      <c r="E21" s="22">
        <v>4739606</v>
      </c>
      <c r="G21" s="22">
        <v>460</v>
      </c>
      <c r="N21" s="21"/>
      <c r="O21" s="22">
        <v>2180218760</v>
      </c>
      <c r="Q21" s="22">
        <v>0</v>
      </c>
      <c r="S21" s="22">
        <v>2180218760</v>
      </c>
    </row>
    <row r="22" spans="1:19" ht="18.75" x14ac:dyDescent="0.45">
      <c r="A22" s="29" t="s">
        <v>48</v>
      </c>
      <c r="C22" s="21" t="s">
        <v>269</v>
      </c>
      <c r="E22" s="22">
        <v>9127149</v>
      </c>
      <c r="G22" s="22">
        <v>167</v>
      </c>
      <c r="N22" s="21"/>
      <c r="O22" s="22">
        <v>1524233883</v>
      </c>
      <c r="Q22" s="22">
        <v>0</v>
      </c>
      <c r="S22" s="22">
        <v>1524233883</v>
      </c>
    </row>
    <row r="23" spans="1:19" ht="37.5" x14ac:dyDescent="0.45">
      <c r="A23" s="29" t="s">
        <v>49</v>
      </c>
      <c r="C23" s="21" t="s">
        <v>277</v>
      </c>
      <c r="E23" s="22">
        <v>842177</v>
      </c>
      <c r="G23" s="22">
        <v>35</v>
      </c>
      <c r="N23" s="21"/>
      <c r="O23" s="22">
        <v>29476195</v>
      </c>
      <c r="Q23" s="22">
        <v>-496232</v>
      </c>
      <c r="S23" s="22">
        <v>28979963</v>
      </c>
    </row>
    <row r="24" spans="1:19" ht="37.5" x14ac:dyDescent="0.45">
      <c r="A24" s="29" t="s">
        <v>55</v>
      </c>
      <c r="C24" s="21" t="s">
        <v>278</v>
      </c>
      <c r="E24" s="22">
        <v>6645110</v>
      </c>
      <c r="G24" s="22">
        <v>1600</v>
      </c>
      <c r="N24" s="21"/>
      <c r="O24" s="22">
        <v>10632176000</v>
      </c>
      <c r="Q24" s="22">
        <v>0</v>
      </c>
      <c r="S24" s="22">
        <v>10632176000</v>
      </c>
    </row>
    <row r="25" spans="1:19" ht="18.75" x14ac:dyDescent="0.45">
      <c r="A25" s="29" t="s">
        <v>56</v>
      </c>
      <c r="C25" s="21" t="s">
        <v>279</v>
      </c>
      <c r="E25" s="22">
        <v>1000000</v>
      </c>
      <c r="G25" s="22">
        <v>600</v>
      </c>
      <c r="N25" s="21"/>
      <c r="O25" s="22">
        <v>600000000</v>
      </c>
      <c r="Q25" s="22">
        <v>0</v>
      </c>
      <c r="S25" s="22">
        <v>600000000</v>
      </c>
    </row>
    <row r="26" spans="1:19" ht="18.75" x14ac:dyDescent="0.45">
      <c r="A26" s="29" t="s">
        <v>58</v>
      </c>
      <c r="C26" s="21" t="s">
        <v>280</v>
      </c>
      <c r="E26" s="22">
        <v>31806527</v>
      </c>
      <c r="G26" s="22">
        <v>120</v>
      </c>
      <c r="N26" s="21"/>
      <c r="O26" s="22">
        <v>3816783240</v>
      </c>
      <c r="Q26" s="22">
        <v>-64255610</v>
      </c>
      <c r="S26" s="22">
        <v>3752527630</v>
      </c>
    </row>
    <row r="27" spans="1:19" ht="18.75" x14ac:dyDescent="0.45">
      <c r="A27" s="29" t="s">
        <v>61</v>
      </c>
      <c r="C27" s="21" t="s">
        <v>281</v>
      </c>
      <c r="E27" s="22">
        <v>236747</v>
      </c>
      <c r="G27" s="22">
        <v>2300</v>
      </c>
      <c r="N27" s="21"/>
      <c r="O27" s="22">
        <v>544518100</v>
      </c>
      <c r="Q27" s="22">
        <v>0</v>
      </c>
      <c r="S27" s="22">
        <v>544518100</v>
      </c>
    </row>
    <row r="28" spans="1:19" ht="18.75" x14ac:dyDescent="0.45">
      <c r="A28" s="29" t="s">
        <v>65</v>
      </c>
      <c r="C28" s="21" t="s">
        <v>272</v>
      </c>
      <c r="E28" s="22">
        <v>2773715</v>
      </c>
      <c r="G28" s="22">
        <v>5375</v>
      </c>
      <c r="N28" s="21"/>
      <c r="O28" s="22">
        <v>14908718125</v>
      </c>
      <c r="Q28" s="22">
        <v>0</v>
      </c>
      <c r="S28" s="22">
        <v>14908718125</v>
      </c>
    </row>
    <row r="29" spans="1:19" ht="37.5" x14ac:dyDescent="0.45">
      <c r="A29" s="29" t="s">
        <v>68</v>
      </c>
      <c r="C29" s="21" t="s">
        <v>282</v>
      </c>
      <c r="E29" s="22">
        <v>122374</v>
      </c>
      <c r="G29" s="22">
        <v>2400</v>
      </c>
      <c r="N29" s="21"/>
      <c r="O29" s="22">
        <v>293697600</v>
      </c>
      <c r="Q29" s="22">
        <v>-5913374</v>
      </c>
      <c r="S29" s="22">
        <v>287784226</v>
      </c>
    </row>
    <row r="30" spans="1:19" ht="18.75" x14ac:dyDescent="0.45">
      <c r="A30" s="29" t="s">
        <v>69</v>
      </c>
      <c r="C30" s="21" t="s">
        <v>283</v>
      </c>
      <c r="E30" s="22">
        <v>2672602</v>
      </c>
      <c r="G30" s="22">
        <v>1150</v>
      </c>
      <c r="N30" s="21"/>
      <c r="O30" s="22">
        <v>3073492300</v>
      </c>
      <c r="Q30" s="22">
        <v>0</v>
      </c>
      <c r="S30" s="22">
        <v>3073492300</v>
      </c>
    </row>
    <row r="31" spans="1:19" ht="18.75" x14ac:dyDescent="0.45">
      <c r="A31" s="29" t="s">
        <v>70</v>
      </c>
      <c r="C31" s="21" t="s">
        <v>284</v>
      </c>
      <c r="E31" s="22">
        <v>27844387</v>
      </c>
      <c r="G31" s="22">
        <v>40</v>
      </c>
      <c r="N31" s="21"/>
      <c r="O31" s="22">
        <v>1113775480</v>
      </c>
      <c r="Q31" s="22">
        <v>-16533779</v>
      </c>
      <c r="S31" s="22">
        <v>1097241701</v>
      </c>
    </row>
    <row r="32" spans="1:19" ht="37.5" x14ac:dyDescent="0.45">
      <c r="A32" s="29" t="s">
        <v>71</v>
      </c>
      <c r="C32" s="21" t="s">
        <v>264</v>
      </c>
      <c r="E32" s="22">
        <v>15167887</v>
      </c>
      <c r="G32" s="22">
        <v>266</v>
      </c>
      <c r="N32" s="21"/>
      <c r="O32" s="22">
        <v>4034657942</v>
      </c>
      <c r="Q32" s="22">
        <v>0</v>
      </c>
      <c r="S32" s="22">
        <v>4034657942</v>
      </c>
    </row>
    <row r="33" spans="1:19" ht="18.75" x14ac:dyDescent="0.45">
      <c r="A33" s="29" t="s">
        <v>285</v>
      </c>
      <c r="C33" s="21" t="s">
        <v>277</v>
      </c>
      <c r="E33" s="22">
        <v>10258397</v>
      </c>
      <c r="G33" s="22">
        <v>114</v>
      </c>
      <c r="N33" s="21"/>
      <c r="O33" s="22">
        <v>1169457258</v>
      </c>
      <c r="Q33" s="22">
        <v>0</v>
      </c>
      <c r="S33" s="22">
        <v>1169457258</v>
      </c>
    </row>
    <row r="34" spans="1:19" ht="18.75" x14ac:dyDescent="0.45">
      <c r="A34" s="29" t="s">
        <v>286</v>
      </c>
      <c r="C34" s="21" t="s">
        <v>287</v>
      </c>
      <c r="E34" s="22">
        <v>1186353</v>
      </c>
      <c r="G34" s="22">
        <v>6810</v>
      </c>
      <c r="N34" s="21"/>
      <c r="O34" s="22">
        <v>8079063930</v>
      </c>
      <c r="Q34" s="22">
        <v>0</v>
      </c>
      <c r="S34" s="22">
        <v>8079063930</v>
      </c>
    </row>
    <row r="35" spans="1:19" ht="18.75" x14ac:dyDescent="0.45">
      <c r="A35" s="29" t="s">
        <v>86</v>
      </c>
      <c r="C35" s="21" t="s">
        <v>288</v>
      </c>
      <c r="E35" s="22">
        <v>100000</v>
      </c>
      <c r="G35" s="22">
        <v>14500</v>
      </c>
      <c r="N35" s="21"/>
      <c r="O35" s="22">
        <v>1450000000</v>
      </c>
      <c r="Q35" s="22">
        <v>0</v>
      </c>
      <c r="S35" s="22">
        <v>1450000000</v>
      </c>
    </row>
    <row r="36" spans="1:19" ht="18.75" x14ac:dyDescent="0.45">
      <c r="A36" s="29" t="s">
        <v>88</v>
      </c>
      <c r="C36" s="21" t="s">
        <v>274</v>
      </c>
      <c r="E36" s="22">
        <v>5530564</v>
      </c>
      <c r="G36" s="22">
        <v>1050</v>
      </c>
      <c r="N36" s="21"/>
      <c r="O36" s="22">
        <v>5807092200</v>
      </c>
      <c r="Q36" s="22">
        <v>-59055175</v>
      </c>
      <c r="S36" s="22">
        <v>5748037025</v>
      </c>
    </row>
    <row r="37" spans="1:19" ht="18.75" x14ac:dyDescent="0.45">
      <c r="A37" s="29" t="s">
        <v>91</v>
      </c>
      <c r="C37" s="21" t="s">
        <v>289</v>
      </c>
      <c r="E37" s="22">
        <v>5799792</v>
      </c>
      <c r="G37" s="22">
        <v>1076</v>
      </c>
      <c r="N37" s="21"/>
      <c r="O37" s="22">
        <v>6240576192</v>
      </c>
      <c r="Q37" s="22">
        <v>0</v>
      </c>
      <c r="S37" s="22">
        <v>6240576192</v>
      </c>
    </row>
    <row r="38" spans="1:19" ht="18.75" x14ac:dyDescent="0.45">
      <c r="A38" s="29" t="s">
        <v>108</v>
      </c>
      <c r="C38" s="21" t="s">
        <v>290</v>
      </c>
      <c r="E38" s="22">
        <v>11000000</v>
      </c>
      <c r="G38" s="22">
        <v>150</v>
      </c>
      <c r="I38" s="22">
        <v>1650000000</v>
      </c>
      <c r="K38" s="22">
        <v>-123384030</v>
      </c>
      <c r="M38" s="22">
        <v>1526615970</v>
      </c>
      <c r="O38" s="22">
        <v>1650000000</v>
      </c>
      <c r="Q38" s="22">
        <v>-123384030</v>
      </c>
      <c r="S38" s="22">
        <v>1526615970</v>
      </c>
    </row>
    <row r="39" spans="1:19" ht="18.75" x14ac:dyDescent="0.45">
      <c r="A39" s="29" t="s">
        <v>109</v>
      </c>
      <c r="C39" s="21" t="s">
        <v>291</v>
      </c>
      <c r="E39" s="22">
        <v>324775</v>
      </c>
      <c r="G39" s="22">
        <v>2720</v>
      </c>
      <c r="N39" s="21"/>
      <c r="O39" s="22">
        <v>883388000</v>
      </c>
      <c r="Q39" s="22">
        <v>-35428447</v>
      </c>
      <c r="S39" s="22">
        <v>847959553</v>
      </c>
    </row>
    <row r="40" spans="1:19" ht="18.75" x14ac:dyDescent="0.45">
      <c r="A40" s="29" t="s">
        <v>110</v>
      </c>
      <c r="C40" s="21" t="s">
        <v>283</v>
      </c>
      <c r="E40" s="22">
        <v>9448213</v>
      </c>
      <c r="G40" s="22">
        <v>10</v>
      </c>
      <c r="N40" s="21"/>
      <c r="O40" s="22">
        <v>94482130</v>
      </c>
      <c r="Q40" s="22">
        <v>-2580791</v>
      </c>
      <c r="S40" s="22">
        <v>91901339</v>
      </c>
    </row>
    <row r="41" spans="1:19" ht="18.75" x14ac:dyDescent="0.45">
      <c r="A41" s="29" t="s">
        <v>292</v>
      </c>
      <c r="C41" s="21" t="s">
        <v>293</v>
      </c>
      <c r="E41" s="22">
        <v>10148510</v>
      </c>
      <c r="G41" s="22">
        <v>560</v>
      </c>
      <c r="N41" s="21"/>
      <c r="O41" s="22">
        <v>5683165600</v>
      </c>
      <c r="Q41" s="22">
        <v>0</v>
      </c>
      <c r="S41" s="22">
        <v>5683165600</v>
      </c>
    </row>
    <row r="42" spans="1:19" ht="18.75" x14ac:dyDescent="0.45">
      <c r="A42" s="29" t="s">
        <v>111</v>
      </c>
      <c r="C42" s="21" t="s">
        <v>294</v>
      </c>
      <c r="E42" s="22">
        <v>249996</v>
      </c>
      <c r="G42" s="22">
        <v>118</v>
      </c>
      <c r="N42" s="21"/>
      <c r="O42" s="22">
        <v>29499528</v>
      </c>
      <c r="Q42" s="22">
        <v>0</v>
      </c>
      <c r="S42" s="22">
        <v>29499528</v>
      </c>
    </row>
    <row r="43" spans="1:19" ht="18.75" x14ac:dyDescent="0.45">
      <c r="A43" s="29" t="s">
        <v>112</v>
      </c>
      <c r="C43" s="21" t="s">
        <v>274</v>
      </c>
      <c r="E43" s="22">
        <v>3600000</v>
      </c>
      <c r="G43" s="22">
        <v>300</v>
      </c>
      <c r="N43" s="21"/>
      <c r="O43" s="22">
        <v>1080000000</v>
      </c>
      <c r="Q43" s="22">
        <v>0</v>
      </c>
      <c r="S43" s="22">
        <v>1080000000</v>
      </c>
    </row>
    <row r="44" spans="1:19" ht="18.75" x14ac:dyDescent="0.45">
      <c r="A44" s="29" t="s">
        <v>115</v>
      </c>
      <c r="C44" s="21" t="s">
        <v>294</v>
      </c>
      <c r="E44" s="22">
        <v>22264729</v>
      </c>
      <c r="G44" s="22">
        <v>310</v>
      </c>
      <c r="N44" s="21"/>
      <c r="O44" s="22">
        <v>6902065990</v>
      </c>
      <c r="Q44" s="22">
        <v>0</v>
      </c>
      <c r="S44" s="22">
        <v>6902065990</v>
      </c>
    </row>
    <row r="45" spans="1:19" ht="18.75" x14ac:dyDescent="0.45">
      <c r="A45" s="29" t="s">
        <v>116</v>
      </c>
      <c r="C45" s="21" t="s">
        <v>295</v>
      </c>
      <c r="E45" s="22">
        <v>9664654</v>
      </c>
      <c r="G45" s="22">
        <v>1430</v>
      </c>
      <c r="N45" s="21"/>
      <c r="O45" s="22">
        <v>13820455220</v>
      </c>
      <c r="Q45" s="22">
        <v>-278264199</v>
      </c>
      <c r="S45" s="22">
        <v>13542191021</v>
      </c>
    </row>
    <row r="46" spans="1:19" ht="18.75" x14ac:dyDescent="0.45">
      <c r="A46" s="29" t="s">
        <v>119</v>
      </c>
      <c r="C46" s="21" t="s">
        <v>277</v>
      </c>
      <c r="E46" s="22">
        <v>14021442</v>
      </c>
      <c r="G46" s="22">
        <v>500</v>
      </c>
      <c r="N46" s="21"/>
      <c r="O46" s="22">
        <v>7010721000</v>
      </c>
      <c r="Q46" s="22">
        <v>-122664028</v>
      </c>
      <c r="S46" s="22">
        <v>6888056972</v>
      </c>
    </row>
    <row r="47" spans="1:19" ht="18.75" x14ac:dyDescent="0.45">
      <c r="A47" s="29" t="s">
        <v>296</v>
      </c>
      <c r="C47" s="21" t="s">
        <v>297</v>
      </c>
      <c r="E47" s="22">
        <v>800000</v>
      </c>
      <c r="G47" s="22">
        <v>730</v>
      </c>
      <c r="N47" s="21"/>
      <c r="O47" s="22">
        <v>584000000</v>
      </c>
      <c r="Q47" s="22">
        <v>0</v>
      </c>
      <c r="S47" s="22">
        <v>584000000</v>
      </c>
    </row>
    <row r="48" spans="1:19" ht="18.75" x14ac:dyDescent="0.45">
      <c r="A48" s="29" t="s">
        <v>128</v>
      </c>
      <c r="C48" s="21" t="s">
        <v>298</v>
      </c>
      <c r="E48" s="22">
        <v>200000</v>
      </c>
      <c r="G48" s="22">
        <v>500</v>
      </c>
      <c r="N48" s="21"/>
      <c r="O48" s="22">
        <v>100000000</v>
      </c>
      <c r="Q48" s="22">
        <v>0</v>
      </c>
      <c r="S48" s="22">
        <v>100000000</v>
      </c>
    </row>
    <row r="49" spans="1:19" ht="18.75" x14ac:dyDescent="0.45">
      <c r="A49" s="29" t="s">
        <v>133</v>
      </c>
      <c r="C49" s="21" t="s">
        <v>299</v>
      </c>
      <c r="E49" s="22">
        <v>8231319</v>
      </c>
      <c r="G49" s="22">
        <v>400</v>
      </c>
      <c r="N49" s="21"/>
      <c r="O49" s="22">
        <v>3292527600</v>
      </c>
      <c r="Q49" s="22">
        <v>0</v>
      </c>
      <c r="S49" s="22">
        <v>3292527600</v>
      </c>
    </row>
    <row r="50" spans="1:19" ht="18.75" x14ac:dyDescent="0.45">
      <c r="A50" s="29" t="s">
        <v>137</v>
      </c>
      <c r="C50" s="21" t="s">
        <v>274</v>
      </c>
      <c r="E50" s="22">
        <v>6256631</v>
      </c>
      <c r="G50" s="22">
        <v>700</v>
      </c>
      <c r="N50" s="21"/>
      <c r="O50" s="22">
        <v>4379641700</v>
      </c>
      <c r="Q50" s="22">
        <v>0</v>
      </c>
      <c r="S50" s="22">
        <v>4379641700</v>
      </c>
    </row>
    <row r="51" spans="1:19" ht="18.75" x14ac:dyDescent="0.45">
      <c r="A51" s="29" t="s">
        <v>139</v>
      </c>
      <c r="C51" s="21" t="s">
        <v>271</v>
      </c>
      <c r="E51" s="22">
        <v>3129644</v>
      </c>
      <c r="G51" s="22">
        <v>73</v>
      </c>
      <c r="N51" s="21"/>
      <c r="O51" s="22">
        <v>228464012</v>
      </c>
      <c r="Q51" s="22">
        <v>-624219</v>
      </c>
      <c r="S51" s="22">
        <v>227839793</v>
      </c>
    </row>
    <row r="52" spans="1:19" ht="18.75" x14ac:dyDescent="0.45">
      <c r="A52" s="29" t="s">
        <v>141</v>
      </c>
      <c r="C52" s="21" t="s">
        <v>274</v>
      </c>
      <c r="E52" s="22">
        <v>16300000</v>
      </c>
      <c r="G52" s="22">
        <v>800</v>
      </c>
      <c r="N52" s="21"/>
      <c r="O52" s="22">
        <v>13040000000</v>
      </c>
      <c r="Q52" s="22">
        <v>-219528620</v>
      </c>
      <c r="S52" s="22">
        <v>12820471380</v>
      </c>
    </row>
    <row r="53" spans="1:19" ht="18.75" x14ac:dyDescent="0.45">
      <c r="A53" s="29" t="s">
        <v>144</v>
      </c>
      <c r="C53" s="21" t="s">
        <v>279</v>
      </c>
      <c r="E53" s="22">
        <v>44699</v>
      </c>
      <c r="G53" s="22">
        <v>1300</v>
      </c>
      <c r="N53" s="21"/>
      <c r="O53" s="22">
        <v>58108700</v>
      </c>
      <c r="Q53" s="22">
        <v>-978261</v>
      </c>
      <c r="S53" s="22">
        <v>57130439</v>
      </c>
    </row>
    <row r="54" spans="1:19" ht="18.75" x14ac:dyDescent="0.45">
      <c r="A54" s="29" t="s">
        <v>145</v>
      </c>
      <c r="C54" s="21" t="s">
        <v>270</v>
      </c>
      <c r="E54" s="22">
        <v>4274063</v>
      </c>
      <c r="G54" s="22">
        <v>670</v>
      </c>
      <c r="N54" s="21"/>
      <c r="O54" s="22">
        <v>2863622210</v>
      </c>
      <c r="Q54" s="22">
        <v>0</v>
      </c>
      <c r="S54" s="22">
        <v>2863622210</v>
      </c>
    </row>
    <row r="55" spans="1:19" ht="18.75" x14ac:dyDescent="0.45">
      <c r="A55" s="29" t="s">
        <v>146</v>
      </c>
      <c r="C55" s="21" t="s">
        <v>300</v>
      </c>
      <c r="E55" s="22">
        <v>250000</v>
      </c>
      <c r="G55" s="22">
        <v>1480</v>
      </c>
      <c r="N55" s="21"/>
      <c r="O55" s="22">
        <v>370000000</v>
      </c>
      <c r="Q55" s="22">
        <v>0</v>
      </c>
      <c r="S55" s="22">
        <v>370000000</v>
      </c>
    </row>
    <row r="56" spans="1:19" ht="18.75" x14ac:dyDescent="0.45">
      <c r="A56" s="29" t="s">
        <v>147</v>
      </c>
      <c r="C56" s="21" t="s">
        <v>276</v>
      </c>
      <c r="E56" s="22">
        <v>15800000</v>
      </c>
      <c r="G56" s="22">
        <v>1400</v>
      </c>
      <c r="N56" s="21"/>
      <c r="O56" s="22">
        <v>22120000000</v>
      </c>
      <c r="Q56" s="22">
        <v>-474423592</v>
      </c>
      <c r="S56" s="22">
        <v>21645576408</v>
      </c>
    </row>
    <row r="57" spans="1:19" ht="37.5" x14ac:dyDescent="0.45">
      <c r="A57" s="29" t="s">
        <v>150</v>
      </c>
      <c r="C57" s="21" t="s">
        <v>301</v>
      </c>
      <c r="E57" s="22">
        <v>6668802</v>
      </c>
      <c r="G57" s="22">
        <v>350</v>
      </c>
      <c r="N57" s="21"/>
      <c r="O57" s="22">
        <v>2334080700</v>
      </c>
      <c r="Q57" s="22">
        <v>-40838559</v>
      </c>
      <c r="S57" s="22">
        <v>2293242141</v>
      </c>
    </row>
    <row r="58" spans="1:19" ht="18.75" x14ac:dyDescent="0.45">
      <c r="A58" s="29" t="s">
        <v>151</v>
      </c>
      <c r="C58" s="21" t="s">
        <v>274</v>
      </c>
      <c r="E58" s="22">
        <v>5155597</v>
      </c>
      <c r="G58" s="22">
        <v>380</v>
      </c>
      <c r="N58" s="21"/>
      <c r="O58" s="22">
        <v>1959126860</v>
      </c>
      <c r="Q58" s="22">
        <v>-32981934</v>
      </c>
      <c r="S58" s="22">
        <v>1926144926</v>
      </c>
    </row>
    <row r="59" spans="1:19" ht="18.75" x14ac:dyDescent="0.45">
      <c r="A59" s="29" t="s">
        <v>153</v>
      </c>
      <c r="C59" s="21" t="s">
        <v>302</v>
      </c>
      <c r="E59" s="22">
        <v>2851893</v>
      </c>
      <c r="G59" s="22">
        <v>1050</v>
      </c>
      <c r="I59" s="22">
        <v>2994487650</v>
      </c>
      <c r="K59" s="22">
        <v>-68147644</v>
      </c>
      <c r="M59" s="22">
        <v>2926340006</v>
      </c>
      <c r="O59" s="22">
        <v>2994487650</v>
      </c>
      <c r="Q59" s="22">
        <v>-68147644</v>
      </c>
      <c r="S59" s="22">
        <v>2926340006</v>
      </c>
    </row>
    <row r="60" spans="1:19" ht="18.75" x14ac:dyDescent="0.45">
      <c r="A60" s="29" t="s">
        <v>303</v>
      </c>
      <c r="C60" s="21" t="s">
        <v>304</v>
      </c>
      <c r="E60" s="22">
        <v>1207911</v>
      </c>
      <c r="G60" s="22">
        <v>2600</v>
      </c>
      <c r="N60" s="21"/>
      <c r="O60" s="22">
        <v>3140568600</v>
      </c>
      <c r="Q60" s="22">
        <v>0</v>
      </c>
      <c r="S60" s="22">
        <v>3140568600</v>
      </c>
    </row>
    <row r="61" spans="1:19" ht="18.75" x14ac:dyDescent="0.45">
      <c r="A61" s="29" t="s">
        <v>305</v>
      </c>
      <c r="C61" s="21" t="s">
        <v>306</v>
      </c>
      <c r="E61" s="22">
        <v>411</v>
      </c>
      <c r="G61" s="22">
        <v>285</v>
      </c>
      <c r="N61" s="21"/>
      <c r="O61" s="22">
        <v>117135</v>
      </c>
      <c r="Q61" s="22">
        <v>0</v>
      </c>
      <c r="S61" s="22">
        <v>117135</v>
      </c>
    </row>
    <row r="62" spans="1:19" ht="37.5" x14ac:dyDescent="0.45">
      <c r="A62" s="29" t="s">
        <v>155</v>
      </c>
      <c r="C62" s="21" t="s">
        <v>263</v>
      </c>
      <c r="E62" s="22">
        <v>8036726</v>
      </c>
      <c r="G62" s="22">
        <v>410</v>
      </c>
      <c r="N62" s="21"/>
      <c r="O62" s="22">
        <v>3295057660</v>
      </c>
      <c r="Q62" s="22">
        <v>-62003773</v>
      </c>
      <c r="S62" s="22">
        <v>3233053887</v>
      </c>
    </row>
    <row r="63" spans="1:19" ht="37.5" x14ac:dyDescent="0.45">
      <c r="A63" s="29" t="s">
        <v>156</v>
      </c>
      <c r="C63" s="21" t="s">
        <v>307</v>
      </c>
      <c r="E63" s="22">
        <v>700000</v>
      </c>
      <c r="G63" s="22">
        <v>722</v>
      </c>
      <c r="N63" s="21"/>
      <c r="O63" s="22">
        <v>505400000</v>
      </c>
      <c r="Q63" s="22">
        <v>-10175839</v>
      </c>
      <c r="S63" s="22">
        <v>495224161</v>
      </c>
    </row>
    <row r="64" spans="1:19" ht="18.75" x14ac:dyDescent="0.45">
      <c r="A64" s="29" t="s">
        <v>160</v>
      </c>
      <c r="C64" s="21" t="s">
        <v>294</v>
      </c>
      <c r="E64" s="22">
        <v>10319249</v>
      </c>
      <c r="G64" s="22">
        <v>1000</v>
      </c>
      <c r="N64" s="21"/>
      <c r="O64" s="22">
        <v>10319249000</v>
      </c>
      <c r="Q64" s="22">
        <v>-194179417</v>
      </c>
      <c r="S64" s="22">
        <v>10125069583</v>
      </c>
    </row>
    <row r="65" spans="1:19" ht="18.75" x14ac:dyDescent="0.45">
      <c r="A65" s="29" t="s">
        <v>161</v>
      </c>
      <c r="C65" s="21" t="s">
        <v>308</v>
      </c>
      <c r="E65" s="22">
        <v>1999999</v>
      </c>
      <c r="G65" s="22">
        <v>50</v>
      </c>
      <c r="N65" s="21"/>
      <c r="O65" s="22">
        <v>99999950</v>
      </c>
      <c r="Q65" s="22">
        <v>-1683501</v>
      </c>
      <c r="S65" s="22">
        <v>98316449</v>
      </c>
    </row>
    <row r="66" spans="1:19" ht="18.75" x14ac:dyDescent="0.45">
      <c r="A66" s="29" t="s">
        <v>163</v>
      </c>
      <c r="C66" s="21" t="s">
        <v>264</v>
      </c>
      <c r="E66" s="22">
        <v>18635760</v>
      </c>
      <c r="G66" s="22">
        <v>390</v>
      </c>
      <c r="N66" s="21"/>
      <c r="O66" s="22">
        <v>7267946400</v>
      </c>
      <c r="Q66" s="22">
        <v>0</v>
      </c>
      <c r="S66" s="22">
        <v>7267946400</v>
      </c>
    </row>
    <row r="67" spans="1:19" ht="18.75" x14ac:dyDescent="0.45">
      <c r="A67" s="29" t="s">
        <v>165</v>
      </c>
      <c r="C67" s="21" t="s">
        <v>309</v>
      </c>
      <c r="E67" s="22">
        <v>845414</v>
      </c>
      <c r="G67" s="22">
        <v>620</v>
      </c>
      <c r="I67" s="22">
        <v>524156680</v>
      </c>
      <c r="K67" s="22">
        <v>-36724353</v>
      </c>
      <c r="M67" s="22">
        <v>487432327</v>
      </c>
      <c r="O67" s="22">
        <v>524156680</v>
      </c>
      <c r="Q67" s="22">
        <v>-36724353</v>
      </c>
      <c r="S67" s="22">
        <v>487432327</v>
      </c>
    </row>
    <row r="68" spans="1:19" ht="18.75" x14ac:dyDescent="0.45">
      <c r="A68" s="29" t="s">
        <v>310</v>
      </c>
      <c r="C68" s="21" t="s">
        <v>301</v>
      </c>
      <c r="E68" s="22">
        <v>177678</v>
      </c>
      <c r="G68" s="22">
        <v>4100</v>
      </c>
      <c r="N68" s="21"/>
      <c r="O68" s="22">
        <v>728479800</v>
      </c>
      <c r="Q68" s="22">
        <v>-12263970</v>
      </c>
      <c r="S68" s="22">
        <v>716215830</v>
      </c>
    </row>
    <row r="69" spans="1:19" ht="37.5" x14ac:dyDescent="0.45">
      <c r="A69" s="29" t="s">
        <v>167</v>
      </c>
      <c r="C69" s="21" t="s">
        <v>311</v>
      </c>
      <c r="E69" s="22">
        <v>123</v>
      </c>
      <c r="G69" s="22">
        <v>400</v>
      </c>
      <c r="N69" s="21"/>
      <c r="O69" s="22">
        <v>49200</v>
      </c>
      <c r="Q69" s="22">
        <v>0</v>
      </c>
      <c r="S69" s="22">
        <v>49200</v>
      </c>
    </row>
    <row r="70" spans="1:19" ht="18.75" x14ac:dyDescent="0.45">
      <c r="A70" s="29" t="s">
        <v>171</v>
      </c>
      <c r="C70" s="21" t="s">
        <v>298</v>
      </c>
      <c r="E70" s="22">
        <v>2570924</v>
      </c>
      <c r="G70" s="22">
        <v>936</v>
      </c>
      <c r="N70" s="21"/>
      <c r="O70" s="22">
        <v>2406384864</v>
      </c>
      <c r="Q70" s="22">
        <v>-50032147</v>
      </c>
      <c r="S70" s="22">
        <v>2356352717</v>
      </c>
    </row>
    <row r="71" spans="1:19" ht="18.75" x14ac:dyDescent="0.45">
      <c r="A71" s="29" t="s">
        <v>176</v>
      </c>
      <c r="C71" s="21" t="s">
        <v>312</v>
      </c>
      <c r="E71" s="22">
        <v>4613772</v>
      </c>
      <c r="G71" s="22">
        <v>220</v>
      </c>
      <c r="N71" s="21"/>
      <c r="O71" s="22">
        <v>1015029840</v>
      </c>
      <c r="Q71" s="22">
        <v>0</v>
      </c>
      <c r="S71" s="22">
        <v>1015029840</v>
      </c>
    </row>
    <row r="72" spans="1:19" ht="18.75" x14ac:dyDescent="0.45">
      <c r="A72" s="29" t="s">
        <v>179</v>
      </c>
      <c r="C72" s="21" t="s">
        <v>313</v>
      </c>
      <c r="E72" s="22">
        <v>6744759</v>
      </c>
      <c r="G72" s="22">
        <v>480</v>
      </c>
      <c r="N72" s="21"/>
      <c r="O72" s="22">
        <v>3237484320</v>
      </c>
      <c r="Q72" s="22">
        <v>0</v>
      </c>
      <c r="S72" s="22">
        <v>3237484320</v>
      </c>
    </row>
    <row r="73" spans="1:19" ht="18.75" x14ac:dyDescent="0.45">
      <c r="A73" s="29" t="s">
        <v>187</v>
      </c>
      <c r="C73" s="21" t="s">
        <v>274</v>
      </c>
      <c r="E73" s="22">
        <v>3500000</v>
      </c>
      <c r="G73" s="22">
        <v>2280</v>
      </c>
      <c r="N73" s="21"/>
      <c r="O73" s="22">
        <v>7980000000</v>
      </c>
      <c r="Q73" s="22">
        <v>-75793758</v>
      </c>
      <c r="S73" s="22">
        <v>7904206242</v>
      </c>
    </row>
    <row r="74" spans="1:19" ht="18.75" x14ac:dyDescent="0.45">
      <c r="A74" s="29" t="s">
        <v>190</v>
      </c>
      <c r="C74" s="21" t="s">
        <v>314</v>
      </c>
      <c r="E74" s="22">
        <v>65229</v>
      </c>
      <c r="G74" s="22">
        <v>38000</v>
      </c>
      <c r="N74" s="21"/>
      <c r="O74" s="22">
        <v>2478702000</v>
      </c>
      <c r="Q74" s="22">
        <v>-119572326</v>
      </c>
      <c r="S74" s="22">
        <v>2359129674</v>
      </c>
    </row>
    <row r="75" spans="1:19" ht="18.75" x14ac:dyDescent="0.45">
      <c r="A75" s="29" t="s">
        <v>193</v>
      </c>
      <c r="C75" s="21" t="s">
        <v>315</v>
      </c>
      <c r="E75" s="22">
        <v>1947948</v>
      </c>
      <c r="G75" s="22">
        <v>5330</v>
      </c>
      <c r="N75" s="21"/>
      <c r="O75" s="22">
        <v>10382562840</v>
      </c>
      <c r="Q75" s="22">
        <v>-409838007</v>
      </c>
      <c r="S75" s="22">
        <v>9972724833</v>
      </c>
    </row>
    <row r="76" spans="1:19" ht="37.5" x14ac:dyDescent="0.45">
      <c r="A76" s="29" t="s">
        <v>195</v>
      </c>
      <c r="C76" s="21" t="s">
        <v>294</v>
      </c>
      <c r="E76" s="22">
        <v>450000</v>
      </c>
      <c r="G76" s="22">
        <v>45</v>
      </c>
      <c r="N76" s="21"/>
      <c r="O76" s="22">
        <v>20250000</v>
      </c>
      <c r="Q76" s="22">
        <v>-205932</v>
      </c>
      <c r="S76" s="22">
        <v>20044068</v>
      </c>
    </row>
    <row r="77" spans="1:19" ht="18.75" x14ac:dyDescent="0.45">
      <c r="A77" s="29" t="s">
        <v>203</v>
      </c>
      <c r="C77" s="21" t="s">
        <v>316</v>
      </c>
      <c r="E77" s="22">
        <v>2800000</v>
      </c>
      <c r="G77" s="22">
        <v>380</v>
      </c>
      <c r="N77" s="21"/>
      <c r="O77" s="22">
        <v>1064000000</v>
      </c>
      <c r="Q77" s="22">
        <v>-7238095</v>
      </c>
      <c r="S77" s="22">
        <v>1056761905</v>
      </c>
    </row>
    <row r="78" spans="1:19" ht="18.75" x14ac:dyDescent="0.45">
      <c r="A78" s="24" t="s">
        <v>207</v>
      </c>
      <c r="I78" s="24">
        <f>SUM(I9:$I$77)</f>
        <v>5588644330</v>
      </c>
      <c r="K78" s="24">
        <f>SUM(K9:$K$77)</f>
        <v>-253915191</v>
      </c>
      <c r="M78" s="24">
        <f>SUM(M9:$M$77)</f>
        <v>5334729139</v>
      </c>
      <c r="O78" s="24">
        <f>SUM(O9:$O$77)</f>
        <v>244241682640</v>
      </c>
      <c r="Q78" s="24">
        <f>SUM(Q9:$Q$77)</f>
        <v>-2568880431</v>
      </c>
      <c r="S78" s="24">
        <f>SUM(S9:$S$77)</f>
        <v>241672802209</v>
      </c>
    </row>
    <row r="79" spans="1:19" ht="18.75" x14ac:dyDescent="0.45">
      <c r="I79" s="26"/>
      <c r="K79" s="26"/>
      <c r="M79" s="26"/>
      <c r="O79" s="26"/>
      <c r="Q79" s="26"/>
      <c r="S79" s="26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7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7"/>
  <sheetViews>
    <sheetView rightToLeft="1" view="pageBreakPreview" zoomScale="87" zoomScaleNormal="100" zoomScaleSheetLayoutView="87" workbookViewId="0">
      <selection activeCellId="1" sqref="A1:W1 A1:XFD1048576"/>
    </sheetView>
  </sheetViews>
  <sheetFormatPr defaultRowHeight="18" x14ac:dyDescent="0.45"/>
  <cols>
    <col min="1" max="1" width="21.28515625" style="12" customWidth="1"/>
    <col min="2" max="2" width="1.42578125" style="12" customWidth="1"/>
    <col min="3" max="3" width="18.42578125" style="12" customWidth="1"/>
    <col min="4" max="4" width="1.42578125" style="12" customWidth="1"/>
    <col min="5" max="5" width="14.140625" style="12" customWidth="1"/>
    <col min="6" max="6" width="1.42578125" style="12" customWidth="1"/>
    <col min="7" max="7" width="18.42578125" style="12" customWidth="1"/>
    <col min="8" max="8" width="1.42578125" style="12" customWidth="1"/>
    <col min="9" max="9" width="18.42578125" style="12" customWidth="1"/>
    <col min="10" max="10" width="1.42578125" style="12" customWidth="1"/>
    <col min="11" max="11" width="14.140625" style="12" customWidth="1"/>
    <col min="12" max="12" width="1.42578125" style="12" customWidth="1"/>
    <col min="13" max="13" width="18.42578125" style="12" customWidth="1"/>
    <col min="14" max="16384" width="9.140625" style="12"/>
  </cols>
  <sheetData>
    <row r="1" spans="1:13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0.100000000000001" customHeight="1" x14ac:dyDescent="0.45">
      <c r="A2" s="10" t="s">
        <v>243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spans="1:13" ht="21" x14ac:dyDescent="0.45">
      <c r="A5" s="13" t="s">
        <v>317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7" spans="1:13" ht="21" x14ac:dyDescent="0.45">
      <c r="C7" s="14" t="s">
        <v>255</v>
      </c>
      <c r="D7" s="15"/>
      <c r="E7" s="15"/>
      <c r="F7" s="15"/>
      <c r="G7" s="15"/>
      <c r="I7" s="14" t="s">
        <v>7</v>
      </c>
      <c r="J7" s="15"/>
      <c r="K7" s="15"/>
      <c r="L7" s="15"/>
      <c r="M7" s="15"/>
    </row>
    <row r="8" spans="1:13" ht="21" x14ac:dyDescent="0.45">
      <c r="A8" s="30" t="s">
        <v>245</v>
      </c>
      <c r="C8" s="28" t="s">
        <v>318</v>
      </c>
      <c r="E8" s="28" t="s">
        <v>260</v>
      </c>
      <c r="G8" s="28" t="s">
        <v>319</v>
      </c>
      <c r="I8" s="28" t="s">
        <v>318</v>
      </c>
      <c r="K8" s="28" t="s">
        <v>260</v>
      </c>
      <c r="M8" s="28" t="s">
        <v>319</v>
      </c>
    </row>
    <row r="9" spans="1:13" ht="18.75" x14ac:dyDescent="0.45">
      <c r="A9" s="40" t="s">
        <v>381</v>
      </c>
      <c r="C9" s="22">
        <v>31954</v>
      </c>
      <c r="E9" s="22">
        <v>0</v>
      </c>
      <c r="G9" s="22">
        <v>31954</v>
      </c>
      <c r="I9" s="22">
        <v>237972</v>
      </c>
      <c r="K9" s="22">
        <v>0</v>
      </c>
      <c r="M9" s="22">
        <v>237972</v>
      </c>
    </row>
    <row r="10" spans="1:13" ht="18.75" x14ac:dyDescent="0.45">
      <c r="A10" s="40" t="s">
        <v>382</v>
      </c>
      <c r="C10" s="22">
        <v>1103748670</v>
      </c>
      <c r="E10" s="22">
        <v>0</v>
      </c>
      <c r="G10" s="22">
        <v>1103748670</v>
      </c>
      <c r="I10" s="22">
        <v>7231211304</v>
      </c>
      <c r="K10" s="22">
        <v>0</v>
      </c>
      <c r="M10" s="22">
        <v>7231211304</v>
      </c>
    </row>
    <row r="11" spans="1:13" ht="18.75" x14ac:dyDescent="0.45">
      <c r="A11" s="40" t="s">
        <v>383</v>
      </c>
      <c r="C11" s="22">
        <v>2772</v>
      </c>
      <c r="E11" s="22">
        <v>0</v>
      </c>
      <c r="G11" s="22">
        <v>2772</v>
      </c>
      <c r="I11" s="22">
        <v>3163471</v>
      </c>
      <c r="K11" s="22">
        <v>0</v>
      </c>
      <c r="M11" s="22">
        <v>3163471</v>
      </c>
    </row>
    <row r="12" spans="1:13" ht="18.75" x14ac:dyDescent="0.45">
      <c r="A12" s="40" t="s">
        <v>384</v>
      </c>
      <c r="C12" s="22">
        <v>57452</v>
      </c>
      <c r="E12" s="22">
        <v>0</v>
      </c>
      <c r="G12" s="22">
        <v>57452</v>
      </c>
      <c r="I12" s="22">
        <v>10675480</v>
      </c>
      <c r="K12" s="22">
        <v>0</v>
      </c>
      <c r="M12" s="22">
        <v>10675480</v>
      </c>
    </row>
    <row r="13" spans="1:13" ht="18.75" x14ac:dyDescent="0.45">
      <c r="A13" s="40" t="s">
        <v>385</v>
      </c>
      <c r="C13" s="22">
        <v>68444</v>
      </c>
      <c r="E13" s="22">
        <v>0</v>
      </c>
      <c r="G13" s="22">
        <v>68444</v>
      </c>
      <c r="I13" s="22">
        <v>471497</v>
      </c>
      <c r="K13" s="22">
        <v>0</v>
      </c>
      <c r="M13" s="22">
        <v>471497</v>
      </c>
    </row>
    <row r="14" spans="1:13" ht="18.75" x14ac:dyDescent="0.45">
      <c r="A14" s="40" t="s">
        <v>386</v>
      </c>
      <c r="C14" s="22">
        <v>8703</v>
      </c>
      <c r="E14" s="22">
        <v>0</v>
      </c>
      <c r="G14" s="22">
        <v>8703</v>
      </c>
      <c r="I14" s="22">
        <v>3791133</v>
      </c>
      <c r="K14" s="22">
        <v>0</v>
      </c>
      <c r="M14" s="22">
        <v>3791133</v>
      </c>
    </row>
    <row r="15" spans="1:13" ht="18.75" x14ac:dyDescent="0.45">
      <c r="A15" s="40" t="s">
        <v>387</v>
      </c>
      <c r="C15" s="22">
        <v>41065</v>
      </c>
      <c r="E15" s="22">
        <v>0</v>
      </c>
      <c r="G15" s="22">
        <v>41065</v>
      </c>
      <c r="I15" s="22">
        <v>245973</v>
      </c>
      <c r="K15" s="22">
        <v>0</v>
      </c>
      <c r="M15" s="22">
        <v>245973</v>
      </c>
    </row>
    <row r="16" spans="1:13" ht="19.5" thickBot="1" x14ac:dyDescent="0.5">
      <c r="A16" s="24" t="s">
        <v>207</v>
      </c>
      <c r="C16" s="24">
        <f>SUM(C9:$C$15)</f>
        <v>1103959060</v>
      </c>
      <c r="E16" s="24">
        <f>SUM(E9:$E$15)</f>
        <v>0</v>
      </c>
      <c r="G16" s="24">
        <f>SUM(G9:$G$15)</f>
        <v>1103959060</v>
      </c>
      <c r="I16" s="24">
        <f>SUM(I9:$I$15)</f>
        <v>7249796830</v>
      </c>
      <c r="K16" s="24">
        <f>SUM(K9:$K$15)</f>
        <v>0</v>
      </c>
      <c r="M16" s="24">
        <f>SUM(M9:$M$15)</f>
        <v>7249796830</v>
      </c>
    </row>
    <row r="17" spans="3:13" ht="19.5" thickTop="1" x14ac:dyDescent="0.45">
      <c r="C17" s="26"/>
      <c r="E17" s="26"/>
      <c r="G17" s="26"/>
      <c r="I17" s="26"/>
      <c r="K17" s="26"/>
      <c r="M17" s="26"/>
    </row>
  </sheetData>
  <mergeCells count="6">
    <mergeCell ref="A1:M1"/>
    <mergeCell ref="A2:M2"/>
    <mergeCell ref="A3:M3"/>
    <mergeCell ref="A5:M5"/>
    <mergeCell ref="C7:G7"/>
    <mergeCell ref="I7:M7"/>
  </mergeCells>
  <pageMargins left="0.7" right="0.7" top="0.75" bottom="0.75" header="0.3" footer="0.3"/>
  <pageSetup paperSize="9" scale="9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102"/>
  <sheetViews>
    <sheetView rightToLeft="1" view="pageBreakPreview" topLeftCell="A64" zoomScale="77" zoomScaleNormal="100" zoomScaleSheetLayoutView="77" workbookViewId="0">
      <selection activeCellId="1" sqref="A1:W1 A1:XFD1048576"/>
    </sheetView>
  </sheetViews>
  <sheetFormatPr defaultRowHeight="18" x14ac:dyDescent="0.45"/>
  <cols>
    <col min="1" max="1" width="21.140625" style="12" bestFit="1" customWidth="1"/>
    <col min="2" max="2" width="1.42578125" style="12" customWidth="1"/>
    <col min="3" max="3" width="12.5703125" style="12" bestFit="1" customWidth="1"/>
    <col min="4" max="4" width="1.42578125" style="12" customWidth="1"/>
    <col min="5" max="5" width="18" style="12" bestFit="1" customWidth="1"/>
    <col min="6" max="6" width="1.42578125" style="12" customWidth="1"/>
    <col min="7" max="7" width="18" style="12" bestFit="1" customWidth="1"/>
    <col min="8" max="8" width="1.42578125" style="12" customWidth="1"/>
    <col min="9" max="9" width="17.7109375" style="12" bestFit="1" customWidth="1"/>
    <col min="10" max="10" width="1.42578125" style="12" customWidth="1"/>
    <col min="11" max="11" width="13.7109375" style="12" bestFit="1" customWidth="1"/>
    <col min="12" max="12" width="1.42578125" style="12" customWidth="1"/>
    <col min="13" max="13" width="19.85546875" style="12" bestFit="1" customWidth="1"/>
    <col min="14" max="14" width="1.42578125" style="12" customWidth="1"/>
    <col min="15" max="15" width="19.85546875" style="12" bestFit="1" customWidth="1"/>
    <col min="16" max="16" width="1.42578125" style="12" customWidth="1"/>
    <col min="17" max="17" width="17.7109375" style="12" bestFit="1" customWidth="1"/>
    <col min="18" max="16384" width="9.140625" style="12"/>
  </cols>
  <sheetData>
    <row r="1" spans="1:17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20.100000000000001" customHeight="1" x14ac:dyDescent="0.45">
      <c r="A2" s="10" t="s">
        <v>243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5" spans="1:17" ht="21" x14ac:dyDescent="0.45">
      <c r="A5" s="13" t="s">
        <v>320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7" spans="1:17" ht="21" x14ac:dyDescent="0.45">
      <c r="C7" s="14" t="s">
        <v>255</v>
      </c>
      <c r="D7" s="15"/>
      <c r="E7" s="15"/>
      <c r="F7" s="15"/>
      <c r="G7" s="15"/>
      <c r="H7" s="15"/>
      <c r="I7" s="15"/>
      <c r="K7" s="14" t="s">
        <v>7</v>
      </c>
      <c r="L7" s="15"/>
      <c r="M7" s="15"/>
      <c r="N7" s="15"/>
      <c r="O7" s="15"/>
      <c r="P7" s="15"/>
      <c r="Q7" s="15"/>
    </row>
    <row r="8" spans="1:17" ht="42" x14ac:dyDescent="0.45">
      <c r="A8" s="30" t="s">
        <v>245</v>
      </c>
      <c r="C8" s="28" t="s">
        <v>9</v>
      </c>
      <c r="E8" s="28" t="s">
        <v>11</v>
      </c>
      <c r="G8" s="28" t="s">
        <v>321</v>
      </c>
      <c r="I8" s="28" t="s">
        <v>322</v>
      </c>
      <c r="K8" s="28" t="s">
        <v>9</v>
      </c>
      <c r="M8" s="28" t="s">
        <v>11</v>
      </c>
      <c r="O8" s="28" t="s">
        <v>321</v>
      </c>
      <c r="Q8" s="28" t="s">
        <v>322</v>
      </c>
    </row>
    <row r="9" spans="1:17" ht="18.75" x14ac:dyDescent="0.45">
      <c r="A9" s="29" t="s">
        <v>18</v>
      </c>
      <c r="J9" s="21"/>
      <c r="K9" s="22">
        <v>75</v>
      </c>
      <c r="M9" s="22">
        <v>7507566</v>
      </c>
      <c r="O9" s="22">
        <v>4739180</v>
      </c>
      <c r="Q9" s="22">
        <v>2768386</v>
      </c>
    </row>
    <row r="10" spans="1:17" ht="18.75" x14ac:dyDescent="0.45">
      <c r="A10" s="29" t="s">
        <v>20</v>
      </c>
      <c r="C10" s="22">
        <v>600000</v>
      </c>
      <c r="E10" s="22">
        <v>2572999038</v>
      </c>
      <c r="G10" s="22">
        <v>2551120965</v>
      </c>
      <c r="I10" s="22">
        <v>21878073</v>
      </c>
      <c r="K10" s="22">
        <v>600000</v>
      </c>
      <c r="M10" s="22">
        <v>2572999038</v>
      </c>
      <c r="O10" s="22">
        <v>2551120965</v>
      </c>
      <c r="Q10" s="22">
        <v>21878073</v>
      </c>
    </row>
    <row r="11" spans="1:17" ht="18.75" x14ac:dyDescent="0.45">
      <c r="A11" s="29" t="s">
        <v>22</v>
      </c>
      <c r="J11" s="21"/>
      <c r="K11" s="22">
        <v>6847087</v>
      </c>
      <c r="M11" s="22">
        <v>29901025067</v>
      </c>
      <c r="O11" s="22">
        <v>29115540893</v>
      </c>
      <c r="Q11" s="22">
        <v>785484174</v>
      </c>
    </row>
    <row r="12" spans="1:17" ht="18.75" x14ac:dyDescent="0.45">
      <c r="A12" s="29" t="s">
        <v>23</v>
      </c>
      <c r="J12" s="21"/>
      <c r="K12" s="22">
        <v>697410</v>
      </c>
      <c r="M12" s="22">
        <v>6292796240</v>
      </c>
      <c r="O12" s="22">
        <v>5744125774</v>
      </c>
      <c r="Q12" s="22">
        <v>548670466</v>
      </c>
    </row>
    <row r="13" spans="1:17" ht="18.75" x14ac:dyDescent="0.45">
      <c r="A13" s="29" t="s">
        <v>24</v>
      </c>
      <c r="C13" s="22">
        <v>800000</v>
      </c>
      <c r="E13" s="22">
        <v>3351640420</v>
      </c>
      <c r="G13" s="22">
        <v>3000567516</v>
      </c>
      <c r="I13" s="22">
        <v>351072904</v>
      </c>
      <c r="K13" s="22">
        <v>800000</v>
      </c>
      <c r="M13" s="22">
        <v>3351640420</v>
      </c>
      <c r="O13" s="22">
        <v>3000567516</v>
      </c>
      <c r="Q13" s="22">
        <v>351072904</v>
      </c>
    </row>
    <row r="14" spans="1:17" ht="18.75" x14ac:dyDescent="0.45">
      <c r="A14" s="29" t="s">
        <v>26</v>
      </c>
      <c r="C14" s="22">
        <v>5474237</v>
      </c>
      <c r="E14" s="22">
        <v>11403279325</v>
      </c>
      <c r="G14" s="22">
        <v>18069674884</v>
      </c>
      <c r="I14" s="22">
        <v>-6666395559</v>
      </c>
      <c r="K14" s="22">
        <v>11808284</v>
      </c>
      <c r="M14" s="22">
        <v>25292779447</v>
      </c>
      <c r="O14" s="22">
        <v>38973299241</v>
      </c>
      <c r="Q14" s="22">
        <v>-13680519794</v>
      </c>
    </row>
    <row r="15" spans="1:17" ht="18.75" x14ac:dyDescent="0.45">
      <c r="A15" s="29" t="s">
        <v>27</v>
      </c>
      <c r="C15" s="22">
        <v>300000</v>
      </c>
      <c r="E15" s="22">
        <v>4398671271</v>
      </c>
      <c r="G15" s="22">
        <v>4392069806</v>
      </c>
      <c r="I15" s="22">
        <v>6601465</v>
      </c>
      <c r="K15" s="22">
        <v>1521569</v>
      </c>
      <c r="M15" s="22">
        <v>20669483026</v>
      </c>
      <c r="O15" s="22">
        <v>23468486942</v>
      </c>
      <c r="Q15" s="22">
        <v>-2799003916</v>
      </c>
    </row>
    <row r="16" spans="1:17" ht="18.75" x14ac:dyDescent="0.45">
      <c r="A16" s="29" t="s">
        <v>28</v>
      </c>
      <c r="C16" s="22">
        <v>1600000</v>
      </c>
      <c r="E16" s="22">
        <v>5136998409</v>
      </c>
      <c r="G16" s="22">
        <v>3838889909</v>
      </c>
      <c r="I16" s="22">
        <v>1298108500</v>
      </c>
      <c r="K16" s="22">
        <v>8134050</v>
      </c>
      <c r="M16" s="22">
        <v>24510849608</v>
      </c>
      <c r="O16" s="22">
        <v>19525680267</v>
      </c>
      <c r="Q16" s="22">
        <v>4985169341</v>
      </c>
    </row>
    <row r="17" spans="1:17" ht="18.75" x14ac:dyDescent="0.45">
      <c r="A17" s="29" t="s">
        <v>29</v>
      </c>
      <c r="C17" s="22">
        <v>2000000</v>
      </c>
      <c r="E17" s="22">
        <v>825061535</v>
      </c>
      <c r="G17" s="22">
        <v>809759700</v>
      </c>
      <c r="I17" s="22">
        <v>15301835</v>
      </c>
      <c r="K17" s="22">
        <v>2000000</v>
      </c>
      <c r="M17" s="22">
        <v>825061535</v>
      </c>
      <c r="O17" s="22">
        <v>809759700</v>
      </c>
      <c r="Q17" s="22">
        <v>15301835</v>
      </c>
    </row>
    <row r="18" spans="1:17" ht="18.75" x14ac:dyDescent="0.45">
      <c r="A18" s="29" t="s">
        <v>268</v>
      </c>
      <c r="J18" s="21"/>
      <c r="K18" s="22">
        <v>500000</v>
      </c>
      <c r="M18" s="22">
        <v>6011371915</v>
      </c>
      <c r="O18" s="22">
        <v>8791182875</v>
      </c>
      <c r="Q18" s="22">
        <v>-2779810960</v>
      </c>
    </row>
    <row r="19" spans="1:17" ht="18.75" x14ac:dyDescent="0.45">
      <c r="A19" s="29" t="s">
        <v>31</v>
      </c>
      <c r="C19" s="22">
        <v>2800000</v>
      </c>
      <c r="E19" s="22">
        <v>3980176228</v>
      </c>
      <c r="G19" s="22">
        <v>3571099913</v>
      </c>
      <c r="I19" s="22">
        <v>409076315</v>
      </c>
      <c r="K19" s="22">
        <v>12400000</v>
      </c>
      <c r="M19" s="22">
        <v>17219452579</v>
      </c>
      <c r="O19" s="22">
        <v>15783084980</v>
      </c>
      <c r="Q19" s="22">
        <v>1436367599</v>
      </c>
    </row>
    <row r="20" spans="1:17" ht="18.75" x14ac:dyDescent="0.45">
      <c r="A20" s="29" t="s">
        <v>33</v>
      </c>
      <c r="C20" s="22">
        <v>2800000</v>
      </c>
      <c r="E20" s="22">
        <v>1580484116</v>
      </c>
      <c r="G20" s="22">
        <v>1432900989</v>
      </c>
      <c r="I20" s="22">
        <v>147583127</v>
      </c>
      <c r="K20" s="22">
        <v>2800000</v>
      </c>
      <c r="M20" s="22">
        <v>1580484116</v>
      </c>
      <c r="O20" s="22">
        <v>1432900989</v>
      </c>
      <c r="Q20" s="22">
        <v>147583127</v>
      </c>
    </row>
    <row r="21" spans="1:17" ht="18.75" x14ac:dyDescent="0.45">
      <c r="A21" s="29" t="s">
        <v>34</v>
      </c>
      <c r="C21" s="22">
        <v>4141220</v>
      </c>
      <c r="E21" s="22">
        <v>5014376960</v>
      </c>
      <c r="G21" s="22">
        <v>4224446278</v>
      </c>
      <c r="I21" s="22">
        <v>789930682</v>
      </c>
      <c r="K21" s="22">
        <v>4141220</v>
      </c>
      <c r="M21" s="22">
        <v>5014376960</v>
      </c>
      <c r="O21" s="22">
        <v>4224446278</v>
      </c>
      <c r="Q21" s="22">
        <v>789930682</v>
      </c>
    </row>
    <row r="22" spans="1:17" ht="18.75" x14ac:dyDescent="0.45">
      <c r="A22" s="29" t="s">
        <v>44</v>
      </c>
      <c r="C22" s="22">
        <v>2150011</v>
      </c>
      <c r="E22" s="22">
        <v>6543109855</v>
      </c>
      <c r="G22" s="22">
        <v>7522314419</v>
      </c>
      <c r="I22" s="22">
        <v>-979204564</v>
      </c>
      <c r="K22" s="22">
        <v>16468176</v>
      </c>
      <c r="M22" s="22">
        <v>70669444363</v>
      </c>
      <c r="O22" s="22">
        <v>57494734403</v>
      </c>
      <c r="Q22" s="22">
        <v>13174709960</v>
      </c>
    </row>
    <row r="23" spans="1:17" ht="18.75" x14ac:dyDescent="0.45">
      <c r="A23" s="29" t="s">
        <v>45</v>
      </c>
      <c r="C23" s="22">
        <v>2983324</v>
      </c>
      <c r="E23" s="22">
        <v>17408064234</v>
      </c>
      <c r="G23" s="22">
        <v>18430634993</v>
      </c>
      <c r="I23" s="22">
        <v>-1022570759</v>
      </c>
      <c r="K23" s="22">
        <v>18428570</v>
      </c>
      <c r="M23" s="22">
        <v>130888866866</v>
      </c>
      <c r="O23" s="22">
        <v>113709801819</v>
      </c>
      <c r="Q23" s="22">
        <v>17179065047</v>
      </c>
    </row>
    <row r="24" spans="1:17" ht="18.75" x14ac:dyDescent="0.45">
      <c r="A24" s="29" t="s">
        <v>275</v>
      </c>
      <c r="J24" s="21"/>
      <c r="K24" s="22">
        <v>2838120</v>
      </c>
      <c r="M24" s="22">
        <v>11214374490</v>
      </c>
      <c r="O24" s="22">
        <v>12978257492</v>
      </c>
      <c r="Q24" s="22">
        <v>-1763883002</v>
      </c>
    </row>
    <row r="25" spans="1:17" ht="18.75" x14ac:dyDescent="0.45">
      <c r="A25" s="29" t="s">
        <v>48</v>
      </c>
      <c r="C25" s="22">
        <v>765783</v>
      </c>
      <c r="E25" s="22">
        <v>1319205689</v>
      </c>
      <c r="G25" s="22">
        <v>1113390610</v>
      </c>
      <c r="I25" s="22">
        <v>205815079</v>
      </c>
      <c r="K25" s="22">
        <v>5327149</v>
      </c>
      <c r="M25" s="22">
        <v>8931461087</v>
      </c>
      <c r="O25" s="22">
        <v>7746742035</v>
      </c>
      <c r="Q25" s="22">
        <v>1184719052</v>
      </c>
    </row>
    <row r="26" spans="1:17" ht="37.5" x14ac:dyDescent="0.45">
      <c r="A26" s="29" t="s">
        <v>50</v>
      </c>
      <c r="J26" s="21"/>
      <c r="K26" s="22">
        <v>750</v>
      </c>
      <c r="M26" s="22">
        <v>34443835</v>
      </c>
      <c r="O26" s="22">
        <v>35616912</v>
      </c>
      <c r="Q26" s="22">
        <v>-1173077</v>
      </c>
    </row>
    <row r="27" spans="1:17" ht="18.75" x14ac:dyDescent="0.45">
      <c r="A27" s="29" t="s">
        <v>54</v>
      </c>
      <c r="J27" s="21"/>
      <c r="K27" s="22">
        <v>25000</v>
      </c>
      <c r="M27" s="22">
        <v>2712676136</v>
      </c>
      <c r="O27" s="22">
        <v>3132869915</v>
      </c>
      <c r="Q27" s="22">
        <v>-420193779</v>
      </c>
    </row>
    <row r="28" spans="1:17" ht="37.5" x14ac:dyDescent="0.45">
      <c r="A28" s="29" t="s">
        <v>55</v>
      </c>
      <c r="C28" s="22">
        <v>1432413</v>
      </c>
      <c r="E28" s="22">
        <v>14719912637</v>
      </c>
      <c r="G28" s="22">
        <v>16258151234</v>
      </c>
      <c r="I28" s="22">
        <v>-1538238597</v>
      </c>
      <c r="K28" s="22">
        <v>3045110</v>
      </c>
      <c r="M28" s="22">
        <v>30617153742</v>
      </c>
      <c r="O28" s="22">
        <v>34566601580</v>
      </c>
      <c r="Q28" s="22">
        <v>-3949447838</v>
      </c>
    </row>
    <row r="29" spans="1:17" ht="18.75" x14ac:dyDescent="0.45">
      <c r="A29" s="29" t="s">
        <v>58</v>
      </c>
      <c r="C29" s="22">
        <v>3310382</v>
      </c>
      <c r="E29" s="22">
        <v>4752536058</v>
      </c>
      <c r="G29" s="22">
        <v>5730252378</v>
      </c>
      <c r="I29" s="22">
        <v>-977716320</v>
      </c>
      <c r="K29" s="22">
        <v>3406527</v>
      </c>
      <c r="M29" s="22">
        <v>4867055326</v>
      </c>
      <c r="O29" s="22">
        <v>5896819563</v>
      </c>
      <c r="Q29" s="22">
        <v>-1029764237</v>
      </c>
    </row>
    <row r="30" spans="1:17" ht="18.75" x14ac:dyDescent="0.45">
      <c r="A30" s="29" t="s">
        <v>60</v>
      </c>
      <c r="C30" s="22">
        <v>845247</v>
      </c>
      <c r="E30" s="22">
        <v>4104579531</v>
      </c>
      <c r="G30" s="22">
        <v>5509557328</v>
      </c>
      <c r="I30" s="22">
        <v>-1404977797</v>
      </c>
      <c r="K30" s="22">
        <v>2683070</v>
      </c>
      <c r="M30" s="22">
        <v>13857853623</v>
      </c>
      <c r="O30" s="22">
        <v>17545176730</v>
      </c>
      <c r="Q30" s="22">
        <v>-3687323107</v>
      </c>
    </row>
    <row r="31" spans="1:17" ht="18.75" x14ac:dyDescent="0.45">
      <c r="A31" s="29" t="s">
        <v>61</v>
      </c>
      <c r="C31" s="22">
        <v>200000</v>
      </c>
      <c r="E31" s="22">
        <v>3742598258</v>
      </c>
      <c r="G31" s="22">
        <v>3417360640</v>
      </c>
      <c r="I31" s="22">
        <v>325237618</v>
      </c>
      <c r="K31" s="22">
        <v>3236239</v>
      </c>
      <c r="M31" s="22">
        <v>81442311674</v>
      </c>
      <c r="O31" s="22">
        <v>68205189377</v>
      </c>
      <c r="Q31" s="22">
        <v>13237122297</v>
      </c>
    </row>
    <row r="32" spans="1:17" ht="18.75" x14ac:dyDescent="0.45">
      <c r="A32" s="29" t="s">
        <v>62</v>
      </c>
      <c r="C32" s="22">
        <v>247939</v>
      </c>
      <c r="E32" s="22">
        <v>810619324</v>
      </c>
      <c r="G32" s="22">
        <v>766704312</v>
      </c>
      <c r="I32" s="22">
        <v>43915012</v>
      </c>
      <c r="K32" s="22">
        <v>247939</v>
      </c>
      <c r="M32" s="22">
        <v>810619324</v>
      </c>
      <c r="O32" s="22">
        <v>766704312</v>
      </c>
      <c r="Q32" s="22">
        <v>43915012</v>
      </c>
    </row>
    <row r="33" spans="1:17" ht="18.75" x14ac:dyDescent="0.45">
      <c r="A33" s="29" t="s">
        <v>65</v>
      </c>
      <c r="C33" s="22">
        <v>1107078</v>
      </c>
      <c r="E33" s="22">
        <v>5091035193</v>
      </c>
      <c r="G33" s="22">
        <v>4542673013</v>
      </c>
      <c r="I33" s="22">
        <v>548362180</v>
      </c>
      <c r="K33" s="22">
        <v>7694425</v>
      </c>
      <c r="M33" s="22">
        <v>34331359077</v>
      </c>
      <c r="O33" s="22">
        <v>31578832353</v>
      </c>
      <c r="Q33" s="22">
        <v>2752526724</v>
      </c>
    </row>
    <row r="34" spans="1:17" ht="37.5" x14ac:dyDescent="0.45">
      <c r="A34" s="29" t="s">
        <v>68</v>
      </c>
      <c r="J34" s="21"/>
      <c r="K34" s="22">
        <v>150126</v>
      </c>
      <c r="M34" s="22">
        <v>4938968390</v>
      </c>
      <c r="O34" s="22">
        <v>4029568098</v>
      </c>
      <c r="Q34" s="22">
        <v>909400292</v>
      </c>
    </row>
    <row r="35" spans="1:17" ht="18.75" x14ac:dyDescent="0.45">
      <c r="A35" s="29" t="s">
        <v>69</v>
      </c>
      <c r="C35" s="22">
        <v>1100000</v>
      </c>
      <c r="E35" s="22">
        <v>9215407672</v>
      </c>
      <c r="G35" s="22">
        <v>16505509221</v>
      </c>
      <c r="I35" s="22">
        <v>-7290101549</v>
      </c>
      <c r="K35" s="22">
        <v>1200000</v>
      </c>
      <c r="M35" s="22">
        <v>10218327640</v>
      </c>
      <c r="O35" s="22">
        <v>18005021512</v>
      </c>
      <c r="Q35" s="22">
        <v>-7786693872</v>
      </c>
    </row>
    <row r="36" spans="1:17" ht="18.75" x14ac:dyDescent="0.45">
      <c r="A36" s="29" t="s">
        <v>70</v>
      </c>
      <c r="C36" s="22">
        <v>4400000</v>
      </c>
      <c r="E36" s="22">
        <v>6847814383</v>
      </c>
      <c r="G36" s="22">
        <v>10198124518</v>
      </c>
      <c r="I36" s="22">
        <v>-3350310135</v>
      </c>
      <c r="K36" s="22">
        <v>7545044</v>
      </c>
      <c r="M36" s="22">
        <v>12484797879</v>
      </c>
      <c r="O36" s="22">
        <v>17483124707</v>
      </c>
      <c r="Q36" s="22">
        <v>-4998326828</v>
      </c>
    </row>
    <row r="37" spans="1:17" ht="18.75" x14ac:dyDescent="0.45">
      <c r="A37" s="29" t="s">
        <v>71</v>
      </c>
      <c r="C37" s="22">
        <v>2252231</v>
      </c>
      <c r="E37" s="22">
        <v>4411601082</v>
      </c>
      <c r="G37" s="22">
        <v>6495632104</v>
      </c>
      <c r="I37" s="22">
        <v>-2084031022</v>
      </c>
      <c r="K37" s="22">
        <v>5535930</v>
      </c>
      <c r="M37" s="22">
        <v>11577168915</v>
      </c>
      <c r="O37" s="22">
        <v>15961717942</v>
      </c>
      <c r="Q37" s="22">
        <v>-4384549027</v>
      </c>
    </row>
    <row r="38" spans="1:17" ht="18.75" x14ac:dyDescent="0.45">
      <c r="A38" s="29" t="s">
        <v>285</v>
      </c>
      <c r="J38" s="21"/>
      <c r="K38" s="22">
        <v>10258397</v>
      </c>
      <c r="M38" s="22">
        <v>17418477479</v>
      </c>
      <c r="O38" s="22">
        <v>20331248787</v>
      </c>
      <c r="Q38" s="22">
        <v>-2912771308</v>
      </c>
    </row>
    <row r="39" spans="1:17" ht="18.75" x14ac:dyDescent="0.45">
      <c r="A39" s="29" t="s">
        <v>74</v>
      </c>
      <c r="J39" s="21"/>
      <c r="K39" s="22">
        <v>5362092</v>
      </c>
      <c r="M39" s="22">
        <v>12980888049</v>
      </c>
      <c r="O39" s="22">
        <v>12856362371</v>
      </c>
      <c r="Q39" s="22">
        <v>124525678</v>
      </c>
    </row>
    <row r="40" spans="1:17" ht="18.75" x14ac:dyDescent="0.45">
      <c r="A40" s="29" t="s">
        <v>75</v>
      </c>
      <c r="C40" s="22">
        <v>324703</v>
      </c>
      <c r="E40" s="22">
        <v>4351143893</v>
      </c>
      <c r="G40" s="22">
        <v>3998814252</v>
      </c>
      <c r="I40" s="22">
        <v>352329641</v>
      </c>
      <c r="K40" s="22">
        <v>324703</v>
      </c>
      <c r="M40" s="22">
        <v>4351143893</v>
      </c>
      <c r="O40" s="22">
        <v>3998814252</v>
      </c>
      <c r="Q40" s="22">
        <v>352329641</v>
      </c>
    </row>
    <row r="41" spans="1:17" ht="18.75" x14ac:dyDescent="0.45">
      <c r="A41" s="29" t="s">
        <v>78</v>
      </c>
      <c r="C41" s="22">
        <v>400000</v>
      </c>
      <c r="E41" s="22">
        <v>4294518967</v>
      </c>
      <c r="G41" s="22">
        <v>4046687748</v>
      </c>
      <c r="I41" s="22">
        <v>247831219</v>
      </c>
      <c r="K41" s="22">
        <v>400000</v>
      </c>
      <c r="M41" s="22">
        <v>4294518967</v>
      </c>
      <c r="O41" s="22">
        <v>4046687748</v>
      </c>
      <c r="Q41" s="22">
        <v>247831219</v>
      </c>
    </row>
    <row r="42" spans="1:17" ht="18.75" x14ac:dyDescent="0.45">
      <c r="A42" s="29" t="s">
        <v>79</v>
      </c>
      <c r="C42" s="22">
        <v>1198598</v>
      </c>
      <c r="E42" s="22">
        <v>11872829751</v>
      </c>
      <c r="G42" s="22">
        <v>11154491336</v>
      </c>
      <c r="I42" s="22">
        <v>718338415</v>
      </c>
      <c r="K42" s="22">
        <v>1198598</v>
      </c>
      <c r="M42" s="22">
        <v>11872829751</v>
      </c>
      <c r="O42" s="22">
        <v>11154491336</v>
      </c>
      <c r="Q42" s="22">
        <v>718338415</v>
      </c>
    </row>
    <row r="43" spans="1:17" ht="37.5" x14ac:dyDescent="0.45">
      <c r="A43" s="29" t="s">
        <v>83</v>
      </c>
      <c r="J43" s="21"/>
      <c r="K43" s="22">
        <v>3250000</v>
      </c>
      <c r="M43" s="22">
        <v>4477257642</v>
      </c>
      <c r="O43" s="22">
        <v>3912524843</v>
      </c>
      <c r="Q43" s="22">
        <v>564732799</v>
      </c>
    </row>
    <row r="44" spans="1:17" ht="18.75" x14ac:dyDescent="0.45">
      <c r="A44" s="29" t="s">
        <v>85</v>
      </c>
      <c r="C44" s="22">
        <v>200000</v>
      </c>
      <c r="E44" s="22">
        <v>1286740846</v>
      </c>
      <c r="G44" s="22">
        <v>1286236548</v>
      </c>
      <c r="I44" s="22">
        <v>504298</v>
      </c>
      <c r="K44" s="22">
        <v>200000</v>
      </c>
      <c r="M44" s="22">
        <v>1286740846</v>
      </c>
      <c r="O44" s="22">
        <v>1286236548</v>
      </c>
      <c r="Q44" s="22">
        <v>504298</v>
      </c>
    </row>
    <row r="45" spans="1:17" ht="18.75" x14ac:dyDescent="0.45">
      <c r="A45" s="29" t="s">
        <v>286</v>
      </c>
      <c r="J45" s="21"/>
      <c r="K45" s="22">
        <v>1186353</v>
      </c>
      <c r="M45" s="22">
        <v>60228986918</v>
      </c>
      <c r="O45" s="22">
        <v>56481474431</v>
      </c>
      <c r="Q45" s="22">
        <v>3747512487</v>
      </c>
    </row>
    <row r="46" spans="1:17" ht="18.75" x14ac:dyDescent="0.45">
      <c r="A46" s="29" t="s">
        <v>86</v>
      </c>
      <c r="J46" s="21"/>
      <c r="K46" s="22">
        <v>15118</v>
      </c>
      <c r="M46" s="22">
        <v>1570544571</v>
      </c>
      <c r="O46" s="22">
        <v>1359504255</v>
      </c>
      <c r="Q46" s="22">
        <v>211040316</v>
      </c>
    </row>
    <row r="47" spans="1:17" ht="18.75" x14ac:dyDescent="0.45">
      <c r="A47" s="29" t="s">
        <v>88</v>
      </c>
      <c r="C47" s="22">
        <v>200000</v>
      </c>
      <c r="E47" s="22">
        <v>1597555929</v>
      </c>
      <c r="G47" s="22">
        <v>1610739249</v>
      </c>
      <c r="I47" s="22">
        <v>-13183320</v>
      </c>
      <c r="K47" s="22">
        <v>3433426</v>
      </c>
      <c r="M47" s="22">
        <v>36719874192</v>
      </c>
      <c r="O47" s="22">
        <v>27596135921</v>
      </c>
      <c r="Q47" s="22">
        <v>9123738271</v>
      </c>
    </row>
    <row r="48" spans="1:17" ht="18.75" x14ac:dyDescent="0.45">
      <c r="A48" s="29" t="s">
        <v>91</v>
      </c>
      <c r="C48" s="22">
        <v>500000</v>
      </c>
      <c r="E48" s="22">
        <v>4170039785</v>
      </c>
      <c r="G48" s="22">
        <v>4125198535</v>
      </c>
      <c r="I48" s="22">
        <v>44841250</v>
      </c>
      <c r="K48" s="22">
        <v>3503951</v>
      </c>
      <c r="M48" s="22">
        <v>29053240014</v>
      </c>
      <c r="O48" s="22">
        <v>28910004939</v>
      </c>
      <c r="Q48" s="22">
        <v>143235075</v>
      </c>
    </row>
    <row r="49" spans="1:17" ht="18.75" x14ac:dyDescent="0.45">
      <c r="A49" s="29" t="s">
        <v>92</v>
      </c>
      <c r="C49" s="22">
        <v>575243</v>
      </c>
      <c r="E49" s="22">
        <v>10176070711</v>
      </c>
      <c r="G49" s="22">
        <v>6915297793</v>
      </c>
      <c r="I49" s="22">
        <v>3260772918</v>
      </c>
      <c r="K49" s="22">
        <v>4275243</v>
      </c>
      <c r="M49" s="22">
        <v>74407807280</v>
      </c>
      <c r="O49" s="22">
        <v>51402249741</v>
      </c>
      <c r="Q49" s="22">
        <v>23005557539</v>
      </c>
    </row>
    <row r="50" spans="1:17" ht="18.75" x14ac:dyDescent="0.45">
      <c r="A50" s="29" t="s">
        <v>93</v>
      </c>
      <c r="J50" s="21"/>
      <c r="K50" s="22">
        <v>200000</v>
      </c>
      <c r="M50" s="22">
        <v>5291690299</v>
      </c>
      <c r="O50" s="22">
        <v>4664218559</v>
      </c>
      <c r="Q50" s="22">
        <v>627471740</v>
      </c>
    </row>
    <row r="51" spans="1:17" ht="18.75" x14ac:dyDescent="0.45">
      <c r="A51" s="29" t="s">
        <v>108</v>
      </c>
      <c r="C51" s="22">
        <v>5473051</v>
      </c>
      <c r="E51" s="22">
        <v>7939792014</v>
      </c>
      <c r="G51" s="22">
        <v>8553884475</v>
      </c>
      <c r="I51" s="22">
        <v>-614092461</v>
      </c>
      <c r="K51" s="22">
        <v>20189045</v>
      </c>
      <c r="M51" s="22">
        <v>32485089486</v>
      </c>
      <c r="O51" s="22">
        <v>31534520133</v>
      </c>
      <c r="Q51" s="22">
        <v>950569353</v>
      </c>
    </row>
    <row r="52" spans="1:17" ht="18.75" x14ac:dyDescent="0.45">
      <c r="A52" s="29" t="s">
        <v>109</v>
      </c>
      <c r="J52" s="21"/>
      <c r="K52" s="22">
        <v>6199</v>
      </c>
      <c r="M52" s="22">
        <v>156164327</v>
      </c>
      <c r="O52" s="22">
        <v>177766649</v>
      </c>
      <c r="Q52" s="22">
        <v>-21602322</v>
      </c>
    </row>
    <row r="53" spans="1:17" ht="18.75" x14ac:dyDescent="0.45">
      <c r="A53" s="29" t="s">
        <v>292</v>
      </c>
      <c r="J53" s="21"/>
      <c r="K53" s="22">
        <v>10148510</v>
      </c>
      <c r="M53" s="22">
        <v>23061457106</v>
      </c>
      <c r="O53" s="22">
        <v>37934552149</v>
      </c>
      <c r="Q53" s="22">
        <v>-14873095043</v>
      </c>
    </row>
    <row r="54" spans="1:17" ht="18.75" x14ac:dyDescent="0.45">
      <c r="A54" s="29" t="s">
        <v>112</v>
      </c>
      <c r="J54" s="21"/>
      <c r="K54" s="22">
        <v>1875000</v>
      </c>
      <c r="M54" s="22">
        <v>6181102605</v>
      </c>
      <c r="O54" s="22">
        <v>5874615480</v>
      </c>
      <c r="Q54" s="22">
        <v>306487125</v>
      </c>
    </row>
    <row r="55" spans="1:17" ht="18.75" x14ac:dyDescent="0.45">
      <c r="A55" s="29" t="s">
        <v>115</v>
      </c>
      <c r="C55" s="22">
        <v>4203019</v>
      </c>
      <c r="E55" s="22">
        <v>12924827488</v>
      </c>
      <c r="G55" s="22">
        <v>18573278525</v>
      </c>
      <c r="I55" s="22">
        <v>-5648451037</v>
      </c>
      <c r="K55" s="22">
        <v>13247248</v>
      </c>
      <c r="M55" s="22">
        <v>41599775768</v>
      </c>
      <c r="O55" s="22">
        <v>58534858178</v>
      </c>
      <c r="Q55" s="22">
        <v>-16935082410</v>
      </c>
    </row>
    <row r="56" spans="1:17" ht="18.75" x14ac:dyDescent="0.45">
      <c r="A56" s="29" t="s">
        <v>116</v>
      </c>
      <c r="C56" s="22">
        <v>2464654</v>
      </c>
      <c r="E56" s="22">
        <v>18527300903</v>
      </c>
      <c r="G56" s="22">
        <v>18400264789</v>
      </c>
      <c r="I56" s="22">
        <v>127036114</v>
      </c>
      <c r="K56" s="22">
        <v>7464654</v>
      </c>
      <c r="M56" s="22">
        <v>51883547479</v>
      </c>
      <c r="O56" s="22">
        <v>55753875008</v>
      </c>
      <c r="Q56" s="22">
        <v>-3870327529</v>
      </c>
    </row>
    <row r="57" spans="1:17" ht="18.75" x14ac:dyDescent="0.45">
      <c r="A57" s="29" t="s">
        <v>119</v>
      </c>
      <c r="C57" s="22">
        <v>3775763</v>
      </c>
      <c r="E57" s="22">
        <v>9160970434</v>
      </c>
      <c r="G57" s="22">
        <v>13888665885</v>
      </c>
      <c r="I57" s="22">
        <v>-4727695451</v>
      </c>
      <c r="K57" s="22">
        <v>5355528</v>
      </c>
      <c r="M57" s="22">
        <v>12936633579</v>
      </c>
      <c r="O57" s="22">
        <v>19699973902</v>
      </c>
      <c r="Q57" s="22">
        <v>-6763340323</v>
      </c>
    </row>
    <row r="58" spans="1:17" ht="18.75" x14ac:dyDescent="0.45">
      <c r="A58" s="29" t="s">
        <v>296</v>
      </c>
      <c r="J58" s="21"/>
      <c r="K58" s="22">
        <v>800000</v>
      </c>
      <c r="M58" s="22">
        <v>5996109686</v>
      </c>
      <c r="O58" s="22">
        <v>7154632734</v>
      </c>
      <c r="Q58" s="22">
        <v>-1158523048</v>
      </c>
    </row>
    <row r="59" spans="1:17" ht="18.75" x14ac:dyDescent="0.45">
      <c r="A59" s="29" t="s">
        <v>121</v>
      </c>
      <c r="C59" s="22">
        <v>1269048</v>
      </c>
      <c r="E59" s="22">
        <v>4633943165</v>
      </c>
      <c r="G59" s="22">
        <v>4220400785</v>
      </c>
      <c r="I59" s="22">
        <v>413542380</v>
      </c>
      <c r="K59" s="22">
        <v>1269048</v>
      </c>
      <c r="M59" s="22">
        <v>4633943165</v>
      </c>
      <c r="O59" s="22">
        <v>4220400785</v>
      </c>
      <c r="Q59" s="22">
        <v>413542380</v>
      </c>
    </row>
    <row r="60" spans="1:17" ht="18.75" x14ac:dyDescent="0.45">
      <c r="A60" s="29" t="s">
        <v>125</v>
      </c>
      <c r="C60" s="22">
        <v>200000</v>
      </c>
      <c r="E60" s="22">
        <v>2629262289</v>
      </c>
      <c r="G60" s="22">
        <v>2402358187</v>
      </c>
      <c r="I60" s="22">
        <v>226904102</v>
      </c>
      <c r="K60" s="22">
        <v>200000</v>
      </c>
      <c r="M60" s="22">
        <v>2629262289</v>
      </c>
      <c r="O60" s="22">
        <v>2402358187</v>
      </c>
      <c r="Q60" s="22">
        <v>226904102</v>
      </c>
    </row>
    <row r="61" spans="1:17" ht="37.5" x14ac:dyDescent="0.45">
      <c r="A61" s="29" t="s">
        <v>127</v>
      </c>
      <c r="C61" s="22">
        <v>300000</v>
      </c>
      <c r="E61" s="22">
        <v>6341843654</v>
      </c>
      <c r="G61" s="22">
        <v>6432566679</v>
      </c>
      <c r="I61" s="22">
        <v>-90723025</v>
      </c>
      <c r="K61" s="22">
        <v>300000</v>
      </c>
      <c r="M61" s="22">
        <v>6341843654</v>
      </c>
      <c r="O61" s="22">
        <v>6432566679</v>
      </c>
      <c r="Q61" s="22">
        <v>-90723025</v>
      </c>
    </row>
    <row r="62" spans="1:17" ht="18.75" x14ac:dyDescent="0.45">
      <c r="A62" s="29" t="s">
        <v>128</v>
      </c>
      <c r="J62" s="21"/>
      <c r="K62" s="22">
        <v>200000</v>
      </c>
      <c r="M62" s="22">
        <v>885300938</v>
      </c>
      <c r="O62" s="22">
        <v>1054358238</v>
      </c>
      <c r="Q62" s="22">
        <v>-169057300</v>
      </c>
    </row>
    <row r="63" spans="1:17" ht="18.75" x14ac:dyDescent="0.45">
      <c r="A63" s="29" t="s">
        <v>132</v>
      </c>
      <c r="C63" s="22">
        <v>4261937</v>
      </c>
      <c r="E63" s="22">
        <v>11370726267</v>
      </c>
      <c r="G63" s="22">
        <v>10534163919</v>
      </c>
      <c r="I63" s="22">
        <v>836562348</v>
      </c>
      <c r="K63" s="22">
        <v>4261937</v>
      </c>
      <c r="M63" s="22">
        <v>11370726267</v>
      </c>
      <c r="O63" s="22">
        <v>10534163919</v>
      </c>
      <c r="Q63" s="22">
        <v>836562348</v>
      </c>
    </row>
    <row r="64" spans="1:17" ht="18.75" x14ac:dyDescent="0.45">
      <c r="A64" s="29" t="s">
        <v>137</v>
      </c>
      <c r="C64" s="22">
        <v>430014</v>
      </c>
      <c r="E64" s="22">
        <v>2195933002</v>
      </c>
      <c r="G64" s="22">
        <v>2256931619</v>
      </c>
      <c r="I64" s="22">
        <v>-60998617</v>
      </c>
      <c r="K64" s="22">
        <v>2061904</v>
      </c>
      <c r="M64" s="22">
        <v>9482492452</v>
      </c>
      <c r="O64" s="22">
        <v>10827094350</v>
      </c>
      <c r="Q64" s="22">
        <v>-1344601898</v>
      </c>
    </row>
    <row r="65" spans="1:17" ht="18.75" x14ac:dyDescent="0.45">
      <c r="A65" s="29" t="s">
        <v>139</v>
      </c>
      <c r="J65" s="21"/>
      <c r="K65" s="22">
        <v>1537022</v>
      </c>
      <c r="M65" s="22">
        <v>4464836919</v>
      </c>
      <c r="O65" s="22">
        <v>4984711049</v>
      </c>
      <c r="Q65" s="22">
        <v>-519874130</v>
      </c>
    </row>
    <row r="66" spans="1:17" ht="18.75" x14ac:dyDescent="0.45">
      <c r="A66" s="29" t="s">
        <v>141</v>
      </c>
      <c r="C66" s="22">
        <v>1384553</v>
      </c>
      <c r="E66" s="22">
        <v>5047963235</v>
      </c>
      <c r="G66" s="22">
        <v>5946351746</v>
      </c>
      <c r="I66" s="22">
        <v>-898388511</v>
      </c>
      <c r="K66" s="22">
        <v>7000006</v>
      </c>
      <c r="M66" s="22">
        <v>31330763777</v>
      </c>
      <c r="O66" s="22">
        <v>31756745372</v>
      </c>
      <c r="Q66" s="22">
        <v>-425981595</v>
      </c>
    </row>
    <row r="67" spans="1:17" ht="18.75" x14ac:dyDescent="0.45">
      <c r="A67" s="29" t="s">
        <v>144</v>
      </c>
      <c r="J67" s="21"/>
      <c r="K67" s="22">
        <v>444699</v>
      </c>
      <c r="M67" s="22">
        <v>4647411119</v>
      </c>
      <c r="O67" s="22">
        <v>5692349199</v>
      </c>
      <c r="Q67" s="22">
        <v>-1044938080</v>
      </c>
    </row>
    <row r="68" spans="1:17" ht="18.75" x14ac:dyDescent="0.45">
      <c r="A68" s="29" t="s">
        <v>145</v>
      </c>
      <c r="C68" s="22">
        <v>2000000</v>
      </c>
      <c r="E68" s="22">
        <v>11932576303</v>
      </c>
      <c r="G68" s="22">
        <v>11262254712</v>
      </c>
      <c r="I68" s="22">
        <v>670321591</v>
      </c>
      <c r="K68" s="22">
        <v>2836904</v>
      </c>
      <c r="M68" s="22">
        <v>16647827999</v>
      </c>
      <c r="O68" s="22">
        <v>17300540261</v>
      </c>
      <c r="Q68" s="22">
        <v>-652712262</v>
      </c>
    </row>
    <row r="69" spans="1:17" ht="18.75" x14ac:dyDescent="0.45">
      <c r="A69" s="29" t="s">
        <v>147</v>
      </c>
      <c r="C69" s="22">
        <v>3793338</v>
      </c>
      <c r="E69" s="22">
        <v>23304480267</v>
      </c>
      <c r="G69" s="22">
        <v>34476156074</v>
      </c>
      <c r="I69" s="22">
        <v>-11171675807</v>
      </c>
      <c r="K69" s="22">
        <v>12800000</v>
      </c>
      <c r="M69" s="22">
        <v>78429870497</v>
      </c>
      <c r="O69" s="22">
        <v>116335401988</v>
      </c>
      <c r="Q69" s="22">
        <v>-37905531491</v>
      </c>
    </row>
    <row r="70" spans="1:17" ht="18.75" x14ac:dyDescent="0.45">
      <c r="A70" s="29" t="s">
        <v>150</v>
      </c>
      <c r="C70" s="22">
        <v>691388</v>
      </c>
      <c r="E70" s="22">
        <v>2741536965</v>
      </c>
      <c r="G70" s="22">
        <v>2358810012</v>
      </c>
      <c r="I70" s="22">
        <v>382726953</v>
      </c>
      <c r="K70" s="22">
        <v>2337212</v>
      </c>
      <c r="M70" s="22">
        <v>10306943468</v>
      </c>
      <c r="O70" s="22">
        <v>7967650832</v>
      </c>
      <c r="Q70" s="22">
        <v>2339292636</v>
      </c>
    </row>
    <row r="71" spans="1:17" ht="18.75" x14ac:dyDescent="0.45">
      <c r="A71" s="29" t="s">
        <v>151</v>
      </c>
      <c r="J71" s="21"/>
      <c r="K71" s="22">
        <v>509996</v>
      </c>
      <c r="M71" s="22">
        <v>1511111738</v>
      </c>
      <c r="O71" s="22">
        <v>1214760264</v>
      </c>
      <c r="Q71" s="22">
        <v>296351474</v>
      </c>
    </row>
    <row r="72" spans="1:17" ht="18.75" x14ac:dyDescent="0.45">
      <c r="A72" s="29" t="s">
        <v>154</v>
      </c>
      <c r="C72" s="22">
        <v>150693</v>
      </c>
      <c r="E72" s="22">
        <v>983267348</v>
      </c>
      <c r="G72" s="22">
        <v>830040202</v>
      </c>
      <c r="I72" s="22">
        <v>153227146</v>
      </c>
      <c r="K72" s="22">
        <v>6052019</v>
      </c>
      <c r="M72" s="22">
        <v>34896500277</v>
      </c>
      <c r="O72" s="22">
        <v>33362940088</v>
      </c>
      <c r="Q72" s="22">
        <v>1533560189</v>
      </c>
    </row>
    <row r="73" spans="1:17" ht="18.75" x14ac:dyDescent="0.45">
      <c r="A73" s="29" t="s">
        <v>303</v>
      </c>
      <c r="J73" s="21"/>
      <c r="K73" s="22">
        <v>1313770</v>
      </c>
      <c r="M73" s="22">
        <v>34590634395</v>
      </c>
      <c r="O73" s="22">
        <v>45318479673</v>
      </c>
      <c r="Q73" s="22">
        <v>-10727845278</v>
      </c>
    </row>
    <row r="74" spans="1:17" ht="18.75" x14ac:dyDescent="0.45">
      <c r="A74" s="29" t="s">
        <v>305</v>
      </c>
      <c r="J74" s="21"/>
      <c r="K74" s="22">
        <v>411</v>
      </c>
      <c r="M74" s="22">
        <v>1101466</v>
      </c>
      <c r="O74" s="22">
        <v>992650</v>
      </c>
      <c r="Q74" s="22">
        <v>108816</v>
      </c>
    </row>
    <row r="75" spans="1:17" ht="18.75" x14ac:dyDescent="0.45">
      <c r="A75" s="29" t="s">
        <v>155</v>
      </c>
      <c r="C75" s="22">
        <v>498736</v>
      </c>
      <c r="E75" s="22">
        <v>2071450863</v>
      </c>
      <c r="G75" s="22">
        <v>1698994130</v>
      </c>
      <c r="I75" s="22">
        <v>372456733</v>
      </c>
      <c r="K75" s="22">
        <v>1433563</v>
      </c>
      <c r="M75" s="22">
        <v>5610118944</v>
      </c>
      <c r="O75" s="22">
        <v>4885635120</v>
      </c>
      <c r="Q75" s="22">
        <v>724483824</v>
      </c>
    </row>
    <row r="76" spans="1:17" ht="18.75" x14ac:dyDescent="0.45">
      <c r="A76" s="29" t="s">
        <v>157</v>
      </c>
      <c r="C76" s="22">
        <v>53361</v>
      </c>
      <c r="E76" s="22">
        <v>264315780</v>
      </c>
      <c r="G76" s="22">
        <v>286974568</v>
      </c>
      <c r="I76" s="22">
        <v>-22658788</v>
      </c>
      <c r="K76" s="22">
        <v>171473</v>
      </c>
      <c r="M76" s="22">
        <v>758960892</v>
      </c>
      <c r="O76" s="22">
        <v>922720055</v>
      </c>
      <c r="Q76" s="22">
        <v>-163759163</v>
      </c>
    </row>
    <row r="77" spans="1:17" ht="18.75" x14ac:dyDescent="0.45">
      <c r="A77" s="29" t="s">
        <v>158</v>
      </c>
      <c r="C77" s="22">
        <v>800000</v>
      </c>
      <c r="E77" s="22">
        <v>6250586437</v>
      </c>
      <c r="G77" s="22">
        <v>5564361217</v>
      </c>
      <c r="I77" s="22">
        <v>686225220</v>
      </c>
      <c r="K77" s="22">
        <v>800000</v>
      </c>
      <c r="M77" s="22">
        <v>6250586437</v>
      </c>
      <c r="O77" s="22">
        <v>5564361217</v>
      </c>
      <c r="Q77" s="22">
        <v>686225220</v>
      </c>
    </row>
    <row r="78" spans="1:17" ht="18.75" x14ac:dyDescent="0.45">
      <c r="A78" s="29" t="s">
        <v>160</v>
      </c>
      <c r="C78" s="22">
        <v>1400558</v>
      </c>
      <c r="E78" s="22">
        <v>14128323673</v>
      </c>
      <c r="G78" s="22">
        <v>12459379860</v>
      </c>
      <c r="I78" s="22">
        <v>1668943813</v>
      </c>
      <c r="K78" s="22">
        <v>8898258</v>
      </c>
      <c r="M78" s="22">
        <v>89215530574</v>
      </c>
      <c r="O78" s="22">
        <v>79162267483</v>
      </c>
      <c r="Q78" s="22">
        <v>10053263091</v>
      </c>
    </row>
    <row r="79" spans="1:17" ht="18.75" x14ac:dyDescent="0.45">
      <c r="A79" s="29" t="s">
        <v>161</v>
      </c>
      <c r="J79" s="21"/>
      <c r="K79" s="22">
        <v>1000000</v>
      </c>
      <c r="M79" s="22">
        <v>4284006369</v>
      </c>
      <c r="O79" s="22">
        <v>3549955462</v>
      </c>
      <c r="Q79" s="22">
        <v>734050907</v>
      </c>
    </row>
    <row r="80" spans="1:17" ht="18.75" x14ac:dyDescent="0.45">
      <c r="A80" s="29" t="s">
        <v>163</v>
      </c>
      <c r="C80" s="22">
        <v>2400000</v>
      </c>
      <c r="E80" s="22">
        <v>6924950014</v>
      </c>
      <c r="G80" s="22">
        <v>7590468294</v>
      </c>
      <c r="I80" s="22">
        <v>-665518280</v>
      </c>
      <c r="K80" s="22">
        <v>12171010</v>
      </c>
      <c r="M80" s="22">
        <v>39963214643</v>
      </c>
      <c r="O80" s="22">
        <v>38464194075</v>
      </c>
      <c r="Q80" s="22">
        <v>1499020568</v>
      </c>
    </row>
    <row r="81" spans="1:17" ht="18.75" x14ac:dyDescent="0.45">
      <c r="A81" s="29" t="s">
        <v>164</v>
      </c>
      <c r="J81" s="21"/>
      <c r="K81" s="22">
        <v>18800000</v>
      </c>
      <c r="M81" s="22">
        <v>28091711753</v>
      </c>
      <c r="O81" s="22">
        <v>29246986666</v>
      </c>
      <c r="Q81" s="22">
        <v>-1155274913</v>
      </c>
    </row>
    <row r="82" spans="1:17" ht="18.75" x14ac:dyDescent="0.45">
      <c r="A82" s="29" t="s">
        <v>310</v>
      </c>
      <c r="J82" s="21"/>
      <c r="K82" s="22">
        <v>177678</v>
      </c>
      <c r="M82" s="22">
        <v>5989000605</v>
      </c>
      <c r="O82" s="22">
        <v>6375488122</v>
      </c>
      <c r="Q82" s="22">
        <v>-386487517</v>
      </c>
    </row>
    <row r="83" spans="1:17" ht="18.75" x14ac:dyDescent="0.45">
      <c r="A83" s="29" t="s">
        <v>170</v>
      </c>
      <c r="J83" s="21"/>
      <c r="K83" s="22">
        <v>4260000</v>
      </c>
      <c r="M83" s="22">
        <v>14770469820</v>
      </c>
      <c r="O83" s="22">
        <v>14466092181</v>
      </c>
      <c r="Q83" s="22">
        <v>304377639</v>
      </c>
    </row>
    <row r="84" spans="1:17" ht="18.75" x14ac:dyDescent="0.45">
      <c r="A84" s="29" t="s">
        <v>171</v>
      </c>
      <c r="J84" s="21"/>
      <c r="K84" s="22">
        <v>3009494</v>
      </c>
      <c r="M84" s="22">
        <v>28410190787</v>
      </c>
      <c r="O84" s="22">
        <v>26933730534</v>
      </c>
      <c r="Q84" s="22">
        <v>1476460253</v>
      </c>
    </row>
    <row r="85" spans="1:17" ht="18.75" x14ac:dyDescent="0.45">
      <c r="A85" s="29" t="s">
        <v>175</v>
      </c>
      <c r="C85" s="22">
        <v>91016</v>
      </c>
      <c r="E85" s="22">
        <v>6017256158</v>
      </c>
      <c r="G85" s="22">
        <v>5481938138</v>
      </c>
      <c r="I85" s="22">
        <v>535318020</v>
      </c>
      <c r="K85" s="22">
        <v>91016</v>
      </c>
      <c r="M85" s="22">
        <v>6017256158</v>
      </c>
      <c r="O85" s="22">
        <v>5481938138</v>
      </c>
      <c r="Q85" s="22">
        <v>535318020</v>
      </c>
    </row>
    <row r="86" spans="1:17" ht="18.75" x14ac:dyDescent="0.45">
      <c r="A86" s="29" t="s">
        <v>176</v>
      </c>
      <c r="J86" s="21"/>
      <c r="K86" s="22">
        <v>3146214</v>
      </c>
      <c r="M86" s="22">
        <v>18223860883</v>
      </c>
      <c r="O86" s="22">
        <v>21126603614</v>
      </c>
      <c r="Q86" s="22">
        <v>-2902742731</v>
      </c>
    </row>
    <row r="87" spans="1:17" ht="18.75" x14ac:dyDescent="0.45">
      <c r="A87" s="29" t="s">
        <v>178</v>
      </c>
      <c r="J87" s="21"/>
      <c r="K87" s="22">
        <v>400000</v>
      </c>
      <c r="M87" s="22">
        <v>1100960502</v>
      </c>
      <c r="O87" s="22">
        <v>1041139008</v>
      </c>
      <c r="Q87" s="22">
        <v>59821494</v>
      </c>
    </row>
    <row r="88" spans="1:17" ht="18.75" x14ac:dyDescent="0.45">
      <c r="A88" s="29" t="s">
        <v>179</v>
      </c>
      <c r="C88" s="22">
        <v>3544759</v>
      </c>
      <c r="E88" s="22">
        <v>18764562621</v>
      </c>
      <c r="G88" s="22">
        <v>24629021269</v>
      </c>
      <c r="I88" s="22">
        <v>-5864458648</v>
      </c>
      <c r="K88" s="22">
        <v>3544759</v>
      </c>
      <c r="M88" s="22">
        <v>18764562621</v>
      </c>
      <c r="O88" s="22">
        <v>24629021269</v>
      </c>
      <c r="Q88" s="22">
        <v>-5864458648</v>
      </c>
    </row>
    <row r="89" spans="1:17" ht="18.75" x14ac:dyDescent="0.45">
      <c r="A89" s="29" t="s">
        <v>185</v>
      </c>
      <c r="J89" s="21"/>
      <c r="K89" s="22">
        <v>100000</v>
      </c>
      <c r="M89" s="22">
        <v>3089507415</v>
      </c>
      <c r="O89" s="22">
        <v>3569033865</v>
      </c>
      <c r="Q89" s="22">
        <v>-479526450</v>
      </c>
    </row>
    <row r="90" spans="1:17" ht="18.75" x14ac:dyDescent="0.45">
      <c r="A90" s="29" t="s">
        <v>187</v>
      </c>
      <c r="C90" s="22">
        <v>162462</v>
      </c>
      <c r="E90" s="22">
        <v>3682094025</v>
      </c>
      <c r="G90" s="22">
        <v>3009228165</v>
      </c>
      <c r="I90" s="22">
        <v>672865860</v>
      </c>
      <c r="K90" s="22">
        <v>4632725</v>
      </c>
      <c r="M90" s="22">
        <v>122539813493</v>
      </c>
      <c r="O90" s="22">
        <v>85705383616</v>
      </c>
      <c r="Q90" s="22">
        <v>36834429877</v>
      </c>
    </row>
    <row r="91" spans="1:17" ht="18.75" x14ac:dyDescent="0.45">
      <c r="A91" s="29" t="s">
        <v>188</v>
      </c>
      <c r="C91" s="22">
        <v>200000</v>
      </c>
      <c r="E91" s="22">
        <v>7760358096</v>
      </c>
      <c r="G91" s="22">
        <v>7266248031</v>
      </c>
      <c r="I91" s="22">
        <v>494110065</v>
      </c>
      <c r="K91" s="22">
        <v>200000</v>
      </c>
      <c r="M91" s="22">
        <v>7760358096</v>
      </c>
      <c r="O91" s="22">
        <v>7266248031</v>
      </c>
      <c r="Q91" s="22">
        <v>494110065</v>
      </c>
    </row>
    <row r="92" spans="1:17" ht="18.75" x14ac:dyDescent="0.45">
      <c r="A92" s="29" t="s">
        <v>189</v>
      </c>
      <c r="C92" s="22">
        <v>113138</v>
      </c>
      <c r="E92" s="22">
        <v>4532503647</v>
      </c>
      <c r="G92" s="22">
        <v>3695444647</v>
      </c>
      <c r="I92" s="22">
        <v>837059000</v>
      </c>
      <c r="K92" s="22">
        <v>113138</v>
      </c>
      <c r="M92" s="22">
        <v>4532503647</v>
      </c>
      <c r="O92" s="22">
        <v>3695444647</v>
      </c>
      <c r="Q92" s="22">
        <v>837059000</v>
      </c>
    </row>
    <row r="93" spans="1:17" ht="18.75" x14ac:dyDescent="0.45">
      <c r="A93" s="29" t="s">
        <v>190</v>
      </c>
      <c r="C93" s="22">
        <v>16888</v>
      </c>
      <c r="E93" s="22">
        <v>4811113928</v>
      </c>
      <c r="G93" s="22">
        <v>4595959881</v>
      </c>
      <c r="I93" s="22">
        <v>215154047</v>
      </c>
      <c r="K93" s="22">
        <v>66888</v>
      </c>
      <c r="M93" s="22">
        <v>17351055718</v>
      </c>
      <c r="O93" s="22">
        <v>17114520081</v>
      </c>
      <c r="Q93" s="22">
        <v>236535637</v>
      </c>
    </row>
    <row r="94" spans="1:17" ht="18.75" x14ac:dyDescent="0.45">
      <c r="A94" s="29" t="s">
        <v>193</v>
      </c>
      <c r="C94" s="22">
        <v>2997400</v>
      </c>
      <c r="E94" s="22">
        <v>5498843297</v>
      </c>
      <c r="G94" s="22">
        <v>6869866693</v>
      </c>
      <c r="I94" s="22">
        <v>-1371023396</v>
      </c>
      <c r="K94" s="22">
        <v>4353650</v>
      </c>
      <c r="M94" s="22">
        <v>8047152643</v>
      </c>
      <c r="O94" s="22">
        <v>9977952444</v>
      </c>
      <c r="Q94" s="22">
        <v>-1930799801</v>
      </c>
    </row>
    <row r="95" spans="1:17" ht="18.75" x14ac:dyDescent="0.45">
      <c r="A95" s="29" t="s">
        <v>194</v>
      </c>
      <c r="C95" s="22">
        <v>777937</v>
      </c>
      <c r="E95" s="22">
        <v>9365566160</v>
      </c>
      <c r="G95" s="22">
        <v>9455093670</v>
      </c>
      <c r="I95" s="22">
        <v>-89527510</v>
      </c>
      <c r="K95" s="22">
        <v>777937</v>
      </c>
      <c r="M95" s="22">
        <v>9365566160</v>
      </c>
      <c r="O95" s="22">
        <v>9455093670</v>
      </c>
      <c r="Q95" s="22">
        <v>-89527510</v>
      </c>
    </row>
    <row r="96" spans="1:17" ht="18.75" x14ac:dyDescent="0.45">
      <c r="A96" s="29" t="s">
        <v>199</v>
      </c>
      <c r="C96" s="22">
        <v>1200000</v>
      </c>
      <c r="E96" s="22">
        <v>3600051504</v>
      </c>
      <c r="G96" s="22">
        <v>3554786563</v>
      </c>
      <c r="I96" s="22">
        <v>45264941</v>
      </c>
      <c r="K96" s="22">
        <v>1200000</v>
      </c>
      <c r="M96" s="22">
        <v>3600051504</v>
      </c>
      <c r="O96" s="22">
        <v>3554786563</v>
      </c>
      <c r="Q96" s="22">
        <v>45264941</v>
      </c>
    </row>
    <row r="97" spans="1:17" ht="18.75" x14ac:dyDescent="0.45">
      <c r="A97" s="29" t="s">
        <v>203</v>
      </c>
      <c r="J97" s="21"/>
      <c r="K97" s="22">
        <v>2800000</v>
      </c>
      <c r="M97" s="22">
        <v>5594513564</v>
      </c>
      <c r="O97" s="22">
        <v>7377783335</v>
      </c>
      <c r="Q97" s="22">
        <v>-1783269771</v>
      </c>
    </row>
    <row r="98" spans="1:17" ht="37.5" x14ac:dyDescent="0.45">
      <c r="A98" s="29" t="s">
        <v>205</v>
      </c>
      <c r="C98" s="22">
        <v>6431522</v>
      </c>
      <c r="E98" s="22">
        <v>6063698443</v>
      </c>
      <c r="G98" s="22">
        <v>8517879628</v>
      </c>
      <c r="I98" s="22">
        <v>-2454181185</v>
      </c>
      <c r="K98" s="22">
        <v>6811455</v>
      </c>
      <c r="M98" s="22">
        <v>6427981719</v>
      </c>
      <c r="O98" s="22">
        <v>9021024856</v>
      </c>
      <c r="Q98" s="22">
        <v>-2593043137</v>
      </c>
    </row>
    <row r="99" spans="1:17" ht="18.75" x14ac:dyDescent="0.45">
      <c r="A99" s="24" t="s">
        <v>207</v>
      </c>
      <c r="C99" s="24">
        <f>SUM(C9:$C$98)</f>
        <v>95793644</v>
      </c>
      <c r="E99" s="24">
        <f>SUM(E9:$E$98)</f>
        <v>374449169080</v>
      </c>
      <c r="G99" s="24">
        <f>SUM(G9:$G$98)</f>
        <v>416330072554</v>
      </c>
      <c r="I99" s="24">
        <f>SUM(I9:$I$98)</f>
        <v>-41880903474</v>
      </c>
      <c r="K99" s="24">
        <f>SUM(K9:$K$98)</f>
        <v>344860121</v>
      </c>
      <c r="M99" s="24">
        <f>SUM(M9:$M$98)</f>
        <v>1719030095188</v>
      </c>
      <c r="O99" s="24">
        <f>SUM(O9:$O$98)</f>
        <v>1725219379900</v>
      </c>
      <c r="Q99" s="24">
        <f>SUM(Q9:$Q$98)</f>
        <v>-6189284712</v>
      </c>
    </row>
    <row r="100" spans="1:17" ht="18.75" x14ac:dyDescent="0.45">
      <c r="C100" s="26"/>
      <c r="E100" s="26"/>
      <c r="G100" s="26"/>
      <c r="I100" s="26"/>
      <c r="K100" s="26"/>
      <c r="M100" s="26"/>
      <c r="O100" s="26"/>
      <c r="Q100" s="26"/>
    </row>
    <row r="102" spans="1:17" ht="18.75" x14ac:dyDescent="0.45">
      <c r="A102" s="31" t="s">
        <v>323</v>
      </c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3"/>
    </row>
  </sheetData>
  <mergeCells count="7">
    <mergeCell ref="A102:Q102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7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202"/>
  <sheetViews>
    <sheetView rightToLeft="1" view="pageBreakPreview" topLeftCell="A16" zoomScale="44" zoomScaleNormal="100" zoomScaleSheetLayoutView="44" workbookViewId="0">
      <selection activeCellId="1" sqref="A1:W1 A1:XFD1048576"/>
    </sheetView>
  </sheetViews>
  <sheetFormatPr defaultRowHeight="18" x14ac:dyDescent="0.45"/>
  <cols>
    <col min="1" max="1" width="21.85546875" style="12" bestFit="1" customWidth="1"/>
    <col min="2" max="2" width="1.42578125" style="12" customWidth="1"/>
    <col min="3" max="3" width="15.140625" style="12" bestFit="1" customWidth="1"/>
    <col min="4" max="4" width="1.42578125" style="12" customWidth="1"/>
    <col min="5" max="5" width="19.42578125" style="12" bestFit="1" customWidth="1"/>
    <col min="6" max="6" width="1.42578125" style="12" customWidth="1"/>
    <col min="7" max="7" width="19.85546875" style="12" bestFit="1" customWidth="1"/>
    <col min="8" max="8" width="1.42578125" style="12" customWidth="1"/>
    <col min="9" max="9" width="18" style="12" bestFit="1" customWidth="1"/>
    <col min="10" max="10" width="1.42578125" style="12" customWidth="1"/>
    <col min="11" max="11" width="15.140625" style="12" bestFit="1" customWidth="1"/>
    <col min="12" max="12" width="1.42578125" style="12" customWidth="1"/>
    <col min="13" max="13" width="19.42578125" style="12" bestFit="1" customWidth="1"/>
    <col min="14" max="14" width="1.42578125" style="12" customWidth="1"/>
    <col min="15" max="15" width="19.140625" style="12" bestFit="1" customWidth="1"/>
    <col min="16" max="16" width="1.42578125" style="12" customWidth="1"/>
    <col min="17" max="17" width="18.28515625" style="12" bestFit="1" customWidth="1"/>
    <col min="18" max="16384" width="9.140625" style="12"/>
  </cols>
  <sheetData>
    <row r="1" spans="1:17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20.100000000000001" customHeight="1" x14ac:dyDescent="0.45">
      <c r="A2" s="10" t="s">
        <v>243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5" spans="1:17" ht="21" x14ac:dyDescent="0.45">
      <c r="A5" s="13" t="s">
        <v>324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7" spans="1:17" ht="21" x14ac:dyDescent="0.45">
      <c r="C7" s="14" t="s">
        <v>255</v>
      </c>
      <c r="D7" s="15"/>
      <c r="E7" s="15"/>
      <c r="F7" s="15"/>
      <c r="G7" s="15"/>
      <c r="H7" s="15"/>
      <c r="I7" s="15"/>
      <c r="K7" s="14" t="s">
        <v>7</v>
      </c>
      <c r="L7" s="15"/>
      <c r="M7" s="15"/>
      <c r="N7" s="15"/>
      <c r="O7" s="15"/>
      <c r="P7" s="15"/>
      <c r="Q7" s="15"/>
    </row>
    <row r="8" spans="1:17" ht="42" x14ac:dyDescent="0.45">
      <c r="A8" s="30" t="s">
        <v>245</v>
      </c>
      <c r="C8" s="28" t="s">
        <v>9</v>
      </c>
      <c r="E8" s="28" t="s">
        <v>11</v>
      </c>
      <c r="G8" s="28" t="s">
        <v>321</v>
      </c>
      <c r="I8" s="28" t="s">
        <v>325</v>
      </c>
      <c r="K8" s="28" t="s">
        <v>9</v>
      </c>
      <c r="M8" s="28" t="s">
        <v>11</v>
      </c>
      <c r="O8" s="28" t="s">
        <v>321</v>
      </c>
      <c r="Q8" s="28" t="s">
        <v>325</v>
      </c>
    </row>
    <row r="9" spans="1:17" ht="18.75" x14ac:dyDescent="0.45">
      <c r="A9" s="29" t="s">
        <v>17</v>
      </c>
      <c r="C9" s="22">
        <v>1183678</v>
      </c>
      <c r="E9" s="22">
        <v>10060230241</v>
      </c>
      <c r="G9" s="22">
        <v>9974996868</v>
      </c>
      <c r="I9" s="22">
        <v>85233373</v>
      </c>
      <c r="K9" s="22">
        <v>1183678</v>
      </c>
      <c r="M9" s="22">
        <v>10060230241</v>
      </c>
      <c r="O9" s="22">
        <v>9974996868</v>
      </c>
      <c r="Q9" s="22">
        <v>85233373</v>
      </c>
    </row>
    <row r="10" spans="1:17" ht="18.75" x14ac:dyDescent="0.45">
      <c r="A10" s="29" t="s">
        <v>18</v>
      </c>
      <c r="C10" s="22">
        <v>108909</v>
      </c>
      <c r="E10" s="22">
        <v>12901462351</v>
      </c>
      <c r="G10" s="22">
        <v>9972240615</v>
      </c>
      <c r="I10" s="22">
        <v>2929221736</v>
      </c>
      <c r="K10" s="22">
        <v>108909</v>
      </c>
      <c r="M10" s="22">
        <v>12901462351</v>
      </c>
      <c r="O10" s="22">
        <v>9972240615</v>
      </c>
      <c r="Q10" s="22">
        <v>2929221736</v>
      </c>
    </row>
    <row r="11" spans="1:17" ht="18.75" x14ac:dyDescent="0.45">
      <c r="A11" s="29" t="s">
        <v>19</v>
      </c>
      <c r="C11" s="22">
        <v>50000</v>
      </c>
      <c r="E11" s="22">
        <v>1530837000</v>
      </c>
      <c r="G11" s="22">
        <v>1401610500</v>
      </c>
      <c r="I11" s="22">
        <v>129226500</v>
      </c>
      <c r="K11" s="22">
        <v>50000</v>
      </c>
      <c r="M11" s="22">
        <v>1530837000</v>
      </c>
      <c r="O11" s="22">
        <v>1304690625</v>
      </c>
      <c r="Q11" s="22">
        <v>226146375</v>
      </c>
    </row>
    <row r="12" spans="1:17" ht="18.75" x14ac:dyDescent="0.45">
      <c r="A12" s="29" t="s">
        <v>20</v>
      </c>
      <c r="C12" s="22">
        <v>5085974</v>
      </c>
      <c r="E12" s="22">
        <v>23660734288</v>
      </c>
      <c r="G12" s="22">
        <v>22096571620</v>
      </c>
      <c r="I12" s="22">
        <v>1564162668</v>
      </c>
      <c r="K12" s="22">
        <v>5085974</v>
      </c>
      <c r="M12" s="22">
        <v>23660734288</v>
      </c>
      <c r="O12" s="22">
        <v>22096571620</v>
      </c>
      <c r="Q12" s="22">
        <v>1564162668</v>
      </c>
    </row>
    <row r="13" spans="1:17" ht="18.75" x14ac:dyDescent="0.45">
      <c r="A13" s="29" t="s">
        <v>21</v>
      </c>
      <c r="C13" s="22">
        <v>245000</v>
      </c>
      <c r="E13" s="22">
        <v>2269813770</v>
      </c>
      <c r="G13" s="22">
        <v>1682876947</v>
      </c>
      <c r="I13" s="22">
        <v>586936823</v>
      </c>
      <c r="K13" s="22">
        <v>245000</v>
      </c>
      <c r="M13" s="22">
        <v>2269813770</v>
      </c>
      <c r="O13" s="22">
        <v>1736456242</v>
      </c>
      <c r="Q13" s="22">
        <v>533357528</v>
      </c>
    </row>
    <row r="14" spans="1:17" ht="18.75" x14ac:dyDescent="0.45">
      <c r="A14" s="29" t="s">
        <v>22</v>
      </c>
      <c r="C14" s="22">
        <v>2124125</v>
      </c>
      <c r="E14" s="22">
        <v>9831080940</v>
      </c>
      <c r="G14" s="22">
        <v>8570523526</v>
      </c>
      <c r="I14" s="22">
        <v>1260557414</v>
      </c>
      <c r="K14" s="22">
        <v>2124125</v>
      </c>
      <c r="M14" s="22">
        <v>9831080940</v>
      </c>
      <c r="O14" s="22">
        <v>8803931592</v>
      </c>
      <c r="Q14" s="22">
        <v>1027149348</v>
      </c>
    </row>
    <row r="15" spans="1:17" ht="18.75" x14ac:dyDescent="0.45">
      <c r="A15" s="29" t="s">
        <v>23</v>
      </c>
      <c r="C15" s="22">
        <v>2598170</v>
      </c>
      <c r="E15" s="22">
        <v>26911847458</v>
      </c>
      <c r="G15" s="22">
        <v>24219065339</v>
      </c>
      <c r="I15" s="22">
        <v>2692782119</v>
      </c>
      <c r="K15" s="22">
        <v>2598170</v>
      </c>
      <c r="M15" s="22">
        <v>26911847458</v>
      </c>
      <c r="O15" s="22">
        <v>23170949357</v>
      </c>
      <c r="Q15" s="22">
        <v>3740898101</v>
      </c>
    </row>
    <row r="16" spans="1:17" ht="18.75" x14ac:dyDescent="0.45">
      <c r="A16" s="29" t="s">
        <v>24</v>
      </c>
      <c r="C16" s="22">
        <v>6200000</v>
      </c>
      <c r="E16" s="22">
        <v>26082281520</v>
      </c>
      <c r="G16" s="22">
        <v>23864867266</v>
      </c>
      <c r="I16" s="22">
        <v>2217414254</v>
      </c>
      <c r="K16" s="22">
        <v>6200000</v>
      </c>
      <c r="M16" s="22">
        <v>26082281520</v>
      </c>
      <c r="O16" s="22">
        <v>23409875494</v>
      </c>
      <c r="Q16" s="22">
        <v>2672406026</v>
      </c>
    </row>
    <row r="17" spans="1:17" ht="18.75" x14ac:dyDescent="0.45">
      <c r="A17" s="29" t="s">
        <v>25</v>
      </c>
      <c r="C17" s="22">
        <v>2800000</v>
      </c>
      <c r="E17" s="22">
        <v>11403343980</v>
      </c>
      <c r="G17" s="22">
        <v>10743692400</v>
      </c>
      <c r="I17" s="22">
        <v>659651580</v>
      </c>
      <c r="K17" s="22">
        <v>2800000</v>
      </c>
      <c r="M17" s="22">
        <v>11403343980</v>
      </c>
      <c r="O17" s="22">
        <v>10433055504</v>
      </c>
      <c r="Q17" s="22">
        <v>970288476</v>
      </c>
    </row>
    <row r="18" spans="1:17" ht="18.75" x14ac:dyDescent="0.45">
      <c r="A18" s="29" t="s">
        <v>26</v>
      </c>
      <c r="C18" s="22">
        <v>7326393</v>
      </c>
      <c r="E18" s="22">
        <v>17784599948</v>
      </c>
      <c r="G18" s="22">
        <v>8990631678</v>
      </c>
      <c r="I18" s="22">
        <v>8793968270</v>
      </c>
      <c r="K18" s="22">
        <v>7326393</v>
      </c>
      <c r="M18" s="22">
        <v>17784599948</v>
      </c>
      <c r="O18" s="22">
        <v>24274726521</v>
      </c>
      <c r="Q18" s="22">
        <v>-6490126573</v>
      </c>
    </row>
    <row r="19" spans="1:17" ht="18.75" x14ac:dyDescent="0.45">
      <c r="A19" s="29" t="s">
        <v>27</v>
      </c>
      <c r="C19" s="22">
        <v>2350568</v>
      </c>
      <c r="E19" s="22">
        <v>36917997502</v>
      </c>
      <c r="G19" s="22">
        <v>32246896344</v>
      </c>
      <c r="I19" s="22">
        <v>4671101158</v>
      </c>
      <c r="K19" s="22">
        <v>2350568</v>
      </c>
      <c r="M19" s="22">
        <v>36917997502</v>
      </c>
      <c r="O19" s="22">
        <v>35096101998</v>
      </c>
      <c r="Q19" s="22">
        <v>1821895504</v>
      </c>
    </row>
    <row r="20" spans="1:17" ht="18.75" x14ac:dyDescent="0.45">
      <c r="A20" s="29" t="s">
        <v>28</v>
      </c>
      <c r="C20" s="22">
        <v>6665950</v>
      </c>
      <c r="E20" s="22">
        <v>24749184177</v>
      </c>
      <c r="G20" s="22">
        <v>21766677064</v>
      </c>
      <c r="I20" s="22">
        <v>2982507113</v>
      </c>
      <c r="K20" s="22">
        <v>6665950</v>
      </c>
      <c r="M20" s="22">
        <v>24749184177</v>
      </c>
      <c r="O20" s="22">
        <v>16121757725</v>
      </c>
      <c r="Q20" s="22">
        <v>8627426452</v>
      </c>
    </row>
    <row r="21" spans="1:17" ht="18.75" x14ac:dyDescent="0.45">
      <c r="A21" s="29" t="s">
        <v>29</v>
      </c>
      <c r="C21" s="22">
        <v>40000000</v>
      </c>
      <c r="E21" s="22">
        <v>21153384000</v>
      </c>
      <c r="G21" s="22">
        <v>16445676215</v>
      </c>
      <c r="I21" s="22">
        <v>4707707785</v>
      </c>
      <c r="K21" s="22">
        <v>40000000</v>
      </c>
      <c r="M21" s="22">
        <v>21153384000</v>
      </c>
      <c r="O21" s="22">
        <v>16293963299</v>
      </c>
      <c r="Q21" s="22">
        <v>4859420701</v>
      </c>
    </row>
    <row r="22" spans="1:17" ht="18.75" x14ac:dyDescent="0.45">
      <c r="A22" s="29" t="s">
        <v>30</v>
      </c>
      <c r="C22" s="22">
        <v>1750000</v>
      </c>
      <c r="E22" s="22">
        <v>7532413875</v>
      </c>
      <c r="G22" s="22">
        <v>5933732962</v>
      </c>
      <c r="I22" s="22">
        <v>1598680913</v>
      </c>
      <c r="K22" s="22">
        <v>1750000</v>
      </c>
      <c r="M22" s="22">
        <v>7532413875</v>
      </c>
      <c r="O22" s="22">
        <v>4695146662</v>
      </c>
      <c r="Q22" s="22">
        <v>2837267213</v>
      </c>
    </row>
    <row r="23" spans="1:17" ht="18.75" x14ac:dyDescent="0.45">
      <c r="A23" s="29" t="s">
        <v>31</v>
      </c>
      <c r="C23" s="22">
        <v>11109504</v>
      </c>
      <c r="E23" s="22">
        <v>18298917862</v>
      </c>
      <c r="G23" s="22">
        <v>14948392055</v>
      </c>
      <c r="I23" s="22">
        <v>3350525807</v>
      </c>
      <c r="K23" s="22">
        <v>11109504</v>
      </c>
      <c r="M23" s="22">
        <v>18298917862</v>
      </c>
      <c r="O23" s="22">
        <v>14263506809</v>
      </c>
      <c r="Q23" s="22">
        <v>4035411053</v>
      </c>
    </row>
    <row r="24" spans="1:17" ht="18.75" x14ac:dyDescent="0.45">
      <c r="A24" s="29" t="s">
        <v>32</v>
      </c>
      <c r="C24" s="22">
        <v>28966397</v>
      </c>
      <c r="E24" s="22">
        <v>13475613967</v>
      </c>
      <c r="G24" s="22">
        <v>11313830598</v>
      </c>
      <c r="I24" s="22">
        <v>2161783369</v>
      </c>
      <c r="K24" s="22">
        <v>28966397</v>
      </c>
      <c r="M24" s="22">
        <v>13475613967</v>
      </c>
      <c r="O24" s="22">
        <v>11160852097</v>
      </c>
      <c r="Q24" s="22">
        <v>2314761870</v>
      </c>
    </row>
    <row r="25" spans="1:17" ht="18.75" x14ac:dyDescent="0.45">
      <c r="A25" s="29" t="s">
        <v>33</v>
      </c>
      <c r="C25" s="22">
        <v>40800000</v>
      </c>
      <c r="E25" s="22">
        <v>23442084720</v>
      </c>
      <c r="G25" s="22">
        <v>21014394825</v>
      </c>
      <c r="I25" s="22">
        <v>2427689895</v>
      </c>
      <c r="K25" s="22">
        <v>40800000</v>
      </c>
      <c r="M25" s="22">
        <v>23442084720</v>
      </c>
      <c r="O25" s="22">
        <v>21017261457</v>
      </c>
      <c r="Q25" s="22">
        <v>2424823263</v>
      </c>
    </row>
    <row r="26" spans="1:17" ht="18.75" x14ac:dyDescent="0.45">
      <c r="A26" s="29" t="s">
        <v>34</v>
      </c>
      <c r="C26" s="22">
        <v>25180938</v>
      </c>
      <c r="E26" s="22">
        <v>30638080377</v>
      </c>
      <c r="G26" s="22">
        <v>26617865039</v>
      </c>
      <c r="I26" s="22">
        <v>4020215338</v>
      </c>
      <c r="K26" s="22">
        <v>25180938</v>
      </c>
      <c r="M26" s="22">
        <v>30638080377</v>
      </c>
      <c r="O26" s="22">
        <v>25869502354</v>
      </c>
      <c r="Q26" s="22">
        <v>4768578023</v>
      </c>
    </row>
    <row r="27" spans="1:17" ht="18.75" x14ac:dyDescent="0.45">
      <c r="A27" s="29" t="s">
        <v>35</v>
      </c>
      <c r="C27" s="22">
        <v>5060139</v>
      </c>
      <c r="E27" s="22">
        <v>24129059537</v>
      </c>
      <c r="G27" s="22">
        <v>21069522683</v>
      </c>
      <c r="I27" s="22">
        <v>3059536854</v>
      </c>
      <c r="K27" s="22">
        <v>5060139</v>
      </c>
      <c r="M27" s="22">
        <v>24129059537</v>
      </c>
      <c r="O27" s="22">
        <v>21069522683</v>
      </c>
      <c r="Q27" s="22">
        <v>3059536854</v>
      </c>
    </row>
    <row r="28" spans="1:17" ht="18.75" x14ac:dyDescent="0.45">
      <c r="A28" s="29" t="s">
        <v>36</v>
      </c>
      <c r="C28" s="22">
        <v>8769241</v>
      </c>
      <c r="E28" s="22">
        <v>37544394717</v>
      </c>
      <c r="G28" s="22">
        <v>36816758080</v>
      </c>
      <c r="I28" s="22">
        <v>727636637</v>
      </c>
      <c r="K28" s="22">
        <v>8769241</v>
      </c>
      <c r="M28" s="22">
        <v>37544394717</v>
      </c>
      <c r="O28" s="22">
        <v>36816758080</v>
      </c>
      <c r="Q28" s="22">
        <v>727636637</v>
      </c>
    </row>
    <row r="29" spans="1:17" ht="18.75" x14ac:dyDescent="0.45">
      <c r="A29" s="29" t="s">
        <v>37</v>
      </c>
      <c r="C29" s="22">
        <v>26443829</v>
      </c>
      <c r="E29" s="22">
        <v>39929175602</v>
      </c>
      <c r="G29" s="22">
        <v>38451460463</v>
      </c>
      <c r="I29" s="22">
        <v>1477715139</v>
      </c>
      <c r="K29" s="22">
        <v>26443829</v>
      </c>
      <c r="M29" s="22">
        <v>39929175602</v>
      </c>
      <c r="O29" s="22">
        <v>38200298482</v>
      </c>
      <c r="Q29" s="22">
        <v>1728877120</v>
      </c>
    </row>
    <row r="30" spans="1:17" ht="18.75" x14ac:dyDescent="0.45">
      <c r="A30" s="29" t="s">
        <v>38</v>
      </c>
      <c r="C30" s="22">
        <v>9313038</v>
      </c>
      <c r="E30" s="22">
        <v>14006787266</v>
      </c>
      <c r="G30" s="22">
        <v>12539665741</v>
      </c>
      <c r="I30" s="22">
        <v>1467121525</v>
      </c>
      <c r="K30" s="22">
        <v>9313038</v>
      </c>
      <c r="M30" s="22">
        <v>14006787266</v>
      </c>
      <c r="O30" s="22">
        <v>12506542821</v>
      </c>
      <c r="Q30" s="22">
        <v>1500244445</v>
      </c>
    </row>
    <row r="31" spans="1:17" ht="18.75" x14ac:dyDescent="0.45">
      <c r="A31" s="29" t="s">
        <v>39</v>
      </c>
      <c r="C31" s="22">
        <v>9169979</v>
      </c>
      <c r="E31" s="22">
        <v>19771340829</v>
      </c>
      <c r="G31" s="22">
        <v>19278502360</v>
      </c>
      <c r="I31" s="22">
        <v>492838469</v>
      </c>
      <c r="K31" s="22">
        <v>9169979</v>
      </c>
      <c r="M31" s="22">
        <v>19771340829</v>
      </c>
      <c r="O31" s="22">
        <v>19362075938</v>
      </c>
      <c r="Q31" s="22">
        <v>409264891</v>
      </c>
    </row>
    <row r="32" spans="1:17" ht="18.75" x14ac:dyDescent="0.45">
      <c r="A32" s="29" t="s">
        <v>40</v>
      </c>
      <c r="C32" s="22">
        <v>2875000</v>
      </c>
      <c r="E32" s="22">
        <v>5772945375</v>
      </c>
      <c r="G32" s="22">
        <v>5355692887</v>
      </c>
      <c r="I32" s="22">
        <v>417252488</v>
      </c>
      <c r="K32" s="22">
        <v>2875000</v>
      </c>
      <c r="M32" s="22">
        <v>5772945375</v>
      </c>
      <c r="O32" s="22">
        <v>5893653906</v>
      </c>
      <c r="Q32" s="22">
        <v>-120708531</v>
      </c>
    </row>
    <row r="33" spans="1:17" ht="18.75" x14ac:dyDescent="0.45">
      <c r="A33" s="29" t="s">
        <v>41</v>
      </c>
      <c r="C33" s="22">
        <v>7665640</v>
      </c>
      <c r="E33" s="22">
        <v>10607080983</v>
      </c>
      <c r="G33" s="22">
        <v>10083933647</v>
      </c>
      <c r="I33" s="22">
        <v>523147336</v>
      </c>
      <c r="K33" s="22">
        <v>7665640</v>
      </c>
      <c r="M33" s="22">
        <v>10607080983</v>
      </c>
      <c r="O33" s="22">
        <v>10065817059</v>
      </c>
      <c r="Q33" s="22">
        <v>541263924</v>
      </c>
    </row>
    <row r="34" spans="1:17" ht="37.5" x14ac:dyDescent="0.45">
      <c r="A34" s="29" t="s">
        <v>42</v>
      </c>
      <c r="C34" s="22">
        <v>8791020</v>
      </c>
      <c r="E34" s="22">
        <v>19644627793</v>
      </c>
      <c r="G34" s="22">
        <v>19470317372</v>
      </c>
      <c r="I34" s="22">
        <v>174310421</v>
      </c>
      <c r="K34" s="22">
        <v>8791020</v>
      </c>
      <c r="M34" s="22">
        <v>19644627793</v>
      </c>
      <c r="O34" s="22">
        <v>19419675973</v>
      </c>
      <c r="Q34" s="22">
        <v>224951820</v>
      </c>
    </row>
    <row r="35" spans="1:17" ht="18.75" x14ac:dyDescent="0.45">
      <c r="A35" s="29" t="s">
        <v>43</v>
      </c>
      <c r="C35" s="22">
        <v>12393399</v>
      </c>
      <c r="E35" s="22">
        <v>19292584860</v>
      </c>
      <c r="G35" s="22">
        <v>18711910843</v>
      </c>
      <c r="I35" s="22">
        <v>580674017</v>
      </c>
      <c r="K35" s="22">
        <v>12393399</v>
      </c>
      <c r="M35" s="22">
        <v>19292584860</v>
      </c>
      <c r="O35" s="22">
        <v>18510273240</v>
      </c>
      <c r="Q35" s="22">
        <v>782311620</v>
      </c>
    </row>
    <row r="36" spans="1:17" ht="18.75" x14ac:dyDescent="0.45">
      <c r="A36" s="29" t="s">
        <v>44</v>
      </c>
      <c r="C36" s="22">
        <v>6249989</v>
      </c>
      <c r="E36" s="22">
        <v>21626762249</v>
      </c>
      <c r="G36" s="22">
        <v>18189982859</v>
      </c>
      <c r="I36" s="22">
        <v>3436779390</v>
      </c>
      <c r="K36" s="22">
        <v>6249989</v>
      </c>
      <c r="M36" s="22">
        <v>21626762249</v>
      </c>
      <c r="O36" s="22">
        <v>21980891940</v>
      </c>
      <c r="Q36" s="22">
        <v>-354129691</v>
      </c>
    </row>
    <row r="37" spans="1:17" ht="18.75" x14ac:dyDescent="0.45">
      <c r="A37" s="29" t="s">
        <v>45</v>
      </c>
      <c r="C37" s="22">
        <v>4112494</v>
      </c>
      <c r="E37" s="22">
        <v>27675926953</v>
      </c>
      <c r="G37" s="22">
        <v>28512665240</v>
      </c>
      <c r="I37" s="22">
        <v>-836738287</v>
      </c>
      <c r="K37" s="22">
        <v>4112494</v>
      </c>
      <c r="M37" s="22">
        <v>27675926953</v>
      </c>
      <c r="O37" s="22">
        <v>25550154129</v>
      </c>
      <c r="Q37" s="22">
        <v>2125772824</v>
      </c>
    </row>
    <row r="38" spans="1:17" ht="18.75" x14ac:dyDescent="0.45">
      <c r="A38" s="29" t="s">
        <v>46</v>
      </c>
      <c r="C38" s="22">
        <v>9360312</v>
      </c>
      <c r="E38" s="22">
        <v>19372214975</v>
      </c>
      <c r="G38" s="22">
        <v>17913603013</v>
      </c>
      <c r="I38" s="22">
        <v>1458611962</v>
      </c>
      <c r="K38" s="22">
        <v>9360312</v>
      </c>
      <c r="M38" s="22">
        <v>19372214975</v>
      </c>
      <c r="O38" s="22">
        <v>17860706169</v>
      </c>
      <c r="Q38" s="22">
        <v>1511508806</v>
      </c>
    </row>
    <row r="39" spans="1:17" ht="18.75" x14ac:dyDescent="0.45">
      <c r="A39" s="29" t="s">
        <v>275</v>
      </c>
      <c r="C39" s="22">
        <v>1916567</v>
      </c>
      <c r="E39" s="22">
        <v>6687123626</v>
      </c>
      <c r="G39" s="22">
        <v>5976497668</v>
      </c>
      <c r="I39" s="22">
        <v>710625958</v>
      </c>
      <c r="K39" s="22">
        <v>1916567</v>
      </c>
      <c r="M39" s="22">
        <v>6687123626</v>
      </c>
      <c r="O39" s="22">
        <v>8809475685</v>
      </c>
      <c r="Q39" s="22">
        <v>-2122352059</v>
      </c>
    </row>
    <row r="40" spans="1:17" ht="18.75" x14ac:dyDescent="0.45">
      <c r="A40" s="29" t="s">
        <v>48</v>
      </c>
      <c r="C40" s="22">
        <v>9400000</v>
      </c>
      <c r="E40" s="22">
        <v>16781949720</v>
      </c>
      <c r="G40" s="22">
        <v>15462776098</v>
      </c>
      <c r="I40" s="22">
        <v>1319173622</v>
      </c>
      <c r="K40" s="22">
        <v>9400000</v>
      </c>
      <c r="M40" s="22">
        <v>16781949720</v>
      </c>
      <c r="O40" s="22">
        <v>14420634180</v>
      </c>
      <c r="Q40" s="22">
        <v>2361315540</v>
      </c>
    </row>
    <row r="41" spans="1:17" ht="37.5" x14ac:dyDescent="0.45">
      <c r="A41" s="29" t="s">
        <v>49</v>
      </c>
      <c r="C41" s="22">
        <v>842177</v>
      </c>
      <c r="E41" s="22">
        <v>3531166386</v>
      </c>
      <c r="G41" s="22">
        <v>3072399392</v>
      </c>
      <c r="I41" s="22">
        <v>458766994</v>
      </c>
      <c r="K41" s="22">
        <v>842177</v>
      </c>
      <c r="M41" s="22">
        <v>3531166386</v>
      </c>
      <c r="O41" s="22">
        <v>5324376058</v>
      </c>
      <c r="Q41" s="22">
        <v>-1793209672</v>
      </c>
    </row>
    <row r="42" spans="1:17" ht="37.5" x14ac:dyDescent="0.45">
      <c r="A42" s="29" t="s">
        <v>50</v>
      </c>
      <c r="C42" s="22">
        <v>285750</v>
      </c>
      <c r="E42" s="22">
        <v>14486539162</v>
      </c>
      <c r="G42" s="22">
        <v>12768037948</v>
      </c>
      <c r="I42" s="22">
        <v>1718501214</v>
      </c>
      <c r="K42" s="22">
        <v>285750</v>
      </c>
      <c r="M42" s="22">
        <v>14486539162</v>
      </c>
      <c r="O42" s="22">
        <v>13648592289</v>
      </c>
      <c r="Q42" s="22">
        <v>837946873</v>
      </c>
    </row>
    <row r="43" spans="1:17" ht="18.75" x14ac:dyDescent="0.45">
      <c r="A43" s="29" t="s">
        <v>51</v>
      </c>
      <c r="C43" s="22">
        <v>10896746</v>
      </c>
      <c r="E43" s="22">
        <v>20580629686</v>
      </c>
      <c r="G43" s="22">
        <v>17903509122</v>
      </c>
      <c r="I43" s="22">
        <v>2677120564</v>
      </c>
      <c r="K43" s="22">
        <v>10896746</v>
      </c>
      <c r="M43" s="22">
        <v>20580629686</v>
      </c>
      <c r="O43" s="22">
        <v>17903509122</v>
      </c>
      <c r="Q43" s="22">
        <v>2677120564</v>
      </c>
    </row>
    <row r="44" spans="1:17" ht="18.75" x14ac:dyDescent="0.45">
      <c r="A44" s="29" t="s">
        <v>52</v>
      </c>
      <c r="C44" s="22">
        <v>1648155</v>
      </c>
      <c r="E44" s="22">
        <v>13041253883</v>
      </c>
      <c r="G44" s="22">
        <v>11910020869</v>
      </c>
      <c r="I44" s="22">
        <v>1131233014</v>
      </c>
      <c r="K44" s="22">
        <v>1648155</v>
      </c>
      <c r="M44" s="22">
        <v>13041253883</v>
      </c>
      <c r="O44" s="22">
        <v>11910020869</v>
      </c>
      <c r="Q44" s="22">
        <v>1131233014</v>
      </c>
    </row>
    <row r="45" spans="1:17" ht="37.5" x14ac:dyDescent="0.45">
      <c r="A45" s="29" t="s">
        <v>53</v>
      </c>
      <c r="C45" s="22">
        <v>250000</v>
      </c>
      <c r="E45" s="22">
        <v>1117312200</v>
      </c>
      <c r="G45" s="22">
        <v>883958962</v>
      </c>
      <c r="I45" s="22">
        <v>233353238</v>
      </c>
      <c r="K45" s="22">
        <v>250000</v>
      </c>
      <c r="M45" s="22">
        <v>1117312200</v>
      </c>
      <c r="O45" s="22">
        <v>810399262</v>
      </c>
      <c r="Q45" s="22">
        <v>306912938</v>
      </c>
    </row>
    <row r="46" spans="1:17" ht="18.75" x14ac:dyDescent="0.45">
      <c r="A46" s="29" t="s">
        <v>54</v>
      </c>
      <c r="C46" s="22">
        <v>239400</v>
      </c>
      <c r="E46" s="22">
        <v>28426181836</v>
      </c>
      <c r="G46" s="22">
        <v>28855041010</v>
      </c>
      <c r="I46" s="22">
        <v>-428859174</v>
      </c>
      <c r="K46" s="22">
        <v>239400</v>
      </c>
      <c r="M46" s="22">
        <v>28426181836</v>
      </c>
      <c r="O46" s="22">
        <v>29093734827</v>
      </c>
      <c r="Q46" s="22">
        <v>-667552991</v>
      </c>
    </row>
    <row r="47" spans="1:17" ht="37.5" x14ac:dyDescent="0.45">
      <c r="A47" s="29" t="s">
        <v>55</v>
      </c>
      <c r="C47" s="22">
        <v>3600000</v>
      </c>
      <c r="E47" s="22">
        <v>43479747000</v>
      </c>
      <c r="G47" s="22">
        <v>31077158115</v>
      </c>
      <c r="I47" s="22">
        <v>12402588885</v>
      </c>
      <c r="K47" s="22">
        <v>3600000</v>
      </c>
      <c r="M47" s="22">
        <v>43479747000</v>
      </c>
      <c r="O47" s="22">
        <v>41082098398</v>
      </c>
      <c r="Q47" s="22">
        <v>2397648602</v>
      </c>
    </row>
    <row r="48" spans="1:17" ht="18.75" x14ac:dyDescent="0.45">
      <c r="A48" s="29" t="s">
        <v>56</v>
      </c>
      <c r="C48" s="22">
        <v>1000000</v>
      </c>
      <c r="E48" s="22">
        <v>6908647500</v>
      </c>
      <c r="G48" s="22">
        <v>5835073500</v>
      </c>
      <c r="I48" s="22">
        <v>1073574000</v>
      </c>
      <c r="K48" s="22">
        <v>1000000</v>
      </c>
      <c r="M48" s="22">
        <v>6908647500</v>
      </c>
      <c r="O48" s="22">
        <v>6391741500</v>
      </c>
      <c r="Q48" s="22">
        <v>516906000</v>
      </c>
    </row>
    <row r="49" spans="1:17" ht="18.75" x14ac:dyDescent="0.45">
      <c r="A49" s="29" t="s">
        <v>57</v>
      </c>
      <c r="C49" s="22">
        <v>3742054</v>
      </c>
      <c r="E49" s="22">
        <v>7435857769</v>
      </c>
      <c r="G49" s="22">
        <v>7179669122</v>
      </c>
      <c r="I49" s="22">
        <v>256188647</v>
      </c>
      <c r="K49" s="22">
        <v>3742054</v>
      </c>
      <c r="M49" s="22">
        <v>7435857769</v>
      </c>
      <c r="O49" s="22">
        <v>7179669122</v>
      </c>
      <c r="Q49" s="22">
        <v>256188647</v>
      </c>
    </row>
    <row r="50" spans="1:17" ht="18.75" x14ac:dyDescent="0.45">
      <c r="A50" s="29" t="s">
        <v>58</v>
      </c>
      <c r="C50" s="22">
        <v>28400000</v>
      </c>
      <c r="E50" s="22">
        <v>42741764280</v>
      </c>
      <c r="G50" s="22">
        <v>32918433166</v>
      </c>
      <c r="I50" s="22">
        <v>9823331114</v>
      </c>
      <c r="K50" s="22">
        <v>28400000</v>
      </c>
      <c r="M50" s="22">
        <v>42741764280</v>
      </c>
      <c r="O50" s="22">
        <v>49404285000</v>
      </c>
      <c r="Q50" s="22">
        <v>-6662520720</v>
      </c>
    </row>
    <row r="51" spans="1:17" ht="18.75" x14ac:dyDescent="0.45">
      <c r="A51" s="29" t="s">
        <v>59</v>
      </c>
      <c r="C51" s="22">
        <v>4103659</v>
      </c>
      <c r="E51" s="22">
        <v>19192834687</v>
      </c>
      <c r="G51" s="22">
        <v>16983069929</v>
      </c>
      <c r="I51" s="22">
        <v>2209764758</v>
      </c>
      <c r="K51" s="22">
        <v>4103659</v>
      </c>
      <c r="M51" s="22">
        <v>19192834687</v>
      </c>
      <c r="O51" s="22">
        <v>17039703252</v>
      </c>
      <c r="Q51" s="22">
        <v>2153131435</v>
      </c>
    </row>
    <row r="52" spans="1:17" ht="18.75" x14ac:dyDescent="0.45">
      <c r="A52" s="29" t="s">
        <v>60</v>
      </c>
      <c r="C52" s="22">
        <v>4954671</v>
      </c>
      <c r="E52" s="22">
        <v>28566106104</v>
      </c>
      <c r="G52" s="22">
        <v>22493866612</v>
      </c>
      <c r="I52" s="22">
        <v>6072239492</v>
      </c>
      <c r="K52" s="22">
        <v>4954671</v>
      </c>
      <c r="M52" s="22">
        <v>28566106104</v>
      </c>
      <c r="O52" s="22">
        <v>32101362884</v>
      </c>
      <c r="Q52" s="22">
        <v>-3535256780</v>
      </c>
    </row>
    <row r="53" spans="1:17" ht="18.75" x14ac:dyDescent="0.45">
      <c r="A53" s="29" t="s">
        <v>61</v>
      </c>
      <c r="C53" s="22">
        <v>952156</v>
      </c>
      <c r="E53" s="22">
        <v>19071787037</v>
      </c>
      <c r="G53" s="22">
        <v>16384312041</v>
      </c>
      <c r="I53" s="22">
        <v>2687474996</v>
      </c>
      <c r="K53" s="22">
        <v>952156</v>
      </c>
      <c r="M53" s="22">
        <v>19071787037</v>
      </c>
      <c r="O53" s="22">
        <v>16386702084</v>
      </c>
      <c r="Q53" s="22">
        <v>2685084953</v>
      </c>
    </row>
    <row r="54" spans="1:17" ht="18.75" x14ac:dyDescent="0.45">
      <c r="A54" s="29" t="s">
        <v>62</v>
      </c>
      <c r="C54" s="22">
        <v>5493797</v>
      </c>
      <c r="E54" s="22">
        <v>19081114524</v>
      </c>
      <c r="G54" s="22">
        <v>16820265286</v>
      </c>
      <c r="I54" s="22">
        <v>2260849238</v>
      </c>
      <c r="K54" s="22">
        <v>5493797</v>
      </c>
      <c r="M54" s="22">
        <v>19081114524</v>
      </c>
      <c r="O54" s="22">
        <v>17139790837</v>
      </c>
      <c r="Q54" s="22">
        <v>1941323687</v>
      </c>
    </row>
    <row r="55" spans="1:17" ht="18.75" x14ac:dyDescent="0.45">
      <c r="A55" s="29" t="s">
        <v>63</v>
      </c>
      <c r="C55" s="22">
        <v>40025</v>
      </c>
      <c r="E55" s="22">
        <v>978756541</v>
      </c>
      <c r="G55" s="22">
        <v>725712167</v>
      </c>
      <c r="I55" s="22">
        <v>253044374</v>
      </c>
      <c r="K55" s="22">
        <v>40025</v>
      </c>
      <c r="M55" s="22">
        <v>978756541</v>
      </c>
      <c r="O55" s="22">
        <v>688267606</v>
      </c>
      <c r="Q55" s="22">
        <v>290488935</v>
      </c>
    </row>
    <row r="56" spans="1:17" ht="18.75" x14ac:dyDescent="0.45">
      <c r="A56" s="29" t="s">
        <v>64</v>
      </c>
      <c r="C56" s="22">
        <v>4805523</v>
      </c>
      <c r="E56" s="22">
        <v>21477077901</v>
      </c>
      <c r="G56" s="22">
        <v>19657782273</v>
      </c>
      <c r="I56" s="22">
        <v>1819295628</v>
      </c>
      <c r="K56" s="22">
        <v>4805523</v>
      </c>
      <c r="M56" s="22">
        <v>21477077901</v>
      </c>
      <c r="O56" s="22">
        <v>19674950673</v>
      </c>
      <c r="Q56" s="22">
        <v>1802127228</v>
      </c>
    </row>
    <row r="57" spans="1:17" ht="18.75" x14ac:dyDescent="0.45">
      <c r="A57" s="29" t="s">
        <v>65</v>
      </c>
      <c r="C57" s="22">
        <v>8264837</v>
      </c>
      <c r="E57" s="22">
        <v>40010270141</v>
      </c>
      <c r="G57" s="22">
        <v>35551521223</v>
      </c>
      <c r="I57" s="22">
        <v>4458748918</v>
      </c>
      <c r="K57" s="22">
        <v>8264837</v>
      </c>
      <c r="M57" s="22">
        <v>40010270141</v>
      </c>
      <c r="O57" s="22">
        <v>34140598419</v>
      </c>
      <c r="Q57" s="22">
        <v>5869671722</v>
      </c>
    </row>
    <row r="58" spans="1:17" ht="18.75" x14ac:dyDescent="0.45">
      <c r="A58" s="29" t="s">
        <v>66</v>
      </c>
      <c r="C58" s="22">
        <v>3008904</v>
      </c>
      <c r="E58" s="22">
        <v>20817367108</v>
      </c>
      <c r="G58" s="22">
        <v>17911933343</v>
      </c>
      <c r="I58" s="22">
        <v>2905433765</v>
      </c>
      <c r="K58" s="22">
        <v>3008904</v>
      </c>
      <c r="M58" s="22">
        <v>20817367108</v>
      </c>
      <c r="O58" s="22">
        <v>18362719446</v>
      </c>
      <c r="Q58" s="22">
        <v>2454647662</v>
      </c>
    </row>
    <row r="59" spans="1:17" ht="18.75" x14ac:dyDescent="0.45">
      <c r="A59" s="29" t="s">
        <v>67</v>
      </c>
      <c r="C59" s="22">
        <v>2232181</v>
      </c>
      <c r="E59" s="22">
        <v>21123923459</v>
      </c>
      <c r="G59" s="22">
        <v>19841676456</v>
      </c>
      <c r="I59" s="22">
        <v>1282247003</v>
      </c>
      <c r="K59" s="22">
        <v>2232181</v>
      </c>
      <c r="M59" s="22">
        <v>21123923459</v>
      </c>
      <c r="O59" s="22">
        <v>19841676456</v>
      </c>
      <c r="Q59" s="22">
        <v>1282247003</v>
      </c>
    </row>
    <row r="60" spans="1:17" ht="37.5" x14ac:dyDescent="0.45">
      <c r="A60" s="29" t="s">
        <v>68</v>
      </c>
      <c r="C60" s="22">
        <v>272374</v>
      </c>
      <c r="E60" s="22">
        <v>10315703576</v>
      </c>
      <c r="G60" s="22">
        <v>7459255473</v>
      </c>
      <c r="I60" s="22">
        <v>2856448103</v>
      </c>
      <c r="K60" s="22">
        <v>272374</v>
      </c>
      <c r="M60" s="22">
        <v>10315703576</v>
      </c>
      <c r="O60" s="22">
        <v>7766626587</v>
      </c>
      <c r="Q60" s="22">
        <v>2549076989</v>
      </c>
    </row>
    <row r="61" spans="1:17" ht="18.75" x14ac:dyDescent="0.45">
      <c r="A61" s="29" t="s">
        <v>69</v>
      </c>
      <c r="C61" s="22">
        <v>1472602</v>
      </c>
      <c r="E61" s="22">
        <v>14814060983</v>
      </c>
      <c r="G61" s="22">
        <v>6582851035</v>
      </c>
      <c r="I61" s="22">
        <v>8231209948</v>
      </c>
      <c r="K61" s="22">
        <v>1472602</v>
      </c>
      <c r="M61" s="22">
        <v>14814060983</v>
      </c>
      <c r="O61" s="22">
        <v>22170249192</v>
      </c>
      <c r="Q61" s="22">
        <v>-7356188209</v>
      </c>
    </row>
    <row r="62" spans="1:17" ht="18.75" x14ac:dyDescent="0.45">
      <c r="A62" s="29" t="s">
        <v>70</v>
      </c>
      <c r="C62" s="22">
        <v>20299343</v>
      </c>
      <c r="E62" s="22">
        <v>39529802780</v>
      </c>
      <c r="G62" s="22">
        <v>26957745972</v>
      </c>
      <c r="I62" s="22">
        <v>12572056808</v>
      </c>
      <c r="K62" s="22">
        <v>20299343</v>
      </c>
      <c r="M62" s="22">
        <v>39529802780</v>
      </c>
      <c r="O62" s="22">
        <v>47238013430</v>
      </c>
      <c r="Q62" s="22">
        <v>-7708210650</v>
      </c>
    </row>
    <row r="63" spans="1:17" ht="18.75" x14ac:dyDescent="0.45">
      <c r="A63" s="29" t="s">
        <v>71</v>
      </c>
      <c r="C63" s="22">
        <v>9631957</v>
      </c>
      <c r="E63" s="22">
        <v>22289777880</v>
      </c>
      <c r="G63" s="22">
        <v>18014553781</v>
      </c>
      <c r="I63" s="22">
        <v>4275224099</v>
      </c>
      <c r="K63" s="22">
        <v>9631957</v>
      </c>
      <c r="M63" s="22">
        <v>22289777880</v>
      </c>
      <c r="O63" s="22">
        <v>27892339058</v>
      </c>
      <c r="Q63" s="22">
        <v>-5602561178</v>
      </c>
    </row>
    <row r="64" spans="1:17" ht="18.75" x14ac:dyDescent="0.45">
      <c r="A64" s="29" t="s">
        <v>72</v>
      </c>
      <c r="C64" s="22">
        <v>8445149</v>
      </c>
      <c r="E64" s="22">
        <v>27098738373</v>
      </c>
      <c r="G64" s="22">
        <v>25327695745</v>
      </c>
      <c r="I64" s="22">
        <v>1771042628</v>
      </c>
      <c r="K64" s="22">
        <v>8445149</v>
      </c>
      <c r="M64" s="22">
        <v>27098738373</v>
      </c>
      <c r="O64" s="22">
        <v>25327695745</v>
      </c>
      <c r="Q64" s="22">
        <v>1771042628</v>
      </c>
    </row>
    <row r="65" spans="1:17" ht="18.75" x14ac:dyDescent="0.45">
      <c r="A65" s="29" t="s">
        <v>73</v>
      </c>
      <c r="C65" s="22">
        <v>29200000</v>
      </c>
      <c r="E65" s="22">
        <v>14019683580</v>
      </c>
      <c r="G65" s="22">
        <v>11523425220</v>
      </c>
      <c r="I65" s="22">
        <v>2496258360</v>
      </c>
      <c r="K65" s="22">
        <v>29200000</v>
      </c>
      <c r="M65" s="22">
        <v>14019683580</v>
      </c>
      <c r="O65" s="22">
        <v>11438604653</v>
      </c>
      <c r="Q65" s="22">
        <v>2581078927</v>
      </c>
    </row>
    <row r="66" spans="1:17" ht="18.75" x14ac:dyDescent="0.45">
      <c r="A66" s="29" t="s">
        <v>74</v>
      </c>
      <c r="C66" s="22">
        <v>10240020</v>
      </c>
      <c r="E66" s="22">
        <v>26536892534</v>
      </c>
      <c r="G66" s="22">
        <v>23302938504</v>
      </c>
      <c r="I66" s="22">
        <v>3233954030</v>
      </c>
      <c r="K66" s="22">
        <v>10240020</v>
      </c>
      <c r="M66" s="22">
        <v>26536892534</v>
      </c>
      <c r="O66" s="22">
        <v>23756576900</v>
      </c>
      <c r="Q66" s="22">
        <v>2780315634</v>
      </c>
    </row>
    <row r="67" spans="1:17" ht="18.75" x14ac:dyDescent="0.45">
      <c r="A67" s="29" t="s">
        <v>326</v>
      </c>
      <c r="J67" s="21"/>
      <c r="K67" s="22">
        <v>0</v>
      </c>
      <c r="M67" s="22">
        <v>0</v>
      </c>
      <c r="O67" s="22">
        <v>-3981368184</v>
      </c>
      <c r="Q67" s="22">
        <v>3981368184</v>
      </c>
    </row>
    <row r="68" spans="1:17" ht="18.75" x14ac:dyDescent="0.45">
      <c r="A68" s="29" t="s">
        <v>75</v>
      </c>
      <c r="C68" s="22">
        <v>1975883</v>
      </c>
      <c r="E68" s="22">
        <v>27340640826</v>
      </c>
      <c r="G68" s="22">
        <v>25089976784</v>
      </c>
      <c r="I68" s="22">
        <v>2250664042</v>
      </c>
      <c r="K68" s="22">
        <v>1975883</v>
      </c>
      <c r="M68" s="22">
        <v>27340640826</v>
      </c>
      <c r="O68" s="22">
        <v>24989771818</v>
      </c>
      <c r="Q68" s="22">
        <v>2350869008</v>
      </c>
    </row>
    <row r="69" spans="1:17" ht="37.5" x14ac:dyDescent="0.45">
      <c r="A69" s="29" t="s">
        <v>76</v>
      </c>
      <c r="C69" s="22">
        <v>17200000</v>
      </c>
      <c r="E69" s="22">
        <v>24500946780</v>
      </c>
      <c r="G69" s="22">
        <v>22876532983</v>
      </c>
      <c r="I69" s="22">
        <v>1624413797</v>
      </c>
      <c r="K69" s="22">
        <v>17200000</v>
      </c>
      <c r="M69" s="22">
        <v>24500946780</v>
      </c>
      <c r="O69" s="22">
        <v>22869603023</v>
      </c>
      <c r="Q69" s="22">
        <v>1631343757</v>
      </c>
    </row>
    <row r="70" spans="1:17" ht="18.75" x14ac:dyDescent="0.45">
      <c r="A70" s="29" t="s">
        <v>77</v>
      </c>
      <c r="C70" s="22">
        <v>2000000</v>
      </c>
      <c r="E70" s="22">
        <v>13996224000</v>
      </c>
      <c r="G70" s="22">
        <v>13632639300</v>
      </c>
      <c r="I70" s="22">
        <v>363584700</v>
      </c>
      <c r="K70" s="22">
        <v>2000000</v>
      </c>
      <c r="M70" s="22">
        <v>13996224000</v>
      </c>
      <c r="O70" s="22">
        <v>13632639300</v>
      </c>
      <c r="Q70" s="22">
        <v>363584700</v>
      </c>
    </row>
    <row r="71" spans="1:17" ht="18.75" x14ac:dyDescent="0.45">
      <c r="A71" s="29" t="s">
        <v>78</v>
      </c>
      <c r="C71" s="22">
        <v>2274591</v>
      </c>
      <c r="E71" s="22">
        <v>25097734737</v>
      </c>
      <c r="G71" s="22">
        <v>23090283888</v>
      </c>
      <c r="I71" s="22">
        <v>2007450849</v>
      </c>
      <c r="K71" s="22">
        <v>2274591</v>
      </c>
      <c r="M71" s="22">
        <v>25097734737</v>
      </c>
      <c r="O71" s="22">
        <v>23157571458</v>
      </c>
      <c r="Q71" s="22">
        <v>1940163279</v>
      </c>
    </row>
    <row r="72" spans="1:17" ht="18.75" x14ac:dyDescent="0.45">
      <c r="A72" s="29" t="s">
        <v>79</v>
      </c>
      <c r="C72" s="22">
        <v>2218173</v>
      </c>
      <c r="E72" s="22">
        <v>22226146696</v>
      </c>
      <c r="G72" s="22">
        <v>21370394702</v>
      </c>
      <c r="I72" s="22">
        <v>855751994</v>
      </c>
      <c r="K72" s="22">
        <v>2218173</v>
      </c>
      <c r="M72" s="22">
        <v>22226146696</v>
      </c>
      <c r="O72" s="22">
        <v>21229929491</v>
      </c>
      <c r="Q72" s="22">
        <v>996217205</v>
      </c>
    </row>
    <row r="73" spans="1:17" ht="37.5" x14ac:dyDescent="0.45">
      <c r="A73" s="29" t="s">
        <v>80</v>
      </c>
      <c r="C73" s="22">
        <v>717391</v>
      </c>
      <c r="E73" s="22">
        <v>25372899388</v>
      </c>
      <c r="G73" s="22">
        <v>23658653051</v>
      </c>
      <c r="I73" s="22">
        <v>1714246337</v>
      </c>
      <c r="K73" s="22">
        <v>717391</v>
      </c>
      <c r="M73" s="22">
        <v>25372899388</v>
      </c>
      <c r="O73" s="22">
        <v>23661448164</v>
      </c>
      <c r="Q73" s="22">
        <v>1711451224</v>
      </c>
    </row>
    <row r="74" spans="1:17" ht="18.75" x14ac:dyDescent="0.45">
      <c r="A74" s="29" t="s">
        <v>81</v>
      </c>
      <c r="C74" s="22">
        <v>3034387</v>
      </c>
      <c r="E74" s="22">
        <v>13039604954</v>
      </c>
      <c r="G74" s="22">
        <v>11914742062</v>
      </c>
      <c r="I74" s="22">
        <v>1124862892</v>
      </c>
      <c r="K74" s="22">
        <v>3034387</v>
      </c>
      <c r="M74" s="22">
        <v>13039604954</v>
      </c>
      <c r="O74" s="22">
        <v>11917128399</v>
      </c>
      <c r="Q74" s="22">
        <v>1122476555</v>
      </c>
    </row>
    <row r="75" spans="1:17" ht="37.5" x14ac:dyDescent="0.45">
      <c r="A75" s="29" t="s">
        <v>82</v>
      </c>
      <c r="C75" s="22">
        <v>700243</v>
      </c>
      <c r="E75" s="22">
        <v>2313062389</v>
      </c>
      <c r="G75" s="22">
        <v>2049862949</v>
      </c>
      <c r="I75" s="22">
        <v>263199440</v>
      </c>
      <c r="K75" s="22">
        <v>700243</v>
      </c>
      <c r="M75" s="22">
        <v>2313062389</v>
      </c>
      <c r="O75" s="22">
        <v>2049862949</v>
      </c>
      <c r="Q75" s="22">
        <v>263199440</v>
      </c>
    </row>
    <row r="76" spans="1:17" ht="37.5" x14ac:dyDescent="0.45">
      <c r="A76" s="29" t="s">
        <v>83</v>
      </c>
      <c r="C76" s="22">
        <v>3250000</v>
      </c>
      <c r="E76" s="22">
        <v>3750799162</v>
      </c>
      <c r="G76" s="22">
        <v>3178971900</v>
      </c>
      <c r="I76" s="22">
        <v>571827262</v>
      </c>
      <c r="K76" s="22">
        <v>3250000</v>
      </c>
      <c r="M76" s="22">
        <v>3750799162</v>
      </c>
      <c r="O76" s="22">
        <v>3939323661</v>
      </c>
      <c r="Q76" s="22">
        <v>-188524499</v>
      </c>
    </row>
    <row r="77" spans="1:17" ht="18.75" x14ac:dyDescent="0.45">
      <c r="A77" s="29" t="s">
        <v>84</v>
      </c>
      <c r="C77" s="22">
        <v>3696745</v>
      </c>
      <c r="E77" s="22">
        <v>18006271900</v>
      </c>
      <c r="G77" s="22">
        <v>16725455444</v>
      </c>
      <c r="I77" s="22">
        <v>1280816456</v>
      </c>
      <c r="K77" s="22">
        <v>3696745</v>
      </c>
      <c r="M77" s="22">
        <v>18006271900</v>
      </c>
      <c r="O77" s="22">
        <v>16431031716</v>
      </c>
      <c r="Q77" s="22">
        <v>1575240184</v>
      </c>
    </row>
    <row r="78" spans="1:17" ht="18.75" x14ac:dyDescent="0.45">
      <c r="A78" s="29" t="s">
        <v>85</v>
      </c>
      <c r="C78" s="22">
        <v>4074653</v>
      </c>
      <c r="E78" s="22">
        <v>26206145031</v>
      </c>
      <c r="G78" s="22">
        <v>26361749961</v>
      </c>
      <c r="I78" s="22">
        <v>-155604930</v>
      </c>
      <c r="K78" s="22">
        <v>4074653</v>
      </c>
      <c r="M78" s="22">
        <v>26206145031</v>
      </c>
      <c r="O78" s="22">
        <v>26361749961</v>
      </c>
      <c r="Q78" s="22">
        <v>-155604930</v>
      </c>
    </row>
    <row r="79" spans="1:17" ht="18.75" x14ac:dyDescent="0.45">
      <c r="A79" s="29" t="s">
        <v>86</v>
      </c>
      <c r="C79" s="22">
        <v>84882</v>
      </c>
      <c r="E79" s="22">
        <v>11449952400</v>
      </c>
      <c r="G79" s="22">
        <v>10013856675</v>
      </c>
      <c r="I79" s="22">
        <v>1436095725</v>
      </c>
      <c r="K79" s="22">
        <v>84882</v>
      </c>
      <c r="M79" s="22">
        <v>11449952400</v>
      </c>
      <c r="O79" s="22">
        <v>7685896566</v>
      </c>
      <c r="Q79" s="22">
        <v>3764055834</v>
      </c>
    </row>
    <row r="80" spans="1:17" ht="18.75" x14ac:dyDescent="0.45">
      <c r="A80" s="29" t="s">
        <v>87</v>
      </c>
      <c r="C80" s="22">
        <v>1583350</v>
      </c>
      <c r="E80" s="22">
        <v>6363395220</v>
      </c>
      <c r="G80" s="22">
        <v>5558790212</v>
      </c>
      <c r="I80" s="22">
        <v>804605008</v>
      </c>
      <c r="K80" s="22">
        <v>1583350</v>
      </c>
      <c r="M80" s="22">
        <v>6363395220</v>
      </c>
      <c r="O80" s="22">
        <v>5228904026</v>
      </c>
      <c r="Q80" s="22">
        <v>1134491194</v>
      </c>
    </row>
    <row r="81" spans="1:17" ht="18.75" x14ac:dyDescent="0.45">
      <c r="A81" s="29" t="s">
        <v>88</v>
      </c>
      <c r="C81" s="22">
        <v>5130564</v>
      </c>
      <c r="E81" s="22">
        <v>42177307183</v>
      </c>
      <c r="G81" s="22">
        <v>39796424168</v>
      </c>
      <c r="I81" s="22">
        <v>2380883015</v>
      </c>
      <c r="K81" s="22">
        <v>5130564</v>
      </c>
      <c r="M81" s="22">
        <v>42177307183</v>
      </c>
      <c r="O81" s="22">
        <v>41805927298</v>
      </c>
      <c r="Q81" s="22">
        <v>371379885</v>
      </c>
    </row>
    <row r="82" spans="1:17" ht="18.75" x14ac:dyDescent="0.45">
      <c r="A82" s="29" t="s">
        <v>89</v>
      </c>
      <c r="C82" s="22">
        <v>4063423</v>
      </c>
      <c r="E82" s="22">
        <v>28395896801</v>
      </c>
      <c r="G82" s="22">
        <v>27938631584</v>
      </c>
      <c r="I82" s="22">
        <v>457265217</v>
      </c>
      <c r="K82" s="22">
        <v>4063423</v>
      </c>
      <c r="M82" s="22">
        <v>28395896801</v>
      </c>
      <c r="O82" s="22">
        <v>26822905297</v>
      </c>
      <c r="Q82" s="22">
        <v>1572991504</v>
      </c>
    </row>
    <row r="83" spans="1:17" ht="18.75" x14ac:dyDescent="0.45">
      <c r="A83" s="29" t="s">
        <v>90</v>
      </c>
      <c r="C83" s="22">
        <v>3184202</v>
      </c>
      <c r="E83" s="22">
        <v>14762753975</v>
      </c>
      <c r="G83" s="22">
        <v>14161203091</v>
      </c>
      <c r="I83" s="22">
        <v>601550884</v>
      </c>
      <c r="K83" s="22">
        <v>3184202</v>
      </c>
      <c r="M83" s="22">
        <v>14762753975</v>
      </c>
      <c r="O83" s="22">
        <v>14295596326</v>
      </c>
      <c r="Q83" s="22">
        <v>467157649</v>
      </c>
    </row>
    <row r="84" spans="1:17" ht="18.75" x14ac:dyDescent="0.45">
      <c r="A84" s="29" t="s">
        <v>91</v>
      </c>
      <c r="C84" s="22">
        <v>2900000</v>
      </c>
      <c r="E84" s="22">
        <v>25310501100</v>
      </c>
      <c r="G84" s="22">
        <v>23749218386</v>
      </c>
      <c r="I84" s="22">
        <v>1561282714</v>
      </c>
      <c r="K84" s="22">
        <v>2900000</v>
      </c>
      <c r="M84" s="22">
        <v>25310501100</v>
      </c>
      <c r="O84" s="22">
        <v>24136897885</v>
      </c>
      <c r="Q84" s="22">
        <v>1173603215</v>
      </c>
    </row>
    <row r="85" spans="1:17" ht="18.75" x14ac:dyDescent="0.45">
      <c r="A85" s="29" t="s">
        <v>92</v>
      </c>
      <c r="C85" s="22">
        <v>1124757</v>
      </c>
      <c r="E85" s="22">
        <v>21187325986</v>
      </c>
      <c r="G85" s="22">
        <v>20974490188</v>
      </c>
      <c r="I85" s="22">
        <v>212835798</v>
      </c>
      <c r="K85" s="22">
        <v>1124757</v>
      </c>
      <c r="M85" s="22">
        <v>21187325986</v>
      </c>
      <c r="O85" s="22">
        <v>13640389289</v>
      </c>
      <c r="Q85" s="22">
        <v>7546936697</v>
      </c>
    </row>
    <row r="86" spans="1:17" ht="18.75" x14ac:dyDescent="0.45">
      <c r="A86" s="29" t="s">
        <v>93</v>
      </c>
      <c r="C86" s="22">
        <v>327781</v>
      </c>
      <c r="E86" s="22">
        <v>9576164363</v>
      </c>
      <c r="G86" s="22">
        <v>8634513631</v>
      </c>
      <c r="I86" s="22">
        <v>941650732</v>
      </c>
      <c r="K86" s="22">
        <v>327781</v>
      </c>
      <c r="M86" s="22">
        <v>9576164363</v>
      </c>
      <c r="O86" s="22">
        <v>8490452900</v>
      </c>
      <c r="Q86" s="22">
        <v>1085711463</v>
      </c>
    </row>
    <row r="87" spans="1:17" ht="18.75" x14ac:dyDescent="0.45">
      <c r="A87" s="29" t="s">
        <v>94</v>
      </c>
      <c r="C87" s="22">
        <v>104452</v>
      </c>
      <c r="E87" s="22">
        <v>14868529118</v>
      </c>
      <c r="G87" s="22">
        <v>11961274821</v>
      </c>
      <c r="I87" s="22">
        <v>2907254297</v>
      </c>
      <c r="K87" s="22">
        <v>104452</v>
      </c>
      <c r="M87" s="22">
        <v>14868529118</v>
      </c>
      <c r="O87" s="22">
        <v>12026316222</v>
      </c>
      <c r="Q87" s="22">
        <v>2842212896</v>
      </c>
    </row>
    <row r="88" spans="1:17" ht="18.75" x14ac:dyDescent="0.45">
      <c r="A88" s="29" t="s">
        <v>95</v>
      </c>
      <c r="C88" s="22">
        <v>3058024</v>
      </c>
      <c r="E88" s="22">
        <v>25473764985</v>
      </c>
      <c r="G88" s="22">
        <v>24559668246</v>
      </c>
      <c r="I88" s="22">
        <v>914096739</v>
      </c>
      <c r="K88" s="22">
        <v>3058024</v>
      </c>
      <c r="M88" s="22">
        <v>25473764985</v>
      </c>
      <c r="O88" s="22">
        <v>24559668246</v>
      </c>
      <c r="Q88" s="22">
        <v>914096739</v>
      </c>
    </row>
    <row r="89" spans="1:17" ht="18.75" x14ac:dyDescent="0.45">
      <c r="A89" s="29" t="s">
        <v>96</v>
      </c>
      <c r="C89" s="22">
        <v>261325</v>
      </c>
      <c r="E89" s="22">
        <v>8663333377</v>
      </c>
      <c r="G89" s="22">
        <v>7624252912</v>
      </c>
      <c r="I89" s="22">
        <v>1039080465</v>
      </c>
      <c r="K89" s="22">
        <v>261325</v>
      </c>
      <c r="M89" s="22">
        <v>8663333377</v>
      </c>
      <c r="O89" s="22">
        <v>7340478709</v>
      </c>
      <c r="Q89" s="22">
        <v>1322854668</v>
      </c>
    </row>
    <row r="90" spans="1:17" ht="18.75" x14ac:dyDescent="0.45">
      <c r="A90" s="29" t="s">
        <v>97</v>
      </c>
      <c r="C90" s="22">
        <v>1446759</v>
      </c>
      <c r="E90" s="22">
        <v>24448563327</v>
      </c>
      <c r="G90" s="22">
        <v>23961827416</v>
      </c>
      <c r="I90" s="22">
        <v>486735911</v>
      </c>
      <c r="K90" s="22">
        <v>1446759</v>
      </c>
      <c r="M90" s="22">
        <v>24448563327</v>
      </c>
      <c r="O90" s="22">
        <v>23961827416</v>
      </c>
      <c r="Q90" s="22">
        <v>486735911</v>
      </c>
    </row>
    <row r="91" spans="1:17" ht="18.75" x14ac:dyDescent="0.45">
      <c r="A91" s="29" t="s">
        <v>98</v>
      </c>
      <c r="C91" s="22">
        <v>1504289</v>
      </c>
      <c r="E91" s="22">
        <v>12471122927</v>
      </c>
      <c r="G91" s="22">
        <v>9589482698</v>
      </c>
      <c r="I91" s="22">
        <v>2881640229</v>
      </c>
      <c r="K91" s="22">
        <v>1504289</v>
      </c>
      <c r="M91" s="22">
        <v>12471122927</v>
      </c>
      <c r="O91" s="22">
        <v>9141298952</v>
      </c>
      <c r="Q91" s="22">
        <v>3329823975</v>
      </c>
    </row>
    <row r="92" spans="1:17" ht="18.75" x14ac:dyDescent="0.45">
      <c r="A92" s="29" t="s">
        <v>99</v>
      </c>
      <c r="C92" s="22">
        <v>414523</v>
      </c>
      <c r="E92" s="22">
        <v>20269063571</v>
      </c>
      <c r="G92" s="22">
        <v>16761289213</v>
      </c>
      <c r="I92" s="22">
        <v>3507774358</v>
      </c>
      <c r="K92" s="22">
        <v>414523</v>
      </c>
      <c r="M92" s="22">
        <v>20269063571</v>
      </c>
      <c r="O92" s="22">
        <v>17125366833</v>
      </c>
      <c r="Q92" s="22">
        <v>3143696738</v>
      </c>
    </row>
    <row r="93" spans="1:17" ht="18.75" x14ac:dyDescent="0.45">
      <c r="A93" s="29" t="s">
        <v>100</v>
      </c>
      <c r="C93" s="22">
        <v>121110</v>
      </c>
      <c r="E93" s="22">
        <v>15597650081</v>
      </c>
      <c r="G93" s="22">
        <v>15342681196</v>
      </c>
      <c r="I93" s="22">
        <v>254968885</v>
      </c>
      <c r="K93" s="22">
        <v>121110</v>
      </c>
      <c r="M93" s="22">
        <v>15597650081</v>
      </c>
      <c r="O93" s="22">
        <v>15342681196</v>
      </c>
      <c r="Q93" s="22">
        <v>254968885</v>
      </c>
    </row>
    <row r="94" spans="1:17" ht="18.75" x14ac:dyDescent="0.45">
      <c r="A94" s="29" t="s">
        <v>101</v>
      </c>
      <c r="C94" s="22">
        <v>12621257</v>
      </c>
      <c r="E94" s="22">
        <v>20964634230</v>
      </c>
      <c r="G94" s="22">
        <v>20123710460</v>
      </c>
      <c r="I94" s="22">
        <v>840923770</v>
      </c>
      <c r="K94" s="22">
        <v>12621257</v>
      </c>
      <c r="M94" s="22">
        <v>20964634230</v>
      </c>
      <c r="O94" s="22">
        <v>20193185425</v>
      </c>
      <c r="Q94" s="22">
        <v>771448805</v>
      </c>
    </row>
    <row r="95" spans="1:17" ht="18.75" x14ac:dyDescent="0.45">
      <c r="A95" s="29" t="s">
        <v>102</v>
      </c>
      <c r="C95" s="22">
        <v>435481</v>
      </c>
      <c r="E95" s="22">
        <v>15185777273</v>
      </c>
      <c r="G95" s="22">
        <v>12923380477</v>
      </c>
      <c r="I95" s="22">
        <v>2262396796</v>
      </c>
      <c r="K95" s="22">
        <v>435481</v>
      </c>
      <c r="M95" s="22">
        <v>15185777273</v>
      </c>
      <c r="O95" s="22">
        <v>13073414559</v>
      </c>
      <c r="Q95" s="22">
        <v>2112362714</v>
      </c>
    </row>
    <row r="96" spans="1:17" ht="18.75" x14ac:dyDescent="0.45">
      <c r="A96" s="29" t="s">
        <v>103</v>
      </c>
      <c r="C96" s="22">
        <v>1355746</v>
      </c>
      <c r="E96" s="22">
        <v>9218126489</v>
      </c>
      <c r="G96" s="22">
        <v>9297997072</v>
      </c>
      <c r="I96" s="22">
        <v>-79870583</v>
      </c>
      <c r="K96" s="22">
        <v>1355746</v>
      </c>
      <c r="M96" s="22">
        <v>9218126489</v>
      </c>
      <c r="O96" s="22">
        <v>9317883651</v>
      </c>
      <c r="Q96" s="22">
        <v>-99757162</v>
      </c>
    </row>
    <row r="97" spans="1:17" ht="37.5" x14ac:dyDescent="0.45">
      <c r="A97" s="29" t="s">
        <v>104</v>
      </c>
      <c r="C97" s="22">
        <v>7464575</v>
      </c>
      <c r="E97" s="22">
        <v>22356944426</v>
      </c>
      <c r="G97" s="22">
        <v>16719808778</v>
      </c>
      <c r="I97" s="22">
        <v>5637135648</v>
      </c>
      <c r="K97" s="22">
        <v>7464575</v>
      </c>
      <c r="M97" s="22">
        <v>22356944426</v>
      </c>
      <c r="O97" s="22">
        <v>16719808778</v>
      </c>
      <c r="Q97" s="22">
        <v>5637135648</v>
      </c>
    </row>
    <row r="98" spans="1:17" ht="18.75" x14ac:dyDescent="0.45">
      <c r="A98" s="29" t="s">
        <v>105</v>
      </c>
      <c r="C98" s="22">
        <v>3083586</v>
      </c>
      <c r="E98" s="22">
        <v>18943174939</v>
      </c>
      <c r="G98" s="22">
        <v>17123336863</v>
      </c>
      <c r="I98" s="22">
        <v>1819838076</v>
      </c>
      <c r="K98" s="22">
        <v>3083586</v>
      </c>
      <c r="M98" s="22">
        <v>18943174939</v>
      </c>
      <c r="O98" s="22">
        <v>17142551222</v>
      </c>
      <c r="Q98" s="22">
        <v>1800623717</v>
      </c>
    </row>
    <row r="99" spans="1:17" ht="37.5" x14ac:dyDescent="0.45">
      <c r="A99" s="29" t="s">
        <v>106</v>
      </c>
      <c r="C99" s="22">
        <v>800000</v>
      </c>
      <c r="E99" s="22">
        <v>11053836000</v>
      </c>
      <c r="G99" s="22">
        <v>10651662871</v>
      </c>
      <c r="I99" s="22">
        <v>402173129</v>
      </c>
      <c r="K99" s="22">
        <v>800000</v>
      </c>
      <c r="M99" s="22">
        <v>11053836000</v>
      </c>
      <c r="O99" s="22">
        <v>10651662871</v>
      </c>
      <c r="Q99" s="22">
        <v>402173129</v>
      </c>
    </row>
    <row r="100" spans="1:17" ht="37.5" x14ac:dyDescent="0.45">
      <c r="A100" s="29" t="s">
        <v>107</v>
      </c>
      <c r="C100" s="22">
        <v>2600000</v>
      </c>
      <c r="E100" s="22">
        <v>27654471000</v>
      </c>
      <c r="G100" s="22">
        <v>24146628946</v>
      </c>
      <c r="I100" s="22">
        <v>3507842054</v>
      </c>
      <c r="K100" s="22">
        <v>2600000</v>
      </c>
      <c r="M100" s="22">
        <v>27654471000</v>
      </c>
      <c r="O100" s="22">
        <v>24146628946</v>
      </c>
      <c r="Q100" s="22">
        <v>3507842054</v>
      </c>
    </row>
    <row r="101" spans="1:17" ht="18.75" x14ac:dyDescent="0.45">
      <c r="A101" s="29" t="s">
        <v>108</v>
      </c>
      <c r="C101" s="22">
        <v>11000000</v>
      </c>
      <c r="E101" s="22">
        <v>16205003100</v>
      </c>
      <c r="G101" s="22">
        <v>13013639064</v>
      </c>
      <c r="I101" s="22">
        <v>3191364036</v>
      </c>
      <c r="K101" s="22">
        <v>11000000</v>
      </c>
      <c r="M101" s="22">
        <v>16205003100</v>
      </c>
      <c r="O101" s="22">
        <v>17287523550</v>
      </c>
      <c r="Q101" s="22">
        <v>-1082520450</v>
      </c>
    </row>
    <row r="102" spans="1:17" ht="18.75" x14ac:dyDescent="0.45">
      <c r="A102" s="29" t="s">
        <v>109</v>
      </c>
      <c r="C102" s="22">
        <v>635696</v>
      </c>
      <c r="E102" s="22">
        <v>20170682393</v>
      </c>
      <c r="G102" s="22">
        <v>16294576878</v>
      </c>
      <c r="I102" s="22">
        <v>3876105515</v>
      </c>
      <c r="K102" s="22">
        <v>635696</v>
      </c>
      <c r="M102" s="22">
        <v>20170682393</v>
      </c>
      <c r="O102" s="22">
        <v>17885876182</v>
      </c>
      <c r="Q102" s="22">
        <v>2284806211</v>
      </c>
    </row>
    <row r="103" spans="1:17" ht="18.75" x14ac:dyDescent="0.45">
      <c r="A103" s="29" t="s">
        <v>110</v>
      </c>
      <c r="C103" s="22">
        <v>9448213</v>
      </c>
      <c r="E103" s="22">
        <v>5691549656</v>
      </c>
      <c r="G103" s="22">
        <v>4836878008</v>
      </c>
      <c r="I103" s="22">
        <v>854671648</v>
      </c>
      <c r="K103" s="22">
        <v>9448213</v>
      </c>
      <c r="M103" s="22">
        <v>5691549656</v>
      </c>
      <c r="O103" s="22">
        <v>7062781092</v>
      </c>
      <c r="Q103" s="22">
        <v>-1371231436</v>
      </c>
    </row>
    <row r="104" spans="1:17" ht="18.75" x14ac:dyDescent="0.45">
      <c r="A104" s="29" t="s">
        <v>111</v>
      </c>
      <c r="C104" s="22">
        <v>249996</v>
      </c>
      <c r="E104" s="22">
        <v>1756955263</v>
      </c>
      <c r="G104" s="22">
        <v>1580514211</v>
      </c>
      <c r="I104" s="22">
        <v>176441052</v>
      </c>
      <c r="K104" s="22">
        <v>249996</v>
      </c>
      <c r="M104" s="22">
        <v>1756955263</v>
      </c>
      <c r="O104" s="22">
        <v>1732104411</v>
      </c>
      <c r="Q104" s="22">
        <v>24850852</v>
      </c>
    </row>
    <row r="105" spans="1:17" ht="18.75" x14ac:dyDescent="0.45">
      <c r="A105" s="29" t="s">
        <v>112</v>
      </c>
      <c r="C105" s="22">
        <v>1875000</v>
      </c>
      <c r="E105" s="22">
        <v>6018351469</v>
      </c>
      <c r="G105" s="22">
        <v>5682859594</v>
      </c>
      <c r="I105" s="22">
        <v>335491875</v>
      </c>
      <c r="K105" s="22">
        <v>1875000</v>
      </c>
      <c r="M105" s="22">
        <v>6018351469</v>
      </c>
      <c r="O105" s="22">
        <v>5911612875</v>
      </c>
      <c r="Q105" s="22">
        <v>106738594</v>
      </c>
    </row>
    <row r="106" spans="1:17" ht="18.75" x14ac:dyDescent="0.45">
      <c r="A106" s="29" t="s">
        <v>113</v>
      </c>
      <c r="C106" s="22">
        <v>943421</v>
      </c>
      <c r="E106" s="22">
        <v>14348456969</v>
      </c>
      <c r="G106" s="22">
        <v>12416741953</v>
      </c>
      <c r="I106" s="22">
        <v>1931715016</v>
      </c>
      <c r="K106" s="22">
        <v>943421</v>
      </c>
      <c r="M106" s="22">
        <v>14348456969</v>
      </c>
      <c r="O106" s="22">
        <v>12470037471</v>
      </c>
      <c r="Q106" s="22">
        <v>1878419498</v>
      </c>
    </row>
    <row r="107" spans="1:17" ht="18.75" x14ac:dyDescent="0.45">
      <c r="A107" s="29" t="s">
        <v>114</v>
      </c>
      <c r="C107" s="22">
        <v>3733986</v>
      </c>
      <c r="E107" s="22">
        <v>17690290021</v>
      </c>
      <c r="G107" s="22">
        <v>14009834909</v>
      </c>
      <c r="I107" s="22">
        <v>3680455112</v>
      </c>
      <c r="K107" s="22">
        <v>3733986</v>
      </c>
      <c r="M107" s="22">
        <v>17690290021</v>
      </c>
      <c r="O107" s="22">
        <v>14066948730</v>
      </c>
      <c r="Q107" s="22">
        <v>3623341291</v>
      </c>
    </row>
    <row r="108" spans="1:17" ht="18.75" x14ac:dyDescent="0.45">
      <c r="A108" s="29" t="s">
        <v>115</v>
      </c>
      <c r="C108" s="22">
        <v>9149131</v>
      </c>
      <c r="E108" s="22">
        <v>30167098905</v>
      </c>
      <c r="G108" s="22">
        <v>20172020000</v>
      </c>
      <c r="I108" s="22">
        <v>9995078905</v>
      </c>
      <c r="K108" s="22">
        <v>9149131</v>
      </c>
      <c r="M108" s="22">
        <v>30167098905</v>
      </c>
      <c r="O108" s="22">
        <v>40598712545</v>
      </c>
      <c r="Q108" s="22">
        <v>-10431613640</v>
      </c>
    </row>
    <row r="109" spans="1:17" ht="18.75" x14ac:dyDescent="0.45">
      <c r="A109" s="29" t="s">
        <v>116</v>
      </c>
      <c r="C109" s="22">
        <v>6775855</v>
      </c>
      <c r="E109" s="22">
        <v>51728936930</v>
      </c>
      <c r="G109" s="22">
        <v>40272487140</v>
      </c>
      <c r="I109" s="22">
        <v>11456449790</v>
      </c>
      <c r="K109" s="22">
        <v>6775855</v>
      </c>
      <c r="M109" s="22">
        <v>51728936930</v>
      </c>
      <c r="O109" s="22">
        <v>51057038291</v>
      </c>
      <c r="Q109" s="22">
        <v>671898639</v>
      </c>
    </row>
    <row r="110" spans="1:17" ht="18.75" x14ac:dyDescent="0.45">
      <c r="A110" s="29" t="s">
        <v>117</v>
      </c>
      <c r="C110" s="22">
        <v>7357463</v>
      </c>
      <c r="E110" s="22">
        <v>19776207201</v>
      </c>
      <c r="G110" s="22">
        <v>14755709193</v>
      </c>
      <c r="I110" s="22">
        <v>5020498008</v>
      </c>
      <c r="K110" s="22">
        <v>7357463</v>
      </c>
      <c r="M110" s="22">
        <v>19776207201</v>
      </c>
      <c r="O110" s="22">
        <v>14459594665</v>
      </c>
      <c r="Q110" s="22">
        <v>5316612536</v>
      </c>
    </row>
    <row r="111" spans="1:17" ht="18.75" x14ac:dyDescent="0.45">
      <c r="A111" s="29" t="s">
        <v>118</v>
      </c>
      <c r="C111" s="22">
        <v>10131711</v>
      </c>
      <c r="E111" s="22">
        <v>25108068308</v>
      </c>
      <c r="G111" s="22">
        <v>20147012220</v>
      </c>
      <c r="I111" s="22">
        <v>4961056088</v>
      </c>
      <c r="K111" s="22">
        <v>10131711</v>
      </c>
      <c r="M111" s="22">
        <v>25108068308</v>
      </c>
      <c r="O111" s="22">
        <v>19444762475</v>
      </c>
      <c r="Q111" s="22">
        <v>5663305833</v>
      </c>
    </row>
    <row r="112" spans="1:17" ht="18.75" x14ac:dyDescent="0.45">
      <c r="A112" s="29" t="s">
        <v>119</v>
      </c>
      <c r="C112" s="22">
        <v>8665914</v>
      </c>
      <c r="E112" s="22">
        <v>22061354990</v>
      </c>
      <c r="G112" s="22">
        <v>13079813977</v>
      </c>
      <c r="I112" s="22">
        <v>8981541013</v>
      </c>
      <c r="K112" s="22">
        <v>8665914</v>
      </c>
      <c r="M112" s="22">
        <v>22061354990</v>
      </c>
      <c r="O112" s="22">
        <v>32002316980</v>
      </c>
      <c r="Q112" s="22">
        <v>-9940961990</v>
      </c>
    </row>
    <row r="113" spans="1:17" ht="18.75" x14ac:dyDescent="0.45">
      <c r="A113" s="29" t="s">
        <v>120</v>
      </c>
      <c r="C113" s="22">
        <v>9180289</v>
      </c>
      <c r="E113" s="22">
        <v>26637819873</v>
      </c>
      <c r="G113" s="22">
        <v>26190987651</v>
      </c>
      <c r="I113" s="22">
        <v>446832222</v>
      </c>
      <c r="K113" s="22">
        <v>9180289</v>
      </c>
      <c r="M113" s="22">
        <v>26637819873</v>
      </c>
      <c r="O113" s="22">
        <v>26190987651</v>
      </c>
      <c r="Q113" s="22">
        <v>446832222</v>
      </c>
    </row>
    <row r="114" spans="1:17" ht="18.75" x14ac:dyDescent="0.45">
      <c r="A114" s="29" t="s">
        <v>121</v>
      </c>
      <c r="C114" s="22">
        <v>8051889</v>
      </c>
      <c r="E114" s="22">
        <v>30415124990</v>
      </c>
      <c r="G114" s="22">
        <v>28967048691</v>
      </c>
      <c r="I114" s="22">
        <v>1448076299</v>
      </c>
      <c r="K114" s="22">
        <v>8051889</v>
      </c>
      <c r="M114" s="22">
        <v>30415124990</v>
      </c>
      <c r="O114" s="22">
        <v>28967048691</v>
      </c>
      <c r="Q114" s="22">
        <v>1448076299</v>
      </c>
    </row>
    <row r="115" spans="1:17" ht="18.75" x14ac:dyDescent="0.45">
      <c r="A115" s="29" t="s">
        <v>122</v>
      </c>
      <c r="C115" s="22">
        <v>1243266</v>
      </c>
      <c r="E115" s="22">
        <v>21763645470</v>
      </c>
      <c r="G115" s="22">
        <v>18248081922</v>
      </c>
      <c r="I115" s="22">
        <v>3515563548</v>
      </c>
      <c r="K115" s="22">
        <v>1243266</v>
      </c>
      <c r="M115" s="22">
        <v>21763645470</v>
      </c>
      <c r="O115" s="22">
        <v>18248081922</v>
      </c>
      <c r="Q115" s="22">
        <v>3515563548</v>
      </c>
    </row>
    <row r="116" spans="1:17" ht="18.75" x14ac:dyDescent="0.45">
      <c r="A116" s="29" t="s">
        <v>123</v>
      </c>
      <c r="C116" s="22">
        <v>4638196</v>
      </c>
      <c r="E116" s="22">
        <v>16694978015</v>
      </c>
      <c r="G116" s="22">
        <v>12413605700</v>
      </c>
      <c r="I116" s="22">
        <v>4281372315</v>
      </c>
      <c r="K116" s="22">
        <v>4638196</v>
      </c>
      <c r="M116" s="22">
        <v>16694978015</v>
      </c>
      <c r="O116" s="22">
        <v>12360030252</v>
      </c>
      <c r="Q116" s="22">
        <v>4334947763</v>
      </c>
    </row>
    <row r="117" spans="1:17" ht="18.75" x14ac:dyDescent="0.45">
      <c r="A117" s="29" t="s">
        <v>124</v>
      </c>
      <c r="C117" s="22">
        <v>3389045</v>
      </c>
      <c r="E117" s="22">
        <v>13883155231</v>
      </c>
      <c r="G117" s="22">
        <v>11080246919</v>
      </c>
      <c r="I117" s="22">
        <v>2802908312</v>
      </c>
      <c r="K117" s="22">
        <v>3389045</v>
      </c>
      <c r="M117" s="22">
        <v>13883155231</v>
      </c>
      <c r="O117" s="22">
        <v>11156912950</v>
      </c>
      <c r="Q117" s="22">
        <v>2726242281</v>
      </c>
    </row>
    <row r="118" spans="1:17" ht="18.75" x14ac:dyDescent="0.45">
      <c r="A118" s="29" t="s">
        <v>125</v>
      </c>
      <c r="C118" s="22">
        <v>2316133</v>
      </c>
      <c r="E118" s="22">
        <v>34857609411</v>
      </c>
      <c r="G118" s="22">
        <v>29426868832</v>
      </c>
      <c r="I118" s="22">
        <v>5430740579</v>
      </c>
      <c r="K118" s="22">
        <v>2316133</v>
      </c>
      <c r="M118" s="22">
        <v>34857609411</v>
      </c>
      <c r="O118" s="22">
        <v>29423915428</v>
      </c>
      <c r="Q118" s="22">
        <v>5433693983</v>
      </c>
    </row>
    <row r="119" spans="1:17" ht="37.5" x14ac:dyDescent="0.45">
      <c r="A119" s="29" t="s">
        <v>126</v>
      </c>
      <c r="C119" s="22">
        <v>316099</v>
      </c>
      <c r="E119" s="22">
        <v>2548309691</v>
      </c>
      <c r="G119" s="22">
        <v>2474138629</v>
      </c>
      <c r="I119" s="22">
        <v>74171062</v>
      </c>
      <c r="K119" s="22">
        <v>316099</v>
      </c>
      <c r="M119" s="22">
        <v>2548309691</v>
      </c>
      <c r="O119" s="22">
        <v>2474138629</v>
      </c>
      <c r="Q119" s="22">
        <v>74171062</v>
      </c>
    </row>
    <row r="120" spans="1:17" ht="37.5" x14ac:dyDescent="0.45">
      <c r="A120" s="29" t="s">
        <v>127</v>
      </c>
      <c r="C120" s="22">
        <v>582860</v>
      </c>
      <c r="E120" s="22">
        <v>14647029330</v>
      </c>
      <c r="G120" s="22">
        <v>12618064571</v>
      </c>
      <c r="I120" s="22">
        <v>2028964759</v>
      </c>
      <c r="K120" s="22">
        <v>582860</v>
      </c>
      <c r="M120" s="22">
        <v>14647029330</v>
      </c>
      <c r="O120" s="22">
        <v>12577058146</v>
      </c>
      <c r="Q120" s="22">
        <v>2069971184</v>
      </c>
    </row>
    <row r="121" spans="1:17" ht="18.75" x14ac:dyDescent="0.45">
      <c r="A121" s="29" t="s">
        <v>128</v>
      </c>
      <c r="C121" s="22">
        <v>4496750</v>
      </c>
      <c r="E121" s="22">
        <v>21661592560</v>
      </c>
      <c r="G121" s="22">
        <v>20067447816</v>
      </c>
      <c r="I121" s="22">
        <v>1594144744</v>
      </c>
      <c r="K121" s="22">
        <v>4496750</v>
      </c>
      <c r="M121" s="22">
        <v>21661592560</v>
      </c>
      <c r="O121" s="22">
        <v>19961108857</v>
      </c>
      <c r="Q121" s="22">
        <v>1700483703</v>
      </c>
    </row>
    <row r="122" spans="1:17" ht="18.75" x14ac:dyDescent="0.45">
      <c r="A122" s="29" t="s">
        <v>129</v>
      </c>
      <c r="C122" s="22">
        <v>5382068</v>
      </c>
      <c r="E122" s="22">
        <v>19795165373</v>
      </c>
      <c r="G122" s="22">
        <v>17914060818</v>
      </c>
      <c r="I122" s="22">
        <v>1881104555</v>
      </c>
      <c r="K122" s="22">
        <v>5382068</v>
      </c>
      <c r="M122" s="22">
        <v>19795165373</v>
      </c>
      <c r="O122" s="22">
        <v>17904717292</v>
      </c>
      <c r="Q122" s="22">
        <v>1890448081</v>
      </c>
    </row>
    <row r="123" spans="1:17" ht="18.75" x14ac:dyDescent="0.45">
      <c r="A123" s="29" t="s">
        <v>130</v>
      </c>
      <c r="C123" s="22">
        <v>12458150</v>
      </c>
      <c r="E123" s="22">
        <v>17238561418</v>
      </c>
      <c r="G123" s="22">
        <v>15900999207</v>
      </c>
      <c r="I123" s="22">
        <v>1337562211</v>
      </c>
      <c r="K123" s="22">
        <v>12458150</v>
      </c>
      <c r="M123" s="22">
        <v>17238561418</v>
      </c>
      <c r="O123" s="22">
        <v>15955618686</v>
      </c>
      <c r="Q123" s="22">
        <v>1282942732</v>
      </c>
    </row>
    <row r="124" spans="1:17" ht="18.75" x14ac:dyDescent="0.45">
      <c r="A124" s="29" t="s">
        <v>131</v>
      </c>
      <c r="C124" s="22">
        <v>3000000</v>
      </c>
      <c r="E124" s="22">
        <v>10297363950</v>
      </c>
      <c r="G124" s="22">
        <v>8290377000</v>
      </c>
      <c r="I124" s="22">
        <v>2006986950</v>
      </c>
      <c r="K124" s="22">
        <v>3000000</v>
      </c>
      <c r="M124" s="22">
        <v>10297363950</v>
      </c>
      <c r="O124" s="22">
        <v>7822145005</v>
      </c>
      <c r="Q124" s="22">
        <v>2475218945</v>
      </c>
    </row>
    <row r="125" spans="1:17" ht="18.75" x14ac:dyDescent="0.45">
      <c r="A125" s="29" t="s">
        <v>132</v>
      </c>
      <c r="C125" s="22">
        <v>10035806</v>
      </c>
      <c r="E125" s="22">
        <v>27653729669</v>
      </c>
      <c r="G125" s="22">
        <v>25388842724</v>
      </c>
      <c r="I125" s="22">
        <v>2264886945</v>
      </c>
      <c r="K125" s="22">
        <v>10035806</v>
      </c>
      <c r="M125" s="22">
        <v>27653729669</v>
      </c>
      <c r="O125" s="22">
        <v>26269134759</v>
      </c>
      <c r="Q125" s="22">
        <v>1384594910</v>
      </c>
    </row>
    <row r="126" spans="1:17" ht="18.75" x14ac:dyDescent="0.45">
      <c r="A126" s="29" t="s">
        <v>133</v>
      </c>
      <c r="C126" s="22">
        <v>8492516</v>
      </c>
      <c r="E126" s="22">
        <v>36536913373</v>
      </c>
      <c r="G126" s="22">
        <v>31289849928</v>
      </c>
      <c r="I126" s="22">
        <v>5247063445</v>
      </c>
      <c r="K126" s="22">
        <v>8492516</v>
      </c>
      <c r="M126" s="22">
        <v>36536913373</v>
      </c>
      <c r="O126" s="22">
        <v>24784887519</v>
      </c>
      <c r="Q126" s="22">
        <v>11752025854</v>
      </c>
    </row>
    <row r="127" spans="1:17" ht="18.75" x14ac:dyDescent="0.45">
      <c r="A127" s="29" t="s">
        <v>134</v>
      </c>
      <c r="C127" s="22">
        <v>15812467</v>
      </c>
      <c r="E127" s="22">
        <v>18689157175</v>
      </c>
      <c r="G127" s="22">
        <v>16207845828</v>
      </c>
      <c r="I127" s="22">
        <v>2481311347</v>
      </c>
      <c r="K127" s="22">
        <v>15812467</v>
      </c>
      <c r="M127" s="22">
        <v>18689157175</v>
      </c>
      <c r="O127" s="22">
        <v>15857058577</v>
      </c>
      <c r="Q127" s="22">
        <v>2832098598</v>
      </c>
    </row>
    <row r="128" spans="1:17" ht="18.75" x14ac:dyDescent="0.45">
      <c r="A128" s="29" t="s">
        <v>135</v>
      </c>
      <c r="C128" s="22">
        <v>1447708</v>
      </c>
      <c r="E128" s="22">
        <v>9613148838</v>
      </c>
      <c r="G128" s="22">
        <v>7871844932</v>
      </c>
      <c r="I128" s="22">
        <v>1741303906</v>
      </c>
      <c r="K128" s="22">
        <v>1447708</v>
      </c>
      <c r="M128" s="22">
        <v>9613148838</v>
      </c>
      <c r="O128" s="22">
        <v>7589659743</v>
      </c>
      <c r="Q128" s="22">
        <v>2023489095</v>
      </c>
    </row>
    <row r="129" spans="1:17" ht="18.75" x14ac:dyDescent="0.45">
      <c r="A129" s="29" t="s">
        <v>136</v>
      </c>
      <c r="C129" s="22">
        <v>1375942</v>
      </c>
      <c r="E129" s="22">
        <v>11516498322</v>
      </c>
      <c r="G129" s="22">
        <v>10832247802</v>
      </c>
      <c r="I129" s="22">
        <v>684250520</v>
      </c>
      <c r="K129" s="22">
        <v>1375942</v>
      </c>
      <c r="M129" s="22">
        <v>11516498322</v>
      </c>
      <c r="O129" s="22">
        <v>10930235967</v>
      </c>
      <c r="Q129" s="22">
        <v>586262355</v>
      </c>
    </row>
    <row r="130" spans="1:17" ht="18.75" x14ac:dyDescent="0.45">
      <c r="A130" s="29" t="s">
        <v>137</v>
      </c>
      <c r="C130" s="22">
        <v>4691005</v>
      </c>
      <c r="E130" s="22">
        <v>26113323713</v>
      </c>
      <c r="G130" s="22">
        <v>21495937159</v>
      </c>
      <c r="I130" s="22">
        <v>4617386554</v>
      </c>
      <c r="K130" s="22">
        <v>4691005</v>
      </c>
      <c r="M130" s="22">
        <v>26113323713</v>
      </c>
      <c r="O130" s="22">
        <v>24805938289</v>
      </c>
      <c r="Q130" s="22">
        <v>1307385424</v>
      </c>
    </row>
    <row r="131" spans="1:17" ht="18.75" x14ac:dyDescent="0.45">
      <c r="A131" s="29" t="s">
        <v>138</v>
      </c>
      <c r="C131" s="22">
        <v>241083</v>
      </c>
      <c r="E131" s="22">
        <v>2166422948</v>
      </c>
      <c r="G131" s="22">
        <v>1966285907</v>
      </c>
      <c r="I131" s="22">
        <v>200137041</v>
      </c>
      <c r="K131" s="22">
        <v>241083</v>
      </c>
      <c r="M131" s="22">
        <v>2166422948</v>
      </c>
      <c r="O131" s="22">
        <v>1966102194</v>
      </c>
      <c r="Q131" s="22">
        <v>200320754</v>
      </c>
    </row>
    <row r="132" spans="1:17" ht="18.75" x14ac:dyDescent="0.45">
      <c r="A132" s="29" t="s">
        <v>139</v>
      </c>
      <c r="C132" s="22">
        <v>4912237</v>
      </c>
      <c r="E132" s="22">
        <v>17783919469</v>
      </c>
      <c r="G132" s="22">
        <v>13985646040</v>
      </c>
      <c r="I132" s="22">
        <v>3798273429</v>
      </c>
      <c r="K132" s="22">
        <v>4912237</v>
      </c>
      <c r="M132" s="22">
        <v>17783919469</v>
      </c>
      <c r="O132" s="22">
        <v>15435382580</v>
      </c>
      <c r="Q132" s="22">
        <v>2348536889</v>
      </c>
    </row>
    <row r="133" spans="1:17" ht="18.75" x14ac:dyDescent="0.45">
      <c r="A133" s="29" t="s">
        <v>140</v>
      </c>
      <c r="C133" s="22">
        <v>9197090</v>
      </c>
      <c r="E133" s="22">
        <v>17772762059</v>
      </c>
      <c r="G133" s="22">
        <v>13045272999</v>
      </c>
      <c r="I133" s="22">
        <v>4727489060</v>
      </c>
      <c r="K133" s="22">
        <v>9197090</v>
      </c>
      <c r="M133" s="22">
        <v>17772762059</v>
      </c>
      <c r="O133" s="22">
        <v>13119139315</v>
      </c>
      <c r="Q133" s="22">
        <v>4653622744</v>
      </c>
    </row>
    <row r="134" spans="1:17" ht="18.75" x14ac:dyDescent="0.45">
      <c r="A134" s="29" t="s">
        <v>141</v>
      </c>
      <c r="C134" s="22">
        <v>17465640</v>
      </c>
      <c r="E134" s="22">
        <v>68057940213</v>
      </c>
      <c r="G134" s="22">
        <v>59186673885</v>
      </c>
      <c r="I134" s="22">
        <v>8871266328</v>
      </c>
      <c r="K134" s="22">
        <v>17465640</v>
      </c>
      <c r="M134" s="22">
        <v>68057940213</v>
      </c>
      <c r="O134" s="22">
        <v>72799228508</v>
      </c>
      <c r="Q134" s="22">
        <v>-4741288295</v>
      </c>
    </row>
    <row r="135" spans="1:17" ht="18.75" x14ac:dyDescent="0.45">
      <c r="A135" s="29" t="s">
        <v>143</v>
      </c>
      <c r="C135" s="22">
        <v>15084042</v>
      </c>
      <c r="E135" s="22">
        <v>24260764375</v>
      </c>
      <c r="G135" s="22">
        <v>19389129474</v>
      </c>
      <c r="I135" s="22">
        <v>4871634901</v>
      </c>
      <c r="K135" s="22">
        <v>15084042</v>
      </c>
      <c r="M135" s="22">
        <v>24260764375</v>
      </c>
      <c r="O135" s="22">
        <v>19106127464</v>
      </c>
      <c r="Q135" s="22">
        <v>5154636911</v>
      </c>
    </row>
    <row r="136" spans="1:17" ht="18.75" x14ac:dyDescent="0.45">
      <c r="A136" s="29" t="s">
        <v>144</v>
      </c>
      <c r="C136" s="22">
        <v>862852</v>
      </c>
      <c r="E136" s="22">
        <v>9426321156</v>
      </c>
      <c r="G136" s="22">
        <v>8096452945</v>
      </c>
      <c r="I136" s="22">
        <v>1329868211</v>
      </c>
      <c r="K136" s="22">
        <v>862852</v>
      </c>
      <c r="M136" s="22">
        <v>9426321156</v>
      </c>
      <c r="O136" s="22">
        <v>7777212626</v>
      </c>
      <c r="Q136" s="22">
        <v>1649108530</v>
      </c>
    </row>
    <row r="137" spans="1:17" ht="18.75" x14ac:dyDescent="0.45">
      <c r="A137" s="29" t="s">
        <v>145</v>
      </c>
      <c r="C137" s="22">
        <v>4688987</v>
      </c>
      <c r="E137" s="22">
        <v>28525855667</v>
      </c>
      <c r="G137" s="22">
        <v>24663811592</v>
      </c>
      <c r="I137" s="22">
        <v>3862044075</v>
      </c>
      <c r="K137" s="22">
        <v>4688987</v>
      </c>
      <c r="M137" s="22">
        <v>28525855667</v>
      </c>
      <c r="O137" s="22">
        <v>27614368276</v>
      </c>
      <c r="Q137" s="22">
        <v>911487391</v>
      </c>
    </row>
    <row r="138" spans="1:17" ht="18.75" x14ac:dyDescent="0.45">
      <c r="A138" s="29" t="s">
        <v>146</v>
      </c>
      <c r="C138" s="22">
        <v>1744914</v>
      </c>
      <c r="E138" s="22">
        <v>18906396203</v>
      </c>
      <c r="G138" s="22">
        <v>18389561907</v>
      </c>
      <c r="I138" s="22">
        <v>516834296</v>
      </c>
      <c r="K138" s="22">
        <v>1744914</v>
      </c>
      <c r="M138" s="22">
        <v>18906396203</v>
      </c>
      <c r="O138" s="22">
        <v>19401007782</v>
      </c>
      <c r="Q138" s="22">
        <v>-494611579</v>
      </c>
    </row>
    <row r="139" spans="1:17" ht="18.75" x14ac:dyDescent="0.45">
      <c r="A139" s="29" t="s">
        <v>147</v>
      </c>
      <c r="C139" s="22">
        <v>3900000</v>
      </c>
      <c r="E139" s="22">
        <v>28533211200</v>
      </c>
      <c r="G139" s="22">
        <v>11198264633</v>
      </c>
      <c r="I139" s="22">
        <v>17334946567</v>
      </c>
      <c r="K139" s="22">
        <v>3900000</v>
      </c>
      <c r="M139" s="22">
        <v>28533211200</v>
      </c>
      <c r="O139" s="22">
        <v>34905577063</v>
      </c>
      <c r="Q139" s="22">
        <v>-6372365863</v>
      </c>
    </row>
    <row r="140" spans="1:17" ht="37.5" x14ac:dyDescent="0.45">
      <c r="A140" s="29" t="s">
        <v>148</v>
      </c>
      <c r="C140" s="22">
        <v>1400000</v>
      </c>
      <c r="E140" s="22">
        <v>11968362000</v>
      </c>
      <c r="G140" s="22">
        <v>12092170716</v>
      </c>
      <c r="I140" s="22">
        <v>-123808716</v>
      </c>
      <c r="K140" s="22">
        <v>1400000</v>
      </c>
      <c r="M140" s="22">
        <v>11968362000</v>
      </c>
      <c r="O140" s="22">
        <v>12092170716</v>
      </c>
      <c r="Q140" s="22">
        <v>-123808716</v>
      </c>
    </row>
    <row r="141" spans="1:17" ht="18.75" x14ac:dyDescent="0.45">
      <c r="A141" s="29" t="s">
        <v>149</v>
      </c>
      <c r="C141" s="22">
        <v>2800000</v>
      </c>
      <c r="E141" s="22">
        <v>13858249860</v>
      </c>
      <c r="G141" s="22">
        <v>13824941564</v>
      </c>
      <c r="I141" s="22">
        <v>33308296</v>
      </c>
      <c r="K141" s="22">
        <v>2800000</v>
      </c>
      <c r="M141" s="22">
        <v>13858249860</v>
      </c>
      <c r="O141" s="22">
        <v>13824941564</v>
      </c>
      <c r="Q141" s="22">
        <v>33308296</v>
      </c>
    </row>
    <row r="142" spans="1:17" ht="18.75" x14ac:dyDescent="0.45">
      <c r="A142" s="29" t="s">
        <v>150</v>
      </c>
      <c r="C142" s="22">
        <v>5931590</v>
      </c>
      <c r="E142" s="22">
        <v>26828151530</v>
      </c>
      <c r="G142" s="22">
        <v>22476007653</v>
      </c>
      <c r="I142" s="22">
        <v>4352143877</v>
      </c>
      <c r="K142" s="22">
        <v>5931590</v>
      </c>
      <c r="M142" s="22">
        <v>26828151530</v>
      </c>
      <c r="O142" s="22">
        <v>20793428904</v>
      </c>
      <c r="Q142" s="22">
        <v>6034722626</v>
      </c>
    </row>
    <row r="143" spans="1:17" ht="18.75" x14ac:dyDescent="0.45">
      <c r="A143" s="29" t="s">
        <v>151</v>
      </c>
      <c r="C143" s="22">
        <v>5445601</v>
      </c>
      <c r="E143" s="22">
        <v>21241395521</v>
      </c>
      <c r="G143" s="22">
        <v>18606365315</v>
      </c>
      <c r="I143" s="22">
        <v>2635030206</v>
      </c>
      <c r="K143" s="22">
        <v>5445601</v>
      </c>
      <c r="M143" s="22">
        <v>21241395521</v>
      </c>
      <c r="O143" s="22">
        <v>14094618713</v>
      </c>
      <c r="Q143" s="22">
        <v>7146776808</v>
      </c>
    </row>
    <row r="144" spans="1:17" ht="18.75" x14ac:dyDescent="0.45">
      <c r="A144" s="29" t="s">
        <v>152</v>
      </c>
      <c r="C144" s="22">
        <v>13104132</v>
      </c>
      <c r="E144" s="22">
        <v>18874909339</v>
      </c>
      <c r="G144" s="22">
        <v>18159717549</v>
      </c>
      <c r="I144" s="22">
        <v>715191790</v>
      </c>
      <c r="K144" s="22">
        <v>13104132</v>
      </c>
      <c r="M144" s="22">
        <v>18874909339</v>
      </c>
      <c r="O144" s="22">
        <v>18159717549</v>
      </c>
      <c r="Q144" s="22">
        <v>715191790</v>
      </c>
    </row>
    <row r="145" spans="1:17" ht="18.75" x14ac:dyDescent="0.45">
      <c r="A145" s="29" t="s">
        <v>153</v>
      </c>
      <c r="C145" s="22">
        <v>2851893</v>
      </c>
      <c r="E145" s="22">
        <v>15847226483</v>
      </c>
      <c r="G145" s="22">
        <v>17000174450</v>
      </c>
      <c r="I145" s="22">
        <v>-1152947967</v>
      </c>
      <c r="K145" s="22">
        <v>2851893</v>
      </c>
      <c r="M145" s="22">
        <v>15847226483</v>
      </c>
      <c r="O145" s="22">
        <v>17234991291</v>
      </c>
      <c r="Q145" s="22">
        <v>-1387764808</v>
      </c>
    </row>
    <row r="146" spans="1:17" ht="18.75" x14ac:dyDescent="0.45">
      <c r="A146" s="29" t="s">
        <v>154</v>
      </c>
      <c r="C146" s="22">
        <v>4467933</v>
      </c>
      <c r="E146" s="22">
        <v>29135248119</v>
      </c>
      <c r="G146" s="22">
        <v>25012221703</v>
      </c>
      <c r="I146" s="22">
        <v>4123026416</v>
      </c>
      <c r="K146" s="22">
        <v>4467933</v>
      </c>
      <c r="M146" s="22">
        <v>29135248119</v>
      </c>
      <c r="O146" s="22">
        <v>24784560175</v>
      </c>
      <c r="Q146" s="22">
        <v>4350687944</v>
      </c>
    </row>
    <row r="147" spans="1:17" ht="18.75" x14ac:dyDescent="0.45">
      <c r="A147" s="29" t="s">
        <v>155</v>
      </c>
      <c r="C147" s="22">
        <v>7537990</v>
      </c>
      <c r="E147" s="22">
        <v>31471183630</v>
      </c>
      <c r="G147" s="22">
        <v>25914249133</v>
      </c>
      <c r="I147" s="22">
        <v>5556934497</v>
      </c>
      <c r="K147" s="22">
        <v>7537990</v>
      </c>
      <c r="M147" s="22">
        <v>31471183630</v>
      </c>
      <c r="O147" s="22">
        <v>25866315688</v>
      </c>
      <c r="Q147" s="22">
        <v>5604867942</v>
      </c>
    </row>
    <row r="148" spans="1:17" ht="37.5" x14ac:dyDescent="0.45">
      <c r="A148" s="29" t="s">
        <v>156</v>
      </c>
      <c r="C148" s="22">
        <v>700000</v>
      </c>
      <c r="E148" s="22">
        <v>11195985150</v>
      </c>
      <c r="G148" s="22">
        <v>9950440500</v>
      </c>
      <c r="I148" s="22">
        <v>1245544650</v>
      </c>
      <c r="K148" s="22">
        <v>700000</v>
      </c>
      <c r="M148" s="22">
        <v>11195985150</v>
      </c>
      <c r="O148" s="22">
        <v>9581647950</v>
      </c>
      <c r="Q148" s="22">
        <v>1614337200</v>
      </c>
    </row>
    <row r="149" spans="1:17" ht="18.75" x14ac:dyDescent="0.45">
      <c r="A149" s="29" t="s">
        <v>157</v>
      </c>
      <c r="C149" s="22">
        <v>7528527</v>
      </c>
      <c r="E149" s="22">
        <v>37418661322</v>
      </c>
      <c r="G149" s="22">
        <v>30453951700</v>
      </c>
      <c r="I149" s="22">
        <v>6964709622</v>
      </c>
      <c r="K149" s="22">
        <v>7528527</v>
      </c>
      <c r="M149" s="22">
        <v>37418661322</v>
      </c>
      <c r="O149" s="22">
        <v>40711503518</v>
      </c>
      <c r="Q149" s="22">
        <v>-3292842196</v>
      </c>
    </row>
    <row r="150" spans="1:17" ht="18.75" x14ac:dyDescent="0.45">
      <c r="A150" s="29" t="s">
        <v>158</v>
      </c>
      <c r="C150" s="22">
        <v>2693618</v>
      </c>
      <c r="E150" s="22">
        <v>21233296415</v>
      </c>
      <c r="G150" s="22">
        <v>18868202690</v>
      </c>
      <c r="I150" s="22">
        <v>2365093725</v>
      </c>
      <c r="K150" s="22">
        <v>2693618</v>
      </c>
      <c r="M150" s="22">
        <v>21233296415</v>
      </c>
      <c r="O150" s="22">
        <v>18861301726</v>
      </c>
      <c r="Q150" s="22">
        <v>2371994689</v>
      </c>
    </row>
    <row r="151" spans="1:17" ht="18.75" x14ac:dyDescent="0.45">
      <c r="A151" s="29" t="s">
        <v>159</v>
      </c>
      <c r="C151" s="22">
        <v>1981269</v>
      </c>
      <c r="E151" s="22">
        <v>8011846468</v>
      </c>
      <c r="G151" s="22">
        <v>6248771988</v>
      </c>
      <c r="I151" s="22">
        <v>1763074480</v>
      </c>
      <c r="K151" s="22">
        <v>1981269</v>
      </c>
      <c r="M151" s="22">
        <v>8011846468</v>
      </c>
      <c r="O151" s="22">
        <v>6248771988</v>
      </c>
      <c r="Q151" s="22">
        <v>1763074480</v>
      </c>
    </row>
    <row r="152" spans="1:17" ht="18.75" x14ac:dyDescent="0.45">
      <c r="A152" s="29" t="s">
        <v>160</v>
      </c>
      <c r="C152" s="22">
        <v>2401742</v>
      </c>
      <c r="E152" s="22">
        <v>27622815418</v>
      </c>
      <c r="G152" s="22">
        <v>26046550809</v>
      </c>
      <c r="I152" s="22">
        <v>1576264609</v>
      </c>
      <c r="K152" s="22">
        <v>2401742</v>
      </c>
      <c r="M152" s="22">
        <v>27622815418</v>
      </c>
      <c r="O152" s="22">
        <v>21510939231</v>
      </c>
      <c r="Q152" s="22">
        <v>6111876187</v>
      </c>
    </row>
    <row r="153" spans="1:17" ht="18.75" x14ac:dyDescent="0.45">
      <c r="A153" s="29" t="s">
        <v>161</v>
      </c>
      <c r="C153" s="22">
        <v>999999</v>
      </c>
      <c r="E153" s="22">
        <v>5159114341</v>
      </c>
      <c r="G153" s="22">
        <v>4351946548</v>
      </c>
      <c r="I153" s="22">
        <v>807167793</v>
      </c>
      <c r="K153" s="22">
        <v>999999</v>
      </c>
      <c r="M153" s="22">
        <v>5159114341</v>
      </c>
      <c r="O153" s="22">
        <v>3575594274</v>
      </c>
      <c r="Q153" s="22">
        <v>1583520067</v>
      </c>
    </row>
    <row r="154" spans="1:17" ht="18.75" x14ac:dyDescent="0.45">
      <c r="A154" s="29" t="s">
        <v>162</v>
      </c>
      <c r="C154" s="22">
        <v>500000</v>
      </c>
      <c r="E154" s="22">
        <v>27455661000</v>
      </c>
      <c r="G154" s="22">
        <v>25537101307</v>
      </c>
      <c r="I154" s="22">
        <v>1918559693</v>
      </c>
      <c r="K154" s="22">
        <v>500000</v>
      </c>
      <c r="M154" s="22">
        <v>27455661000</v>
      </c>
      <c r="O154" s="22">
        <v>25603738191</v>
      </c>
      <c r="Q154" s="22">
        <v>1851922809</v>
      </c>
    </row>
    <row r="155" spans="1:17" ht="18.75" x14ac:dyDescent="0.45">
      <c r="A155" s="29" t="s">
        <v>163</v>
      </c>
      <c r="C155" s="22">
        <v>6464750</v>
      </c>
      <c r="E155" s="22">
        <v>21688710989</v>
      </c>
      <c r="G155" s="22">
        <v>17570415269</v>
      </c>
      <c r="I155" s="22">
        <v>4118295720</v>
      </c>
      <c r="K155" s="22">
        <v>6464750</v>
      </c>
      <c r="M155" s="22">
        <v>21688710989</v>
      </c>
      <c r="O155" s="22">
        <v>20557684875</v>
      </c>
      <c r="Q155" s="22">
        <v>1131026114</v>
      </c>
    </row>
    <row r="156" spans="1:17" ht="18.75" x14ac:dyDescent="0.45">
      <c r="A156" s="29" t="s">
        <v>164</v>
      </c>
      <c r="C156" s="22">
        <v>8201572</v>
      </c>
      <c r="E156" s="22">
        <v>14691296309</v>
      </c>
      <c r="G156" s="22">
        <v>13406364889</v>
      </c>
      <c r="I156" s="22">
        <v>1284931420</v>
      </c>
      <c r="K156" s="22">
        <v>8201572</v>
      </c>
      <c r="M156" s="22">
        <v>14691296309</v>
      </c>
      <c r="O156" s="22">
        <v>13042680222</v>
      </c>
      <c r="Q156" s="22">
        <v>1648616087</v>
      </c>
    </row>
    <row r="157" spans="1:17" ht="18.75" x14ac:dyDescent="0.45">
      <c r="A157" s="29" t="s">
        <v>165</v>
      </c>
      <c r="C157" s="22">
        <v>845414</v>
      </c>
      <c r="E157" s="22">
        <v>11412411823</v>
      </c>
      <c r="G157" s="22">
        <v>9840894142</v>
      </c>
      <c r="I157" s="22">
        <v>1571517681</v>
      </c>
      <c r="K157" s="22">
        <v>845414</v>
      </c>
      <c r="M157" s="22">
        <v>11412411823</v>
      </c>
      <c r="O157" s="22">
        <v>9972258712</v>
      </c>
      <c r="Q157" s="22">
        <v>1440153111</v>
      </c>
    </row>
    <row r="158" spans="1:17" ht="37.5" x14ac:dyDescent="0.45">
      <c r="A158" s="29" t="s">
        <v>166</v>
      </c>
      <c r="C158" s="22">
        <v>826021</v>
      </c>
      <c r="E158" s="22">
        <v>16372857130</v>
      </c>
      <c r="G158" s="22">
        <v>15540795166</v>
      </c>
      <c r="I158" s="22">
        <v>832061964</v>
      </c>
      <c r="K158" s="22">
        <v>826021</v>
      </c>
      <c r="M158" s="22">
        <v>16372857130</v>
      </c>
      <c r="O158" s="22">
        <v>15540795166</v>
      </c>
      <c r="Q158" s="22">
        <v>832061964</v>
      </c>
    </row>
    <row r="159" spans="1:17" ht="18.75" x14ac:dyDescent="0.45">
      <c r="A159" s="29" t="s">
        <v>167</v>
      </c>
      <c r="C159" s="22">
        <v>500123</v>
      </c>
      <c r="E159" s="22">
        <v>16271630087</v>
      </c>
      <c r="G159" s="22">
        <v>16133850197</v>
      </c>
      <c r="I159" s="22">
        <v>137779890</v>
      </c>
      <c r="K159" s="22">
        <v>500123</v>
      </c>
      <c r="M159" s="22">
        <v>16271630087</v>
      </c>
      <c r="O159" s="22">
        <v>16132605508</v>
      </c>
      <c r="Q159" s="22">
        <v>139024579</v>
      </c>
    </row>
    <row r="160" spans="1:17" ht="18.75" x14ac:dyDescent="0.45">
      <c r="A160" s="29" t="s">
        <v>168</v>
      </c>
      <c r="C160" s="22">
        <v>5465017</v>
      </c>
      <c r="E160" s="22">
        <v>17394865477</v>
      </c>
      <c r="G160" s="22">
        <v>15745828854</v>
      </c>
      <c r="I160" s="22">
        <v>1649036623</v>
      </c>
      <c r="K160" s="22">
        <v>5465017</v>
      </c>
      <c r="M160" s="22">
        <v>17394865477</v>
      </c>
      <c r="O160" s="22">
        <v>15778895158</v>
      </c>
      <c r="Q160" s="22">
        <v>1615970319</v>
      </c>
    </row>
    <row r="161" spans="1:17" ht="18.75" x14ac:dyDescent="0.45">
      <c r="A161" s="29" t="s">
        <v>169</v>
      </c>
      <c r="C161" s="22">
        <v>1184435</v>
      </c>
      <c r="E161" s="22">
        <v>20003815524</v>
      </c>
      <c r="G161" s="22">
        <v>21180499300</v>
      </c>
      <c r="I161" s="22">
        <v>-1176683776</v>
      </c>
      <c r="K161" s="22">
        <v>1184435</v>
      </c>
      <c r="M161" s="22">
        <v>20003815524</v>
      </c>
      <c r="O161" s="22">
        <v>21180499300</v>
      </c>
      <c r="Q161" s="22">
        <v>-1176683776</v>
      </c>
    </row>
    <row r="162" spans="1:17" ht="18.75" x14ac:dyDescent="0.45">
      <c r="A162" s="29" t="s">
        <v>170</v>
      </c>
      <c r="C162" s="22">
        <v>3052977</v>
      </c>
      <c r="E162" s="22">
        <v>14870577756</v>
      </c>
      <c r="G162" s="22">
        <v>10549005771</v>
      </c>
      <c r="I162" s="22">
        <v>4321571985</v>
      </c>
      <c r="K162" s="22">
        <v>3052977</v>
      </c>
      <c r="M162" s="22">
        <v>14870577756</v>
      </c>
      <c r="O162" s="22">
        <v>9377372255</v>
      </c>
      <c r="Q162" s="22">
        <v>5493205501</v>
      </c>
    </row>
    <row r="163" spans="1:17" ht="18.75" x14ac:dyDescent="0.45">
      <c r="A163" s="29" t="s">
        <v>171</v>
      </c>
      <c r="C163" s="22">
        <v>1726432</v>
      </c>
      <c r="E163" s="22">
        <v>21623612593</v>
      </c>
      <c r="G163" s="22">
        <v>17504829242</v>
      </c>
      <c r="I163" s="22">
        <v>4118783351</v>
      </c>
      <c r="K163" s="22">
        <v>1726432</v>
      </c>
      <c r="M163" s="22">
        <v>21623612593</v>
      </c>
      <c r="O163" s="22">
        <v>16236225789</v>
      </c>
      <c r="Q163" s="22">
        <v>5387386804</v>
      </c>
    </row>
    <row r="164" spans="1:17" ht="18.75" x14ac:dyDescent="0.45">
      <c r="A164" s="29" t="s">
        <v>172</v>
      </c>
      <c r="C164" s="22">
        <v>1534515</v>
      </c>
      <c r="E164" s="22">
        <v>24680723406</v>
      </c>
      <c r="G164" s="22">
        <v>22255712217</v>
      </c>
      <c r="I164" s="22">
        <v>2425011189</v>
      </c>
      <c r="K164" s="22">
        <v>1534515</v>
      </c>
      <c r="M164" s="22">
        <v>24680723406</v>
      </c>
      <c r="O164" s="22">
        <v>20828421657</v>
      </c>
      <c r="Q164" s="22">
        <v>3852301749</v>
      </c>
    </row>
    <row r="165" spans="1:17" ht="18.75" x14ac:dyDescent="0.45">
      <c r="A165" s="29" t="s">
        <v>173</v>
      </c>
      <c r="C165" s="22">
        <v>1035048</v>
      </c>
      <c r="E165" s="22">
        <v>24456702569</v>
      </c>
      <c r="G165" s="22">
        <v>20358669350</v>
      </c>
      <c r="I165" s="22">
        <v>4098033219</v>
      </c>
      <c r="K165" s="22">
        <v>1035048</v>
      </c>
      <c r="M165" s="22">
        <v>24456702569</v>
      </c>
      <c r="O165" s="22">
        <v>19458637507</v>
      </c>
      <c r="Q165" s="22">
        <v>4998065062</v>
      </c>
    </row>
    <row r="166" spans="1:17" ht="18.75" x14ac:dyDescent="0.45">
      <c r="A166" s="29" t="s">
        <v>174</v>
      </c>
      <c r="C166" s="22">
        <v>2000000</v>
      </c>
      <c r="E166" s="22">
        <v>14055867000</v>
      </c>
      <c r="G166" s="22">
        <v>11710857525</v>
      </c>
      <c r="I166" s="22">
        <v>2345009475</v>
      </c>
      <c r="K166" s="22">
        <v>2000000</v>
      </c>
      <c r="M166" s="22">
        <v>14055867000</v>
      </c>
      <c r="O166" s="22">
        <v>11710857525</v>
      </c>
      <c r="Q166" s="22">
        <v>2345009475</v>
      </c>
    </row>
    <row r="167" spans="1:17" ht="18.75" x14ac:dyDescent="0.45">
      <c r="A167" s="29" t="s">
        <v>175</v>
      </c>
      <c r="C167" s="22">
        <v>308984</v>
      </c>
      <c r="E167" s="22">
        <v>20692395380</v>
      </c>
      <c r="G167" s="22">
        <v>18915598633</v>
      </c>
      <c r="I167" s="22">
        <v>1776796747</v>
      </c>
      <c r="K167" s="22">
        <v>308984</v>
      </c>
      <c r="M167" s="22">
        <v>20692395380</v>
      </c>
      <c r="O167" s="22">
        <v>18732528501</v>
      </c>
      <c r="Q167" s="22">
        <v>1959866879</v>
      </c>
    </row>
    <row r="168" spans="1:17" ht="18.75" x14ac:dyDescent="0.45">
      <c r="A168" s="29" t="s">
        <v>176</v>
      </c>
      <c r="C168" s="22">
        <v>2067558</v>
      </c>
      <c r="E168" s="22">
        <v>13955188443</v>
      </c>
      <c r="G168" s="22">
        <v>12946661095</v>
      </c>
      <c r="I168" s="22">
        <v>1008527348</v>
      </c>
      <c r="K168" s="22">
        <v>2067558</v>
      </c>
      <c r="M168" s="22">
        <v>13955188443</v>
      </c>
      <c r="O168" s="22">
        <v>13646897589</v>
      </c>
      <c r="Q168" s="22">
        <v>308290854</v>
      </c>
    </row>
    <row r="169" spans="1:17" ht="18.75" x14ac:dyDescent="0.45">
      <c r="A169" s="29" t="s">
        <v>177</v>
      </c>
      <c r="C169" s="22">
        <v>2276925</v>
      </c>
      <c r="E169" s="22">
        <v>14711952426</v>
      </c>
      <c r="G169" s="22">
        <v>14838497595</v>
      </c>
      <c r="I169" s="22">
        <v>-126545169</v>
      </c>
      <c r="K169" s="22">
        <v>2276925</v>
      </c>
      <c r="M169" s="22">
        <v>14711952426</v>
      </c>
      <c r="O169" s="22">
        <v>14838497595</v>
      </c>
      <c r="Q169" s="22">
        <v>-126545169</v>
      </c>
    </row>
    <row r="170" spans="1:17" ht="18.75" x14ac:dyDescent="0.45">
      <c r="A170" s="29" t="s">
        <v>178</v>
      </c>
      <c r="C170" s="22">
        <v>6854018</v>
      </c>
      <c r="E170" s="22">
        <v>23417094170</v>
      </c>
      <c r="G170" s="22">
        <v>21676342399</v>
      </c>
      <c r="I170" s="22">
        <v>1740751771</v>
      </c>
      <c r="K170" s="22">
        <v>6854018</v>
      </c>
      <c r="M170" s="22">
        <v>23417094170</v>
      </c>
      <c r="O170" s="22">
        <v>21502035448</v>
      </c>
      <c r="Q170" s="22">
        <v>1915058722</v>
      </c>
    </row>
    <row r="171" spans="1:17" ht="18.75" x14ac:dyDescent="0.45">
      <c r="A171" s="29" t="s">
        <v>179</v>
      </c>
      <c r="C171" s="22">
        <v>3200000</v>
      </c>
      <c r="E171" s="22">
        <v>19531094400</v>
      </c>
      <c r="G171" s="22">
        <v>6830753186</v>
      </c>
      <c r="I171" s="22">
        <v>12700341214</v>
      </c>
      <c r="K171" s="22">
        <v>3200000</v>
      </c>
      <c r="M171" s="22">
        <v>19531094400</v>
      </c>
      <c r="O171" s="22">
        <v>22335025723</v>
      </c>
      <c r="Q171" s="22">
        <v>-2803931323</v>
      </c>
    </row>
    <row r="172" spans="1:17" ht="18.75" x14ac:dyDescent="0.45">
      <c r="A172" s="29" t="s">
        <v>180</v>
      </c>
      <c r="C172" s="22">
        <v>900000</v>
      </c>
      <c r="E172" s="22">
        <v>26436759750</v>
      </c>
      <c r="G172" s="22">
        <v>25198183129</v>
      </c>
      <c r="I172" s="22">
        <v>1238576621</v>
      </c>
      <c r="K172" s="22">
        <v>900000</v>
      </c>
      <c r="M172" s="22">
        <v>26436759750</v>
      </c>
      <c r="O172" s="22">
        <v>25296645218</v>
      </c>
      <c r="Q172" s="22">
        <v>1140114532</v>
      </c>
    </row>
    <row r="173" spans="1:17" ht="18.75" x14ac:dyDescent="0.45">
      <c r="A173" s="29" t="s">
        <v>181</v>
      </c>
      <c r="C173" s="22">
        <v>3014987</v>
      </c>
      <c r="E173" s="22">
        <v>16004235398</v>
      </c>
      <c r="G173" s="22">
        <v>14850953468</v>
      </c>
      <c r="I173" s="22">
        <v>1153281930</v>
      </c>
      <c r="K173" s="22">
        <v>3014987</v>
      </c>
      <c r="M173" s="22">
        <v>16004235398</v>
      </c>
      <c r="O173" s="22">
        <v>14987389690</v>
      </c>
      <c r="Q173" s="22">
        <v>1016845708</v>
      </c>
    </row>
    <row r="174" spans="1:17" ht="18.75" x14ac:dyDescent="0.45">
      <c r="A174" s="29" t="s">
        <v>182</v>
      </c>
      <c r="C174" s="22">
        <v>1641424</v>
      </c>
      <c r="E174" s="22">
        <v>8280661951</v>
      </c>
      <c r="G174" s="22">
        <v>7922461528</v>
      </c>
      <c r="I174" s="22">
        <v>358200423</v>
      </c>
      <c r="K174" s="22">
        <v>1641424</v>
      </c>
      <c r="M174" s="22">
        <v>8280661951</v>
      </c>
      <c r="O174" s="22">
        <v>7922461528</v>
      </c>
      <c r="Q174" s="22">
        <v>358200423</v>
      </c>
    </row>
    <row r="175" spans="1:17" ht="18.75" x14ac:dyDescent="0.45">
      <c r="A175" s="29" t="s">
        <v>183</v>
      </c>
      <c r="C175" s="22">
        <v>3657173</v>
      </c>
      <c r="E175" s="22">
        <v>19376750334</v>
      </c>
      <c r="G175" s="22">
        <v>19250217180</v>
      </c>
      <c r="I175" s="22">
        <v>126533154</v>
      </c>
      <c r="K175" s="22">
        <v>3657173</v>
      </c>
      <c r="M175" s="22">
        <v>19376750334</v>
      </c>
      <c r="O175" s="22">
        <v>19250217180</v>
      </c>
      <c r="Q175" s="22">
        <v>126533154</v>
      </c>
    </row>
    <row r="176" spans="1:17" ht="18.75" x14ac:dyDescent="0.45">
      <c r="A176" s="29" t="s">
        <v>184</v>
      </c>
      <c r="C176" s="22">
        <v>2000000</v>
      </c>
      <c r="E176" s="22">
        <v>5940442800</v>
      </c>
      <c r="G176" s="22">
        <v>5146668896</v>
      </c>
      <c r="I176" s="22">
        <v>793773904</v>
      </c>
      <c r="K176" s="22">
        <v>2000000</v>
      </c>
      <c r="M176" s="22">
        <v>5940442800</v>
      </c>
      <c r="O176" s="22">
        <v>5146668896</v>
      </c>
      <c r="Q176" s="22">
        <v>793773904</v>
      </c>
    </row>
    <row r="177" spans="1:17" ht="18.75" x14ac:dyDescent="0.45">
      <c r="A177" s="29" t="s">
        <v>185</v>
      </c>
      <c r="C177" s="22">
        <v>707809</v>
      </c>
      <c r="E177" s="22">
        <v>29621456285</v>
      </c>
      <c r="G177" s="22">
        <v>25989990933</v>
      </c>
      <c r="I177" s="22">
        <v>3631465352</v>
      </c>
      <c r="K177" s="22">
        <v>707809</v>
      </c>
      <c r="M177" s="22">
        <v>29621456285</v>
      </c>
      <c r="O177" s="22">
        <v>26491794092</v>
      </c>
      <c r="Q177" s="22">
        <v>3129662193</v>
      </c>
    </row>
    <row r="178" spans="1:17" ht="18.75" x14ac:dyDescent="0.45">
      <c r="A178" s="29" t="s">
        <v>186</v>
      </c>
      <c r="C178" s="22">
        <v>4734015</v>
      </c>
      <c r="E178" s="22">
        <v>25416282946</v>
      </c>
      <c r="G178" s="22">
        <v>19317851177</v>
      </c>
      <c r="I178" s="22">
        <v>6098431769</v>
      </c>
      <c r="K178" s="22">
        <v>4734015</v>
      </c>
      <c r="M178" s="22">
        <v>25416282946</v>
      </c>
      <c r="O178" s="22">
        <v>18778157815</v>
      </c>
      <c r="Q178" s="22">
        <v>6638125131</v>
      </c>
    </row>
    <row r="179" spans="1:17" ht="18.75" x14ac:dyDescent="0.45">
      <c r="A179" s="29" t="s">
        <v>187</v>
      </c>
      <c r="C179" s="22">
        <v>1500000</v>
      </c>
      <c r="E179" s="22">
        <v>40482686250</v>
      </c>
      <c r="G179" s="22">
        <v>34977850335</v>
      </c>
      <c r="I179" s="22">
        <v>5504835915</v>
      </c>
      <c r="K179" s="22">
        <v>1500000</v>
      </c>
      <c r="M179" s="22">
        <v>40482686250</v>
      </c>
      <c r="O179" s="22">
        <v>27987477750</v>
      </c>
      <c r="Q179" s="22">
        <v>12495208500</v>
      </c>
    </row>
    <row r="180" spans="1:17" ht="18.75" x14ac:dyDescent="0.45">
      <c r="A180" s="29" t="s">
        <v>188</v>
      </c>
      <c r="C180" s="22">
        <v>324464</v>
      </c>
      <c r="E180" s="22">
        <v>13933444573</v>
      </c>
      <c r="G180" s="22">
        <v>11872838181</v>
      </c>
      <c r="I180" s="22">
        <v>2060606392</v>
      </c>
      <c r="K180" s="22">
        <v>324464</v>
      </c>
      <c r="M180" s="22">
        <v>13933444573</v>
      </c>
      <c r="O180" s="22">
        <v>11863537055</v>
      </c>
      <c r="Q180" s="22">
        <v>2069907518</v>
      </c>
    </row>
    <row r="181" spans="1:17" ht="18.75" x14ac:dyDescent="0.45">
      <c r="A181" s="29" t="s">
        <v>189</v>
      </c>
      <c r="C181" s="22">
        <v>492921</v>
      </c>
      <c r="E181" s="22">
        <v>21946567897</v>
      </c>
      <c r="G181" s="22">
        <v>17218690066</v>
      </c>
      <c r="I181" s="22">
        <v>4727877831</v>
      </c>
      <c r="K181" s="22">
        <v>492921</v>
      </c>
      <c r="M181" s="22">
        <v>21946567897</v>
      </c>
      <c r="O181" s="22">
        <v>16218557119</v>
      </c>
      <c r="Q181" s="22">
        <v>5728010778</v>
      </c>
    </row>
    <row r="182" spans="1:17" ht="18.75" x14ac:dyDescent="0.45">
      <c r="A182" s="29" t="s">
        <v>190</v>
      </c>
      <c r="C182" s="22">
        <v>48341</v>
      </c>
      <c r="E182" s="22">
        <v>13690405412</v>
      </c>
      <c r="G182" s="22">
        <v>11728114502</v>
      </c>
      <c r="I182" s="22">
        <v>1962290910</v>
      </c>
      <c r="K182" s="22">
        <v>48341</v>
      </c>
      <c r="M182" s="22">
        <v>13690405412</v>
      </c>
      <c r="O182" s="22">
        <v>13238121345</v>
      </c>
      <c r="Q182" s="22">
        <v>452284067</v>
      </c>
    </row>
    <row r="183" spans="1:17" ht="18.75" x14ac:dyDescent="0.45">
      <c r="A183" s="29" t="s">
        <v>191</v>
      </c>
      <c r="C183" s="22">
        <v>1036013</v>
      </c>
      <c r="E183" s="22">
        <v>18372501212</v>
      </c>
      <c r="G183" s="22">
        <v>15308591175</v>
      </c>
      <c r="I183" s="22">
        <v>3063910037</v>
      </c>
      <c r="K183" s="22">
        <v>1036013</v>
      </c>
      <c r="M183" s="22">
        <v>18372501212</v>
      </c>
      <c r="O183" s="22">
        <v>15308591175</v>
      </c>
      <c r="Q183" s="22">
        <v>3063910037</v>
      </c>
    </row>
    <row r="184" spans="1:17" ht="18.75" x14ac:dyDescent="0.45">
      <c r="A184" s="29" t="s">
        <v>192</v>
      </c>
      <c r="C184" s="22">
        <v>4658472</v>
      </c>
      <c r="E184" s="22">
        <v>26719451109</v>
      </c>
      <c r="G184" s="22">
        <v>25832654995</v>
      </c>
      <c r="I184" s="22">
        <v>886796114</v>
      </c>
      <c r="K184" s="22">
        <v>4658472</v>
      </c>
      <c r="M184" s="22">
        <v>26719451109</v>
      </c>
      <c r="O184" s="22">
        <v>25832654995</v>
      </c>
      <c r="Q184" s="22">
        <v>886796114</v>
      </c>
    </row>
    <row r="185" spans="1:17" ht="18.75" x14ac:dyDescent="0.45">
      <c r="A185" s="29" t="s">
        <v>193</v>
      </c>
      <c r="C185" s="22">
        <v>23987053</v>
      </c>
      <c r="E185" s="22">
        <v>46043401297</v>
      </c>
      <c r="G185" s="22">
        <v>41257841845</v>
      </c>
      <c r="I185" s="22">
        <v>4785559452</v>
      </c>
      <c r="K185" s="22">
        <v>23987053</v>
      </c>
      <c r="M185" s="22">
        <v>46043401297</v>
      </c>
      <c r="O185" s="22">
        <v>54467317834</v>
      </c>
      <c r="Q185" s="22">
        <v>-8423916537</v>
      </c>
    </row>
    <row r="186" spans="1:17" ht="18.75" x14ac:dyDescent="0.45">
      <c r="A186" s="29" t="s">
        <v>194</v>
      </c>
      <c r="C186" s="22">
        <v>2280545</v>
      </c>
      <c r="E186" s="22">
        <v>33347213389</v>
      </c>
      <c r="G186" s="22">
        <v>28177968095</v>
      </c>
      <c r="I186" s="22">
        <v>5169245294</v>
      </c>
      <c r="K186" s="22">
        <v>2280545</v>
      </c>
      <c r="M186" s="22">
        <v>33347213389</v>
      </c>
      <c r="O186" s="22">
        <v>28664992652</v>
      </c>
      <c r="Q186" s="22">
        <v>4682220737</v>
      </c>
    </row>
    <row r="187" spans="1:17" ht="18.75" x14ac:dyDescent="0.45">
      <c r="A187" s="29" t="s">
        <v>195</v>
      </c>
      <c r="C187" s="22">
        <v>450000</v>
      </c>
      <c r="E187" s="22">
        <v>7926554700</v>
      </c>
      <c r="G187" s="22">
        <v>7340562225</v>
      </c>
      <c r="I187" s="22">
        <v>585992475</v>
      </c>
      <c r="K187" s="22">
        <v>450000</v>
      </c>
      <c r="M187" s="22">
        <v>7926554700</v>
      </c>
      <c r="O187" s="22">
        <v>8423082675</v>
      </c>
      <c r="Q187" s="22">
        <v>-496527975</v>
      </c>
    </row>
    <row r="188" spans="1:17" ht="18.75" x14ac:dyDescent="0.45">
      <c r="A188" s="29" t="s">
        <v>196</v>
      </c>
      <c r="C188" s="22">
        <v>3000000</v>
      </c>
      <c r="E188" s="22">
        <v>21829338000</v>
      </c>
      <c r="G188" s="22">
        <v>18690330900</v>
      </c>
      <c r="I188" s="22">
        <v>3139007100</v>
      </c>
      <c r="K188" s="22">
        <v>3000000</v>
      </c>
      <c r="M188" s="22">
        <v>21829338000</v>
      </c>
      <c r="O188" s="22">
        <v>18779411046</v>
      </c>
      <c r="Q188" s="22">
        <v>3049926954</v>
      </c>
    </row>
    <row r="189" spans="1:17" ht="18.75" x14ac:dyDescent="0.45">
      <c r="A189" s="29" t="s">
        <v>197</v>
      </c>
      <c r="C189" s="22">
        <v>1405716</v>
      </c>
      <c r="E189" s="22">
        <v>10298484165</v>
      </c>
      <c r="G189" s="22">
        <v>7922985782</v>
      </c>
      <c r="I189" s="22">
        <v>2375498383</v>
      </c>
      <c r="K189" s="22">
        <v>1405716</v>
      </c>
      <c r="M189" s="22">
        <v>10298484165</v>
      </c>
      <c r="O189" s="22">
        <v>7977806216</v>
      </c>
      <c r="Q189" s="22">
        <v>2320677949</v>
      </c>
    </row>
    <row r="190" spans="1:17" ht="18.75" x14ac:dyDescent="0.45">
      <c r="A190" s="29" t="s">
        <v>198</v>
      </c>
      <c r="C190" s="22">
        <v>98085</v>
      </c>
      <c r="E190" s="22">
        <v>17020818394</v>
      </c>
      <c r="G190" s="22">
        <v>14086975418</v>
      </c>
      <c r="I190" s="22">
        <v>2933842976</v>
      </c>
      <c r="K190" s="22">
        <v>98085</v>
      </c>
      <c r="M190" s="22">
        <v>17020818394</v>
      </c>
      <c r="O190" s="22">
        <v>13405576184</v>
      </c>
      <c r="Q190" s="22">
        <v>3615242210</v>
      </c>
    </row>
    <row r="191" spans="1:17" ht="18.75" x14ac:dyDescent="0.45">
      <c r="A191" s="29" t="s">
        <v>199</v>
      </c>
      <c r="C191" s="22">
        <v>4067894</v>
      </c>
      <c r="E191" s="22">
        <v>13299696511</v>
      </c>
      <c r="G191" s="22">
        <v>12486002155</v>
      </c>
      <c r="I191" s="22">
        <v>813694356</v>
      </c>
      <c r="K191" s="22">
        <v>4067894</v>
      </c>
      <c r="M191" s="22">
        <v>13299696511</v>
      </c>
      <c r="O191" s="22">
        <v>12486002155</v>
      </c>
      <c r="Q191" s="22">
        <v>813694356</v>
      </c>
    </row>
    <row r="192" spans="1:17" ht="18.75" x14ac:dyDescent="0.45">
      <c r="A192" s="29" t="s">
        <v>200</v>
      </c>
      <c r="C192" s="22">
        <v>1724465</v>
      </c>
      <c r="E192" s="22">
        <v>15650686476</v>
      </c>
      <c r="G192" s="22">
        <v>13740488000</v>
      </c>
      <c r="I192" s="22">
        <v>1910198476</v>
      </c>
      <c r="K192" s="22">
        <v>1724465</v>
      </c>
      <c r="M192" s="22">
        <v>15650686476</v>
      </c>
      <c r="O192" s="22">
        <v>13637699241</v>
      </c>
      <c r="Q192" s="22">
        <v>2012987235</v>
      </c>
    </row>
    <row r="193" spans="1:17" ht="18.75" x14ac:dyDescent="0.45">
      <c r="A193" s="29" t="s">
        <v>201</v>
      </c>
      <c r="C193" s="22">
        <v>1792838</v>
      </c>
      <c r="E193" s="22">
        <v>15718744815</v>
      </c>
      <c r="G193" s="22">
        <v>12738723980</v>
      </c>
      <c r="I193" s="22">
        <v>2980020835</v>
      </c>
      <c r="K193" s="22">
        <v>1792838</v>
      </c>
      <c r="M193" s="22">
        <v>15718744815</v>
      </c>
      <c r="O193" s="22">
        <v>12418715001</v>
      </c>
      <c r="Q193" s="22">
        <v>3300029814</v>
      </c>
    </row>
    <row r="194" spans="1:17" ht="18.75" x14ac:dyDescent="0.45">
      <c r="A194" s="29" t="s">
        <v>202</v>
      </c>
      <c r="C194" s="22">
        <v>2031330</v>
      </c>
      <c r="E194" s="22">
        <v>8034570231</v>
      </c>
      <c r="G194" s="22">
        <v>6188345900</v>
      </c>
      <c r="I194" s="22">
        <v>1846224331</v>
      </c>
      <c r="K194" s="22">
        <v>2031330</v>
      </c>
      <c r="M194" s="22">
        <v>8034570231</v>
      </c>
      <c r="O194" s="22">
        <v>6332700327</v>
      </c>
      <c r="Q194" s="22">
        <v>1701869904</v>
      </c>
    </row>
    <row r="195" spans="1:17" ht="18.75" x14ac:dyDescent="0.45">
      <c r="A195" s="29" t="s">
        <v>203</v>
      </c>
      <c r="C195" s="22">
        <v>8047274</v>
      </c>
      <c r="E195" s="22">
        <v>20790421679</v>
      </c>
      <c r="G195" s="22">
        <v>14880166146</v>
      </c>
      <c r="I195" s="22">
        <v>5910255533</v>
      </c>
      <c r="K195" s="22">
        <v>8047274</v>
      </c>
      <c r="M195" s="22">
        <v>20790421679</v>
      </c>
      <c r="O195" s="22">
        <v>15398457413</v>
      </c>
      <c r="Q195" s="22">
        <v>5391964266</v>
      </c>
    </row>
    <row r="196" spans="1:17" ht="18.75" x14ac:dyDescent="0.45">
      <c r="A196" s="29" t="s">
        <v>204</v>
      </c>
      <c r="C196" s="22">
        <v>9752234</v>
      </c>
      <c r="E196" s="22">
        <v>14415287605</v>
      </c>
      <c r="G196" s="22">
        <v>13357430528</v>
      </c>
      <c r="I196" s="22">
        <v>1057857077</v>
      </c>
      <c r="K196" s="22">
        <v>9752234</v>
      </c>
      <c r="M196" s="22">
        <v>14415287605</v>
      </c>
      <c r="O196" s="22">
        <v>13415884464</v>
      </c>
      <c r="Q196" s="22">
        <v>999403141</v>
      </c>
    </row>
    <row r="197" spans="1:17" ht="37.5" x14ac:dyDescent="0.45">
      <c r="A197" s="29" t="s">
        <v>205</v>
      </c>
      <c r="C197" s="22">
        <v>14788545</v>
      </c>
      <c r="E197" s="22">
        <v>15523784134</v>
      </c>
      <c r="G197" s="22">
        <v>11484942776</v>
      </c>
      <c r="I197" s="22">
        <v>4038841358</v>
      </c>
      <c r="K197" s="22">
        <v>14788545</v>
      </c>
      <c r="M197" s="22">
        <v>15523784134</v>
      </c>
      <c r="O197" s="22">
        <v>19669340126</v>
      </c>
      <c r="Q197" s="22">
        <v>-4145555992</v>
      </c>
    </row>
    <row r="198" spans="1:17" ht="18.75" x14ac:dyDescent="0.45">
      <c r="A198" s="29" t="s">
        <v>206</v>
      </c>
      <c r="C198" s="22">
        <v>13459149</v>
      </c>
      <c r="E198" s="22">
        <v>27172885206</v>
      </c>
      <c r="G198" s="22">
        <v>24668989786</v>
      </c>
      <c r="I198" s="22">
        <v>2503895420</v>
      </c>
      <c r="K198" s="22">
        <v>13459149</v>
      </c>
      <c r="M198" s="22">
        <v>27172885206</v>
      </c>
      <c r="O198" s="22">
        <v>25277948526</v>
      </c>
      <c r="Q198" s="22">
        <v>1894936680</v>
      </c>
    </row>
    <row r="199" spans="1:17" ht="19.5" thickBot="1" x14ac:dyDescent="0.5">
      <c r="A199" s="24" t="s">
        <v>207</v>
      </c>
      <c r="C199" s="24">
        <f>SUM(C9:$C$198)</f>
        <v>1009662135</v>
      </c>
      <c r="E199" s="24">
        <f>SUM(E9:$E$198)</f>
        <v>3693567753499</v>
      </c>
      <c r="G199" s="24">
        <f>SUM(G9:$G$198)</f>
        <v>3205190020223</v>
      </c>
      <c r="I199" s="24">
        <f>SUM(I9:$I$198)</f>
        <v>488377733276</v>
      </c>
      <c r="K199" s="24">
        <f>SUM(K9:$K$198)</f>
        <v>1009662135</v>
      </c>
      <c r="M199" s="24">
        <f>SUM(M9:$M$198)</f>
        <v>3693567753499</v>
      </c>
      <c r="O199" s="24">
        <f>SUM(O9:$O$198)</f>
        <v>3414860306326</v>
      </c>
      <c r="Q199" s="24">
        <f>SUM(Q9:$Q$198)</f>
        <v>278707447173</v>
      </c>
    </row>
    <row r="200" spans="1:17" ht="19.5" thickTop="1" x14ac:dyDescent="0.45">
      <c r="C200" s="26"/>
      <c r="E200" s="26"/>
      <c r="G200" s="26"/>
      <c r="I200" s="26"/>
      <c r="K200" s="26"/>
      <c r="M200" s="26"/>
      <c r="O200" s="26"/>
      <c r="Q200" s="26"/>
    </row>
    <row r="202" spans="1:17" ht="18.75" x14ac:dyDescent="0.45">
      <c r="A202" s="31" t="s">
        <v>323</v>
      </c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3"/>
    </row>
  </sheetData>
  <mergeCells count="7">
    <mergeCell ref="A202:Q202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3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206"/>
  <sheetViews>
    <sheetView rightToLeft="1" view="pageBreakPreview" topLeftCell="A181" zoomScale="93" zoomScaleNormal="100" zoomScaleSheetLayoutView="93" workbookViewId="0">
      <selection activeCellId="1" sqref="A1:W1 A1:XFD1048576"/>
    </sheetView>
  </sheetViews>
  <sheetFormatPr defaultRowHeight="18" x14ac:dyDescent="0.45"/>
  <cols>
    <col min="1" max="1" width="21.28515625" style="12" customWidth="1"/>
    <col min="2" max="2" width="1.42578125" style="12" customWidth="1"/>
    <col min="3" max="3" width="17" style="12" customWidth="1"/>
    <col min="4" max="4" width="1.42578125" style="12" customWidth="1"/>
    <col min="5" max="5" width="17" style="12" customWidth="1"/>
    <col min="6" max="6" width="1.42578125" style="12" customWidth="1"/>
    <col min="7" max="7" width="17" style="12" customWidth="1"/>
    <col min="8" max="8" width="1.42578125" style="12" customWidth="1"/>
    <col min="9" max="9" width="17" style="12" customWidth="1"/>
    <col min="10" max="10" width="1.42578125" style="12" customWidth="1"/>
    <col min="11" max="11" width="10.7109375" style="12" customWidth="1"/>
    <col min="12" max="12" width="1.42578125" style="12" customWidth="1"/>
    <col min="13" max="13" width="17" style="12" customWidth="1"/>
    <col min="14" max="14" width="1.42578125" style="12" customWidth="1"/>
    <col min="15" max="15" width="17" style="12" customWidth="1"/>
    <col min="16" max="16" width="1.42578125" style="12" customWidth="1"/>
    <col min="17" max="17" width="17" style="12" customWidth="1"/>
    <col min="18" max="18" width="1.42578125" style="12" customWidth="1"/>
    <col min="19" max="19" width="17" style="12" customWidth="1"/>
    <col min="20" max="20" width="1.42578125" style="12" customWidth="1"/>
    <col min="21" max="21" width="10.7109375" style="12" customWidth="1"/>
    <col min="22" max="16384" width="9.140625" style="12"/>
  </cols>
  <sheetData>
    <row r="1" spans="1:21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ht="20.100000000000001" customHeight="1" x14ac:dyDescent="0.45">
      <c r="A2" s="10" t="s">
        <v>243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5" spans="1:21" ht="21" x14ac:dyDescent="0.45">
      <c r="A5" s="13" t="s">
        <v>327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7" spans="1:21" ht="21" x14ac:dyDescent="0.45">
      <c r="C7" s="14" t="s">
        <v>255</v>
      </c>
      <c r="D7" s="15"/>
      <c r="E7" s="15"/>
      <c r="F7" s="15"/>
      <c r="G7" s="15"/>
      <c r="H7" s="15"/>
      <c r="I7" s="15"/>
      <c r="J7" s="15"/>
      <c r="K7" s="15"/>
      <c r="M7" s="14" t="s">
        <v>7</v>
      </c>
      <c r="N7" s="15"/>
      <c r="O7" s="15"/>
      <c r="P7" s="15"/>
      <c r="Q7" s="15"/>
      <c r="R7" s="15"/>
      <c r="S7" s="15"/>
      <c r="T7" s="15"/>
      <c r="U7" s="15"/>
    </row>
    <row r="8" spans="1:21" ht="42" x14ac:dyDescent="0.45">
      <c r="A8" s="27" t="s">
        <v>328</v>
      </c>
      <c r="C8" s="28" t="s">
        <v>253</v>
      </c>
      <c r="E8" s="28" t="s">
        <v>329</v>
      </c>
      <c r="G8" s="28" t="s">
        <v>330</v>
      </c>
      <c r="I8" s="28" t="s">
        <v>331</v>
      </c>
      <c r="K8" s="28" t="s">
        <v>332</v>
      </c>
      <c r="M8" s="28" t="s">
        <v>253</v>
      </c>
      <c r="O8" s="28" t="s">
        <v>329</v>
      </c>
      <c r="Q8" s="28" t="s">
        <v>330</v>
      </c>
      <c r="S8" s="28" t="s">
        <v>331</v>
      </c>
      <c r="U8" s="28" t="s">
        <v>332</v>
      </c>
    </row>
    <row r="9" spans="1:21" ht="18.75" x14ac:dyDescent="0.45">
      <c r="A9" s="29" t="s">
        <v>17</v>
      </c>
      <c r="C9" s="22">
        <v>0</v>
      </c>
      <c r="E9" s="22">
        <v>85233373</v>
      </c>
      <c r="G9" s="22">
        <v>0</v>
      </c>
      <c r="I9" s="22">
        <v>85233373</v>
      </c>
      <c r="K9" s="23">
        <v>1.8625718189490352E-4</v>
      </c>
      <c r="M9" s="22">
        <v>0</v>
      </c>
      <c r="O9" s="22">
        <v>85233373</v>
      </c>
      <c r="Q9" s="22">
        <v>0</v>
      </c>
      <c r="S9" s="22">
        <v>85233373</v>
      </c>
      <c r="U9" s="23">
        <v>1.6265611580334866E-4</v>
      </c>
    </row>
    <row r="10" spans="1:21" ht="18.75" x14ac:dyDescent="0.45">
      <c r="A10" s="29" t="s">
        <v>18</v>
      </c>
      <c r="C10" s="22">
        <v>0</v>
      </c>
      <c r="E10" s="22">
        <v>2929221736</v>
      </c>
      <c r="G10" s="22">
        <v>0</v>
      </c>
      <c r="I10" s="22">
        <v>2929221736</v>
      </c>
      <c r="K10" s="23">
        <v>6.4011145692035093E-3</v>
      </c>
      <c r="M10" s="22">
        <v>0</v>
      </c>
      <c r="O10" s="22">
        <v>2929221736</v>
      </c>
      <c r="Q10" s="22">
        <v>2768386</v>
      </c>
      <c r="S10" s="22">
        <v>2931990122</v>
      </c>
      <c r="U10" s="23">
        <v>5.5952980391648513E-3</v>
      </c>
    </row>
    <row r="11" spans="1:21" ht="18.75" x14ac:dyDescent="0.45">
      <c r="A11" s="29" t="s">
        <v>19</v>
      </c>
      <c r="C11" s="22">
        <v>0</v>
      </c>
      <c r="E11" s="22">
        <v>129226500</v>
      </c>
      <c r="G11" s="22">
        <v>0</v>
      </c>
      <c r="I11" s="22">
        <v>129226500</v>
      </c>
      <c r="K11" s="23">
        <v>2.8239365484388081E-4</v>
      </c>
      <c r="M11" s="22">
        <v>199000000</v>
      </c>
      <c r="O11" s="22">
        <v>226146375</v>
      </c>
      <c r="Q11" s="22">
        <v>0</v>
      </c>
      <c r="S11" s="22">
        <v>425146375</v>
      </c>
      <c r="U11" s="23">
        <v>8.1133311485131413E-4</v>
      </c>
    </row>
    <row r="12" spans="1:21" ht="18.75" x14ac:dyDescent="0.45">
      <c r="A12" s="29" t="s">
        <v>20</v>
      </c>
      <c r="C12" s="22">
        <v>0</v>
      </c>
      <c r="E12" s="22">
        <v>1564162668</v>
      </c>
      <c r="G12" s="22">
        <v>21878073</v>
      </c>
      <c r="I12" s="22">
        <v>1586040741</v>
      </c>
      <c r="K12" s="23">
        <v>3.465913273069277E-3</v>
      </c>
      <c r="M12" s="22">
        <v>0</v>
      </c>
      <c r="O12" s="22">
        <v>1564162668</v>
      </c>
      <c r="Q12" s="22">
        <v>21878073</v>
      </c>
      <c r="S12" s="22">
        <v>1586040741</v>
      </c>
      <c r="U12" s="23">
        <v>3.0267396133310939E-3</v>
      </c>
    </row>
    <row r="13" spans="1:21" ht="18.75" x14ac:dyDescent="0.45">
      <c r="A13" s="29" t="s">
        <v>21</v>
      </c>
      <c r="C13" s="22">
        <v>0</v>
      </c>
      <c r="E13" s="22">
        <v>586936823</v>
      </c>
      <c r="G13" s="22">
        <v>0</v>
      </c>
      <c r="I13" s="22">
        <v>586936823</v>
      </c>
      <c r="K13" s="23">
        <v>1.2826102588047029E-3</v>
      </c>
      <c r="M13" s="22">
        <v>24500000</v>
      </c>
      <c r="O13" s="22">
        <v>533357528</v>
      </c>
      <c r="Q13" s="22">
        <v>0</v>
      </c>
      <c r="S13" s="22">
        <v>557857528</v>
      </c>
      <c r="U13" s="23">
        <v>1.0645940138510981E-3</v>
      </c>
    </row>
    <row r="14" spans="1:21" ht="18.75" x14ac:dyDescent="0.45">
      <c r="A14" s="29" t="s">
        <v>333</v>
      </c>
      <c r="C14" s="22">
        <v>0</v>
      </c>
      <c r="E14" s="22">
        <v>1260557414</v>
      </c>
      <c r="G14" s="22">
        <v>0</v>
      </c>
      <c r="I14" s="22">
        <v>1260557414</v>
      </c>
      <c r="K14" s="23">
        <v>2.7546471914043245E-3</v>
      </c>
      <c r="M14" s="22">
        <v>4340424361</v>
      </c>
      <c r="O14" s="22">
        <v>1027149348</v>
      </c>
      <c r="Q14" s="22">
        <v>785484174</v>
      </c>
      <c r="S14" s="22">
        <v>6153057883</v>
      </c>
      <c r="U14" s="23">
        <v>1.1742260810937932E-2</v>
      </c>
    </row>
    <row r="15" spans="1:21" ht="18.75" x14ac:dyDescent="0.45">
      <c r="A15" s="29" t="s">
        <v>23</v>
      </c>
      <c r="C15" s="22">
        <v>0</v>
      </c>
      <c r="E15" s="22">
        <v>2692782119</v>
      </c>
      <c r="G15" s="22">
        <v>0</v>
      </c>
      <c r="I15" s="22">
        <v>2692782119</v>
      </c>
      <c r="K15" s="23">
        <v>5.8844322509907796E-3</v>
      </c>
      <c r="M15" s="22">
        <v>0</v>
      </c>
      <c r="O15" s="22">
        <v>3740898101</v>
      </c>
      <c r="Q15" s="22">
        <v>548670466</v>
      </c>
      <c r="S15" s="22">
        <v>4289568567</v>
      </c>
      <c r="U15" s="23">
        <v>8.186048926872299E-3</v>
      </c>
    </row>
    <row r="16" spans="1:21" ht="18.75" x14ac:dyDescent="0.45">
      <c r="A16" s="29" t="s">
        <v>24</v>
      </c>
      <c r="C16" s="22">
        <v>0</v>
      </c>
      <c r="E16" s="22">
        <v>2217414254</v>
      </c>
      <c r="G16" s="22">
        <v>351072904</v>
      </c>
      <c r="I16" s="22">
        <v>2568487158</v>
      </c>
      <c r="K16" s="23">
        <v>5.6128152969181421E-3</v>
      </c>
      <c r="M16" s="22">
        <v>0</v>
      </c>
      <c r="O16" s="22">
        <v>2672406026</v>
      </c>
      <c r="Q16" s="22">
        <v>351072904</v>
      </c>
      <c r="S16" s="22">
        <v>3023478930</v>
      </c>
      <c r="U16" s="23">
        <v>5.7698917883616399E-3</v>
      </c>
    </row>
    <row r="17" spans="1:21" ht="18.75" x14ac:dyDescent="0.45">
      <c r="A17" s="29" t="s">
        <v>25</v>
      </c>
      <c r="C17" s="22">
        <v>0</v>
      </c>
      <c r="E17" s="22">
        <v>659651580</v>
      </c>
      <c r="G17" s="22">
        <v>0</v>
      </c>
      <c r="I17" s="22">
        <v>659651580</v>
      </c>
      <c r="K17" s="23">
        <v>1.4415109950338407E-3</v>
      </c>
      <c r="M17" s="22">
        <v>0</v>
      </c>
      <c r="O17" s="22">
        <v>970288476</v>
      </c>
      <c r="Q17" s="22">
        <v>0</v>
      </c>
      <c r="S17" s="22">
        <v>970288476</v>
      </c>
      <c r="U17" s="23">
        <v>1.8516614931443659E-3</v>
      </c>
    </row>
    <row r="18" spans="1:21" ht="18.75" x14ac:dyDescent="0.45">
      <c r="A18" s="29" t="s">
        <v>26</v>
      </c>
      <c r="C18" s="22">
        <v>0</v>
      </c>
      <c r="E18" s="22">
        <v>8793968270</v>
      </c>
      <c r="G18" s="22">
        <v>-6666395559</v>
      </c>
      <c r="I18" s="22">
        <v>2127572711</v>
      </c>
      <c r="K18" s="23">
        <v>4.6493020688898462E-3</v>
      </c>
      <c r="M18" s="22">
        <v>669713695</v>
      </c>
      <c r="O18" s="22">
        <v>-6490126573</v>
      </c>
      <c r="Q18" s="22">
        <v>-13680519794</v>
      </c>
      <c r="S18" s="22">
        <v>-19500932672</v>
      </c>
      <c r="U18" s="23">
        <v>-3.7214835589929517E-2</v>
      </c>
    </row>
    <row r="19" spans="1:21" ht="18.75" x14ac:dyDescent="0.45">
      <c r="A19" s="29" t="s">
        <v>27</v>
      </c>
      <c r="C19" s="22">
        <v>0</v>
      </c>
      <c r="E19" s="22">
        <v>4671101158</v>
      </c>
      <c r="G19" s="22">
        <v>6601465</v>
      </c>
      <c r="I19" s="22">
        <v>4677702623</v>
      </c>
      <c r="K19" s="23">
        <v>1.0222001988615167E-2</v>
      </c>
      <c r="M19" s="22">
        <v>4445453740</v>
      </c>
      <c r="O19" s="22">
        <v>1821895504</v>
      </c>
      <c r="Q19" s="22">
        <v>-2799003916</v>
      </c>
      <c r="S19" s="22">
        <v>3468345328</v>
      </c>
      <c r="U19" s="23">
        <v>6.61885784242249E-3</v>
      </c>
    </row>
    <row r="20" spans="1:21" ht="18.75" x14ac:dyDescent="0.45">
      <c r="A20" s="29" t="s">
        <v>28</v>
      </c>
      <c r="C20" s="22">
        <v>0</v>
      </c>
      <c r="E20" s="22">
        <v>2982507113</v>
      </c>
      <c r="G20" s="22">
        <v>1298108500</v>
      </c>
      <c r="I20" s="22">
        <v>4280615613</v>
      </c>
      <c r="K20" s="23">
        <v>9.3542631576096942E-3</v>
      </c>
      <c r="M20" s="22">
        <v>1925903250</v>
      </c>
      <c r="O20" s="22">
        <v>8627426452</v>
      </c>
      <c r="Q20" s="22">
        <v>4985169341</v>
      </c>
      <c r="S20" s="22">
        <v>15538499043</v>
      </c>
      <c r="U20" s="23">
        <v>2.9653078492487096E-2</v>
      </c>
    </row>
    <row r="21" spans="1:21" ht="18.75" x14ac:dyDescent="0.45">
      <c r="A21" s="29" t="s">
        <v>29</v>
      </c>
      <c r="C21" s="22">
        <v>0</v>
      </c>
      <c r="E21" s="22">
        <v>4707707785</v>
      </c>
      <c r="G21" s="22">
        <v>15301835</v>
      </c>
      <c r="I21" s="22">
        <v>4723009620</v>
      </c>
      <c r="K21" s="23">
        <v>1.0321009610680538E-2</v>
      </c>
      <c r="M21" s="22">
        <v>0</v>
      </c>
      <c r="O21" s="22">
        <v>4859420701</v>
      </c>
      <c r="Q21" s="22">
        <v>15301835</v>
      </c>
      <c r="S21" s="22">
        <v>4874722536</v>
      </c>
      <c r="U21" s="23">
        <v>9.3027344268636347E-3</v>
      </c>
    </row>
    <row r="22" spans="1:21" ht="18.75" x14ac:dyDescent="0.45">
      <c r="A22" s="29" t="s">
        <v>334</v>
      </c>
      <c r="C22" s="22">
        <v>0</v>
      </c>
      <c r="E22" s="22">
        <v>3350525807</v>
      </c>
      <c r="G22" s="22">
        <v>409076315</v>
      </c>
      <c r="I22" s="22">
        <v>3759602122</v>
      </c>
      <c r="K22" s="23">
        <v>8.2157125975739487E-3</v>
      </c>
      <c r="M22" s="22">
        <v>675475200</v>
      </c>
      <c r="O22" s="22">
        <v>4035411053</v>
      </c>
      <c r="Q22" s="22">
        <v>1436367599</v>
      </c>
      <c r="S22" s="22">
        <v>6147253852</v>
      </c>
      <c r="U22" s="23">
        <v>1.1731184619708681E-2</v>
      </c>
    </row>
    <row r="23" spans="1:21" ht="18.75" x14ac:dyDescent="0.45">
      <c r="A23" s="29" t="s">
        <v>30</v>
      </c>
      <c r="C23" s="22">
        <v>0</v>
      </c>
      <c r="E23" s="22">
        <v>1598680913</v>
      </c>
      <c r="G23" s="22">
        <v>0</v>
      </c>
      <c r="I23" s="22">
        <v>1598680913</v>
      </c>
      <c r="K23" s="23">
        <v>3.4935353503439482E-3</v>
      </c>
      <c r="M23" s="22">
        <v>700000000</v>
      </c>
      <c r="O23" s="22">
        <v>2837267213</v>
      </c>
      <c r="Q23" s="22">
        <v>0</v>
      </c>
      <c r="S23" s="22">
        <v>3537267213</v>
      </c>
      <c r="U23" s="23">
        <v>6.7503857371116402E-3</v>
      </c>
    </row>
    <row r="24" spans="1:21" ht="18.75" x14ac:dyDescent="0.45">
      <c r="A24" s="29" t="s">
        <v>32</v>
      </c>
      <c r="C24" s="22">
        <v>0</v>
      </c>
      <c r="E24" s="22">
        <v>2161783369</v>
      </c>
      <c r="G24" s="22">
        <v>0</v>
      </c>
      <c r="I24" s="22">
        <v>2161783369</v>
      </c>
      <c r="K24" s="23">
        <v>4.7240612920153979E-3</v>
      </c>
      <c r="M24" s="22">
        <v>0</v>
      </c>
      <c r="O24" s="22">
        <v>2314761870</v>
      </c>
      <c r="Q24" s="22">
        <v>0</v>
      </c>
      <c r="S24" s="22">
        <v>2314761870</v>
      </c>
      <c r="U24" s="23">
        <v>4.4174032017235305E-3</v>
      </c>
    </row>
    <row r="25" spans="1:21" ht="18.75" x14ac:dyDescent="0.45">
      <c r="A25" s="29" t="s">
        <v>33</v>
      </c>
      <c r="C25" s="22">
        <v>0</v>
      </c>
      <c r="E25" s="22">
        <v>2427689895</v>
      </c>
      <c r="G25" s="22">
        <v>147583127</v>
      </c>
      <c r="I25" s="22">
        <v>2575273022</v>
      </c>
      <c r="K25" s="23">
        <v>5.6276441821408599E-3</v>
      </c>
      <c r="M25" s="22">
        <v>0</v>
      </c>
      <c r="O25" s="22">
        <v>2424823263</v>
      </c>
      <c r="Q25" s="22">
        <v>147583127</v>
      </c>
      <c r="S25" s="22">
        <v>2572406390</v>
      </c>
      <c r="U25" s="23">
        <v>4.9090821697871101E-3</v>
      </c>
    </row>
    <row r="26" spans="1:21" ht="18.75" x14ac:dyDescent="0.45">
      <c r="A26" s="29" t="s">
        <v>34</v>
      </c>
      <c r="C26" s="22">
        <v>0</v>
      </c>
      <c r="E26" s="22">
        <v>4020215338</v>
      </c>
      <c r="G26" s="22">
        <v>789930682</v>
      </c>
      <c r="I26" s="22">
        <v>4810146020</v>
      </c>
      <c r="K26" s="23">
        <v>1.0511425403617268E-2</v>
      </c>
      <c r="M26" s="22">
        <v>0</v>
      </c>
      <c r="O26" s="22">
        <v>4768578023</v>
      </c>
      <c r="Q26" s="22">
        <v>789930682</v>
      </c>
      <c r="S26" s="22">
        <v>5558508705</v>
      </c>
      <c r="U26" s="23">
        <v>1.0607645852692015E-2</v>
      </c>
    </row>
    <row r="27" spans="1:21" ht="18.75" x14ac:dyDescent="0.45">
      <c r="A27" s="29" t="s">
        <v>35</v>
      </c>
      <c r="C27" s="22">
        <v>0</v>
      </c>
      <c r="E27" s="22">
        <v>3059536854</v>
      </c>
      <c r="G27" s="22">
        <v>0</v>
      </c>
      <c r="I27" s="22">
        <v>3059536854</v>
      </c>
      <c r="K27" s="23">
        <v>6.6858871387107822E-3</v>
      </c>
      <c r="M27" s="22">
        <v>0</v>
      </c>
      <c r="O27" s="22">
        <v>3059536854</v>
      </c>
      <c r="Q27" s="22">
        <v>0</v>
      </c>
      <c r="S27" s="22">
        <v>3059536854</v>
      </c>
      <c r="U27" s="23">
        <v>5.8387033542464288E-3</v>
      </c>
    </row>
    <row r="28" spans="1:21" ht="18.75" x14ac:dyDescent="0.45">
      <c r="A28" s="29" t="s">
        <v>36</v>
      </c>
      <c r="C28" s="22">
        <v>0</v>
      </c>
      <c r="E28" s="22">
        <v>727636637</v>
      </c>
      <c r="G28" s="22">
        <v>0</v>
      </c>
      <c r="I28" s="22">
        <v>727636637</v>
      </c>
      <c r="K28" s="23">
        <v>1.5900761014245545E-3</v>
      </c>
      <c r="M28" s="22">
        <v>0</v>
      </c>
      <c r="O28" s="22">
        <v>727636637</v>
      </c>
      <c r="Q28" s="22">
        <v>0</v>
      </c>
      <c r="S28" s="22">
        <v>727636637</v>
      </c>
      <c r="U28" s="23">
        <v>1.3885939852530671E-3</v>
      </c>
    </row>
    <row r="29" spans="1:21" ht="18.75" x14ac:dyDescent="0.45">
      <c r="A29" s="29" t="s">
        <v>335</v>
      </c>
      <c r="C29" s="22">
        <v>0</v>
      </c>
      <c r="E29" s="22">
        <v>1477715139</v>
      </c>
      <c r="G29" s="22">
        <v>0</v>
      </c>
      <c r="I29" s="22">
        <v>1477715139</v>
      </c>
      <c r="K29" s="23">
        <v>3.2291935394082741E-3</v>
      </c>
      <c r="M29" s="22">
        <v>0</v>
      </c>
      <c r="O29" s="22">
        <v>1728877120</v>
      </c>
      <c r="Q29" s="22">
        <v>0</v>
      </c>
      <c r="S29" s="22">
        <v>1728877120</v>
      </c>
      <c r="U29" s="23">
        <v>3.2993231071646069E-3</v>
      </c>
    </row>
    <row r="30" spans="1:21" ht="18.75" x14ac:dyDescent="0.45">
      <c r="A30" s="29" t="s">
        <v>38</v>
      </c>
      <c r="C30" s="22">
        <v>0</v>
      </c>
      <c r="E30" s="22">
        <v>1467121525</v>
      </c>
      <c r="G30" s="22">
        <v>0</v>
      </c>
      <c r="I30" s="22">
        <v>1467121525</v>
      </c>
      <c r="K30" s="23">
        <v>3.2060437258989295E-3</v>
      </c>
      <c r="M30" s="22">
        <v>0</v>
      </c>
      <c r="O30" s="22">
        <v>1500244445</v>
      </c>
      <c r="Q30" s="22">
        <v>0</v>
      </c>
      <c r="S30" s="22">
        <v>1500244445</v>
      </c>
      <c r="U30" s="23">
        <v>2.8630092367604712E-3</v>
      </c>
    </row>
    <row r="31" spans="1:21" ht="18.75" x14ac:dyDescent="0.45">
      <c r="A31" s="29" t="s">
        <v>336</v>
      </c>
      <c r="C31" s="22">
        <v>0</v>
      </c>
      <c r="E31" s="22">
        <v>417252488</v>
      </c>
      <c r="G31" s="22">
        <v>0</v>
      </c>
      <c r="I31" s="22">
        <v>417252488</v>
      </c>
      <c r="K31" s="23">
        <v>9.1180566740585336E-4</v>
      </c>
      <c r="M31" s="22">
        <v>687500000</v>
      </c>
      <c r="O31" s="22">
        <v>-120708531</v>
      </c>
      <c r="Q31" s="22">
        <v>0</v>
      </c>
      <c r="S31" s="22">
        <v>566791469</v>
      </c>
      <c r="U31" s="23">
        <v>1.0816432058603864E-3</v>
      </c>
    </row>
    <row r="32" spans="1:21" ht="18.75" x14ac:dyDescent="0.45">
      <c r="A32" s="29" t="s">
        <v>39</v>
      </c>
      <c r="C32" s="22">
        <v>0</v>
      </c>
      <c r="E32" s="22">
        <v>492838469</v>
      </c>
      <c r="G32" s="22">
        <v>0</v>
      </c>
      <c r="I32" s="22">
        <v>492838469</v>
      </c>
      <c r="K32" s="23">
        <v>1.076980778002752E-3</v>
      </c>
      <c r="M32" s="22">
        <v>0</v>
      </c>
      <c r="O32" s="22">
        <v>409264891</v>
      </c>
      <c r="Q32" s="22">
        <v>0</v>
      </c>
      <c r="S32" s="22">
        <v>409264891</v>
      </c>
      <c r="U32" s="23">
        <v>7.8102549695810897E-4</v>
      </c>
    </row>
    <row r="33" spans="1:21" ht="18.75" x14ac:dyDescent="0.45">
      <c r="A33" s="29" t="s">
        <v>41</v>
      </c>
      <c r="C33" s="22">
        <v>0</v>
      </c>
      <c r="E33" s="22">
        <v>523147336</v>
      </c>
      <c r="G33" s="22">
        <v>0</v>
      </c>
      <c r="I33" s="22">
        <v>523147336</v>
      </c>
      <c r="K33" s="23">
        <v>1.1432135686943448E-3</v>
      </c>
      <c r="M33" s="22">
        <v>0</v>
      </c>
      <c r="O33" s="22">
        <v>541263924</v>
      </c>
      <c r="Q33" s="22">
        <v>0</v>
      </c>
      <c r="S33" s="22">
        <v>541263924</v>
      </c>
      <c r="U33" s="23">
        <v>1.032927413330444E-3</v>
      </c>
    </row>
    <row r="34" spans="1:21" ht="37.5" x14ac:dyDescent="0.45">
      <c r="A34" s="29" t="s">
        <v>42</v>
      </c>
      <c r="C34" s="22">
        <v>0</v>
      </c>
      <c r="E34" s="22">
        <v>174310421</v>
      </c>
      <c r="G34" s="22">
        <v>0</v>
      </c>
      <c r="I34" s="22">
        <v>174310421</v>
      </c>
      <c r="K34" s="23">
        <v>3.809137975845941E-4</v>
      </c>
      <c r="M34" s="22">
        <v>0</v>
      </c>
      <c r="O34" s="22">
        <v>224951820</v>
      </c>
      <c r="Q34" s="22">
        <v>0</v>
      </c>
      <c r="S34" s="22">
        <v>224951820</v>
      </c>
      <c r="U34" s="23">
        <v>4.2928946721484365E-4</v>
      </c>
    </row>
    <row r="35" spans="1:21" ht="18.75" x14ac:dyDescent="0.45">
      <c r="A35" s="29" t="s">
        <v>43</v>
      </c>
      <c r="C35" s="22">
        <v>0</v>
      </c>
      <c r="E35" s="22">
        <v>580674017</v>
      </c>
      <c r="G35" s="22">
        <v>0</v>
      </c>
      <c r="I35" s="22">
        <v>580674017</v>
      </c>
      <c r="K35" s="23">
        <v>1.2689243919281864E-3</v>
      </c>
      <c r="M35" s="22">
        <v>0</v>
      </c>
      <c r="O35" s="22">
        <v>782311620</v>
      </c>
      <c r="Q35" s="22">
        <v>0</v>
      </c>
      <c r="S35" s="22">
        <v>782311620</v>
      </c>
      <c r="U35" s="23">
        <v>1.4929336359482722E-3</v>
      </c>
    </row>
    <row r="36" spans="1:21" ht="18.75" x14ac:dyDescent="0.45">
      <c r="A36" s="29" t="s">
        <v>44</v>
      </c>
      <c r="C36" s="22">
        <v>420000000</v>
      </c>
      <c r="E36" s="22">
        <v>3436779390</v>
      </c>
      <c r="G36" s="22">
        <v>-979204564</v>
      </c>
      <c r="I36" s="22">
        <v>2877574826</v>
      </c>
      <c r="K36" s="23">
        <v>6.2882525813272383E-3</v>
      </c>
      <c r="M36" s="22">
        <v>420000000</v>
      </c>
      <c r="O36" s="22">
        <v>-354129691</v>
      </c>
      <c r="Q36" s="22">
        <v>13174709960</v>
      </c>
      <c r="S36" s="22">
        <v>13240580269</v>
      </c>
      <c r="U36" s="23">
        <v>2.5267818012294285E-2</v>
      </c>
    </row>
    <row r="37" spans="1:21" ht="18.75" x14ac:dyDescent="0.45">
      <c r="A37" s="29" t="s">
        <v>45</v>
      </c>
      <c r="C37" s="22">
        <v>0</v>
      </c>
      <c r="E37" s="22">
        <v>-836738287</v>
      </c>
      <c r="G37" s="22">
        <v>-1022570759</v>
      </c>
      <c r="I37" s="22">
        <v>-1859309046</v>
      </c>
      <c r="K37" s="23">
        <v>-4.0630758937542167E-3</v>
      </c>
      <c r="M37" s="22">
        <v>18000000000</v>
      </c>
      <c r="O37" s="22">
        <v>2125772824</v>
      </c>
      <c r="Q37" s="22">
        <v>17179065047</v>
      </c>
      <c r="S37" s="22">
        <v>37304837871</v>
      </c>
      <c r="U37" s="23">
        <v>7.1191128723376018E-2</v>
      </c>
    </row>
    <row r="38" spans="1:21" ht="18.75" x14ac:dyDescent="0.45">
      <c r="A38" s="29" t="s">
        <v>337</v>
      </c>
      <c r="C38" s="22">
        <v>0</v>
      </c>
      <c r="E38" s="22">
        <v>1458611962</v>
      </c>
      <c r="G38" s="22">
        <v>0</v>
      </c>
      <c r="I38" s="22">
        <v>1458611962</v>
      </c>
      <c r="K38" s="23">
        <v>3.1874481081526139E-3</v>
      </c>
      <c r="M38" s="22">
        <v>0</v>
      </c>
      <c r="O38" s="22">
        <v>1511508806</v>
      </c>
      <c r="Q38" s="22">
        <v>0</v>
      </c>
      <c r="S38" s="22">
        <v>1511508806</v>
      </c>
      <c r="U38" s="23">
        <v>2.8845057133491275E-3</v>
      </c>
    </row>
    <row r="39" spans="1:21" ht="18.75" x14ac:dyDescent="0.45">
      <c r="A39" s="29" t="s">
        <v>275</v>
      </c>
      <c r="C39" s="22">
        <v>0</v>
      </c>
      <c r="E39" s="22">
        <v>710625958</v>
      </c>
      <c r="G39" s="22">
        <v>0</v>
      </c>
      <c r="I39" s="22">
        <v>710625958</v>
      </c>
      <c r="K39" s="23">
        <v>1.5529033248331738E-3</v>
      </c>
      <c r="M39" s="22">
        <v>2180218760</v>
      </c>
      <c r="O39" s="22">
        <v>-2122352059</v>
      </c>
      <c r="Q39" s="22">
        <v>-1763883002</v>
      </c>
      <c r="S39" s="22">
        <v>-1706016301</v>
      </c>
      <c r="U39" s="23">
        <v>-3.2556963927481376E-3</v>
      </c>
    </row>
    <row r="40" spans="1:21" ht="18.75" x14ac:dyDescent="0.45">
      <c r="A40" s="29" t="s">
        <v>48</v>
      </c>
      <c r="C40" s="22">
        <v>0</v>
      </c>
      <c r="E40" s="22">
        <v>1319173622</v>
      </c>
      <c r="G40" s="22">
        <v>205815079</v>
      </c>
      <c r="I40" s="22">
        <v>1524988701</v>
      </c>
      <c r="K40" s="23">
        <v>3.3324986196408024E-3</v>
      </c>
      <c r="M40" s="22">
        <v>1524233883</v>
      </c>
      <c r="O40" s="22">
        <v>2361315540</v>
      </c>
      <c r="Q40" s="22">
        <v>1184719052</v>
      </c>
      <c r="S40" s="22">
        <v>5070268475</v>
      </c>
      <c r="U40" s="23">
        <v>9.6759068331563978E-3</v>
      </c>
    </row>
    <row r="41" spans="1:21" ht="37.5" x14ac:dyDescent="0.45">
      <c r="A41" s="29" t="s">
        <v>49</v>
      </c>
      <c r="C41" s="22">
        <v>0</v>
      </c>
      <c r="E41" s="22">
        <v>458766994</v>
      </c>
      <c r="G41" s="22">
        <v>0</v>
      </c>
      <c r="I41" s="22">
        <v>458766994</v>
      </c>
      <c r="K41" s="23">
        <v>1.0025257060850578E-3</v>
      </c>
      <c r="M41" s="22">
        <v>29476195</v>
      </c>
      <c r="O41" s="22">
        <v>-1793209672</v>
      </c>
      <c r="Q41" s="22">
        <v>0</v>
      </c>
      <c r="S41" s="22">
        <v>-1763733477</v>
      </c>
      <c r="U41" s="23">
        <v>-3.3658416484486043E-3</v>
      </c>
    </row>
    <row r="42" spans="1:21" ht="37.5" x14ac:dyDescent="0.45">
      <c r="A42" s="29" t="s">
        <v>50</v>
      </c>
      <c r="C42" s="22">
        <v>0</v>
      </c>
      <c r="E42" s="22">
        <v>1718501214</v>
      </c>
      <c r="G42" s="22">
        <v>0</v>
      </c>
      <c r="I42" s="22">
        <v>1718501214</v>
      </c>
      <c r="K42" s="23">
        <v>3.7553740035914159E-3</v>
      </c>
      <c r="M42" s="22">
        <v>0</v>
      </c>
      <c r="O42" s="22">
        <v>837946873</v>
      </c>
      <c r="Q42" s="22">
        <v>-1173077</v>
      </c>
      <c r="S42" s="22">
        <v>836773796</v>
      </c>
      <c r="U42" s="23">
        <v>1.5968671738872007E-3</v>
      </c>
    </row>
    <row r="43" spans="1:21" ht="18.75" x14ac:dyDescent="0.45">
      <c r="A43" s="29" t="s">
        <v>51</v>
      </c>
      <c r="C43" s="22">
        <v>0</v>
      </c>
      <c r="E43" s="22">
        <v>2677120564</v>
      </c>
      <c r="G43" s="22">
        <v>0</v>
      </c>
      <c r="I43" s="22">
        <v>2677120564</v>
      </c>
      <c r="K43" s="23">
        <v>5.850207662713696E-3</v>
      </c>
      <c r="M43" s="22">
        <v>0</v>
      </c>
      <c r="O43" s="22">
        <v>2677120564</v>
      </c>
      <c r="Q43" s="22">
        <v>0</v>
      </c>
      <c r="S43" s="22">
        <v>2677120564</v>
      </c>
      <c r="U43" s="23">
        <v>5.1089147026659393E-3</v>
      </c>
    </row>
    <row r="44" spans="1:21" ht="18.75" x14ac:dyDescent="0.45">
      <c r="A44" s="29" t="s">
        <v>52</v>
      </c>
      <c r="C44" s="22">
        <v>0</v>
      </c>
      <c r="E44" s="22">
        <v>1131233014</v>
      </c>
      <c r="G44" s="22">
        <v>0</v>
      </c>
      <c r="I44" s="22">
        <v>1131233014</v>
      </c>
      <c r="K44" s="23">
        <v>2.4720395994901894E-3</v>
      </c>
      <c r="M44" s="22">
        <v>0</v>
      </c>
      <c r="O44" s="22">
        <v>1131233014</v>
      </c>
      <c r="Q44" s="22">
        <v>0</v>
      </c>
      <c r="S44" s="22">
        <v>1131233014</v>
      </c>
      <c r="U44" s="23">
        <v>2.1588019064522428E-3</v>
      </c>
    </row>
    <row r="45" spans="1:21" ht="37.5" x14ac:dyDescent="0.45">
      <c r="A45" s="29" t="s">
        <v>53</v>
      </c>
      <c r="C45" s="22">
        <v>0</v>
      </c>
      <c r="E45" s="22">
        <v>233353238</v>
      </c>
      <c r="G45" s="22">
        <v>0</v>
      </c>
      <c r="I45" s="22">
        <v>233353238</v>
      </c>
      <c r="K45" s="23">
        <v>5.0993777397417687E-4</v>
      </c>
      <c r="M45" s="22">
        <v>0</v>
      </c>
      <c r="O45" s="22">
        <v>306912938</v>
      </c>
      <c r="Q45" s="22">
        <v>0</v>
      </c>
      <c r="S45" s="22">
        <v>306912938</v>
      </c>
      <c r="U45" s="23">
        <v>5.8570093647325168E-4</v>
      </c>
    </row>
    <row r="46" spans="1:21" ht="18.75" x14ac:dyDescent="0.45">
      <c r="A46" s="29" t="s">
        <v>338</v>
      </c>
      <c r="C46" s="22">
        <v>0</v>
      </c>
      <c r="E46" s="22">
        <v>1918559693</v>
      </c>
      <c r="G46" s="22">
        <v>0</v>
      </c>
      <c r="I46" s="22">
        <v>1918559693</v>
      </c>
      <c r="K46" s="23">
        <v>4.1925540329763936E-3</v>
      </c>
      <c r="M46" s="22">
        <v>0</v>
      </c>
      <c r="O46" s="22">
        <v>1851922809</v>
      </c>
      <c r="Q46" s="22">
        <v>0</v>
      </c>
      <c r="S46" s="22">
        <v>1851922809</v>
      </c>
      <c r="U46" s="23">
        <v>3.534138803583037E-3</v>
      </c>
    </row>
    <row r="47" spans="1:21" ht="18.75" x14ac:dyDescent="0.45">
      <c r="A47" s="29" t="s">
        <v>54</v>
      </c>
      <c r="C47" s="22">
        <v>0</v>
      </c>
      <c r="E47" s="22">
        <v>-428859174</v>
      </c>
      <c r="G47" s="22">
        <v>0</v>
      </c>
      <c r="I47" s="22">
        <v>-428859174</v>
      </c>
      <c r="K47" s="23">
        <v>-9.3716930783692063E-4</v>
      </c>
      <c r="M47" s="22">
        <v>0</v>
      </c>
      <c r="O47" s="22">
        <v>-667552991</v>
      </c>
      <c r="Q47" s="22">
        <v>-420193779</v>
      </c>
      <c r="S47" s="22">
        <v>-1087746770</v>
      </c>
      <c r="U47" s="23">
        <v>-2.0758144182072727E-3</v>
      </c>
    </row>
    <row r="48" spans="1:21" ht="37.5" x14ac:dyDescent="0.45">
      <c r="A48" s="29" t="s">
        <v>55</v>
      </c>
      <c r="C48" s="22">
        <v>0</v>
      </c>
      <c r="E48" s="22">
        <v>12402588885</v>
      </c>
      <c r="G48" s="22">
        <v>-1538238597</v>
      </c>
      <c r="I48" s="22">
        <v>10864350288</v>
      </c>
      <c r="K48" s="23">
        <v>2.3741443011553273E-2</v>
      </c>
      <c r="M48" s="22">
        <v>10632176000</v>
      </c>
      <c r="O48" s="22">
        <v>2397648602</v>
      </c>
      <c r="Q48" s="22">
        <v>-3949447838</v>
      </c>
      <c r="S48" s="22">
        <v>9080376764</v>
      </c>
      <c r="U48" s="23">
        <v>1.7328644432072639E-2</v>
      </c>
    </row>
    <row r="49" spans="1:21" ht="18.75" x14ac:dyDescent="0.45">
      <c r="A49" s="29" t="s">
        <v>56</v>
      </c>
      <c r="C49" s="22">
        <v>0</v>
      </c>
      <c r="E49" s="22">
        <v>1073574000</v>
      </c>
      <c r="G49" s="22">
        <v>0</v>
      </c>
      <c r="I49" s="22">
        <v>1073574000</v>
      </c>
      <c r="K49" s="23">
        <v>2.3460395940876249E-3</v>
      </c>
      <c r="M49" s="22">
        <v>600000000</v>
      </c>
      <c r="O49" s="22">
        <v>516906000</v>
      </c>
      <c r="Q49" s="22">
        <v>0</v>
      </c>
      <c r="S49" s="22">
        <v>1116906000</v>
      </c>
      <c r="U49" s="23">
        <v>2.1314607797752521E-3</v>
      </c>
    </row>
    <row r="50" spans="1:21" ht="18.75" x14ac:dyDescent="0.45">
      <c r="A50" s="29" t="s">
        <v>57</v>
      </c>
      <c r="C50" s="22">
        <v>0</v>
      </c>
      <c r="E50" s="22">
        <v>256188647</v>
      </c>
      <c r="G50" s="22">
        <v>0</v>
      </c>
      <c r="I50" s="22">
        <v>256188647</v>
      </c>
      <c r="K50" s="23">
        <v>5.598391069621077E-4</v>
      </c>
      <c r="M50" s="22">
        <v>0</v>
      </c>
      <c r="O50" s="22">
        <v>256188647</v>
      </c>
      <c r="Q50" s="22">
        <v>0</v>
      </c>
      <c r="S50" s="22">
        <v>256188647</v>
      </c>
      <c r="U50" s="23">
        <v>4.8890063559886587E-4</v>
      </c>
    </row>
    <row r="51" spans="1:21" ht="18.75" x14ac:dyDescent="0.45">
      <c r="A51" s="29" t="s">
        <v>58</v>
      </c>
      <c r="C51" s="22">
        <v>0</v>
      </c>
      <c r="E51" s="22">
        <v>9823331114</v>
      </c>
      <c r="G51" s="22">
        <v>-977716320</v>
      </c>
      <c r="I51" s="22">
        <v>8845614794</v>
      </c>
      <c r="K51" s="23">
        <v>1.9329978688726861E-2</v>
      </c>
      <c r="M51" s="22">
        <v>3816783240</v>
      </c>
      <c r="O51" s="22">
        <v>-6662520720</v>
      </c>
      <c r="Q51" s="22">
        <v>-1029764237</v>
      </c>
      <c r="S51" s="22">
        <v>-3875501717</v>
      </c>
      <c r="U51" s="23">
        <v>-7.3958595546421537E-3</v>
      </c>
    </row>
    <row r="52" spans="1:21" ht="18.75" x14ac:dyDescent="0.45">
      <c r="A52" s="29" t="s">
        <v>59</v>
      </c>
      <c r="C52" s="22">
        <v>0</v>
      </c>
      <c r="E52" s="22">
        <v>2209764758</v>
      </c>
      <c r="G52" s="22">
        <v>0</v>
      </c>
      <c r="I52" s="22">
        <v>2209764758</v>
      </c>
      <c r="K52" s="23">
        <v>4.828913159118476E-3</v>
      </c>
      <c r="M52" s="22">
        <v>0</v>
      </c>
      <c r="O52" s="22">
        <v>2153131435</v>
      </c>
      <c r="Q52" s="22">
        <v>0</v>
      </c>
      <c r="S52" s="22">
        <v>2153131435</v>
      </c>
      <c r="U52" s="23">
        <v>4.1089538487605118E-3</v>
      </c>
    </row>
    <row r="53" spans="1:21" ht="18.75" x14ac:dyDescent="0.45">
      <c r="A53" s="29" t="s">
        <v>60</v>
      </c>
      <c r="C53" s="22">
        <v>0</v>
      </c>
      <c r="E53" s="22">
        <v>6072239492</v>
      </c>
      <c r="G53" s="22">
        <v>-1404977797</v>
      </c>
      <c r="I53" s="22">
        <v>4667261695</v>
      </c>
      <c r="K53" s="23">
        <v>1.0199185833895494E-2</v>
      </c>
      <c r="M53" s="22">
        <v>0</v>
      </c>
      <c r="O53" s="22">
        <v>-3535256780</v>
      </c>
      <c r="Q53" s="22">
        <v>-3687323107</v>
      </c>
      <c r="S53" s="22">
        <v>-7222579887</v>
      </c>
      <c r="U53" s="23">
        <v>-1.3783295781322756E-2</v>
      </c>
    </row>
    <row r="54" spans="1:21" ht="18.75" x14ac:dyDescent="0.45">
      <c r="A54" s="29" t="s">
        <v>61</v>
      </c>
      <c r="C54" s="22">
        <v>0</v>
      </c>
      <c r="E54" s="22">
        <v>2687474996</v>
      </c>
      <c r="G54" s="22">
        <v>325237618</v>
      </c>
      <c r="I54" s="22">
        <v>3012712614</v>
      </c>
      <c r="K54" s="23">
        <v>6.5835639444055353E-3</v>
      </c>
      <c r="M54" s="22">
        <v>544518100</v>
      </c>
      <c r="O54" s="22">
        <v>2685084953</v>
      </c>
      <c r="Q54" s="22">
        <v>13237122297</v>
      </c>
      <c r="S54" s="22">
        <v>16466725350</v>
      </c>
      <c r="U54" s="23">
        <v>3.1424470147761688E-2</v>
      </c>
    </row>
    <row r="55" spans="1:21" ht="18.75" x14ac:dyDescent="0.45">
      <c r="A55" s="29" t="s">
        <v>62</v>
      </c>
      <c r="C55" s="22">
        <v>0</v>
      </c>
      <c r="E55" s="22">
        <v>2260849238</v>
      </c>
      <c r="G55" s="22">
        <v>43915012</v>
      </c>
      <c r="I55" s="22">
        <v>2304764250</v>
      </c>
      <c r="K55" s="23">
        <v>5.0365118618163904E-3</v>
      </c>
      <c r="M55" s="22">
        <v>0</v>
      </c>
      <c r="O55" s="22">
        <v>1941323687</v>
      </c>
      <c r="Q55" s="22">
        <v>43915012</v>
      </c>
      <c r="S55" s="22">
        <v>1985238699</v>
      </c>
      <c r="U55" s="23">
        <v>3.7885537595917181E-3</v>
      </c>
    </row>
    <row r="56" spans="1:21" ht="18.75" x14ac:dyDescent="0.45">
      <c r="A56" s="29" t="s">
        <v>63</v>
      </c>
      <c r="C56" s="22">
        <v>0</v>
      </c>
      <c r="E56" s="22">
        <v>253044374</v>
      </c>
      <c r="G56" s="22">
        <v>0</v>
      </c>
      <c r="I56" s="22">
        <v>253044374</v>
      </c>
      <c r="K56" s="23">
        <v>5.5296804921236653E-4</v>
      </c>
      <c r="M56" s="22">
        <v>0</v>
      </c>
      <c r="O56" s="22">
        <v>290488935</v>
      </c>
      <c r="Q56" s="22">
        <v>0</v>
      </c>
      <c r="S56" s="22">
        <v>290488935</v>
      </c>
      <c r="U56" s="23">
        <v>5.5435799602758203E-4</v>
      </c>
    </row>
    <row r="57" spans="1:21" ht="18.75" x14ac:dyDescent="0.45">
      <c r="A57" s="29" t="s">
        <v>339</v>
      </c>
      <c r="C57" s="22">
        <v>0</v>
      </c>
      <c r="E57" s="22">
        <v>2905433765</v>
      </c>
      <c r="G57" s="22">
        <v>0</v>
      </c>
      <c r="I57" s="22">
        <v>2905433765</v>
      </c>
      <c r="K57" s="23">
        <v>6.3491316394483103E-3</v>
      </c>
      <c r="M57" s="22">
        <v>0</v>
      </c>
      <c r="O57" s="22">
        <v>2454647662</v>
      </c>
      <c r="Q57" s="22">
        <v>0</v>
      </c>
      <c r="S57" s="22">
        <v>2454647662</v>
      </c>
      <c r="U57" s="23">
        <v>4.684355907945718E-3</v>
      </c>
    </row>
    <row r="58" spans="1:21" ht="18.75" x14ac:dyDescent="0.45">
      <c r="A58" s="29" t="s">
        <v>64</v>
      </c>
      <c r="C58" s="22">
        <v>0</v>
      </c>
      <c r="E58" s="22">
        <v>1819295628</v>
      </c>
      <c r="G58" s="22">
        <v>0</v>
      </c>
      <c r="I58" s="22">
        <v>1819295628</v>
      </c>
      <c r="K58" s="23">
        <v>3.9756361244204039E-3</v>
      </c>
      <c r="M58" s="22">
        <v>0</v>
      </c>
      <c r="O58" s="22">
        <v>1802127228</v>
      </c>
      <c r="Q58" s="22">
        <v>0</v>
      </c>
      <c r="S58" s="22">
        <v>1802127228</v>
      </c>
      <c r="U58" s="23">
        <v>3.4391108174251853E-3</v>
      </c>
    </row>
    <row r="59" spans="1:21" ht="18.75" x14ac:dyDescent="0.45">
      <c r="A59" s="29" t="s">
        <v>65</v>
      </c>
      <c r="C59" s="22">
        <v>0</v>
      </c>
      <c r="E59" s="22">
        <v>4458748918</v>
      </c>
      <c r="G59" s="22">
        <v>548362180</v>
      </c>
      <c r="I59" s="22">
        <v>5007111098</v>
      </c>
      <c r="K59" s="23">
        <v>1.0941845543859635E-2</v>
      </c>
      <c r="M59" s="22">
        <v>14908718125</v>
      </c>
      <c r="O59" s="22">
        <v>5869671722</v>
      </c>
      <c r="Q59" s="22">
        <v>2752526724</v>
      </c>
      <c r="S59" s="22">
        <v>23530916571</v>
      </c>
      <c r="U59" s="23">
        <v>4.4905503044347567E-2</v>
      </c>
    </row>
    <row r="60" spans="1:21" ht="18.75" x14ac:dyDescent="0.45">
      <c r="A60" s="29" t="s">
        <v>67</v>
      </c>
      <c r="C60" s="22">
        <v>0</v>
      </c>
      <c r="E60" s="22">
        <v>1282247003</v>
      </c>
      <c r="G60" s="22">
        <v>0</v>
      </c>
      <c r="I60" s="22">
        <v>1282247003</v>
      </c>
      <c r="K60" s="23">
        <v>2.8020446084184173E-3</v>
      </c>
      <c r="M60" s="22">
        <v>0</v>
      </c>
      <c r="O60" s="22">
        <v>1282247003</v>
      </c>
      <c r="Q60" s="22">
        <v>0</v>
      </c>
      <c r="S60" s="22">
        <v>1282247003</v>
      </c>
      <c r="U60" s="23">
        <v>2.4469912390826624E-3</v>
      </c>
    </row>
    <row r="61" spans="1:21" ht="37.5" x14ac:dyDescent="0.45">
      <c r="A61" s="29" t="s">
        <v>68</v>
      </c>
      <c r="C61" s="22">
        <v>0</v>
      </c>
      <c r="E61" s="22">
        <v>2856448103</v>
      </c>
      <c r="G61" s="22">
        <v>0</v>
      </c>
      <c r="I61" s="22">
        <v>2856448103</v>
      </c>
      <c r="K61" s="23">
        <v>6.2420851735366977E-3</v>
      </c>
      <c r="M61" s="22">
        <v>293697600</v>
      </c>
      <c r="O61" s="22">
        <v>2549076989</v>
      </c>
      <c r="Q61" s="22">
        <v>909400292</v>
      </c>
      <c r="S61" s="22">
        <v>3752174881</v>
      </c>
      <c r="U61" s="23">
        <v>7.1605073280198821E-3</v>
      </c>
    </row>
    <row r="62" spans="1:21" ht="18.75" x14ac:dyDescent="0.45">
      <c r="A62" s="29" t="s">
        <v>69</v>
      </c>
      <c r="C62" s="22">
        <v>0</v>
      </c>
      <c r="E62" s="22">
        <v>8231209948</v>
      </c>
      <c r="G62" s="22">
        <v>-7290101549</v>
      </c>
      <c r="I62" s="22">
        <v>941108399</v>
      </c>
      <c r="K62" s="23">
        <v>2.0565676575461165E-3</v>
      </c>
      <c r="M62" s="22">
        <v>3073492300</v>
      </c>
      <c r="O62" s="22">
        <v>-7356188209</v>
      </c>
      <c r="Q62" s="22">
        <v>-7786693872</v>
      </c>
      <c r="S62" s="22">
        <v>-12069389781</v>
      </c>
      <c r="U62" s="23">
        <v>-2.303276278757722E-2</v>
      </c>
    </row>
    <row r="63" spans="1:21" ht="18.75" x14ac:dyDescent="0.45">
      <c r="A63" s="29" t="s">
        <v>70</v>
      </c>
      <c r="C63" s="22">
        <v>0</v>
      </c>
      <c r="E63" s="22">
        <v>12572056808</v>
      </c>
      <c r="G63" s="22">
        <v>-3350310135</v>
      </c>
      <c r="I63" s="22">
        <v>9221746673</v>
      </c>
      <c r="K63" s="23">
        <v>2.0151925085279476E-2</v>
      </c>
      <c r="M63" s="22">
        <v>1113775480</v>
      </c>
      <c r="O63" s="22">
        <v>-7708210650</v>
      </c>
      <c r="Q63" s="22">
        <v>-4998326828</v>
      </c>
      <c r="S63" s="22">
        <v>-11592761998</v>
      </c>
      <c r="U63" s="23">
        <v>-2.2123184518666739E-2</v>
      </c>
    </row>
    <row r="64" spans="1:21" ht="18.75" x14ac:dyDescent="0.45">
      <c r="A64" s="29" t="s">
        <v>71</v>
      </c>
      <c r="C64" s="22">
        <v>0</v>
      </c>
      <c r="E64" s="22">
        <v>4275224099</v>
      </c>
      <c r="G64" s="22">
        <v>-2084031022</v>
      </c>
      <c r="I64" s="22">
        <v>2191193077</v>
      </c>
      <c r="K64" s="23">
        <v>4.7883291854429171E-3</v>
      </c>
      <c r="M64" s="22">
        <v>4034657942</v>
      </c>
      <c r="O64" s="22">
        <v>-5602561178</v>
      </c>
      <c r="Q64" s="22">
        <v>-4384549027</v>
      </c>
      <c r="S64" s="22">
        <v>-5952452263</v>
      </c>
      <c r="U64" s="23">
        <v>-1.1359432702545197E-2</v>
      </c>
    </row>
    <row r="65" spans="1:21" ht="18.75" x14ac:dyDescent="0.45">
      <c r="A65" s="29" t="s">
        <v>72</v>
      </c>
      <c r="C65" s="22">
        <v>0</v>
      </c>
      <c r="E65" s="22">
        <v>1771042628</v>
      </c>
      <c r="G65" s="22">
        <v>0</v>
      </c>
      <c r="I65" s="22">
        <v>1771042628</v>
      </c>
      <c r="K65" s="23">
        <v>3.8701907163409331E-3</v>
      </c>
      <c r="M65" s="22">
        <v>0</v>
      </c>
      <c r="O65" s="22">
        <v>1771042628</v>
      </c>
      <c r="Q65" s="22">
        <v>0</v>
      </c>
      <c r="S65" s="22">
        <v>1771042628</v>
      </c>
      <c r="U65" s="23">
        <v>3.379790153237687E-3</v>
      </c>
    </row>
    <row r="66" spans="1:21" ht="18.75" x14ac:dyDescent="0.45">
      <c r="A66" s="29" t="s">
        <v>73</v>
      </c>
      <c r="C66" s="22">
        <v>0</v>
      </c>
      <c r="E66" s="22">
        <v>2496258360</v>
      </c>
      <c r="G66" s="22">
        <v>0</v>
      </c>
      <c r="I66" s="22">
        <v>2496258360</v>
      </c>
      <c r="K66" s="23">
        <v>5.4549765080304114E-3</v>
      </c>
      <c r="M66" s="22">
        <v>0</v>
      </c>
      <c r="O66" s="22">
        <v>2581078927</v>
      </c>
      <c r="Q66" s="22">
        <v>0</v>
      </c>
      <c r="S66" s="22">
        <v>2581078927</v>
      </c>
      <c r="U66" s="23">
        <v>4.9256325083801965E-3</v>
      </c>
    </row>
    <row r="67" spans="1:21" ht="18.75" x14ac:dyDescent="0.45">
      <c r="A67" s="29" t="s">
        <v>74</v>
      </c>
      <c r="C67" s="22">
        <v>0</v>
      </c>
      <c r="E67" s="22">
        <v>3233954030</v>
      </c>
      <c r="G67" s="22">
        <v>0</v>
      </c>
      <c r="I67" s="22">
        <v>3233954030</v>
      </c>
      <c r="K67" s="23">
        <v>7.067034223853446E-3</v>
      </c>
      <c r="M67" s="22">
        <v>0</v>
      </c>
      <c r="O67" s="22">
        <v>6761683818</v>
      </c>
      <c r="Q67" s="22">
        <v>124525678</v>
      </c>
      <c r="S67" s="22">
        <v>6886209496</v>
      </c>
      <c r="U67" s="23">
        <v>1.3141379365891048E-2</v>
      </c>
    </row>
    <row r="68" spans="1:21" ht="18.75" x14ac:dyDescent="0.45">
      <c r="A68" s="29" t="s">
        <v>75</v>
      </c>
      <c r="C68" s="22">
        <v>0</v>
      </c>
      <c r="E68" s="22">
        <v>2250664042</v>
      </c>
      <c r="G68" s="22">
        <v>352329641</v>
      </c>
      <c r="I68" s="22">
        <v>2602993683</v>
      </c>
      <c r="K68" s="23">
        <v>5.6882210667154494E-3</v>
      </c>
      <c r="M68" s="22">
        <v>0</v>
      </c>
      <c r="O68" s="22">
        <v>2350869008</v>
      </c>
      <c r="Q68" s="22">
        <v>352329641</v>
      </c>
      <c r="S68" s="22">
        <v>2703198649</v>
      </c>
      <c r="U68" s="23">
        <v>5.1586811247185966E-3</v>
      </c>
    </row>
    <row r="69" spans="1:21" ht="37.5" x14ac:dyDescent="0.45">
      <c r="A69" s="29" t="s">
        <v>76</v>
      </c>
      <c r="C69" s="22">
        <v>0</v>
      </c>
      <c r="E69" s="22">
        <v>1624413797</v>
      </c>
      <c r="G69" s="22">
        <v>0</v>
      </c>
      <c r="I69" s="22">
        <v>1624413797</v>
      </c>
      <c r="K69" s="23">
        <v>3.5497684229910727E-3</v>
      </c>
      <c r="M69" s="22">
        <v>0</v>
      </c>
      <c r="O69" s="22">
        <v>1631343757</v>
      </c>
      <c r="Q69" s="22">
        <v>0</v>
      </c>
      <c r="S69" s="22">
        <v>1631343757</v>
      </c>
      <c r="U69" s="23">
        <v>3.1131941599174054E-3</v>
      </c>
    </row>
    <row r="70" spans="1:21" ht="18.75" x14ac:dyDescent="0.45">
      <c r="A70" s="29" t="s">
        <v>77</v>
      </c>
      <c r="C70" s="22">
        <v>0</v>
      </c>
      <c r="E70" s="22">
        <v>363584700</v>
      </c>
      <c r="G70" s="22">
        <v>0</v>
      </c>
      <c r="I70" s="22">
        <v>363584700</v>
      </c>
      <c r="K70" s="23">
        <v>7.9452753327154992E-4</v>
      </c>
      <c r="M70" s="22">
        <v>0</v>
      </c>
      <c r="O70" s="22">
        <v>363584700</v>
      </c>
      <c r="Q70" s="22">
        <v>0</v>
      </c>
      <c r="S70" s="22">
        <v>363584700</v>
      </c>
      <c r="U70" s="23">
        <v>6.9385116399800083E-4</v>
      </c>
    </row>
    <row r="71" spans="1:21" ht="18.75" x14ac:dyDescent="0.45">
      <c r="A71" s="29" t="s">
        <v>78</v>
      </c>
      <c r="C71" s="22">
        <v>0</v>
      </c>
      <c r="E71" s="22">
        <v>2007450849</v>
      </c>
      <c r="G71" s="22">
        <v>247831219</v>
      </c>
      <c r="I71" s="22">
        <v>2255282068</v>
      </c>
      <c r="K71" s="23">
        <v>4.92838037001997E-3</v>
      </c>
      <c r="M71" s="22">
        <v>0</v>
      </c>
      <c r="O71" s="22">
        <v>1940163279</v>
      </c>
      <c r="Q71" s="22">
        <v>247831219</v>
      </c>
      <c r="S71" s="22">
        <v>2187994498</v>
      </c>
      <c r="U71" s="23">
        <v>4.1754851875189514E-3</v>
      </c>
    </row>
    <row r="72" spans="1:21" ht="18.75" x14ac:dyDescent="0.45">
      <c r="A72" s="29" t="s">
        <v>79</v>
      </c>
      <c r="C72" s="22">
        <v>0</v>
      </c>
      <c r="E72" s="22">
        <v>855751994</v>
      </c>
      <c r="G72" s="22">
        <v>718338415</v>
      </c>
      <c r="I72" s="22">
        <v>1574090409</v>
      </c>
      <c r="K72" s="23">
        <v>3.439798676372177E-3</v>
      </c>
      <c r="M72" s="22">
        <v>0</v>
      </c>
      <c r="O72" s="22">
        <v>996217205</v>
      </c>
      <c r="Q72" s="22">
        <v>718338415</v>
      </c>
      <c r="S72" s="22">
        <v>1714555620</v>
      </c>
      <c r="U72" s="23">
        <v>3.271992503194755E-3</v>
      </c>
    </row>
    <row r="73" spans="1:21" ht="37.5" x14ac:dyDescent="0.45">
      <c r="A73" s="29" t="s">
        <v>80</v>
      </c>
      <c r="C73" s="22">
        <v>0</v>
      </c>
      <c r="E73" s="22">
        <v>1714246337</v>
      </c>
      <c r="G73" s="22">
        <v>0</v>
      </c>
      <c r="I73" s="22">
        <v>1714246337</v>
      </c>
      <c r="K73" s="23">
        <v>3.746075986025815E-3</v>
      </c>
      <c r="M73" s="22">
        <v>0</v>
      </c>
      <c r="O73" s="22">
        <v>1711451224</v>
      </c>
      <c r="Q73" s="22">
        <v>0</v>
      </c>
      <c r="S73" s="22">
        <v>1711451224</v>
      </c>
      <c r="U73" s="23">
        <v>3.2660681923584885E-3</v>
      </c>
    </row>
    <row r="74" spans="1:21" ht="18.75" x14ac:dyDescent="0.45">
      <c r="A74" s="29" t="s">
        <v>81</v>
      </c>
      <c r="C74" s="22">
        <v>0</v>
      </c>
      <c r="E74" s="22">
        <v>1388062332</v>
      </c>
      <c r="G74" s="22">
        <v>0</v>
      </c>
      <c r="I74" s="22">
        <v>1388062332</v>
      </c>
      <c r="K74" s="23">
        <v>3.0332787399225411E-3</v>
      </c>
      <c r="M74" s="22">
        <v>0</v>
      </c>
      <c r="O74" s="22">
        <v>1385675995</v>
      </c>
      <c r="Q74" s="22">
        <v>0</v>
      </c>
      <c r="S74" s="22">
        <v>1385675995</v>
      </c>
      <c r="U74" s="23">
        <v>2.6443711796861587E-3</v>
      </c>
    </row>
    <row r="75" spans="1:21" ht="37.5" x14ac:dyDescent="0.45">
      <c r="A75" s="29" t="s">
        <v>83</v>
      </c>
      <c r="C75" s="22">
        <v>0</v>
      </c>
      <c r="E75" s="22">
        <v>571827262</v>
      </c>
      <c r="G75" s="22">
        <v>0</v>
      </c>
      <c r="I75" s="22">
        <v>571827262</v>
      </c>
      <c r="K75" s="23">
        <v>1.249591921591542E-3</v>
      </c>
      <c r="M75" s="22">
        <v>0</v>
      </c>
      <c r="O75" s="22">
        <v>-188524499</v>
      </c>
      <c r="Q75" s="22">
        <v>564732799</v>
      </c>
      <c r="S75" s="22">
        <v>376208300</v>
      </c>
      <c r="U75" s="23">
        <v>7.1794156041414591E-4</v>
      </c>
    </row>
    <row r="76" spans="1:21" ht="18.75" x14ac:dyDescent="0.45">
      <c r="A76" s="29" t="s">
        <v>85</v>
      </c>
      <c r="C76" s="22">
        <v>0</v>
      </c>
      <c r="E76" s="22">
        <v>-155604930</v>
      </c>
      <c r="G76" s="22">
        <v>504298</v>
      </c>
      <c r="I76" s="22">
        <v>-155100632</v>
      </c>
      <c r="K76" s="23">
        <v>-3.3893539126321438E-4</v>
      </c>
      <c r="M76" s="22">
        <v>0</v>
      </c>
      <c r="O76" s="22">
        <v>-155604930</v>
      </c>
      <c r="Q76" s="22">
        <v>504298</v>
      </c>
      <c r="S76" s="22">
        <v>-155100632</v>
      </c>
      <c r="U76" s="23">
        <v>-2.9598812615059319E-4</v>
      </c>
    </row>
    <row r="77" spans="1:21" ht="18.75" x14ac:dyDescent="0.45">
      <c r="A77" s="29" t="s">
        <v>86</v>
      </c>
      <c r="C77" s="22">
        <v>0</v>
      </c>
      <c r="E77" s="22">
        <v>1436095725</v>
      </c>
      <c r="G77" s="22">
        <v>0</v>
      </c>
      <c r="I77" s="22">
        <v>1436095725</v>
      </c>
      <c r="K77" s="23">
        <v>3.1382442493484135E-3</v>
      </c>
      <c r="M77" s="22">
        <v>1450000000</v>
      </c>
      <c r="O77" s="22">
        <v>3764055834</v>
      </c>
      <c r="Q77" s="22">
        <v>211040316</v>
      </c>
      <c r="S77" s="22">
        <v>5425096150</v>
      </c>
      <c r="U77" s="23">
        <v>1.0353046424886892E-2</v>
      </c>
    </row>
    <row r="78" spans="1:21" ht="18.75" x14ac:dyDescent="0.45">
      <c r="A78" s="29" t="s">
        <v>87</v>
      </c>
      <c r="C78" s="22">
        <v>0</v>
      </c>
      <c r="E78" s="22">
        <v>804605008</v>
      </c>
      <c r="G78" s="22">
        <v>0</v>
      </c>
      <c r="I78" s="22">
        <v>804605008</v>
      </c>
      <c r="K78" s="23">
        <v>1.7582720952344136E-3</v>
      </c>
      <c r="M78" s="22">
        <v>0</v>
      </c>
      <c r="O78" s="22">
        <v>1134491194</v>
      </c>
      <c r="Q78" s="22">
        <v>0</v>
      </c>
      <c r="S78" s="22">
        <v>1134491194</v>
      </c>
      <c r="U78" s="23">
        <v>2.1650196928044052E-3</v>
      </c>
    </row>
    <row r="79" spans="1:21" ht="18.75" x14ac:dyDescent="0.45">
      <c r="A79" s="29" t="s">
        <v>88</v>
      </c>
      <c r="C79" s="22">
        <v>0</v>
      </c>
      <c r="E79" s="22">
        <v>2380883015</v>
      </c>
      <c r="G79" s="22">
        <v>-13183320</v>
      </c>
      <c r="I79" s="22">
        <v>2367699695</v>
      </c>
      <c r="K79" s="23">
        <v>5.1740422470916711E-3</v>
      </c>
      <c r="M79" s="22">
        <v>5807092200</v>
      </c>
      <c r="O79" s="22">
        <v>371379885</v>
      </c>
      <c r="Q79" s="22">
        <v>9123738271</v>
      </c>
      <c r="S79" s="22">
        <v>15302210356</v>
      </c>
      <c r="U79" s="23">
        <v>2.9202154181000639E-2</v>
      </c>
    </row>
    <row r="80" spans="1:21" ht="18.75" x14ac:dyDescent="0.45">
      <c r="A80" s="29" t="s">
        <v>89</v>
      </c>
      <c r="C80" s="22">
        <v>0</v>
      </c>
      <c r="E80" s="22">
        <v>457265217</v>
      </c>
      <c r="G80" s="22">
        <v>0</v>
      </c>
      <c r="I80" s="22">
        <v>457265217</v>
      </c>
      <c r="K80" s="23">
        <v>9.9924393109470776E-4</v>
      </c>
      <c r="M80" s="22">
        <v>0</v>
      </c>
      <c r="O80" s="22">
        <v>1572991504</v>
      </c>
      <c r="Q80" s="22">
        <v>0</v>
      </c>
      <c r="S80" s="22">
        <v>1572991504</v>
      </c>
      <c r="U80" s="23">
        <v>3.0018369475100742E-3</v>
      </c>
    </row>
    <row r="81" spans="1:21" ht="18.75" x14ac:dyDescent="0.45">
      <c r="A81" s="29" t="s">
        <v>90</v>
      </c>
      <c r="C81" s="22">
        <v>0</v>
      </c>
      <c r="E81" s="22">
        <v>601550884</v>
      </c>
      <c r="G81" s="22">
        <v>0</v>
      </c>
      <c r="I81" s="22">
        <v>601550884</v>
      </c>
      <c r="K81" s="23">
        <v>1.3145457990994679E-3</v>
      </c>
      <c r="M81" s="22">
        <v>0</v>
      </c>
      <c r="O81" s="22">
        <v>467157649</v>
      </c>
      <c r="Q81" s="22">
        <v>0</v>
      </c>
      <c r="S81" s="22">
        <v>467157649</v>
      </c>
      <c r="U81" s="23">
        <v>8.9150582664567445E-4</v>
      </c>
    </row>
    <row r="82" spans="1:21" ht="18.75" x14ac:dyDescent="0.45">
      <c r="A82" s="29" t="s">
        <v>91</v>
      </c>
      <c r="C82" s="22">
        <v>0</v>
      </c>
      <c r="E82" s="22">
        <v>1561282714</v>
      </c>
      <c r="G82" s="22">
        <v>44841250</v>
      </c>
      <c r="I82" s="22">
        <v>1606123964</v>
      </c>
      <c r="K82" s="23">
        <v>3.5098003608106821E-3</v>
      </c>
      <c r="M82" s="22">
        <v>6240576192</v>
      </c>
      <c r="O82" s="22">
        <v>1173603215</v>
      </c>
      <c r="Q82" s="22">
        <v>143235075</v>
      </c>
      <c r="S82" s="22">
        <v>7557414482</v>
      </c>
      <c r="U82" s="23">
        <v>1.442228134228709E-2</v>
      </c>
    </row>
    <row r="83" spans="1:21" ht="18.75" x14ac:dyDescent="0.45">
      <c r="A83" s="29" t="s">
        <v>92</v>
      </c>
      <c r="C83" s="22">
        <v>0</v>
      </c>
      <c r="E83" s="22">
        <v>212835798</v>
      </c>
      <c r="G83" s="22">
        <v>3260772918</v>
      </c>
      <c r="I83" s="22">
        <v>3473608716</v>
      </c>
      <c r="K83" s="23">
        <v>7.590742307566946E-3</v>
      </c>
      <c r="M83" s="22">
        <v>0</v>
      </c>
      <c r="O83" s="22">
        <v>7546936697</v>
      </c>
      <c r="Q83" s="22">
        <v>23005557539</v>
      </c>
      <c r="S83" s="22">
        <v>30552494236</v>
      </c>
      <c r="U83" s="23">
        <v>5.8305213857158492E-2</v>
      </c>
    </row>
    <row r="84" spans="1:21" ht="18.75" x14ac:dyDescent="0.45">
      <c r="A84" s="29" t="s">
        <v>93</v>
      </c>
      <c r="C84" s="22">
        <v>0</v>
      </c>
      <c r="E84" s="22">
        <v>941650732</v>
      </c>
      <c r="G84" s="22">
        <v>0</v>
      </c>
      <c r="I84" s="22">
        <v>941650732</v>
      </c>
      <c r="K84" s="23">
        <v>2.0577527968017061E-3</v>
      </c>
      <c r="M84" s="22">
        <v>0</v>
      </c>
      <c r="O84" s="22">
        <v>1085711463</v>
      </c>
      <c r="Q84" s="22">
        <v>627471740</v>
      </c>
      <c r="S84" s="22">
        <v>1713183203</v>
      </c>
      <c r="U84" s="23">
        <v>3.2693734349750511E-3</v>
      </c>
    </row>
    <row r="85" spans="1:21" ht="18.75" x14ac:dyDescent="0.45">
      <c r="A85" s="29" t="s">
        <v>94</v>
      </c>
      <c r="C85" s="22">
        <v>0</v>
      </c>
      <c r="E85" s="22">
        <v>2907254297</v>
      </c>
      <c r="G85" s="22">
        <v>0</v>
      </c>
      <c r="I85" s="22">
        <v>2907254297</v>
      </c>
      <c r="K85" s="23">
        <v>6.3531099773684752E-3</v>
      </c>
      <c r="M85" s="22">
        <v>0</v>
      </c>
      <c r="O85" s="22">
        <v>2842212896</v>
      </c>
      <c r="Q85" s="22">
        <v>0</v>
      </c>
      <c r="S85" s="22">
        <v>2842212896</v>
      </c>
      <c r="U85" s="23">
        <v>5.4239706077283479E-3</v>
      </c>
    </row>
    <row r="86" spans="1:21" ht="18.75" x14ac:dyDescent="0.45">
      <c r="A86" s="29" t="s">
        <v>95</v>
      </c>
      <c r="C86" s="22">
        <v>0</v>
      </c>
      <c r="E86" s="22">
        <v>914096739</v>
      </c>
      <c r="G86" s="22">
        <v>0</v>
      </c>
      <c r="I86" s="22">
        <v>914096739</v>
      </c>
      <c r="K86" s="23">
        <v>1.9975401253387115E-3</v>
      </c>
      <c r="M86" s="22">
        <v>0</v>
      </c>
      <c r="O86" s="22">
        <v>914096739</v>
      </c>
      <c r="Q86" s="22">
        <v>0</v>
      </c>
      <c r="S86" s="22">
        <v>914096739</v>
      </c>
      <c r="U86" s="23">
        <v>1.7444273270077833E-3</v>
      </c>
    </row>
    <row r="87" spans="1:21" ht="18.75" x14ac:dyDescent="0.45">
      <c r="A87" s="29" t="s">
        <v>96</v>
      </c>
      <c r="C87" s="22">
        <v>0</v>
      </c>
      <c r="E87" s="22">
        <v>1039080465</v>
      </c>
      <c r="G87" s="22">
        <v>0</v>
      </c>
      <c r="I87" s="22">
        <v>1039080465</v>
      </c>
      <c r="K87" s="23">
        <v>2.2706622108331432E-3</v>
      </c>
      <c r="M87" s="22">
        <v>0</v>
      </c>
      <c r="O87" s="22">
        <v>1322854668</v>
      </c>
      <c r="Q87" s="22">
        <v>0</v>
      </c>
      <c r="S87" s="22">
        <v>1322854668</v>
      </c>
      <c r="U87" s="23">
        <v>2.5244853570350707E-3</v>
      </c>
    </row>
    <row r="88" spans="1:21" ht="18.75" x14ac:dyDescent="0.45">
      <c r="A88" s="29" t="s">
        <v>97</v>
      </c>
      <c r="C88" s="22">
        <v>0</v>
      </c>
      <c r="E88" s="22">
        <v>486735911</v>
      </c>
      <c r="G88" s="22">
        <v>0</v>
      </c>
      <c r="I88" s="22">
        <v>486735911</v>
      </c>
      <c r="K88" s="23">
        <v>1.0636450948610066E-3</v>
      </c>
      <c r="M88" s="22">
        <v>0</v>
      </c>
      <c r="O88" s="22">
        <v>486735911</v>
      </c>
      <c r="Q88" s="22">
        <v>0</v>
      </c>
      <c r="S88" s="22">
        <v>486735911</v>
      </c>
      <c r="U88" s="23">
        <v>9.2886823457361478E-4</v>
      </c>
    </row>
    <row r="89" spans="1:21" ht="18.75" x14ac:dyDescent="0.45">
      <c r="A89" s="29" t="s">
        <v>98</v>
      </c>
      <c r="C89" s="22">
        <v>0</v>
      </c>
      <c r="E89" s="22">
        <v>2881640229</v>
      </c>
      <c r="G89" s="22">
        <v>0</v>
      </c>
      <c r="I89" s="22">
        <v>2881640229</v>
      </c>
      <c r="K89" s="23">
        <v>6.2971365487146025E-3</v>
      </c>
      <c r="M89" s="22">
        <v>0</v>
      </c>
      <c r="O89" s="22">
        <v>3329823975</v>
      </c>
      <c r="Q89" s="22">
        <v>0</v>
      </c>
      <c r="S89" s="22">
        <v>3329823975</v>
      </c>
      <c r="U89" s="23">
        <v>6.354508979509314E-3</v>
      </c>
    </row>
    <row r="90" spans="1:21" ht="18.75" x14ac:dyDescent="0.45">
      <c r="A90" s="29" t="s">
        <v>99</v>
      </c>
      <c r="C90" s="22">
        <v>0</v>
      </c>
      <c r="E90" s="22">
        <v>3507774358</v>
      </c>
      <c r="G90" s="22">
        <v>0</v>
      </c>
      <c r="I90" s="22">
        <v>3507774358</v>
      </c>
      <c r="K90" s="23">
        <v>7.6654031589748813E-3</v>
      </c>
      <c r="M90" s="22">
        <v>0</v>
      </c>
      <c r="O90" s="22">
        <v>3143696738</v>
      </c>
      <c r="Q90" s="22">
        <v>0</v>
      </c>
      <c r="S90" s="22">
        <v>3143696738</v>
      </c>
      <c r="U90" s="23">
        <v>5.9993108646156411E-3</v>
      </c>
    </row>
    <row r="91" spans="1:21" ht="18.75" x14ac:dyDescent="0.45">
      <c r="A91" s="29" t="s">
        <v>100</v>
      </c>
      <c r="C91" s="22">
        <v>0</v>
      </c>
      <c r="E91" s="22">
        <v>254968885</v>
      </c>
      <c r="G91" s="22">
        <v>0</v>
      </c>
      <c r="I91" s="22">
        <v>254968885</v>
      </c>
      <c r="K91" s="23">
        <v>5.571736084055448E-4</v>
      </c>
      <c r="M91" s="22">
        <v>0</v>
      </c>
      <c r="O91" s="22">
        <v>254968885</v>
      </c>
      <c r="Q91" s="22">
        <v>0</v>
      </c>
      <c r="S91" s="22">
        <v>254968885</v>
      </c>
      <c r="U91" s="23">
        <v>4.8657288835454965E-4</v>
      </c>
    </row>
    <row r="92" spans="1:21" ht="18.75" x14ac:dyDescent="0.45">
      <c r="A92" s="29" t="s">
        <v>101</v>
      </c>
      <c r="C92" s="22">
        <v>0</v>
      </c>
      <c r="E92" s="22">
        <v>840923770</v>
      </c>
      <c r="G92" s="22">
        <v>0</v>
      </c>
      <c r="I92" s="22">
        <v>840923770</v>
      </c>
      <c r="K92" s="23">
        <v>1.8376380762103362E-3</v>
      </c>
      <c r="M92" s="22">
        <v>0</v>
      </c>
      <c r="O92" s="22">
        <v>771448805</v>
      </c>
      <c r="Q92" s="22">
        <v>0</v>
      </c>
      <c r="S92" s="22">
        <v>771448805</v>
      </c>
      <c r="U92" s="23">
        <v>1.4722034544196079E-3</v>
      </c>
    </row>
    <row r="93" spans="1:21" ht="18.75" x14ac:dyDescent="0.45">
      <c r="A93" s="29" t="s">
        <v>102</v>
      </c>
      <c r="C93" s="22">
        <v>0</v>
      </c>
      <c r="E93" s="22">
        <v>2262396796</v>
      </c>
      <c r="G93" s="22">
        <v>0</v>
      </c>
      <c r="I93" s="22">
        <v>2262396796</v>
      </c>
      <c r="K93" s="23">
        <v>4.9439279089778477E-3</v>
      </c>
      <c r="M93" s="22">
        <v>0</v>
      </c>
      <c r="O93" s="22">
        <v>2112362714</v>
      </c>
      <c r="Q93" s="22">
        <v>0</v>
      </c>
      <c r="S93" s="22">
        <v>2112362714</v>
      </c>
      <c r="U93" s="23">
        <v>4.0311523776849689E-3</v>
      </c>
    </row>
    <row r="94" spans="1:21" ht="18.75" x14ac:dyDescent="0.45">
      <c r="A94" s="29" t="s">
        <v>103</v>
      </c>
      <c r="C94" s="22">
        <v>0</v>
      </c>
      <c r="E94" s="22">
        <v>-79870583</v>
      </c>
      <c r="G94" s="22">
        <v>0</v>
      </c>
      <c r="I94" s="22">
        <v>-79870583</v>
      </c>
      <c r="K94" s="23">
        <v>-1.7453808505129778E-4</v>
      </c>
      <c r="M94" s="22">
        <v>0</v>
      </c>
      <c r="O94" s="22">
        <v>-99757162</v>
      </c>
      <c r="Q94" s="22">
        <v>0</v>
      </c>
      <c r="S94" s="22">
        <v>-99757162</v>
      </c>
      <c r="U94" s="23">
        <v>-1.903727603797331E-4</v>
      </c>
    </row>
    <row r="95" spans="1:21" ht="37.5" x14ac:dyDescent="0.45">
      <c r="A95" s="29" t="s">
        <v>340</v>
      </c>
      <c r="C95" s="22">
        <v>0</v>
      </c>
      <c r="E95" s="22">
        <v>5637135648</v>
      </c>
      <c r="G95" s="22">
        <v>0</v>
      </c>
      <c r="I95" s="22">
        <v>5637135648</v>
      </c>
      <c r="K95" s="23">
        <v>1.231861374013417E-2</v>
      </c>
      <c r="M95" s="22">
        <v>0</v>
      </c>
      <c r="O95" s="22">
        <v>5637135648</v>
      </c>
      <c r="Q95" s="22">
        <v>0</v>
      </c>
      <c r="S95" s="22">
        <v>5637135648</v>
      </c>
      <c r="U95" s="23">
        <v>1.0757694509640876E-2</v>
      </c>
    </row>
    <row r="96" spans="1:21" ht="37.5" x14ac:dyDescent="0.45">
      <c r="A96" s="29" t="s">
        <v>341</v>
      </c>
      <c r="C96" s="22">
        <v>0</v>
      </c>
      <c r="E96" s="22">
        <v>1280816456</v>
      </c>
      <c r="G96" s="22">
        <v>0</v>
      </c>
      <c r="I96" s="22">
        <v>1280816456</v>
      </c>
      <c r="K96" s="23">
        <v>2.798918489582451E-3</v>
      </c>
      <c r="M96" s="22">
        <v>0</v>
      </c>
      <c r="O96" s="22">
        <v>1575240184</v>
      </c>
      <c r="Q96" s="22">
        <v>0</v>
      </c>
      <c r="S96" s="22">
        <v>1575240184</v>
      </c>
      <c r="U96" s="23">
        <v>3.0061282425933354E-3</v>
      </c>
    </row>
    <row r="97" spans="1:21" ht="18.75" x14ac:dyDescent="0.45">
      <c r="A97" s="29" t="s">
        <v>342</v>
      </c>
      <c r="C97" s="22">
        <v>0</v>
      </c>
      <c r="E97" s="22">
        <v>886796114</v>
      </c>
      <c r="G97" s="22">
        <v>0</v>
      </c>
      <c r="I97" s="22">
        <v>886796114</v>
      </c>
      <c r="K97" s="23">
        <v>1.9378811291322659E-3</v>
      </c>
      <c r="M97" s="22">
        <v>0</v>
      </c>
      <c r="O97" s="22">
        <v>886796114</v>
      </c>
      <c r="Q97" s="22">
        <v>0</v>
      </c>
      <c r="S97" s="22">
        <v>886796114</v>
      </c>
      <c r="U97" s="23">
        <v>1.6923278562816419E-3</v>
      </c>
    </row>
    <row r="98" spans="1:21" ht="18.75" x14ac:dyDescent="0.45">
      <c r="A98" s="29" t="s">
        <v>105</v>
      </c>
      <c r="C98" s="22">
        <v>0</v>
      </c>
      <c r="E98" s="22">
        <v>1819838076</v>
      </c>
      <c r="G98" s="22">
        <v>0</v>
      </c>
      <c r="I98" s="22">
        <v>1819838076</v>
      </c>
      <c r="K98" s="23">
        <v>3.9768215149810302E-3</v>
      </c>
      <c r="M98" s="22">
        <v>0</v>
      </c>
      <c r="O98" s="22">
        <v>1800623717</v>
      </c>
      <c r="Q98" s="22">
        <v>0</v>
      </c>
      <c r="S98" s="22">
        <v>1800623717</v>
      </c>
      <c r="U98" s="23">
        <v>3.4362415744195423E-3</v>
      </c>
    </row>
    <row r="99" spans="1:21" ht="37.5" x14ac:dyDescent="0.45">
      <c r="A99" s="29" t="s">
        <v>106</v>
      </c>
      <c r="C99" s="22">
        <v>0</v>
      </c>
      <c r="E99" s="22">
        <v>402173129</v>
      </c>
      <c r="G99" s="22">
        <v>0</v>
      </c>
      <c r="I99" s="22">
        <v>402173129</v>
      </c>
      <c r="K99" s="23">
        <v>8.7885332945107652E-4</v>
      </c>
      <c r="M99" s="22">
        <v>0</v>
      </c>
      <c r="O99" s="22">
        <v>402173129</v>
      </c>
      <c r="Q99" s="22">
        <v>0</v>
      </c>
      <c r="S99" s="22">
        <v>402173129</v>
      </c>
      <c r="U99" s="23">
        <v>7.6749184903921472E-4</v>
      </c>
    </row>
    <row r="100" spans="1:21" ht="37.5" x14ac:dyDescent="0.45">
      <c r="A100" s="29" t="s">
        <v>107</v>
      </c>
      <c r="C100" s="22">
        <v>0</v>
      </c>
      <c r="E100" s="22">
        <v>3507842054</v>
      </c>
      <c r="G100" s="22">
        <v>0</v>
      </c>
      <c r="I100" s="22">
        <v>3507842054</v>
      </c>
      <c r="K100" s="23">
        <v>7.6655510924162297E-3</v>
      </c>
      <c r="M100" s="22">
        <v>0</v>
      </c>
      <c r="O100" s="22">
        <v>3507842054</v>
      </c>
      <c r="Q100" s="22">
        <v>0</v>
      </c>
      <c r="S100" s="22">
        <v>3507842054</v>
      </c>
      <c r="U100" s="23">
        <v>6.6942318867901709E-3</v>
      </c>
    </row>
    <row r="101" spans="1:21" ht="18.75" x14ac:dyDescent="0.45">
      <c r="A101" s="29" t="s">
        <v>343</v>
      </c>
      <c r="C101" s="22">
        <v>0</v>
      </c>
      <c r="E101" s="22">
        <v>854671648</v>
      </c>
      <c r="G101" s="22">
        <v>0</v>
      </c>
      <c r="I101" s="22">
        <v>854671648</v>
      </c>
      <c r="K101" s="23">
        <v>1.867680780413946E-3</v>
      </c>
      <c r="M101" s="22">
        <v>94482130</v>
      </c>
      <c r="O101" s="22">
        <v>-1371231436</v>
      </c>
      <c r="Q101" s="22">
        <v>0</v>
      </c>
      <c r="S101" s="22">
        <v>-1276749306</v>
      </c>
      <c r="U101" s="23">
        <v>-2.4364996439667011E-3</v>
      </c>
    </row>
    <row r="102" spans="1:21" ht="18.75" x14ac:dyDescent="0.45">
      <c r="A102" s="29" t="s">
        <v>108</v>
      </c>
      <c r="C102" s="22">
        <v>1650000000</v>
      </c>
      <c r="E102" s="22">
        <v>3191364036</v>
      </c>
      <c r="G102" s="22">
        <v>-614092461</v>
      </c>
      <c r="I102" s="22">
        <v>4227271575</v>
      </c>
      <c r="K102" s="23">
        <v>9.2376925017848381E-3</v>
      </c>
      <c r="M102" s="22">
        <v>1650000000</v>
      </c>
      <c r="O102" s="22">
        <v>-1082520450</v>
      </c>
      <c r="Q102" s="22">
        <v>950569353</v>
      </c>
      <c r="S102" s="22">
        <v>1518048903</v>
      </c>
      <c r="U102" s="23">
        <v>2.8969865848382462E-3</v>
      </c>
    </row>
    <row r="103" spans="1:21" ht="18.75" x14ac:dyDescent="0.45">
      <c r="A103" s="29" t="s">
        <v>109</v>
      </c>
      <c r="C103" s="22">
        <v>0</v>
      </c>
      <c r="E103" s="22">
        <v>3876105515</v>
      </c>
      <c r="G103" s="22">
        <v>0</v>
      </c>
      <c r="I103" s="22">
        <v>3876105515</v>
      </c>
      <c r="K103" s="23">
        <v>8.4703029405065744E-3</v>
      </c>
      <c r="M103" s="22">
        <v>883388000</v>
      </c>
      <c r="O103" s="22">
        <v>2284806211</v>
      </c>
      <c r="Q103" s="22">
        <v>-21602322</v>
      </c>
      <c r="S103" s="22">
        <v>3146591889</v>
      </c>
      <c r="U103" s="23">
        <v>6.0048358602804745E-3</v>
      </c>
    </row>
    <row r="104" spans="1:21" ht="18.75" x14ac:dyDescent="0.45">
      <c r="A104" s="29" t="s">
        <v>111</v>
      </c>
      <c r="C104" s="22">
        <v>0</v>
      </c>
      <c r="E104" s="22">
        <v>176441052</v>
      </c>
      <c r="G104" s="22">
        <v>0</v>
      </c>
      <c r="I104" s="22">
        <v>176441052</v>
      </c>
      <c r="K104" s="23">
        <v>3.8556978281373576E-4</v>
      </c>
      <c r="M104" s="22">
        <v>29499528</v>
      </c>
      <c r="O104" s="22">
        <v>24850852</v>
      </c>
      <c r="Q104" s="22">
        <v>0</v>
      </c>
      <c r="S104" s="22">
        <v>54350380</v>
      </c>
      <c r="U104" s="23">
        <v>1.0372019071961407E-4</v>
      </c>
    </row>
    <row r="105" spans="1:21" ht="18.75" x14ac:dyDescent="0.45">
      <c r="A105" s="29" t="s">
        <v>112</v>
      </c>
      <c r="C105" s="22">
        <v>0</v>
      </c>
      <c r="E105" s="22">
        <v>335491875</v>
      </c>
      <c r="G105" s="22">
        <v>0</v>
      </c>
      <c r="I105" s="22">
        <v>335491875</v>
      </c>
      <c r="K105" s="23">
        <v>7.3313737315238282E-4</v>
      </c>
      <c r="M105" s="22">
        <v>1080000000</v>
      </c>
      <c r="O105" s="22">
        <v>106738594</v>
      </c>
      <c r="Q105" s="22">
        <v>306487125</v>
      </c>
      <c r="S105" s="22">
        <v>1493225719</v>
      </c>
      <c r="U105" s="23">
        <v>2.8496149679563022E-3</v>
      </c>
    </row>
    <row r="106" spans="1:21" ht="18.75" x14ac:dyDescent="0.45">
      <c r="A106" s="29" t="s">
        <v>113</v>
      </c>
      <c r="C106" s="22">
        <v>0</v>
      </c>
      <c r="E106" s="22">
        <v>1931715016</v>
      </c>
      <c r="G106" s="22">
        <v>0</v>
      </c>
      <c r="I106" s="22">
        <v>1931715016</v>
      </c>
      <c r="K106" s="23">
        <v>4.2213018497370561E-3</v>
      </c>
      <c r="M106" s="22">
        <v>0</v>
      </c>
      <c r="O106" s="22">
        <v>1878419498</v>
      </c>
      <c r="Q106" s="22">
        <v>0</v>
      </c>
      <c r="S106" s="22">
        <v>1878419498</v>
      </c>
      <c r="U106" s="23">
        <v>3.5847040735318084E-3</v>
      </c>
    </row>
    <row r="107" spans="1:21" ht="18.75" x14ac:dyDescent="0.45">
      <c r="A107" s="29" t="s">
        <v>114</v>
      </c>
      <c r="C107" s="22">
        <v>0</v>
      </c>
      <c r="E107" s="22">
        <v>3680455112</v>
      </c>
      <c r="G107" s="22">
        <v>0</v>
      </c>
      <c r="I107" s="22">
        <v>3680455112</v>
      </c>
      <c r="K107" s="23">
        <v>8.0427557085158592E-3</v>
      </c>
      <c r="M107" s="22">
        <v>0</v>
      </c>
      <c r="O107" s="22">
        <v>3623341291</v>
      </c>
      <c r="Q107" s="22">
        <v>0</v>
      </c>
      <c r="S107" s="22">
        <v>3623341291</v>
      </c>
      <c r="U107" s="23">
        <v>6.9146462222485416E-3</v>
      </c>
    </row>
    <row r="108" spans="1:21" ht="18.75" x14ac:dyDescent="0.45">
      <c r="A108" s="29" t="s">
        <v>115</v>
      </c>
      <c r="C108" s="22">
        <v>0</v>
      </c>
      <c r="E108" s="22">
        <v>9995078905</v>
      </c>
      <c r="G108" s="22">
        <v>-5648451037</v>
      </c>
      <c r="I108" s="22">
        <v>4346627868</v>
      </c>
      <c r="K108" s="23">
        <v>9.4985171763592256E-3</v>
      </c>
      <c r="M108" s="22">
        <v>6902065990</v>
      </c>
      <c r="O108" s="22">
        <v>-10431613640</v>
      </c>
      <c r="Q108" s="22">
        <v>-16935082410</v>
      </c>
      <c r="S108" s="22">
        <v>-20464630060</v>
      </c>
      <c r="U108" s="23">
        <v>-3.9053918902306611E-2</v>
      </c>
    </row>
    <row r="109" spans="1:21" ht="18.75" x14ac:dyDescent="0.45">
      <c r="A109" s="29" t="s">
        <v>116</v>
      </c>
      <c r="C109" s="22">
        <v>0</v>
      </c>
      <c r="E109" s="22">
        <v>11456449790</v>
      </c>
      <c r="G109" s="22">
        <v>127036114</v>
      </c>
      <c r="I109" s="22">
        <v>11583485904</v>
      </c>
      <c r="K109" s="23">
        <v>2.5312942161732573E-2</v>
      </c>
      <c r="M109" s="22">
        <v>13820455220</v>
      </c>
      <c r="O109" s="22">
        <v>671898639</v>
      </c>
      <c r="Q109" s="22">
        <v>-3870327529</v>
      </c>
      <c r="S109" s="22">
        <v>10622026330</v>
      </c>
      <c r="U109" s="23">
        <v>2.0270669621378218E-2</v>
      </c>
    </row>
    <row r="110" spans="1:21" ht="18.75" x14ac:dyDescent="0.45">
      <c r="A110" s="29" t="s">
        <v>117</v>
      </c>
      <c r="C110" s="22">
        <v>0</v>
      </c>
      <c r="E110" s="22">
        <v>5020498008</v>
      </c>
      <c r="G110" s="22">
        <v>0</v>
      </c>
      <c r="I110" s="22">
        <v>5020498008</v>
      </c>
      <c r="K110" s="23">
        <v>1.0971099438702921E-2</v>
      </c>
      <c r="M110" s="22">
        <v>0</v>
      </c>
      <c r="O110" s="22">
        <v>5316612536</v>
      </c>
      <c r="Q110" s="22">
        <v>0</v>
      </c>
      <c r="S110" s="22">
        <v>5316612536</v>
      </c>
      <c r="U110" s="23">
        <v>1.0146020436585928E-2</v>
      </c>
    </row>
    <row r="111" spans="1:21" ht="18.75" x14ac:dyDescent="0.45">
      <c r="A111" s="29" t="s">
        <v>118</v>
      </c>
      <c r="C111" s="22">
        <v>0</v>
      </c>
      <c r="E111" s="22">
        <v>4961056088</v>
      </c>
      <c r="G111" s="22">
        <v>0</v>
      </c>
      <c r="I111" s="22">
        <v>4961056088</v>
      </c>
      <c r="K111" s="23">
        <v>1.0841203318017632E-2</v>
      </c>
      <c r="M111" s="22">
        <v>0</v>
      </c>
      <c r="O111" s="22">
        <v>5663305833</v>
      </c>
      <c r="Q111" s="22">
        <v>0</v>
      </c>
      <c r="S111" s="22">
        <v>5663305833</v>
      </c>
      <c r="U111" s="23">
        <v>1.0807636691818214E-2</v>
      </c>
    </row>
    <row r="112" spans="1:21" ht="18.75" x14ac:dyDescent="0.45">
      <c r="A112" s="29" t="s">
        <v>119</v>
      </c>
      <c r="C112" s="22">
        <v>0</v>
      </c>
      <c r="E112" s="22">
        <v>8981541013</v>
      </c>
      <c r="G112" s="22">
        <v>-4727695451</v>
      </c>
      <c r="I112" s="22">
        <v>4253845562</v>
      </c>
      <c r="K112" s="23">
        <v>9.2957636041725352E-3</v>
      </c>
      <c r="M112" s="22">
        <v>7010721000</v>
      </c>
      <c r="O112" s="22">
        <v>-9940961990</v>
      </c>
      <c r="Q112" s="22">
        <v>-6763340323</v>
      </c>
      <c r="S112" s="22">
        <v>-9693581313</v>
      </c>
      <c r="U112" s="23">
        <v>-1.8498860588287459E-2</v>
      </c>
    </row>
    <row r="113" spans="1:21" ht="18.75" x14ac:dyDescent="0.45">
      <c r="A113" s="29" t="s">
        <v>344</v>
      </c>
      <c r="C113" s="22">
        <v>0</v>
      </c>
      <c r="E113" s="22">
        <v>446832222</v>
      </c>
      <c r="G113" s="22">
        <v>0</v>
      </c>
      <c r="I113" s="22">
        <v>446832222</v>
      </c>
      <c r="K113" s="23">
        <v>9.7644511205203512E-4</v>
      </c>
      <c r="M113" s="22">
        <v>0</v>
      </c>
      <c r="O113" s="22">
        <v>446832222</v>
      </c>
      <c r="Q113" s="22">
        <v>0</v>
      </c>
      <c r="S113" s="22">
        <v>446832222</v>
      </c>
      <c r="U113" s="23">
        <v>8.5271755754990004E-4</v>
      </c>
    </row>
    <row r="114" spans="1:21" ht="18.75" x14ac:dyDescent="0.45">
      <c r="A114" s="29" t="s">
        <v>345</v>
      </c>
      <c r="C114" s="22">
        <v>0</v>
      </c>
      <c r="E114" s="22">
        <v>1153281930</v>
      </c>
      <c r="G114" s="22">
        <v>0</v>
      </c>
      <c r="I114" s="22">
        <v>1153281930</v>
      </c>
      <c r="K114" s="23">
        <v>2.5202222398509957E-3</v>
      </c>
      <c r="M114" s="22">
        <v>0</v>
      </c>
      <c r="O114" s="22">
        <v>1016845708</v>
      </c>
      <c r="Q114" s="22">
        <v>0</v>
      </c>
      <c r="S114" s="22">
        <v>1016845708</v>
      </c>
      <c r="U114" s="23">
        <v>1.9405095376735361E-3</v>
      </c>
    </row>
    <row r="115" spans="1:21" ht="18.75" x14ac:dyDescent="0.45">
      <c r="A115" s="29" t="s">
        <v>121</v>
      </c>
      <c r="C115" s="22">
        <v>0</v>
      </c>
      <c r="E115" s="22">
        <v>1448076299</v>
      </c>
      <c r="G115" s="22">
        <v>413542380</v>
      </c>
      <c r="I115" s="22">
        <v>1861618679</v>
      </c>
      <c r="K115" s="23">
        <v>4.0681230451064393E-3</v>
      </c>
      <c r="M115" s="22">
        <v>0</v>
      </c>
      <c r="O115" s="22">
        <v>1448076299</v>
      </c>
      <c r="Q115" s="22">
        <v>413542380</v>
      </c>
      <c r="S115" s="22">
        <v>1861618679</v>
      </c>
      <c r="U115" s="23">
        <v>3.5526420318142396E-3</v>
      </c>
    </row>
    <row r="116" spans="1:21" ht="18.75" x14ac:dyDescent="0.45">
      <c r="A116" s="29" t="s">
        <v>122</v>
      </c>
      <c r="C116" s="22">
        <v>0</v>
      </c>
      <c r="E116" s="22">
        <v>3515563548</v>
      </c>
      <c r="G116" s="22">
        <v>0</v>
      </c>
      <c r="I116" s="22">
        <v>3515563548</v>
      </c>
      <c r="K116" s="23">
        <v>7.6824245735637887E-3</v>
      </c>
      <c r="M116" s="22">
        <v>0</v>
      </c>
      <c r="O116" s="22">
        <v>3515563548</v>
      </c>
      <c r="Q116" s="22">
        <v>0</v>
      </c>
      <c r="S116" s="22">
        <v>3515563548</v>
      </c>
      <c r="U116" s="23">
        <v>6.7089672912219404E-3</v>
      </c>
    </row>
    <row r="117" spans="1:21" ht="18.75" x14ac:dyDescent="0.45">
      <c r="A117" s="29" t="s">
        <v>123</v>
      </c>
      <c r="C117" s="22">
        <v>0</v>
      </c>
      <c r="E117" s="22">
        <v>4281372315</v>
      </c>
      <c r="G117" s="22">
        <v>0</v>
      </c>
      <c r="I117" s="22">
        <v>4281372315</v>
      </c>
      <c r="K117" s="23">
        <v>9.3559167491207833E-3</v>
      </c>
      <c r="M117" s="22">
        <v>0</v>
      </c>
      <c r="O117" s="22">
        <v>4334947763</v>
      </c>
      <c r="Q117" s="22">
        <v>0</v>
      </c>
      <c r="S117" s="22">
        <v>4334947763</v>
      </c>
      <c r="U117" s="23">
        <v>8.2726488524629341E-3</v>
      </c>
    </row>
    <row r="118" spans="1:21" ht="18.75" x14ac:dyDescent="0.45">
      <c r="A118" s="29" t="s">
        <v>124</v>
      </c>
      <c r="C118" s="22">
        <v>0</v>
      </c>
      <c r="E118" s="22">
        <v>2802908312</v>
      </c>
      <c r="G118" s="22">
        <v>0</v>
      </c>
      <c r="I118" s="22">
        <v>2802908312</v>
      </c>
      <c r="K118" s="23">
        <v>6.1250867462786084E-3</v>
      </c>
      <c r="M118" s="22">
        <v>0</v>
      </c>
      <c r="O118" s="22">
        <v>2726242281</v>
      </c>
      <c r="Q118" s="22">
        <v>0</v>
      </c>
      <c r="S118" s="22">
        <v>2726242281</v>
      </c>
      <c r="U118" s="23">
        <v>5.202656712486568E-3</v>
      </c>
    </row>
    <row r="119" spans="1:21" ht="37.5" x14ac:dyDescent="0.45">
      <c r="A119" s="29" t="s">
        <v>126</v>
      </c>
      <c r="C119" s="22">
        <v>0</v>
      </c>
      <c r="E119" s="22">
        <v>74171062</v>
      </c>
      <c r="G119" s="22">
        <v>0</v>
      </c>
      <c r="I119" s="22">
        <v>74171062</v>
      </c>
      <c r="K119" s="23">
        <v>1.6208314302277075E-4</v>
      </c>
      <c r="M119" s="22">
        <v>0</v>
      </c>
      <c r="O119" s="22">
        <v>74171062</v>
      </c>
      <c r="Q119" s="22">
        <v>0</v>
      </c>
      <c r="S119" s="22">
        <v>74171062</v>
      </c>
      <c r="U119" s="23">
        <v>1.4154522372274712E-4</v>
      </c>
    </row>
    <row r="120" spans="1:21" ht="37.5" x14ac:dyDescent="0.45">
      <c r="A120" s="29" t="s">
        <v>127</v>
      </c>
      <c r="C120" s="22">
        <v>0</v>
      </c>
      <c r="E120" s="22">
        <v>2028964759</v>
      </c>
      <c r="G120" s="22">
        <v>-90723025</v>
      </c>
      <c r="I120" s="22">
        <v>1938241734</v>
      </c>
      <c r="K120" s="23">
        <v>4.2355644332640833E-3</v>
      </c>
      <c r="M120" s="22">
        <v>0</v>
      </c>
      <c r="O120" s="22">
        <v>2069971184</v>
      </c>
      <c r="Q120" s="22">
        <v>-90723025</v>
      </c>
      <c r="S120" s="22">
        <v>1979248159</v>
      </c>
      <c r="U120" s="23">
        <v>3.7771216417056335E-3</v>
      </c>
    </row>
    <row r="121" spans="1:21" ht="18.75" x14ac:dyDescent="0.45">
      <c r="A121" s="29" t="s">
        <v>128</v>
      </c>
      <c r="C121" s="22">
        <v>0</v>
      </c>
      <c r="E121" s="22">
        <v>1594144744</v>
      </c>
      <c r="G121" s="22">
        <v>0</v>
      </c>
      <c r="I121" s="22">
        <v>1594144744</v>
      </c>
      <c r="K121" s="23">
        <v>3.4836226362883983E-3</v>
      </c>
      <c r="M121" s="22">
        <v>100000000</v>
      </c>
      <c r="O121" s="22">
        <v>1700483703</v>
      </c>
      <c r="Q121" s="22">
        <v>-169057300</v>
      </c>
      <c r="S121" s="22">
        <v>1631426403</v>
      </c>
      <c r="U121" s="23">
        <v>3.1133518783893316E-3</v>
      </c>
    </row>
    <row r="122" spans="1:21" ht="18.75" x14ac:dyDescent="0.45">
      <c r="A122" s="29" t="s">
        <v>129</v>
      </c>
      <c r="C122" s="22">
        <v>0</v>
      </c>
      <c r="E122" s="22">
        <v>1881104555</v>
      </c>
      <c r="G122" s="22">
        <v>0</v>
      </c>
      <c r="I122" s="22">
        <v>1881104555</v>
      </c>
      <c r="K122" s="23">
        <v>4.1107047736332874E-3</v>
      </c>
      <c r="M122" s="22">
        <v>0</v>
      </c>
      <c r="O122" s="22">
        <v>1890448081</v>
      </c>
      <c r="Q122" s="22">
        <v>0</v>
      </c>
      <c r="S122" s="22">
        <v>1890448081</v>
      </c>
      <c r="U122" s="23">
        <v>3.6076589622160587E-3</v>
      </c>
    </row>
    <row r="123" spans="1:21" ht="18.75" x14ac:dyDescent="0.45">
      <c r="A123" s="29" t="s">
        <v>130</v>
      </c>
      <c r="C123" s="22">
        <v>0</v>
      </c>
      <c r="E123" s="22">
        <v>1337562211</v>
      </c>
      <c r="G123" s="22">
        <v>0</v>
      </c>
      <c r="I123" s="22">
        <v>1337562211</v>
      </c>
      <c r="K123" s="23">
        <v>2.9229227855381988E-3</v>
      </c>
      <c r="M123" s="22">
        <v>0</v>
      </c>
      <c r="O123" s="22">
        <v>1282942732</v>
      </c>
      <c r="Q123" s="22">
        <v>0</v>
      </c>
      <c r="S123" s="22">
        <v>1282942732</v>
      </c>
      <c r="U123" s="23">
        <v>2.4483189417513315E-3</v>
      </c>
    </row>
    <row r="124" spans="1:21" ht="18.75" x14ac:dyDescent="0.45">
      <c r="A124" s="29" t="s">
        <v>131</v>
      </c>
      <c r="C124" s="22">
        <v>0</v>
      </c>
      <c r="E124" s="22">
        <v>2006986950</v>
      </c>
      <c r="G124" s="22">
        <v>0</v>
      </c>
      <c r="I124" s="22">
        <v>2006986950</v>
      </c>
      <c r="K124" s="23">
        <v>4.3857906856138102E-3</v>
      </c>
      <c r="M124" s="22">
        <v>0</v>
      </c>
      <c r="O124" s="22">
        <v>2475218945</v>
      </c>
      <c r="Q124" s="22">
        <v>0</v>
      </c>
      <c r="S124" s="22">
        <v>2475218945</v>
      </c>
      <c r="U124" s="23">
        <v>4.7236133592479376E-3</v>
      </c>
    </row>
    <row r="125" spans="1:21" ht="18.75" x14ac:dyDescent="0.45">
      <c r="A125" s="29" t="s">
        <v>132</v>
      </c>
      <c r="C125" s="22">
        <v>0</v>
      </c>
      <c r="E125" s="22">
        <v>2264886945</v>
      </c>
      <c r="G125" s="22">
        <v>836562348</v>
      </c>
      <c r="I125" s="22">
        <v>3101449293</v>
      </c>
      <c r="K125" s="23">
        <v>6.7774767649301047E-3</v>
      </c>
      <c r="M125" s="22">
        <v>0</v>
      </c>
      <c r="O125" s="22">
        <v>1384594910</v>
      </c>
      <c r="Q125" s="22">
        <v>836562348</v>
      </c>
      <c r="S125" s="22">
        <v>2221157258</v>
      </c>
      <c r="U125" s="23">
        <v>4.2387717329302032E-3</v>
      </c>
    </row>
    <row r="126" spans="1:21" ht="18.75" x14ac:dyDescent="0.45">
      <c r="A126" s="29" t="s">
        <v>133</v>
      </c>
      <c r="C126" s="22">
        <v>0</v>
      </c>
      <c r="E126" s="22">
        <v>5247063445</v>
      </c>
      <c r="G126" s="22">
        <v>0</v>
      </c>
      <c r="I126" s="22">
        <v>5247063445</v>
      </c>
      <c r="K126" s="23">
        <v>1.1466204094603461E-2</v>
      </c>
      <c r="M126" s="22">
        <v>3292527600</v>
      </c>
      <c r="O126" s="22">
        <v>11752025854</v>
      </c>
      <c r="Q126" s="22">
        <v>0</v>
      </c>
      <c r="S126" s="22">
        <v>15044553454</v>
      </c>
      <c r="U126" s="23">
        <v>2.8710451583600863E-2</v>
      </c>
    </row>
    <row r="127" spans="1:21" ht="18.75" x14ac:dyDescent="0.45">
      <c r="A127" s="29" t="s">
        <v>134</v>
      </c>
      <c r="C127" s="22">
        <v>0</v>
      </c>
      <c r="E127" s="22">
        <v>2481311347</v>
      </c>
      <c r="G127" s="22">
        <v>0</v>
      </c>
      <c r="I127" s="22">
        <v>2481311347</v>
      </c>
      <c r="K127" s="23">
        <v>5.4223133806527522E-3</v>
      </c>
      <c r="M127" s="22">
        <v>0</v>
      </c>
      <c r="O127" s="22">
        <v>2832098598</v>
      </c>
      <c r="Q127" s="22">
        <v>0</v>
      </c>
      <c r="S127" s="22">
        <v>2832098598</v>
      </c>
      <c r="U127" s="23">
        <v>5.4046688674727139E-3</v>
      </c>
    </row>
    <row r="128" spans="1:21" ht="18.75" x14ac:dyDescent="0.45">
      <c r="A128" s="29" t="s">
        <v>135</v>
      </c>
      <c r="C128" s="22">
        <v>0</v>
      </c>
      <c r="E128" s="22">
        <v>1741303906</v>
      </c>
      <c r="G128" s="22">
        <v>0</v>
      </c>
      <c r="I128" s="22">
        <v>1741303906</v>
      </c>
      <c r="K128" s="23">
        <v>3.8052038413890761E-3</v>
      </c>
      <c r="M128" s="22">
        <v>0</v>
      </c>
      <c r="O128" s="22">
        <v>2023489095</v>
      </c>
      <c r="Q128" s="22">
        <v>0</v>
      </c>
      <c r="S128" s="22">
        <v>2023489095</v>
      </c>
      <c r="U128" s="23">
        <v>3.8615493553579437E-3</v>
      </c>
    </row>
    <row r="129" spans="1:21" ht="18.75" x14ac:dyDescent="0.45">
      <c r="A129" s="29" t="s">
        <v>136</v>
      </c>
      <c r="C129" s="22">
        <v>0</v>
      </c>
      <c r="E129" s="22">
        <v>684250520</v>
      </c>
      <c r="G129" s="22">
        <v>0</v>
      </c>
      <c r="I129" s="22">
        <v>684250520</v>
      </c>
      <c r="K129" s="23">
        <v>1.4952661038689895E-3</v>
      </c>
      <c r="M129" s="22">
        <v>0</v>
      </c>
      <c r="O129" s="22">
        <v>586262355</v>
      </c>
      <c r="Q129" s="22">
        <v>0</v>
      </c>
      <c r="S129" s="22">
        <v>586262355</v>
      </c>
      <c r="U129" s="23">
        <v>1.1188007015283075E-3</v>
      </c>
    </row>
    <row r="130" spans="1:21" ht="18.75" x14ac:dyDescent="0.45">
      <c r="A130" s="29" t="s">
        <v>137</v>
      </c>
      <c r="C130" s="22">
        <v>0</v>
      </c>
      <c r="E130" s="22">
        <v>4617386554</v>
      </c>
      <c r="G130" s="22">
        <v>-60998617</v>
      </c>
      <c r="I130" s="22">
        <v>4556387937</v>
      </c>
      <c r="K130" s="23">
        <v>9.9568977138280463E-3</v>
      </c>
      <c r="M130" s="22">
        <v>4379641700</v>
      </c>
      <c r="O130" s="22">
        <v>1307385424</v>
      </c>
      <c r="Q130" s="22">
        <v>-1344601898</v>
      </c>
      <c r="S130" s="22">
        <v>4342425226</v>
      </c>
      <c r="U130" s="23">
        <v>8.2869185574486002E-3</v>
      </c>
    </row>
    <row r="131" spans="1:21" ht="18.75" x14ac:dyDescent="0.45">
      <c r="A131" s="29" t="s">
        <v>138</v>
      </c>
      <c r="C131" s="22">
        <v>0</v>
      </c>
      <c r="E131" s="22">
        <v>200137041</v>
      </c>
      <c r="G131" s="22">
        <v>0</v>
      </c>
      <c r="I131" s="22">
        <v>200137041</v>
      </c>
      <c r="K131" s="23">
        <v>4.3735170787438817E-4</v>
      </c>
      <c r="M131" s="22">
        <v>0</v>
      </c>
      <c r="O131" s="22">
        <v>200320754</v>
      </c>
      <c r="Q131" s="22">
        <v>0</v>
      </c>
      <c r="S131" s="22">
        <v>200320754</v>
      </c>
      <c r="U131" s="23">
        <v>3.8228448099124411E-4</v>
      </c>
    </row>
    <row r="132" spans="1:21" ht="18.75" x14ac:dyDescent="0.45">
      <c r="A132" s="29" t="s">
        <v>139</v>
      </c>
      <c r="C132" s="22">
        <v>0</v>
      </c>
      <c r="E132" s="22">
        <v>3798273429</v>
      </c>
      <c r="G132" s="22">
        <v>0</v>
      </c>
      <c r="I132" s="22">
        <v>3798273429</v>
      </c>
      <c r="K132" s="23">
        <v>8.3002195038301713E-3</v>
      </c>
      <c r="M132" s="22">
        <v>228464012</v>
      </c>
      <c r="O132" s="22">
        <v>2348536889</v>
      </c>
      <c r="Q132" s="22">
        <v>-519874130</v>
      </c>
      <c r="S132" s="22">
        <v>2057126771</v>
      </c>
      <c r="U132" s="23">
        <v>3.9257422123367648E-3</v>
      </c>
    </row>
    <row r="133" spans="1:21" ht="18.75" x14ac:dyDescent="0.45">
      <c r="A133" s="29" t="s">
        <v>346</v>
      </c>
      <c r="C133" s="22">
        <v>0</v>
      </c>
      <c r="E133" s="22">
        <v>1057857077</v>
      </c>
      <c r="G133" s="22">
        <v>0</v>
      </c>
      <c r="I133" s="22">
        <v>1057857077</v>
      </c>
      <c r="K133" s="23">
        <v>2.3116940122691137E-3</v>
      </c>
      <c r="M133" s="22">
        <v>0</v>
      </c>
      <c r="O133" s="22">
        <v>999403141</v>
      </c>
      <c r="Q133" s="22">
        <v>0</v>
      </c>
      <c r="S133" s="22">
        <v>999403141</v>
      </c>
      <c r="U133" s="23">
        <v>1.9072228085673247E-3</v>
      </c>
    </row>
    <row r="134" spans="1:21" ht="18.75" x14ac:dyDescent="0.45">
      <c r="A134" s="29" t="s">
        <v>140</v>
      </c>
      <c r="C134" s="22">
        <v>0</v>
      </c>
      <c r="E134" s="22">
        <v>4727489060</v>
      </c>
      <c r="G134" s="22">
        <v>0</v>
      </c>
      <c r="I134" s="22">
        <v>4727489060</v>
      </c>
      <c r="K134" s="23">
        <v>1.0330798357054184E-2</v>
      </c>
      <c r="M134" s="22">
        <v>0</v>
      </c>
      <c r="O134" s="22">
        <v>4653622744</v>
      </c>
      <c r="Q134" s="22">
        <v>0</v>
      </c>
      <c r="S134" s="22">
        <v>4653622744</v>
      </c>
      <c r="U134" s="23">
        <v>8.8807960228578682E-3</v>
      </c>
    </row>
    <row r="135" spans="1:21" ht="18.75" x14ac:dyDescent="0.45">
      <c r="A135" s="29" t="s">
        <v>141</v>
      </c>
      <c r="C135" s="22">
        <v>0</v>
      </c>
      <c r="E135" s="22">
        <v>13293035737</v>
      </c>
      <c r="G135" s="22">
        <v>-898388511</v>
      </c>
      <c r="I135" s="22">
        <v>12394647226</v>
      </c>
      <c r="K135" s="23">
        <v>2.7085541515484118E-2</v>
      </c>
      <c r="M135" s="22">
        <v>13040000000</v>
      </c>
      <c r="O135" s="22">
        <v>-4741288295</v>
      </c>
      <c r="Q135" s="22">
        <v>-425981595</v>
      </c>
      <c r="S135" s="22">
        <v>7872730110</v>
      </c>
      <c r="U135" s="23">
        <v>1.5024017651638282E-2</v>
      </c>
    </row>
    <row r="136" spans="1:21" ht="18.75" x14ac:dyDescent="0.45">
      <c r="A136" s="29" t="s">
        <v>143</v>
      </c>
      <c r="C136" s="22">
        <v>0</v>
      </c>
      <c r="E136" s="22">
        <v>4871634901</v>
      </c>
      <c r="G136" s="22">
        <v>0</v>
      </c>
      <c r="I136" s="22">
        <v>4871634901</v>
      </c>
      <c r="K136" s="23">
        <v>1.0645794668728142E-2</v>
      </c>
      <c r="M136" s="22">
        <v>0</v>
      </c>
      <c r="O136" s="22">
        <v>5154636911</v>
      </c>
      <c r="Q136" s="22">
        <v>0</v>
      </c>
      <c r="S136" s="22">
        <v>5154636911</v>
      </c>
      <c r="U136" s="23">
        <v>9.8369123362022932E-3</v>
      </c>
    </row>
    <row r="137" spans="1:21" ht="18.75" x14ac:dyDescent="0.45">
      <c r="A137" s="29" t="s">
        <v>144</v>
      </c>
      <c r="C137" s="22">
        <v>0</v>
      </c>
      <c r="E137" s="22">
        <v>1329868211</v>
      </c>
      <c r="G137" s="22">
        <v>0</v>
      </c>
      <c r="I137" s="22">
        <v>1329868211</v>
      </c>
      <c r="K137" s="23">
        <v>2.9061093859617279E-3</v>
      </c>
      <c r="M137" s="22">
        <v>58108700</v>
      </c>
      <c r="O137" s="22">
        <v>1649108530</v>
      </c>
      <c r="Q137" s="22">
        <v>-1044938080</v>
      </c>
      <c r="S137" s="22">
        <v>662279150</v>
      </c>
      <c r="U137" s="23">
        <v>1.2638682516593978E-3</v>
      </c>
    </row>
    <row r="138" spans="1:21" ht="18.75" x14ac:dyDescent="0.45">
      <c r="A138" s="29" t="s">
        <v>145</v>
      </c>
      <c r="C138" s="22">
        <v>0</v>
      </c>
      <c r="E138" s="22">
        <v>3862044075</v>
      </c>
      <c r="G138" s="22">
        <v>670321591</v>
      </c>
      <c r="I138" s="22">
        <v>4532365666</v>
      </c>
      <c r="K138" s="23">
        <v>9.9044027773766211E-3</v>
      </c>
      <c r="M138" s="22">
        <v>2863622210</v>
      </c>
      <c r="O138" s="22">
        <v>911487391</v>
      </c>
      <c r="Q138" s="22">
        <v>-652712262</v>
      </c>
      <c r="S138" s="22">
        <v>3122397339</v>
      </c>
      <c r="U138" s="23">
        <v>5.9586639045301152E-3</v>
      </c>
    </row>
    <row r="139" spans="1:21" ht="18.75" x14ac:dyDescent="0.45">
      <c r="A139" s="29" t="s">
        <v>146</v>
      </c>
      <c r="C139" s="22">
        <v>0</v>
      </c>
      <c r="E139" s="22">
        <v>516834296</v>
      </c>
      <c r="G139" s="22">
        <v>0</v>
      </c>
      <c r="I139" s="22">
        <v>516834296</v>
      </c>
      <c r="K139" s="23">
        <v>1.1294179274073362E-3</v>
      </c>
      <c r="M139" s="22">
        <v>370000000</v>
      </c>
      <c r="O139" s="22">
        <v>-494611579</v>
      </c>
      <c r="Q139" s="22">
        <v>0</v>
      </c>
      <c r="S139" s="22">
        <v>-124611579</v>
      </c>
      <c r="U139" s="23">
        <v>-2.378039811267604E-4</v>
      </c>
    </row>
    <row r="140" spans="1:21" ht="18.75" x14ac:dyDescent="0.45">
      <c r="A140" s="29" t="s">
        <v>147</v>
      </c>
      <c r="C140" s="22">
        <v>0</v>
      </c>
      <c r="E140" s="22">
        <v>17334946567</v>
      </c>
      <c r="G140" s="22">
        <v>-11171675807</v>
      </c>
      <c r="I140" s="22">
        <v>6163270760</v>
      </c>
      <c r="K140" s="23">
        <v>1.34683563797582E-2</v>
      </c>
      <c r="M140" s="22">
        <v>22120000000</v>
      </c>
      <c r="O140" s="22">
        <v>-6372365863</v>
      </c>
      <c r="Q140" s="22">
        <v>-37905531491</v>
      </c>
      <c r="S140" s="22">
        <v>-22157897354</v>
      </c>
      <c r="U140" s="23">
        <v>-4.2285285576706404E-2</v>
      </c>
    </row>
    <row r="141" spans="1:21" ht="37.5" x14ac:dyDescent="0.45">
      <c r="A141" s="29" t="s">
        <v>148</v>
      </c>
      <c r="C141" s="22">
        <v>0</v>
      </c>
      <c r="E141" s="22">
        <v>-123808716</v>
      </c>
      <c r="G141" s="22">
        <v>0</v>
      </c>
      <c r="I141" s="22">
        <v>-123808716</v>
      </c>
      <c r="K141" s="23">
        <v>-2.7055438174653082E-4</v>
      </c>
      <c r="M141" s="22">
        <v>0</v>
      </c>
      <c r="O141" s="22">
        <v>-123808716</v>
      </c>
      <c r="Q141" s="22">
        <v>0</v>
      </c>
      <c r="S141" s="22">
        <v>-123808716</v>
      </c>
      <c r="U141" s="23">
        <v>-2.3627182802163544E-4</v>
      </c>
    </row>
    <row r="142" spans="1:21" ht="18.75" x14ac:dyDescent="0.45">
      <c r="A142" s="29" t="s">
        <v>149</v>
      </c>
      <c r="C142" s="22">
        <v>0</v>
      </c>
      <c r="E142" s="22">
        <v>33308296</v>
      </c>
      <c r="G142" s="22">
        <v>0</v>
      </c>
      <c r="I142" s="22">
        <v>33308296</v>
      </c>
      <c r="K142" s="23">
        <v>7.2787326469894446E-5</v>
      </c>
      <c r="M142" s="22">
        <v>0</v>
      </c>
      <c r="O142" s="22">
        <v>33308296</v>
      </c>
      <c r="Q142" s="22">
        <v>0</v>
      </c>
      <c r="S142" s="22">
        <v>33308296</v>
      </c>
      <c r="U142" s="23">
        <v>6.3564280758761187E-5</v>
      </c>
    </row>
    <row r="143" spans="1:21" ht="18.75" x14ac:dyDescent="0.45">
      <c r="A143" s="29" t="s">
        <v>150</v>
      </c>
      <c r="C143" s="22">
        <v>0</v>
      </c>
      <c r="E143" s="22">
        <v>4352143877</v>
      </c>
      <c r="G143" s="22">
        <v>382726953</v>
      </c>
      <c r="I143" s="22">
        <v>4734870830</v>
      </c>
      <c r="K143" s="23">
        <v>1.0346929452530088E-2</v>
      </c>
      <c r="M143" s="22">
        <v>2334080700</v>
      </c>
      <c r="O143" s="22">
        <v>6034722626</v>
      </c>
      <c r="Q143" s="22">
        <v>2339292636</v>
      </c>
      <c r="S143" s="22">
        <v>10708095962</v>
      </c>
      <c r="U143" s="23">
        <v>2.0434921621938419E-2</v>
      </c>
    </row>
    <row r="144" spans="1:21" ht="18.75" x14ac:dyDescent="0.45">
      <c r="A144" s="29" t="s">
        <v>151</v>
      </c>
      <c r="C144" s="22">
        <v>0</v>
      </c>
      <c r="E144" s="22">
        <v>2635030206</v>
      </c>
      <c r="G144" s="22">
        <v>0</v>
      </c>
      <c r="I144" s="22">
        <v>2635030206</v>
      </c>
      <c r="K144" s="23">
        <v>5.758229237009159E-3</v>
      </c>
      <c r="M144" s="22">
        <v>1959126860</v>
      </c>
      <c r="O144" s="22">
        <v>7146776808</v>
      </c>
      <c r="Q144" s="22">
        <v>296351474</v>
      </c>
      <c r="S144" s="22">
        <v>9402255142</v>
      </c>
      <c r="U144" s="23">
        <v>1.7942904843033521E-2</v>
      </c>
    </row>
    <row r="145" spans="1:21" ht="18.75" x14ac:dyDescent="0.45">
      <c r="A145" s="29" t="s">
        <v>152</v>
      </c>
      <c r="C145" s="22">
        <v>0</v>
      </c>
      <c r="E145" s="22">
        <v>715191790</v>
      </c>
      <c r="G145" s="22">
        <v>0</v>
      </c>
      <c r="I145" s="22">
        <v>715191790</v>
      </c>
      <c r="K145" s="23">
        <v>1.5628808602913278E-3</v>
      </c>
      <c r="M145" s="22">
        <v>0</v>
      </c>
      <c r="O145" s="22">
        <v>715191790</v>
      </c>
      <c r="Q145" s="22">
        <v>0</v>
      </c>
      <c r="S145" s="22">
        <v>715191790</v>
      </c>
      <c r="U145" s="23">
        <v>1.3648447142393886E-3</v>
      </c>
    </row>
    <row r="146" spans="1:21" ht="18.75" x14ac:dyDescent="0.45">
      <c r="A146" s="29" t="s">
        <v>153</v>
      </c>
      <c r="C146" s="22">
        <v>2994487650</v>
      </c>
      <c r="E146" s="22">
        <v>-1152947967</v>
      </c>
      <c r="G146" s="22">
        <v>0</v>
      </c>
      <c r="I146" s="22">
        <v>1841539683</v>
      </c>
      <c r="K146" s="23">
        <v>4.0242451944640743E-3</v>
      </c>
      <c r="M146" s="22">
        <v>2994487650</v>
      </c>
      <c r="O146" s="22">
        <v>-1387764808</v>
      </c>
      <c r="Q146" s="22">
        <v>0</v>
      </c>
      <c r="S146" s="22">
        <v>1606722842</v>
      </c>
      <c r="U146" s="23">
        <v>3.0662085454747573E-3</v>
      </c>
    </row>
    <row r="147" spans="1:21" ht="18.75" x14ac:dyDescent="0.45">
      <c r="A147" s="29" t="s">
        <v>154</v>
      </c>
      <c r="C147" s="22">
        <v>0</v>
      </c>
      <c r="E147" s="22">
        <v>4123026416</v>
      </c>
      <c r="G147" s="22">
        <v>153227146</v>
      </c>
      <c r="I147" s="22">
        <v>4276253562</v>
      </c>
      <c r="K147" s="23">
        <v>9.3447309368615873E-3</v>
      </c>
      <c r="M147" s="22">
        <v>0</v>
      </c>
      <c r="O147" s="22">
        <v>4350687944</v>
      </c>
      <c r="Q147" s="22">
        <v>1533560189</v>
      </c>
      <c r="S147" s="22">
        <v>5884248133</v>
      </c>
      <c r="U147" s="23">
        <v>1.1229274544102415E-2</v>
      </c>
    </row>
    <row r="148" spans="1:21" ht="18.75" x14ac:dyDescent="0.45">
      <c r="A148" s="29" t="s">
        <v>347</v>
      </c>
      <c r="C148" s="22">
        <v>0</v>
      </c>
      <c r="E148" s="22">
        <v>126533154</v>
      </c>
      <c r="G148" s="22">
        <v>0</v>
      </c>
      <c r="I148" s="22">
        <v>126533154</v>
      </c>
      <c r="K148" s="23">
        <v>2.7650799036562637E-4</v>
      </c>
      <c r="M148" s="22">
        <v>0</v>
      </c>
      <c r="O148" s="22">
        <v>126533154</v>
      </c>
      <c r="Q148" s="22">
        <v>0</v>
      </c>
      <c r="S148" s="22">
        <v>126533154</v>
      </c>
      <c r="U148" s="23">
        <v>2.414710415131283E-4</v>
      </c>
    </row>
    <row r="149" spans="1:21" ht="18.75" x14ac:dyDescent="0.45">
      <c r="A149" s="29" t="s">
        <v>155</v>
      </c>
      <c r="C149" s="22">
        <v>0</v>
      </c>
      <c r="E149" s="22">
        <v>5556934497</v>
      </c>
      <c r="G149" s="22">
        <v>372456733</v>
      </c>
      <c r="I149" s="22">
        <v>5929391230</v>
      </c>
      <c r="K149" s="23">
        <v>1.295726852030314E-2</v>
      </c>
      <c r="M149" s="22">
        <v>3295057660</v>
      </c>
      <c r="O149" s="22">
        <v>5604867942</v>
      </c>
      <c r="Q149" s="22">
        <v>724483824</v>
      </c>
      <c r="S149" s="22">
        <v>9624409426</v>
      </c>
      <c r="U149" s="23">
        <v>1.836685559932371E-2</v>
      </c>
    </row>
    <row r="150" spans="1:21" ht="37.5" x14ac:dyDescent="0.45">
      <c r="A150" s="29" t="s">
        <v>156</v>
      </c>
      <c r="C150" s="22">
        <v>0</v>
      </c>
      <c r="E150" s="22">
        <v>1245544650</v>
      </c>
      <c r="G150" s="22">
        <v>0</v>
      </c>
      <c r="I150" s="22">
        <v>1245544650</v>
      </c>
      <c r="K150" s="23">
        <v>2.7218403809183278E-3</v>
      </c>
      <c r="M150" s="22">
        <v>505400000</v>
      </c>
      <c r="O150" s="22">
        <v>1614337200</v>
      </c>
      <c r="Q150" s="22">
        <v>0</v>
      </c>
      <c r="S150" s="22">
        <v>2119737200</v>
      </c>
      <c r="U150" s="23">
        <v>4.0452255652943126E-3</v>
      </c>
    </row>
    <row r="151" spans="1:21" ht="18.75" x14ac:dyDescent="0.45">
      <c r="A151" s="29" t="s">
        <v>348</v>
      </c>
      <c r="C151" s="22">
        <v>0</v>
      </c>
      <c r="E151" s="22">
        <v>1763074480</v>
      </c>
      <c r="G151" s="22">
        <v>0</v>
      </c>
      <c r="I151" s="22">
        <v>1763074480</v>
      </c>
      <c r="K151" s="23">
        <v>3.8527782317804367E-3</v>
      </c>
      <c r="M151" s="22">
        <v>0</v>
      </c>
      <c r="O151" s="22">
        <v>1763074480</v>
      </c>
      <c r="Q151" s="22">
        <v>0</v>
      </c>
      <c r="S151" s="22">
        <v>1763074480</v>
      </c>
      <c r="U151" s="23">
        <v>3.3645840437267305E-3</v>
      </c>
    </row>
    <row r="152" spans="1:21" ht="18.75" x14ac:dyDescent="0.45">
      <c r="A152" s="29" t="s">
        <v>157</v>
      </c>
      <c r="C152" s="22">
        <v>0</v>
      </c>
      <c r="E152" s="22">
        <v>6964709622</v>
      </c>
      <c r="G152" s="22">
        <v>-22658788</v>
      </c>
      <c r="I152" s="22">
        <v>6942050834</v>
      </c>
      <c r="K152" s="23">
        <v>1.5170194249053181E-2</v>
      </c>
      <c r="M152" s="22">
        <v>0</v>
      </c>
      <c r="O152" s="22">
        <v>-3292842196</v>
      </c>
      <c r="Q152" s="22">
        <v>-163759163</v>
      </c>
      <c r="S152" s="22">
        <v>-3456601359</v>
      </c>
      <c r="U152" s="23">
        <v>-6.5964461002325503E-3</v>
      </c>
    </row>
    <row r="153" spans="1:21" ht="18.75" x14ac:dyDescent="0.45">
      <c r="A153" s="29" t="s">
        <v>158</v>
      </c>
      <c r="C153" s="22">
        <v>0</v>
      </c>
      <c r="E153" s="22">
        <v>2365093725</v>
      </c>
      <c r="G153" s="22">
        <v>686225220</v>
      </c>
      <c r="I153" s="22">
        <v>3051318945</v>
      </c>
      <c r="K153" s="23">
        <v>6.6679288611308403E-3</v>
      </c>
      <c r="M153" s="22">
        <v>0</v>
      </c>
      <c r="O153" s="22">
        <v>2371994689</v>
      </c>
      <c r="Q153" s="22">
        <v>686225220</v>
      </c>
      <c r="S153" s="22">
        <v>3058219909</v>
      </c>
      <c r="U153" s="23">
        <v>5.836190146674242E-3</v>
      </c>
    </row>
    <row r="154" spans="1:21" ht="18.75" x14ac:dyDescent="0.45">
      <c r="A154" s="29" t="s">
        <v>160</v>
      </c>
      <c r="C154" s="22">
        <v>0</v>
      </c>
      <c r="E154" s="22">
        <v>1576264609</v>
      </c>
      <c r="G154" s="22">
        <v>1668943813</v>
      </c>
      <c r="I154" s="22">
        <v>3245208422</v>
      </c>
      <c r="K154" s="23">
        <v>7.0916280098797307E-3</v>
      </c>
      <c r="M154" s="22">
        <v>10319249000</v>
      </c>
      <c r="O154" s="22">
        <v>6111876187</v>
      </c>
      <c r="Q154" s="22">
        <v>10053263091</v>
      </c>
      <c r="S154" s="22">
        <v>26484388278</v>
      </c>
      <c r="U154" s="23">
        <v>5.0541795720406582E-2</v>
      </c>
    </row>
    <row r="155" spans="1:21" ht="18.75" x14ac:dyDescent="0.45">
      <c r="A155" s="29" t="s">
        <v>161</v>
      </c>
      <c r="C155" s="22">
        <v>0</v>
      </c>
      <c r="E155" s="22">
        <v>807167793</v>
      </c>
      <c r="G155" s="22">
        <v>0</v>
      </c>
      <c r="I155" s="22">
        <v>807167793</v>
      </c>
      <c r="K155" s="23">
        <v>1.7638724498267695E-3</v>
      </c>
      <c r="M155" s="22">
        <v>99999950</v>
      </c>
      <c r="O155" s="22">
        <v>1583520067</v>
      </c>
      <c r="Q155" s="22">
        <v>734050907</v>
      </c>
      <c r="S155" s="22">
        <v>2417570924</v>
      </c>
      <c r="U155" s="23">
        <v>4.6136000763099287E-3</v>
      </c>
    </row>
    <row r="156" spans="1:21" ht="18.75" x14ac:dyDescent="0.45">
      <c r="A156" s="29" t="s">
        <v>163</v>
      </c>
      <c r="C156" s="22">
        <v>0</v>
      </c>
      <c r="E156" s="22">
        <v>4118295720</v>
      </c>
      <c r="G156" s="22">
        <v>-665518280</v>
      </c>
      <c r="I156" s="22">
        <v>3452777440</v>
      </c>
      <c r="K156" s="23">
        <v>7.5452205286384629E-3</v>
      </c>
      <c r="M156" s="22">
        <v>7267946400</v>
      </c>
      <c r="O156" s="22">
        <v>1131026114</v>
      </c>
      <c r="Q156" s="22">
        <v>1499020568</v>
      </c>
      <c r="S156" s="22">
        <v>9897993082</v>
      </c>
      <c r="U156" s="23">
        <v>1.8888952206156804E-2</v>
      </c>
    </row>
    <row r="157" spans="1:21" ht="18.75" x14ac:dyDescent="0.45">
      <c r="A157" s="29" t="s">
        <v>164</v>
      </c>
      <c r="C157" s="22">
        <v>0</v>
      </c>
      <c r="E157" s="22">
        <v>1284931420</v>
      </c>
      <c r="G157" s="22">
        <v>0</v>
      </c>
      <c r="I157" s="22">
        <v>1284931420</v>
      </c>
      <c r="K157" s="23">
        <v>2.8079107606995284E-3</v>
      </c>
      <c r="M157" s="22">
        <v>0</v>
      </c>
      <c r="O157" s="22">
        <v>1648616087</v>
      </c>
      <c r="Q157" s="22">
        <v>-1155274913</v>
      </c>
      <c r="S157" s="22">
        <v>493341174</v>
      </c>
      <c r="U157" s="23">
        <v>9.4147346636984527E-4</v>
      </c>
    </row>
    <row r="158" spans="1:21" ht="18.75" x14ac:dyDescent="0.45">
      <c r="A158" s="29" t="s">
        <v>165</v>
      </c>
      <c r="C158" s="22">
        <v>524156680</v>
      </c>
      <c r="E158" s="22">
        <v>1571517681</v>
      </c>
      <c r="G158" s="22">
        <v>0</v>
      </c>
      <c r="I158" s="22">
        <v>2095674361</v>
      </c>
      <c r="K158" s="23">
        <v>4.5795958426901951E-3</v>
      </c>
      <c r="M158" s="22">
        <v>524156680</v>
      </c>
      <c r="O158" s="22">
        <v>1440153111</v>
      </c>
      <c r="Q158" s="22">
        <v>0</v>
      </c>
      <c r="S158" s="22">
        <v>1964309791</v>
      </c>
      <c r="U158" s="23">
        <v>3.7486138303895072E-3</v>
      </c>
    </row>
    <row r="159" spans="1:21" ht="37.5" x14ac:dyDescent="0.45">
      <c r="A159" s="29" t="s">
        <v>166</v>
      </c>
      <c r="C159" s="22">
        <v>0</v>
      </c>
      <c r="E159" s="22">
        <v>832061964</v>
      </c>
      <c r="G159" s="22">
        <v>0</v>
      </c>
      <c r="I159" s="22">
        <v>832061964</v>
      </c>
      <c r="K159" s="23">
        <v>1.8182727155075589E-3</v>
      </c>
      <c r="M159" s="22">
        <v>0</v>
      </c>
      <c r="O159" s="22">
        <v>832061964</v>
      </c>
      <c r="Q159" s="22">
        <v>0</v>
      </c>
      <c r="S159" s="22">
        <v>832061964</v>
      </c>
      <c r="U159" s="23">
        <v>1.5878752935419523E-3</v>
      </c>
    </row>
    <row r="160" spans="1:21" ht="18.75" x14ac:dyDescent="0.45">
      <c r="A160" s="29" t="s">
        <v>167</v>
      </c>
      <c r="C160" s="22">
        <v>0</v>
      </c>
      <c r="E160" s="22">
        <v>137779890</v>
      </c>
      <c r="G160" s="22">
        <v>0</v>
      </c>
      <c r="I160" s="22">
        <v>137779890</v>
      </c>
      <c r="K160" s="23">
        <v>3.0108504603226012E-4</v>
      </c>
      <c r="M160" s="22">
        <v>49200</v>
      </c>
      <c r="O160" s="22">
        <v>139024579</v>
      </c>
      <c r="Q160" s="22">
        <v>0</v>
      </c>
      <c r="S160" s="22">
        <v>139073779</v>
      </c>
      <c r="U160" s="23">
        <v>2.6540309160630446E-4</v>
      </c>
    </row>
    <row r="161" spans="1:21" ht="18.75" x14ac:dyDescent="0.45">
      <c r="A161" s="29" t="s">
        <v>168</v>
      </c>
      <c r="C161" s="22">
        <v>0</v>
      </c>
      <c r="E161" s="22">
        <v>1649036623</v>
      </c>
      <c r="G161" s="22">
        <v>0</v>
      </c>
      <c r="I161" s="22">
        <v>1649036623</v>
      </c>
      <c r="K161" s="23">
        <v>3.6035757289749454E-3</v>
      </c>
      <c r="M161" s="22">
        <v>0</v>
      </c>
      <c r="O161" s="22">
        <v>1615970319</v>
      </c>
      <c r="Q161" s="22">
        <v>0</v>
      </c>
      <c r="S161" s="22">
        <v>1615970319</v>
      </c>
      <c r="U161" s="23">
        <v>3.0838560776192472E-3</v>
      </c>
    </row>
    <row r="162" spans="1:21" ht="18.75" x14ac:dyDescent="0.45">
      <c r="A162" s="29" t="s">
        <v>169</v>
      </c>
      <c r="C162" s="22">
        <v>0</v>
      </c>
      <c r="E162" s="22">
        <v>-1176683776</v>
      </c>
      <c r="G162" s="22">
        <v>0</v>
      </c>
      <c r="I162" s="22">
        <v>-1176683776</v>
      </c>
      <c r="K162" s="23">
        <v>-2.5713613856301791E-3</v>
      </c>
      <c r="M162" s="22">
        <v>0</v>
      </c>
      <c r="O162" s="22">
        <v>-1176683776</v>
      </c>
      <c r="Q162" s="22">
        <v>0</v>
      </c>
      <c r="S162" s="22">
        <v>-1176683776</v>
      </c>
      <c r="U162" s="23">
        <v>-2.2455384058657113E-3</v>
      </c>
    </row>
    <row r="163" spans="1:21" ht="18.75" x14ac:dyDescent="0.45">
      <c r="A163" s="29" t="s">
        <v>170</v>
      </c>
      <c r="C163" s="22">
        <v>0</v>
      </c>
      <c r="E163" s="22">
        <v>4321571985</v>
      </c>
      <c r="G163" s="22">
        <v>0</v>
      </c>
      <c r="I163" s="22">
        <v>4321571985</v>
      </c>
      <c r="K163" s="23">
        <v>9.4437635277212859E-3</v>
      </c>
      <c r="M163" s="22">
        <v>0</v>
      </c>
      <c r="O163" s="22">
        <v>5493205501</v>
      </c>
      <c r="Q163" s="22">
        <v>304377639</v>
      </c>
      <c r="S163" s="22">
        <v>5797583140</v>
      </c>
      <c r="U163" s="23">
        <v>1.1063886379333853E-2</v>
      </c>
    </row>
    <row r="164" spans="1:21" ht="18.75" x14ac:dyDescent="0.45">
      <c r="A164" s="29" t="s">
        <v>171</v>
      </c>
      <c r="C164" s="22">
        <v>0</v>
      </c>
      <c r="E164" s="22">
        <v>4118783351</v>
      </c>
      <c r="G164" s="22">
        <v>0</v>
      </c>
      <c r="I164" s="22">
        <v>4118783351</v>
      </c>
      <c r="K164" s="23">
        <v>9.0006173965790047E-3</v>
      </c>
      <c r="M164" s="22">
        <v>2406384864</v>
      </c>
      <c r="O164" s="22">
        <v>5387386804</v>
      </c>
      <c r="Q164" s="22">
        <v>1476460253</v>
      </c>
      <c r="S164" s="22">
        <v>9270231921</v>
      </c>
      <c r="U164" s="23">
        <v>1.7690956767205203E-2</v>
      </c>
    </row>
    <row r="165" spans="1:21" ht="18.75" x14ac:dyDescent="0.45">
      <c r="A165" s="29" t="s">
        <v>172</v>
      </c>
      <c r="C165" s="22">
        <v>0</v>
      </c>
      <c r="E165" s="22">
        <v>2425011189</v>
      </c>
      <c r="G165" s="22">
        <v>0</v>
      </c>
      <c r="I165" s="22">
        <v>2425011189</v>
      </c>
      <c r="K165" s="23">
        <v>5.2992828305263627E-3</v>
      </c>
      <c r="M165" s="22">
        <v>0</v>
      </c>
      <c r="O165" s="22">
        <v>3852301749</v>
      </c>
      <c r="Q165" s="22">
        <v>0</v>
      </c>
      <c r="S165" s="22">
        <v>3852301749</v>
      </c>
      <c r="U165" s="23">
        <v>7.3515856212188922E-3</v>
      </c>
    </row>
    <row r="166" spans="1:21" ht="18.75" x14ac:dyDescent="0.45">
      <c r="A166" s="29" t="s">
        <v>173</v>
      </c>
      <c r="C166" s="22">
        <v>0</v>
      </c>
      <c r="E166" s="22">
        <v>4098033219</v>
      </c>
      <c r="G166" s="22">
        <v>0</v>
      </c>
      <c r="I166" s="22">
        <v>4098033219</v>
      </c>
      <c r="K166" s="23">
        <v>8.9552729384843183E-3</v>
      </c>
      <c r="M166" s="22">
        <v>0</v>
      </c>
      <c r="O166" s="22">
        <v>4998065062</v>
      </c>
      <c r="Q166" s="22">
        <v>0</v>
      </c>
      <c r="S166" s="22">
        <v>4998065062</v>
      </c>
      <c r="U166" s="23">
        <v>9.5381165956830421E-3</v>
      </c>
    </row>
    <row r="167" spans="1:21" ht="18.75" x14ac:dyDescent="0.45">
      <c r="A167" s="29" t="s">
        <v>174</v>
      </c>
      <c r="C167" s="22">
        <v>0</v>
      </c>
      <c r="E167" s="22">
        <v>2345009475</v>
      </c>
      <c r="G167" s="22">
        <v>0</v>
      </c>
      <c r="I167" s="22">
        <v>2345009475</v>
      </c>
      <c r="K167" s="23">
        <v>5.1244581899902893E-3</v>
      </c>
      <c r="M167" s="22">
        <v>0</v>
      </c>
      <c r="O167" s="22">
        <v>2345009475</v>
      </c>
      <c r="Q167" s="22">
        <v>0</v>
      </c>
      <c r="S167" s="22">
        <v>2345009475</v>
      </c>
      <c r="U167" s="23">
        <v>4.4751265765998706E-3</v>
      </c>
    </row>
    <row r="168" spans="1:21" ht="18.75" x14ac:dyDescent="0.45">
      <c r="A168" s="29" t="s">
        <v>349</v>
      </c>
      <c r="C168" s="22">
        <v>0</v>
      </c>
      <c r="E168" s="22">
        <v>1776796747</v>
      </c>
      <c r="G168" s="22">
        <v>535318020</v>
      </c>
      <c r="I168" s="22">
        <v>2312114767</v>
      </c>
      <c r="K168" s="23">
        <v>5.0525746613244021E-3</v>
      </c>
      <c r="M168" s="22">
        <v>0</v>
      </c>
      <c r="O168" s="22">
        <v>1959866879</v>
      </c>
      <c r="Q168" s="22">
        <v>535318020</v>
      </c>
      <c r="S168" s="22">
        <v>2495184899</v>
      </c>
      <c r="U168" s="23">
        <v>4.7617156237910567E-3</v>
      </c>
    </row>
    <row r="169" spans="1:21" ht="18.75" x14ac:dyDescent="0.45">
      <c r="A169" s="29" t="s">
        <v>176</v>
      </c>
      <c r="C169" s="22">
        <v>0</v>
      </c>
      <c r="E169" s="22">
        <v>1008527348</v>
      </c>
      <c r="G169" s="22">
        <v>0</v>
      </c>
      <c r="I169" s="22">
        <v>1008527348</v>
      </c>
      <c r="K169" s="23">
        <v>2.2038956700965086E-3</v>
      </c>
      <c r="M169" s="22">
        <v>1015029840</v>
      </c>
      <c r="O169" s="22">
        <v>308290854</v>
      </c>
      <c r="Q169" s="22">
        <v>-2902742731</v>
      </c>
      <c r="S169" s="22">
        <v>-1579422037</v>
      </c>
      <c r="U169" s="23">
        <v>-3.0141087312434865E-3</v>
      </c>
    </row>
    <row r="170" spans="1:21" ht="18.75" x14ac:dyDescent="0.45">
      <c r="A170" s="29" t="s">
        <v>177</v>
      </c>
      <c r="C170" s="22">
        <v>0</v>
      </c>
      <c r="E170" s="22">
        <v>-126545169</v>
      </c>
      <c r="G170" s="22">
        <v>0</v>
      </c>
      <c r="I170" s="22">
        <v>-126545169</v>
      </c>
      <c r="K170" s="23">
        <v>-2.7653424627879395E-4</v>
      </c>
      <c r="M170" s="22">
        <v>0</v>
      </c>
      <c r="O170" s="22">
        <v>-126545169</v>
      </c>
      <c r="Q170" s="22">
        <v>0</v>
      </c>
      <c r="S170" s="22">
        <v>-126545169</v>
      </c>
      <c r="U170" s="23">
        <v>-2.4149397048053381E-4</v>
      </c>
    </row>
    <row r="171" spans="1:21" ht="18.75" x14ac:dyDescent="0.45">
      <c r="A171" s="29" t="s">
        <v>178</v>
      </c>
      <c r="C171" s="22">
        <v>0</v>
      </c>
      <c r="E171" s="22">
        <v>1740751771</v>
      </c>
      <c r="G171" s="22">
        <v>0</v>
      </c>
      <c r="I171" s="22">
        <v>1740751771</v>
      </c>
      <c r="K171" s="23">
        <v>3.803997282203327E-3</v>
      </c>
      <c r="M171" s="22">
        <v>0</v>
      </c>
      <c r="O171" s="22">
        <v>1915058722</v>
      </c>
      <c r="Q171" s="22">
        <v>59821494</v>
      </c>
      <c r="S171" s="22">
        <v>1974880216</v>
      </c>
      <c r="U171" s="23">
        <v>3.7687860260022586E-3</v>
      </c>
    </row>
    <row r="172" spans="1:21" ht="18.75" x14ac:dyDescent="0.45">
      <c r="A172" s="29" t="s">
        <v>179</v>
      </c>
      <c r="C172" s="22">
        <v>0</v>
      </c>
      <c r="E172" s="22">
        <v>12700341214</v>
      </c>
      <c r="G172" s="22">
        <v>-5864458648</v>
      </c>
      <c r="I172" s="22">
        <v>6835882566</v>
      </c>
      <c r="K172" s="23">
        <v>1.4938188853650808E-2</v>
      </c>
      <c r="M172" s="22">
        <v>3237484320</v>
      </c>
      <c r="O172" s="22">
        <v>-2803931323</v>
      </c>
      <c r="Q172" s="22">
        <v>-5864458648</v>
      </c>
      <c r="S172" s="22">
        <v>-5430905651</v>
      </c>
      <c r="U172" s="23">
        <v>-1.0364133054855363E-2</v>
      </c>
    </row>
    <row r="173" spans="1:21" ht="18.75" x14ac:dyDescent="0.45">
      <c r="A173" s="29" t="s">
        <v>180</v>
      </c>
      <c r="C173" s="22">
        <v>0</v>
      </c>
      <c r="E173" s="22">
        <v>1238576621</v>
      </c>
      <c r="G173" s="22">
        <v>0</v>
      </c>
      <c r="I173" s="22">
        <v>1238576621</v>
      </c>
      <c r="K173" s="23">
        <v>2.706613417591393E-3</v>
      </c>
      <c r="M173" s="22">
        <v>0</v>
      </c>
      <c r="O173" s="22">
        <v>1140114532</v>
      </c>
      <c r="Q173" s="22">
        <v>0</v>
      </c>
      <c r="S173" s="22">
        <v>1140114532</v>
      </c>
      <c r="U173" s="23">
        <v>2.1757510564092385E-3</v>
      </c>
    </row>
    <row r="174" spans="1:21" ht="18.75" x14ac:dyDescent="0.45">
      <c r="A174" s="29" t="s">
        <v>182</v>
      </c>
      <c r="C174" s="22">
        <v>0</v>
      </c>
      <c r="E174" s="22">
        <v>358200423</v>
      </c>
      <c r="G174" s="22">
        <v>0</v>
      </c>
      <c r="I174" s="22">
        <v>358200423</v>
      </c>
      <c r="K174" s="23">
        <v>7.8276148172080884E-4</v>
      </c>
      <c r="M174" s="22">
        <v>0</v>
      </c>
      <c r="O174" s="22">
        <v>358200423</v>
      </c>
      <c r="Q174" s="22">
        <v>0</v>
      </c>
      <c r="S174" s="22">
        <v>358200423</v>
      </c>
      <c r="U174" s="23">
        <v>6.8357601528096831E-4</v>
      </c>
    </row>
    <row r="175" spans="1:21" ht="18.75" x14ac:dyDescent="0.45">
      <c r="A175" s="29" t="s">
        <v>184</v>
      </c>
      <c r="C175" s="22">
        <v>0</v>
      </c>
      <c r="E175" s="22">
        <v>793773904</v>
      </c>
      <c r="G175" s="22">
        <v>0</v>
      </c>
      <c r="I175" s="22">
        <v>793773904</v>
      </c>
      <c r="K175" s="23">
        <v>1.7346033040456545E-3</v>
      </c>
      <c r="M175" s="22">
        <v>0</v>
      </c>
      <c r="O175" s="22">
        <v>793773904</v>
      </c>
      <c r="Q175" s="22">
        <v>0</v>
      </c>
      <c r="S175" s="22">
        <v>793773904</v>
      </c>
      <c r="U175" s="23">
        <v>1.5148078212357048E-3</v>
      </c>
    </row>
    <row r="176" spans="1:21" ht="18.75" x14ac:dyDescent="0.45">
      <c r="A176" s="29" t="s">
        <v>185</v>
      </c>
      <c r="C176" s="22">
        <v>0</v>
      </c>
      <c r="E176" s="22">
        <v>3631465352</v>
      </c>
      <c r="G176" s="22">
        <v>0</v>
      </c>
      <c r="I176" s="22">
        <v>3631465352</v>
      </c>
      <c r="K176" s="23">
        <v>7.9357002874038997E-3</v>
      </c>
      <c r="M176" s="22">
        <v>0</v>
      </c>
      <c r="O176" s="22">
        <v>3129662193</v>
      </c>
      <c r="Q176" s="22">
        <v>-479526450</v>
      </c>
      <c r="S176" s="22">
        <v>2650135743</v>
      </c>
      <c r="U176" s="23">
        <v>5.0574179002396327E-3</v>
      </c>
    </row>
    <row r="177" spans="1:21" ht="18.75" x14ac:dyDescent="0.45">
      <c r="A177" s="29" t="s">
        <v>186</v>
      </c>
      <c r="C177" s="22">
        <v>0</v>
      </c>
      <c r="E177" s="22">
        <v>6098431769</v>
      </c>
      <c r="G177" s="22">
        <v>0</v>
      </c>
      <c r="I177" s="22">
        <v>6098431769</v>
      </c>
      <c r="K177" s="23">
        <v>1.3326666249290535E-2</v>
      </c>
      <c r="M177" s="22">
        <v>0</v>
      </c>
      <c r="O177" s="22">
        <v>6638125131</v>
      </c>
      <c r="Q177" s="22">
        <v>0</v>
      </c>
      <c r="S177" s="22">
        <v>6638125131</v>
      </c>
      <c r="U177" s="23">
        <v>1.2667944632732709E-2</v>
      </c>
    </row>
    <row r="178" spans="1:21" ht="18.75" x14ac:dyDescent="0.45">
      <c r="A178" s="29" t="s">
        <v>350</v>
      </c>
      <c r="C178" s="22">
        <v>0</v>
      </c>
      <c r="E178" s="22">
        <v>5504835915</v>
      </c>
      <c r="G178" s="22">
        <v>672865860</v>
      </c>
      <c r="I178" s="22">
        <v>6177701775</v>
      </c>
      <c r="K178" s="23">
        <v>1.349989191673364E-2</v>
      </c>
      <c r="M178" s="22">
        <v>7980000000</v>
      </c>
      <c r="O178" s="22">
        <v>12495208500</v>
      </c>
      <c r="Q178" s="22">
        <v>36834429877</v>
      </c>
      <c r="S178" s="22">
        <v>57309638377</v>
      </c>
      <c r="U178" s="23">
        <v>0.10936752645583259</v>
      </c>
    </row>
    <row r="179" spans="1:21" ht="18.75" x14ac:dyDescent="0.45">
      <c r="A179" s="29" t="s">
        <v>351</v>
      </c>
      <c r="C179" s="22">
        <v>0</v>
      </c>
      <c r="E179" s="22">
        <v>3063910037</v>
      </c>
      <c r="G179" s="22">
        <v>0</v>
      </c>
      <c r="I179" s="22">
        <v>3063910037</v>
      </c>
      <c r="K179" s="23">
        <v>6.69544368578643E-3</v>
      </c>
      <c r="M179" s="22">
        <v>0</v>
      </c>
      <c r="O179" s="22">
        <v>3063910037</v>
      </c>
      <c r="Q179" s="22">
        <v>0</v>
      </c>
      <c r="S179" s="22">
        <v>3063910037</v>
      </c>
      <c r="U179" s="23">
        <v>5.8470489697658012E-3</v>
      </c>
    </row>
    <row r="180" spans="1:21" ht="18.75" x14ac:dyDescent="0.45">
      <c r="A180" s="29" t="s">
        <v>188</v>
      </c>
      <c r="C180" s="22">
        <v>0</v>
      </c>
      <c r="E180" s="22">
        <v>2060606392</v>
      </c>
      <c r="G180" s="22">
        <v>494110065</v>
      </c>
      <c r="I180" s="22">
        <v>2554716457</v>
      </c>
      <c r="K180" s="23">
        <v>5.5827227184984509E-3</v>
      </c>
      <c r="M180" s="22">
        <v>0</v>
      </c>
      <c r="O180" s="22">
        <v>2069907518</v>
      </c>
      <c r="Q180" s="22">
        <v>494110065</v>
      </c>
      <c r="S180" s="22">
        <v>2564017583</v>
      </c>
      <c r="U180" s="23">
        <v>4.8930732906964751E-3</v>
      </c>
    </row>
    <row r="181" spans="1:21" ht="18.75" x14ac:dyDescent="0.45">
      <c r="A181" s="29" t="s">
        <v>352</v>
      </c>
      <c r="C181" s="22">
        <v>0</v>
      </c>
      <c r="E181" s="22">
        <v>5430740579</v>
      </c>
      <c r="G181" s="22">
        <v>226904102</v>
      </c>
      <c r="I181" s="22">
        <v>5657644681</v>
      </c>
      <c r="K181" s="23">
        <v>1.2363431333941816E-2</v>
      </c>
      <c r="M181" s="22">
        <v>0</v>
      </c>
      <c r="O181" s="22">
        <v>5433693983</v>
      </c>
      <c r="Q181" s="22">
        <v>226904102</v>
      </c>
      <c r="S181" s="22">
        <v>5660598085</v>
      </c>
      <c r="U181" s="23">
        <v>1.080246932888569E-2</v>
      </c>
    </row>
    <row r="182" spans="1:21" ht="18.75" x14ac:dyDescent="0.45">
      <c r="A182" s="29" t="s">
        <v>189</v>
      </c>
      <c r="C182" s="22">
        <v>0</v>
      </c>
      <c r="E182" s="22">
        <v>4727877831</v>
      </c>
      <c r="G182" s="22">
        <v>837059000</v>
      </c>
      <c r="I182" s="22">
        <v>5564936831</v>
      </c>
      <c r="K182" s="23">
        <v>1.2160840467562101E-2</v>
      </c>
      <c r="M182" s="22">
        <v>0</v>
      </c>
      <c r="O182" s="22">
        <v>5728010778</v>
      </c>
      <c r="Q182" s="22">
        <v>837059000</v>
      </c>
      <c r="S182" s="22">
        <v>6565069778</v>
      </c>
      <c r="U182" s="23">
        <v>1.2528528585480625E-2</v>
      </c>
    </row>
    <row r="183" spans="1:21" ht="18.75" x14ac:dyDescent="0.45">
      <c r="A183" s="29" t="s">
        <v>353</v>
      </c>
      <c r="C183" s="22">
        <v>0</v>
      </c>
      <c r="E183" s="22">
        <v>1962290910</v>
      </c>
      <c r="G183" s="22">
        <v>215154047</v>
      </c>
      <c r="I183" s="22">
        <v>2177444957</v>
      </c>
      <c r="K183" s="23">
        <v>4.7582859524060994E-3</v>
      </c>
      <c r="M183" s="22">
        <v>2478702000</v>
      </c>
      <c r="O183" s="22">
        <v>452284067</v>
      </c>
      <c r="Q183" s="22">
        <v>236535637</v>
      </c>
      <c r="S183" s="22">
        <v>3167521704</v>
      </c>
      <c r="U183" s="23">
        <v>6.0447775203668671E-3</v>
      </c>
    </row>
    <row r="184" spans="1:21" ht="18.75" x14ac:dyDescent="0.45">
      <c r="A184" s="29" t="s">
        <v>193</v>
      </c>
      <c r="C184" s="22">
        <v>0</v>
      </c>
      <c r="E184" s="22">
        <v>4785559452</v>
      </c>
      <c r="G184" s="22">
        <v>-1371023396</v>
      </c>
      <c r="I184" s="22">
        <v>3414536056</v>
      </c>
      <c r="K184" s="23">
        <v>7.4616531164277454E-3</v>
      </c>
      <c r="M184" s="22">
        <v>10382562840</v>
      </c>
      <c r="O184" s="22">
        <v>-8423916537</v>
      </c>
      <c r="Q184" s="22">
        <v>-1930799801</v>
      </c>
      <c r="S184" s="22">
        <v>27846502</v>
      </c>
      <c r="U184" s="23">
        <v>5.3141201557636112E-5</v>
      </c>
    </row>
    <row r="185" spans="1:21" ht="18.75" x14ac:dyDescent="0.45">
      <c r="A185" s="29" t="s">
        <v>194</v>
      </c>
      <c r="C185" s="22">
        <v>0</v>
      </c>
      <c r="E185" s="22">
        <v>5169245294</v>
      </c>
      <c r="G185" s="22">
        <v>-89527510</v>
      </c>
      <c r="I185" s="22">
        <v>5079717784</v>
      </c>
      <c r="K185" s="23">
        <v>1.110051011672698E-2</v>
      </c>
      <c r="M185" s="22">
        <v>0</v>
      </c>
      <c r="O185" s="22">
        <v>4682220737</v>
      </c>
      <c r="Q185" s="22">
        <v>-89527510</v>
      </c>
      <c r="S185" s="22">
        <v>4592693227</v>
      </c>
      <c r="U185" s="23">
        <v>8.7645204582032319E-3</v>
      </c>
    </row>
    <row r="186" spans="1:21" ht="18.75" x14ac:dyDescent="0.45">
      <c r="A186" s="29" t="s">
        <v>195</v>
      </c>
      <c r="C186" s="22">
        <v>0</v>
      </c>
      <c r="E186" s="22">
        <v>585992475</v>
      </c>
      <c r="G186" s="22">
        <v>0</v>
      </c>
      <c r="I186" s="22">
        <v>585992475</v>
      </c>
      <c r="K186" s="23">
        <v>1.2805466117728286E-3</v>
      </c>
      <c r="M186" s="22">
        <v>20250000</v>
      </c>
      <c r="O186" s="22">
        <v>-496527975</v>
      </c>
      <c r="Q186" s="22">
        <v>0</v>
      </c>
      <c r="S186" s="22">
        <v>-476277975</v>
      </c>
      <c r="U186" s="23">
        <v>-9.0891070867492709E-4</v>
      </c>
    </row>
    <row r="187" spans="1:21" ht="18.75" x14ac:dyDescent="0.45">
      <c r="A187" s="29" t="s">
        <v>196</v>
      </c>
      <c r="C187" s="22">
        <v>0</v>
      </c>
      <c r="E187" s="22">
        <v>3139007100</v>
      </c>
      <c r="G187" s="22">
        <v>0</v>
      </c>
      <c r="I187" s="22">
        <v>3139007100</v>
      </c>
      <c r="K187" s="23">
        <v>6.8595503828540677E-3</v>
      </c>
      <c r="M187" s="22">
        <v>0</v>
      </c>
      <c r="O187" s="22">
        <v>3049926954</v>
      </c>
      <c r="Q187" s="22">
        <v>0</v>
      </c>
      <c r="S187" s="22">
        <v>3049926954</v>
      </c>
      <c r="U187" s="23">
        <v>5.8203641878818808E-3</v>
      </c>
    </row>
    <row r="188" spans="1:21" ht="18.75" x14ac:dyDescent="0.45">
      <c r="A188" s="29" t="s">
        <v>197</v>
      </c>
      <c r="C188" s="22">
        <v>0</v>
      </c>
      <c r="E188" s="22">
        <v>2375498383</v>
      </c>
      <c r="G188" s="22">
        <v>0</v>
      </c>
      <c r="I188" s="22">
        <v>2375498383</v>
      </c>
      <c r="K188" s="23">
        <v>5.1910844172913372E-3</v>
      </c>
      <c r="M188" s="22">
        <v>0</v>
      </c>
      <c r="O188" s="22">
        <v>2320677949</v>
      </c>
      <c r="Q188" s="22">
        <v>0</v>
      </c>
      <c r="S188" s="22">
        <v>2320677949</v>
      </c>
      <c r="U188" s="23">
        <v>4.4286932210792791E-3</v>
      </c>
    </row>
    <row r="189" spans="1:21" ht="18.75" x14ac:dyDescent="0.45">
      <c r="A189" s="29" t="s">
        <v>198</v>
      </c>
      <c r="C189" s="22">
        <v>0</v>
      </c>
      <c r="E189" s="22">
        <v>2933842976</v>
      </c>
      <c r="G189" s="22">
        <v>0</v>
      </c>
      <c r="I189" s="22">
        <v>2933842976</v>
      </c>
      <c r="K189" s="23">
        <v>6.4112131856135391E-3</v>
      </c>
      <c r="M189" s="22">
        <v>0</v>
      </c>
      <c r="O189" s="22">
        <v>3615242210</v>
      </c>
      <c r="Q189" s="22">
        <v>0</v>
      </c>
      <c r="S189" s="22">
        <v>3615242210</v>
      </c>
      <c r="U189" s="23">
        <v>6.8991902451979005E-3</v>
      </c>
    </row>
    <row r="190" spans="1:21" ht="18.75" x14ac:dyDescent="0.45">
      <c r="A190" s="29" t="s">
        <v>354</v>
      </c>
      <c r="C190" s="22">
        <v>0</v>
      </c>
      <c r="E190" s="22">
        <v>813694356</v>
      </c>
      <c r="G190" s="22">
        <v>45264941</v>
      </c>
      <c r="I190" s="22">
        <v>858959297</v>
      </c>
      <c r="K190" s="23">
        <v>1.8770504133591832E-3</v>
      </c>
      <c r="M190" s="22">
        <v>0</v>
      </c>
      <c r="O190" s="22">
        <v>813694356</v>
      </c>
      <c r="Q190" s="22">
        <v>45264941</v>
      </c>
      <c r="S190" s="22">
        <v>858959297</v>
      </c>
      <c r="U190" s="23">
        <v>1.6392051372083438E-3</v>
      </c>
    </row>
    <row r="191" spans="1:21" ht="18.75" x14ac:dyDescent="0.45">
      <c r="A191" s="29" t="s">
        <v>200</v>
      </c>
      <c r="C191" s="22">
        <v>0</v>
      </c>
      <c r="E191" s="22">
        <v>1910198476</v>
      </c>
      <c r="G191" s="22">
        <v>0</v>
      </c>
      <c r="I191" s="22">
        <v>1910198476</v>
      </c>
      <c r="K191" s="23">
        <v>4.1742825899861958E-3</v>
      </c>
      <c r="M191" s="22">
        <v>0</v>
      </c>
      <c r="O191" s="22">
        <v>2012987235</v>
      </c>
      <c r="Q191" s="22">
        <v>0</v>
      </c>
      <c r="S191" s="22">
        <v>2012987235</v>
      </c>
      <c r="U191" s="23">
        <v>3.8415080065741691E-3</v>
      </c>
    </row>
    <row r="192" spans="1:21" ht="18.75" x14ac:dyDescent="0.45">
      <c r="A192" s="29" t="s">
        <v>201</v>
      </c>
      <c r="C192" s="22">
        <v>0</v>
      </c>
      <c r="E192" s="22">
        <v>2980020835</v>
      </c>
      <c r="G192" s="22">
        <v>0</v>
      </c>
      <c r="I192" s="22">
        <v>2980020835</v>
      </c>
      <c r="K192" s="23">
        <v>6.5121238686071618E-3</v>
      </c>
      <c r="M192" s="22">
        <v>0</v>
      </c>
      <c r="O192" s="22">
        <v>3300029814</v>
      </c>
      <c r="Q192" s="22">
        <v>0</v>
      </c>
      <c r="S192" s="22">
        <v>3300029814</v>
      </c>
      <c r="U192" s="23">
        <v>6.297650939855297E-3</v>
      </c>
    </row>
    <row r="193" spans="1:21" ht="18.75" x14ac:dyDescent="0.45">
      <c r="A193" s="29" t="s">
        <v>202</v>
      </c>
      <c r="C193" s="22">
        <v>0</v>
      </c>
      <c r="E193" s="22">
        <v>1846224331</v>
      </c>
      <c r="G193" s="22">
        <v>0</v>
      </c>
      <c r="I193" s="22">
        <v>1846224331</v>
      </c>
      <c r="K193" s="23">
        <v>4.03448237391548E-3</v>
      </c>
      <c r="M193" s="22">
        <v>0</v>
      </c>
      <c r="O193" s="22">
        <v>1701869904</v>
      </c>
      <c r="Q193" s="22">
        <v>0</v>
      </c>
      <c r="S193" s="22">
        <v>1701869904</v>
      </c>
      <c r="U193" s="23">
        <v>3.2477835669750847E-3</v>
      </c>
    </row>
    <row r="194" spans="1:21" ht="18.75" x14ac:dyDescent="0.45">
      <c r="A194" s="29" t="s">
        <v>203</v>
      </c>
      <c r="C194" s="22">
        <v>0</v>
      </c>
      <c r="E194" s="22">
        <v>5910255533</v>
      </c>
      <c r="G194" s="22">
        <v>0</v>
      </c>
      <c r="I194" s="22">
        <v>5910255533</v>
      </c>
      <c r="K194" s="23">
        <v>1.2915452024353664E-2</v>
      </c>
      <c r="M194" s="22">
        <v>1064000000</v>
      </c>
      <c r="O194" s="22">
        <v>5391964266</v>
      </c>
      <c r="Q194" s="22">
        <v>-1783269771</v>
      </c>
      <c r="S194" s="22">
        <v>4672694495</v>
      </c>
      <c r="U194" s="23">
        <v>8.9171918245261727E-3</v>
      </c>
    </row>
    <row r="195" spans="1:21" ht="37.5" x14ac:dyDescent="0.45">
      <c r="A195" s="29" t="s">
        <v>205</v>
      </c>
      <c r="C195" s="22">
        <v>0</v>
      </c>
      <c r="E195" s="22">
        <v>4038841358</v>
      </c>
      <c r="G195" s="22">
        <v>-2454181185</v>
      </c>
      <c r="I195" s="22">
        <v>1584660173</v>
      </c>
      <c r="K195" s="23">
        <v>3.4628963714022003E-3</v>
      </c>
      <c r="M195" s="22">
        <v>0</v>
      </c>
      <c r="O195" s="22">
        <v>-4145555992</v>
      </c>
      <c r="Q195" s="22">
        <v>-2593043137</v>
      </c>
      <c r="S195" s="22">
        <v>-6738599129</v>
      </c>
      <c r="U195" s="23">
        <v>-1.2859685375574288E-2</v>
      </c>
    </row>
    <row r="196" spans="1:21" ht="18.75" x14ac:dyDescent="0.45">
      <c r="A196" s="29" t="s">
        <v>206</v>
      </c>
      <c r="C196" s="22">
        <v>0</v>
      </c>
      <c r="E196" s="22">
        <v>2503895420</v>
      </c>
      <c r="G196" s="22">
        <v>0</v>
      </c>
      <c r="I196" s="22">
        <v>2503895420</v>
      </c>
      <c r="K196" s="23">
        <v>5.4716654788348673E-3</v>
      </c>
      <c r="M196" s="22">
        <v>0</v>
      </c>
      <c r="O196" s="22">
        <v>1894936680</v>
      </c>
      <c r="Q196" s="22">
        <v>0</v>
      </c>
      <c r="S196" s="22">
        <v>1894936680</v>
      </c>
      <c r="U196" s="23">
        <v>3.6162248332245756E-3</v>
      </c>
    </row>
    <row r="197" spans="1:21" ht="18.75" x14ac:dyDescent="0.45">
      <c r="A197" s="29" t="s">
        <v>268</v>
      </c>
      <c r="L197" s="21"/>
      <c r="M197" s="22">
        <v>712500000</v>
      </c>
      <c r="O197" s="22">
        <v>0</v>
      </c>
      <c r="Q197" s="22">
        <v>-2779810960</v>
      </c>
      <c r="S197" s="22">
        <v>-2067310960</v>
      </c>
      <c r="U197" s="23">
        <v>-3.9451773299091645E-3</v>
      </c>
    </row>
    <row r="198" spans="1:21" ht="18.75" x14ac:dyDescent="0.45">
      <c r="A198" s="29" t="s">
        <v>285</v>
      </c>
      <c r="L198" s="21"/>
      <c r="M198" s="22">
        <v>1169457258</v>
      </c>
      <c r="O198" s="22">
        <v>0</v>
      </c>
      <c r="Q198" s="22">
        <v>-2912771308</v>
      </c>
      <c r="S198" s="22">
        <v>-1743314050</v>
      </c>
      <c r="U198" s="23">
        <v>-3.326873993340669E-3</v>
      </c>
    </row>
    <row r="199" spans="1:21" ht="18.75" x14ac:dyDescent="0.45">
      <c r="A199" s="29" t="s">
        <v>286</v>
      </c>
      <c r="L199" s="21"/>
      <c r="M199" s="22">
        <v>8079063930</v>
      </c>
      <c r="O199" s="22">
        <v>0</v>
      </c>
      <c r="Q199" s="22">
        <v>3747512487</v>
      </c>
      <c r="S199" s="22">
        <v>11826576417</v>
      </c>
      <c r="U199" s="23">
        <v>2.2569387031541085E-2</v>
      </c>
    </row>
    <row r="200" spans="1:21" ht="18.75" x14ac:dyDescent="0.45">
      <c r="A200" s="29" t="s">
        <v>292</v>
      </c>
      <c r="L200" s="21"/>
      <c r="M200" s="22">
        <v>5683165600</v>
      </c>
      <c r="O200" s="22">
        <v>0</v>
      </c>
      <c r="Q200" s="22">
        <v>-14873095043</v>
      </c>
      <c r="S200" s="22">
        <v>-9189929443</v>
      </c>
      <c r="U200" s="23">
        <v>-1.7537710583214999E-2</v>
      </c>
    </row>
    <row r="201" spans="1:21" ht="18.75" x14ac:dyDescent="0.45">
      <c r="A201" s="29" t="s">
        <v>296</v>
      </c>
      <c r="L201" s="21"/>
      <c r="M201" s="22">
        <v>584000000</v>
      </c>
      <c r="O201" s="22">
        <v>0</v>
      </c>
      <c r="Q201" s="22">
        <v>-1158523048</v>
      </c>
      <c r="S201" s="22">
        <v>-574523048</v>
      </c>
      <c r="U201" s="23">
        <v>-1.0963978561212267E-3</v>
      </c>
    </row>
    <row r="202" spans="1:21" ht="18.75" x14ac:dyDescent="0.45">
      <c r="A202" s="29" t="s">
        <v>303</v>
      </c>
      <c r="L202" s="21"/>
      <c r="M202" s="22">
        <v>3140568600</v>
      </c>
      <c r="O202" s="22">
        <v>0</v>
      </c>
      <c r="Q202" s="22">
        <v>-10727845278</v>
      </c>
      <c r="S202" s="22">
        <v>-7587276678</v>
      </c>
      <c r="U202" s="23">
        <v>-1.4479269217338313E-2</v>
      </c>
    </row>
    <row r="203" spans="1:21" ht="18.75" x14ac:dyDescent="0.45">
      <c r="A203" s="29" t="s">
        <v>305</v>
      </c>
      <c r="L203" s="21"/>
      <c r="M203" s="22">
        <v>117135</v>
      </c>
      <c r="O203" s="22">
        <v>0</v>
      </c>
      <c r="Q203" s="22">
        <v>108816</v>
      </c>
      <c r="S203" s="22">
        <v>225951</v>
      </c>
      <c r="U203" s="23">
        <v>4.3119626418964358E-7</v>
      </c>
    </row>
    <row r="204" spans="1:21" ht="18.75" x14ac:dyDescent="0.45">
      <c r="A204" s="29" t="s">
        <v>310</v>
      </c>
      <c r="L204" s="21"/>
      <c r="M204" s="22">
        <v>728479800</v>
      </c>
      <c r="O204" s="22">
        <v>0</v>
      </c>
      <c r="Q204" s="22">
        <v>-386487517</v>
      </c>
      <c r="S204" s="22">
        <v>341992283</v>
      </c>
      <c r="U204" s="23">
        <v>6.5264501954533213E-4</v>
      </c>
    </row>
    <row r="205" spans="1:21" ht="18.75" x14ac:dyDescent="0.45">
      <c r="A205" s="24" t="s">
        <v>207</v>
      </c>
      <c r="C205" s="24">
        <f>SUM(C9:$C$204)</f>
        <v>5588644330</v>
      </c>
      <c r="E205" s="24">
        <f>SUM(E9:$E$204)</f>
        <v>492799502685</v>
      </c>
      <c r="G205" s="24">
        <f>SUM(G9:$G$204)</f>
        <v>-41880903474</v>
      </c>
      <c r="I205" s="24">
        <f>SUM(I9:$I$204)</f>
        <v>456507243541</v>
      </c>
      <c r="K205" s="25">
        <f>SUM(K9:$K$204)</f>
        <v>0.99758756111361513</v>
      </c>
      <c r="M205" s="24">
        <f>SUM(M9:$M$204)</f>
        <v>244241682640</v>
      </c>
      <c r="O205" s="24">
        <f>SUM(O9:$O$204)</f>
        <v>278707447173</v>
      </c>
      <c r="Q205" s="24">
        <f>SUM(Q9:$Q$204)</f>
        <v>-6189284712</v>
      </c>
      <c r="S205" s="24">
        <f>SUM(S9:$S$204)</f>
        <v>516759845101</v>
      </c>
      <c r="U205" s="25">
        <f>SUM(U9:$U$204)</f>
        <v>0.98616476444348555</v>
      </c>
    </row>
    <row r="206" spans="1:21" ht="18.75" x14ac:dyDescent="0.45">
      <c r="C206" s="26"/>
      <c r="E206" s="26"/>
      <c r="G206" s="26"/>
      <c r="I206" s="26"/>
      <c r="K206" s="26"/>
      <c r="M206" s="26"/>
      <c r="O206" s="26"/>
      <c r="Q206" s="26"/>
      <c r="S206" s="26"/>
      <c r="U206" s="26"/>
    </row>
  </sheetData>
  <mergeCells count="6">
    <mergeCell ref="A1:U1"/>
    <mergeCell ref="A2:U2"/>
    <mergeCell ref="A3:U3"/>
    <mergeCell ref="A5:U5"/>
    <mergeCell ref="C7:K7"/>
    <mergeCell ref="M7:U7"/>
  </mergeCells>
  <pageMargins left="0.7" right="0.7" top="0.75" bottom="0.75" header="0.3" footer="0.3"/>
  <pageSetup paperSize="9" scale="67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10"/>
  <sheetViews>
    <sheetView rightToLeft="1" view="pageBreakPreview" zoomScale="60" zoomScaleNormal="100" workbookViewId="0">
      <selection activeCellId="1" sqref="A1:W1 A1:XFD1048576"/>
    </sheetView>
  </sheetViews>
  <sheetFormatPr defaultRowHeight="18" x14ac:dyDescent="0.45"/>
  <cols>
    <col min="1" max="1" width="21.28515625" style="12" customWidth="1"/>
    <col min="2" max="2" width="1.42578125" style="12" customWidth="1"/>
    <col min="3" max="3" width="17" style="12" customWidth="1"/>
    <col min="4" max="4" width="1.42578125" style="12" customWidth="1"/>
    <col min="5" max="5" width="17" style="12" customWidth="1"/>
    <col min="6" max="6" width="1.42578125" style="12" customWidth="1"/>
    <col min="7" max="7" width="17" style="12" customWidth="1"/>
    <col min="8" max="8" width="1.42578125" style="12" customWidth="1"/>
    <col min="9" max="9" width="17" style="12" customWidth="1"/>
    <col min="10" max="10" width="1.42578125" style="12" customWidth="1"/>
    <col min="11" max="11" width="17" style="12" customWidth="1"/>
    <col min="12" max="12" width="1.42578125" style="12" customWidth="1"/>
    <col min="13" max="13" width="17" style="12" customWidth="1"/>
    <col min="14" max="14" width="1.42578125" style="12" customWidth="1"/>
    <col min="15" max="15" width="17" style="12" customWidth="1"/>
    <col min="16" max="16" width="1.42578125" style="12" customWidth="1"/>
    <col min="17" max="17" width="17" style="12" customWidth="1"/>
    <col min="18" max="16384" width="9.140625" style="12"/>
  </cols>
  <sheetData>
    <row r="1" spans="1:17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20.100000000000001" customHeight="1" x14ac:dyDescent="0.45">
      <c r="A2" s="10" t="s">
        <v>243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5" spans="1:17" ht="21" x14ac:dyDescent="0.45">
      <c r="A5" s="13" t="s">
        <v>355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7" spans="1:17" ht="21" x14ac:dyDescent="0.45">
      <c r="C7" s="14" t="s">
        <v>255</v>
      </c>
      <c r="D7" s="15"/>
      <c r="E7" s="15"/>
      <c r="F7" s="15"/>
      <c r="G7" s="15"/>
      <c r="H7" s="15"/>
      <c r="I7" s="15"/>
      <c r="J7" s="15"/>
      <c r="K7" s="15"/>
      <c r="M7" s="14" t="s">
        <v>7</v>
      </c>
      <c r="N7" s="15"/>
      <c r="O7" s="15"/>
      <c r="P7" s="15"/>
      <c r="Q7" s="15"/>
    </row>
    <row r="8" spans="1:17" ht="21" x14ac:dyDescent="0.45">
      <c r="C8" s="28" t="s">
        <v>356</v>
      </c>
      <c r="E8" s="28" t="s">
        <v>329</v>
      </c>
      <c r="G8" s="28" t="s">
        <v>330</v>
      </c>
      <c r="I8" s="28" t="s">
        <v>207</v>
      </c>
      <c r="K8" s="28" t="s">
        <v>356</v>
      </c>
      <c r="M8" s="28" t="s">
        <v>329</v>
      </c>
      <c r="O8" s="28" t="s">
        <v>330</v>
      </c>
      <c r="Q8" s="28" t="s">
        <v>207</v>
      </c>
    </row>
    <row r="9" spans="1:17" ht="18.75" x14ac:dyDescent="0.45">
      <c r="A9" s="24" t="s">
        <v>207</v>
      </c>
      <c r="C9" s="24">
        <f>SUM($C$8)</f>
        <v>0</v>
      </c>
      <c r="E9" s="24">
        <f>SUM($E$8)</f>
        <v>0</v>
      </c>
      <c r="G9" s="24">
        <f>SUM($G$8)</f>
        <v>0</v>
      </c>
      <c r="I9" s="24">
        <f>SUM($I$8)</f>
        <v>0</v>
      </c>
      <c r="K9" s="24">
        <f>SUM($K$8)</f>
        <v>0</v>
      </c>
      <c r="M9" s="24">
        <f>SUM($M$8)</f>
        <v>0</v>
      </c>
      <c r="O9" s="24">
        <f>SUM($O$8)</f>
        <v>0</v>
      </c>
      <c r="Q9" s="24">
        <f>SUM($Q$8)</f>
        <v>0</v>
      </c>
    </row>
    <row r="10" spans="1:17" ht="18.75" x14ac:dyDescent="0.45">
      <c r="C10" s="26"/>
      <c r="E10" s="26"/>
      <c r="G10" s="26"/>
      <c r="I10" s="26"/>
      <c r="K10" s="26"/>
      <c r="M10" s="26"/>
      <c r="O10" s="26"/>
      <c r="Q10" s="26"/>
    </row>
  </sheetData>
  <mergeCells count="6">
    <mergeCell ref="A1:Q1"/>
    <mergeCell ref="A2:Q2"/>
    <mergeCell ref="A3:Q3"/>
    <mergeCell ref="A5:Q5"/>
    <mergeCell ref="C7:K7"/>
    <mergeCell ref="M7:Q7"/>
  </mergeCells>
  <pageMargins left="0.7" right="0.7" top="0.75" bottom="0.75" header="0.3" footer="0.3"/>
  <pageSetup paperSize="9" scale="77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17"/>
  <sheetViews>
    <sheetView rightToLeft="1" view="pageBreakPreview" zoomScale="87" zoomScaleNormal="100" zoomScaleSheetLayoutView="87" workbookViewId="0">
      <selection activeCellId="1" sqref="A1:W1 A1:XFD1048576"/>
    </sheetView>
  </sheetViews>
  <sheetFormatPr defaultRowHeight="18" x14ac:dyDescent="0.45"/>
  <cols>
    <col min="1" max="1" width="25.5703125" style="12" customWidth="1"/>
    <col min="2" max="2" width="1.42578125" style="12" customWidth="1"/>
    <col min="3" max="3" width="17" style="12" customWidth="1"/>
    <col min="4" max="4" width="1.42578125" style="12" customWidth="1"/>
    <col min="5" max="5" width="14.140625" style="12" customWidth="1"/>
    <col min="6" max="6" width="1.42578125" style="12" customWidth="1"/>
    <col min="7" max="7" width="17" style="12" customWidth="1"/>
    <col min="8" max="8" width="1.42578125" style="12" customWidth="1"/>
    <col min="9" max="9" width="14.140625" style="12" customWidth="1"/>
    <col min="10" max="16384" width="9.140625" style="12"/>
  </cols>
  <sheetData>
    <row r="1" spans="1:9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 ht="20.100000000000001" customHeight="1" x14ac:dyDescent="0.45">
      <c r="A2" s="10" t="s">
        <v>243</v>
      </c>
      <c r="B2" s="11"/>
      <c r="C2" s="11"/>
      <c r="D2" s="11"/>
      <c r="E2" s="11"/>
      <c r="F2" s="11"/>
      <c r="G2" s="11"/>
      <c r="H2" s="11"/>
      <c r="I2" s="11"/>
    </row>
    <row r="3" spans="1:9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</row>
    <row r="5" spans="1:9" ht="21" x14ac:dyDescent="0.45">
      <c r="A5" s="13" t="s">
        <v>357</v>
      </c>
      <c r="B5" s="11"/>
      <c r="C5" s="11"/>
      <c r="D5" s="11"/>
      <c r="E5" s="11"/>
      <c r="F5" s="11"/>
      <c r="G5" s="11"/>
      <c r="H5" s="11"/>
      <c r="I5" s="11"/>
    </row>
    <row r="7" spans="1:9" ht="21" x14ac:dyDescent="0.45">
      <c r="A7" s="14" t="s">
        <v>358</v>
      </c>
      <c r="B7" s="15"/>
      <c r="C7" s="14" t="s">
        <v>255</v>
      </c>
      <c r="D7" s="15"/>
      <c r="E7" s="15"/>
      <c r="G7" s="14" t="s">
        <v>7</v>
      </c>
      <c r="H7" s="15"/>
      <c r="I7" s="15"/>
    </row>
    <row r="8" spans="1:9" ht="42" x14ac:dyDescent="0.45">
      <c r="A8" s="28" t="s">
        <v>359</v>
      </c>
      <c r="C8" s="28" t="s">
        <v>360</v>
      </c>
      <c r="E8" s="28" t="s">
        <v>361</v>
      </c>
      <c r="G8" s="28" t="s">
        <v>360</v>
      </c>
      <c r="I8" s="28" t="s">
        <v>361</v>
      </c>
    </row>
    <row r="9" spans="1:9" ht="18.75" x14ac:dyDescent="0.45">
      <c r="A9" s="40" t="s">
        <v>381</v>
      </c>
      <c r="C9" s="22">
        <v>31954</v>
      </c>
      <c r="E9" s="23">
        <f>C9/C16</f>
        <v>2.8944913953602591E-5</v>
      </c>
      <c r="G9" s="22">
        <v>237972</v>
      </c>
      <c r="I9" s="23">
        <f>G9/G16</f>
        <v>3.2824643997644277E-5</v>
      </c>
    </row>
    <row r="10" spans="1:9" ht="18.75" x14ac:dyDescent="0.45">
      <c r="A10" s="40" t="s">
        <v>386</v>
      </c>
      <c r="C10" s="22">
        <v>8703</v>
      </c>
      <c r="E10" s="23">
        <f>C10/C16</f>
        <v>7.8834445183139313E-6</v>
      </c>
      <c r="G10" s="22">
        <v>3791133</v>
      </c>
      <c r="I10" s="23">
        <f>G10/G16</f>
        <v>5.2292955084094403E-4</v>
      </c>
    </row>
    <row r="11" spans="1:9" ht="18.75" x14ac:dyDescent="0.45">
      <c r="A11" s="40" t="s">
        <v>382</v>
      </c>
      <c r="C11" s="22">
        <v>1103748670</v>
      </c>
      <c r="E11" s="23">
        <f>C11/C16</f>
        <v>0.99980942228056902</v>
      </c>
      <c r="G11" s="22">
        <v>7231211304</v>
      </c>
      <c r="I11" s="23">
        <f>G11/G16</f>
        <v>0.99743640733170724</v>
      </c>
    </row>
    <row r="12" spans="1:9" ht="18.75" x14ac:dyDescent="0.45">
      <c r="A12" s="40" t="s">
        <v>383</v>
      </c>
      <c r="C12" s="22">
        <v>2772</v>
      </c>
      <c r="E12" s="23">
        <f>C12/C16</f>
        <v>2.5109626800834445E-6</v>
      </c>
      <c r="G12" s="22">
        <v>3163471</v>
      </c>
      <c r="I12" s="23">
        <f>G12/G16</f>
        <v>4.3635305570349341E-4</v>
      </c>
    </row>
    <row r="13" spans="1:9" ht="18.75" x14ac:dyDescent="0.45">
      <c r="A13" s="40" t="s">
        <v>385</v>
      </c>
      <c r="C13" s="22">
        <v>68444</v>
      </c>
      <c r="E13" s="23">
        <f>C13/C16</f>
        <v>6.1998675929159905E-5</v>
      </c>
      <c r="G13" s="22">
        <v>471497</v>
      </c>
      <c r="I13" s="23">
        <f>G13/G16</f>
        <v>6.5035891495458635E-5</v>
      </c>
    </row>
    <row r="14" spans="1:9" ht="18.75" x14ac:dyDescent="0.45">
      <c r="A14" s="40" t="s">
        <v>387</v>
      </c>
      <c r="C14" s="22">
        <v>41065</v>
      </c>
      <c r="E14" s="23">
        <f>C14/C16</f>
        <v>3.7197937394526208E-5</v>
      </c>
      <c r="G14" s="22">
        <v>245973</v>
      </c>
      <c r="I14" s="23">
        <f>G14/G16</f>
        <v>3.3928261131698497E-5</v>
      </c>
    </row>
    <row r="15" spans="1:9" ht="18.75" x14ac:dyDescent="0.45">
      <c r="A15" s="40" t="s">
        <v>388</v>
      </c>
      <c r="C15" s="22">
        <v>57452</v>
      </c>
      <c r="E15" s="23">
        <f>C15/C16</f>
        <v>5.2041784955322528E-5</v>
      </c>
      <c r="G15" s="22">
        <v>10675480</v>
      </c>
      <c r="I15" s="23">
        <f>G15/G16</f>
        <v>1.4725212651235083E-3</v>
      </c>
    </row>
    <row r="16" spans="1:9" ht="19.5" thickBot="1" x14ac:dyDescent="0.5">
      <c r="A16" s="24" t="s">
        <v>207</v>
      </c>
      <c r="C16" s="24">
        <f>SUM(C9:$C$15)</f>
        <v>1103959060</v>
      </c>
      <c r="E16" s="25">
        <f>SUM(E9:$E$15)</f>
        <v>1</v>
      </c>
      <c r="G16" s="24">
        <f>SUM(G9:$G$15)</f>
        <v>7249796830</v>
      </c>
      <c r="I16" s="25">
        <f>SUM(I9:$I$15)</f>
        <v>0.99999999999999989</v>
      </c>
    </row>
    <row r="17" spans="3:9" ht="19.5" thickTop="1" x14ac:dyDescent="0.45">
      <c r="C17" s="26"/>
      <c r="E17" s="26"/>
      <c r="G17" s="26"/>
      <c r="I17" s="26"/>
    </row>
  </sheetData>
  <mergeCells count="7">
    <mergeCell ref="A1:I1"/>
    <mergeCell ref="A2:I2"/>
    <mergeCell ref="A3:I3"/>
    <mergeCell ref="A5:I5"/>
    <mergeCell ref="A7:B7"/>
    <mergeCell ref="C7:E7"/>
    <mergeCell ref="G7:I7"/>
  </mergeCells>
  <pageMargins left="0.7" right="0.7" top="0.75" bottom="0.75" header="0.3" footer="0.3"/>
  <pageSetup paperSize="9" scale="93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0"/>
  <sheetViews>
    <sheetView rightToLeft="1" view="pageBreakPreview" zoomScale="60" zoomScaleNormal="100" workbookViewId="0">
      <selection activeCellId="1" sqref="A1:W1 A1:XFD1048576"/>
    </sheetView>
  </sheetViews>
  <sheetFormatPr defaultRowHeight="18" x14ac:dyDescent="0.45"/>
  <cols>
    <col min="1" max="1" width="25.5703125" style="12" customWidth="1"/>
    <col min="2" max="2" width="1.42578125" style="12" customWidth="1"/>
    <col min="3" max="3" width="18.42578125" style="12" customWidth="1"/>
    <col min="4" max="4" width="1.42578125" style="12" customWidth="1"/>
    <col min="5" max="5" width="18.42578125" style="12" customWidth="1"/>
    <col min="6" max="16384" width="9.140625" style="12"/>
  </cols>
  <sheetData>
    <row r="1" spans="1:5" ht="20.100000000000001" customHeight="1" x14ac:dyDescent="0.45">
      <c r="A1" s="10" t="s">
        <v>0</v>
      </c>
      <c r="B1" s="11"/>
      <c r="C1" s="11"/>
      <c r="D1" s="11"/>
      <c r="E1" s="11"/>
    </row>
    <row r="2" spans="1:5" ht="20.100000000000001" customHeight="1" x14ac:dyDescent="0.45">
      <c r="A2" s="10" t="s">
        <v>243</v>
      </c>
      <c r="B2" s="11"/>
      <c r="C2" s="11"/>
      <c r="D2" s="11"/>
      <c r="E2" s="11"/>
    </row>
    <row r="3" spans="1:5" ht="20.100000000000001" customHeight="1" x14ac:dyDescent="0.45">
      <c r="A3" s="10" t="s">
        <v>2</v>
      </c>
      <c r="B3" s="11"/>
      <c r="C3" s="11"/>
      <c r="D3" s="11"/>
      <c r="E3" s="11"/>
    </row>
    <row r="5" spans="1:5" ht="21" x14ac:dyDescent="0.45">
      <c r="A5" s="13" t="s">
        <v>362</v>
      </c>
      <c r="B5" s="11"/>
      <c r="C5" s="11"/>
      <c r="D5" s="11"/>
      <c r="E5" s="11"/>
    </row>
    <row r="7" spans="1:5" ht="21" x14ac:dyDescent="0.45">
      <c r="C7" s="27" t="s">
        <v>255</v>
      </c>
      <c r="E7" s="27" t="s">
        <v>7</v>
      </c>
    </row>
    <row r="8" spans="1:5" ht="21" x14ac:dyDescent="0.45">
      <c r="A8" s="28" t="s">
        <v>252</v>
      </c>
      <c r="C8" s="28" t="s">
        <v>240</v>
      </c>
      <c r="E8" s="28" t="s">
        <v>240</v>
      </c>
    </row>
    <row r="9" spans="1:5" ht="18.75" x14ac:dyDescent="0.45">
      <c r="A9" s="24" t="s">
        <v>207</v>
      </c>
      <c r="C9" s="24">
        <f>SUM($C$8)</f>
        <v>0</v>
      </c>
      <c r="E9" s="24">
        <f>SUM($E$8)</f>
        <v>0</v>
      </c>
    </row>
    <row r="10" spans="1:5" ht="18.75" x14ac:dyDescent="0.45">
      <c r="C10" s="26"/>
      <c r="E10" s="26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5</vt:i4>
      </vt:variant>
    </vt:vector>
  </HeadingPairs>
  <TitlesOfParts>
    <vt:vector size="20" baseType="lpstr">
      <vt:lpstr>0</vt:lpstr>
      <vt:lpstr>1</vt:lpstr>
      <vt:lpstr>2</vt:lpstr>
      <vt:lpstr>3</vt:lpstr>
      <vt:lpstr>4</vt:lpstr>
      <vt:lpstr>5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'1'!Print_Titles</vt:lpstr>
      <vt:lpstr>'10'!Print_Titles</vt:lpstr>
      <vt:lpstr>'11'!Print_Titles</vt:lpstr>
      <vt:lpstr>'12'!Print_Titles</vt:lpstr>
      <vt:lpstr>'8'!Print_Titles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Fatemeh Rezaei</cp:lastModifiedBy>
  <cp:lastPrinted>2025-10-25T06:41:49Z</cp:lastPrinted>
  <dcterms:created xsi:type="dcterms:W3CDTF">2025-10-25T06:25:08Z</dcterms:created>
  <dcterms:modified xsi:type="dcterms:W3CDTF">2025-10-25T06:42:55Z</dcterms:modified>
</cp:coreProperties>
</file>