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1 حسابداری صندوق\1405\002 گزارش پرتفوی\1405-01 پرتفوی های فروردین\"/>
    </mc:Choice>
  </mc:AlternateContent>
  <xr:revisionPtr revIDLastSave="0" documentId="13_ncr:1_{60E742C7-6928-4BBA-BA2F-95D5C33B7B1E}" xr6:coauthVersionLast="47" xr6:coauthVersionMax="47" xr10:uidLastSave="{00000000-0000-0000-0000-000000000000}"/>
  <bookViews>
    <workbookView xWindow="14385" yWindow="1410" windowWidth="13305" windowHeight="15105" tabRatio="897" xr2:uid="{00000000-000D-0000-FFFF-FFFF00000000}"/>
  </bookViews>
  <sheets>
    <sheet name="صفحه نخست" sheetId="24" r:id="rId1"/>
    <sheet name=" سهام" sheetId="21" r:id="rId2"/>
    <sheet name="اوراق مشتقه" sheetId="9" r:id="rId3"/>
    <sheet name="واحدهای صندوق" sheetId="1" r:id="rId4"/>
    <sheet name="اوراق" sheetId="3" r:id="rId5"/>
    <sheet name="تعدیل قیمت" sheetId="4" r:id="rId6"/>
    <sheet name="سپرده" sheetId="2" r:id="rId7"/>
    <sheet name="درآمدها" sheetId="11" r:id="rId8"/>
    <sheet name="درآمد سرمایه گذاری در سهام " sheetId="5" r:id="rId9"/>
    <sheet name="درآمد سرمایه گذاری در صندوق" sheetId="18" r:id="rId10"/>
    <sheet name="درآمد سرمایه گذاری در اوراق بها" sheetId="6" r:id="rId11"/>
    <sheet name="درآمد سپرده بانکی" sheetId="7" r:id="rId12"/>
    <sheet name="سایر درآمدها" sheetId="8" r:id="rId13"/>
    <sheet name="درآمد سود سهام" sheetId="12" r:id="rId14"/>
    <sheet name="درآمد سود صندوق" sheetId="20" r:id="rId15"/>
    <sheet name="سود اوراق بهادار" sheetId="13" r:id="rId16"/>
    <sheet name="سود  سپرده بانکی" sheetId="22" r:id="rId17"/>
    <sheet name="درآمد ناشی ازفروش" sheetId="15" r:id="rId18"/>
    <sheet name="درآمد ناشی از تغییر قیمت اوراق " sheetId="14" r:id="rId19"/>
  </sheets>
  <definedNames>
    <definedName name="_xlnm.Print_Area" localSheetId="1">' سهام'!$A$1:$AA$225</definedName>
    <definedName name="_xlnm.Print_Area" localSheetId="4">اوراق!$A$1:$AK$10</definedName>
    <definedName name="_xlnm.Print_Area" localSheetId="2">'اوراق مشتقه'!$A$1:$Y$22</definedName>
    <definedName name="_xlnm.Print_Area" localSheetId="5">'تعدیل قیمت'!$A$1:$S$9</definedName>
    <definedName name="_xlnm.Print_Area" localSheetId="10">'درآمد سرمایه گذاری در اوراق بها'!$A$1:$R$10</definedName>
    <definedName name="_xlnm.Print_Area" localSheetId="9">'درآمد سرمایه گذاری در صندوق'!$A$1:$U$11</definedName>
    <definedName name="_xlnm.Print_Area" localSheetId="14">'درآمد سود صندوق'!$A$1:$K$7</definedName>
    <definedName name="_xlnm.Print_Area" localSheetId="18">'درآمد ناشی از تغییر قیمت اوراق '!$A$1:$Q$222</definedName>
    <definedName name="_xlnm.Print_Area" localSheetId="17">'درآمد ناشی ازفروش'!$A$1:$Q$10</definedName>
    <definedName name="_xlnm.Print_Area" localSheetId="7">درآمدها!$A$1:$I$12</definedName>
    <definedName name="_xlnm.Print_Area" localSheetId="12">'سایر درآمدها'!$A$1:$E$8</definedName>
    <definedName name="_xlnm.Print_Area" localSheetId="6">سپرده!$A$1:$L$17</definedName>
    <definedName name="_xlnm.Print_Area" localSheetId="16">'سود  سپرده بانکی'!$A$1:$M$13</definedName>
    <definedName name="_xlnm.Print_Area" localSheetId="15">'سود اوراق بهادار'!$A$1:$S$8</definedName>
    <definedName name="_xlnm.Print_Area" localSheetId="0">'صفحه نخست'!$A$1:$K$37</definedName>
    <definedName name="_xlnm.Print_Area" localSheetId="3">'واحدهای صندوق'!$A$1:$Y$9</definedName>
    <definedName name="_xlnm.Print_Titles" localSheetId="1">' سهام'!$1:$9</definedName>
    <definedName name="_xlnm.Print_Titles" localSheetId="8">'درآمد سرمایه گذاری در سهام '!$1:$10</definedName>
    <definedName name="_xlnm.Print_Titles" localSheetId="18">'درآمد ناشی از تغییر قیمت اوراق 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1" l="1"/>
  <c r="G8" i="11"/>
  <c r="G9" i="11"/>
  <c r="G10" i="11"/>
  <c r="G6" i="11"/>
  <c r="I6" i="11"/>
  <c r="K10" i="2"/>
  <c r="K11" i="2"/>
  <c r="K12" i="2"/>
  <c r="K13" i="2"/>
  <c r="K14" i="2"/>
  <c r="K9" i="2"/>
  <c r="K15" i="2" s="1"/>
  <c r="AA11" i="21"/>
  <c r="AA224" i="21" s="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10" i="21"/>
  <c r="E9" i="11"/>
  <c r="E6" i="11"/>
  <c r="S12" i="5"/>
  <c r="S13" i="5"/>
  <c r="S14" i="5"/>
  <c r="S15" i="5"/>
  <c r="S16" i="5"/>
  <c r="S17" i="5"/>
  <c r="S18" i="5"/>
  <c r="S19" i="5"/>
  <c r="S20" i="5"/>
  <c r="S21" i="5"/>
  <c r="S41" i="5" s="1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11" i="5"/>
  <c r="Q221" i="14"/>
  <c r="O221" i="14"/>
  <c r="M221" i="14"/>
  <c r="K221" i="14"/>
  <c r="I221" i="14"/>
  <c r="G221" i="14"/>
  <c r="E221" i="14"/>
  <c r="C221" i="14"/>
  <c r="Q9" i="15"/>
  <c r="O9" i="15"/>
  <c r="M9" i="15"/>
  <c r="K9" i="15"/>
  <c r="I9" i="15"/>
  <c r="G9" i="15"/>
  <c r="E9" i="15"/>
  <c r="C9" i="15"/>
  <c r="M12" i="22"/>
  <c r="K12" i="22"/>
  <c r="I12" i="22"/>
  <c r="G12" i="22"/>
  <c r="E12" i="22"/>
  <c r="C12" i="22"/>
  <c r="S11" i="12"/>
  <c r="Q11" i="12"/>
  <c r="O11" i="12"/>
  <c r="M11" i="12"/>
  <c r="K11" i="12"/>
  <c r="I11" i="12"/>
  <c r="G11" i="12"/>
  <c r="E11" i="12"/>
  <c r="C11" i="12"/>
  <c r="G13" i="7"/>
  <c r="C13" i="7"/>
  <c r="E12" i="7" s="1"/>
  <c r="E11" i="7"/>
  <c r="I10" i="7"/>
  <c r="E10" i="7"/>
  <c r="I9" i="7"/>
  <c r="E9" i="7"/>
  <c r="I8" i="7"/>
  <c r="E8" i="7"/>
  <c r="U41" i="5"/>
  <c r="Q41" i="5"/>
  <c r="O41" i="5"/>
  <c r="M41" i="5"/>
  <c r="K41" i="5"/>
  <c r="I41" i="5"/>
  <c r="G41" i="5"/>
  <c r="E41" i="5"/>
  <c r="C41" i="5"/>
  <c r="I10" i="11"/>
  <c r="I8" i="11"/>
  <c r="I7" i="11"/>
  <c r="I15" i="2"/>
  <c r="G15" i="2"/>
  <c r="E15" i="2"/>
  <c r="C15" i="2"/>
  <c r="Y224" i="21"/>
  <c r="W224" i="21"/>
  <c r="S224" i="21"/>
  <c r="Q224" i="21"/>
  <c r="O224" i="21"/>
  <c r="M224" i="21"/>
  <c r="K224" i="21"/>
  <c r="I224" i="21"/>
  <c r="G224" i="21"/>
  <c r="E224" i="21"/>
  <c r="C224" i="21"/>
  <c r="I9" i="11" l="1"/>
  <c r="E11" i="11"/>
  <c r="I11" i="11"/>
  <c r="E13" i="7"/>
  <c r="I12" i="7"/>
  <c r="I11" i="7"/>
  <c r="I13" i="7"/>
  <c r="G11" i="11" l="1"/>
</calcChain>
</file>

<file path=xl/sharedStrings.xml><?xml version="1.0" encoding="utf-8"?>
<sst xmlns="http://schemas.openxmlformats.org/spreadsheetml/2006/main" count="820" uniqueCount="348">
  <si>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</si>
  <si>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</si>
  <si>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</si>
  <si>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</si>
  <si>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</si>
  <si>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</si>
  <si>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</si>
  <si>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</si>
  <si>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</si>
  <si>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</si>
  <si>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</si>
  <si>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</si>
  <si>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</si>
  <si>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</si>
  <si>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</si>
  <si>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</si>
  <si>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</si>
  <si>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</si>
  <si>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</si>
  <si>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</si>
  <si>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</si>
  <si>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</si>
  <si>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</si>
  <si>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</si>
  <si>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</si>
  <si>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</si>
  <si>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</si>
  <si>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</si>
  <si>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</si>
  <si>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</si>
  <si>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</si>
  <si>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</si>
  <si>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</si>
  <si>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</si>
  <si>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</si>
  <si>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</si>
  <si>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</si>
  <si>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</si>
  <si>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</si>
  <si>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</si>
  <si>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</si>
  <si>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</si>
  <si>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</si>
  <si>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</si>
  <si>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</si>
  <si>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</si>
  <si>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</si>
  <si>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</si>
  <si>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</si>
  <si>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</si>
  <si>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</si>
  <si>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نرخ سود علی الحساب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</si>
  <si>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</si>
  <si>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</si>
  <si>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</si>
  <si>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</si>
  <si>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</si>
  <si>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</si>
  <si>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</si>
  <si>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</si>
  <si>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</si>
  <si>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</si>
  <si>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</si>
  <si>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</si>
  <si>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</si>
  <si>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</si>
  <si>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</si>
  <si>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</si>
  <si>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</si>
  <si>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</si>
  <si>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اوراق بهادار با درآمد ثابت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</si>
  <si>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</si>
  <si>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</si>
  <si>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</si>
  <si>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</si>
  <si>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</si>
  <si>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1-2</t>
  </si>
  <si>
    <t>2-2</t>
  </si>
  <si>
    <t>3-2</t>
  </si>
  <si>
    <t>4-2</t>
  </si>
  <si>
    <t xml:space="preserve">صورت وضعیت درآمدها </t>
  </si>
  <si>
    <t xml:space="preserve">درآمد سود </t>
  </si>
  <si>
    <t>درصد از کل دارایی ها</t>
  </si>
  <si>
    <t>تعداد اوراق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</si>
  <si>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</si>
  <si>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</si>
  <si>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</si>
  <si>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</si>
  <si>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اطلاعات آماری مرتبط با قراردادهای آتی توسط صندوق سرمایه گذاری:</t>
  </si>
  <si>
    <t>صندوق</t>
  </si>
  <si>
    <t>تعداد واحد</t>
  </si>
  <si>
    <t>درآمد حاصل از سرمایه گذاری در واحدهای صندوق های سرمایه گذاری</t>
  </si>
  <si>
    <t>5-2</t>
  </si>
  <si>
    <t>3-2-درآمد حاصل از سرمایه­گذاری در اوراق بهادار با درآمد ثابت:</t>
  </si>
  <si>
    <t>2-2-درآمد حاصل از سرمایه­گذاری در واحدهای صندوق:</t>
  </si>
  <si>
    <t>درآمد سود صندوق</t>
  </si>
  <si>
    <t>2-1-سرمایه‌گذاری در واحدهای صندوق های سرمایه گذاری</t>
  </si>
  <si>
    <t>3-1-سرمایه‌گذاری در اوراق بهادار با درآمد ثابت یا علی‌الحساب</t>
  </si>
  <si>
    <t>نام صندوق</t>
  </si>
  <si>
    <t>تاریخ تقسیم سود</t>
  </si>
  <si>
    <t>سود متعلق به هر واحد</t>
  </si>
  <si>
    <t>خرید/صدور طی دوره</t>
  </si>
  <si>
    <t>فروش /ابطال طی دوره</t>
  </si>
  <si>
    <t>تعداد واحد صندوق در زمان تقسیم سود</t>
  </si>
  <si>
    <t>خالص درآمد سود صندوق</t>
  </si>
  <si>
    <t>قیمت ابطال/ بازار هر واحد</t>
  </si>
  <si>
    <t>سود اوراق بهادار با درآمد ثابت</t>
  </si>
  <si>
    <t>سود سپرده بانکی</t>
  </si>
  <si>
    <t xml:space="preserve">افزایش سرمایه </t>
  </si>
  <si>
    <t>طی دوره</t>
  </si>
  <si>
    <t>کاهش</t>
  </si>
  <si>
    <t>درآمد تعهد پذیره نویسی</t>
  </si>
  <si>
    <t>شاخصی هم ‏وزن تراز</t>
  </si>
  <si>
    <t>برای ماه منتهی به 1405/01/31</t>
  </si>
  <si>
    <t>1405/01/31</t>
  </si>
  <si>
    <t>دي</t>
  </si>
  <si>
    <t>سامان</t>
  </si>
  <si>
    <t>سپه</t>
  </si>
  <si>
    <t>پاسارگاد</t>
  </si>
  <si>
    <t>خاورميانه</t>
  </si>
  <si>
    <t>1404/12/29</t>
  </si>
  <si>
    <t>ريخته گري تراكتورسازي</t>
  </si>
  <si>
    <t>كشت و صنعت شهداب</t>
  </si>
  <si>
    <t>بانك تجارت</t>
  </si>
  <si>
    <t>كيميا كالاي رازي</t>
  </si>
  <si>
    <t>تايدواتر</t>
  </si>
  <si>
    <t>فنرسازي زر</t>
  </si>
  <si>
    <t>قاسم ايران</t>
  </si>
  <si>
    <t>تراكتور سازي</t>
  </si>
  <si>
    <t>گل گهر</t>
  </si>
  <si>
    <t>توليدي چدن سازان</t>
  </si>
  <si>
    <t>عطرين نخ قم</t>
  </si>
  <si>
    <t>كاني كربن طبس</t>
  </si>
  <si>
    <t>نساجي هديه البرز مشهد</t>
  </si>
  <si>
    <t>گلتاش</t>
  </si>
  <si>
    <t>پارس مينو</t>
  </si>
  <si>
    <t>سيمان شمال</t>
  </si>
  <si>
    <t>پتروشيمي پرديس</t>
  </si>
  <si>
    <t>سرمايه گذاري صدرتامين</t>
  </si>
  <si>
    <t>بهار رز عاليس چناران</t>
  </si>
  <si>
    <t>فولاد مباركه</t>
  </si>
  <si>
    <t>موتورسازان</t>
  </si>
  <si>
    <t>بانك سينا</t>
  </si>
  <si>
    <t>توسعه نيشكر و صنايع جانبي</t>
  </si>
  <si>
    <t>بانك ملت</t>
  </si>
  <si>
    <t>سرمايه گذاري غدير</t>
  </si>
  <si>
    <t>غلتك سازان سپاهان</t>
  </si>
  <si>
    <t>صنعتي زر ماكارون</t>
  </si>
  <si>
    <t>آترا زيست آراي</t>
  </si>
  <si>
    <t>نيروترانس</t>
  </si>
  <si>
    <t>آنتي بيوتيك سازي ايران</t>
  </si>
  <si>
    <t>آريان كيميا تك</t>
  </si>
  <si>
    <t>آلوميناي ايران</t>
  </si>
  <si>
    <t>آلومينيوم ايران</t>
  </si>
  <si>
    <t>آنتي بيوتيك سازي ايران (تقدم)</t>
  </si>
  <si>
    <t>آهن و فولاد غدير ايرانيان</t>
  </si>
  <si>
    <t>اخشان خراسان</t>
  </si>
  <si>
    <t>ارتباطات سیار</t>
  </si>
  <si>
    <t>افست</t>
  </si>
  <si>
    <t>اقتصاد نوين</t>
  </si>
  <si>
    <t>البرز دارو</t>
  </si>
  <si>
    <t>املاح ايران</t>
  </si>
  <si>
    <t>انتقال داده هاي آسياتك</t>
  </si>
  <si>
    <t>ايران ترانسفو</t>
  </si>
  <si>
    <t>ايران خودرو</t>
  </si>
  <si>
    <t>ايمن خودرو شرق</t>
  </si>
  <si>
    <t>ایرکا پارت صنعت</t>
  </si>
  <si>
    <t>بانك خاورميانه</t>
  </si>
  <si>
    <t>بانك صادرات</t>
  </si>
  <si>
    <t>بهمن دیزل</t>
  </si>
  <si>
    <t>بيمه آسيا</t>
  </si>
  <si>
    <t>بيمه البرز</t>
  </si>
  <si>
    <t>بيمه ايران - معين</t>
  </si>
  <si>
    <t>بيمه پارسيان</t>
  </si>
  <si>
    <t>تامين سرمايه لوتوس پارسيان</t>
  </si>
  <si>
    <t>تامين سرمايه نوين</t>
  </si>
  <si>
    <t>تامين ماسه</t>
  </si>
  <si>
    <t>تجارت الکترونیک پارسیان</t>
  </si>
  <si>
    <t xml:space="preserve">تراكتور سازي </t>
  </si>
  <si>
    <t>توزيع دارو پخش</t>
  </si>
  <si>
    <t>توسعه سامانه ي نرم افزاري نگين</t>
  </si>
  <si>
    <t>توسعه معادن كروميت كاوندگان</t>
  </si>
  <si>
    <t>توسعه و عمران اميد</t>
  </si>
  <si>
    <t>توكا رنگ فولاد سپاهان</t>
  </si>
  <si>
    <t>توليد انرژي برق شمس پاسارگاد</t>
  </si>
  <si>
    <t>توليد برق عسلويه مپنا</t>
  </si>
  <si>
    <t>توليد ژلاتين كپسول ايران</t>
  </si>
  <si>
    <t>توليدات پتروشيمي قائد بصير</t>
  </si>
  <si>
    <t>توليدي برنا باطري</t>
  </si>
  <si>
    <t>توليدي و صنعتي گوهرفام</t>
  </si>
  <si>
    <t>حفاري شمال</t>
  </si>
  <si>
    <t>حمل و نقل ريلي پارسيان</t>
  </si>
  <si>
    <t>خاك چيني</t>
  </si>
  <si>
    <t>داده پردازي</t>
  </si>
  <si>
    <t>دارو ابوريحان</t>
  </si>
  <si>
    <t>داروسازي زاگرس</t>
  </si>
  <si>
    <t>داروسازي فارابي</t>
  </si>
  <si>
    <t>داروسازي‌ اكسير</t>
  </si>
  <si>
    <t>دارويي ره آورد تامين</t>
  </si>
  <si>
    <t>دارويي و نهاده هاي زاگرس دارو</t>
  </si>
  <si>
    <t>دارويي‌ رازك‌</t>
  </si>
  <si>
    <t>دريايي سينا</t>
  </si>
  <si>
    <t>رادياتور</t>
  </si>
  <si>
    <t>ريل سير كوثر</t>
  </si>
  <si>
    <t>س. و توسعه صنايع لاستيك</t>
  </si>
  <si>
    <t>سالمين</t>
  </si>
  <si>
    <t>سايپا</t>
  </si>
  <si>
    <t>سبحان_دارو</t>
  </si>
  <si>
    <t>سرمايه گذاري اميد</t>
  </si>
  <si>
    <t>سرمايه گذاري تامين اجتماعي</t>
  </si>
  <si>
    <t>سرمايه گذاري سپه</t>
  </si>
  <si>
    <t>سرمايه گذاري صدرتامين (تقدم)</t>
  </si>
  <si>
    <t>سرمايه گذاري كشاورزي كوثر</t>
  </si>
  <si>
    <t>سرمايه گذاري ملي ايران</t>
  </si>
  <si>
    <t>سرمايه گذاري پايا تدبيرپارسا</t>
  </si>
  <si>
    <t>سرمایه گذاری مسکن تهران</t>
  </si>
  <si>
    <t>سنگ آهن گهرزمين</t>
  </si>
  <si>
    <t>سيمان اروميه</t>
  </si>
  <si>
    <t>سيمان بجنورد</t>
  </si>
  <si>
    <t>سيمان بهبهان</t>
  </si>
  <si>
    <t>سيمان تهران</t>
  </si>
  <si>
    <t>سيمان خاش</t>
  </si>
  <si>
    <t>سيمان خزر</t>
  </si>
  <si>
    <t>سيمان ساوه</t>
  </si>
  <si>
    <t>سيمان سپاهان</t>
  </si>
  <si>
    <t>سيمان شمال (تقدم)</t>
  </si>
  <si>
    <t>سيمان صوفيان</t>
  </si>
  <si>
    <t>سيمان غرب</t>
  </si>
  <si>
    <t>سيمان فارس نو</t>
  </si>
  <si>
    <t>سيمان فارس و خوزستان</t>
  </si>
  <si>
    <t>سيمان قاين</t>
  </si>
  <si>
    <t>سيمان مازندران</t>
  </si>
  <si>
    <t>سيمان هگمتان</t>
  </si>
  <si>
    <t>سيمرغ</t>
  </si>
  <si>
    <t>سينا دارو</t>
  </si>
  <si>
    <t>سپيد ماكيان</t>
  </si>
  <si>
    <t>شرکت سرمایه گذاری خوارزمی</t>
  </si>
  <si>
    <t>شهد ايران</t>
  </si>
  <si>
    <t>شير و گوشت زاگرس شهركرد</t>
  </si>
  <si>
    <t>شير پاستوريزه پگاه گلپايگان</t>
  </si>
  <si>
    <t>شيشه همدان</t>
  </si>
  <si>
    <t>شيشه و گاز</t>
  </si>
  <si>
    <t>شيميايي ايران</t>
  </si>
  <si>
    <t>شیرین دارو</t>
  </si>
  <si>
    <t>صنايع ارتباطي آوا</t>
  </si>
  <si>
    <t>صنايع الكترونيك ماديران</t>
  </si>
  <si>
    <t>صنايع غذايي رضوي</t>
  </si>
  <si>
    <t>صنايع چوب خزر كاسپين</t>
  </si>
  <si>
    <t>صندوق بازنشستگي</t>
  </si>
  <si>
    <t>صنعت غذايي كورش</t>
  </si>
  <si>
    <t>صنعتي آما</t>
  </si>
  <si>
    <t>صنعتي بارز</t>
  </si>
  <si>
    <t>صنعتي بهشهر</t>
  </si>
  <si>
    <t>صنعتي سپاهان</t>
  </si>
  <si>
    <t>صنعتی صبانور</t>
  </si>
  <si>
    <t>عمران فارس</t>
  </si>
  <si>
    <t>غذايي مينو</t>
  </si>
  <si>
    <t>فجر انرژي خليج فارس</t>
  </si>
  <si>
    <t>فرآوري زغال سنگ پروده طبس</t>
  </si>
  <si>
    <t>فروشگاههاي زنجيره اي افق كوروش</t>
  </si>
  <si>
    <t>فن آوران</t>
  </si>
  <si>
    <t>فولاد آلياژي ايران</t>
  </si>
  <si>
    <t>فولاد ارفع</t>
  </si>
  <si>
    <t>فولاد خوزستان</t>
  </si>
  <si>
    <t>فولاد كاوه</t>
  </si>
  <si>
    <t>قند اصفهان</t>
  </si>
  <si>
    <t>قند قزوين</t>
  </si>
  <si>
    <t>قند لرستان</t>
  </si>
  <si>
    <t>قند هكمتان</t>
  </si>
  <si>
    <t>قند پيرانشهر</t>
  </si>
  <si>
    <t>قند چهار محال</t>
  </si>
  <si>
    <t>كارخانجات داروپخش</t>
  </si>
  <si>
    <t>كاشي الوند</t>
  </si>
  <si>
    <t>كاشي حافظ</t>
  </si>
  <si>
    <t>كاشي سعدي</t>
  </si>
  <si>
    <t>كاشي وسراميك سينا</t>
  </si>
  <si>
    <t>كاشي پارس</t>
  </si>
  <si>
    <t>كاني كربن طبس (تقدم)</t>
  </si>
  <si>
    <t>كربن</t>
  </si>
  <si>
    <t>كشاورزي مكانيزه اصفهان كشت</t>
  </si>
  <si>
    <t>كشاورزي و دامپروري بينالود</t>
  </si>
  <si>
    <t>كشت و دام قيام اصفهان</t>
  </si>
  <si>
    <t>كشت و دامداري فكا</t>
  </si>
  <si>
    <t>كشتيراني ايران</t>
  </si>
  <si>
    <t>كوير تاير</t>
  </si>
  <si>
    <t>مجتمع صنايع لاستيك يزد</t>
  </si>
  <si>
    <t>مجتمع كاشي و سنگ پرسپوليس يزد</t>
  </si>
  <si>
    <t>مديريت نيروگاهي ايرانيان مپنا</t>
  </si>
  <si>
    <t>ملي شيمي كشاورز</t>
  </si>
  <si>
    <t>ملي مس</t>
  </si>
  <si>
    <t>منگنز ايران</t>
  </si>
  <si>
    <t>مهرام</t>
  </si>
  <si>
    <t>مهرمام ميهن</t>
  </si>
  <si>
    <t>مواداوليه داروپخش</t>
  </si>
  <si>
    <t>موتوژن</t>
  </si>
  <si>
    <t>مپنا</t>
  </si>
  <si>
    <t>مگسال</t>
  </si>
  <si>
    <t>نخريسي و نساجي خسروي خراسان</t>
  </si>
  <si>
    <t>نسوز آذر</t>
  </si>
  <si>
    <t>نشاسته و گلوكز آردينه</t>
  </si>
  <si>
    <t>نفت اصفهان</t>
  </si>
  <si>
    <t>نفت بندر عباس</t>
  </si>
  <si>
    <t>نفت بهران</t>
  </si>
  <si>
    <t>نفت تبريز</t>
  </si>
  <si>
    <t>نفت سپاهان</t>
  </si>
  <si>
    <t>نفت لاوان</t>
  </si>
  <si>
    <t>نفت و گاز پارسیان</t>
  </si>
  <si>
    <t>نورد قطعات</t>
  </si>
  <si>
    <t>نيان الكترونيك</t>
  </si>
  <si>
    <t>نيان باتري خاوران</t>
  </si>
  <si>
    <t>نگين طبس</t>
  </si>
  <si>
    <t>پارس خزر</t>
  </si>
  <si>
    <t>پارس سوييچ</t>
  </si>
  <si>
    <t>پارس شهاب</t>
  </si>
  <si>
    <t>پارس فنر</t>
  </si>
  <si>
    <t>پارس فولاد سبزوار</t>
  </si>
  <si>
    <t>پاکدیس</t>
  </si>
  <si>
    <t>پتروشيمي خراسان</t>
  </si>
  <si>
    <t xml:space="preserve">پتروشيمي كرمانشاه </t>
  </si>
  <si>
    <t>پتروشيمي نوري</t>
  </si>
  <si>
    <t>پتروشيمی پردیس</t>
  </si>
  <si>
    <t>پتروشیمی تامین</t>
  </si>
  <si>
    <t>پخش البرز</t>
  </si>
  <si>
    <t>پخش هجرت</t>
  </si>
  <si>
    <t>پديده شيمي قرن</t>
  </si>
  <si>
    <t>پرتو بار فرابر خليج فارس</t>
  </si>
  <si>
    <t>پشم شيشه</t>
  </si>
  <si>
    <t>پمپ ايران</t>
  </si>
  <si>
    <t>پگاه آذربايجان</t>
  </si>
  <si>
    <t>پگاه اصفهان</t>
  </si>
  <si>
    <t>پگاه خراسان</t>
  </si>
  <si>
    <t>چادرملو</t>
  </si>
  <si>
    <t>کارت اعتباری ایران کیش</t>
  </si>
  <si>
    <t>کارخانجات توليدي نيروترانسفو</t>
  </si>
  <si>
    <t>گروه انتخاب الكترونيك آرمان</t>
  </si>
  <si>
    <t>گروه مالي نماد غدير(سهامي عام)</t>
  </si>
  <si>
    <t>گل گهر (تقدم)</t>
  </si>
  <si>
    <t>ملت</t>
  </si>
  <si>
    <t>1405/01/16</t>
  </si>
  <si>
    <t>1404/12/10</t>
  </si>
  <si>
    <t>1404/12/17</t>
  </si>
  <si>
    <t>1404/12/27</t>
  </si>
  <si>
    <t>صندوق سرمایه‌گذاری شاخصی هم ‏وزن تراز</t>
  </si>
  <si>
    <r>
      <rPr>
        <b/>
        <sz val="28"/>
        <color rgb="FFFF0000"/>
        <rFont val="B Roya"/>
        <charset val="178"/>
      </rPr>
      <t>گزارش افشای پرتفوی ماهانه</t>
    </r>
    <r>
      <rPr>
        <b/>
        <sz val="24"/>
        <color rgb="FFFF0000"/>
        <rFont val="B Roya"/>
        <charset val="178"/>
      </rPr>
      <t xml:space="preserve">
برای دوره منتهی به 31 فرودین 1405</t>
    </r>
  </si>
  <si>
    <t>در راستای اجرای ابلاغیه 12020093 مورخ 1396/09/05 و ابلاغیه 12020268 مورخ 1402/12/01 سازمان بورس و اوراق بهادار</t>
  </si>
  <si>
    <t>4-2-درآمد حاصل از سرمایه­گذاری در سپرده بانکی و گواهی سپرده:</t>
  </si>
  <si>
    <t>5-2-سایر درآمدها:</t>
  </si>
  <si>
    <t>4-1- سرمایه‌گذاری در  سپرده‌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</si>
</sst>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0"/>
    <numFmt numFmtId="165" formatCode="0.00%;[Red]\(0.00%\);0%"/>
  </numFmts>
  <fonts count="17"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b/>
      <sz val="10"/>
      <color rgb="FF0062AC"/>
      <name val="B Nazanin"/>
      <charset val="178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b/>
      <sz val="24"/>
      <color rgb="FFFF0000"/>
      <name val="B Roya"/>
      <charset val="178"/>
    </font>
    <font>
      <b/>
      <sz val="28"/>
      <color rgb="FFFF0000"/>
      <name val="B Roya"/>
      <charset val="178"/>
    </font>
    <font>
      <sz val="16"/>
      <color rgb="FFFF0000"/>
      <name val="B Homa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11" fillId="0" borderId="0"/>
  </cellStyleXfs>
  <cellXfs count="106">
    <xf numFmtId="0" fontId="0" fillId="0" borderId="0" xfId="0"/>
    <xf numFmtId="0" fontId="3" fillId="0" borderId="0" xfId="0" applyFont="1" applyAlignment="1">
      <alignment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 readingOrder="2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49" fontId="5" fillId="0" borderId="0" xfId="0" applyNumberFormat="1" applyFont="1" applyAlignment="1">
      <alignment horizontal="center" vertical="center" readingOrder="2"/>
    </xf>
    <xf numFmtId="0" fontId="3" fillId="0" borderId="1" xfId="0" applyFont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 readingOrder="2"/>
    </xf>
    <xf numFmtId="0" fontId="1" fillId="0" borderId="0" xfId="0" applyFont="1" applyAlignment="1">
      <alignment vertical="center" wrapText="1" readingOrder="2"/>
    </xf>
    <xf numFmtId="0" fontId="8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readingOrder="2"/>
    </xf>
    <xf numFmtId="0" fontId="5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5" fontId="9" fillId="0" borderId="0" xfId="0" applyNumberFormat="1" applyFont="1" applyAlignment="1">
      <alignment vertical="center"/>
    </xf>
    <xf numFmtId="165" fontId="9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 readingOrder="2"/>
    </xf>
    <xf numFmtId="0" fontId="1" fillId="0" borderId="0" xfId="0" applyFont="1" applyAlignment="1">
      <alignment vertical="center" readingOrder="2"/>
    </xf>
    <xf numFmtId="0" fontId="2" fillId="0" borderId="4" xfId="0" applyFont="1" applyBorder="1" applyAlignment="1">
      <alignment vertical="center"/>
    </xf>
    <xf numFmtId="0" fontId="11" fillId="2" borderId="0" xfId="1" applyFill="1"/>
    <xf numFmtId="0" fontId="13" fillId="2" borderId="0" xfId="1" applyFont="1" applyFill="1" applyAlignment="1">
      <alignment horizontal="center"/>
    </xf>
    <xf numFmtId="0" fontId="13" fillId="2" borderId="0" xfId="1" applyFont="1" applyFill="1"/>
    <xf numFmtId="3" fontId="2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11" fillId="2" borderId="0" xfId="1" applyFill="1" applyAlignment="1">
      <alignment horizontal="center"/>
    </xf>
    <xf numFmtId="0" fontId="16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 readingOrder="2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66F45640-FA58-4F38-BF90-422DA6FEA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-38377586</xdr:colOff>
      <xdr:row>21</xdr:row>
      <xdr:rowOff>64842</xdr:rowOff>
    </xdr:from>
    <xdr:to>
      <xdr:col>0</xdr:col>
      <xdr:colOff>-27621626</xdr:colOff>
      <xdr:row>31</xdr:row>
      <xdr:rowOff>101283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9AC56C55-A10D-4EFA-BFA0-CD842F38384B}"/>
            </a:ext>
          </a:extLst>
        </xdr:cNvPr>
        <xdr:cNvSpPr txBox="1">
          <a:spLocks/>
        </xdr:cNvSpPr>
      </xdr:nvSpPr>
      <xdr:spPr>
        <a:xfrm>
          <a:off x="10014755576" y="4389192"/>
          <a:ext cx="10755960" cy="3970266"/>
        </a:xfrm>
        <a:prstGeom prst="rect">
          <a:avLst/>
        </a:prstGeom>
      </xdr:spPr>
      <xdr:txBody>
        <a:bodyPr vert="horz" wrap="square" lIns="91440" tIns="45720" rIns="91440" bIns="45720" rtlCol="0" anchor="b">
          <a:normAutofit fontScale="97500" lnSpcReduction="10000"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1"/>
          <a:br>
            <a:rPr lang="fa-IR" sz="2800" b="1">
              <a:cs typeface="B Roya" panose="00000400000000000000" pitchFamily="2" charset="-78"/>
            </a:rPr>
          </a:br>
          <a:r>
            <a:rPr lang="fa-IR" sz="7300" b="1">
              <a:cs typeface="B Roya" panose="00000400000000000000" pitchFamily="2" charset="-78"/>
            </a:rPr>
            <a:t>گزارش افشای پرتفوی ماهانه</a:t>
          </a:r>
          <a:br>
            <a:rPr lang="en-US" b="1">
              <a:cs typeface="B Roya" panose="00000400000000000000" pitchFamily="2" charset="-78"/>
            </a:rPr>
          </a:br>
          <a:br>
            <a:rPr lang="fa-IR" sz="3600" b="1">
              <a:cs typeface="B Roya" panose="00000400000000000000" pitchFamily="2" charset="-78"/>
            </a:rPr>
          </a:br>
          <a:r>
            <a:rPr lang="fa-IR" sz="6000" b="1">
              <a:cs typeface="B Roya" panose="00000400000000000000" pitchFamily="2" charset="-78"/>
            </a:rPr>
            <a:t>برای دوره منتهی به 31 اردیبهشت 1403</a:t>
          </a:r>
          <a:endParaRPr lang="en-US" b="1">
            <a:cs typeface="B Roya" panose="00000400000000000000" pitchFamily="2" charset="-78"/>
          </a:endParaRPr>
        </a:p>
      </xdr:txBody>
    </xdr:sp>
    <xdr:clientData/>
  </xdr:twoCellAnchor>
  <xdr:twoCellAnchor>
    <xdr:from>
      <xdr:col>0</xdr:col>
      <xdr:colOff>-95127536</xdr:colOff>
      <xdr:row>21</xdr:row>
      <xdr:rowOff>59647</xdr:rowOff>
    </xdr:from>
    <xdr:to>
      <xdr:col>0</xdr:col>
      <xdr:colOff>-84371576</xdr:colOff>
      <xdr:row>31</xdr:row>
      <xdr:rowOff>73574</xdr:rowOff>
    </xdr:to>
    <xdr:sp macro="" textlink="">
      <xdr:nvSpPr>
        <xdr:cNvPr id="3" name="Title 1">
          <a:extLst>
            <a:ext uri="{FF2B5EF4-FFF2-40B4-BE49-F238E27FC236}">
              <a16:creationId xmlns:a16="http://schemas.microsoft.com/office/drawing/2014/main" id="{1577C182-81C8-4463-A89E-1B462DF49080}"/>
            </a:ext>
          </a:extLst>
        </xdr:cNvPr>
        <xdr:cNvSpPr txBox="1">
          <a:spLocks/>
        </xdr:cNvSpPr>
      </xdr:nvSpPr>
      <xdr:spPr>
        <a:xfrm>
          <a:off x="10071505526" y="4383997"/>
          <a:ext cx="10755960" cy="3947752"/>
        </a:xfrm>
        <a:prstGeom prst="rect">
          <a:avLst/>
        </a:prstGeom>
      </xdr:spPr>
      <xdr:txBody>
        <a:bodyPr vert="horz" wrap="square" lIns="91440" tIns="45720" rIns="91440" bIns="45720" rtlCol="0" anchor="b">
          <a:normAutofit fontScale="97500" lnSpcReduction="10000"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1"/>
          <a:br>
            <a:rPr lang="fa-IR" sz="2800" b="1">
              <a:cs typeface="B Roya" panose="00000400000000000000" pitchFamily="2" charset="-78"/>
            </a:rPr>
          </a:br>
          <a:r>
            <a:rPr lang="fa-IR" sz="7300" b="1">
              <a:cs typeface="B Roya" panose="00000400000000000000" pitchFamily="2" charset="-78"/>
            </a:rPr>
            <a:t>گزارش افشای پرتفوی ماهانه</a:t>
          </a:r>
          <a:br>
            <a:rPr lang="en-US" b="1">
              <a:cs typeface="B Roya" panose="00000400000000000000" pitchFamily="2" charset="-78"/>
            </a:rPr>
          </a:br>
          <a:br>
            <a:rPr lang="fa-IR" sz="3600" b="1">
              <a:cs typeface="B Roya" panose="00000400000000000000" pitchFamily="2" charset="-78"/>
            </a:rPr>
          </a:br>
          <a:r>
            <a:rPr lang="fa-IR" sz="6000" b="1">
              <a:cs typeface="B Roya" panose="00000400000000000000" pitchFamily="2" charset="-78"/>
            </a:rPr>
            <a:t>برای دوره منتهی به 31 اردیبهشت 1403</a:t>
          </a:r>
          <a:endParaRPr lang="en-US" b="1">
            <a:cs typeface="B Roya" panose="000004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5E58-4A07-406C-8C50-841B57FF92F7}">
  <dimension ref="A4:V37"/>
  <sheetViews>
    <sheetView showGridLines="0" rightToLeft="1" tabSelected="1" view="pageBreakPreview" topLeftCell="A7" zoomScale="115" zoomScaleNormal="100" zoomScaleSheetLayoutView="115" workbookViewId="0">
      <selection activeCell="L20" sqref="L20"/>
    </sheetView>
  </sheetViews>
  <sheetFormatPr defaultRowHeight="15"/>
  <cols>
    <col min="1" max="1" width="0.85546875" style="63" customWidth="1"/>
    <col min="2" max="16384" width="9.140625" style="63"/>
  </cols>
  <sheetData>
    <row r="4" spans="1:22">
      <c r="A4" s="70" t="s">
        <v>342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</row>
    <row r="7" spans="1:22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</row>
    <row r="8" spans="1:22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</row>
    <row r="9" spans="1:22" ht="1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</row>
    <row r="10" spans="1:22" ht="15" customHeight="1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</row>
    <row r="11" spans="1:22" ht="15" customHeigh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</row>
    <row r="12" spans="1:22" ht="15" customHeigh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</row>
    <row r="13" spans="1:22" ht="1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</row>
    <row r="14" spans="1:22" ht="1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</row>
    <row r="15" spans="1:22" ht="15" customHeigh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</row>
    <row r="16" spans="1:22" ht="15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</row>
    <row r="17" spans="1:22" ht="15" customHeight="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</row>
    <row r="18" spans="1:22" ht="1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</row>
    <row r="19" spans="1:22" ht="15" customHeight="1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</row>
    <row r="20" spans="1:22" ht="30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1:22" ht="25.5"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22" ht="15" customHeight="1">
      <c r="A22" s="71" t="s">
        <v>343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</row>
    <row r="23" spans="1:22" ht="153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</row>
    <row r="24" spans="1:22" ht="1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</row>
    <row r="25" spans="1:22" ht="1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</row>
    <row r="26" spans="1:22" ht="1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</row>
    <row r="27" spans="1:22" ht="1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</row>
    <row r="28" spans="1:22" ht="15" customHeight="1"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</row>
    <row r="29" spans="1:22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</row>
    <row r="30" spans="1:22" ht="24.75" customHeight="1">
      <c r="B30" s="65"/>
      <c r="C30" s="65"/>
      <c r="D30" s="65"/>
      <c r="E30" s="65"/>
      <c r="F30" s="65"/>
      <c r="G30" s="65"/>
      <c r="H30" s="65"/>
      <c r="I30" s="65"/>
      <c r="J30" s="65"/>
      <c r="K30" s="65"/>
    </row>
    <row r="31" spans="1:22" ht="25.5" customHeight="1">
      <c r="A31" s="69" t="s">
        <v>344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</row>
    <row r="32" spans="1:22" ht="25.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 ht="25.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</row>
    <row r="34" spans="1:22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 spans="1:22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</row>
    <row r="36" spans="1:22" ht="4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</row>
    <row r="37" spans="1:22" ht="6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</row>
  </sheetData>
  <mergeCells count="9">
    <mergeCell ref="A29:K29"/>
    <mergeCell ref="A31:K37"/>
    <mergeCell ref="L31:V37"/>
    <mergeCell ref="A4:K19"/>
    <mergeCell ref="L4:V19"/>
    <mergeCell ref="A20:K20"/>
    <mergeCell ref="A22:K27"/>
    <mergeCell ref="L22:V27"/>
    <mergeCell ref="L28:V28"/>
  </mergeCells>
  <printOptions horizontalCentered="1"/>
  <pageMargins left="0" right="0" top="0" bottom="0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8"/>
  <sheetViews>
    <sheetView rightToLeft="1" view="pageBreakPreview" zoomScaleNormal="100" zoomScaleSheetLayoutView="100" workbookViewId="0">
      <selection activeCell="S22" sqref="S22"/>
    </sheetView>
  </sheetViews>
  <sheetFormatPr defaultColWidth="9.140625" defaultRowHeight="15.75"/>
  <cols>
    <col min="1" max="1" width="21.85546875" style="52" bestFit="1" customWidth="1"/>
    <col min="2" max="2" width="0.7109375" style="52" customWidth="1"/>
    <col min="3" max="3" width="10.85546875" style="52" bestFit="1" customWidth="1"/>
    <col min="4" max="4" width="0.7109375" style="52" customWidth="1"/>
    <col min="5" max="5" width="14" style="52" bestFit="1" customWidth="1"/>
    <col min="6" max="6" width="0.7109375" style="52" customWidth="1"/>
    <col min="7" max="7" width="14" style="52" bestFit="1" customWidth="1"/>
    <col min="8" max="8" width="0.7109375" style="52" customWidth="1"/>
    <col min="9" max="9" width="9.7109375" style="52" bestFit="1" customWidth="1"/>
    <col min="10" max="10" width="0.7109375" style="52" customWidth="1"/>
    <col min="11" max="11" width="4.140625" style="52" bestFit="1" customWidth="1"/>
    <col min="12" max="12" width="0.7109375" style="52" customWidth="1"/>
    <col min="13" max="13" width="9.42578125" style="52" bestFit="1" customWidth="1"/>
    <col min="14" max="14" width="0.7109375" style="52" customWidth="1"/>
    <col min="15" max="15" width="4.140625" style="52" bestFit="1" customWidth="1"/>
    <col min="16" max="16" width="0.7109375" style="52" customWidth="1"/>
    <col min="17" max="17" width="7.42578125" style="52" bestFit="1" customWidth="1"/>
    <col min="18" max="18" width="0.7109375" style="52" customWidth="1"/>
    <col min="19" max="19" width="10.85546875" style="52" bestFit="1" customWidth="1"/>
    <col min="20" max="20" width="0.7109375" style="52" customWidth="1"/>
    <col min="21" max="21" width="12" style="52" bestFit="1" customWidth="1"/>
    <col min="22" max="22" width="0.7109375" style="52" customWidth="1"/>
    <col min="23" max="23" width="14" style="52" bestFit="1" customWidth="1"/>
    <col min="24" max="24" width="0.7109375" style="52" customWidth="1"/>
    <col min="25" max="25" width="14" style="52" bestFit="1" customWidth="1"/>
    <col min="26" max="26" width="0.7109375" style="52" customWidth="1"/>
    <col min="27" max="27" width="13.42578125" style="52" customWidth="1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8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33"/>
    </row>
    <row r="2" spans="1:28" ht="21">
      <c r="A2" s="81" t="s">
        <v>74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33"/>
    </row>
    <row r="3" spans="1:28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33"/>
    </row>
    <row r="4" spans="1:28" ht="21">
      <c r="A4" s="82" t="s">
        <v>32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42"/>
    </row>
    <row r="5" spans="1:28" ht="21">
      <c r="A5" s="82" t="s">
        <v>33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42"/>
    </row>
    <row r="7" spans="1:28" ht="18.75" customHeight="1" thickBot="1">
      <c r="A7" s="6"/>
      <c r="B7" s="6"/>
      <c r="C7" s="72" t="s">
        <v>120</v>
      </c>
      <c r="D7" s="72"/>
      <c r="E7" s="72"/>
      <c r="F7" s="72"/>
      <c r="G7" s="72"/>
      <c r="H7" s="6"/>
      <c r="I7" s="15"/>
      <c r="J7" s="41"/>
      <c r="K7" s="73" t="s">
        <v>11</v>
      </c>
      <c r="L7" s="73"/>
      <c r="M7" s="73"/>
      <c r="N7" s="73"/>
      <c r="O7" s="73"/>
      <c r="P7" s="73"/>
      <c r="Q7" s="73"/>
      <c r="R7" s="31"/>
      <c r="S7" s="72" t="s">
        <v>114</v>
      </c>
      <c r="T7" s="72"/>
      <c r="U7" s="72"/>
      <c r="V7" s="72"/>
      <c r="W7" s="72"/>
      <c r="X7" s="72"/>
      <c r="Y7" s="72"/>
      <c r="Z7" s="72"/>
      <c r="AA7" s="72"/>
      <c r="AB7" s="6"/>
    </row>
    <row r="8" spans="1:28" ht="17.25" customHeight="1">
      <c r="A8" s="74" t="s">
        <v>1</v>
      </c>
      <c r="B8" s="8"/>
      <c r="C8" s="76" t="s">
        <v>3</v>
      </c>
      <c r="D8" s="9"/>
      <c r="E8" s="76" t="s">
        <v>0</v>
      </c>
      <c r="F8" s="9"/>
      <c r="G8" s="78" t="s">
        <v>27</v>
      </c>
      <c r="H8" s="8"/>
      <c r="I8" s="79" t="s">
        <v>4</v>
      </c>
      <c r="J8" s="79"/>
      <c r="K8" s="79"/>
      <c r="L8" s="79"/>
      <c r="M8" s="79"/>
      <c r="N8" s="31"/>
      <c r="O8" s="79" t="s">
        <v>5</v>
      </c>
      <c r="P8" s="79"/>
      <c r="Q8" s="79"/>
      <c r="R8" s="31"/>
      <c r="S8" s="80" t="s">
        <v>3</v>
      </c>
      <c r="T8" s="9"/>
      <c r="U8" s="78" t="s">
        <v>37</v>
      </c>
      <c r="V8" s="8"/>
      <c r="W8" s="80" t="s">
        <v>0</v>
      </c>
      <c r="X8" s="9"/>
      <c r="Y8" s="78" t="s">
        <v>27</v>
      </c>
      <c r="Z8" s="8"/>
      <c r="AA8" s="78" t="s">
        <v>30</v>
      </c>
      <c r="AB8" s="8"/>
    </row>
    <row r="9" spans="1:28" ht="20.25" customHeight="1" thickBot="1">
      <c r="A9" s="75"/>
      <c r="B9" s="8"/>
      <c r="C9" s="77"/>
      <c r="D9" s="9"/>
      <c r="E9" s="77"/>
      <c r="F9" s="9"/>
      <c r="G9" s="75"/>
      <c r="H9" s="8"/>
      <c r="I9" s="26" t="s">
        <v>108</v>
      </c>
      <c r="J9" s="9"/>
      <c r="K9" s="32" t="s">
        <v>3</v>
      </c>
      <c r="L9" s="31"/>
      <c r="M9" s="32" t="s">
        <v>0</v>
      </c>
      <c r="N9" s="31"/>
      <c r="O9" s="32" t="s">
        <v>3</v>
      </c>
      <c r="P9" s="31"/>
      <c r="Q9" s="32" t="s">
        <v>73</v>
      </c>
      <c r="R9" s="31"/>
      <c r="S9" s="77"/>
      <c r="T9" s="9"/>
      <c r="U9" s="75"/>
      <c r="V9" s="8"/>
      <c r="W9" s="77"/>
      <c r="X9" s="9"/>
      <c r="Y9" s="75"/>
      <c r="Z9" s="8"/>
      <c r="AA9" s="75"/>
      <c r="AB9" s="8"/>
    </row>
    <row r="10" spans="1:28">
      <c r="A10" s="48" t="s">
        <v>148</v>
      </c>
      <c r="B10" s="48"/>
      <c r="C10" s="48">
        <v>5383135</v>
      </c>
      <c r="D10" s="48"/>
      <c r="E10" s="48">
        <v>34464954868</v>
      </c>
      <c r="F10" s="48"/>
      <c r="G10" s="48">
        <v>30286437488</v>
      </c>
      <c r="H10" s="48"/>
      <c r="I10" s="48">
        <v>2444409</v>
      </c>
      <c r="J10" s="48"/>
      <c r="K10" s="48">
        <v>0</v>
      </c>
      <c r="L10" s="48"/>
      <c r="M10" s="48">
        <v>0</v>
      </c>
      <c r="N10" s="48"/>
      <c r="O10" s="48">
        <v>0</v>
      </c>
      <c r="P10" s="48"/>
      <c r="Q10" s="48">
        <v>0</v>
      </c>
      <c r="R10" s="48"/>
      <c r="S10" s="48">
        <v>7827544</v>
      </c>
      <c r="T10" s="48"/>
      <c r="U10" s="48">
        <v>3899</v>
      </c>
      <c r="V10" s="48"/>
      <c r="W10" s="48">
        <v>34464954868</v>
      </c>
      <c r="X10" s="48"/>
      <c r="Y10" s="48">
        <v>30283677594</v>
      </c>
      <c r="Z10" s="48"/>
      <c r="AA10" s="55">
        <f>Y10/4258946404670</f>
        <v>7.1106031202443597E-3</v>
      </c>
      <c r="AB10" s="55"/>
    </row>
    <row r="11" spans="1:28">
      <c r="A11" s="48" t="s">
        <v>151</v>
      </c>
      <c r="B11" s="48"/>
      <c r="C11" s="48">
        <v>6742935</v>
      </c>
      <c r="D11" s="48"/>
      <c r="E11" s="48">
        <v>45881772879</v>
      </c>
      <c r="F11" s="48"/>
      <c r="G11" s="48">
        <v>48441479694</v>
      </c>
      <c r="H11" s="48"/>
      <c r="I11" s="48">
        <v>0</v>
      </c>
      <c r="J11" s="48"/>
      <c r="K11" s="48">
        <v>0</v>
      </c>
      <c r="L11" s="48"/>
      <c r="M11" s="48">
        <v>0</v>
      </c>
      <c r="N11" s="48"/>
      <c r="O11" s="48">
        <v>0</v>
      </c>
      <c r="P11" s="48"/>
      <c r="Q11" s="48">
        <v>0</v>
      </c>
      <c r="R11" s="48"/>
      <c r="S11" s="48">
        <v>6742935</v>
      </c>
      <c r="T11" s="48"/>
      <c r="U11" s="48">
        <v>7240</v>
      </c>
      <c r="V11" s="48"/>
      <c r="W11" s="48">
        <v>45881772879</v>
      </c>
      <c r="X11" s="48"/>
      <c r="Y11" s="48">
        <v>48441479694</v>
      </c>
      <c r="Z11" s="48"/>
      <c r="AA11" s="55">
        <f t="shared" ref="AA11:AA74" si="0">Y11/4258946404670</f>
        <v>1.137405242782186E-2</v>
      </c>
      <c r="AB11" s="55"/>
    </row>
    <row r="12" spans="1:28">
      <c r="A12" s="48" t="s">
        <v>152</v>
      </c>
      <c r="B12" s="48"/>
      <c r="C12" s="48">
        <v>158909</v>
      </c>
      <c r="D12" s="48"/>
      <c r="E12" s="48">
        <v>18355763158</v>
      </c>
      <c r="F12" s="48"/>
      <c r="G12" s="48">
        <v>17472590990</v>
      </c>
      <c r="H12" s="48"/>
      <c r="I12" s="48">
        <v>0</v>
      </c>
      <c r="J12" s="48"/>
      <c r="K12" s="48">
        <v>0</v>
      </c>
      <c r="L12" s="48"/>
      <c r="M12" s="48">
        <v>0</v>
      </c>
      <c r="N12" s="48"/>
      <c r="O12" s="48">
        <v>0</v>
      </c>
      <c r="P12" s="48"/>
      <c r="Q12" s="48">
        <v>0</v>
      </c>
      <c r="R12" s="48"/>
      <c r="S12" s="48">
        <v>158909</v>
      </c>
      <c r="T12" s="48"/>
      <c r="U12" s="48">
        <v>110810</v>
      </c>
      <c r="V12" s="48"/>
      <c r="W12" s="48">
        <v>18355763158</v>
      </c>
      <c r="X12" s="48"/>
      <c r="Y12" s="48">
        <v>17472590990</v>
      </c>
      <c r="Z12" s="48"/>
      <c r="AA12" s="55">
        <f t="shared" si="0"/>
        <v>4.1025618380266622E-3</v>
      </c>
      <c r="AB12" s="55"/>
    </row>
    <row r="13" spans="1:28">
      <c r="A13" s="48" t="s">
        <v>153</v>
      </c>
      <c r="B13" s="48"/>
      <c r="C13" s="48">
        <v>2862943</v>
      </c>
      <c r="D13" s="48"/>
      <c r="E13" s="48">
        <v>16474768843</v>
      </c>
      <c r="F13" s="48"/>
      <c r="G13" s="48">
        <v>15823325350</v>
      </c>
      <c r="H13" s="48"/>
      <c r="I13" s="48">
        <v>0</v>
      </c>
      <c r="J13" s="48"/>
      <c r="K13" s="48">
        <v>0</v>
      </c>
      <c r="L13" s="48"/>
      <c r="M13" s="48">
        <v>0</v>
      </c>
      <c r="N13" s="48"/>
      <c r="O13" s="48">
        <v>0</v>
      </c>
      <c r="P13" s="48"/>
      <c r="Q13" s="48">
        <v>0</v>
      </c>
      <c r="R13" s="48"/>
      <c r="S13" s="48">
        <v>2862943</v>
      </c>
      <c r="T13" s="48"/>
      <c r="U13" s="48">
        <v>5570</v>
      </c>
      <c r="V13" s="48"/>
      <c r="W13" s="48">
        <v>16474768843</v>
      </c>
      <c r="X13" s="48"/>
      <c r="Y13" s="48">
        <v>15823325350</v>
      </c>
      <c r="Z13" s="48"/>
      <c r="AA13" s="55">
        <f t="shared" si="0"/>
        <v>3.7153145042279662E-3</v>
      </c>
      <c r="AB13" s="55"/>
    </row>
    <row r="14" spans="1:28">
      <c r="A14" s="48" t="s">
        <v>150</v>
      </c>
      <c r="B14" s="48"/>
      <c r="C14" s="48">
        <v>50000</v>
      </c>
      <c r="D14" s="48"/>
      <c r="E14" s="48">
        <v>1000908000</v>
      </c>
      <c r="F14" s="48"/>
      <c r="G14" s="48">
        <v>1227934125</v>
      </c>
      <c r="H14" s="48"/>
      <c r="I14" s="48">
        <v>38610</v>
      </c>
      <c r="J14" s="48"/>
      <c r="K14" s="48">
        <v>0</v>
      </c>
      <c r="L14" s="48"/>
      <c r="M14" s="48">
        <v>0</v>
      </c>
      <c r="N14" s="48"/>
      <c r="O14" s="48">
        <v>0</v>
      </c>
      <c r="P14" s="48"/>
      <c r="Q14" s="48">
        <v>0</v>
      </c>
      <c r="R14" s="48"/>
      <c r="S14" s="48">
        <v>88610</v>
      </c>
      <c r="T14" s="48"/>
      <c r="U14" s="48">
        <v>11236</v>
      </c>
      <c r="V14" s="48"/>
      <c r="W14" s="48">
        <v>808821735</v>
      </c>
      <c r="X14" s="48"/>
      <c r="Y14" s="48">
        <v>987925802</v>
      </c>
      <c r="Z14" s="48"/>
      <c r="AA14" s="55">
        <f t="shared" si="0"/>
        <v>2.3196483546182318E-4</v>
      </c>
      <c r="AB14" s="55"/>
    </row>
    <row r="15" spans="1:28">
      <c r="A15" s="48" t="s">
        <v>154</v>
      </c>
      <c r="B15" s="48"/>
      <c r="C15" s="48">
        <v>0</v>
      </c>
      <c r="D15" s="48"/>
      <c r="E15" s="48">
        <v>0</v>
      </c>
      <c r="F15" s="48"/>
      <c r="G15" s="48">
        <v>0</v>
      </c>
      <c r="H15" s="48"/>
      <c r="I15" s="48">
        <v>23633</v>
      </c>
      <c r="J15" s="48"/>
      <c r="K15" s="48">
        <v>0</v>
      </c>
      <c r="L15" s="48"/>
      <c r="M15" s="48">
        <v>0</v>
      </c>
      <c r="N15" s="48"/>
      <c r="O15" s="48">
        <v>0</v>
      </c>
      <c r="P15" s="48"/>
      <c r="Q15" s="48">
        <v>0</v>
      </c>
      <c r="R15" s="48"/>
      <c r="S15" s="48">
        <v>23633</v>
      </c>
      <c r="T15" s="48"/>
      <c r="U15" s="48">
        <v>10236</v>
      </c>
      <c r="V15" s="48"/>
      <c r="W15" s="48">
        <v>192086265</v>
      </c>
      <c r="X15" s="48"/>
      <c r="Y15" s="48">
        <v>240037444</v>
      </c>
      <c r="Z15" s="48"/>
      <c r="AA15" s="55">
        <f t="shared" si="0"/>
        <v>5.6360757143314898E-5</v>
      </c>
      <c r="AB15" s="55"/>
    </row>
    <row r="16" spans="1:28">
      <c r="A16" s="48" t="s">
        <v>155</v>
      </c>
      <c r="B16" s="48"/>
      <c r="C16" s="48">
        <v>3814542</v>
      </c>
      <c r="D16" s="48"/>
      <c r="E16" s="48">
        <v>16572695909</v>
      </c>
      <c r="F16" s="48"/>
      <c r="G16" s="48">
        <v>15851812812</v>
      </c>
      <c r="H16" s="48"/>
      <c r="I16" s="48">
        <v>0</v>
      </c>
      <c r="J16" s="48"/>
      <c r="K16" s="48">
        <v>0</v>
      </c>
      <c r="L16" s="48"/>
      <c r="M16" s="48">
        <v>0</v>
      </c>
      <c r="N16" s="48"/>
      <c r="O16" s="48">
        <v>0</v>
      </c>
      <c r="P16" s="48"/>
      <c r="Q16" s="48">
        <v>0</v>
      </c>
      <c r="R16" s="48"/>
      <c r="S16" s="48">
        <v>3814542</v>
      </c>
      <c r="T16" s="48"/>
      <c r="U16" s="48">
        <v>4188</v>
      </c>
      <c r="V16" s="48"/>
      <c r="W16" s="48">
        <v>16572695909</v>
      </c>
      <c r="X16" s="48"/>
      <c r="Y16" s="48">
        <v>15851812812</v>
      </c>
      <c r="Z16" s="48"/>
      <c r="AA16" s="55">
        <f t="shared" si="0"/>
        <v>3.7220033561864607E-3</v>
      </c>
      <c r="AB16" s="55"/>
    </row>
    <row r="17" spans="1:28">
      <c r="A17" s="48" t="s">
        <v>156</v>
      </c>
      <c r="B17" s="48"/>
      <c r="C17" s="48">
        <v>245000</v>
      </c>
      <c r="D17" s="48"/>
      <c r="E17" s="48">
        <v>1829159370</v>
      </c>
      <c r="F17" s="48"/>
      <c r="G17" s="48">
        <v>2525872898</v>
      </c>
      <c r="H17" s="48"/>
      <c r="I17" s="48">
        <v>0</v>
      </c>
      <c r="J17" s="48"/>
      <c r="K17" s="48">
        <v>0</v>
      </c>
      <c r="L17" s="48"/>
      <c r="M17" s="48">
        <v>0</v>
      </c>
      <c r="N17" s="48"/>
      <c r="O17" s="48">
        <v>0</v>
      </c>
      <c r="P17" s="48"/>
      <c r="Q17" s="48">
        <v>0</v>
      </c>
      <c r="R17" s="48"/>
      <c r="S17" s="48">
        <v>245000</v>
      </c>
      <c r="T17" s="48"/>
      <c r="U17" s="48">
        <v>10390</v>
      </c>
      <c r="V17" s="48"/>
      <c r="W17" s="48">
        <v>1829159370</v>
      </c>
      <c r="X17" s="48"/>
      <c r="Y17" s="48">
        <v>2525872898</v>
      </c>
      <c r="Z17" s="48"/>
      <c r="AA17" s="55">
        <f t="shared" si="0"/>
        <v>5.9307459122527151E-4</v>
      </c>
      <c r="AB17" s="55"/>
    </row>
    <row r="18" spans="1:28">
      <c r="A18" s="48" t="s">
        <v>157</v>
      </c>
      <c r="B18" s="48"/>
      <c r="C18" s="48">
        <v>2124125</v>
      </c>
      <c r="D18" s="48"/>
      <c r="E18" s="48">
        <v>8803931592</v>
      </c>
      <c r="F18" s="48"/>
      <c r="G18" s="48">
        <v>7929188143</v>
      </c>
      <c r="H18" s="48"/>
      <c r="I18" s="48">
        <v>0</v>
      </c>
      <c r="J18" s="48"/>
      <c r="K18" s="48">
        <v>0</v>
      </c>
      <c r="L18" s="48"/>
      <c r="M18" s="48">
        <v>0</v>
      </c>
      <c r="N18" s="48"/>
      <c r="O18" s="48">
        <v>0</v>
      </c>
      <c r="P18" s="48"/>
      <c r="Q18" s="48">
        <v>0</v>
      </c>
      <c r="R18" s="48"/>
      <c r="S18" s="48">
        <v>2124125</v>
      </c>
      <c r="T18" s="48"/>
      <c r="U18" s="48">
        <v>3762</v>
      </c>
      <c r="V18" s="48"/>
      <c r="W18" s="48">
        <v>8803931592</v>
      </c>
      <c r="X18" s="48"/>
      <c r="Y18" s="48">
        <v>7929188143</v>
      </c>
      <c r="Z18" s="48"/>
      <c r="AA18" s="55">
        <f t="shared" si="0"/>
        <v>1.8617722294663121E-3</v>
      </c>
      <c r="AB18" s="55"/>
    </row>
    <row r="19" spans="1:28">
      <c r="A19" s="48" t="s">
        <v>158</v>
      </c>
      <c r="B19" s="48"/>
      <c r="C19" s="48">
        <v>2398170</v>
      </c>
      <c r="D19" s="48"/>
      <c r="E19" s="48">
        <v>23678086677</v>
      </c>
      <c r="F19" s="48"/>
      <c r="G19" s="48">
        <v>25842805104</v>
      </c>
      <c r="H19" s="48"/>
      <c r="I19" s="48">
        <v>0</v>
      </c>
      <c r="J19" s="48"/>
      <c r="K19" s="48">
        <v>0</v>
      </c>
      <c r="L19" s="48"/>
      <c r="M19" s="48">
        <v>0</v>
      </c>
      <c r="N19" s="48"/>
      <c r="O19" s="48">
        <v>0</v>
      </c>
      <c r="P19" s="48"/>
      <c r="Q19" s="48">
        <v>0</v>
      </c>
      <c r="R19" s="48"/>
      <c r="S19" s="48">
        <v>2398170</v>
      </c>
      <c r="T19" s="48"/>
      <c r="U19" s="48">
        <v>10860</v>
      </c>
      <c r="V19" s="48"/>
      <c r="W19" s="48">
        <v>23678086677</v>
      </c>
      <c r="X19" s="48"/>
      <c r="Y19" s="48">
        <v>25842805104</v>
      </c>
      <c r="Z19" s="48"/>
      <c r="AA19" s="55">
        <f t="shared" si="0"/>
        <v>6.0678869017142291E-3</v>
      </c>
      <c r="AB19" s="55"/>
    </row>
    <row r="20" spans="1:28">
      <c r="A20" s="48" t="s">
        <v>159</v>
      </c>
      <c r="B20" s="48"/>
      <c r="C20" s="48">
        <v>8948358</v>
      </c>
      <c r="D20" s="48"/>
      <c r="E20" s="48">
        <v>14347988206</v>
      </c>
      <c r="F20" s="48"/>
      <c r="G20" s="48">
        <v>17971474878</v>
      </c>
      <c r="H20" s="48"/>
      <c r="I20" s="48">
        <v>0</v>
      </c>
      <c r="J20" s="48"/>
      <c r="K20" s="48">
        <v>0</v>
      </c>
      <c r="L20" s="48"/>
      <c r="M20" s="48">
        <v>0</v>
      </c>
      <c r="N20" s="48"/>
      <c r="O20" s="48">
        <v>0</v>
      </c>
      <c r="P20" s="48"/>
      <c r="Q20" s="48">
        <v>0</v>
      </c>
      <c r="R20" s="48"/>
      <c r="S20" s="48">
        <v>8948358</v>
      </c>
      <c r="T20" s="48"/>
      <c r="U20" s="48">
        <v>2024</v>
      </c>
      <c r="V20" s="48"/>
      <c r="W20" s="48">
        <v>14347988206</v>
      </c>
      <c r="X20" s="48"/>
      <c r="Y20" s="48">
        <v>17971474878</v>
      </c>
      <c r="Z20" s="48"/>
      <c r="AA20" s="55">
        <f t="shared" si="0"/>
        <v>4.2196997027936301E-3</v>
      </c>
      <c r="AB20" s="55"/>
    </row>
    <row r="21" spans="1:28">
      <c r="A21" s="48" t="s">
        <v>160</v>
      </c>
      <c r="B21" s="48"/>
      <c r="C21" s="48">
        <v>8421427</v>
      </c>
      <c r="D21" s="48"/>
      <c r="E21" s="48">
        <v>38251154824</v>
      </c>
      <c r="F21" s="48"/>
      <c r="G21" s="48">
        <v>28737416701</v>
      </c>
      <c r="H21" s="48"/>
      <c r="I21" s="48">
        <v>0</v>
      </c>
      <c r="J21" s="48"/>
      <c r="K21" s="48">
        <v>0</v>
      </c>
      <c r="L21" s="48"/>
      <c r="M21" s="48">
        <v>0</v>
      </c>
      <c r="N21" s="48"/>
      <c r="O21" s="48">
        <v>0</v>
      </c>
      <c r="P21" s="48"/>
      <c r="Q21" s="48">
        <v>0</v>
      </c>
      <c r="R21" s="48"/>
      <c r="S21" s="48">
        <v>8421427</v>
      </c>
      <c r="T21" s="48"/>
      <c r="U21" s="48">
        <v>3439</v>
      </c>
      <c r="V21" s="48"/>
      <c r="W21" s="48">
        <v>38251154824</v>
      </c>
      <c r="X21" s="48"/>
      <c r="Y21" s="48">
        <v>28737416701</v>
      </c>
      <c r="Z21" s="48"/>
      <c r="AA21" s="55">
        <f t="shared" si="0"/>
        <v>6.747541286147434E-3</v>
      </c>
      <c r="AB21" s="55"/>
    </row>
    <row r="22" spans="1:28">
      <c r="A22" s="48" t="s">
        <v>161</v>
      </c>
      <c r="B22" s="48"/>
      <c r="C22" s="48">
        <v>1705609</v>
      </c>
      <c r="D22" s="48"/>
      <c r="E22" s="48">
        <v>26938667383</v>
      </c>
      <c r="F22" s="48"/>
      <c r="G22" s="48">
        <v>29515885764</v>
      </c>
      <c r="H22" s="48"/>
      <c r="I22" s="48">
        <v>0</v>
      </c>
      <c r="J22" s="48"/>
      <c r="K22" s="48">
        <v>0</v>
      </c>
      <c r="L22" s="48"/>
      <c r="M22" s="48">
        <v>0</v>
      </c>
      <c r="N22" s="48"/>
      <c r="O22" s="48">
        <v>0</v>
      </c>
      <c r="P22" s="48"/>
      <c r="Q22" s="48">
        <v>0</v>
      </c>
      <c r="R22" s="48"/>
      <c r="S22" s="48">
        <v>1705609</v>
      </c>
      <c r="T22" s="48"/>
      <c r="U22" s="48">
        <v>17440</v>
      </c>
      <c r="V22" s="48"/>
      <c r="W22" s="48">
        <v>26938667383</v>
      </c>
      <c r="X22" s="48"/>
      <c r="Y22" s="48">
        <v>29515885764</v>
      </c>
      <c r="Z22" s="48"/>
      <c r="AA22" s="55">
        <f t="shared" si="0"/>
        <v>6.9303257095781664E-3</v>
      </c>
      <c r="AB22" s="55"/>
    </row>
    <row r="23" spans="1:28">
      <c r="A23" s="48" t="s">
        <v>162</v>
      </c>
      <c r="B23" s="48"/>
      <c r="C23" s="48">
        <v>8803637</v>
      </c>
      <c r="D23" s="48"/>
      <c r="E23" s="48">
        <v>24145454769</v>
      </c>
      <c r="F23" s="48"/>
      <c r="G23" s="48">
        <v>19331849353</v>
      </c>
      <c r="H23" s="48"/>
      <c r="I23" s="48">
        <v>0</v>
      </c>
      <c r="J23" s="48"/>
      <c r="K23" s="48">
        <v>0</v>
      </c>
      <c r="L23" s="48"/>
      <c r="M23" s="48">
        <v>0</v>
      </c>
      <c r="N23" s="48"/>
      <c r="O23" s="48">
        <v>0</v>
      </c>
      <c r="P23" s="48"/>
      <c r="Q23" s="48">
        <v>0</v>
      </c>
      <c r="R23" s="48"/>
      <c r="S23" s="48">
        <v>8803637</v>
      </c>
      <c r="T23" s="48"/>
      <c r="U23" s="48">
        <v>2213</v>
      </c>
      <c r="V23" s="48"/>
      <c r="W23" s="48">
        <v>24145454769</v>
      </c>
      <c r="X23" s="48"/>
      <c r="Y23" s="48">
        <v>19331849353</v>
      </c>
      <c r="Z23" s="48"/>
      <c r="AA23" s="55">
        <f t="shared" si="0"/>
        <v>4.5391154328221486E-3</v>
      </c>
      <c r="AB23" s="55"/>
    </row>
    <row r="24" spans="1:28">
      <c r="A24" s="48" t="s">
        <v>163</v>
      </c>
      <c r="B24" s="48"/>
      <c r="C24" s="48">
        <v>22471939</v>
      </c>
      <c r="D24" s="48"/>
      <c r="E24" s="48">
        <v>42819311974</v>
      </c>
      <c r="F24" s="48"/>
      <c r="G24" s="48">
        <v>51486615175</v>
      </c>
      <c r="H24" s="48"/>
      <c r="I24" s="48">
        <v>0</v>
      </c>
      <c r="J24" s="48"/>
      <c r="K24" s="48">
        <v>0</v>
      </c>
      <c r="L24" s="48"/>
      <c r="M24" s="48">
        <v>0</v>
      </c>
      <c r="N24" s="48"/>
      <c r="O24" s="48">
        <v>0</v>
      </c>
      <c r="P24" s="48"/>
      <c r="Q24" s="48">
        <v>0</v>
      </c>
      <c r="R24" s="48"/>
      <c r="S24" s="48">
        <v>22471939</v>
      </c>
      <c r="T24" s="48"/>
      <c r="U24" s="48">
        <v>2309</v>
      </c>
      <c r="V24" s="48"/>
      <c r="W24" s="48">
        <v>42819311974</v>
      </c>
      <c r="X24" s="48"/>
      <c r="Y24" s="48">
        <v>51486615175</v>
      </c>
      <c r="Z24" s="48"/>
      <c r="AA24" s="55">
        <f t="shared" si="0"/>
        <v>1.2089049798453471E-2</v>
      </c>
      <c r="AB24" s="55"/>
    </row>
    <row r="25" spans="1:28">
      <c r="A25" s="48" t="s">
        <v>164</v>
      </c>
      <c r="B25" s="48"/>
      <c r="C25" s="48">
        <v>63507736</v>
      </c>
      <c r="D25" s="48"/>
      <c r="E25" s="48">
        <v>33657865436</v>
      </c>
      <c r="F25" s="48"/>
      <c r="G25" s="48">
        <v>29932990070</v>
      </c>
      <c r="H25" s="48"/>
      <c r="I25" s="48">
        <v>0</v>
      </c>
      <c r="J25" s="48"/>
      <c r="K25" s="48">
        <v>0</v>
      </c>
      <c r="L25" s="48"/>
      <c r="M25" s="48">
        <v>0</v>
      </c>
      <c r="N25" s="48"/>
      <c r="O25" s="48">
        <v>0</v>
      </c>
      <c r="P25" s="48"/>
      <c r="Q25" s="48">
        <v>0</v>
      </c>
      <c r="R25" s="48"/>
      <c r="S25" s="48">
        <v>63507736</v>
      </c>
      <c r="T25" s="48"/>
      <c r="U25" s="48">
        <v>475</v>
      </c>
      <c r="V25" s="48"/>
      <c r="W25" s="48">
        <v>33657865436</v>
      </c>
      <c r="X25" s="48"/>
      <c r="Y25" s="48">
        <v>29932990070</v>
      </c>
      <c r="Z25" s="48"/>
      <c r="AA25" s="55">
        <f t="shared" si="0"/>
        <v>7.0282617403163413E-3</v>
      </c>
      <c r="AB25" s="55"/>
    </row>
    <row r="26" spans="1:28">
      <c r="A26" s="48" t="s">
        <v>165</v>
      </c>
      <c r="B26" s="48"/>
      <c r="C26" s="48">
        <v>1750000</v>
      </c>
      <c r="D26" s="48"/>
      <c r="E26" s="48">
        <v>4291393050</v>
      </c>
      <c r="F26" s="48"/>
      <c r="G26" s="48">
        <v>4554767367</v>
      </c>
      <c r="H26" s="48"/>
      <c r="I26" s="48">
        <v>0</v>
      </c>
      <c r="J26" s="48"/>
      <c r="K26" s="48">
        <v>0</v>
      </c>
      <c r="L26" s="48"/>
      <c r="M26" s="48">
        <v>0</v>
      </c>
      <c r="N26" s="48"/>
      <c r="O26" s="48">
        <v>0</v>
      </c>
      <c r="P26" s="48"/>
      <c r="Q26" s="48">
        <v>0</v>
      </c>
      <c r="R26" s="48"/>
      <c r="S26" s="48">
        <v>1750000</v>
      </c>
      <c r="T26" s="48"/>
      <c r="U26" s="48">
        <v>2623</v>
      </c>
      <c r="V26" s="48"/>
      <c r="W26" s="48">
        <v>4291393050</v>
      </c>
      <c r="X26" s="48"/>
      <c r="Y26" s="48">
        <v>4554767367</v>
      </c>
      <c r="Z26" s="48"/>
      <c r="AA26" s="55">
        <f t="shared" si="0"/>
        <v>1.0694587191812576E-3</v>
      </c>
      <c r="AB26" s="55"/>
    </row>
    <row r="27" spans="1:28">
      <c r="A27" s="48" t="s">
        <v>166</v>
      </c>
      <c r="B27" s="48"/>
      <c r="C27" s="48">
        <v>9109504</v>
      </c>
      <c r="D27" s="48"/>
      <c r="E27" s="48">
        <v>18425777349</v>
      </c>
      <c r="F27" s="48"/>
      <c r="G27" s="48">
        <v>14462540055</v>
      </c>
      <c r="H27" s="48"/>
      <c r="I27" s="48">
        <v>0</v>
      </c>
      <c r="J27" s="48"/>
      <c r="K27" s="48">
        <v>0</v>
      </c>
      <c r="L27" s="48"/>
      <c r="M27" s="48">
        <v>0</v>
      </c>
      <c r="N27" s="48"/>
      <c r="O27" s="48">
        <v>0</v>
      </c>
      <c r="P27" s="48"/>
      <c r="Q27" s="48">
        <v>0</v>
      </c>
      <c r="R27" s="48"/>
      <c r="S27" s="48">
        <v>9109504</v>
      </c>
      <c r="T27" s="48"/>
      <c r="U27" s="48">
        <v>1600</v>
      </c>
      <c r="V27" s="48"/>
      <c r="W27" s="48">
        <v>18425777349</v>
      </c>
      <c r="X27" s="48"/>
      <c r="Y27" s="48">
        <v>14462540055</v>
      </c>
      <c r="Z27" s="48"/>
      <c r="AA27" s="55">
        <f t="shared" si="0"/>
        <v>3.3958023137228501E-3</v>
      </c>
      <c r="AB27" s="55"/>
    </row>
    <row r="28" spans="1:28">
      <c r="A28" s="48" t="s">
        <v>123</v>
      </c>
      <c r="B28" s="48"/>
      <c r="C28" s="48">
        <v>33702691</v>
      </c>
      <c r="D28" s="48"/>
      <c r="E28" s="48">
        <v>17509466015</v>
      </c>
      <c r="F28" s="48"/>
      <c r="G28" s="48">
        <v>13510636356</v>
      </c>
      <c r="H28" s="48"/>
      <c r="I28" s="48">
        <v>2515306</v>
      </c>
      <c r="J28" s="48"/>
      <c r="K28" s="48">
        <v>0</v>
      </c>
      <c r="L28" s="48"/>
      <c r="M28" s="48">
        <v>0</v>
      </c>
      <c r="N28" s="48"/>
      <c r="O28" s="48">
        <v>0</v>
      </c>
      <c r="P28" s="48"/>
      <c r="Q28" s="48">
        <v>0</v>
      </c>
      <c r="R28" s="48"/>
      <c r="S28" s="48">
        <v>36217997</v>
      </c>
      <c r="T28" s="48"/>
      <c r="U28" s="48">
        <v>376</v>
      </c>
      <c r="V28" s="48"/>
      <c r="W28" s="48">
        <v>17509466015</v>
      </c>
      <c r="X28" s="48"/>
      <c r="Y28" s="48">
        <v>13512699988</v>
      </c>
      <c r="Z28" s="48"/>
      <c r="AA28" s="55">
        <f t="shared" si="0"/>
        <v>3.1727800033320725E-3</v>
      </c>
      <c r="AB28" s="55"/>
    </row>
    <row r="29" spans="1:28">
      <c r="A29" s="48" t="s">
        <v>167</v>
      </c>
      <c r="B29" s="48"/>
      <c r="C29" s="48">
        <v>5600000</v>
      </c>
      <c r="D29" s="48"/>
      <c r="E29" s="48">
        <v>15821717016</v>
      </c>
      <c r="F29" s="48"/>
      <c r="G29" s="48">
        <v>14614152560</v>
      </c>
      <c r="H29" s="48"/>
      <c r="I29" s="48">
        <v>0</v>
      </c>
      <c r="J29" s="48"/>
      <c r="K29" s="48">
        <v>0</v>
      </c>
      <c r="L29" s="48"/>
      <c r="M29" s="48">
        <v>0</v>
      </c>
      <c r="N29" s="48"/>
      <c r="O29" s="48">
        <v>0</v>
      </c>
      <c r="P29" s="48"/>
      <c r="Q29" s="48">
        <v>0</v>
      </c>
      <c r="R29" s="48"/>
      <c r="S29" s="48">
        <v>5600000</v>
      </c>
      <c r="T29" s="48"/>
      <c r="U29" s="48">
        <v>2630</v>
      </c>
      <c r="V29" s="48"/>
      <c r="W29" s="48">
        <v>15821717016</v>
      </c>
      <c r="X29" s="48"/>
      <c r="Y29" s="48">
        <v>14614152560</v>
      </c>
      <c r="Z29" s="48"/>
      <c r="AA29" s="55">
        <f t="shared" si="0"/>
        <v>3.431400907974648E-3</v>
      </c>
      <c r="AB29" s="55"/>
    </row>
    <row r="30" spans="1:28">
      <c r="A30" s="48" t="s">
        <v>142</v>
      </c>
      <c r="B30" s="48"/>
      <c r="C30" s="48">
        <v>5392254</v>
      </c>
      <c r="D30" s="48"/>
      <c r="E30" s="48">
        <v>19725792207</v>
      </c>
      <c r="F30" s="48"/>
      <c r="G30" s="48">
        <v>14339532629</v>
      </c>
      <c r="H30" s="48"/>
      <c r="I30" s="48">
        <v>2482889</v>
      </c>
      <c r="J30" s="48"/>
      <c r="K30" s="48">
        <v>0</v>
      </c>
      <c r="L30" s="48"/>
      <c r="M30" s="48">
        <v>0</v>
      </c>
      <c r="N30" s="48"/>
      <c r="O30" s="48">
        <v>0</v>
      </c>
      <c r="P30" s="48"/>
      <c r="Q30" s="48">
        <v>0</v>
      </c>
      <c r="R30" s="48"/>
      <c r="S30" s="48">
        <v>7875143</v>
      </c>
      <c r="T30" s="48"/>
      <c r="U30" s="48">
        <v>1835</v>
      </c>
      <c r="V30" s="48"/>
      <c r="W30" s="48">
        <v>19725792207</v>
      </c>
      <c r="X30" s="48"/>
      <c r="Y30" s="48">
        <v>14339182045</v>
      </c>
      <c r="Z30" s="48"/>
      <c r="AA30" s="55">
        <f t="shared" si="0"/>
        <v>3.3668378708116326E-3</v>
      </c>
      <c r="AB30" s="55"/>
    </row>
    <row r="31" spans="1:28">
      <c r="A31" s="48" t="s">
        <v>168</v>
      </c>
      <c r="B31" s="48"/>
      <c r="C31" s="48">
        <v>45323085</v>
      </c>
      <c r="D31" s="48"/>
      <c r="E31" s="48">
        <v>27296589533</v>
      </c>
      <c r="F31" s="48"/>
      <c r="G31" s="48">
        <v>21901723188</v>
      </c>
      <c r="H31" s="48"/>
      <c r="I31" s="48">
        <v>0</v>
      </c>
      <c r="J31" s="48"/>
      <c r="K31" s="48">
        <v>0</v>
      </c>
      <c r="L31" s="48"/>
      <c r="M31" s="48">
        <v>0</v>
      </c>
      <c r="N31" s="48"/>
      <c r="O31" s="48">
        <v>0</v>
      </c>
      <c r="P31" s="48"/>
      <c r="Q31" s="48">
        <v>0</v>
      </c>
      <c r="R31" s="48"/>
      <c r="S31" s="48">
        <v>45323085</v>
      </c>
      <c r="T31" s="48"/>
      <c r="U31" s="48">
        <v>487</v>
      </c>
      <c r="V31" s="48"/>
      <c r="W31" s="48">
        <v>27296589533</v>
      </c>
      <c r="X31" s="48"/>
      <c r="Y31" s="48">
        <v>21901723188</v>
      </c>
      <c r="Z31" s="48"/>
      <c r="AA31" s="55">
        <f t="shared" si="0"/>
        <v>5.1425214376927646E-3</v>
      </c>
      <c r="AB31" s="55"/>
    </row>
    <row r="32" spans="1:28">
      <c r="A32" s="48" t="s">
        <v>144</v>
      </c>
      <c r="B32" s="48"/>
      <c r="C32" s="48">
        <v>17508571</v>
      </c>
      <c r="D32" s="48"/>
      <c r="E32" s="48">
        <v>23868058509</v>
      </c>
      <c r="F32" s="48"/>
      <c r="G32" s="48">
        <v>21560178115</v>
      </c>
      <c r="H32" s="48"/>
      <c r="I32" s="48">
        <v>7387568</v>
      </c>
      <c r="J32" s="48"/>
      <c r="K32" s="48">
        <v>0</v>
      </c>
      <c r="L32" s="48"/>
      <c r="M32" s="48">
        <v>0</v>
      </c>
      <c r="N32" s="48"/>
      <c r="O32" s="48">
        <v>0</v>
      </c>
      <c r="P32" s="48"/>
      <c r="Q32" s="48">
        <v>0</v>
      </c>
      <c r="R32" s="48"/>
      <c r="S32" s="48">
        <v>24896139</v>
      </c>
      <c r="T32" s="48"/>
      <c r="U32" s="48">
        <v>873</v>
      </c>
      <c r="V32" s="48"/>
      <c r="W32" s="48">
        <v>23868058509</v>
      </c>
      <c r="X32" s="48"/>
      <c r="Y32" s="48">
        <v>21566322981</v>
      </c>
      <c r="Z32" s="48"/>
      <c r="AA32" s="55">
        <f t="shared" si="0"/>
        <v>5.0637695175858978E-3</v>
      </c>
      <c r="AB32" s="55"/>
    </row>
    <row r="33" spans="1:28">
      <c r="A33" s="48" t="s">
        <v>139</v>
      </c>
      <c r="B33" s="48"/>
      <c r="C33" s="48">
        <v>5952212</v>
      </c>
      <c r="D33" s="48"/>
      <c r="E33" s="48">
        <v>27256905650</v>
      </c>
      <c r="F33" s="48"/>
      <c r="G33" s="48">
        <v>25130886962</v>
      </c>
      <c r="H33" s="48"/>
      <c r="I33" s="48">
        <v>2550948</v>
      </c>
      <c r="J33" s="48"/>
      <c r="K33" s="48">
        <v>0</v>
      </c>
      <c r="L33" s="48"/>
      <c r="M33" s="48">
        <v>0</v>
      </c>
      <c r="N33" s="48"/>
      <c r="O33" s="48">
        <v>0</v>
      </c>
      <c r="P33" s="48"/>
      <c r="Q33" s="48">
        <v>0</v>
      </c>
      <c r="R33" s="48"/>
      <c r="S33" s="48">
        <v>8503160</v>
      </c>
      <c r="T33" s="48"/>
      <c r="U33" s="48">
        <v>2979</v>
      </c>
      <c r="V33" s="48"/>
      <c r="W33" s="48">
        <v>27256905650</v>
      </c>
      <c r="X33" s="48"/>
      <c r="Y33" s="48">
        <v>25135105678</v>
      </c>
      <c r="Z33" s="48"/>
      <c r="AA33" s="55">
        <f t="shared" si="0"/>
        <v>5.9017191788182568E-3</v>
      </c>
      <c r="AB33" s="55"/>
    </row>
    <row r="34" spans="1:28">
      <c r="A34" s="48" t="s">
        <v>169</v>
      </c>
      <c r="B34" s="48"/>
      <c r="C34" s="48">
        <v>22445192</v>
      </c>
      <c r="D34" s="48"/>
      <c r="E34" s="48">
        <v>30293640914</v>
      </c>
      <c r="F34" s="48"/>
      <c r="G34" s="48">
        <v>34075686719</v>
      </c>
      <c r="H34" s="48"/>
      <c r="I34" s="48">
        <v>0</v>
      </c>
      <c r="J34" s="48"/>
      <c r="K34" s="48">
        <v>0</v>
      </c>
      <c r="L34" s="48"/>
      <c r="M34" s="48">
        <v>0</v>
      </c>
      <c r="N34" s="48"/>
      <c r="O34" s="48">
        <v>0</v>
      </c>
      <c r="P34" s="48"/>
      <c r="Q34" s="48">
        <v>0</v>
      </c>
      <c r="R34" s="48"/>
      <c r="S34" s="48">
        <v>22445192</v>
      </c>
      <c r="T34" s="48"/>
      <c r="U34" s="48">
        <v>1530</v>
      </c>
      <c r="V34" s="48"/>
      <c r="W34" s="48">
        <v>30293640914</v>
      </c>
      <c r="X34" s="48"/>
      <c r="Y34" s="48">
        <v>34075686719</v>
      </c>
      <c r="Z34" s="48"/>
      <c r="AA34" s="55">
        <f t="shared" si="0"/>
        <v>8.0009663144940003E-3</v>
      </c>
      <c r="AB34" s="55"/>
    </row>
    <row r="35" spans="1:28">
      <c r="A35" s="48" t="s">
        <v>170</v>
      </c>
      <c r="B35" s="48"/>
      <c r="C35" s="48">
        <v>9210264</v>
      </c>
      <c r="D35" s="48"/>
      <c r="E35" s="48">
        <v>15031859870</v>
      </c>
      <c r="F35" s="48"/>
      <c r="G35" s="48">
        <v>17537872757</v>
      </c>
      <c r="H35" s="48"/>
      <c r="I35" s="48">
        <v>0</v>
      </c>
      <c r="J35" s="48"/>
      <c r="K35" s="48">
        <v>0</v>
      </c>
      <c r="L35" s="48"/>
      <c r="M35" s="48">
        <v>0</v>
      </c>
      <c r="N35" s="48"/>
      <c r="O35" s="48">
        <v>0</v>
      </c>
      <c r="P35" s="48"/>
      <c r="Q35" s="48">
        <v>0</v>
      </c>
      <c r="R35" s="48"/>
      <c r="S35" s="48">
        <v>9210264</v>
      </c>
      <c r="T35" s="48"/>
      <c r="U35" s="48">
        <v>1919</v>
      </c>
      <c r="V35" s="48"/>
      <c r="W35" s="48">
        <v>15031859870</v>
      </c>
      <c r="X35" s="48"/>
      <c r="Y35" s="48">
        <v>17537872757</v>
      </c>
      <c r="Z35" s="48"/>
      <c r="AA35" s="55">
        <f t="shared" si="0"/>
        <v>4.117889987478935E-3</v>
      </c>
      <c r="AB35" s="55"/>
    </row>
    <row r="36" spans="1:28">
      <c r="A36" s="48" t="s">
        <v>171</v>
      </c>
      <c r="B36" s="48"/>
      <c r="C36" s="48">
        <v>7041661</v>
      </c>
      <c r="D36" s="48"/>
      <c r="E36" s="48">
        <v>16060551276</v>
      </c>
      <c r="F36" s="48"/>
      <c r="G36" s="48">
        <v>14673180817</v>
      </c>
      <c r="H36" s="48"/>
      <c r="I36" s="48">
        <v>0</v>
      </c>
      <c r="J36" s="48"/>
      <c r="K36" s="48">
        <v>0</v>
      </c>
      <c r="L36" s="48"/>
      <c r="M36" s="48">
        <v>0</v>
      </c>
      <c r="N36" s="48"/>
      <c r="O36" s="48">
        <v>0</v>
      </c>
      <c r="P36" s="48"/>
      <c r="Q36" s="48">
        <v>0</v>
      </c>
      <c r="R36" s="48"/>
      <c r="S36" s="48">
        <v>7041661</v>
      </c>
      <c r="T36" s="48"/>
      <c r="U36" s="48">
        <v>2100</v>
      </c>
      <c r="V36" s="48"/>
      <c r="W36" s="48">
        <v>16060551276</v>
      </c>
      <c r="X36" s="48"/>
      <c r="Y36" s="48">
        <v>14673180817</v>
      </c>
      <c r="Z36" s="48"/>
      <c r="AA36" s="55">
        <f t="shared" si="0"/>
        <v>3.4452607341831378E-3</v>
      </c>
      <c r="AB36" s="55"/>
    </row>
    <row r="37" spans="1:28">
      <c r="A37" s="48" t="s">
        <v>172</v>
      </c>
      <c r="B37" s="48"/>
      <c r="C37" s="48">
        <v>2875000</v>
      </c>
      <c r="D37" s="48"/>
      <c r="E37" s="48">
        <v>4907321845</v>
      </c>
      <c r="F37" s="48"/>
      <c r="G37" s="48">
        <v>5668466409</v>
      </c>
      <c r="H37" s="48"/>
      <c r="I37" s="48">
        <v>0</v>
      </c>
      <c r="J37" s="48"/>
      <c r="K37" s="48">
        <v>0</v>
      </c>
      <c r="L37" s="48"/>
      <c r="M37" s="48">
        <v>0</v>
      </c>
      <c r="N37" s="48"/>
      <c r="O37" s="48">
        <v>0</v>
      </c>
      <c r="P37" s="48"/>
      <c r="Q37" s="48">
        <v>0</v>
      </c>
      <c r="R37" s="48"/>
      <c r="S37" s="48">
        <v>2875000</v>
      </c>
      <c r="T37" s="48"/>
      <c r="U37" s="48">
        <v>1987</v>
      </c>
      <c r="V37" s="48"/>
      <c r="W37" s="48">
        <v>4907321845</v>
      </c>
      <c r="X37" s="48"/>
      <c r="Y37" s="48">
        <v>5668466409</v>
      </c>
      <c r="Z37" s="48"/>
      <c r="AA37" s="55">
        <f t="shared" si="0"/>
        <v>1.3309550932090715E-3</v>
      </c>
      <c r="AB37" s="55"/>
    </row>
    <row r="38" spans="1:28">
      <c r="A38" s="48" t="s">
        <v>173</v>
      </c>
      <c r="B38" s="48"/>
      <c r="C38" s="48">
        <v>10263245</v>
      </c>
      <c r="D38" s="48"/>
      <c r="E38" s="48">
        <v>14354875783</v>
      </c>
      <c r="F38" s="48"/>
      <c r="G38" s="48">
        <v>12729887645</v>
      </c>
      <c r="H38" s="48"/>
      <c r="I38" s="48">
        <v>0</v>
      </c>
      <c r="J38" s="48"/>
      <c r="K38" s="48">
        <v>0</v>
      </c>
      <c r="L38" s="48"/>
      <c r="M38" s="48">
        <v>0</v>
      </c>
      <c r="N38" s="48"/>
      <c r="O38" s="48">
        <v>0</v>
      </c>
      <c r="P38" s="48"/>
      <c r="Q38" s="48">
        <v>0</v>
      </c>
      <c r="R38" s="48"/>
      <c r="S38" s="48">
        <v>10263245</v>
      </c>
      <c r="T38" s="48"/>
      <c r="U38" s="48">
        <v>1250</v>
      </c>
      <c r="V38" s="48"/>
      <c r="W38" s="48">
        <v>14354875783</v>
      </c>
      <c r="X38" s="48"/>
      <c r="Y38" s="48">
        <v>12729887645</v>
      </c>
      <c r="Z38" s="48"/>
      <c r="AA38" s="55">
        <f t="shared" si="0"/>
        <v>2.9889757783853497E-3</v>
      </c>
      <c r="AB38" s="55"/>
    </row>
    <row r="39" spans="1:28">
      <c r="A39" s="48" t="s">
        <v>174</v>
      </c>
      <c r="B39" s="48"/>
      <c r="C39" s="48">
        <v>3665469</v>
      </c>
      <c r="D39" s="48"/>
      <c r="E39" s="48">
        <v>8097151442</v>
      </c>
      <c r="F39" s="48"/>
      <c r="G39" s="48">
        <v>10354923130</v>
      </c>
      <c r="H39" s="48"/>
      <c r="I39" s="48">
        <v>0</v>
      </c>
      <c r="J39" s="48"/>
      <c r="K39" s="48">
        <v>0</v>
      </c>
      <c r="L39" s="48"/>
      <c r="M39" s="48">
        <v>0</v>
      </c>
      <c r="N39" s="48"/>
      <c r="O39" s="48">
        <v>0</v>
      </c>
      <c r="P39" s="48"/>
      <c r="Q39" s="48">
        <v>0</v>
      </c>
      <c r="R39" s="48"/>
      <c r="S39" s="48">
        <v>3665469</v>
      </c>
      <c r="T39" s="48"/>
      <c r="U39" s="48">
        <v>2847</v>
      </c>
      <c r="V39" s="48"/>
      <c r="W39" s="48">
        <v>8097151442</v>
      </c>
      <c r="X39" s="48"/>
      <c r="Y39" s="48">
        <v>10354923130</v>
      </c>
      <c r="Z39" s="48"/>
      <c r="AA39" s="55">
        <f t="shared" si="0"/>
        <v>2.4313344536680873E-3</v>
      </c>
      <c r="AB39" s="55"/>
    </row>
    <row r="40" spans="1:28">
      <c r="A40" s="48" t="s">
        <v>175</v>
      </c>
      <c r="B40" s="48"/>
      <c r="C40" s="48">
        <v>8417878</v>
      </c>
      <c r="D40" s="48"/>
      <c r="E40" s="48">
        <v>13185272310</v>
      </c>
      <c r="F40" s="48"/>
      <c r="G40" s="48">
        <v>12721326284</v>
      </c>
      <c r="H40" s="48"/>
      <c r="I40" s="48">
        <v>0</v>
      </c>
      <c r="J40" s="48"/>
      <c r="K40" s="48">
        <v>0</v>
      </c>
      <c r="L40" s="48"/>
      <c r="M40" s="48">
        <v>0</v>
      </c>
      <c r="N40" s="48"/>
      <c r="O40" s="48">
        <v>0</v>
      </c>
      <c r="P40" s="48"/>
      <c r="Q40" s="48">
        <v>0</v>
      </c>
      <c r="R40" s="48"/>
      <c r="S40" s="48">
        <v>8417878</v>
      </c>
      <c r="T40" s="48"/>
      <c r="U40" s="48">
        <v>1523</v>
      </c>
      <c r="V40" s="48"/>
      <c r="W40" s="48">
        <v>13185272310</v>
      </c>
      <c r="X40" s="48"/>
      <c r="Y40" s="48">
        <v>12721326284</v>
      </c>
      <c r="Z40" s="48"/>
      <c r="AA40" s="55">
        <f t="shared" si="0"/>
        <v>2.9869655720604679E-3</v>
      </c>
      <c r="AB40" s="55"/>
    </row>
    <row r="41" spans="1:28">
      <c r="A41" s="48" t="s">
        <v>176</v>
      </c>
      <c r="B41" s="48"/>
      <c r="C41" s="48">
        <v>4264408</v>
      </c>
      <c r="D41" s="48"/>
      <c r="E41" s="48">
        <v>15931326710</v>
      </c>
      <c r="F41" s="48"/>
      <c r="G41" s="48">
        <v>11416436252</v>
      </c>
      <c r="H41" s="48"/>
      <c r="I41" s="48">
        <v>0</v>
      </c>
      <c r="J41" s="48"/>
      <c r="K41" s="48">
        <v>0</v>
      </c>
      <c r="L41" s="48"/>
      <c r="M41" s="48">
        <v>0</v>
      </c>
      <c r="N41" s="48"/>
      <c r="O41" s="48">
        <v>0</v>
      </c>
      <c r="P41" s="48"/>
      <c r="Q41" s="48">
        <v>0</v>
      </c>
      <c r="R41" s="48"/>
      <c r="S41" s="48">
        <v>4264408</v>
      </c>
      <c r="T41" s="48"/>
      <c r="U41" s="48">
        <v>2698</v>
      </c>
      <c r="V41" s="48"/>
      <c r="W41" s="48">
        <v>15931326710</v>
      </c>
      <c r="X41" s="48"/>
      <c r="Y41" s="48">
        <v>11416436252</v>
      </c>
      <c r="Z41" s="48"/>
      <c r="AA41" s="55">
        <f t="shared" si="0"/>
        <v>2.6805775812256531E-3</v>
      </c>
      <c r="AB41" s="55"/>
    </row>
    <row r="42" spans="1:28">
      <c r="A42" s="48" t="s">
        <v>125</v>
      </c>
      <c r="B42" s="48"/>
      <c r="C42" s="48">
        <v>3275356</v>
      </c>
      <c r="D42" s="48"/>
      <c r="E42" s="48">
        <v>14423816899</v>
      </c>
      <c r="F42" s="48"/>
      <c r="G42" s="48">
        <v>25902798860</v>
      </c>
      <c r="H42" s="48"/>
      <c r="I42" s="48">
        <v>963340</v>
      </c>
      <c r="J42" s="48"/>
      <c r="K42" s="48">
        <v>0</v>
      </c>
      <c r="L42" s="48"/>
      <c r="M42" s="48">
        <v>0</v>
      </c>
      <c r="N42" s="48"/>
      <c r="O42" s="48">
        <v>0</v>
      </c>
      <c r="P42" s="48"/>
      <c r="Q42" s="48">
        <v>0</v>
      </c>
      <c r="R42" s="48"/>
      <c r="S42" s="48">
        <v>4238696</v>
      </c>
      <c r="T42" s="48"/>
      <c r="U42" s="48">
        <v>6159</v>
      </c>
      <c r="V42" s="48"/>
      <c r="W42" s="48">
        <v>14423816899</v>
      </c>
      <c r="X42" s="48"/>
      <c r="Y42" s="48">
        <v>25904328289</v>
      </c>
      <c r="Z42" s="48"/>
      <c r="AA42" s="55">
        <f t="shared" si="0"/>
        <v>6.082332536656368E-3</v>
      </c>
      <c r="AB42" s="55"/>
    </row>
    <row r="43" spans="1:28">
      <c r="A43" s="48" t="s">
        <v>177</v>
      </c>
      <c r="B43" s="48"/>
      <c r="C43" s="48">
        <v>5516183</v>
      </c>
      <c r="D43" s="48"/>
      <c r="E43" s="48">
        <v>10525602537</v>
      </c>
      <c r="F43" s="48"/>
      <c r="G43" s="48">
        <v>24795149362</v>
      </c>
      <c r="H43" s="48"/>
      <c r="I43" s="48">
        <v>0</v>
      </c>
      <c r="J43" s="48"/>
      <c r="K43" s="48">
        <v>0</v>
      </c>
      <c r="L43" s="48"/>
      <c r="M43" s="48">
        <v>0</v>
      </c>
      <c r="N43" s="48"/>
      <c r="O43" s="48">
        <v>0</v>
      </c>
      <c r="P43" s="48"/>
      <c r="Q43" s="48">
        <v>0</v>
      </c>
      <c r="R43" s="48"/>
      <c r="S43" s="48">
        <v>5516183</v>
      </c>
      <c r="T43" s="48"/>
      <c r="U43" s="48">
        <v>4530</v>
      </c>
      <c r="V43" s="48"/>
      <c r="W43" s="48">
        <v>10525602537</v>
      </c>
      <c r="X43" s="48"/>
      <c r="Y43" s="48">
        <v>24795149362</v>
      </c>
      <c r="Z43" s="48"/>
      <c r="AA43" s="55">
        <f t="shared" si="0"/>
        <v>5.8218974849769739E-3</v>
      </c>
      <c r="AB43" s="55"/>
    </row>
    <row r="44" spans="1:28">
      <c r="A44" s="48" t="s">
        <v>178</v>
      </c>
      <c r="B44" s="48"/>
      <c r="C44" s="48">
        <v>4316567</v>
      </c>
      <c r="D44" s="48"/>
      <c r="E44" s="48">
        <v>17155336279</v>
      </c>
      <c r="F44" s="48"/>
      <c r="G44" s="48">
        <v>11136319836</v>
      </c>
      <c r="H44" s="48"/>
      <c r="I44" s="48">
        <v>2411489</v>
      </c>
      <c r="J44" s="48"/>
      <c r="K44" s="48">
        <v>0</v>
      </c>
      <c r="L44" s="48"/>
      <c r="M44" s="48">
        <v>0</v>
      </c>
      <c r="N44" s="48"/>
      <c r="O44" s="48">
        <v>0</v>
      </c>
      <c r="P44" s="48"/>
      <c r="Q44" s="48">
        <v>0</v>
      </c>
      <c r="R44" s="48"/>
      <c r="S44" s="48">
        <v>6728056</v>
      </c>
      <c r="T44" s="48"/>
      <c r="U44" s="48">
        <v>1668</v>
      </c>
      <c r="V44" s="48"/>
      <c r="W44" s="48">
        <v>17155336279</v>
      </c>
      <c r="X44" s="48"/>
      <c r="Y44" s="48">
        <v>11135648276</v>
      </c>
      <c r="Z44" s="48"/>
      <c r="AA44" s="55">
        <f t="shared" si="0"/>
        <v>2.6146486050610054E-3</v>
      </c>
      <c r="AB44" s="55"/>
    </row>
    <row r="45" spans="1:28">
      <c r="A45" s="48" t="s">
        <v>179</v>
      </c>
      <c r="B45" s="48"/>
      <c r="C45" s="48">
        <v>11800000</v>
      </c>
      <c r="D45" s="48"/>
      <c r="E45" s="48">
        <v>29761393766</v>
      </c>
      <c r="F45" s="48"/>
      <c r="G45" s="48">
        <v>26110592780</v>
      </c>
      <c r="H45" s="48"/>
      <c r="I45" s="48">
        <v>0</v>
      </c>
      <c r="J45" s="48"/>
      <c r="K45" s="48">
        <v>0</v>
      </c>
      <c r="L45" s="48"/>
      <c r="M45" s="48">
        <v>0</v>
      </c>
      <c r="N45" s="48"/>
      <c r="O45" s="48">
        <v>0</v>
      </c>
      <c r="P45" s="48"/>
      <c r="Q45" s="48">
        <v>0</v>
      </c>
      <c r="R45" s="48"/>
      <c r="S45" s="48">
        <v>11800000</v>
      </c>
      <c r="T45" s="48"/>
      <c r="U45" s="48">
        <v>2230</v>
      </c>
      <c r="V45" s="48"/>
      <c r="W45" s="48">
        <v>29761393766</v>
      </c>
      <c r="X45" s="48"/>
      <c r="Y45" s="48">
        <v>26110592780</v>
      </c>
      <c r="Z45" s="48"/>
      <c r="AA45" s="55">
        <f t="shared" si="0"/>
        <v>6.1307634093186372E-3</v>
      </c>
      <c r="AB45" s="55"/>
    </row>
    <row r="46" spans="1:28">
      <c r="A46" s="48" t="s">
        <v>180</v>
      </c>
      <c r="B46" s="48"/>
      <c r="C46" s="48">
        <v>7357161</v>
      </c>
      <c r="D46" s="48"/>
      <c r="E46" s="48">
        <v>29325140888</v>
      </c>
      <c r="F46" s="48"/>
      <c r="G46" s="48">
        <v>29639177991</v>
      </c>
      <c r="H46" s="48"/>
      <c r="I46" s="48">
        <v>0</v>
      </c>
      <c r="J46" s="48"/>
      <c r="K46" s="48">
        <v>0</v>
      </c>
      <c r="L46" s="48"/>
      <c r="M46" s="48">
        <v>0</v>
      </c>
      <c r="N46" s="48"/>
      <c r="O46" s="48">
        <v>0</v>
      </c>
      <c r="P46" s="48"/>
      <c r="Q46" s="48">
        <v>0</v>
      </c>
      <c r="R46" s="48"/>
      <c r="S46" s="48">
        <v>7357161</v>
      </c>
      <c r="T46" s="48"/>
      <c r="U46" s="48">
        <v>4060</v>
      </c>
      <c r="V46" s="48"/>
      <c r="W46" s="48">
        <v>29325140888</v>
      </c>
      <c r="X46" s="48"/>
      <c r="Y46" s="48">
        <v>29639177991</v>
      </c>
      <c r="Z46" s="48"/>
      <c r="AA46" s="55">
        <f t="shared" si="0"/>
        <v>6.9592747066504965E-3</v>
      </c>
      <c r="AB46" s="55"/>
    </row>
    <row r="47" spans="1:28">
      <c r="A47" s="48" t="s">
        <v>181</v>
      </c>
      <c r="B47" s="48"/>
      <c r="C47" s="48">
        <v>842177</v>
      </c>
      <c r="D47" s="48"/>
      <c r="E47" s="48">
        <v>2001916090</v>
      </c>
      <c r="F47" s="48"/>
      <c r="G47" s="48">
        <v>2619815957</v>
      </c>
      <c r="H47" s="48"/>
      <c r="I47" s="48">
        <v>0</v>
      </c>
      <c r="J47" s="48"/>
      <c r="K47" s="48">
        <v>0</v>
      </c>
      <c r="L47" s="48"/>
      <c r="M47" s="48">
        <v>0</v>
      </c>
      <c r="N47" s="48"/>
      <c r="O47" s="48">
        <v>0</v>
      </c>
      <c r="P47" s="48"/>
      <c r="Q47" s="48">
        <v>0</v>
      </c>
      <c r="R47" s="48"/>
      <c r="S47" s="48">
        <v>842177</v>
      </c>
      <c r="T47" s="48"/>
      <c r="U47" s="48">
        <v>3135</v>
      </c>
      <c r="V47" s="48"/>
      <c r="W47" s="48">
        <v>2001916090</v>
      </c>
      <c r="X47" s="48"/>
      <c r="Y47" s="48">
        <v>2619815957</v>
      </c>
      <c r="Z47" s="48"/>
      <c r="AA47" s="55">
        <f t="shared" si="0"/>
        <v>6.1513240789490373E-4</v>
      </c>
      <c r="AB47" s="55"/>
    </row>
    <row r="48" spans="1:28">
      <c r="A48" s="48" t="s">
        <v>143</v>
      </c>
      <c r="B48" s="48"/>
      <c r="C48" s="48">
        <v>285750</v>
      </c>
      <c r="D48" s="48"/>
      <c r="E48" s="48">
        <v>12123197874</v>
      </c>
      <c r="F48" s="48"/>
      <c r="G48" s="48">
        <v>14956795794</v>
      </c>
      <c r="H48" s="48"/>
      <c r="I48" s="48">
        <v>0</v>
      </c>
      <c r="J48" s="48"/>
      <c r="K48" s="48">
        <v>0</v>
      </c>
      <c r="L48" s="48"/>
      <c r="M48" s="48">
        <v>0</v>
      </c>
      <c r="N48" s="48"/>
      <c r="O48" s="48">
        <v>0</v>
      </c>
      <c r="P48" s="48"/>
      <c r="Q48" s="48">
        <v>0</v>
      </c>
      <c r="R48" s="48"/>
      <c r="S48" s="48">
        <v>285750</v>
      </c>
      <c r="T48" s="48"/>
      <c r="U48" s="48">
        <v>48750</v>
      </c>
      <c r="V48" s="48"/>
      <c r="W48" s="48">
        <v>12123197874</v>
      </c>
      <c r="X48" s="48"/>
      <c r="Y48" s="48">
        <v>13822631184</v>
      </c>
      <c r="Z48" s="48"/>
      <c r="AA48" s="55">
        <f t="shared" si="0"/>
        <v>3.2455518033387958E-3</v>
      </c>
      <c r="AB48" s="55"/>
    </row>
    <row r="49" spans="1:28">
      <c r="A49" s="48" t="s">
        <v>182</v>
      </c>
      <c r="B49" s="48"/>
      <c r="C49" s="48">
        <v>11278863</v>
      </c>
      <c r="D49" s="48"/>
      <c r="E49" s="48">
        <v>13153897968</v>
      </c>
      <c r="F49" s="48"/>
      <c r="G49" s="48">
        <v>14403688800</v>
      </c>
      <c r="H49" s="48"/>
      <c r="I49" s="48">
        <v>0</v>
      </c>
      <c r="J49" s="48"/>
      <c r="K49" s="48">
        <v>0</v>
      </c>
      <c r="L49" s="48"/>
      <c r="M49" s="48">
        <v>0</v>
      </c>
      <c r="N49" s="48"/>
      <c r="O49" s="48">
        <v>0</v>
      </c>
      <c r="P49" s="48"/>
      <c r="Q49" s="48">
        <v>0</v>
      </c>
      <c r="R49" s="48"/>
      <c r="S49" s="48">
        <v>11278863</v>
      </c>
      <c r="T49" s="48"/>
      <c r="U49" s="48">
        <v>1287</v>
      </c>
      <c r="V49" s="48"/>
      <c r="W49" s="48">
        <v>13153897968</v>
      </c>
      <c r="X49" s="48"/>
      <c r="Y49" s="48">
        <v>14403688800</v>
      </c>
      <c r="Z49" s="48"/>
      <c r="AA49" s="55">
        <f t="shared" si="0"/>
        <v>3.3819840475583667E-3</v>
      </c>
      <c r="AB49" s="55"/>
    </row>
    <row r="50" spans="1:28">
      <c r="A50" s="48" t="s">
        <v>183</v>
      </c>
      <c r="B50" s="48"/>
      <c r="C50" s="48">
        <v>1648155</v>
      </c>
      <c r="D50" s="48"/>
      <c r="E50" s="48">
        <v>11910020869</v>
      </c>
      <c r="F50" s="48"/>
      <c r="G50" s="48">
        <v>13410401047</v>
      </c>
      <c r="H50" s="48"/>
      <c r="I50" s="48">
        <v>0</v>
      </c>
      <c r="J50" s="48"/>
      <c r="K50" s="48">
        <v>0</v>
      </c>
      <c r="L50" s="48"/>
      <c r="M50" s="48">
        <v>0</v>
      </c>
      <c r="N50" s="48"/>
      <c r="O50" s="48">
        <v>0</v>
      </c>
      <c r="P50" s="48"/>
      <c r="Q50" s="48">
        <v>0</v>
      </c>
      <c r="R50" s="48"/>
      <c r="S50" s="48">
        <v>1648155</v>
      </c>
      <c r="T50" s="48"/>
      <c r="U50" s="48">
        <v>8200</v>
      </c>
      <c r="V50" s="48"/>
      <c r="W50" s="48">
        <v>11910020869</v>
      </c>
      <c r="X50" s="48"/>
      <c r="Y50" s="48">
        <v>13410401047</v>
      </c>
      <c r="Z50" s="48"/>
      <c r="AA50" s="55">
        <f t="shared" si="0"/>
        <v>3.1487602267770472E-3</v>
      </c>
      <c r="AB50" s="55"/>
    </row>
    <row r="51" spans="1:28">
      <c r="A51" s="48" t="s">
        <v>184</v>
      </c>
      <c r="B51" s="48"/>
      <c r="C51" s="48">
        <v>250000</v>
      </c>
      <c r="D51" s="48"/>
      <c r="E51" s="48">
        <v>800726400</v>
      </c>
      <c r="F51" s="48"/>
      <c r="G51" s="48">
        <v>1200646700</v>
      </c>
      <c r="H51" s="48"/>
      <c r="I51" s="48">
        <v>0</v>
      </c>
      <c r="J51" s="48"/>
      <c r="K51" s="48">
        <v>0</v>
      </c>
      <c r="L51" s="48"/>
      <c r="M51" s="48">
        <v>0</v>
      </c>
      <c r="N51" s="48"/>
      <c r="O51" s="48">
        <v>0</v>
      </c>
      <c r="P51" s="48"/>
      <c r="Q51" s="48">
        <v>0</v>
      </c>
      <c r="R51" s="48"/>
      <c r="S51" s="48">
        <v>250000</v>
      </c>
      <c r="T51" s="48"/>
      <c r="U51" s="48">
        <v>4840</v>
      </c>
      <c r="V51" s="48"/>
      <c r="W51" s="48">
        <v>800726400</v>
      </c>
      <c r="X51" s="48"/>
      <c r="Y51" s="48">
        <v>1200646700</v>
      </c>
      <c r="Z51" s="48"/>
      <c r="AA51" s="55">
        <f t="shared" si="0"/>
        <v>2.8191167155413661E-4</v>
      </c>
      <c r="AB51" s="55"/>
    </row>
    <row r="52" spans="1:28">
      <c r="A52" s="48" t="s">
        <v>185</v>
      </c>
      <c r="B52" s="48"/>
      <c r="C52" s="48">
        <v>3860139</v>
      </c>
      <c r="D52" s="48"/>
      <c r="E52" s="48">
        <v>16072935194</v>
      </c>
      <c r="F52" s="48"/>
      <c r="G52" s="48">
        <v>17048665859</v>
      </c>
      <c r="H52" s="48"/>
      <c r="I52" s="48">
        <v>0</v>
      </c>
      <c r="J52" s="48"/>
      <c r="K52" s="48">
        <v>0</v>
      </c>
      <c r="L52" s="48"/>
      <c r="M52" s="48">
        <v>0</v>
      </c>
      <c r="N52" s="48"/>
      <c r="O52" s="48">
        <v>0</v>
      </c>
      <c r="P52" s="48"/>
      <c r="Q52" s="48">
        <v>0</v>
      </c>
      <c r="R52" s="48"/>
      <c r="S52" s="48">
        <v>3860139</v>
      </c>
      <c r="T52" s="48"/>
      <c r="U52" s="48">
        <v>4451</v>
      </c>
      <c r="V52" s="48"/>
      <c r="W52" s="48">
        <v>16072935194</v>
      </c>
      <c r="X52" s="48"/>
      <c r="Y52" s="48">
        <v>17048665859</v>
      </c>
      <c r="Z52" s="48"/>
      <c r="AA52" s="55">
        <f t="shared" si="0"/>
        <v>4.0030242785647355E-3</v>
      </c>
      <c r="AB52" s="55"/>
    </row>
    <row r="53" spans="1:28">
      <c r="A53" s="48" t="s">
        <v>186</v>
      </c>
      <c r="B53" s="48"/>
      <c r="C53" s="48">
        <v>189400</v>
      </c>
      <c r="D53" s="48"/>
      <c r="E53" s="48">
        <v>27382794088</v>
      </c>
      <c r="F53" s="48"/>
      <c r="G53" s="48">
        <v>23736308969</v>
      </c>
      <c r="H53" s="48"/>
      <c r="I53" s="48">
        <v>0</v>
      </c>
      <c r="J53" s="48"/>
      <c r="K53" s="48">
        <v>0</v>
      </c>
      <c r="L53" s="48"/>
      <c r="M53" s="48">
        <v>0</v>
      </c>
      <c r="N53" s="48"/>
      <c r="O53" s="48">
        <v>0</v>
      </c>
      <c r="P53" s="48"/>
      <c r="Q53" s="48">
        <v>0</v>
      </c>
      <c r="R53" s="48"/>
      <c r="S53" s="48">
        <v>189400</v>
      </c>
      <c r="T53" s="48"/>
      <c r="U53" s="48">
        <v>126300</v>
      </c>
      <c r="V53" s="48"/>
      <c r="W53" s="48">
        <v>27382794088</v>
      </c>
      <c r="X53" s="48"/>
      <c r="Y53" s="48">
        <v>23736308969</v>
      </c>
      <c r="Z53" s="48"/>
      <c r="AA53" s="55">
        <f t="shared" si="0"/>
        <v>5.5732819138021488E-3</v>
      </c>
      <c r="AB53" s="55"/>
    </row>
    <row r="54" spans="1:28">
      <c r="A54" s="48" t="s">
        <v>187</v>
      </c>
      <c r="B54" s="48"/>
      <c r="C54" s="48">
        <v>3735701</v>
      </c>
      <c r="D54" s="48"/>
      <c r="E54" s="48">
        <v>27192110695</v>
      </c>
      <c r="F54" s="48"/>
      <c r="G54" s="48">
        <v>37516766020</v>
      </c>
      <c r="H54" s="48"/>
      <c r="I54" s="48">
        <v>0</v>
      </c>
      <c r="J54" s="48"/>
      <c r="K54" s="48">
        <v>0</v>
      </c>
      <c r="L54" s="48"/>
      <c r="M54" s="48">
        <v>0</v>
      </c>
      <c r="N54" s="48"/>
      <c r="O54" s="48">
        <v>0</v>
      </c>
      <c r="P54" s="48"/>
      <c r="Q54" s="48">
        <v>0</v>
      </c>
      <c r="R54" s="48"/>
      <c r="S54" s="48">
        <v>3735701</v>
      </c>
      <c r="T54" s="48"/>
      <c r="U54" s="48">
        <v>10121</v>
      </c>
      <c r="V54" s="48"/>
      <c r="W54" s="48">
        <v>27192110695</v>
      </c>
      <c r="X54" s="48"/>
      <c r="Y54" s="48">
        <v>37516766020</v>
      </c>
      <c r="Z54" s="48"/>
      <c r="AA54" s="55">
        <f t="shared" si="0"/>
        <v>8.8089312368106569E-3</v>
      </c>
      <c r="AB54" s="55"/>
    </row>
    <row r="55" spans="1:28">
      <c r="A55" s="48" t="s">
        <v>188</v>
      </c>
      <c r="B55" s="48"/>
      <c r="C55" s="48">
        <v>3283236</v>
      </c>
      <c r="D55" s="48"/>
      <c r="E55" s="48">
        <v>23186514787</v>
      </c>
      <c r="F55" s="48"/>
      <c r="G55" s="48">
        <v>17462111299</v>
      </c>
      <c r="H55" s="48"/>
      <c r="I55" s="48">
        <v>0</v>
      </c>
      <c r="J55" s="48"/>
      <c r="K55" s="48">
        <v>0</v>
      </c>
      <c r="L55" s="48"/>
      <c r="M55" s="48">
        <v>0</v>
      </c>
      <c r="N55" s="48"/>
      <c r="O55" s="48">
        <v>0</v>
      </c>
      <c r="P55" s="48"/>
      <c r="Q55" s="48">
        <v>0</v>
      </c>
      <c r="R55" s="48"/>
      <c r="S55" s="48">
        <v>3283236</v>
      </c>
      <c r="T55" s="48"/>
      <c r="U55" s="48">
        <v>5360</v>
      </c>
      <c r="V55" s="48"/>
      <c r="W55" s="48">
        <v>23186514787</v>
      </c>
      <c r="X55" s="48"/>
      <c r="Y55" s="48">
        <v>17462111299</v>
      </c>
      <c r="Z55" s="48"/>
      <c r="AA55" s="55">
        <f t="shared" si="0"/>
        <v>4.1001012080951584E-3</v>
      </c>
      <c r="AB55" s="55"/>
    </row>
    <row r="56" spans="1:28">
      <c r="A56" s="48" t="s">
        <v>189</v>
      </c>
      <c r="B56" s="48"/>
      <c r="C56" s="48">
        <v>9760615</v>
      </c>
      <c r="D56" s="48"/>
      <c r="E56" s="48">
        <v>23853455812</v>
      </c>
      <c r="F56" s="48"/>
      <c r="G56" s="48">
        <v>16058004310</v>
      </c>
      <c r="H56" s="48"/>
      <c r="I56" s="48">
        <v>0</v>
      </c>
      <c r="J56" s="48"/>
      <c r="K56" s="48">
        <v>0</v>
      </c>
      <c r="L56" s="48"/>
      <c r="M56" s="48">
        <v>0</v>
      </c>
      <c r="N56" s="48"/>
      <c r="O56" s="48">
        <v>0</v>
      </c>
      <c r="P56" s="48"/>
      <c r="Q56" s="48">
        <v>0</v>
      </c>
      <c r="R56" s="48"/>
      <c r="S56" s="48">
        <v>9760615</v>
      </c>
      <c r="T56" s="48"/>
      <c r="U56" s="48">
        <v>1658</v>
      </c>
      <c r="V56" s="48"/>
      <c r="W56" s="48">
        <v>23853455812</v>
      </c>
      <c r="X56" s="48"/>
      <c r="Y56" s="48">
        <v>16058004310</v>
      </c>
      <c r="Z56" s="48"/>
      <c r="AA56" s="55">
        <f t="shared" si="0"/>
        <v>3.7704170901028838E-3</v>
      </c>
      <c r="AB56" s="55"/>
    </row>
    <row r="57" spans="1:28">
      <c r="A57" s="48" t="s">
        <v>130</v>
      </c>
      <c r="B57" s="48"/>
      <c r="C57" s="48">
        <v>20508665</v>
      </c>
      <c r="D57" s="48"/>
      <c r="E57" s="48">
        <v>38704404778</v>
      </c>
      <c r="F57" s="48"/>
      <c r="G57" s="48">
        <v>35083629326</v>
      </c>
      <c r="H57" s="48"/>
      <c r="I57" s="48">
        <v>3619176</v>
      </c>
      <c r="J57" s="48"/>
      <c r="K57" s="48">
        <v>0</v>
      </c>
      <c r="L57" s="48"/>
      <c r="M57" s="48">
        <v>0</v>
      </c>
      <c r="N57" s="48"/>
      <c r="O57" s="48">
        <v>0</v>
      </c>
      <c r="P57" s="48"/>
      <c r="Q57" s="48">
        <v>0</v>
      </c>
      <c r="R57" s="48"/>
      <c r="S57" s="48">
        <v>24127841</v>
      </c>
      <c r="T57" s="48"/>
      <c r="U57" s="48">
        <v>1465</v>
      </c>
      <c r="V57" s="48"/>
      <c r="W57" s="48">
        <v>38704404778</v>
      </c>
      <c r="X57" s="48"/>
      <c r="Y57" s="48">
        <v>35074052536</v>
      </c>
      <c r="Z57" s="48"/>
      <c r="AA57" s="55">
        <f t="shared" si="0"/>
        <v>8.2353824639682625E-3</v>
      </c>
      <c r="AB57" s="55"/>
    </row>
    <row r="58" spans="1:28">
      <c r="A58" s="48" t="s">
        <v>190</v>
      </c>
      <c r="B58" s="48"/>
      <c r="C58" s="48">
        <v>3641112</v>
      </c>
      <c r="D58" s="48"/>
      <c r="E58" s="48">
        <v>16857149000</v>
      </c>
      <c r="F58" s="48"/>
      <c r="G58" s="48">
        <v>11619299313</v>
      </c>
      <c r="H58" s="48"/>
      <c r="I58" s="48">
        <v>0</v>
      </c>
      <c r="J58" s="48"/>
      <c r="K58" s="48">
        <v>0</v>
      </c>
      <c r="L58" s="48"/>
      <c r="M58" s="48">
        <v>0</v>
      </c>
      <c r="N58" s="48"/>
      <c r="O58" s="48">
        <v>0</v>
      </c>
      <c r="P58" s="48"/>
      <c r="Q58" s="48">
        <v>0</v>
      </c>
      <c r="R58" s="48"/>
      <c r="S58" s="48">
        <v>3641112</v>
      </c>
      <c r="T58" s="48"/>
      <c r="U58" s="48">
        <v>3216</v>
      </c>
      <c r="V58" s="48"/>
      <c r="W58" s="48">
        <v>16857149000</v>
      </c>
      <c r="X58" s="48"/>
      <c r="Y58" s="48">
        <v>11619299313</v>
      </c>
      <c r="Z58" s="48"/>
      <c r="AA58" s="55">
        <f t="shared" si="0"/>
        <v>2.728209798615747E-3</v>
      </c>
      <c r="AB58" s="55"/>
    </row>
    <row r="59" spans="1:28">
      <c r="A59" s="48" t="s">
        <v>191</v>
      </c>
      <c r="B59" s="48"/>
      <c r="C59" s="48">
        <v>4607801</v>
      </c>
      <c r="D59" s="48"/>
      <c r="E59" s="48">
        <v>33501938983</v>
      </c>
      <c r="F59" s="48"/>
      <c r="G59" s="48">
        <v>35205806777</v>
      </c>
      <c r="H59" s="48"/>
      <c r="I59" s="48">
        <v>0</v>
      </c>
      <c r="J59" s="48"/>
      <c r="K59" s="48">
        <v>0</v>
      </c>
      <c r="L59" s="48"/>
      <c r="M59" s="48">
        <v>0</v>
      </c>
      <c r="N59" s="48"/>
      <c r="O59" s="48">
        <v>0</v>
      </c>
      <c r="P59" s="48"/>
      <c r="Q59" s="48">
        <v>0</v>
      </c>
      <c r="R59" s="48"/>
      <c r="S59" s="48">
        <v>4607801</v>
      </c>
      <c r="T59" s="48"/>
      <c r="U59" s="48">
        <v>7700</v>
      </c>
      <c r="V59" s="48"/>
      <c r="W59" s="48">
        <v>33501938983</v>
      </c>
      <c r="X59" s="48"/>
      <c r="Y59" s="48">
        <v>35205806777</v>
      </c>
      <c r="Z59" s="48"/>
      <c r="AA59" s="55">
        <f t="shared" si="0"/>
        <v>8.2663183407042391E-3</v>
      </c>
      <c r="AB59" s="55"/>
    </row>
    <row r="60" spans="1:28">
      <c r="A60" s="48" t="s">
        <v>192</v>
      </c>
      <c r="B60" s="48"/>
      <c r="C60" s="48">
        <v>1111278</v>
      </c>
      <c r="D60" s="48"/>
      <c r="E60" s="48">
        <v>23804121310</v>
      </c>
      <c r="F60" s="48"/>
      <c r="G60" s="48">
        <v>26354238923</v>
      </c>
      <c r="H60" s="48"/>
      <c r="I60" s="48">
        <v>0</v>
      </c>
      <c r="J60" s="48"/>
      <c r="K60" s="48">
        <v>0</v>
      </c>
      <c r="L60" s="48"/>
      <c r="M60" s="48">
        <v>0</v>
      </c>
      <c r="N60" s="48"/>
      <c r="O60" s="48">
        <v>0</v>
      </c>
      <c r="P60" s="48"/>
      <c r="Q60" s="48">
        <v>0</v>
      </c>
      <c r="R60" s="48"/>
      <c r="S60" s="48">
        <v>1111278</v>
      </c>
      <c r="T60" s="48"/>
      <c r="U60" s="48">
        <v>23900</v>
      </c>
      <c r="V60" s="48"/>
      <c r="W60" s="48">
        <v>23804121310</v>
      </c>
      <c r="X60" s="48"/>
      <c r="Y60" s="48">
        <v>26354238923</v>
      </c>
      <c r="Z60" s="48"/>
      <c r="AA60" s="55">
        <f t="shared" si="0"/>
        <v>6.1879714884653571E-3</v>
      </c>
      <c r="AB60" s="55"/>
    </row>
    <row r="61" spans="1:28">
      <c r="A61" s="48" t="s">
        <v>193</v>
      </c>
      <c r="B61" s="48"/>
      <c r="C61" s="48">
        <v>5580504</v>
      </c>
      <c r="D61" s="48"/>
      <c r="E61" s="48">
        <v>20174684246</v>
      </c>
      <c r="F61" s="48"/>
      <c r="G61" s="48">
        <v>29680285534</v>
      </c>
      <c r="H61" s="48"/>
      <c r="I61" s="48">
        <v>0</v>
      </c>
      <c r="J61" s="48"/>
      <c r="K61" s="48">
        <v>0</v>
      </c>
      <c r="L61" s="48"/>
      <c r="M61" s="48">
        <v>0</v>
      </c>
      <c r="N61" s="48"/>
      <c r="O61" s="48">
        <v>0</v>
      </c>
      <c r="P61" s="48"/>
      <c r="Q61" s="48">
        <v>0</v>
      </c>
      <c r="R61" s="48"/>
      <c r="S61" s="48">
        <v>5580504</v>
      </c>
      <c r="T61" s="48"/>
      <c r="U61" s="48">
        <v>5360</v>
      </c>
      <c r="V61" s="48"/>
      <c r="W61" s="48">
        <v>20174684246</v>
      </c>
      <c r="X61" s="48"/>
      <c r="Y61" s="48">
        <v>29680285534</v>
      </c>
      <c r="Z61" s="48"/>
      <c r="AA61" s="55">
        <f t="shared" si="0"/>
        <v>6.9689267518030073E-3</v>
      </c>
      <c r="AB61" s="55"/>
    </row>
    <row r="62" spans="1:28">
      <c r="A62" s="48" t="s">
        <v>194</v>
      </c>
      <c r="B62" s="48"/>
      <c r="C62" s="48">
        <v>940025</v>
      </c>
      <c r="D62" s="48"/>
      <c r="E62" s="48">
        <v>30456047518</v>
      </c>
      <c r="F62" s="48"/>
      <c r="G62" s="48">
        <v>23020482415</v>
      </c>
      <c r="H62" s="48"/>
      <c r="I62" s="48">
        <v>0</v>
      </c>
      <c r="J62" s="48"/>
      <c r="K62" s="48">
        <v>0</v>
      </c>
      <c r="L62" s="48"/>
      <c r="M62" s="48">
        <v>0</v>
      </c>
      <c r="N62" s="48"/>
      <c r="O62" s="48">
        <v>0</v>
      </c>
      <c r="P62" s="48"/>
      <c r="Q62" s="48">
        <v>0</v>
      </c>
      <c r="R62" s="48"/>
      <c r="S62" s="48">
        <v>940025</v>
      </c>
      <c r="T62" s="48"/>
      <c r="U62" s="48">
        <v>24680</v>
      </c>
      <c r="V62" s="48"/>
      <c r="W62" s="48">
        <v>30456047518</v>
      </c>
      <c r="X62" s="48"/>
      <c r="Y62" s="48">
        <v>23020482415</v>
      </c>
      <c r="Z62" s="48"/>
      <c r="AA62" s="55">
        <f t="shared" si="0"/>
        <v>5.4052059424269079E-3</v>
      </c>
      <c r="AB62" s="55"/>
    </row>
    <row r="63" spans="1:28">
      <c r="A63" s="48" t="s">
        <v>195</v>
      </c>
      <c r="B63" s="48"/>
      <c r="C63" s="48">
        <v>5599143</v>
      </c>
      <c r="D63" s="48"/>
      <c r="E63" s="48">
        <v>30405322174</v>
      </c>
      <c r="F63" s="48"/>
      <c r="G63" s="48">
        <v>27390397809</v>
      </c>
      <c r="H63" s="48"/>
      <c r="I63" s="48">
        <v>0</v>
      </c>
      <c r="J63" s="48"/>
      <c r="K63" s="48">
        <v>0</v>
      </c>
      <c r="L63" s="48"/>
      <c r="M63" s="48">
        <v>0</v>
      </c>
      <c r="N63" s="48"/>
      <c r="O63" s="48">
        <v>0</v>
      </c>
      <c r="P63" s="48"/>
      <c r="Q63" s="48">
        <v>0</v>
      </c>
      <c r="R63" s="48"/>
      <c r="S63" s="48">
        <v>5599143</v>
      </c>
      <c r="T63" s="48"/>
      <c r="U63" s="48">
        <v>4930</v>
      </c>
      <c r="V63" s="48"/>
      <c r="W63" s="48">
        <v>30405322174</v>
      </c>
      <c r="X63" s="48"/>
      <c r="Y63" s="48">
        <v>27390397809</v>
      </c>
      <c r="Z63" s="48"/>
      <c r="AA63" s="55">
        <f t="shared" si="0"/>
        <v>6.4312614450761831E-3</v>
      </c>
      <c r="AB63" s="55"/>
    </row>
    <row r="64" spans="1:28">
      <c r="A64" s="48" t="s">
        <v>196</v>
      </c>
      <c r="B64" s="48"/>
      <c r="C64" s="48">
        <v>4929408</v>
      </c>
      <c r="D64" s="48"/>
      <c r="E64" s="48">
        <v>24000019455</v>
      </c>
      <c r="F64" s="48"/>
      <c r="G64" s="48">
        <v>30277169755</v>
      </c>
      <c r="H64" s="48"/>
      <c r="I64" s="48">
        <v>0</v>
      </c>
      <c r="J64" s="48"/>
      <c r="K64" s="48">
        <v>0</v>
      </c>
      <c r="L64" s="48"/>
      <c r="M64" s="48">
        <v>0</v>
      </c>
      <c r="N64" s="48"/>
      <c r="O64" s="48">
        <v>0</v>
      </c>
      <c r="P64" s="48"/>
      <c r="Q64" s="48">
        <v>0</v>
      </c>
      <c r="R64" s="48"/>
      <c r="S64" s="48">
        <v>4929408</v>
      </c>
      <c r="T64" s="48"/>
      <c r="U64" s="48">
        <v>6190</v>
      </c>
      <c r="V64" s="48"/>
      <c r="W64" s="48">
        <v>24000019455</v>
      </c>
      <c r="X64" s="48"/>
      <c r="Y64" s="48">
        <v>30277169755</v>
      </c>
      <c r="Z64" s="48"/>
      <c r="AA64" s="55">
        <f t="shared" si="0"/>
        <v>7.1090750805881519E-3</v>
      </c>
      <c r="AB64" s="55"/>
    </row>
    <row r="65" spans="1:28">
      <c r="A65" s="48" t="s">
        <v>197</v>
      </c>
      <c r="B65" s="48"/>
      <c r="C65" s="48">
        <v>2428938</v>
      </c>
      <c r="D65" s="48"/>
      <c r="E65" s="48">
        <v>16382419946</v>
      </c>
      <c r="F65" s="48"/>
      <c r="G65" s="48">
        <v>19088485489</v>
      </c>
      <c r="H65" s="48"/>
      <c r="I65" s="48">
        <v>0</v>
      </c>
      <c r="J65" s="48"/>
      <c r="K65" s="48">
        <v>0</v>
      </c>
      <c r="L65" s="48"/>
      <c r="M65" s="48">
        <v>0</v>
      </c>
      <c r="N65" s="48"/>
      <c r="O65" s="48">
        <v>0</v>
      </c>
      <c r="P65" s="48"/>
      <c r="Q65" s="48">
        <v>0</v>
      </c>
      <c r="R65" s="48"/>
      <c r="S65" s="48">
        <v>2428938</v>
      </c>
      <c r="T65" s="48"/>
      <c r="U65" s="48">
        <v>7920</v>
      </c>
      <c r="V65" s="48"/>
      <c r="W65" s="48">
        <v>16382419946</v>
      </c>
      <c r="X65" s="48"/>
      <c r="Y65" s="48">
        <v>19088485489</v>
      </c>
      <c r="Z65" s="48"/>
      <c r="AA65" s="55">
        <f t="shared" si="0"/>
        <v>4.4819736327438124E-3</v>
      </c>
      <c r="AB65" s="55"/>
    </row>
    <row r="66" spans="1:28">
      <c r="A66" s="48" t="s">
        <v>198</v>
      </c>
      <c r="B66" s="48"/>
      <c r="C66" s="48">
        <v>2649593</v>
      </c>
      <c r="D66" s="48"/>
      <c r="E66" s="48">
        <v>28510491782</v>
      </c>
      <c r="F66" s="48"/>
      <c r="G66" s="48">
        <v>24450738309</v>
      </c>
      <c r="H66" s="48"/>
      <c r="I66" s="48">
        <v>0</v>
      </c>
      <c r="J66" s="48"/>
      <c r="K66" s="48">
        <v>0</v>
      </c>
      <c r="L66" s="48"/>
      <c r="M66" s="48">
        <v>0</v>
      </c>
      <c r="N66" s="48"/>
      <c r="O66" s="48">
        <v>0</v>
      </c>
      <c r="P66" s="48"/>
      <c r="Q66" s="48">
        <v>0</v>
      </c>
      <c r="R66" s="48"/>
      <c r="S66" s="48">
        <v>2649593</v>
      </c>
      <c r="T66" s="48"/>
      <c r="U66" s="48">
        <v>9300</v>
      </c>
      <c r="V66" s="48"/>
      <c r="W66" s="48">
        <v>28510491782</v>
      </c>
      <c r="X66" s="48"/>
      <c r="Y66" s="48">
        <v>24450738309</v>
      </c>
      <c r="Z66" s="48"/>
      <c r="AA66" s="55">
        <f t="shared" si="0"/>
        <v>5.7410298195322181E-3</v>
      </c>
      <c r="AB66" s="55"/>
    </row>
    <row r="67" spans="1:28">
      <c r="A67" s="48" t="s">
        <v>199</v>
      </c>
      <c r="B67" s="48"/>
      <c r="C67" s="48">
        <v>1133693</v>
      </c>
      <c r="D67" s="48"/>
      <c r="E67" s="48">
        <v>6202567203</v>
      </c>
      <c r="F67" s="48"/>
      <c r="G67" s="48">
        <v>9595649088</v>
      </c>
      <c r="H67" s="48"/>
      <c r="I67" s="48">
        <v>0</v>
      </c>
      <c r="J67" s="48"/>
      <c r="K67" s="48">
        <v>0</v>
      </c>
      <c r="L67" s="48"/>
      <c r="M67" s="48">
        <v>0</v>
      </c>
      <c r="N67" s="48"/>
      <c r="O67" s="48">
        <v>0</v>
      </c>
      <c r="P67" s="48"/>
      <c r="Q67" s="48">
        <v>0</v>
      </c>
      <c r="R67" s="48"/>
      <c r="S67" s="48">
        <v>1133693</v>
      </c>
      <c r="T67" s="48"/>
      <c r="U67" s="48">
        <v>8530</v>
      </c>
      <c r="V67" s="48"/>
      <c r="W67" s="48">
        <v>6202567203</v>
      </c>
      <c r="X67" s="48"/>
      <c r="Y67" s="48">
        <v>9595649088</v>
      </c>
      <c r="Z67" s="48"/>
      <c r="AA67" s="55">
        <f t="shared" si="0"/>
        <v>2.2530570183926764E-3</v>
      </c>
      <c r="AB67" s="55"/>
    </row>
    <row r="68" spans="1:28">
      <c r="A68" s="48" t="s">
        <v>200</v>
      </c>
      <c r="B68" s="48"/>
      <c r="C68" s="48">
        <v>16854222</v>
      </c>
      <c r="D68" s="48"/>
      <c r="E68" s="48">
        <v>30516050656</v>
      </c>
      <c r="F68" s="48"/>
      <c r="G68" s="48">
        <v>24333331047</v>
      </c>
      <c r="H68" s="48"/>
      <c r="I68" s="48">
        <v>0</v>
      </c>
      <c r="J68" s="48"/>
      <c r="K68" s="48">
        <v>0</v>
      </c>
      <c r="L68" s="48"/>
      <c r="M68" s="48">
        <v>0</v>
      </c>
      <c r="N68" s="48"/>
      <c r="O68" s="48">
        <v>0</v>
      </c>
      <c r="P68" s="48"/>
      <c r="Q68" s="48">
        <v>0</v>
      </c>
      <c r="R68" s="48"/>
      <c r="S68" s="48">
        <v>16854222</v>
      </c>
      <c r="T68" s="48"/>
      <c r="U68" s="48">
        <v>1455</v>
      </c>
      <c r="V68" s="48"/>
      <c r="W68" s="48">
        <v>30516050656</v>
      </c>
      <c r="X68" s="48"/>
      <c r="Y68" s="48">
        <v>24333331047</v>
      </c>
      <c r="Z68" s="48"/>
      <c r="AA68" s="55">
        <f t="shared" si="0"/>
        <v>5.7134626113909603E-3</v>
      </c>
      <c r="AB68" s="55"/>
    </row>
    <row r="69" spans="1:28">
      <c r="A69" s="48" t="s">
        <v>201</v>
      </c>
      <c r="B69" s="48"/>
      <c r="C69" s="48">
        <v>1125246</v>
      </c>
      <c r="D69" s="48"/>
      <c r="E69" s="48">
        <v>14898426822</v>
      </c>
      <c r="F69" s="48"/>
      <c r="G69" s="48">
        <v>14224819589</v>
      </c>
      <c r="H69" s="48"/>
      <c r="I69" s="48">
        <v>0</v>
      </c>
      <c r="J69" s="48"/>
      <c r="K69" s="48">
        <v>0</v>
      </c>
      <c r="L69" s="48"/>
      <c r="M69" s="48">
        <v>0</v>
      </c>
      <c r="N69" s="48"/>
      <c r="O69" s="48">
        <v>0</v>
      </c>
      <c r="P69" s="48"/>
      <c r="Q69" s="48">
        <v>0</v>
      </c>
      <c r="R69" s="48"/>
      <c r="S69" s="48">
        <v>1125246</v>
      </c>
      <c r="T69" s="48"/>
      <c r="U69" s="48">
        <v>12740</v>
      </c>
      <c r="V69" s="48"/>
      <c r="W69" s="48">
        <v>14898426822</v>
      </c>
      <c r="X69" s="48"/>
      <c r="Y69" s="48">
        <v>14224819589</v>
      </c>
      <c r="Z69" s="48"/>
      <c r="AA69" s="55">
        <f t="shared" si="0"/>
        <v>3.3399855826789148E-3</v>
      </c>
      <c r="AB69" s="55"/>
    </row>
    <row r="70" spans="1:28">
      <c r="A70" s="48" t="s">
        <v>202</v>
      </c>
      <c r="B70" s="48"/>
      <c r="C70" s="48">
        <v>18020136</v>
      </c>
      <c r="D70" s="48"/>
      <c r="E70" s="48">
        <v>44373241040</v>
      </c>
      <c r="F70" s="48"/>
      <c r="G70" s="48">
        <v>27500732456</v>
      </c>
      <c r="H70" s="48"/>
      <c r="I70" s="48">
        <v>0</v>
      </c>
      <c r="J70" s="48"/>
      <c r="K70" s="48">
        <v>0</v>
      </c>
      <c r="L70" s="48"/>
      <c r="M70" s="48">
        <v>0</v>
      </c>
      <c r="N70" s="48"/>
      <c r="O70" s="48">
        <v>0</v>
      </c>
      <c r="P70" s="48"/>
      <c r="Q70" s="48">
        <v>0</v>
      </c>
      <c r="R70" s="48"/>
      <c r="S70" s="48">
        <v>18020136</v>
      </c>
      <c r="T70" s="48"/>
      <c r="U70" s="48">
        <v>1538</v>
      </c>
      <c r="V70" s="48"/>
      <c r="W70" s="48">
        <v>44373241040</v>
      </c>
      <c r="X70" s="48"/>
      <c r="Y70" s="48">
        <v>27500732456</v>
      </c>
      <c r="Z70" s="48"/>
      <c r="AA70" s="55">
        <f t="shared" si="0"/>
        <v>6.4571680042380961E-3</v>
      </c>
      <c r="AB70" s="55"/>
    </row>
    <row r="71" spans="1:28">
      <c r="A71" s="48" t="s">
        <v>121</v>
      </c>
      <c r="B71" s="48"/>
      <c r="C71" s="48">
        <v>14209755</v>
      </c>
      <c r="D71" s="48"/>
      <c r="E71" s="48">
        <v>38653348896</v>
      </c>
      <c r="F71" s="48"/>
      <c r="G71" s="48">
        <v>22418862614</v>
      </c>
      <c r="H71" s="48"/>
      <c r="I71" s="48">
        <v>4168830</v>
      </c>
      <c r="J71" s="48"/>
      <c r="K71" s="48">
        <v>0</v>
      </c>
      <c r="L71" s="48"/>
      <c r="M71" s="48">
        <v>0</v>
      </c>
      <c r="N71" s="48"/>
      <c r="O71" s="48">
        <v>1</v>
      </c>
      <c r="P71" s="48"/>
      <c r="Q71" s="48">
        <v>1</v>
      </c>
      <c r="R71" s="48"/>
      <c r="S71" s="48">
        <v>18378584</v>
      </c>
      <c r="T71" s="48"/>
      <c r="U71" s="48">
        <v>1229</v>
      </c>
      <c r="V71" s="48"/>
      <c r="W71" s="48">
        <v>38653346793</v>
      </c>
      <c r="X71" s="48"/>
      <c r="Y71" s="48">
        <v>22412680064</v>
      </c>
      <c r="Z71" s="48"/>
      <c r="AA71" s="55">
        <f t="shared" si="0"/>
        <v>5.2624940382964558E-3</v>
      </c>
      <c r="AB71" s="55"/>
    </row>
    <row r="72" spans="1:28">
      <c r="A72" s="48" t="s">
        <v>203</v>
      </c>
      <c r="B72" s="48"/>
      <c r="C72" s="48">
        <v>9169674</v>
      </c>
      <c r="D72" s="48"/>
      <c r="E72" s="48">
        <v>33344299669</v>
      </c>
      <c r="F72" s="48"/>
      <c r="G72" s="48">
        <v>29243518838</v>
      </c>
      <c r="H72" s="48"/>
      <c r="I72" s="48">
        <v>0</v>
      </c>
      <c r="J72" s="48"/>
      <c r="K72" s="48">
        <v>0</v>
      </c>
      <c r="L72" s="48"/>
      <c r="M72" s="48">
        <v>0</v>
      </c>
      <c r="N72" s="48"/>
      <c r="O72" s="48">
        <v>0</v>
      </c>
      <c r="P72" s="48"/>
      <c r="Q72" s="48">
        <v>0</v>
      </c>
      <c r="R72" s="48"/>
      <c r="S72" s="48">
        <v>9169674</v>
      </c>
      <c r="T72" s="48"/>
      <c r="U72" s="48">
        <v>3214</v>
      </c>
      <c r="V72" s="48"/>
      <c r="W72" s="48">
        <v>33344299669</v>
      </c>
      <c r="X72" s="48"/>
      <c r="Y72" s="48">
        <v>29243518838</v>
      </c>
      <c r="Z72" s="48"/>
      <c r="AA72" s="55">
        <f t="shared" si="0"/>
        <v>6.8663739947358894E-3</v>
      </c>
      <c r="AB72" s="55"/>
    </row>
    <row r="73" spans="1:28">
      <c r="A73" s="48" t="s">
        <v>204</v>
      </c>
      <c r="B73" s="48"/>
      <c r="C73" s="48">
        <v>562500</v>
      </c>
      <c r="D73" s="48"/>
      <c r="E73" s="48">
        <v>4931974167</v>
      </c>
      <c r="F73" s="48"/>
      <c r="G73" s="48">
        <v>4632660562</v>
      </c>
      <c r="H73" s="48"/>
      <c r="I73" s="48">
        <v>0</v>
      </c>
      <c r="J73" s="48"/>
      <c r="K73" s="48">
        <v>0</v>
      </c>
      <c r="L73" s="48"/>
      <c r="M73" s="48">
        <v>0</v>
      </c>
      <c r="N73" s="48"/>
      <c r="O73" s="48">
        <v>0</v>
      </c>
      <c r="P73" s="48"/>
      <c r="Q73" s="48">
        <v>0</v>
      </c>
      <c r="R73" s="48"/>
      <c r="S73" s="48">
        <v>562500</v>
      </c>
      <c r="T73" s="48"/>
      <c r="U73" s="48">
        <v>8300</v>
      </c>
      <c r="V73" s="48"/>
      <c r="W73" s="48">
        <v>4931974167</v>
      </c>
      <c r="X73" s="48"/>
      <c r="Y73" s="48">
        <v>4632660562</v>
      </c>
      <c r="Z73" s="48"/>
      <c r="AA73" s="55">
        <f t="shared" si="0"/>
        <v>1.0877480301043979E-3</v>
      </c>
      <c r="AB73" s="55"/>
    </row>
    <row r="74" spans="1:28">
      <c r="A74" s="48" t="s">
        <v>205</v>
      </c>
      <c r="B74" s="48"/>
      <c r="C74" s="48">
        <v>3973870</v>
      </c>
      <c r="D74" s="48"/>
      <c r="E74" s="48">
        <v>21132612639</v>
      </c>
      <c r="F74" s="48"/>
      <c r="G74" s="48">
        <v>19163718647</v>
      </c>
      <c r="H74" s="48"/>
      <c r="I74" s="48">
        <v>0</v>
      </c>
      <c r="J74" s="48"/>
      <c r="K74" s="48">
        <v>0</v>
      </c>
      <c r="L74" s="48"/>
      <c r="M74" s="48">
        <v>0</v>
      </c>
      <c r="N74" s="48"/>
      <c r="O74" s="48">
        <v>0</v>
      </c>
      <c r="P74" s="48"/>
      <c r="Q74" s="48">
        <v>0</v>
      </c>
      <c r="R74" s="48"/>
      <c r="S74" s="48">
        <v>3973870</v>
      </c>
      <c r="T74" s="48"/>
      <c r="U74" s="48">
        <v>4860</v>
      </c>
      <c r="V74" s="48"/>
      <c r="W74" s="48">
        <v>21132612639</v>
      </c>
      <c r="X74" s="48"/>
      <c r="Y74" s="48">
        <v>19163718647</v>
      </c>
      <c r="Z74" s="48"/>
      <c r="AA74" s="55">
        <f t="shared" si="0"/>
        <v>4.4996383673639772E-3</v>
      </c>
      <c r="AB74" s="55"/>
    </row>
    <row r="75" spans="1:28">
      <c r="A75" s="48" t="s">
        <v>206</v>
      </c>
      <c r="B75" s="48"/>
      <c r="C75" s="48">
        <v>25600000</v>
      </c>
      <c r="D75" s="48"/>
      <c r="E75" s="48">
        <v>10028365723</v>
      </c>
      <c r="F75" s="48"/>
      <c r="G75" s="48">
        <v>12802664448</v>
      </c>
      <c r="H75" s="48"/>
      <c r="I75" s="48">
        <v>0</v>
      </c>
      <c r="J75" s="48"/>
      <c r="K75" s="48">
        <v>0</v>
      </c>
      <c r="L75" s="48"/>
      <c r="M75" s="48">
        <v>0</v>
      </c>
      <c r="N75" s="48"/>
      <c r="O75" s="48">
        <v>0</v>
      </c>
      <c r="P75" s="48"/>
      <c r="Q75" s="48">
        <v>0</v>
      </c>
      <c r="R75" s="48"/>
      <c r="S75" s="48">
        <v>25600000</v>
      </c>
      <c r="T75" s="48"/>
      <c r="U75" s="48">
        <v>504</v>
      </c>
      <c r="V75" s="48"/>
      <c r="W75" s="48">
        <v>10028365723</v>
      </c>
      <c r="X75" s="48"/>
      <c r="Y75" s="48">
        <v>12802664448</v>
      </c>
      <c r="Z75" s="48"/>
      <c r="AA75" s="55">
        <f t="shared" ref="AA75:AA138" si="1">Y75/4258946404670</f>
        <v>3.0060637612066878E-3</v>
      </c>
      <c r="AB75" s="55"/>
    </row>
    <row r="76" spans="1:28">
      <c r="A76" s="48" t="s">
        <v>207</v>
      </c>
      <c r="B76" s="48"/>
      <c r="C76" s="48">
        <v>11440020</v>
      </c>
      <c r="D76" s="48"/>
      <c r="E76" s="48">
        <v>31646768610</v>
      </c>
      <c r="F76" s="48"/>
      <c r="G76" s="48">
        <v>33736921454</v>
      </c>
      <c r="H76" s="48"/>
      <c r="I76" s="48">
        <v>0</v>
      </c>
      <c r="J76" s="48"/>
      <c r="K76" s="48">
        <v>0</v>
      </c>
      <c r="L76" s="48"/>
      <c r="M76" s="48">
        <v>0</v>
      </c>
      <c r="N76" s="48"/>
      <c r="O76" s="48">
        <v>0</v>
      </c>
      <c r="P76" s="48"/>
      <c r="Q76" s="48">
        <v>0</v>
      </c>
      <c r="R76" s="48"/>
      <c r="S76" s="48">
        <v>11440020</v>
      </c>
      <c r="T76" s="48"/>
      <c r="U76" s="48">
        <v>2972</v>
      </c>
      <c r="V76" s="48"/>
      <c r="W76" s="48">
        <v>31646768610</v>
      </c>
      <c r="X76" s="48"/>
      <c r="Y76" s="48">
        <v>33736921454</v>
      </c>
      <c r="Z76" s="48"/>
      <c r="AA76" s="55">
        <f t="shared" si="1"/>
        <v>7.9214242792552993E-3</v>
      </c>
      <c r="AB76" s="55"/>
    </row>
    <row r="77" spans="1:28">
      <c r="A77" s="48" t="s">
        <v>208</v>
      </c>
      <c r="B77" s="48"/>
      <c r="C77" s="48">
        <v>7640317</v>
      </c>
      <c r="D77" s="48"/>
      <c r="E77" s="48">
        <v>29107496818</v>
      </c>
      <c r="F77" s="48"/>
      <c r="G77" s="48">
        <v>41090414835</v>
      </c>
      <c r="H77" s="48"/>
      <c r="I77" s="48">
        <v>0</v>
      </c>
      <c r="J77" s="48"/>
      <c r="K77" s="48">
        <v>0</v>
      </c>
      <c r="L77" s="48"/>
      <c r="M77" s="48">
        <v>0</v>
      </c>
      <c r="N77" s="48"/>
      <c r="O77" s="48">
        <v>0</v>
      </c>
      <c r="P77" s="48"/>
      <c r="Q77" s="48">
        <v>0</v>
      </c>
      <c r="R77" s="48"/>
      <c r="S77" s="48">
        <v>7640317</v>
      </c>
      <c r="T77" s="48"/>
      <c r="U77" s="48">
        <v>5420</v>
      </c>
      <c r="V77" s="48"/>
      <c r="W77" s="48">
        <v>29107496818</v>
      </c>
      <c r="X77" s="48"/>
      <c r="Y77" s="48">
        <v>41090414835</v>
      </c>
      <c r="Z77" s="48"/>
      <c r="AA77" s="55">
        <f t="shared" si="1"/>
        <v>9.648023461845805E-3</v>
      </c>
      <c r="AB77" s="55"/>
    </row>
    <row r="78" spans="1:28">
      <c r="A78" s="48" t="s">
        <v>209</v>
      </c>
      <c r="B78" s="48"/>
      <c r="C78" s="48">
        <v>12459071</v>
      </c>
      <c r="D78" s="48"/>
      <c r="E78" s="48">
        <v>20282791106</v>
      </c>
      <c r="F78" s="48"/>
      <c r="G78" s="48">
        <v>20262567543</v>
      </c>
      <c r="H78" s="48"/>
      <c r="I78" s="48">
        <v>0</v>
      </c>
      <c r="J78" s="48"/>
      <c r="K78" s="48">
        <v>0</v>
      </c>
      <c r="L78" s="48"/>
      <c r="M78" s="48">
        <v>0</v>
      </c>
      <c r="N78" s="48"/>
      <c r="O78" s="48">
        <v>0</v>
      </c>
      <c r="P78" s="48"/>
      <c r="Q78" s="48">
        <v>0</v>
      </c>
      <c r="R78" s="48"/>
      <c r="S78" s="48">
        <v>12459071</v>
      </c>
      <c r="T78" s="48"/>
      <c r="U78" s="48">
        <v>1639</v>
      </c>
      <c r="V78" s="48"/>
      <c r="W78" s="48">
        <v>20282791106</v>
      </c>
      <c r="X78" s="48"/>
      <c r="Y78" s="48">
        <v>20262567543</v>
      </c>
      <c r="Z78" s="48"/>
      <c r="AA78" s="55">
        <f t="shared" si="1"/>
        <v>4.7576479292582279E-3</v>
      </c>
      <c r="AB78" s="55"/>
    </row>
    <row r="79" spans="1:28">
      <c r="A79" s="48" t="s">
        <v>210</v>
      </c>
      <c r="B79" s="48"/>
      <c r="C79" s="48">
        <v>3380920</v>
      </c>
      <c r="D79" s="48"/>
      <c r="E79" s="48">
        <v>16767735799</v>
      </c>
      <c r="F79" s="48"/>
      <c r="G79" s="48">
        <v>15801039650</v>
      </c>
      <c r="H79" s="48"/>
      <c r="I79" s="48">
        <v>0</v>
      </c>
      <c r="J79" s="48"/>
      <c r="K79" s="48">
        <v>0</v>
      </c>
      <c r="L79" s="48"/>
      <c r="M79" s="48">
        <v>0</v>
      </c>
      <c r="N79" s="48"/>
      <c r="O79" s="48">
        <v>0</v>
      </c>
      <c r="P79" s="48"/>
      <c r="Q79" s="48">
        <v>0</v>
      </c>
      <c r="R79" s="48"/>
      <c r="S79" s="48">
        <v>3380920</v>
      </c>
      <c r="T79" s="48"/>
      <c r="U79" s="48">
        <v>4710</v>
      </c>
      <c r="V79" s="48"/>
      <c r="W79" s="48">
        <v>16767735799</v>
      </c>
      <c r="X79" s="48"/>
      <c r="Y79" s="48">
        <v>15801039650</v>
      </c>
      <c r="Z79" s="48"/>
      <c r="AA79" s="55">
        <f t="shared" si="1"/>
        <v>3.7100818250903364E-3</v>
      </c>
      <c r="AB79" s="55"/>
    </row>
    <row r="80" spans="1:28">
      <c r="A80" s="48" t="s">
        <v>138</v>
      </c>
      <c r="B80" s="48"/>
      <c r="C80" s="48">
        <v>874591</v>
      </c>
      <c r="D80" s="48"/>
      <c r="E80" s="48">
        <v>8904195778</v>
      </c>
      <c r="F80" s="48"/>
      <c r="G80" s="48">
        <v>11880598334</v>
      </c>
      <c r="H80" s="48"/>
      <c r="I80" s="48">
        <v>51827</v>
      </c>
      <c r="J80" s="48"/>
      <c r="K80" s="48">
        <v>0</v>
      </c>
      <c r="L80" s="48"/>
      <c r="M80" s="48">
        <v>0</v>
      </c>
      <c r="N80" s="48"/>
      <c r="O80" s="48">
        <v>0</v>
      </c>
      <c r="P80" s="48"/>
      <c r="Q80" s="48">
        <v>0</v>
      </c>
      <c r="R80" s="48"/>
      <c r="S80" s="48">
        <v>926418</v>
      </c>
      <c r="T80" s="48"/>
      <c r="U80" s="48">
        <v>9927</v>
      </c>
      <c r="V80" s="48"/>
      <c r="W80" s="48">
        <v>6899311545</v>
      </c>
      <c r="X80" s="48"/>
      <c r="Y80" s="48">
        <v>9125462143</v>
      </c>
      <c r="Z80" s="48"/>
      <c r="AA80" s="55">
        <f t="shared" si="1"/>
        <v>2.1426571916927134E-3</v>
      </c>
      <c r="AB80" s="55"/>
    </row>
    <row r="81" spans="1:28">
      <c r="A81" s="48" t="s">
        <v>211</v>
      </c>
      <c r="B81" s="48"/>
      <c r="C81" s="48">
        <v>0</v>
      </c>
      <c r="D81" s="48"/>
      <c r="E81" s="48">
        <v>0</v>
      </c>
      <c r="F81" s="48"/>
      <c r="G81" s="48">
        <v>0</v>
      </c>
      <c r="H81" s="48"/>
      <c r="I81" s="48">
        <v>310965</v>
      </c>
      <c r="J81" s="48"/>
      <c r="K81" s="48">
        <v>0</v>
      </c>
      <c r="L81" s="48"/>
      <c r="M81" s="48">
        <v>0</v>
      </c>
      <c r="N81" s="48"/>
      <c r="O81" s="48">
        <v>0</v>
      </c>
      <c r="P81" s="48"/>
      <c r="Q81" s="48">
        <v>0</v>
      </c>
      <c r="R81" s="48"/>
      <c r="S81" s="48">
        <v>310965</v>
      </c>
      <c r="T81" s="48"/>
      <c r="U81" s="48">
        <v>8927</v>
      </c>
      <c r="V81" s="48"/>
      <c r="W81" s="48">
        <v>2004884233</v>
      </c>
      <c r="X81" s="48"/>
      <c r="Y81" s="48">
        <v>2754526194</v>
      </c>
      <c r="Z81" s="48"/>
      <c r="AA81" s="55">
        <f t="shared" si="1"/>
        <v>6.4676235206426169E-4</v>
      </c>
      <c r="AB81" s="55"/>
    </row>
    <row r="82" spans="1:28">
      <c r="A82" s="48" t="s">
        <v>145</v>
      </c>
      <c r="B82" s="48"/>
      <c r="C82" s="48">
        <v>860136</v>
      </c>
      <c r="D82" s="48"/>
      <c r="E82" s="48">
        <v>8232282439</v>
      </c>
      <c r="F82" s="48"/>
      <c r="G82" s="48">
        <v>11590355480</v>
      </c>
      <c r="H82" s="48"/>
      <c r="I82" s="48">
        <v>0</v>
      </c>
      <c r="J82" s="48"/>
      <c r="K82" s="48">
        <v>0</v>
      </c>
      <c r="L82" s="48"/>
      <c r="M82" s="48">
        <v>0</v>
      </c>
      <c r="N82" s="48"/>
      <c r="O82" s="48">
        <v>0</v>
      </c>
      <c r="P82" s="48"/>
      <c r="Q82" s="48">
        <v>0</v>
      </c>
      <c r="R82" s="48"/>
      <c r="S82" s="48">
        <v>860136</v>
      </c>
      <c r="T82" s="48"/>
      <c r="U82" s="48">
        <v>13580</v>
      </c>
      <c r="V82" s="48"/>
      <c r="W82" s="48">
        <v>8232282439</v>
      </c>
      <c r="X82" s="48"/>
      <c r="Y82" s="48">
        <v>11590355480</v>
      </c>
      <c r="Z82" s="48"/>
      <c r="AA82" s="55">
        <f t="shared" si="1"/>
        <v>2.7214137908124409E-3</v>
      </c>
      <c r="AB82" s="55"/>
    </row>
    <row r="83" spans="1:28">
      <c r="A83" s="48" t="s">
        <v>212</v>
      </c>
      <c r="B83" s="48"/>
      <c r="C83" s="48">
        <v>517391</v>
      </c>
      <c r="D83" s="48"/>
      <c r="E83" s="48">
        <v>17064920422</v>
      </c>
      <c r="F83" s="48"/>
      <c r="G83" s="48">
        <v>16228307451</v>
      </c>
      <c r="H83" s="48"/>
      <c r="I83" s="48">
        <v>0</v>
      </c>
      <c r="J83" s="48"/>
      <c r="K83" s="48">
        <v>0</v>
      </c>
      <c r="L83" s="48"/>
      <c r="M83" s="48">
        <v>0</v>
      </c>
      <c r="N83" s="48"/>
      <c r="O83" s="48">
        <v>0</v>
      </c>
      <c r="P83" s="48"/>
      <c r="Q83" s="48">
        <v>0</v>
      </c>
      <c r="R83" s="48"/>
      <c r="S83" s="48">
        <v>517391</v>
      </c>
      <c r="T83" s="48"/>
      <c r="U83" s="48">
        <v>31610</v>
      </c>
      <c r="V83" s="48"/>
      <c r="W83" s="48">
        <v>17064920422</v>
      </c>
      <c r="X83" s="48"/>
      <c r="Y83" s="48">
        <v>16228307451</v>
      </c>
      <c r="Z83" s="48"/>
      <c r="AA83" s="55">
        <f t="shared" si="1"/>
        <v>3.8104042429849346E-3</v>
      </c>
      <c r="AB83" s="55"/>
    </row>
    <row r="84" spans="1:28">
      <c r="A84" s="48" t="s">
        <v>213</v>
      </c>
      <c r="B84" s="48"/>
      <c r="C84" s="48">
        <v>3534630</v>
      </c>
      <c r="D84" s="48"/>
      <c r="E84" s="48">
        <v>13881762462</v>
      </c>
      <c r="F84" s="48"/>
      <c r="G84" s="48">
        <v>18308144159</v>
      </c>
      <c r="H84" s="48"/>
      <c r="I84" s="48">
        <v>0</v>
      </c>
      <c r="J84" s="48"/>
      <c r="K84" s="48">
        <v>0</v>
      </c>
      <c r="L84" s="48"/>
      <c r="M84" s="48">
        <v>0</v>
      </c>
      <c r="N84" s="48"/>
      <c r="O84" s="48">
        <v>0</v>
      </c>
      <c r="P84" s="48"/>
      <c r="Q84" s="48">
        <v>0</v>
      </c>
      <c r="R84" s="48"/>
      <c r="S84" s="48">
        <v>3534630</v>
      </c>
      <c r="T84" s="48"/>
      <c r="U84" s="48">
        <v>5220</v>
      </c>
      <c r="V84" s="48"/>
      <c r="W84" s="48">
        <v>13881762462</v>
      </c>
      <c r="X84" s="48"/>
      <c r="Y84" s="48">
        <v>18308144159</v>
      </c>
      <c r="Z84" s="48"/>
      <c r="AA84" s="55">
        <f t="shared" si="1"/>
        <v>4.2987496012921976E-3</v>
      </c>
      <c r="AB84" s="55"/>
    </row>
    <row r="85" spans="1:28">
      <c r="A85" s="48" t="s">
        <v>214</v>
      </c>
      <c r="B85" s="48"/>
      <c r="C85" s="48">
        <v>3250000</v>
      </c>
      <c r="D85" s="48"/>
      <c r="E85" s="48">
        <v>3939323661</v>
      </c>
      <c r="F85" s="48"/>
      <c r="G85" s="48">
        <v>3537690617</v>
      </c>
      <c r="H85" s="48"/>
      <c r="I85" s="48">
        <v>0</v>
      </c>
      <c r="J85" s="48"/>
      <c r="K85" s="48">
        <v>0</v>
      </c>
      <c r="L85" s="48"/>
      <c r="M85" s="48">
        <v>0</v>
      </c>
      <c r="N85" s="48"/>
      <c r="O85" s="48">
        <v>0</v>
      </c>
      <c r="P85" s="48"/>
      <c r="Q85" s="48">
        <v>0</v>
      </c>
      <c r="R85" s="48"/>
      <c r="S85" s="48">
        <v>3250000</v>
      </c>
      <c r="T85" s="48"/>
      <c r="U85" s="48">
        <v>1097</v>
      </c>
      <c r="V85" s="48"/>
      <c r="W85" s="48">
        <v>3939323661</v>
      </c>
      <c r="X85" s="48"/>
      <c r="Y85" s="48">
        <v>3537690617</v>
      </c>
      <c r="Z85" s="48"/>
      <c r="AA85" s="55">
        <f t="shared" si="1"/>
        <v>8.3064924534407571E-4</v>
      </c>
      <c r="AB85" s="55"/>
    </row>
    <row r="86" spans="1:28">
      <c r="A86" s="48" t="s">
        <v>215</v>
      </c>
      <c r="B86" s="48"/>
      <c r="C86" s="48">
        <v>4215293</v>
      </c>
      <c r="D86" s="48"/>
      <c r="E86" s="48">
        <v>21878273592</v>
      </c>
      <c r="F86" s="48"/>
      <c r="G86" s="48">
        <v>15685157944</v>
      </c>
      <c r="H86" s="48"/>
      <c r="I86" s="48">
        <v>0</v>
      </c>
      <c r="J86" s="48"/>
      <c r="K86" s="48">
        <v>0</v>
      </c>
      <c r="L86" s="48"/>
      <c r="M86" s="48">
        <v>0</v>
      </c>
      <c r="N86" s="48"/>
      <c r="O86" s="48">
        <v>0</v>
      </c>
      <c r="P86" s="48"/>
      <c r="Q86" s="48">
        <v>0</v>
      </c>
      <c r="R86" s="48"/>
      <c r="S86" s="48">
        <v>4215293</v>
      </c>
      <c r="T86" s="48"/>
      <c r="U86" s="48">
        <v>3750</v>
      </c>
      <c r="V86" s="48"/>
      <c r="W86" s="48">
        <v>21878273592</v>
      </c>
      <c r="X86" s="48"/>
      <c r="Y86" s="48">
        <v>15685157944</v>
      </c>
      <c r="Z86" s="48"/>
      <c r="AA86" s="55">
        <f t="shared" si="1"/>
        <v>3.6828728172772929E-3</v>
      </c>
      <c r="AB86" s="55"/>
    </row>
    <row r="87" spans="1:28">
      <c r="A87" s="48" t="s">
        <v>216</v>
      </c>
      <c r="B87" s="48"/>
      <c r="C87" s="48">
        <v>2874653</v>
      </c>
      <c r="D87" s="48"/>
      <c r="E87" s="48">
        <v>19251319867</v>
      </c>
      <c r="F87" s="48"/>
      <c r="G87" s="48">
        <v>19510634417</v>
      </c>
      <c r="H87" s="48"/>
      <c r="I87" s="48">
        <v>0</v>
      </c>
      <c r="J87" s="48"/>
      <c r="K87" s="48">
        <v>0</v>
      </c>
      <c r="L87" s="48"/>
      <c r="M87" s="48">
        <v>0</v>
      </c>
      <c r="N87" s="48"/>
      <c r="O87" s="48">
        <v>0</v>
      </c>
      <c r="P87" s="48"/>
      <c r="Q87" s="48">
        <v>0</v>
      </c>
      <c r="R87" s="48"/>
      <c r="S87" s="48">
        <v>2874653</v>
      </c>
      <c r="T87" s="48"/>
      <c r="U87" s="48">
        <v>6840</v>
      </c>
      <c r="V87" s="48"/>
      <c r="W87" s="48">
        <v>19251319867</v>
      </c>
      <c r="X87" s="48"/>
      <c r="Y87" s="48">
        <v>19510634417</v>
      </c>
      <c r="Z87" s="48"/>
      <c r="AA87" s="55">
        <f t="shared" si="1"/>
        <v>4.5810941399981675E-3</v>
      </c>
      <c r="AB87" s="55"/>
    </row>
    <row r="88" spans="1:28">
      <c r="A88" s="48" t="s">
        <v>217</v>
      </c>
      <c r="B88" s="48"/>
      <c r="C88" s="48">
        <v>84882</v>
      </c>
      <c r="D88" s="48"/>
      <c r="E88" s="48">
        <v>8293870385</v>
      </c>
      <c r="F88" s="48"/>
      <c r="G88" s="48">
        <v>10580452802</v>
      </c>
      <c r="H88" s="48"/>
      <c r="I88" s="48">
        <v>0</v>
      </c>
      <c r="J88" s="48"/>
      <c r="K88" s="48">
        <v>0</v>
      </c>
      <c r="L88" s="48"/>
      <c r="M88" s="48">
        <v>0</v>
      </c>
      <c r="N88" s="48"/>
      <c r="O88" s="48">
        <v>0</v>
      </c>
      <c r="P88" s="48"/>
      <c r="Q88" s="48">
        <v>0</v>
      </c>
      <c r="R88" s="48"/>
      <c r="S88" s="48">
        <v>84882</v>
      </c>
      <c r="T88" s="48"/>
      <c r="U88" s="48">
        <v>125620</v>
      </c>
      <c r="V88" s="48"/>
      <c r="W88" s="48">
        <v>8293870385</v>
      </c>
      <c r="X88" s="48"/>
      <c r="Y88" s="48">
        <v>10580452802</v>
      </c>
      <c r="Z88" s="48"/>
      <c r="AA88" s="55">
        <f t="shared" si="1"/>
        <v>2.4842887880435339E-3</v>
      </c>
      <c r="AB88" s="55"/>
    </row>
    <row r="89" spans="1:28">
      <c r="A89" s="48" t="s">
        <v>218</v>
      </c>
      <c r="B89" s="48"/>
      <c r="C89" s="48">
        <v>612681</v>
      </c>
      <c r="D89" s="48"/>
      <c r="E89" s="48">
        <v>22539494006</v>
      </c>
      <c r="F89" s="48"/>
      <c r="G89" s="48">
        <v>18524083415</v>
      </c>
      <c r="H89" s="48"/>
      <c r="I89" s="48">
        <v>0</v>
      </c>
      <c r="J89" s="48"/>
      <c r="K89" s="48">
        <v>0</v>
      </c>
      <c r="L89" s="48"/>
      <c r="M89" s="48">
        <v>0</v>
      </c>
      <c r="N89" s="48"/>
      <c r="O89" s="48">
        <v>0</v>
      </c>
      <c r="P89" s="48"/>
      <c r="Q89" s="48">
        <v>0</v>
      </c>
      <c r="R89" s="48"/>
      <c r="S89" s="48">
        <v>612681</v>
      </c>
      <c r="T89" s="48"/>
      <c r="U89" s="48">
        <v>30470</v>
      </c>
      <c r="V89" s="48"/>
      <c r="W89" s="48">
        <v>22539494006</v>
      </c>
      <c r="X89" s="48"/>
      <c r="Y89" s="48">
        <v>18524083415</v>
      </c>
      <c r="Z89" s="48"/>
      <c r="AA89" s="55">
        <f t="shared" si="1"/>
        <v>4.3494521073775567E-3</v>
      </c>
      <c r="AB89" s="55"/>
    </row>
    <row r="90" spans="1:28">
      <c r="A90" s="48" t="s">
        <v>219</v>
      </c>
      <c r="B90" s="48"/>
      <c r="C90" s="48">
        <v>3983350</v>
      </c>
      <c r="D90" s="48"/>
      <c r="E90" s="48">
        <v>16626478656</v>
      </c>
      <c r="F90" s="48"/>
      <c r="G90" s="48">
        <v>14442649506</v>
      </c>
      <c r="H90" s="48"/>
      <c r="I90" s="48">
        <v>0</v>
      </c>
      <c r="J90" s="48"/>
      <c r="K90" s="48">
        <v>0</v>
      </c>
      <c r="L90" s="48"/>
      <c r="M90" s="48">
        <v>0</v>
      </c>
      <c r="N90" s="48"/>
      <c r="O90" s="48">
        <v>0</v>
      </c>
      <c r="P90" s="48"/>
      <c r="Q90" s="48">
        <v>0</v>
      </c>
      <c r="R90" s="48"/>
      <c r="S90" s="48">
        <v>3983350</v>
      </c>
      <c r="T90" s="48"/>
      <c r="U90" s="48">
        <v>3654</v>
      </c>
      <c r="V90" s="48"/>
      <c r="W90" s="48">
        <v>16626478656</v>
      </c>
      <c r="X90" s="48"/>
      <c r="Y90" s="48">
        <v>14442649506</v>
      </c>
      <c r="Z90" s="48"/>
      <c r="AA90" s="55">
        <f t="shared" si="1"/>
        <v>3.3911320156936966E-3</v>
      </c>
      <c r="AB90" s="55"/>
    </row>
    <row r="91" spans="1:28">
      <c r="A91" s="48" t="s">
        <v>220</v>
      </c>
      <c r="B91" s="48"/>
      <c r="C91" s="48">
        <v>2830564</v>
      </c>
      <c r="D91" s="48"/>
      <c r="E91" s="48">
        <v>20539903713</v>
      </c>
      <c r="F91" s="48"/>
      <c r="G91" s="48">
        <v>22357122573</v>
      </c>
      <c r="H91" s="48"/>
      <c r="I91" s="48">
        <v>0</v>
      </c>
      <c r="J91" s="48"/>
      <c r="K91" s="48">
        <v>0</v>
      </c>
      <c r="L91" s="48"/>
      <c r="M91" s="48">
        <v>0</v>
      </c>
      <c r="N91" s="48"/>
      <c r="O91" s="48">
        <v>0</v>
      </c>
      <c r="P91" s="48"/>
      <c r="Q91" s="48">
        <v>0</v>
      </c>
      <c r="R91" s="48"/>
      <c r="S91" s="48">
        <v>2830564</v>
      </c>
      <c r="T91" s="48"/>
      <c r="U91" s="48">
        <v>7960</v>
      </c>
      <c r="V91" s="48"/>
      <c r="W91" s="48">
        <v>20539903713</v>
      </c>
      <c r="X91" s="48"/>
      <c r="Y91" s="48">
        <v>22357122573</v>
      </c>
      <c r="Z91" s="48"/>
      <c r="AA91" s="55">
        <f t="shared" si="1"/>
        <v>5.2494491474429153E-3</v>
      </c>
      <c r="AB91" s="55"/>
    </row>
    <row r="92" spans="1:28">
      <c r="A92" s="48" t="s">
        <v>221</v>
      </c>
      <c r="B92" s="48"/>
      <c r="C92" s="48">
        <v>2001235</v>
      </c>
      <c r="D92" s="48"/>
      <c r="E92" s="48">
        <v>13210275397</v>
      </c>
      <c r="F92" s="48"/>
      <c r="G92" s="48">
        <v>17593881918</v>
      </c>
      <c r="H92" s="48"/>
      <c r="I92" s="48">
        <v>0</v>
      </c>
      <c r="J92" s="48"/>
      <c r="K92" s="48">
        <v>0</v>
      </c>
      <c r="L92" s="48"/>
      <c r="M92" s="48">
        <v>0</v>
      </c>
      <c r="N92" s="48"/>
      <c r="O92" s="48">
        <v>0</v>
      </c>
      <c r="P92" s="48"/>
      <c r="Q92" s="48">
        <v>0</v>
      </c>
      <c r="R92" s="48"/>
      <c r="S92" s="48">
        <v>2001235</v>
      </c>
      <c r="T92" s="48"/>
      <c r="U92" s="48">
        <v>8860</v>
      </c>
      <c r="V92" s="48"/>
      <c r="W92" s="48">
        <v>13210275397</v>
      </c>
      <c r="X92" s="48"/>
      <c r="Y92" s="48">
        <v>17593881918</v>
      </c>
      <c r="Z92" s="48"/>
      <c r="AA92" s="55">
        <f t="shared" si="1"/>
        <v>4.1310409303831671E-3</v>
      </c>
      <c r="AB92" s="55"/>
    </row>
    <row r="93" spans="1:28">
      <c r="A93" s="48" t="s">
        <v>222</v>
      </c>
      <c r="B93" s="48"/>
      <c r="C93" s="48">
        <v>5476907</v>
      </c>
      <c r="D93" s="48"/>
      <c r="E93" s="48">
        <v>24541931735</v>
      </c>
      <c r="F93" s="48"/>
      <c r="G93" s="48">
        <v>22221958811</v>
      </c>
      <c r="H93" s="48"/>
      <c r="I93" s="48">
        <v>0</v>
      </c>
      <c r="J93" s="48"/>
      <c r="K93" s="48">
        <v>0</v>
      </c>
      <c r="L93" s="48"/>
      <c r="M93" s="48">
        <v>0</v>
      </c>
      <c r="N93" s="48"/>
      <c r="O93" s="48">
        <v>0</v>
      </c>
      <c r="P93" s="48"/>
      <c r="Q93" s="48">
        <v>0</v>
      </c>
      <c r="R93" s="48"/>
      <c r="S93" s="48">
        <v>5476907</v>
      </c>
      <c r="T93" s="48"/>
      <c r="U93" s="48">
        <v>4089</v>
      </c>
      <c r="V93" s="48"/>
      <c r="W93" s="48">
        <v>24541931735</v>
      </c>
      <c r="X93" s="48"/>
      <c r="Y93" s="48">
        <v>22221958811</v>
      </c>
      <c r="Z93" s="48"/>
      <c r="AA93" s="55">
        <f t="shared" si="1"/>
        <v>5.2177127156691335E-3</v>
      </c>
      <c r="AB93" s="55"/>
    </row>
    <row r="94" spans="1:28">
      <c r="A94" s="48" t="s">
        <v>223</v>
      </c>
      <c r="B94" s="48"/>
      <c r="C94" s="48">
        <v>2800000</v>
      </c>
      <c r="D94" s="48"/>
      <c r="E94" s="48">
        <v>19839248766</v>
      </c>
      <c r="F94" s="48"/>
      <c r="G94" s="48">
        <v>21337774080</v>
      </c>
      <c r="H94" s="48"/>
      <c r="I94" s="48">
        <v>0</v>
      </c>
      <c r="J94" s="48"/>
      <c r="K94" s="48">
        <v>0</v>
      </c>
      <c r="L94" s="48"/>
      <c r="M94" s="48">
        <v>0</v>
      </c>
      <c r="N94" s="48"/>
      <c r="O94" s="48">
        <v>0</v>
      </c>
      <c r="P94" s="48"/>
      <c r="Q94" s="48">
        <v>0</v>
      </c>
      <c r="R94" s="48"/>
      <c r="S94" s="48">
        <v>2800000</v>
      </c>
      <c r="T94" s="48"/>
      <c r="U94" s="48">
        <v>7680</v>
      </c>
      <c r="V94" s="48"/>
      <c r="W94" s="48">
        <v>19839248766</v>
      </c>
      <c r="X94" s="48"/>
      <c r="Y94" s="48">
        <v>21337774080</v>
      </c>
      <c r="Z94" s="48"/>
      <c r="AA94" s="55">
        <f t="shared" si="1"/>
        <v>5.0101062686778129E-3</v>
      </c>
      <c r="AB94" s="55"/>
    </row>
    <row r="95" spans="1:28">
      <c r="A95" s="48" t="s">
        <v>224</v>
      </c>
      <c r="B95" s="48"/>
      <c r="C95" s="48">
        <v>2913758</v>
      </c>
      <c r="D95" s="48"/>
      <c r="E95" s="48">
        <v>28454642525</v>
      </c>
      <c r="F95" s="48"/>
      <c r="G95" s="48">
        <v>27871502032</v>
      </c>
      <c r="H95" s="48"/>
      <c r="I95" s="48">
        <v>0</v>
      </c>
      <c r="J95" s="48"/>
      <c r="K95" s="48">
        <v>0</v>
      </c>
      <c r="L95" s="48"/>
      <c r="M95" s="48">
        <v>0</v>
      </c>
      <c r="N95" s="48"/>
      <c r="O95" s="48">
        <v>0</v>
      </c>
      <c r="P95" s="48"/>
      <c r="Q95" s="48">
        <v>0</v>
      </c>
      <c r="R95" s="48"/>
      <c r="S95" s="48">
        <v>2913758</v>
      </c>
      <c r="T95" s="48"/>
      <c r="U95" s="48">
        <v>9640</v>
      </c>
      <c r="V95" s="48"/>
      <c r="W95" s="48">
        <v>28454642525</v>
      </c>
      <c r="X95" s="48"/>
      <c r="Y95" s="48">
        <v>27871502032</v>
      </c>
      <c r="Z95" s="48"/>
      <c r="AA95" s="55">
        <f t="shared" si="1"/>
        <v>6.544224647071978E-3</v>
      </c>
      <c r="AB95" s="55"/>
    </row>
    <row r="96" spans="1:28">
      <c r="A96" s="48" t="s">
        <v>136</v>
      </c>
      <c r="B96" s="48"/>
      <c r="C96" s="48">
        <v>1209154</v>
      </c>
      <c r="D96" s="48"/>
      <c r="E96" s="48">
        <v>13559690174</v>
      </c>
      <c r="F96" s="48"/>
      <c r="G96" s="48">
        <v>14913603988</v>
      </c>
      <c r="H96" s="48"/>
      <c r="I96" s="48">
        <v>0</v>
      </c>
      <c r="J96" s="48"/>
      <c r="K96" s="48">
        <v>0</v>
      </c>
      <c r="L96" s="48"/>
      <c r="M96" s="48">
        <v>0</v>
      </c>
      <c r="N96" s="48"/>
      <c r="O96" s="48">
        <v>0</v>
      </c>
      <c r="P96" s="48"/>
      <c r="Q96" s="48">
        <v>0</v>
      </c>
      <c r="R96" s="48"/>
      <c r="S96" s="48">
        <v>1209154</v>
      </c>
      <c r="T96" s="48"/>
      <c r="U96" s="48">
        <v>7685</v>
      </c>
      <c r="V96" s="48"/>
      <c r="W96" s="48">
        <v>13559690174</v>
      </c>
      <c r="X96" s="48"/>
      <c r="Y96" s="48">
        <v>9220518636</v>
      </c>
      <c r="Z96" s="48"/>
      <c r="AA96" s="55">
        <f t="shared" si="1"/>
        <v>2.1649764425045498E-3</v>
      </c>
      <c r="AB96" s="55"/>
    </row>
    <row r="97" spans="1:28">
      <c r="A97" s="48" t="s">
        <v>225</v>
      </c>
      <c r="B97" s="48"/>
      <c r="C97" s="48">
        <v>1813731</v>
      </c>
      <c r="D97" s="48"/>
      <c r="E97" s="48">
        <v>18525804260</v>
      </c>
      <c r="F97" s="48"/>
      <c r="G97" s="48">
        <v>20570695123</v>
      </c>
      <c r="H97" s="48"/>
      <c r="I97" s="48">
        <v>0</v>
      </c>
      <c r="J97" s="48"/>
      <c r="K97" s="48">
        <v>0</v>
      </c>
      <c r="L97" s="48"/>
      <c r="M97" s="48">
        <v>0</v>
      </c>
      <c r="N97" s="48"/>
      <c r="O97" s="48">
        <v>0</v>
      </c>
      <c r="P97" s="48"/>
      <c r="Q97" s="48">
        <v>0</v>
      </c>
      <c r="R97" s="48"/>
      <c r="S97" s="48">
        <v>1813731</v>
      </c>
      <c r="T97" s="48"/>
      <c r="U97" s="48">
        <v>11430</v>
      </c>
      <c r="V97" s="48"/>
      <c r="W97" s="48">
        <v>18525804260</v>
      </c>
      <c r="X97" s="48"/>
      <c r="Y97" s="48">
        <v>20570695123</v>
      </c>
      <c r="Z97" s="48"/>
      <c r="AA97" s="55">
        <f t="shared" si="1"/>
        <v>4.8299962404889426E-3</v>
      </c>
      <c r="AB97" s="55"/>
    </row>
    <row r="98" spans="1:28">
      <c r="A98" s="48" t="s">
        <v>226</v>
      </c>
      <c r="B98" s="48"/>
      <c r="C98" s="48">
        <v>104452</v>
      </c>
      <c r="D98" s="48"/>
      <c r="E98" s="48">
        <v>12026316222</v>
      </c>
      <c r="F98" s="48"/>
      <c r="G98" s="48">
        <v>13160789535</v>
      </c>
      <c r="H98" s="48"/>
      <c r="I98" s="48">
        <v>0</v>
      </c>
      <c r="J98" s="48"/>
      <c r="K98" s="48">
        <v>0</v>
      </c>
      <c r="L98" s="48"/>
      <c r="M98" s="48">
        <v>0</v>
      </c>
      <c r="N98" s="48"/>
      <c r="O98" s="48">
        <v>0</v>
      </c>
      <c r="P98" s="48"/>
      <c r="Q98" s="48">
        <v>0</v>
      </c>
      <c r="R98" s="48"/>
      <c r="S98" s="48">
        <v>104452</v>
      </c>
      <c r="T98" s="48"/>
      <c r="U98" s="48">
        <v>126980</v>
      </c>
      <c r="V98" s="48"/>
      <c r="W98" s="48">
        <v>12026316222</v>
      </c>
      <c r="X98" s="48"/>
      <c r="Y98" s="48">
        <v>13160789535</v>
      </c>
      <c r="Z98" s="48"/>
      <c r="AA98" s="55">
        <f t="shared" si="1"/>
        <v>3.0901514798516816E-3</v>
      </c>
      <c r="AB98" s="55"/>
    </row>
    <row r="99" spans="1:28">
      <c r="A99" s="48" t="s">
        <v>227</v>
      </c>
      <c r="B99" s="48"/>
      <c r="C99" s="48">
        <v>144247</v>
      </c>
      <c r="D99" s="48"/>
      <c r="E99" s="48">
        <v>1152844494</v>
      </c>
      <c r="F99" s="48"/>
      <c r="G99" s="48">
        <v>913181973</v>
      </c>
      <c r="H99" s="48"/>
      <c r="I99" s="48">
        <v>0</v>
      </c>
      <c r="J99" s="48"/>
      <c r="K99" s="48">
        <v>0</v>
      </c>
      <c r="L99" s="48"/>
      <c r="M99" s="48">
        <v>0</v>
      </c>
      <c r="N99" s="48"/>
      <c r="O99" s="48">
        <v>0</v>
      </c>
      <c r="P99" s="48"/>
      <c r="Q99" s="48">
        <v>0</v>
      </c>
      <c r="R99" s="48"/>
      <c r="S99" s="48">
        <v>144247</v>
      </c>
      <c r="T99" s="48"/>
      <c r="U99" s="48">
        <v>6380</v>
      </c>
      <c r="V99" s="48"/>
      <c r="W99" s="48">
        <v>1152844494</v>
      </c>
      <c r="X99" s="48"/>
      <c r="Y99" s="48">
        <v>913181973</v>
      </c>
      <c r="Z99" s="48"/>
      <c r="AA99" s="55">
        <f t="shared" si="1"/>
        <v>2.1441499522010466E-4</v>
      </c>
      <c r="AB99" s="55"/>
    </row>
    <row r="100" spans="1:28">
      <c r="A100" s="48" t="s">
        <v>228</v>
      </c>
      <c r="B100" s="48"/>
      <c r="C100" s="48">
        <v>336344</v>
      </c>
      <c r="D100" s="48"/>
      <c r="E100" s="48">
        <v>11436721532</v>
      </c>
      <c r="F100" s="48"/>
      <c r="G100" s="48">
        <v>10663122745</v>
      </c>
      <c r="H100" s="48"/>
      <c r="I100" s="48">
        <v>0</v>
      </c>
      <c r="J100" s="48"/>
      <c r="K100" s="48">
        <v>0</v>
      </c>
      <c r="L100" s="48"/>
      <c r="M100" s="48">
        <v>0</v>
      </c>
      <c r="N100" s="48"/>
      <c r="O100" s="48">
        <v>0</v>
      </c>
      <c r="P100" s="48"/>
      <c r="Q100" s="48">
        <v>0</v>
      </c>
      <c r="R100" s="48"/>
      <c r="S100" s="48">
        <v>336344</v>
      </c>
      <c r="T100" s="48"/>
      <c r="U100" s="48">
        <v>31950</v>
      </c>
      <c r="V100" s="48"/>
      <c r="W100" s="48">
        <v>11436721532</v>
      </c>
      <c r="X100" s="48"/>
      <c r="Y100" s="48">
        <v>10663122745</v>
      </c>
      <c r="Z100" s="48"/>
      <c r="AA100" s="55">
        <f t="shared" si="1"/>
        <v>2.503699678706387E-3</v>
      </c>
      <c r="AB100" s="55"/>
    </row>
    <row r="101" spans="1:28">
      <c r="A101" s="48" t="s">
        <v>229</v>
      </c>
      <c r="B101" s="48"/>
      <c r="C101" s="48">
        <v>1824791</v>
      </c>
      <c r="D101" s="48"/>
      <c r="E101" s="48">
        <v>33970430990</v>
      </c>
      <c r="F101" s="48"/>
      <c r="G101" s="48">
        <v>28427760239</v>
      </c>
      <c r="H101" s="48"/>
      <c r="I101" s="48">
        <v>0</v>
      </c>
      <c r="J101" s="48"/>
      <c r="K101" s="48">
        <v>0</v>
      </c>
      <c r="L101" s="48"/>
      <c r="M101" s="48">
        <v>0</v>
      </c>
      <c r="N101" s="48"/>
      <c r="O101" s="48">
        <v>0</v>
      </c>
      <c r="P101" s="48"/>
      <c r="Q101" s="48">
        <v>0</v>
      </c>
      <c r="R101" s="48"/>
      <c r="S101" s="48">
        <v>1824791</v>
      </c>
      <c r="T101" s="48"/>
      <c r="U101" s="48">
        <v>15700</v>
      </c>
      <c r="V101" s="48"/>
      <c r="W101" s="48">
        <v>33970430990</v>
      </c>
      <c r="X101" s="48"/>
      <c r="Y101" s="48">
        <v>28427760239</v>
      </c>
      <c r="Z101" s="48"/>
      <c r="AA101" s="55">
        <f t="shared" si="1"/>
        <v>6.674833993644185E-3</v>
      </c>
      <c r="AB101" s="55"/>
    </row>
    <row r="102" spans="1:28">
      <c r="A102" s="48" t="s">
        <v>230</v>
      </c>
      <c r="B102" s="48"/>
      <c r="C102" s="48">
        <v>1504289</v>
      </c>
      <c r="D102" s="48"/>
      <c r="E102" s="48">
        <v>9141298952</v>
      </c>
      <c r="F102" s="48"/>
      <c r="G102" s="48">
        <v>16150590354</v>
      </c>
      <c r="H102" s="48"/>
      <c r="I102" s="48">
        <v>0</v>
      </c>
      <c r="J102" s="48"/>
      <c r="K102" s="48">
        <v>0</v>
      </c>
      <c r="L102" s="48"/>
      <c r="M102" s="48">
        <v>0</v>
      </c>
      <c r="N102" s="48"/>
      <c r="O102" s="48">
        <v>0</v>
      </c>
      <c r="P102" s="48"/>
      <c r="Q102" s="48">
        <v>0</v>
      </c>
      <c r="R102" s="48"/>
      <c r="S102" s="48">
        <v>1504289</v>
      </c>
      <c r="T102" s="48"/>
      <c r="U102" s="48">
        <v>10820</v>
      </c>
      <c r="V102" s="48"/>
      <c r="W102" s="48">
        <v>9141298952</v>
      </c>
      <c r="X102" s="48"/>
      <c r="Y102" s="48">
        <v>16150590354</v>
      </c>
      <c r="Z102" s="48"/>
      <c r="AA102" s="55">
        <f t="shared" si="1"/>
        <v>3.7921562798467318E-3</v>
      </c>
      <c r="AB102" s="55"/>
    </row>
    <row r="103" spans="1:28">
      <c r="A103" s="48" t="s">
        <v>231</v>
      </c>
      <c r="B103" s="48"/>
      <c r="C103" s="48">
        <v>512506</v>
      </c>
      <c r="D103" s="48"/>
      <c r="E103" s="48">
        <v>23243757956</v>
      </c>
      <c r="F103" s="48"/>
      <c r="G103" s="48">
        <v>17890589481</v>
      </c>
      <c r="H103" s="48"/>
      <c r="I103" s="48">
        <v>0</v>
      </c>
      <c r="J103" s="48"/>
      <c r="K103" s="48">
        <v>0</v>
      </c>
      <c r="L103" s="48"/>
      <c r="M103" s="48">
        <v>0</v>
      </c>
      <c r="N103" s="48"/>
      <c r="O103" s="48">
        <v>0</v>
      </c>
      <c r="P103" s="48"/>
      <c r="Q103" s="48">
        <v>0</v>
      </c>
      <c r="R103" s="48"/>
      <c r="S103" s="48">
        <v>512506</v>
      </c>
      <c r="T103" s="48"/>
      <c r="U103" s="48">
        <v>35180</v>
      </c>
      <c r="V103" s="48"/>
      <c r="W103" s="48">
        <v>23243757956</v>
      </c>
      <c r="X103" s="48"/>
      <c r="Y103" s="48">
        <v>17890589481</v>
      </c>
      <c r="Z103" s="48"/>
      <c r="AA103" s="55">
        <f t="shared" si="1"/>
        <v>4.2007078232735437E-3</v>
      </c>
      <c r="AB103" s="55"/>
    </row>
    <row r="104" spans="1:28">
      <c r="A104" s="48" t="s">
        <v>232</v>
      </c>
      <c r="B104" s="48"/>
      <c r="C104" s="48">
        <v>21110</v>
      </c>
      <c r="D104" s="48"/>
      <c r="E104" s="48">
        <v>2674296095</v>
      </c>
      <c r="F104" s="48"/>
      <c r="G104" s="48">
        <v>2291372607</v>
      </c>
      <c r="H104" s="48"/>
      <c r="I104" s="48">
        <v>0</v>
      </c>
      <c r="J104" s="48"/>
      <c r="K104" s="48">
        <v>0</v>
      </c>
      <c r="L104" s="48"/>
      <c r="M104" s="48">
        <v>0</v>
      </c>
      <c r="N104" s="48"/>
      <c r="O104" s="48">
        <v>0</v>
      </c>
      <c r="P104" s="48"/>
      <c r="Q104" s="48">
        <v>0</v>
      </c>
      <c r="R104" s="48"/>
      <c r="S104" s="48">
        <v>21110</v>
      </c>
      <c r="T104" s="48"/>
      <c r="U104" s="48">
        <v>109390</v>
      </c>
      <c r="V104" s="48"/>
      <c r="W104" s="48">
        <v>2674296095</v>
      </c>
      <c r="X104" s="48"/>
      <c r="Y104" s="48">
        <v>2291372607</v>
      </c>
      <c r="Z104" s="48"/>
      <c r="AA104" s="55">
        <f t="shared" si="1"/>
        <v>5.3801395680571956E-4</v>
      </c>
      <c r="AB104" s="55"/>
    </row>
    <row r="105" spans="1:28">
      <c r="A105" s="48" t="s">
        <v>233</v>
      </c>
      <c r="B105" s="48"/>
      <c r="C105" s="48">
        <v>6761644</v>
      </c>
      <c r="D105" s="48"/>
      <c r="E105" s="48">
        <v>10818188004</v>
      </c>
      <c r="F105" s="48"/>
      <c r="G105" s="48">
        <v>13606615526</v>
      </c>
      <c r="H105" s="48"/>
      <c r="I105" s="48">
        <v>0</v>
      </c>
      <c r="J105" s="48"/>
      <c r="K105" s="48">
        <v>0</v>
      </c>
      <c r="L105" s="48"/>
      <c r="M105" s="48">
        <v>0</v>
      </c>
      <c r="N105" s="48"/>
      <c r="O105" s="48">
        <v>0</v>
      </c>
      <c r="P105" s="48"/>
      <c r="Q105" s="48">
        <v>0</v>
      </c>
      <c r="R105" s="48"/>
      <c r="S105" s="48">
        <v>6761644</v>
      </c>
      <c r="T105" s="48"/>
      <c r="U105" s="48">
        <v>2028</v>
      </c>
      <c r="V105" s="48"/>
      <c r="W105" s="48">
        <v>10818188004</v>
      </c>
      <c r="X105" s="48"/>
      <c r="Y105" s="48">
        <v>13606615526</v>
      </c>
      <c r="Z105" s="48"/>
      <c r="AA105" s="55">
        <f t="shared" si="1"/>
        <v>3.194831358074884E-3</v>
      </c>
      <c r="AB105" s="55"/>
    </row>
    <row r="106" spans="1:28">
      <c r="A106" s="48" t="s">
        <v>234</v>
      </c>
      <c r="B106" s="48"/>
      <c r="C106" s="48">
        <v>520570</v>
      </c>
      <c r="D106" s="48"/>
      <c r="E106" s="48">
        <v>20486605262</v>
      </c>
      <c r="F106" s="48"/>
      <c r="G106" s="48">
        <v>20982098272</v>
      </c>
      <c r="H106" s="48"/>
      <c r="I106" s="48">
        <v>0</v>
      </c>
      <c r="J106" s="48"/>
      <c r="K106" s="48">
        <v>0</v>
      </c>
      <c r="L106" s="48"/>
      <c r="M106" s="48">
        <v>0</v>
      </c>
      <c r="N106" s="48"/>
      <c r="O106" s="48">
        <v>0</v>
      </c>
      <c r="P106" s="48"/>
      <c r="Q106" s="48">
        <v>0</v>
      </c>
      <c r="R106" s="48"/>
      <c r="S106" s="48">
        <v>520570</v>
      </c>
      <c r="T106" s="48"/>
      <c r="U106" s="48">
        <v>40620</v>
      </c>
      <c r="V106" s="48"/>
      <c r="W106" s="48">
        <v>20486605262</v>
      </c>
      <c r="X106" s="48"/>
      <c r="Y106" s="48">
        <v>20982098272</v>
      </c>
      <c r="Z106" s="48"/>
      <c r="AA106" s="55">
        <f t="shared" si="1"/>
        <v>4.9265936403878685E-3</v>
      </c>
      <c r="AB106" s="55"/>
    </row>
    <row r="107" spans="1:28">
      <c r="A107" s="48" t="s">
        <v>235</v>
      </c>
      <c r="B107" s="48"/>
      <c r="C107" s="48">
        <v>1155746</v>
      </c>
      <c r="D107" s="48"/>
      <c r="E107" s="48">
        <v>7943307049</v>
      </c>
      <c r="F107" s="48"/>
      <c r="G107" s="48">
        <v>15745729905</v>
      </c>
      <c r="H107" s="48"/>
      <c r="I107" s="48">
        <v>0</v>
      </c>
      <c r="J107" s="48"/>
      <c r="K107" s="48">
        <v>0</v>
      </c>
      <c r="L107" s="48"/>
      <c r="M107" s="48">
        <v>0</v>
      </c>
      <c r="N107" s="48"/>
      <c r="O107" s="48">
        <v>0</v>
      </c>
      <c r="P107" s="48"/>
      <c r="Q107" s="48">
        <v>0</v>
      </c>
      <c r="R107" s="48"/>
      <c r="S107" s="48">
        <v>1155746</v>
      </c>
      <c r="T107" s="48"/>
      <c r="U107" s="48">
        <v>13730</v>
      </c>
      <c r="V107" s="48"/>
      <c r="W107" s="48">
        <v>7943307049</v>
      </c>
      <c r="X107" s="48"/>
      <c r="Y107" s="48">
        <v>15745729905</v>
      </c>
      <c r="Z107" s="48"/>
      <c r="AA107" s="55">
        <f t="shared" si="1"/>
        <v>3.6970951049617733E-3</v>
      </c>
      <c r="AB107" s="55"/>
    </row>
    <row r="108" spans="1:28">
      <c r="A108" s="48" t="s">
        <v>236</v>
      </c>
      <c r="B108" s="48"/>
      <c r="C108" s="48">
        <v>3019851</v>
      </c>
      <c r="D108" s="48"/>
      <c r="E108" s="48">
        <v>5526073732</v>
      </c>
      <c r="F108" s="48"/>
      <c r="G108" s="48">
        <v>8764784589</v>
      </c>
      <c r="H108" s="48"/>
      <c r="I108" s="48">
        <v>0</v>
      </c>
      <c r="J108" s="48"/>
      <c r="K108" s="48">
        <v>0</v>
      </c>
      <c r="L108" s="48"/>
      <c r="M108" s="48">
        <v>0</v>
      </c>
      <c r="N108" s="48"/>
      <c r="O108" s="48">
        <v>0</v>
      </c>
      <c r="P108" s="48"/>
      <c r="Q108" s="48">
        <v>0</v>
      </c>
      <c r="R108" s="48"/>
      <c r="S108" s="48">
        <v>3019851</v>
      </c>
      <c r="T108" s="48"/>
      <c r="U108" s="48">
        <v>2925</v>
      </c>
      <c r="V108" s="48"/>
      <c r="W108" s="48">
        <v>5526073732</v>
      </c>
      <c r="X108" s="48"/>
      <c r="Y108" s="48">
        <v>8764784589</v>
      </c>
      <c r="Z108" s="48"/>
      <c r="AA108" s="55">
        <f t="shared" si="1"/>
        <v>2.0579701541651898E-3</v>
      </c>
      <c r="AB108" s="55"/>
    </row>
    <row r="109" spans="1:28">
      <c r="A109" s="48" t="s">
        <v>237</v>
      </c>
      <c r="B109" s="48"/>
      <c r="C109" s="48">
        <v>3863965</v>
      </c>
      <c r="D109" s="48"/>
      <c r="E109" s="48">
        <v>23148828819</v>
      </c>
      <c r="F109" s="48"/>
      <c r="G109" s="48">
        <v>25343378199</v>
      </c>
      <c r="H109" s="48"/>
      <c r="I109" s="48">
        <v>0</v>
      </c>
      <c r="J109" s="48"/>
      <c r="K109" s="48">
        <v>0</v>
      </c>
      <c r="L109" s="48"/>
      <c r="M109" s="48">
        <v>0</v>
      </c>
      <c r="N109" s="48"/>
      <c r="O109" s="48">
        <v>0</v>
      </c>
      <c r="P109" s="48"/>
      <c r="Q109" s="48">
        <v>0</v>
      </c>
      <c r="R109" s="48"/>
      <c r="S109" s="48">
        <v>3863965</v>
      </c>
      <c r="T109" s="48"/>
      <c r="U109" s="48">
        <v>6610</v>
      </c>
      <c r="V109" s="48"/>
      <c r="W109" s="48">
        <v>23148828819</v>
      </c>
      <c r="X109" s="48"/>
      <c r="Y109" s="48">
        <v>25343378199</v>
      </c>
      <c r="Z109" s="48"/>
      <c r="AA109" s="55">
        <f t="shared" si="1"/>
        <v>5.9506215366341769E-3</v>
      </c>
      <c r="AB109" s="55"/>
    </row>
    <row r="110" spans="1:28">
      <c r="A110" s="48" t="s">
        <v>238</v>
      </c>
      <c r="B110" s="48"/>
      <c r="C110" s="48">
        <v>1467107</v>
      </c>
      <c r="D110" s="48"/>
      <c r="E110" s="48">
        <v>23716554717</v>
      </c>
      <c r="F110" s="48"/>
      <c r="G110" s="48">
        <v>24748026469</v>
      </c>
      <c r="H110" s="48"/>
      <c r="I110" s="48">
        <v>0</v>
      </c>
      <c r="J110" s="48"/>
      <c r="K110" s="48">
        <v>0</v>
      </c>
      <c r="L110" s="48"/>
      <c r="M110" s="48">
        <v>0</v>
      </c>
      <c r="N110" s="48"/>
      <c r="O110" s="48">
        <v>0</v>
      </c>
      <c r="P110" s="48"/>
      <c r="Q110" s="48">
        <v>0</v>
      </c>
      <c r="R110" s="48"/>
      <c r="S110" s="48">
        <v>1467107</v>
      </c>
      <c r="T110" s="48"/>
      <c r="U110" s="48">
        <v>17000</v>
      </c>
      <c r="V110" s="48"/>
      <c r="W110" s="48">
        <v>23716554717</v>
      </c>
      <c r="X110" s="48"/>
      <c r="Y110" s="48">
        <v>24748026469</v>
      </c>
      <c r="Z110" s="48"/>
      <c r="AA110" s="55">
        <f t="shared" si="1"/>
        <v>5.8108330365142444E-3</v>
      </c>
      <c r="AB110" s="55"/>
    </row>
    <row r="111" spans="1:28">
      <c r="A111" s="48" t="s">
        <v>239</v>
      </c>
      <c r="B111" s="48"/>
      <c r="C111" s="48">
        <v>2277911</v>
      </c>
      <c r="D111" s="48"/>
      <c r="E111" s="48">
        <v>22635075434</v>
      </c>
      <c r="F111" s="48"/>
      <c r="G111" s="48">
        <v>21111227666</v>
      </c>
      <c r="H111" s="48"/>
      <c r="I111" s="48">
        <v>0</v>
      </c>
      <c r="J111" s="48"/>
      <c r="K111" s="48">
        <v>0</v>
      </c>
      <c r="L111" s="48"/>
      <c r="M111" s="48">
        <v>0</v>
      </c>
      <c r="N111" s="48"/>
      <c r="O111" s="48">
        <v>0</v>
      </c>
      <c r="P111" s="48"/>
      <c r="Q111" s="48">
        <v>0</v>
      </c>
      <c r="R111" s="48"/>
      <c r="S111" s="48">
        <v>2277911</v>
      </c>
      <c r="T111" s="48"/>
      <c r="U111" s="48">
        <v>9340</v>
      </c>
      <c r="V111" s="48"/>
      <c r="W111" s="48">
        <v>22635075434</v>
      </c>
      <c r="X111" s="48"/>
      <c r="Y111" s="48">
        <v>21111227666</v>
      </c>
      <c r="Z111" s="48"/>
      <c r="AA111" s="55">
        <f t="shared" si="1"/>
        <v>4.956913203427781E-3</v>
      </c>
      <c r="AB111" s="55"/>
    </row>
    <row r="112" spans="1:28">
      <c r="A112" s="48" t="s">
        <v>240</v>
      </c>
      <c r="B112" s="48"/>
      <c r="C112" s="48">
        <v>22585402</v>
      </c>
      <c r="D112" s="48"/>
      <c r="E112" s="48">
        <v>48349228681</v>
      </c>
      <c r="F112" s="48"/>
      <c r="G112" s="48">
        <v>42401265466</v>
      </c>
      <c r="H112" s="48"/>
      <c r="I112" s="48">
        <v>0</v>
      </c>
      <c r="J112" s="48"/>
      <c r="K112" s="48">
        <v>0</v>
      </c>
      <c r="L112" s="48"/>
      <c r="M112" s="48">
        <v>0</v>
      </c>
      <c r="N112" s="48"/>
      <c r="O112" s="48">
        <v>0</v>
      </c>
      <c r="P112" s="48"/>
      <c r="Q112" s="48">
        <v>0</v>
      </c>
      <c r="R112" s="48"/>
      <c r="S112" s="48">
        <v>22585402</v>
      </c>
      <c r="T112" s="48"/>
      <c r="U112" s="48">
        <v>1892</v>
      </c>
      <c r="V112" s="48"/>
      <c r="W112" s="48">
        <v>48349228681</v>
      </c>
      <c r="X112" s="48"/>
      <c r="Y112" s="48">
        <v>42401265466</v>
      </c>
      <c r="Z112" s="48"/>
      <c r="AA112" s="55">
        <f t="shared" si="1"/>
        <v>9.9558110004639554E-3</v>
      </c>
      <c r="AB112" s="55"/>
    </row>
    <row r="113" spans="1:28">
      <c r="A113" s="48" t="s">
        <v>241</v>
      </c>
      <c r="B113" s="48"/>
      <c r="C113" s="48">
        <v>835696</v>
      </c>
      <c r="D113" s="48"/>
      <c r="E113" s="48">
        <v>26487272105</v>
      </c>
      <c r="F113" s="48"/>
      <c r="G113" s="48">
        <v>20614808698</v>
      </c>
      <c r="H113" s="48"/>
      <c r="I113" s="48">
        <v>0</v>
      </c>
      <c r="J113" s="48"/>
      <c r="K113" s="48">
        <v>0</v>
      </c>
      <c r="L113" s="48"/>
      <c r="M113" s="48">
        <v>0</v>
      </c>
      <c r="N113" s="48"/>
      <c r="O113" s="48">
        <v>0</v>
      </c>
      <c r="P113" s="48"/>
      <c r="Q113" s="48">
        <v>0</v>
      </c>
      <c r="R113" s="48"/>
      <c r="S113" s="48">
        <v>835696</v>
      </c>
      <c r="T113" s="48"/>
      <c r="U113" s="48">
        <v>24860</v>
      </c>
      <c r="V113" s="48"/>
      <c r="W113" s="48">
        <v>26487272105</v>
      </c>
      <c r="X113" s="48"/>
      <c r="Y113" s="48">
        <v>20614808698</v>
      </c>
      <c r="Z113" s="48"/>
      <c r="AA113" s="55">
        <f t="shared" si="1"/>
        <v>4.8403541015204013E-3</v>
      </c>
      <c r="AB113" s="55"/>
    </row>
    <row r="114" spans="1:28">
      <c r="A114" s="48" t="s">
        <v>242</v>
      </c>
      <c r="B114" s="48"/>
      <c r="C114" s="48">
        <v>200000</v>
      </c>
      <c r="D114" s="48"/>
      <c r="E114" s="48">
        <v>1501990667</v>
      </c>
      <c r="F114" s="48"/>
      <c r="G114" s="48">
        <v>1210569400</v>
      </c>
      <c r="H114" s="48"/>
      <c r="I114" s="48">
        <v>0</v>
      </c>
      <c r="J114" s="48"/>
      <c r="K114" s="48">
        <v>0</v>
      </c>
      <c r="L114" s="48"/>
      <c r="M114" s="48">
        <v>0</v>
      </c>
      <c r="N114" s="48"/>
      <c r="O114" s="48">
        <v>0</v>
      </c>
      <c r="P114" s="48"/>
      <c r="Q114" s="48">
        <v>0</v>
      </c>
      <c r="R114" s="48"/>
      <c r="S114" s="48">
        <v>200000</v>
      </c>
      <c r="T114" s="48"/>
      <c r="U114" s="48">
        <v>6100</v>
      </c>
      <c r="V114" s="48"/>
      <c r="W114" s="48">
        <v>1501990667</v>
      </c>
      <c r="X114" s="48"/>
      <c r="Y114" s="48">
        <v>1210569400</v>
      </c>
      <c r="Z114" s="48"/>
      <c r="AA114" s="55">
        <f t="shared" si="1"/>
        <v>2.8424152007937742E-4</v>
      </c>
      <c r="AB114" s="55"/>
    </row>
    <row r="115" spans="1:28">
      <c r="A115" s="48" t="s">
        <v>243</v>
      </c>
      <c r="B115" s="48"/>
      <c r="C115" s="48">
        <v>2478</v>
      </c>
      <c r="D115" s="48"/>
      <c r="E115" s="48">
        <v>634181829</v>
      </c>
      <c r="F115" s="48"/>
      <c r="G115" s="48">
        <v>664134051</v>
      </c>
      <c r="H115" s="48"/>
      <c r="I115" s="48">
        <v>0</v>
      </c>
      <c r="J115" s="48"/>
      <c r="K115" s="48">
        <v>0</v>
      </c>
      <c r="L115" s="48"/>
      <c r="M115" s="48">
        <v>0</v>
      </c>
      <c r="N115" s="48"/>
      <c r="O115" s="48">
        <v>0</v>
      </c>
      <c r="P115" s="48"/>
      <c r="Q115" s="48">
        <v>0</v>
      </c>
      <c r="R115" s="48"/>
      <c r="S115" s="48">
        <v>2478</v>
      </c>
      <c r="T115" s="48"/>
      <c r="U115" s="48">
        <v>270100</v>
      </c>
      <c r="V115" s="48"/>
      <c r="W115" s="48">
        <v>634181829</v>
      </c>
      <c r="X115" s="48"/>
      <c r="Y115" s="48">
        <v>664134051</v>
      </c>
      <c r="Z115" s="48"/>
      <c r="AA115" s="55">
        <f t="shared" si="1"/>
        <v>1.5593857914524749E-4</v>
      </c>
      <c r="AB115" s="55"/>
    </row>
    <row r="116" spans="1:28">
      <c r="A116" s="48" t="s">
        <v>244</v>
      </c>
      <c r="B116" s="48"/>
      <c r="C116" s="48">
        <v>249996</v>
      </c>
      <c r="D116" s="48"/>
      <c r="E116" s="48">
        <v>1764072098</v>
      </c>
      <c r="F116" s="48"/>
      <c r="G116" s="48">
        <v>1478458644</v>
      </c>
      <c r="H116" s="48"/>
      <c r="I116" s="48">
        <v>0</v>
      </c>
      <c r="J116" s="48"/>
      <c r="K116" s="48">
        <v>0</v>
      </c>
      <c r="L116" s="48"/>
      <c r="M116" s="48">
        <v>0</v>
      </c>
      <c r="N116" s="48"/>
      <c r="O116" s="48">
        <v>0</v>
      </c>
      <c r="P116" s="48"/>
      <c r="Q116" s="48">
        <v>0</v>
      </c>
      <c r="R116" s="48"/>
      <c r="S116" s="48">
        <v>249996</v>
      </c>
      <c r="T116" s="48"/>
      <c r="U116" s="48">
        <v>5960</v>
      </c>
      <c r="V116" s="48"/>
      <c r="W116" s="48">
        <v>1764072098</v>
      </c>
      <c r="X116" s="48"/>
      <c r="Y116" s="48">
        <v>1478458644</v>
      </c>
      <c r="Z116" s="48"/>
      <c r="AA116" s="55">
        <f t="shared" si="1"/>
        <v>3.4714187583549948E-4</v>
      </c>
      <c r="AB116" s="55"/>
    </row>
    <row r="117" spans="1:28">
      <c r="A117" s="48" t="s">
        <v>245</v>
      </c>
      <c r="B117" s="48"/>
      <c r="C117" s="48">
        <v>13572652</v>
      </c>
      <c r="D117" s="48"/>
      <c r="E117" s="48">
        <v>40423078437</v>
      </c>
      <c r="F117" s="48"/>
      <c r="G117" s="48">
        <v>35298934484</v>
      </c>
      <c r="H117" s="48"/>
      <c r="I117" s="48">
        <v>0</v>
      </c>
      <c r="J117" s="48"/>
      <c r="K117" s="48">
        <v>0</v>
      </c>
      <c r="L117" s="48"/>
      <c r="M117" s="48">
        <v>0</v>
      </c>
      <c r="N117" s="48"/>
      <c r="O117" s="48">
        <v>0</v>
      </c>
      <c r="P117" s="48"/>
      <c r="Q117" s="48">
        <v>0</v>
      </c>
      <c r="R117" s="48"/>
      <c r="S117" s="48">
        <v>13572652</v>
      </c>
      <c r="T117" s="48"/>
      <c r="U117" s="48">
        <v>2621</v>
      </c>
      <c r="V117" s="48"/>
      <c r="W117" s="48">
        <v>40423078437</v>
      </c>
      <c r="X117" s="48"/>
      <c r="Y117" s="48">
        <v>35298934484</v>
      </c>
      <c r="Z117" s="48"/>
      <c r="AA117" s="55">
        <f t="shared" si="1"/>
        <v>8.288184712842166E-3</v>
      </c>
      <c r="AB117" s="55"/>
    </row>
    <row r="118" spans="1:28">
      <c r="A118" s="48" t="s">
        <v>246</v>
      </c>
      <c r="B118" s="48"/>
      <c r="C118" s="48">
        <v>1875000</v>
      </c>
      <c r="D118" s="48"/>
      <c r="E118" s="48">
        <v>5911612875</v>
      </c>
      <c r="F118" s="48"/>
      <c r="G118" s="48">
        <v>6586192125</v>
      </c>
      <c r="H118" s="48"/>
      <c r="I118" s="48">
        <v>0</v>
      </c>
      <c r="J118" s="48"/>
      <c r="K118" s="48">
        <v>0</v>
      </c>
      <c r="L118" s="48"/>
      <c r="M118" s="48">
        <v>0</v>
      </c>
      <c r="N118" s="48"/>
      <c r="O118" s="48">
        <v>0</v>
      </c>
      <c r="P118" s="48"/>
      <c r="Q118" s="48">
        <v>0</v>
      </c>
      <c r="R118" s="48"/>
      <c r="S118" s="48">
        <v>1875000</v>
      </c>
      <c r="T118" s="48"/>
      <c r="U118" s="48">
        <v>3540</v>
      </c>
      <c r="V118" s="48"/>
      <c r="W118" s="48">
        <v>5911612875</v>
      </c>
      <c r="X118" s="48"/>
      <c r="Y118" s="48">
        <v>6586192125</v>
      </c>
      <c r="Z118" s="48"/>
      <c r="AA118" s="55">
        <f t="shared" si="1"/>
        <v>1.5464369586285799E-3</v>
      </c>
      <c r="AB118" s="55"/>
    </row>
    <row r="119" spans="1:28">
      <c r="A119" s="48" t="s">
        <v>247</v>
      </c>
      <c r="B119" s="48"/>
      <c r="C119" s="48">
        <v>23792</v>
      </c>
      <c r="D119" s="48"/>
      <c r="E119" s="48">
        <v>1265552380</v>
      </c>
      <c r="F119" s="48"/>
      <c r="G119" s="48">
        <v>1431830527</v>
      </c>
      <c r="H119" s="48"/>
      <c r="I119" s="48">
        <v>0</v>
      </c>
      <c r="J119" s="48"/>
      <c r="K119" s="48">
        <v>0</v>
      </c>
      <c r="L119" s="48"/>
      <c r="M119" s="48">
        <v>0</v>
      </c>
      <c r="N119" s="48"/>
      <c r="O119" s="48">
        <v>0</v>
      </c>
      <c r="P119" s="48"/>
      <c r="Q119" s="48">
        <v>0</v>
      </c>
      <c r="R119" s="48"/>
      <c r="S119" s="48">
        <v>23792</v>
      </c>
      <c r="T119" s="48"/>
      <c r="U119" s="48">
        <v>60650</v>
      </c>
      <c r="V119" s="48"/>
      <c r="W119" s="48">
        <v>1265552380</v>
      </c>
      <c r="X119" s="48"/>
      <c r="Y119" s="48">
        <v>1431830527</v>
      </c>
      <c r="Z119" s="48"/>
      <c r="AA119" s="55">
        <f t="shared" si="1"/>
        <v>3.3619360070602809E-4</v>
      </c>
      <c r="AB119" s="55"/>
    </row>
    <row r="120" spans="1:28">
      <c r="A120" s="48" t="s">
        <v>248</v>
      </c>
      <c r="B120" s="48"/>
      <c r="C120" s="48">
        <v>943421</v>
      </c>
      <c r="D120" s="48"/>
      <c r="E120" s="48">
        <v>12470037471</v>
      </c>
      <c r="F120" s="48"/>
      <c r="G120" s="48">
        <v>15904820763</v>
      </c>
      <c r="H120" s="48"/>
      <c r="I120" s="48">
        <v>0</v>
      </c>
      <c r="J120" s="48"/>
      <c r="K120" s="48">
        <v>0</v>
      </c>
      <c r="L120" s="48"/>
      <c r="M120" s="48">
        <v>0</v>
      </c>
      <c r="N120" s="48"/>
      <c r="O120" s="48">
        <v>0</v>
      </c>
      <c r="P120" s="48"/>
      <c r="Q120" s="48">
        <v>0</v>
      </c>
      <c r="R120" s="48"/>
      <c r="S120" s="48">
        <v>943421</v>
      </c>
      <c r="T120" s="48"/>
      <c r="U120" s="48">
        <v>16990</v>
      </c>
      <c r="V120" s="48"/>
      <c r="W120" s="48">
        <v>12470037471</v>
      </c>
      <c r="X120" s="48"/>
      <c r="Y120" s="48">
        <v>15904820763</v>
      </c>
      <c r="Z120" s="48"/>
      <c r="AA120" s="55">
        <f t="shared" si="1"/>
        <v>3.7344496154166486E-3</v>
      </c>
      <c r="AB120" s="55"/>
    </row>
    <row r="121" spans="1:28">
      <c r="A121" s="48" t="s">
        <v>249</v>
      </c>
      <c r="B121" s="48"/>
      <c r="C121" s="48">
        <v>3733986</v>
      </c>
      <c r="D121" s="48"/>
      <c r="E121" s="48">
        <v>14066948730</v>
      </c>
      <c r="F121" s="48"/>
      <c r="G121" s="48">
        <v>31975205347</v>
      </c>
      <c r="H121" s="48"/>
      <c r="I121" s="48">
        <v>0</v>
      </c>
      <c r="J121" s="48"/>
      <c r="K121" s="48">
        <v>0</v>
      </c>
      <c r="L121" s="48"/>
      <c r="M121" s="48">
        <v>0</v>
      </c>
      <c r="N121" s="48"/>
      <c r="O121" s="48">
        <v>0</v>
      </c>
      <c r="P121" s="48"/>
      <c r="Q121" s="48">
        <v>0</v>
      </c>
      <c r="R121" s="48"/>
      <c r="S121" s="48">
        <v>3733986</v>
      </c>
      <c r="T121" s="48"/>
      <c r="U121" s="48">
        <v>8630</v>
      </c>
      <c r="V121" s="48"/>
      <c r="W121" s="48">
        <v>14066948730</v>
      </c>
      <c r="X121" s="48"/>
      <c r="Y121" s="48">
        <v>31975205347</v>
      </c>
      <c r="Z121" s="48"/>
      <c r="AA121" s="55">
        <f t="shared" si="1"/>
        <v>7.5077735920646236E-3</v>
      </c>
      <c r="AB121" s="55"/>
    </row>
    <row r="122" spans="1:28">
      <c r="A122" s="48" t="s">
        <v>250</v>
      </c>
      <c r="B122" s="48"/>
      <c r="C122" s="48">
        <v>7083396</v>
      </c>
      <c r="D122" s="48"/>
      <c r="E122" s="48">
        <v>24659993871</v>
      </c>
      <c r="F122" s="48"/>
      <c r="G122" s="48">
        <v>19504479743</v>
      </c>
      <c r="H122" s="48"/>
      <c r="I122" s="48">
        <v>0</v>
      </c>
      <c r="J122" s="48"/>
      <c r="K122" s="48">
        <v>0</v>
      </c>
      <c r="L122" s="48"/>
      <c r="M122" s="48">
        <v>0</v>
      </c>
      <c r="N122" s="48"/>
      <c r="O122" s="48">
        <v>0</v>
      </c>
      <c r="P122" s="48"/>
      <c r="Q122" s="48">
        <v>0</v>
      </c>
      <c r="R122" s="48"/>
      <c r="S122" s="48">
        <v>7083396</v>
      </c>
      <c r="T122" s="48"/>
      <c r="U122" s="48">
        <v>2775</v>
      </c>
      <c r="V122" s="48"/>
      <c r="W122" s="48">
        <v>24659993871</v>
      </c>
      <c r="X122" s="48"/>
      <c r="Y122" s="48">
        <v>19504479743</v>
      </c>
      <c r="Z122" s="48"/>
      <c r="AA122" s="55">
        <f t="shared" si="1"/>
        <v>4.5796490234328935E-3</v>
      </c>
      <c r="AB122" s="55"/>
    </row>
    <row r="123" spans="1:28">
      <c r="A123" s="48" t="s">
        <v>251</v>
      </c>
      <c r="B123" s="48"/>
      <c r="C123" s="48">
        <v>3429795</v>
      </c>
      <c r="D123" s="48"/>
      <c r="E123" s="48">
        <v>22700128568</v>
      </c>
      <c r="F123" s="48"/>
      <c r="G123" s="48">
        <v>23006190948</v>
      </c>
      <c r="H123" s="48"/>
      <c r="I123" s="48">
        <v>0</v>
      </c>
      <c r="J123" s="48"/>
      <c r="K123" s="48">
        <v>0</v>
      </c>
      <c r="L123" s="48"/>
      <c r="M123" s="48">
        <v>0</v>
      </c>
      <c r="N123" s="48"/>
      <c r="O123" s="48">
        <v>0</v>
      </c>
      <c r="P123" s="48"/>
      <c r="Q123" s="48">
        <v>0</v>
      </c>
      <c r="R123" s="48"/>
      <c r="S123" s="48">
        <v>3429795</v>
      </c>
      <c r="T123" s="48"/>
      <c r="U123" s="48">
        <v>6760</v>
      </c>
      <c r="V123" s="48"/>
      <c r="W123" s="48">
        <v>22700128568</v>
      </c>
      <c r="X123" s="48"/>
      <c r="Y123" s="48">
        <v>23006190948</v>
      </c>
      <c r="Z123" s="48"/>
      <c r="AA123" s="55">
        <f t="shared" si="1"/>
        <v>5.4018503080417637E-3</v>
      </c>
      <c r="AB123" s="55"/>
    </row>
    <row r="124" spans="1:28">
      <c r="A124" s="48" t="s">
        <v>252</v>
      </c>
      <c r="B124" s="48"/>
      <c r="C124" s="48">
        <v>6157463</v>
      </c>
      <c r="D124" s="48"/>
      <c r="E124" s="48">
        <v>15675856896</v>
      </c>
      <c r="F124" s="48"/>
      <c r="G124" s="48">
        <v>25624777211</v>
      </c>
      <c r="H124" s="48"/>
      <c r="I124" s="48">
        <v>0</v>
      </c>
      <c r="J124" s="48"/>
      <c r="K124" s="48">
        <v>0</v>
      </c>
      <c r="L124" s="48"/>
      <c r="M124" s="48">
        <v>0</v>
      </c>
      <c r="N124" s="48"/>
      <c r="O124" s="48">
        <v>0</v>
      </c>
      <c r="P124" s="48"/>
      <c r="Q124" s="48">
        <v>0</v>
      </c>
      <c r="R124" s="48"/>
      <c r="S124" s="48">
        <v>6157463</v>
      </c>
      <c r="T124" s="48"/>
      <c r="U124" s="48">
        <v>4194</v>
      </c>
      <c r="V124" s="48"/>
      <c r="W124" s="48">
        <v>15675856896</v>
      </c>
      <c r="X124" s="48"/>
      <c r="Y124" s="48">
        <v>25624777211</v>
      </c>
      <c r="Z124" s="48"/>
      <c r="AA124" s="55">
        <f t="shared" si="1"/>
        <v>6.0166939839632729E-3</v>
      </c>
      <c r="AB124" s="55"/>
    </row>
    <row r="125" spans="1:28">
      <c r="A125" s="48" t="s">
        <v>147</v>
      </c>
      <c r="B125" s="48"/>
      <c r="C125" s="48">
        <v>11896052</v>
      </c>
      <c r="D125" s="48"/>
      <c r="E125" s="48">
        <v>25741988551</v>
      </c>
      <c r="F125" s="48"/>
      <c r="G125" s="48">
        <v>34763061301</v>
      </c>
      <c r="H125" s="48"/>
      <c r="I125" s="48">
        <v>4343003</v>
      </c>
      <c r="J125" s="48"/>
      <c r="K125" s="48">
        <v>0</v>
      </c>
      <c r="L125" s="48"/>
      <c r="M125" s="48">
        <v>0</v>
      </c>
      <c r="N125" s="48"/>
      <c r="O125" s="48">
        <v>0</v>
      </c>
      <c r="P125" s="48"/>
      <c r="Q125" s="48">
        <v>0</v>
      </c>
      <c r="R125" s="48"/>
      <c r="S125" s="48">
        <v>16239055</v>
      </c>
      <c r="T125" s="48"/>
      <c r="U125" s="48">
        <v>2157</v>
      </c>
      <c r="V125" s="48"/>
      <c r="W125" s="48">
        <v>25741988551</v>
      </c>
      <c r="X125" s="48"/>
      <c r="Y125" s="48">
        <v>34756877965</v>
      </c>
      <c r="Z125" s="48"/>
      <c r="AA125" s="55">
        <f t="shared" si="1"/>
        <v>8.1609099205588852E-3</v>
      </c>
      <c r="AB125" s="55"/>
    </row>
    <row r="126" spans="1:28">
      <c r="A126" s="48" t="s">
        <v>253</v>
      </c>
      <c r="B126" s="48"/>
      <c r="C126" s="48">
        <v>5065914</v>
      </c>
      <c r="D126" s="48"/>
      <c r="E126" s="48">
        <v>17485089878</v>
      </c>
      <c r="F126" s="48"/>
      <c r="G126" s="48">
        <v>13697905971</v>
      </c>
      <c r="H126" s="48"/>
      <c r="I126" s="48">
        <v>0</v>
      </c>
      <c r="J126" s="48"/>
      <c r="K126" s="48">
        <v>0</v>
      </c>
      <c r="L126" s="48"/>
      <c r="M126" s="48">
        <v>0</v>
      </c>
      <c r="N126" s="48"/>
      <c r="O126" s="48">
        <v>0</v>
      </c>
      <c r="P126" s="48"/>
      <c r="Q126" s="48">
        <v>0</v>
      </c>
      <c r="R126" s="48"/>
      <c r="S126" s="48">
        <v>5065914</v>
      </c>
      <c r="T126" s="48"/>
      <c r="U126" s="48">
        <v>2725</v>
      </c>
      <c r="V126" s="48"/>
      <c r="W126" s="48">
        <v>17485089878</v>
      </c>
      <c r="X126" s="48"/>
      <c r="Y126" s="48">
        <v>13697905971</v>
      </c>
      <c r="Z126" s="48"/>
      <c r="AA126" s="55">
        <f t="shared" si="1"/>
        <v>3.2162663413608673E-3</v>
      </c>
      <c r="AB126" s="55"/>
    </row>
    <row r="127" spans="1:28">
      <c r="A127" s="48" t="s">
        <v>254</v>
      </c>
      <c r="B127" s="48"/>
      <c r="C127" s="48">
        <v>7380289</v>
      </c>
      <c r="D127" s="48"/>
      <c r="E127" s="48">
        <v>21960051981</v>
      </c>
      <c r="F127" s="48"/>
      <c r="G127" s="48">
        <v>21530323736</v>
      </c>
      <c r="H127" s="48"/>
      <c r="I127" s="48">
        <v>0</v>
      </c>
      <c r="J127" s="48"/>
      <c r="K127" s="48">
        <v>0</v>
      </c>
      <c r="L127" s="48"/>
      <c r="M127" s="48">
        <v>0</v>
      </c>
      <c r="N127" s="48"/>
      <c r="O127" s="48">
        <v>0</v>
      </c>
      <c r="P127" s="48"/>
      <c r="Q127" s="48">
        <v>0</v>
      </c>
      <c r="R127" s="48"/>
      <c r="S127" s="48">
        <v>7380289</v>
      </c>
      <c r="T127" s="48"/>
      <c r="U127" s="48">
        <v>2940</v>
      </c>
      <c r="V127" s="48"/>
      <c r="W127" s="48">
        <v>21960051981</v>
      </c>
      <c r="X127" s="48"/>
      <c r="Y127" s="48">
        <v>21530323736</v>
      </c>
      <c r="Z127" s="48"/>
      <c r="AA127" s="55">
        <f t="shared" si="1"/>
        <v>5.0553169000651594E-3</v>
      </c>
      <c r="AB127" s="55"/>
    </row>
    <row r="128" spans="1:28">
      <c r="A128" s="48" t="s">
        <v>131</v>
      </c>
      <c r="B128" s="48"/>
      <c r="C128" s="48">
        <v>4262072</v>
      </c>
      <c r="D128" s="48"/>
      <c r="E128" s="48">
        <v>16130979435</v>
      </c>
      <c r="F128" s="48"/>
      <c r="G128" s="48">
        <v>15732349402</v>
      </c>
      <c r="H128" s="48"/>
      <c r="I128" s="48">
        <v>2256391</v>
      </c>
      <c r="J128" s="48"/>
      <c r="K128" s="48">
        <v>0</v>
      </c>
      <c r="L128" s="48"/>
      <c r="M128" s="48">
        <v>0</v>
      </c>
      <c r="N128" s="48"/>
      <c r="O128" s="48">
        <v>0</v>
      </c>
      <c r="P128" s="48"/>
      <c r="Q128" s="48">
        <v>0</v>
      </c>
      <c r="R128" s="48"/>
      <c r="S128" s="48">
        <v>6518463</v>
      </c>
      <c r="T128" s="48"/>
      <c r="U128" s="48">
        <v>2432</v>
      </c>
      <c r="V128" s="48"/>
      <c r="W128" s="48">
        <v>16130979435</v>
      </c>
      <c r="X128" s="48"/>
      <c r="Y128" s="48">
        <v>15730359083</v>
      </c>
      <c r="Z128" s="48"/>
      <c r="AA128" s="55">
        <f t="shared" si="1"/>
        <v>3.693486038178696E-3</v>
      </c>
      <c r="AB128" s="55"/>
    </row>
    <row r="129" spans="1:28">
      <c r="A129" s="48" t="s">
        <v>255</v>
      </c>
      <c r="B129" s="48"/>
      <c r="C129" s="48">
        <v>2038313</v>
      </c>
      <c r="D129" s="48"/>
      <c r="E129" s="48">
        <v>35612740710</v>
      </c>
      <c r="F129" s="48"/>
      <c r="G129" s="48">
        <v>25443765054</v>
      </c>
      <c r="H129" s="48"/>
      <c r="I129" s="48">
        <v>0</v>
      </c>
      <c r="J129" s="48"/>
      <c r="K129" s="48">
        <v>0</v>
      </c>
      <c r="L129" s="48"/>
      <c r="M129" s="48">
        <v>0</v>
      </c>
      <c r="N129" s="48"/>
      <c r="O129" s="48">
        <v>0</v>
      </c>
      <c r="P129" s="48"/>
      <c r="Q129" s="48">
        <v>0</v>
      </c>
      <c r="R129" s="48"/>
      <c r="S129" s="48">
        <v>2038313</v>
      </c>
      <c r="T129" s="48"/>
      <c r="U129" s="48">
        <v>12580</v>
      </c>
      <c r="V129" s="48"/>
      <c r="W129" s="48">
        <v>35612740710</v>
      </c>
      <c r="X129" s="48"/>
      <c r="Y129" s="48">
        <v>25443765054</v>
      </c>
      <c r="Z129" s="48"/>
      <c r="AA129" s="55">
        <f t="shared" si="1"/>
        <v>5.974192355672878E-3</v>
      </c>
      <c r="AB129" s="55"/>
    </row>
    <row r="130" spans="1:28">
      <c r="A130" s="48" t="s">
        <v>256</v>
      </c>
      <c r="B130" s="48"/>
      <c r="C130" s="48">
        <v>7043843</v>
      </c>
      <c r="D130" s="48"/>
      <c r="E130" s="48">
        <v>17962732742</v>
      </c>
      <c r="F130" s="48"/>
      <c r="G130" s="48">
        <v>23889749012</v>
      </c>
      <c r="H130" s="48"/>
      <c r="I130" s="48">
        <v>0</v>
      </c>
      <c r="J130" s="48"/>
      <c r="K130" s="48">
        <v>0</v>
      </c>
      <c r="L130" s="48"/>
      <c r="M130" s="48">
        <v>0</v>
      </c>
      <c r="N130" s="48"/>
      <c r="O130" s="48">
        <v>0</v>
      </c>
      <c r="P130" s="48"/>
      <c r="Q130" s="48">
        <v>0</v>
      </c>
      <c r="R130" s="48"/>
      <c r="S130" s="48">
        <v>7043843</v>
      </c>
      <c r="T130" s="48"/>
      <c r="U130" s="48">
        <v>3418</v>
      </c>
      <c r="V130" s="48"/>
      <c r="W130" s="48">
        <v>17962732742</v>
      </c>
      <c r="X130" s="48"/>
      <c r="Y130" s="48">
        <v>23889749012</v>
      </c>
      <c r="Z130" s="48"/>
      <c r="AA130" s="55">
        <f t="shared" si="1"/>
        <v>5.6093096137120966E-3</v>
      </c>
      <c r="AB130" s="55"/>
    </row>
    <row r="131" spans="1:28">
      <c r="A131" s="48" t="s">
        <v>146</v>
      </c>
      <c r="B131" s="48"/>
      <c r="C131" s="48">
        <v>2789045</v>
      </c>
      <c r="D131" s="48"/>
      <c r="E131" s="48">
        <v>9704409400</v>
      </c>
      <c r="F131" s="48"/>
      <c r="G131" s="48">
        <v>15027447254</v>
      </c>
      <c r="H131" s="48"/>
      <c r="I131" s="48">
        <v>1115618</v>
      </c>
      <c r="J131" s="48"/>
      <c r="K131" s="48">
        <v>0</v>
      </c>
      <c r="L131" s="48"/>
      <c r="M131" s="48">
        <v>0</v>
      </c>
      <c r="N131" s="48"/>
      <c r="O131" s="48">
        <v>0</v>
      </c>
      <c r="P131" s="48"/>
      <c r="Q131" s="48">
        <v>0</v>
      </c>
      <c r="R131" s="48"/>
      <c r="S131" s="48">
        <v>3904663</v>
      </c>
      <c r="T131" s="48"/>
      <c r="U131" s="48">
        <v>3879</v>
      </c>
      <c r="V131" s="48"/>
      <c r="W131" s="48">
        <v>9704409400</v>
      </c>
      <c r="X131" s="48"/>
      <c r="Y131" s="48">
        <v>15029107745</v>
      </c>
      <c r="Z131" s="48"/>
      <c r="AA131" s="55">
        <f t="shared" si="1"/>
        <v>3.5288323254127718E-3</v>
      </c>
      <c r="AB131" s="55"/>
    </row>
    <row r="132" spans="1:28">
      <c r="A132" s="48" t="s">
        <v>257</v>
      </c>
      <c r="B132" s="48"/>
      <c r="C132" s="48">
        <v>1200163</v>
      </c>
      <c r="D132" s="48"/>
      <c r="E132" s="48">
        <v>16198919272</v>
      </c>
      <c r="F132" s="48"/>
      <c r="G132" s="48">
        <v>15219519757</v>
      </c>
      <c r="H132" s="48"/>
      <c r="I132" s="48">
        <v>0</v>
      </c>
      <c r="J132" s="48"/>
      <c r="K132" s="48">
        <v>0</v>
      </c>
      <c r="L132" s="48"/>
      <c r="M132" s="48">
        <v>0</v>
      </c>
      <c r="N132" s="48"/>
      <c r="O132" s="48">
        <v>0</v>
      </c>
      <c r="P132" s="48"/>
      <c r="Q132" s="48">
        <v>0</v>
      </c>
      <c r="R132" s="48"/>
      <c r="S132" s="48">
        <v>1200163</v>
      </c>
      <c r="T132" s="48"/>
      <c r="U132" s="48">
        <v>12780</v>
      </c>
      <c r="V132" s="48"/>
      <c r="W132" s="48">
        <v>16198919272</v>
      </c>
      <c r="X132" s="48"/>
      <c r="Y132" s="48">
        <v>15219519757</v>
      </c>
      <c r="Z132" s="48"/>
      <c r="AA132" s="55">
        <f t="shared" si="1"/>
        <v>3.573541038298008E-3</v>
      </c>
      <c r="AB132" s="55"/>
    </row>
    <row r="133" spans="1:28">
      <c r="A133" s="48" t="s">
        <v>258</v>
      </c>
      <c r="B133" s="48"/>
      <c r="C133" s="48">
        <v>2116099</v>
      </c>
      <c r="D133" s="48"/>
      <c r="E133" s="48">
        <v>19380542164</v>
      </c>
      <c r="F133" s="48"/>
      <c r="G133" s="48">
        <v>20766443976</v>
      </c>
      <c r="H133" s="48"/>
      <c r="I133" s="48">
        <v>0</v>
      </c>
      <c r="J133" s="48"/>
      <c r="K133" s="48">
        <v>0</v>
      </c>
      <c r="L133" s="48"/>
      <c r="M133" s="48">
        <v>0</v>
      </c>
      <c r="N133" s="48"/>
      <c r="O133" s="48">
        <v>0</v>
      </c>
      <c r="P133" s="48"/>
      <c r="Q133" s="48">
        <v>0</v>
      </c>
      <c r="R133" s="48"/>
      <c r="S133" s="48">
        <v>2116099</v>
      </c>
      <c r="T133" s="48"/>
      <c r="U133" s="48">
        <v>9890</v>
      </c>
      <c r="V133" s="48"/>
      <c r="W133" s="48">
        <v>19380542164</v>
      </c>
      <c r="X133" s="48"/>
      <c r="Y133" s="48">
        <v>20766443976</v>
      </c>
      <c r="Z133" s="48"/>
      <c r="AA133" s="55">
        <f t="shared" si="1"/>
        <v>4.8759580428693059E-3</v>
      </c>
      <c r="AB133" s="55"/>
    </row>
    <row r="134" spans="1:28">
      <c r="A134" s="48" t="s">
        <v>259</v>
      </c>
      <c r="B134" s="48"/>
      <c r="C134" s="48">
        <v>204021</v>
      </c>
      <c r="D134" s="48"/>
      <c r="E134" s="48">
        <v>5210406001</v>
      </c>
      <c r="F134" s="48"/>
      <c r="G134" s="48">
        <v>6577402885</v>
      </c>
      <c r="H134" s="48"/>
      <c r="I134" s="48">
        <v>0</v>
      </c>
      <c r="J134" s="48"/>
      <c r="K134" s="48">
        <v>0</v>
      </c>
      <c r="L134" s="48"/>
      <c r="M134" s="48">
        <v>0</v>
      </c>
      <c r="N134" s="48"/>
      <c r="O134" s="48">
        <v>0</v>
      </c>
      <c r="P134" s="48"/>
      <c r="Q134" s="48">
        <v>0</v>
      </c>
      <c r="R134" s="48"/>
      <c r="S134" s="48">
        <v>204021</v>
      </c>
      <c r="T134" s="48"/>
      <c r="U134" s="48">
        <v>32490</v>
      </c>
      <c r="V134" s="48"/>
      <c r="W134" s="48">
        <v>5210406001</v>
      </c>
      <c r="X134" s="48"/>
      <c r="Y134" s="48">
        <v>6577402885</v>
      </c>
      <c r="Z134" s="48"/>
      <c r="AA134" s="55">
        <f t="shared" si="1"/>
        <v>1.544373246347448E-3</v>
      </c>
      <c r="AB134" s="55"/>
    </row>
    <row r="135" spans="1:28">
      <c r="A135" s="48" t="s">
        <v>260</v>
      </c>
      <c r="B135" s="48"/>
      <c r="C135" s="48">
        <v>4967900</v>
      </c>
      <c r="D135" s="48"/>
      <c r="E135" s="48">
        <v>27318914165</v>
      </c>
      <c r="F135" s="48"/>
      <c r="G135" s="48">
        <v>20260237327</v>
      </c>
      <c r="H135" s="48"/>
      <c r="I135" s="48">
        <v>0</v>
      </c>
      <c r="J135" s="48"/>
      <c r="K135" s="48">
        <v>0</v>
      </c>
      <c r="L135" s="48"/>
      <c r="M135" s="48">
        <v>0</v>
      </c>
      <c r="N135" s="48"/>
      <c r="O135" s="48">
        <v>0</v>
      </c>
      <c r="P135" s="48"/>
      <c r="Q135" s="48">
        <v>0</v>
      </c>
      <c r="R135" s="48"/>
      <c r="S135" s="48">
        <v>4967900</v>
      </c>
      <c r="T135" s="48"/>
      <c r="U135" s="48">
        <v>4110</v>
      </c>
      <c r="V135" s="48"/>
      <c r="W135" s="48">
        <v>27318914165</v>
      </c>
      <c r="X135" s="48"/>
      <c r="Y135" s="48">
        <v>20260237327</v>
      </c>
      <c r="Z135" s="48"/>
      <c r="AA135" s="55">
        <f t="shared" si="1"/>
        <v>4.7571007948783621E-3</v>
      </c>
      <c r="AB135" s="55"/>
    </row>
    <row r="136" spans="1:28">
      <c r="A136" s="48" t="s">
        <v>126</v>
      </c>
      <c r="B136" s="48"/>
      <c r="C136" s="48">
        <v>19600000</v>
      </c>
      <c r="D136" s="48"/>
      <c r="E136" s="48">
        <v>39331346955</v>
      </c>
      <c r="F136" s="48"/>
      <c r="G136" s="48">
        <v>25574766980</v>
      </c>
      <c r="H136" s="48"/>
      <c r="I136" s="48">
        <v>5421276</v>
      </c>
      <c r="J136" s="48"/>
      <c r="K136" s="48">
        <v>0</v>
      </c>
      <c r="L136" s="48"/>
      <c r="M136" s="48">
        <v>0</v>
      </c>
      <c r="N136" s="48"/>
      <c r="O136" s="48">
        <v>0</v>
      </c>
      <c r="P136" s="48"/>
      <c r="Q136" s="48">
        <v>0</v>
      </c>
      <c r="R136" s="48"/>
      <c r="S136" s="48">
        <v>25021276</v>
      </c>
      <c r="T136" s="48"/>
      <c r="U136" s="48">
        <v>1030</v>
      </c>
      <c r="V136" s="48"/>
      <c r="W136" s="48">
        <v>39331346955</v>
      </c>
      <c r="X136" s="48"/>
      <c r="Y136" s="48">
        <v>25572697383</v>
      </c>
      <c r="Z136" s="48"/>
      <c r="AA136" s="55">
        <f t="shared" si="1"/>
        <v>6.0044656478792846E-3</v>
      </c>
      <c r="AB136" s="55"/>
    </row>
    <row r="137" spans="1:28">
      <c r="A137" s="48" t="s">
        <v>261</v>
      </c>
      <c r="B137" s="48"/>
      <c r="C137" s="48">
        <v>3915801</v>
      </c>
      <c r="D137" s="48"/>
      <c r="E137" s="48">
        <v>13026834643</v>
      </c>
      <c r="F137" s="48"/>
      <c r="G137" s="48">
        <v>12433701946</v>
      </c>
      <c r="H137" s="48"/>
      <c r="I137" s="48">
        <v>0</v>
      </c>
      <c r="J137" s="48"/>
      <c r="K137" s="48">
        <v>0</v>
      </c>
      <c r="L137" s="48"/>
      <c r="M137" s="48">
        <v>0</v>
      </c>
      <c r="N137" s="48"/>
      <c r="O137" s="48">
        <v>0</v>
      </c>
      <c r="P137" s="48"/>
      <c r="Q137" s="48">
        <v>0</v>
      </c>
      <c r="R137" s="48"/>
      <c r="S137" s="48">
        <v>3915801</v>
      </c>
      <c r="T137" s="48"/>
      <c r="U137" s="48">
        <v>3200</v>
      </c>
      <c r="V137" s="48"/>
      <c r="W137" s="48">
        <v>13026834643</v>
      </c>
      <c r="X137" s="48"/>
      <c r="Y137" s="48">
        <v>12433701946</v>
      </c>
      <c r="Z137" s="48"/>
      <c r="AA137" s="55">
        <f t="shared" si="1"/>
        <v>2.9194314190867147E-3</v>
      </c>
      <c r="AB137" s="55"/>
    </row>
    <row r="138" spans="1:28">
      <c r="A138" s="48" t="s">
        <v>262</v>
      </c>
      <c r="B138" s="48"/>
      <c r="C138" s="48">
        <v>1440400</v>
      </c>
      <c r="D138" s="48"/>
      <c r="E138" s="48">
        <v>8499361036</v>
      </c>
      <c r="F138" s="48"/>
      <c r="G138" s="48">
        <v>9470314581</v>
      </c>
      <c r="H138" s="48"/>
      <c r="I138" s="48">
        <v>0</v>
      </c>
      <c r="J138" s="48"/>
      <c r="K138" s="48">
        <v>0</v>
      </c>
      <c r="L138" s="48"/>
      <c r="M138" s="48">
        <v>0</v>
      </c>
      <c r="N138" s="48"/>
      <c r="O138" s="48">
        <v>0</v>
      </c>
      <c r="P138" s="48"/>
      <c r="Q138" s="48">
        <v>0</v>
      </c>
      <c r="R138" s="48"/>
      <c r="S138" s="48">
        <v>1440400</v>
      </c>
      <c r="T138" s="48"/>
      <c r="U138" s="48">
        <v>6626</v>
      </c>
      <c r="V138" s="48"/>
      <c r="W138" s="48">
        <v>8499361036</v>
      </c>
      <c r="X138" s="48"/>
      <c r="Y138" s="48">
        <v>9470314581</v>
      </c>
      <c r="Z138" s="48"/>
      <c r="AA138" s="55">
        <f t="shared" si="1"/>
        <v>2.223628494271648E-3</v>
      </c>
      <c r="AB138" s="55"/>
    </row>
    <row r="139" spans="1:28">
      <c r="A139" s="48" t="s">
        <v>263</v>
      </c>
      <c r="B139" s="48"/>
      <c r="C139" s="48">
        <v>8858150</v>
      </c>
      <c r="D139" s="48"/>
      <c r="E139" s="48">
        <v>11344964033</v>
      </c>
      <c r="F139" s="48"/>
      <c r="G139" s="48">
        <v>17579353001</v>
      </c>
      <c r="H139" s="48"/>
      <c r="I139" s="48">
        <v>0</v>
      </c>
      <c r="J139" s="48"/>
      <c r="K139" s="48">
        <v>0</v>
      </c>
      <c r="L139" s="48"/>
      <c r="M139" s="48">
        <v>0</v>
      </c>
      <c r="N139" s="48"/>
      <c r="O139" s="48">
        <v>0</v>
      </c>
      <c r="P139" s="48"/>
      <c r="Q139" s="48">
        <v>0</v>
      </c>
      <c r="R139" s="48"/>
      <c r="S139" s="48">
        <v>8858150</v>
      </c>
      <c r="T139" s="48"/>
      <c r="U139" s="48">
        <v>2000</v>
      </c>
      <c r="V139" s="48"/>
      <c r="W139" s="48">
        <v>11344964033</v>
      </c>
      <c r="X139" s="48"/>
      <c r="Y139" s="48">
        <v>17579353001</v>
      </c>
      <c r="Z139" s="48"/>
      <c r="AA139" s="55">
        <f t="shared" ref="AA139:AA202" si="2">Y139/4258946404670</f>
        <v>4.1276295427723556E-3</v>
      </c>
      <c r="AB139" s="55"/>
    </row>
    <row r="140" spans="1:28">
      <c r="A140" s="48" t="s">
        <v>264</v>
      </c>
      <c r="B140" s="48"/>
      <c r="C140" s="48">
        <v>5800000</v>
      </c>
      <c r="D140" s="48"/>
      <c r="E140" s="48">
        <v>21338456733</v>
      </c>
      <c r="F140" s="48"/>
      <c r="G140" s="48">
        <v>24419169338</v>
      </c>
      <c r="H140" s="48"/>
      <c r="I140" s="48">
        <v>0</v>
      </c>
      <c r="J140" s="48"/>
      <c r="K140" s="48">
        <v>0</v>
      </c>
      <c r="L140" s="48"/>
      <c r="M140" s="48">
        <v>0</v>
      </c>
      <c r="N140" s="48"/>
      <c r="O140" s="48">
        <v>0</v>
      </c>
      <c r="P140" s="48"/>
      <c r="Q140" s="48">
        <v>0</v>
      </c>
      <c r="R140" s="48"/>
      <c r="S140" s="48">
        <v>5800000</v>
      </c>
      <c r="T140" s="48"/>
      <c r="U140" s="48">
        <v>4243</v>
      </c>
      <c r="V140" s="48"/>
      <c r="W140" s="48">
        <v>21338456733</v>
      </c>
      <c r="X140" s="48"/>
      <c r="Y140" s="48">
        <v>24419169338</v>
      </c>
      <c r="Z140" s="48"/>
      <c r="AA140" s="55">
        <f t="shared" si="2"/>
        <v>5.73361742970609E-3</v>
      </c>
      <c r="AB140" s="55"/>
    </row>
    <row r="141" spans="1:28">
      <c r="A141" s="48" t="s">
        <v>140</v>
      </c>
      <c r="B141" s="48"/>
      <c r="C141" s="48">
        <v>4441456</v>
      </c>
      <c r="D141" s="48"/>
      <c r="E141" s="48">
        <v>11625693660</v>
      </c>
      <c r="F141" s="48"/>
      <c r="G141" s="48">
        <v>14838784976</v>
      </c>
      <c r="H141" s="48"/>
      <c r="I141" s="48">
        <v>1288022</v>
      </c>
      <c r="J141" s="48"/>
      <c r="K141" s="48">
        <v>0</v>
      </c>
      <c r="L141" s="48"/>
      <c r="M141" s="48">
        <v>0</v>
      </c>
      <c r="N141" s="48"/>
      <c r="O141" s="48">
        <v>0</v>
      </c>
      <c r="P141" s="48"/>
      <c r="Q141" s="48">
        <v>0</v>
      </c>
      <c r="R141" s="48"/>
      <c r="S141" s="48">
        <v>5729478</v>
      </c>
      <c r="T141" s="48"/>
      <c r="U141" s="48">
        <v>2610</v>
      </c>
      <c r="V141" s="48"/>
      <c r="W141" s="48">
        <v>11625693660</v>
      </c>
      <c r="X141" s="48"/>
      <c r="Y141" s="48">
        <v>14838343643</v>
      </c>
      <c r="Z141" s="48"/>
      <c r="AA141" s="55">
        <f t="shared" si="2"/>
        <v>3.4840409418464458E-3</v>
      </c>
      <c r="AB141" s="55"/>
    </row>
    <row r="142" spans="1:28">
      <c r="A142" s="48" t="s">
        <v>127</v>
      </c>
      <c r="B142" s="48"/>
      <c r="C142" s="48">
        <v>5802164</v>
      </c>
      <c r="D142" s="48"/>
      <c r="E142" s="48">
        <v>25066741703</v>
      </c>
      <c r="F142" s="48"/>
      <c r="G142" s="48">
        <v>26598787318</v>
      </c>
      <c r="H142" s="48"/>
      <c r="I142" s="48">
        <v>18187286</v>
      </c>
      <c r="J142" s="48"/>
      <c r="K142" s="48">
        <v>0</v>
      </c>
      <c r="L142" s="48"/>
      <c r="M142" s="48">
        <v>0</v>
      </c>
      <c r="N142" s="48"/>
      <c r="O142" s="48">
        <v>0</v>
      </c>
      <c r="P142" s="48"/>
      <c r="Q142" s="48">
        <v>0</v>
      </c>
      <c r="R142" s="48"/>
      <c r="S142" s="48">
        <v>23989450</v>
      </c>
      <c r="T142" s="48"/>
      <c r="U142" s="48">
        <v>1117</v>
      </c>
      <c r="V142" s="48"/>
      <c r="W142" s="48">
        <v>25066741703</v>
      </c>
      <c r="X142" s="48"/>
      <c r="Y142" s="48">
        <v>26589080903</v>
      </c>
      <c r="Z142" s="48"/>
      <c r="AA142" s="55">
        <f t="shared" si="2"/>
        <v>6.2431123514127031E-3</v>
      </c>
      <c r="AB142" s="55"/>
    </row>
    <row r="143" spans="1:28">
      <c r="A143" s="48" t="s">
        <v>265</v>
      </c>
      <c r="B143" s="48"/>
      <c r="C143" s="48">
        <v>19209541</v>
      </c>
      <c r="D143" s="48"/>
      <c r="E143" s="48">
        <v>21405614361</v>
      </c>
      <c r="F143" s="48"/>
      <c r="G143" s="48">
        <v>21691476320</v>
      </c>
      <c r="H143" s="48"/>
      <c r="I143" s="48">
        <v>0</v>
      </c>
      <c r="J143" s="48"/>
      <c r="K143" s="48">
        <v>0</v>
      </c>
      <c r="L143" s="48"/>
      <c r="M143" s="48">
        <v>0</v>
      </c>
      <c r="N143" s="48"/>
      <c r="O143" s="48">
        <v>0</v>
      </c>
      <c r="P143" s="48"/>
      <c r="Q143" s="48">
        <v>0</v>
      </c>
      <c r="R143" s="48"/>
      <c r="S143" s="48">
        <v>19209541</v>
      </c>
      <c r="T143" s="48"/>
      <c r="U143" s="48">
        <v>1138</v>
      </c>
      <c r="V143" s="48"/>
      <c r="W143" s="48">
        <v>21405614361</v>
      </c>
      <c r="X143" s="48"/>
      <c r="Y143" s="48">
        <v>21691476320</v>
      </c>
      <c r="Z143" s="48"/>
      <c r="AA143" s="55">
        <f t="shared" si="2"/>
        <v>5.0931555034867222E-3</v>
      </c>
      <c r="AB143" s="55"/>
    </row>
    <row r="144" spans="1:28">
      <c r="A144" s="48" t="s">
        <v>266</v>
      </c>
      <c r="B144" s="48"/>
      <c r="C144" s="48">
        <v>1447708</v>
      </c>
      <c r="D144" s="48"/>
      <c r="E144" s="48">
        <v>7589659743</v>
      </c>
      <c r="F144" s="48"/>
      <c r="G144" s="48">
        <v>10400384652</v>
      </c>
      <c r="H144" s="48"/>
      <c r="I144" s="48">
        <v>0</v>
      </c>
      <c r="J144" s="48"/>
      <c r="K144" s="48">
        <v>0</v>
      </c>
      <c r="L144" s="48"/>
      <c r="M144" s="48">
        <v>0</v>
      </c>
      <c r="N144" s="48"/>
      <c r="O144" s="48">
        <v>0</v>
      </c>
      <c r="P144" s="48"/>
      <c r="Q144" s="48">
        <v>0</v>
      </c>
      <c r="R144" s="48"/>
      <c r="S144" s="48">
        <v>1447708</v>
      </c>
      <c r="T144" s="48"/>
      <c r="U144" s="48">
        <v>7240</v>
      </c>
      <c r="V144" s="48"/>
      <c r="W144" s="48">
        <v>7589659743</v>
      </c>
      <c r="X144" s="48"/>
      <c r="Y144" s="48">
        <v>10400384652</v>
      </c>
      <c r="Z144" s="48"/>
      <c r="AA144" s="55">
        <f t="shared" si="2"/>
        <v>2.4420088124602409E-3</v>
      </c>
      <c r="AB144" s="55"/>
    </row>
    <row r="145" spans="1:28">
      <c r="A145" s="48" t="s">
        <v>267</v>
      </c>
      <c r="B145" s="48"/>
      <c r="C145" s="48">
        <v>2867583</v>
      </c>
      <c r="D145" s="48"/>
      <c r="E145" s="48">
        <v>27113143892</v>
      </c>
      <c r="F145" s="48"/>
      <c r="G145" s="48">
        <v>36392878102</v>
      </c>
      <c r="H145" s="48"/>
      <c r="I145" s="48">
        <v>0</v>
      </c>
      <c r="J145" s="48"/>
      <c r="K145" s="48">
        <v>0</v>
      </c>
      <c r="L145" s="48"/>
      <c r="M145" s="48">
        <v>0</v>
      </c>
      <c r="N145" s="48"/>
      <c r="O145" s="48">
        <v>0</v>
      </c>
      <c r="P145" s="48"/>
      <c r="Q145" s="48">
        <v>0</v>
      </c>
      <c r="R145" s="48"/>
      <c r="S145" s="48">
        <v>2867583</v>
      </c>
      <c r="T145" s="48"/>
      <c r="U145" s="48">
        <v>12790</v>
      </c>
      <c r="V145" s="48"/>
      <c r="W145" s="48">
        <v>27113143892</v>
      </c>
      <c r="X145" s="48"/>
      <c r="Y145" s="48">
        <v>36392878102</v>
      </c>
      <c r="Z145" s="48"/>
      <c r="AA145" s="55">
        <f t="shared" si="2"/>
        <v>8.545042516171289E-3</v>
      </c>
      <c r="AB145" s="55"/>
    </row>
    <row r="146" spans="1:28">
      <c r="A146" s="48" t="s">
        <v>268</v>
      </c>
      <c r="B146" s="48"/>
      <c r="C146" s="48">
        <v>5309272</v>
      </c>
      <c r="D146" s="48"/>
      <c r="E146" s="48">
        <v>25391680341</v>
      </c>
      <c r="F146" s="48"/>
      <c r="G146" s="48">
        <v>25550921938</v>
      </c>
      <c r="H146" s="48"/>
      <c r="I146" s="48">
        <v>0</v>
      </c>
      <c r="J146" s="48"/>
      <c r="K146" s="48">
        <v>0</v>
      </c>
      <c r="L146" s="48"/>
      <c r="M146" s="48">
        <v>0</v>
      </c>
      <c r="N146" s="48"/>
      <c r="O146" s="48">
        <v>0</v>
      </c>
      <c r="P146" s="48"/>
      <c r="Q146" s="48">
        <v>0</v>
      </c>
      <c r="R146" s="48"/>
      <c r="S146" s="48">
        <v>5309272</v>
      </c>
      <c r="T146" s="48"/>
      <c r="U146" s="48">
        <v>4850</v>
      </c>
      <c r="V146" s="48"/>
      <c r="W146" s="48">
        <v>25391680341</v>
      </c>
      <c r="X146" s="48"/>
      <c r="Y146" s="48">
        <v>25550921938</v>
      </c>
      <c r="Z146" s="48"/>
      <c r="AA146" s="55">
        <f t="shared" si="2"/>
        <v>5.9993527765418745E-3</v>
      </c>
      <c r="AB146" s="55"/>
    </row>
    <row r="147" spans="1:28">
      <c r="A147" s="48" t="s">
        <v>269</v>
      </c>
      <c r="B147" s="48"/>
      <c r="C147" s="48">
        <v>241083</v>
      </c>
      <c r="D147" s="48"/>
      <c r="E147" s="48">
        <v>1966102194</v>
      </c>
      <c r="F147" s="48"/>
      <c r="G147" s="48">
        <v>2545294718</v>
      </c>
      <c r="H147" s="48"/>
      <c r="I147" s="48">
        <v>0</v>
      </c>
      <c r="J147" s="48"/>
      <c r="K147" s="48">
        <v>0</v>
      </c>
      <c r="L147" s="48"/>
      <c r="M147" s="48">
        <v>0</v>
      </c>
      <c r="N147" s="48"/>
      <c r="O147" s="48">
        <v>0</v>
      </c>
      <c r="P147" s="48"/>
      <c r="Q147" s="48">
        <v>0</v>
      </c>
      <c r="R147" s="48"/>
      <c r="S147" s="48">
        <v>241083</v>
      </c>
      <c r="T147" s="48"/>
      <c r="U147" s="48">
        <v>10640</v>
      </c>
      <c r="V147" s="48"/>
      <c r="W147" s="48">
        <v>1966102194</v>
      </c>
      <c r="X147" s="48"/>
      <c r="Y147" s="48">
        <v>2545294718</v>
      </c>
      <c r="Z147" s="48"/>
      <c r="AA147" s="55">
        <f t="shared" si="2"/>
        <v>5.9763483175300002E-4</v>
      </c>
      <c r="AB147" s="55"/>
    </row>
    <row r="148" spans="1:28">
      <c r="A148" s="48" t="s">
        <v>270</v>
      </c>
      <c r="B148" s="48"/>
      <c r="C148" s="48">
        <v>5849737</v>
      </c>
      <c r="D148" s="48"/>
      <c r="E148" s="48">
        <v>21810287212</v>
      </c>
      <c r="F148" s="48"/>
      <c r="G148" s="48">
        <v>18319060490</v>
      </c>
      <c r="H148" s="48"/>
      <c r="I148" s="48">
        <v>0</v>
      </c>
      <c r="J148" s="48"/>
      <c r="K148" s="48">
        <v>0</v>
      </c>
      <c r="L148" s="48"/>
      <c r="M148" s="48">
        <v>0</v>
      </c>
      <c r="N148" s="48"/>
      <c r="O148" s="48">
        <v>0</v>
      </c>
      <c r="P148" s="48"/>
      <c r="Q148" s="48">
        <v>0</v>
      </c>
      <c r="R148" s="48"/>
      <c r="S148" s="48">
        <v>5849737</v>
      </c>
      <c r="T148" s="48"/>
      <c r="U148" s="48">
        <v>3156</v>
      </c>
      <c r="V148" s="48"/>
      <c r="W148" s="48">
        <v>21810287212</v>
      </c>
      <c r="X148" s="48"/>
      <c r="Y148" s="48">
        <v>18319060490</v>
      </c>
      <c r="Z148" s="48"/>
      <c r="AA148" s="55">
        <f t="shared" si="2"/>
        <v>4.3013127542325651E-3</v>
      </c>
      <c r="AB148" s="55"/>
    </row>
    <row r="149" spans="1:28">
      <c r="A149" s="48" t="s">
        <v>271</v>
      </c>
      <c r="B149" s="48"/>
      <c r="C149" s="48">
        <v>10684873</v>
      </c>
      <c r="D149" s="48"/>
      <c r="E149" s="48">
        <v>20039466760</v>
      </c>
      <c r="F149" s="48"/>
      <c r="G149" s="48">
        <v>25519685389</v>
      </c>
      <c r="H149" s="48"/>
      <c r="I149" s="48">
        <v>0</v>
      </c>
      <c r="J149" s="48"/>
      <c r="K149" s="48">
        <v>0</v>
      </c>
      <c r="L149" s="48"/>
      <c r="M149" s="48">
        <v>0</v>
      </c>
      <c r="N149" s="48"/>
      <c r="O149" s="48">
        <v>0</v>
      </c>
      <c r="P149" s="48"/>
      <c r="Q149" s="48">
        <v>0</v>
      </c>
      <c r="R149" s="48"/>
      <c r="S149" s="48">
        <v>10684873</v>
      </c>
      <c r="T149" s="48"/>
      <c r="U149" s="48">
        <v>2407</v>
      </c>
      <c r="V149" s="48"/>
      <c r="W149" s="48">
        <v>20039466760</v>
      </c>
      <c r="X149" s="48"/>
      <c r="Y149" s="48">
        <v>25519685389</v>
      </c>
      <c r="Z149" s="48"/>
      <c r="AA149" s="55">
        <f t="shared" si="2"/>
        <v>5.9920184393532812E-3</v>
      </c>
      <c r="AB149" s="55"/>
    </row>
    <row r="150" spans="1:28">
      <c r="A150" s="48" t="s">
        <v>272</v>
      </c>
      <c r="B150" s="48"/>
      <c r="C150" s="48">
        <v>14665640</v>
      </c>
      <c r="D150" s="48"/>
      <c r="E150" s="48">
        <v>58088272889</v>
      </c>
      <c r="F150" s="48"/>
      <c r="G150" s="48">
        <v>51544156643</v>
      </c>
      <c r="H150" s="48"/>
      <c r="I150" s="48">
        <v>0</v>
      </c>
      <c r="J150" s="48"/>
      <c r="K150" s="48">
        <v>0</v>
      </c>
      <c r="L150" s="48"/>
      <c r="M150" s="48">
        <v>0</v>
      </c>
      <c r="N150" s="48"/>
      <c r="O150" s="48">
        <v>0</v>
      </c>
      <c r="P150" s="48"/>
      <c r="Q150" s="48">
        <v>0</v>
      </c>
      <c r="R150" s="48"/>
      <c r="S150" s="48">
        <v>14665640</v>
      </c>
      <c r="T150" s="48"/>
      <c r="U150" s="48">
        <v>3542</v>
      </c>
      <c r="V150" s="48"/>
      <c r="W150" s="48">
        <v>58088272889</v>
      </c>
      <c r="X150" s="48"/>
      <c r="Y150" s="48">
        <v>51544156643</v>
      </c>
      <c r="Z150" s="48"/>
      <c r="AA150" s="55">
        <f t="shared" si="2"/>
        <v>1.2102560526819742E-2</v>
      </c>
      <c r="AB150" s="55"/>
    </row>
    <row r="151" spans="1:28">
      <c r="A151" s="48" t="s">
        <v>273</v>
      </c>
      <c r="B151" s="48"/>
      <c r="C151" s="48">
        <v>21893355</v>
      </c>
      <c r="D151" s="48"/>
      <c r="E151" s="48">
        <v>31647249596</v>
      </c>
      <c r="F151" s="48"/>
      <c r="G151" s="48">
        <v>26612046223</v>
      </c>
      <c r="H151" s="48"/>
      <c r="I151" s="48">
        <v>0</v>
      </c>
      <c r="J151" s="48"/>
      <c r="K151" s="48">
        <v>0</v>
      </c>
      <c r="L151" s="48"/>
      <c r="M151" s="48">
        <v>0</v>
      </c>
      <c r="N151" s="48"/>
      <c r="O151" s="48">
        <v>0</v>
      </c>
      <c r="P151" s="48"/>
      <c r="Q151" s="48">
        <v>0</v>
      </c>
      <c r="R151" s="48"/>
      <c r="S151" s="48">
        <v>21893355</v>
      </c>
      <c r="T151" s="48"/>
      <c r="U151" s="48">
        <v>1225</v>
      </c>
      <c r="V151" s="48"/>
      <c r="W151" s="48">
        <v>31647249596</v>
      </c>
      <c r="X151" s="48"/>
      <c r="Y151" s="48">
        <v>26612046223</v>
      </c>
      <c r="Z151" s="48"/>
      <c r="AA151" s="55">
        <f t="shared" si="2"/>
        <v>6.2485046052280641E-3</v>
      </c>
      <c r="AB151" s="55"/>
    </row>
    <row r="152" spans="1:28">
      <c r="A152" s="48" t="s">
        <v>274</v>
      </c>
      <c r="B152" s="48"/>
      <c r="C152" s="48">
        <v>3340260</v>
      </c>
      <c r="D152" s="48"/>
      <c r="E152" s="48">
        <v>27629910504</v>
      </c>
      <c r="F152" s="48"/>
      <c r="G152" s="48">
        <v>24858298426</v>
      </c>
      <c r="H152" s="48"/>
      <c r="I152" s="48">
        <v>0</v>
      </c>
      <c r="J152" s="48"/>
      <c r="K152" s="48">
        <v>0</v>
      </c>
      <c r="L152" s="48"/>
      <c r="M152" s="48">
        <v>0</v>
      </c>
      <c r="N152" s="48"/>
      <c r="O152" s="48">
        <v>0</v>
      </c>
      <c r="P152" s="48"/>
      <c r="Q152" s="48">
        <v>0</v>
      </c>
      <c r="R152" s="48"/>
      <c r="S152" s="48">
        <v>3340260</v>
      </c>
      <c r="T152" s="48"/>
      <c r="U152" s="48">
        <v>7500</v>
      </c>
      <c r="V152" s="48"/>
      <c r="W152" s="48">
        <v>27629910504</v>
      </c>
      <c r="X152" s="48"/>
      <c r="Y152" s="48">
        <v>24858298426</v>
      </c>
      <c r="Z152" s="48"/>
      <c r="AA152" s="55">
        <f t="shared" si="2"/>
        <v>5.8367248760732224E-3</v>
      </c>
      <c r="AB152" s="55"/>
    </row>
    <row r="153" spans="1:28">
      <c r="A153" s="48" t="s">
        <v>275</v>
      </c>
      <c r="B153" s="48"/>
      <c r="C153" s="48">
        <v>862852</v>
      </c>
      <c r="D153" s="48"/>
      <c r="E153" s="48">
        <v>7777212626</v>
      </c>
      <c r="F153" s="48"/>
      <c r="G153" s="48">
        <v>11130368003</v>
      </c>
      <c r="H153" s="48"/>
      <c r="I153" s="48">
        <v>0</v>
      </c>
      <c r="J153" s="48"/>
      <c r="K153" s="48">
        <v>0</v>
      </c>
      <c r="L153" s="48"/>
      <c r="M153" s="48">
        <v>0</v>
      </c>
      <c r="N153" s="48"/>
      <c r="O153" s="48">
        <v>0</v>
      </c>
      <c r="P153" s="48"/>
      <c r="Q153" s="48">
        <v>0</v>
      </c>
      <c r="R153" s="48"/>
      <c r="S153" s="48">
        <v>862852</v>
      </c>
      <c r="T153" s="48"/>
      <c r="U153" s="48">
        <v>13000</v>
      </c>
      <c r="V153" s="48"/>
      <c r="W153" s="48">
        <v>7777212626</v>
      </c>
      <c r="X153" s="48"/>
      <c r="Y153" s="48">
        <v>11130368003</v>
      </c>
      <c r="Z153" s="48"/>
      <c r="AA153" s="55">
        <f t="shared" si="2"/>
        <v>2.6134087977240992E-3</v>
      </c>
      <c r="AB153" s="55"/>
    </row>
    <row r="154" spans="1:28">
      <c r="A154" s="48" t="s">
        <v>276</v>
      </c>
      <c r="B154" s="48"/>
      <c r="C154" s="48">
        <v>3484284</v>
      </c>
      <c r="D154" s="48"/>
      <c r="E154" s="48">
        <v>27100051986</v>
      </c>
      <c r="F154" s="48"/>
      <c r="G154" s="48">
        <v>27797097897</v>
      </c>
      <c r="H154" s="48"/>
      <c r="I154" s="48">
        <v>0</v>
      </c>
      <c r="J154" s="48"/>
      <c r="K154" s="48">
        <v>0</v>
      </c>
      <c r="L154" s="48"/>
      <c r="M154" s="48">
        <v>0</v>
      </c>
      <c r="N154" s="48"/>
      <c r="O154" s="48">
        <v>0</v>
      </c>
      <c r="P154" s="48"/>
      <c r="Q154" s="48">
        <v>0</v>
      </c>
      <c r="R154" s="48"/>
      <c r="S154" s="48">
        <v>3484284</v>
      </c>
      <c r="T154" s="48"/>
      <c r="U154" s="48">
        <v>8040</v>
      </c>
      <c r="V154" s="48"/>
      <c r="W154" s="48">
        <v>27100051986</v>
      </c>
      <c r="X154" s="48"/>
      <c r="Y154" s="48">
        <v>27797097897</v>
      </c>
      <c r="Z154" s="48"/>
      <c r="AA154" s="55">
        <f t="shared" si="2"/>
        <v>6.5267545669323414E-3</v>
      </c>
      <c r="AB154" s="55"/>
    </row>
    <row r="155" spans="1:28">
      <c r="A155" s="48" t="s">
        <v>132</v>
      </c>
      <c r="B155" s="48"/>
      <c r="C155" s="48">
        <v>881085</v>
      </c>
      <c r="D155" s="48"/>
      <c r="E155" s="48">
        <v>4430853957</v>
      </c>
      <c r="F155" s="48"/>
      <c r="G155" s="48">
        <v>4196516222</v>
      </c>
      <c r="H155" s="48"/>
      <c r="I155" s="48">
        <v>0</v>
      </c>
      <c r="J155" s="48"/>
      <c r="K155" s="48">
        <v>0</v>
      </c>
      <c r="L155" s="48"/>
      <c r="M155" s="48">
        <v>0</v>
      </c>
      <c r="N155" s="48"/>
      <c r="O155" s="48">
        <v>0</v>
      </c>
      <c r="P155" s="48"/>
      <c r="Q155" s="48">
        <v>0</v>
      </c>
      <c r="R155" s="48"/>
      <c r="S155" s="48">
        <v>881085</v>
      </c>
      <c r="T155" s="48"/>
      <c r="U155" s="48">
        <v>4800</v>
      </c>
      <c r="V155" s="48"/>
      <c r="W155" s="48">
        <v>4430853957</v>
      </c>
      <c r="X155" s="48"/>
      <c r="Y155" s="48">
        <v>4196516222</v>
      </c>
      <c r="Z155" s="48"/>
      <c r="AA155" s="55">
        <f t="shared" si="2"/>
        <v>9.8534140213609074E-4</v>
      </c>
      <c r="AB155" s="55"/>
    </row>
    <row r="156" spans="1:28">
      <c r="A156" s="48" t="s">
        <v>277</v>
      </c>
      <c r="B156" s="48"/>
      <c r="C156" s="48">
        <v>1321627</v>
      </c>
      <c r="D156" s="48"/>
      <c r="E156" s="48">
        <v>5324651420</v>
      </c>
      <c r="F156" s="48"/>
      <c r="G156" s="48">
        <v>4209628743</v>
      </c>
      <c r="H156" s="48"/>
      <c r="I156" s="48">
        <v>0</v>
      </c>
      <c r="J156" s="48"/>
      <c r="K156" s="48">
        <v>0</v>
      </c>
      <c r="L156" s="48"/>
      <c r="M156" s="48">
        <v>0</v>
      </c>
      <c r="N156" s="48"/>
      <c r="O156" s="48">
        <v>0</v>
      </c>
      <c r="P156" s="48"/>
      <c r="Q156" s="48">
        <v>0</v>
      </c>
      <c r="R156" s="48"/>
      <c r="S156" s="48">
        <v>1321627</v>
      </c>
      <c r="T156" s="48"/>
      <c r="U156" s="48">
        <v>3800</v>
      </c>
      <c r="V156" s="48"/>
      <c r="W156" s="48">
        <v>5324651420</v>
      </c>
      <c r="X156" s="48"/>
      <c r="Y156" s="48">
        <v>4983361129</v>
      </c>
      <c r="Z156" s="48"/>
      <c r="AA156" s="55">
        <f t="shared" si="2"/>
        <v>1.1700924725269301E-3</v>
      </c>
      <c r="AB156" s="55"/>
    </row>
    <row r="157" spans="1:28">
      <c r="A157" s="48" t="s">
        <v>278</v>
      </c>
      <c r="B157" s="48"/>
      <c r="C157" s="48">
        <v>4568835</v>
      </c>
      <c r="D157" s="48"/>
      <c r="E157" s="48">
        <v>29586333386</v>
      </c>
      <c r="F157" s="48"/>
      <c r="G157" s="48">
        <v>28153146193</v>
      </c>
      <c r="H157" s="48"/>
      <c r="I157" s="48">
        <v>0</v>
      </c>
      <c r="J157" s="48"/>
      <c r="K157" s="48">
        <v>0</v>
      </c>
      <c r="L157" s="48"/>
      <c r="M157" s="48">
        <v>0</v>
      </c>
      <c r="N157" s="48"/>
      <c r="O157" s="48">
        <v>0</v>
      </c>
      <c r="P157" s="48"/>
      <c r="Q157" s="48">
        <v>0</v>
      </c>
      <c r="R157" s="48"/>
      <c r="S157" s="48">
        <v>4568835</v>
      </c>
      <c r="T157" s="48"/>
      <c r="U157" s="48">
        <v>6210</v>
      </c>
      <c r="V157" s="48"/>
      <c r="W157" s="48">
        <v>29586333386</v>
      </c>
      <c r="X157" s="48"/>
      <c r="Y157" s="48">
        <v>28153146193</v>
      </c>
      <c r="Z157" s="48"/>
      <c r="AA157" s="55">
        <f t="shared" si="2"/>
        <v>6.6103546553508263E-3</v>
      </c>
      <c r="AB157" s="55"/>
    </row>
    <row r="158" spans="1:28">
      <c r="A158" s="48" t="s">
        <v>279</v>
      </c>
      <c r="B158" s="48"/>
      <c r="C158" s="48">
        <v>1764830</v>
      </c>
      <c r="D158" s="48"/>
      <c r="E158" s="48">
        <v>16756051992</v>
      </c>
      <c r="F158" s="48"/>
      <c r="G158" s="48">
        <v>18965364568</v>
      </c>
      <c r="H158" s="48"/>
      <c r="I158" s="48">
        <v>0</v>
      </c>
      <c r="J158" s="48"/>
      <c r="K158" s="48">
        <v>0</v>
      </c>
      <c r="L158" s="48"/>
      <c r="M158" s="48">
        <v>0</v>
      </c>
      <c r="N158" s="48"/>
      <c r="O158" s="48">
        <v>0</v>
      </c>
      <c r="P158" s="48"/>
      <c r="Q158" s="48">
        <v>0</v>
      </c>
      <c r="R158" s="48"/>
      <c r="S158" s="48">
        <v>1764830</v>
      </c>
      <c r="T158" s="48"/>
      <c r="U158" s="48">
        <v>10830</v>
      </c>
      <c r="V158" s="48"/>
      <c r="W158" s="48">
        <v>16756051992</v>
      </c>
      <c r="X158" s="48"/>
      <c r="Y158" s="48">
        <v>18965364568</v>
      </c>
      <c r="Z158" s="48"/>
      <c r="AA158" s="55">
        <f t="shared" si="2"/>
        <v>4.4530648582955133E-3</v>
      </c>
      <c r="AB158" s="55"/>
    </row>
    <row r="159" spans="1:28">
      <c r="A159" s="48" t="s">
        <v>280</v>
      </c>
      <c r="B159" s="48"/>
      <c r="C159" s="48">
        <v>3600000</v>
      </c>
      <c r="D159" s="48"/>
      <c r="E159" s="48">
        <v>19417906724</v>
      </c>
      <c r="F159" s="48"/>
      <c r="G159" s="48">
        <v>22647570480</v>
      </c>
      <c r="H159" s="48"/>
      <c r="I159" s="48">
        <v>0</v>
      </c>
      <c r="J159" s="48"/>
      <c r="K159" s="48">
        <v>0</v>
      </c>
      <c r="L159" s="48"/>
      <c r="M159" s="48">
        <v>0</v>
      </c>
      <c r="N159" s="48"/>
      <c r="O159" s="48">
        <v>0</v>
      </c>
      <c r="P159" s="48"/>
      <c r="Q159" s="48">
        <v>0</v>
      </c>
      <c r="R159" s="48"/>
      <c r="S159" s="48">
        <v>3600000</v>
      </c>
      <c r="T159" s="48"/>
      <c r="U159" s="48">
        <v>6340</v>
      </c>
      <c r="V159" s="48"/>
      <c r="W159" s="48">
        <v>19417906724</v>
      </c>
      <c r="X159" s="48"/>
      <c r="Y159" s="48">
        <v>22647570480</v>
      </c>
      <c r="Z159" s="48"/>
      <c r="AA159" s="55">
        <f t="shared" si="2"/>
        <v>5.3176462740095985E-3</v>
      </c>
      <c r="AB159" s="55"/>
    </row>
    <row r="160" spans="1:28">
      <c r="A160" s="48" t="s">
        <v>281</v>
      </c>
      <c r="B160" s="48"/>
      <c r="C160" s="48">
        <v>6741110</v>
      </c>
      <c r="D160" s="48"/>
      <c r="E160" s="48">
        <v>29833055813</v>
      </c>
      <c r="F160" s="48"/>
      <c r="G160" s="48">
        <v>36388166635</v>
      </c>
      <c r="H160" s="48"/>
      <c r="I160" s="48">
        <v>0</v>
      </c>
      <c r="J160" s="48"/>
      <c r="K160" s="48">
        <v>0</v>
      </c>
      <c r="L160" s="48"/>
      <c r="M160" s="48">
        <v>0</v>
      </c>
      <c r="N160" s="48"/>
      <c r="O160" s="48">
        <v>0</v>
      </c>
      <c r="P160" s="48"/>
      <c r="Q160" s="48">
        <v>0</v>
      </c>
      <c r="R160" s="48"/>
      <c r="S160" s="48">
        <v>6741110</v>
      </c>
      <c r="T160" s="48"/>
      <c r="U160" s="48">
        <v>5440</v>
      </c>
      <c r="V160" s="48"/>
      <c r="W160" s="48">
        <v>29833055813</v>
      </c>
      <c r="X160" s="48"/>
      <c r="Y160" s="48">
        <v>36388166635</v>
      </c>
      <c r="Z160" s="48"/>
      <c r="AA160" s="55">
        <f t="shared" si="2"/>
        <v>8.5439362644009371E-3</v>
      </c>
      <c r="AB160" s="55"/>
    </row>
    <row r="161" spans="1:28">
      <c r="A161" s="48" t="s">
        <v>282</v>
      </c>
      <c r="B161" s="48"/>
      <c r="C161" s="48">
        <v>2141672</v>
      </c>
      <c r="D161" s="48"/>
      <c r="E161" s="48">
        <v>4306799190</v>
      </c>
      <c r="F161" s="48"/>
      <c r="G161" s="48">
        <v>11326872946</v>
      </c>
      <c r="H161" s="48"/>
      <c r="I161" s="48">
        <v>0</v>
      </c>
      <c r="J161" s="48"/>
      <c r="K161" s="48">
        <v>0</v>
      </c>
      <c r="L161" s="48"/>
      <c r="M161" s="48">
        <v>0</v>
      </c>
      <c r="N161" s="48"/>
      <c r="O161" s="48">
        <v>0</v>
      </c>
      <c r="P161" s="48"/>
      <c r="Q161" s="48">
        <v>0</v>
      </c>
      <c r="R161" s="48"/>
      <c r="S161" s="48">
        <v>2141672</v>
      </c>
      <c r="T161" s="48"/>
      <c r="U161" s="48">
        <v>5330</v>
      </c>
      <c r="V161" s="48"/>
      <c r="W161" s="48">
        <v>4306799190</v>
      </c>
      <c r="X161" s="48"/>
      <c r="Y161" s="48">
        <v>11326872946</v>
      </c>
      <c r="Z161" s="48"/>
      <c r="AA161" s="55">
        <f t="shared" si="2"/>
        <v>2.6595481299271366E-3</v>
      </c>
      <c r="AB161" s="55"/>
    </row>
    <row r="162" spans="1:28">
      <c r="A162" s="48" t="s">
        <v>122</v>
      </c>
      <c r="B162" s="48"/>
      <c r="C162" s="48">
        <v>9904132</v>
      </c>
      <c r="D162" s="48"/>
      <c r="E162" s="48">
        <v>13725154759</v>
      </c>
      <c r="F162" s="48"/>
      <c r="G162" s="48">
        <v>13768429857</v>
      </c>
      <c r="H162" s="48"/>
      <c r="I162" s="48">
        <v>2612492</v>
      </c>
      <c r="J162" s="48"/>
      <c r="K162" s="48">
        <v>0</v>
      </c>
      <c r="L162" s="48"/>
      <c r="M162" s="48">
        <v>0</v>
      </c>
      <c r="N162" s="48"/>
      <c r="O162" s="48">
        <v>1</v>
      </c>
      <c r="P162" s="48"/>
      <c r="Q162" s="48">
        <v>1</v>
      </c>
      <c r="R162" s="48"/>
      <c r="S162" s="48">
        <v>12516623</v>
      </c>
      <c r="T162" s="48"/>
      <c r="U162" s="48">
        <v>1109</v>
      </c>
      <c r="V162" s="48"/>
      <c r="W162" s="48">
        <v>13725153662</v>
      </c>
      <c r="X162" s="48"/>
      <c r="Y162" s="48">
        <v>13773635280</v>
      </c>
      <c r="Z162" s="48"/>
      <c r="AA162" s="55">
        <f t="shared" si="2"/>
        <v>3.2340475721640916E-3</v>
      </c>
      <c r="AB162" s="55"/>
    </row>
    <row r="163" spans="1:28">
      <c r="A163" s="48" t="s">
        <v>283</v>
      </c>
      <c r="B163" s="48"/>
      <c r="C163" s="48">
        <v>2451893</v>
      </c>
      <c r="D163" s="48"/>
      <c r="E163" s="48">
        <v>14817650768</v>
      </c>
      <c r="F163" s="48"/>
      <c r="G163" s="48">
        <v>13989404236</v>
      </c>
      <c r="H163" s="48"/>
      <c r="I163" s="48">
        <v>0</v>
      </c>
      <c r="J163" s="48"/>
      <c r="K163" s="48">
        <v>0</v>
      </c>
      <c r="L163" s="48"/>
      <c r="M163" s="48">
        <v>0</v>
      </c>
      <c r="N163" s="48"/>
      <c r="O163" s="48">
        <v>0</v>
      </c>
      <c r="P163" s="48"/>
      <c r="Q163" s="48">
        <v>0</v>
      </c>
      <c r="R163" s="48"/>
      <c r="S163" s="48">
        <v>2451893</v>
      </c>
      <c r="T163" s="48"/>
      <c r="U163" s="48">
        <v>5750</v>
      </c>
      <c r="V163" s="48"/>
      <c r="W163" s="48">
        <v>14817650768</v>
      </c>
      <c r="X163" s="48"/>
      <c r="Y163" s="48">
        <v>13989404236</v>
      </c>
      <c r="Z163" s="48"/>
      <c r="AA163" s="55">
        <f t="shared" si="2"/>
        <v>3.2847100918340752E-3</v>
      </c>
      <c r="AB163" s="55"/>
    </row>
    <row r="164" spans="1:28">
      <c r="A164" s="48" t="s">
        <v>284</v>
      </c>
      <c r="B164" s="48"/>
      <c r="C164" s="48">
        <v>3667933</v>
      </c>
      <c r="D164" s="48"/>
      <c r="E164" s="48">
        <v>16912333411</v>
      </c>
      <c r="F164" s="48"/>
      <c r="G164" s="48">
        <v>22601791042</v>
      </c>
      <c r="H164" s="48"/>
      <c r="I164" s="48">
        <v>0</v>
      </c>
      <c r="J164" s="48"/>
      <c r="K164" s="48">
        <v>0</v>
      </c>
      <c r="L164" s="48"/>
      <c r="M164" s="48">
        <v>0</v>
      </c>
      <c r="N164" s="48"/>
      <c r="O164" s="48">
        <v>0</v>
      </c>
      <c r="P164" s="48"/>
      <c r="Q164" s="48">
        <v>0</v>
      </c>
      <c r="R164" s="48"/>
      <c r="S164" s="48">
        <v>3667933</v>
      </c>
      <c r="T164" s="48"/>
      <c r="U164" s="48">
        <v>6210</v>
      </c>
      <c r="V164" s="48"/>
      <c r="W164" s="48">
        <v>16912333411</v>
      </c>
      <c r="X164" s="48"/>
      <c r="Y164" s="48">
        <v>22601791042</v>
      </c>
      <c r="Z164" s="48"/>
      <c r="AA164" s="55">
        <f t="shared" si="2"/>
        <v>5.3068972685866135E-3</v>
      </c>
      <c r="AB164" s="55"/>
    </row>
    <row r="165" spans="1:28">
      <c r="A165" s="48" t="s">
        <v>124</v>
      </c>
      <c r="B165" s="48"/>
      <c r="C165" s="48">
        <v>267500</v>
      </c>
      <c r="D165" s="48"/>
      <c r="E165" s="48">
        <v>7375699925</v>
      </c>
      <c r="F165" s="48"/>
      <c r="G165" s="48">
        <v>10046609716</v>
      </c>
      <c r="H165" s="48"/>
      <c r="I165" s="48">
        <v>535000</v>
      </c>
      <c r="J165" s="48"/>
      <c r="K165" s="48">
        <v>0</v>
      </c>
      <c r="L165" s="48"/>
      <c r="M165" s="48">
        <v>0</v>
      </c>
      <c r="N165" s="48"/>
      <c r="O165" s="48">
        <v>0</v>
      </c>
      <c r="P165" s="48"/>
      <c r="Q165" s="48">
        <v>0</v>
      </c>
      <c r="R165" s="48"/>
      <c r="S165" s="48">
        <v>802500</v>
      </c>
      <c r="T165" s="48"/>
      <c r="U165" s="48">
        <v>12617</v>
      </c>
      <c r="V165" s="48"/>
      <c r="W165" s="48">
        <v>7375699925</v>
      </c>
      <c r="X165" s="48"/>
      <c r="Y165" s="48">
        <v>10046875148</v>
      </c>
      <c r="Z165" s="48"/>
      <c r="AA165" s="55">
        <f t="shared" si="2"/>
        <v>2.3590048320362633E-3</v>
      </c>
      <c r="AB165" s="55"/>
    </row>
    <row r="166" spans="1:28">
      <c r="A166" s="48" t="s">
        <v>285</v>
      </c>
      <c r="B166" s="48"/>
      <c r="C166" s="48">
        <v>5118151</v>
      </c>
      <c r="D166" s="48"/>
      <c r="E166" s="48">
        <v>18613367797</v>
      </c>
      <c r="F166" s="48"/>
      <c r="G166" s="48">
        <v>20040107036</v>
      </c>
      <c r="H166" s="48"/>
      <c r="I166" s="48">
        <v>0</v>
      </c>
      <c r="J166" s="48"/>
      <c r="K166" s="48">
        <v>0</v>
      </c>
      <c r="L166" s="48"/>
      <c r="M166" s="48">
        <v>0</v>
      </c>
      <c r="N166" s="48"/>
      <c r="O166" s="48">
        <v>0</v>
      </c>
      <c r="P166" s="48"/>
      <c r="Q166" s="48">
        <v>0</v>
      </c>
      <c r="R166" s="48"/>
      <c r="S166" s="48">
        <v>5118151</v>
      </c>
      <c r="T166" s="48"/>
      <c r="U166" s="48">
        <v>3946</v>
      </c>
      <c r="V166" s="48"/>
      <c r="W166" s="48">
        <v>18613367797</v>
      </c>
      <c r="X166" s="48"/>
      <c r="Y166" s="48">
        <v>20040107036</v>
      </c>
      <c r="Z166" s="48"/>
      <c r="AA166" s="55">
        <f t="shared" si="2"/>
        <v>4.7054142343809996E-3</v>
      </c>
      <c r="AB166" s="55"/>
    </row>
    <row r="167" spans="1:28">
      <c r="A167" s="48" t="s">
        <v>286</v>
      </c>
      <c r="B167" s="48"/>
      <c r="C167" s="48">
        <v>1256499</v>
      </c>
      <c r="D167" s="48"/>
      <c r="E167" s="48">
        <v>8314819804</v>
      </c>
      <c r="F167" s="48"/>
      <c r="G167" s="48">
        <v>7630331928</v>
      </c>
      <c r="H167" s="48"/>
      <c r="I167" s="48">
        <v>0</v>
      </c>
      <c r="J167" s="48"/>
      <c r="K167" s="48">
        <v>0</v>
      </c>
      <c r="L167" s="48"/>
      <c r="M167" s="48">
        <v>0</v>
      </c>
      <c r="N167" s="48"/>
      <c r="O167" s="48">
        <v>0</v>
      </c>
      <c r="P167" s="48"/>
      <c r="Q167" s="48">
        <v>0</v>
      </c>
      <c r="R167" s="48"/>
      <c r="S167" s="48">
        <v>1256499</v>
      </c>
      <c r="T167" s="48"/>
      <c r="U167" s="48">
        <v>6120</v>
      </c>
      <c r="V167" s="48"/>
      <c r="W167" s="48">
        <v>8314819804</v>
      </c>
      <c r="X167" s="48"/>
      <c r="Y167" s="48">
        <v>7630331928</v>
      </c>
      <c r="Z167" s="48"/>
      <c r="AA167" s="55">
        <f t="shared" si="2"/>
        <v>1.7916008333970167E-3</v>
      </c>
      <c r="AB167" s="55"/>
    </row>
    <row r="168" spans="1:28">
      <c r="A168" s="48" t="s">
        <v>287</v>
      </c>
      <c r="B168" s="48"/>
      <c r="C168" s="48">
        <v>700000</v>
      </c>
      <c r="D168" s="48"/>
      <c r="E168" s="48">
        <v>9143294580</v>
      </c>
      <c r="F168" s="48"/>
      <c r="G168" s="48">
        <v>12044173260</v>
      </c>
      <c r="H168" s="48"/>
      <c r="I168" s="48">
        <v>0</v>
      </c>
      <c r="J168" s="48"/>
      <c r="K168" s="48">
        <v>0</v>
      </c>
      <c r="L168" s="48"/>
      <c r="M168" s="48">
        <v>0</v>
      </c>
      <c r="N168" s="48"/>
      <c r="O168" s="48">
        <v>0</v>
      </c>
      <c r="P168" s="48"/>
      <c r="Q168" s="48">
        <v>0</v>
      </c>
      <c r="R168" s="48"/>
      <c r="S168" s="48">
        <v>700000</v>
      </c>
      <c r="T168" s="48"/>
      <c r="U168" s="48">
        <v>17340</v>
      </c>
      <c r="V168" s="48"/>
      <c r="W168" s="48">
        <v>9143294580</v>
      </c>
      <c r="X168" s="48"/>
      <c r="Y168" s="48">
        <v>12044173260</v>
      </c>
      <c r="Z168" s="48"/>
      <c r="AA168" s="55">
        <f t="shared" si="2"/>
        <v>2.8279701399372809E-3</v>
      </c>
      <c r="AB168" s="55"/>
    </row>
    <row r="169" spans="1:28">
      <c r="A169" s="48" t="s">
        <v>288</v>
      </c>
      <c r="B169" s="48"/>
      <c r="C169" s="48">
        <v>7979362</v>
      </c>
      <c r="D169" s="48"/>
      <c r="E169" s="48">
        <v>38034069803</v>
      </c>
      <c r="F169" s="48"/>
      <c r="G169" s="48">
        <v>26247114278</v>
      </c>
      <c r="H169" s="48"/>
      <c r="I169" s="48">
        <v>0</v>
      </c>
      <c r="J169" s="48"/>
      <c r="K169" s="48">
        <v>0</v>
      </c>
      <c r="L169" s="48"/>
      <c r="M169" s="48">
        <v>0</v>
      </c>
      <c r="N169" s="48"/>
      <c r="O169" s="48">
        <v>0</v>
      </c>
      <c r="P169" s="48"/>
      <c r="Q169" s="48">
        <v>0</v>
      </c>
      <c r="R169" s="48"/>
      <c r="S169" s="48">
        <v>7979362</v>
      </c>
      <c r="T169" s="48"/>
      <c r="U169" s="48">
        <v>3315</v>
      </c>
      <c r="V169" s="48"/>
      <c r="W169" s="48">
        <v>38034069803</v>
      </c>
      <c r="X169" s="48"/>
      <c r="Y169" s="48">
        <v>26247114278</v>
      </c>
      <c r="Z169" s="48"/>
      <c r="AA169" s="55">
        <f t="shared" si="2"/>
        <v>6.162818637308898E-3</v>
      </c>
      <c r="AB169" s="55"/>
    </row>
    <row r="170" spans="1:28">
      <c r="A170" s="48" t="s">
        <v>289</v>
      </c>
      <c r="B170" s="48"/>
      <c r="C170" s="48">
        <v>1293618</v>
      </c>
      <c r="D170" s="48"/>
      <c r="E170" s="48">
        <v>9058195859</v>
      </c>
      <c r="F170" s="48"/>
      <c r="G170" s="48">
        <v>17585571160</v>
      </c>
      <c r="H170" s="48"/>
      <c r="I170" s="48">
        <v>0</v>
      </c>
      <c r="J170" s="48"/>
      <c r="K170" s="48">
        <v>0</v>
      </c>
      <c r="L170" s="48"/>
      <c r="M170" s="48">
        <v>0</v>
      </c>
      <c r="N170" s="48"/>
      <c r="O170" s="48">
        <v>0</v>
      </c>
      <c r="P170" s="48"/>
      <c r="Q170" s="48">
        <v>0</v>
      </c>
      <c r="R170" s="48"/>
      <c r="S170" s="48">
        <v>1293618</v>
      </c>
      <c r="T170" s="48"/>
      <c r="U170" s="48">
        <v>13700</v>
      </c>
      <c r="V170" s="48"/>
      <c r="W170" s="48">
        <v>9058195859</v>
      </c>
      <c r="X170" s="48"/>
      <c r="Y170" s="48">
        <v>17585571160</v>
      </c>
      <c r="Z170" s="48"/>
      <c r="AA170" s="55">
        <f t="shared" si="2"/>
        <v>4.1290895656064495E-3</v>
      </c>
      <c r="AB170" s="55"/>
    </row>
    <row r="171" spans="1:28">
      <c r="A171" s="48" t="s">
        <v>290</v>
      </c>
      <c r="B171" s="48"/>
      <c r="C171" s="48">
        <v>8154486</v>
      </c>
      <c r="D171" s="48"/>
      <c r="E171" s="48">
        <v>41564406435</v>
      </c>
      <c r="F171" s="48"/>
      <c r="G171" s="48">
        <v>39971772007</v>
      </c>
      <c r="H171" s="48"/>
      <c r="I171" s="48">
        <v>0</v>
      </c>
      <c r="J171" s="48"/>
      <c r="K171" s="48">
        <v>0</v>
      </c>
      <c r="L171" s="48"/>
      <c r="M171" s="48">
        <v>0</v>
      </c>
      <c r="N171" s="48"/>
      <c r="O171" s="48">
        <v>0</v>
      </c>
      <c r="P171" s="48"/>
      <c r="Q171" s="48">
        <v>0</v>
      </c>
      <c r="R171" s="48"/>
      <c r="S171" s="48">
        <v>8154486</v>
      </c>
      <c r="T171" s="48"/>
      <c r="U171" s="48">
        <v>4940</v>
      </c>
      <c r="V171" s="48"/>
      <c r="W171" s="48">
        <v>41564406435</v>
      </c>
      <c r="X171" s="48"/>
      <c r="Y171" s="48">
        <v>39971772007</v>
      </c>
      <c r="Z171" s="48"/>
      <c r="AA171" s="55">
        <f t="shared" si="2"/>
        <v>9.3853662875800319E-3</v>
      </c>
      <c r="AB171" s="55"/>
    </row>
    <row r="172" spans="1:28">
      <c r="A172" s="48" t="s">
        <v>291</v>
      </c>
      <c r="B172" s="48"/>
      <c r="C172" s="48">
        <v>2470314</v>
      </c>
      <c r="D172" s="48"/>
      <c r="E172" s="48">
        <v>12048248970</v>
      </c>
      <c r="F172" s="48"/>
      <c r="G172" s="48">
        <v>19364625935</v>
      </c>
      <c r="H172" s="48"/>
      <c r="I172" s="48">
        <v>0</v>
      </c>
      <c r="J172" s="48"/>
      <c r="K172" s="48">
        <v>0</v>
      </c>
      <c r="L172" s="48"/>
      <c r="M172" s="48">
        <v>0</v>
      </c>
      <c r="N172" s="48"/>
      <c r="O172" s="48">
        <v>0</v>
      </c>
      <c r="P172" s="48"/>
      <c r="Q172" s="48">
        <v>0</v>
      </c>
      <c r="R172" s="48"/>
      <c r="S172" s="48">
        <v>2470314</v>
      </c>
      <c r="T172" s="48"/>
      <c r="U172" s="48">
        <v>7900</v>
      </c>
      <c r="V172" s="48"/>
      <c r="W172" s="48">
        <v>12048248970</v>
      </c>
      <c r="X172" s="48"/>
      <c r="Y172" s="48">
        <v>19364625935</v>
      </c>
      <c r="Z172" s="48"/>
      <c r="AA172" s="55">
        <f t="shared" si="2"/>
        <v>4.5468113695364635E-3</v>
      </c>
      <c r="AB172" s="55"/>
    </row>
    <row r="173" spans="1:28">
      <c r="A173" s="48" t="s">
        <v>292</v>
      </c>
      <c r="B173" s="48"/>
      <c r="C173" s="48">
        <v>1483336</v>
      </c>
      <c r="D173" s="48"/>
      <c r="E173" s="48">
        <v>3088990714</v>
      </c>
      <c r="F173" s="48"/>
      <c r="G173" s="48">
        <v>4854226642</v>
      </c>
      <c r="H173" s="48"/>
      <c r="I173" s="48">
        <v>0</v>
      </c>
      <c r="J173" s="48"/>
      <c r="K173" s="48">
        <v>0</v>
      </c>
      <c r="L173" s="48"/>
      <c r="M173" s="48">
        <v>0</v>
      </c>
      <c r="N173" s="48"/>
      <c r="O173" s="48">
        <v>0</v>
      </c>
      <c r="P173" s="48"/>
      <c r="Q173" s="48">
        <v>0</v>
      </c>
      <c r="R173" s="48"/>
      <c r="S173" s="48">
        <v>1483336</v>
      </c>
      <c r="T173" s="48"/>
      <c r="U173" s="48">
        <v>3298</v>
      </c>
      <c r="V173" s="48"/>
      <c r="W173" s="48">
        <v>3088990714</v>
      </c>
      <c r="X173" s="48"/>
      <c r="Y173" s="48">
        <v>4854226642</v>
      </c>
      <c r="Z173" s="48"/>
      <c r="AA173" s="55">
        <f t="shared" si="2"/>
        <v>1.1397717136513543E-3</v>
      </c>
      <c r="AB173" s="55"/>
    </row>
    <row r="174" spans="1:28">
      <c r="A174" s="48" t="s">
        <v>293</v>
      </c>
      <c r="B174" s="48"/>
      <c r="C174" s="48">
        <v>1086071</v>
      </c>
      <c r="D174" s="48"/>
      <c r="E174" s="48">
        <v>14201676419</v>
      </c>
      <c r="F174" s="48"/>
      <c r="G174" s="48">
        <v>20411177212</v>
      </c>
      <c r="H174" s="48"/>
      <c r="I174" s="48">
        <v>0</v>
      </c>
      <c r="J174" s="48"/>
      <c r="K174" s="48">
        <v>0</v>
      </c>
      <c r="L174" s="48"/>
      <c r="M174" s="48">
        <v>0</v>
      </c>
      <c r="N174" s="48"/>
      <c r="O174" s="48">
        <v>0</v>
      </c>
      <c r="P174" s="48"/>
      <c r="Q174" s="48">
        <v>0</v>
      </c>
      <c r="R174" s="48"/>
      <c r="S174" s="48">
        <v>1086071</v>
      </c>
      <c r="T174" s="48"/>
      <c r="U174" s="48">
        <v>18940</v>
      </c>
      <c r="V174" s="48"/>
      <c r="W174" s="48">
        <v>14201676419</v>
      </c>
      <c r="X174" s="48"/>
      <c r="Y174" s="48">
        <v>20411177212</v>
      </c>
      <c r="Z174" s="48"/>
      <c r="AA174" s="55">
        <f t="shared" si="2"/>
        <v>4.7925414580514162E-3</v>
      </c>
      <c r="AB174" s="55"/>
    </row>
    <row r="175" spans="1:28">
      <c r="A175" s="48" t="s">
        <v>141</v>
      </c>
      <c r="B175" s="48"/>
      <c r="C175" s="48">
        <v>8155401</v>
      </c>
      <c r="D175" s="48"/>
      <c r="E175" s="48">
        <v>25390508864</v>
      </c>
      <c r="F175" s="48"/>
      <c r="G175" s="48">
        <v>17738452573</v>
      </c>
      <c r="H175" s="48"/>
      <c r="I175" s="48">
        <v>4485470</v>
      </c>
      <c r="J175" s="48"/>
      <c r="K175" s="48">
        <v>0</v>
      </c>
      <c r="L175" s="48"/>
      <c r="M175" s="48">
        <v>0</v>
      </c>
      <c r="N175" s="48"/>
      <c r="O175" s="48">
        <v>0</v>
      </c>
      <c r="P175" s="48"/>
      <c r="Q175" s="48">
        <v>0</v>
      </c>
      <c r="R175" s="48"/>
      <c r="S175" s="48">
        <v>12640871</v>
      </c>
      <c r="T175" s="48"/>
      <c r="U175" s="48">
        <v>1414</v>
      </c>
      <c r="V175" s="48"/>
      <c r="W175" s="48">
        <v>25390508864</v>
      </c>
      <c r="X175" s="48"/>
      <c r="Y175" s="48">
        <v>17736024093</v>
      </c>
      <c r="Z175" s="48"/>
      <c r="AA175" s="55">
        <f t="shared" si="2"/>
        <v>4.164415892520314E-3</v>
      </c>
      <c r="AB175" s="55"/>
    </row>
    <row r="176" spans="1:28">
      <c r="A176" s="48" t="s">
        <v>294</v>
      </c>
      <c r="B176" s="48"/>
      <c r="C176" s="48">
        <v>15001572</v>
      </c>
      <c r="D176" s="48"/>
      <c r="E176" s="48">
        <v>31538227521</v>
      </c>
      <c r="F176" s="48"/>
      <c r="G176" s="48">
        <v>29205566523</v>
      </c>
      <c r="H176" s="48"/>
      <c r="I176" s="48">
        <v>0</v>
      </c>
      <c r="J176" s="48"/>
      <c r="K176" s="48">
        <v>0</v>
      </c>
      <c r="L176" s="48"/>
      <c r="M176" s="48">
        <v>0</v>
      </c>
      <c r="N176" s="48"/>
      <c r="O176" s="48">
        <v>0</v>
      </c>
      <c r="P176" s="48"/>
      <c r="Q176" s="48">
        <v>0</v>
      </c>
      <c r="R176" s="48"/>
      <c r="S176" s="48">
        <v>15001572</v>
      </c>
      <c r="T176" s="48"/>
      <c r="U176" s="48">
        <v>1962</v>
      </c>
      <c r="V176" s="48"/>
      <c r="W176" s="48">
        <v>31538227521</v>
      </c>
      <c r="X176" s="48"/>
      <c r="Y176" s="48">
        <v>29205566523</v>
      </c>
      <c r="Z176" s="48"/>
      <c r="AA176" s="55">
        <f t="shared" si="2"/>
        <v>6.8574627966615518E-3</v>
      </c>
      <c r="AB176" s="55"/>
    </row>
    <row r="177" spans="1:28">
      <c r="A177" s="48" t="s">
        <v>295</v>
      </c>
      <c r="B177" s="48"/>
      <c r="C177" s="48">
        <v>1145414</v>
      </c>
      <c r="D177" s="48"/>
      <c r="E177" s="48">
        <v>14519339942</v>
      </c>
      <c r="F177" s="48"/>
      <c r="G177" s="48">
        <v>14218364972</v>
      </c>
      <c r="H177" s="48"/>
      <c r="I177" s="48">
        <v>0</v>
      </c>
      <c r="J177" s="48"/>
      <c r="K177" s="48">
        <v>0</v>
      </c>
      <c r="L177" s="48"/>
      <c r="M177" s="48">
        <v>0</v>
      </c>
      <c r="N177" s="48"/>
      <c r="O177" s="48">
        <v>0</v>
      </c>
      <c r="P177" s="48"/>
      <c r="Q177" s="48">
        <v>0</v>
      </c>
      <c r="R177" s="48"/>
      <c r="S177" s="48">
        <v>1145414</v>
      </c>
      <c r="T177" s="48"/>
      <c r="U177" s="48">
        <v>12510</v>
      </c>
      <c r="V177" s="48"/>
      <c r="W177" s="48">
        <v>14519339942</v>
      </c>
      <c r="X177" s="48"/>
      <c r="Y177" s="48">
        <v>14218364972</v>
      </c>
      <c r="Z177" s="48"/>
      <c r="AA177" s="55">
        <f t="shared" si="2"/>
        <v>3.3384700395406113E-3</v>
      </c>
      <c r="AB177" s="55"/>
    </row>
    <row r="178" spans="1:28">
      <c r="A178" s="48" t="s">
        <v>296</v>
      </c>
      <c r="B178" s="48"/>
      <c r="C178" s="48">
        <v>594875</v>
      </c>
      <c r="D178" s="48"/>
      <c r="E178" s="48">
        <v>36899261714</v>
      </c>
      <c r="F178" s="48"/>
      <c r="G178" s="48">
        <v>30104107429</v>
      </c>
      <c r="H178" s="48"/>
      <c r="I178" s="48">
        <v>0</v>
      </c>
      <c r="J178" s="48"/>
      <c r="K178" s="48">
        <v>0</v>
      </c>
      <c r="L178" s="48"/>
      <c r="M178" s="48">
        <v>0</v>
      </c>
      <c r="N178" s="48"/>
      <c r="O178" s="48">
        <v>0</v>
      </c>
      <c r="P178" s="48"/>
      <c r="Q178" s="48">
        <v>0</v>
      </c>
      <c r="R178" s="48"/>
      <c r="S178" s="48">
        <v>594875</v>
      </c>
      <c r="T178" s="48"/>
      <c r="U178" s="48">
        <v>51000</v>
      </c>
      <c r="V178" s="48"/>
      <c r="W178" s="48">
        <v>36899261714</v>
      </c>
      <c r="X178" s="48"/>
      <c r="Y178" s="48">
        <v>30104107429</v>
      </c>
      <c r="Z178" s="48"/>
      <c r="AA178" s="55">
        <f t="shared" si="2"/>
        <v>7.0684400714670619E-3</v>
      </c>
      <c r="AB178" s="55"/>
    </row>
    <row r="179" spans="1:28">
      <c r="A179" s="48" t="s">
        <v>297</v>
      </c>
      <c r="B179" s="48"/>
      <c r="C179" s="48">
        <v>795841</v>
      </c>
      <c r="D179" s="48"/>
      <c r="E179" s="48">
        <v>15363300834</v>
      </c>
      <c r="F179" s="48"/>
      <c r="G179" s="48">
        <v>14530280343</v>
      </c>
      <c r="H179" s="48"/>
      <c r="I179" s="48">
        <v>0</v>
      </c>
      <c r="J179" s="48"/>
      <c r="K179" s="48">
        <v>0</v>
      </c>
      <c r="L179" s="48"/>
      <c r="M179" s="48">
        <v>0</v>
      </c>
      <c r="N179" s="48"/>
      <c r="O179" s="48">
        <v>0</v>
      </c>
      <c r="P179" s="48"/>
      <c r="Q179" s="48">
        <v>0</v>
      </c>
      <c r="R179" s="48"/>
      <c r="S179" s="48">
        <v>795841</v>
      </c>
      <c r="T179" s="48"/>
      <c r="U179" s="48">
        <v>18400</v>
      </c>
      <c r="V179" s="48"/>
      <c r="W179" s="48">
        <v>15363300834</v>
      </c>
      <c r="X179" s="48"/>
      <c r="Y179" s="48">
        <v>14530280343</v>
      </c>
      <c r="Z179" s="48"/>
      <c r="AA179" s="55">
        <f t="shared" si="2"/>
        <v>3.4117077235504361E-3</v>
      </c>
      <c r="AB179" s="55"/>
    </row>
    <row r="180" spans="1:28">
      <c r="A180" s="48" t="s">
        <v>133</v>
      </c>
      <c r="B180" s="48"/>
      <c r="C180" s="48">
        <v>523913</v>
      </c>
      <c r="D180" s="48"/>
      <c r="E180" s="48">
        <v>19397371500</v>
      </c>
      <c r="F180" s="48"/>
      <c r="G180" s="48">
        <v>21454752304</v>
      </c>
      <c r="H180" s="48"/>
      <c r="I180" s="48">
        <v>1833695</v>
      </c>
      <c r="J180" s="48"/>
      <c r="K180" s="48">
        <v>0</v>
      </c>
      <c r="L180" s="48"/>
      <c r="M180" s="48">
        <v>0</v>
      </c>
      <c r="N180" s="48"/>
      <c r="O180" s="48">
        <v>0</v>
      </c>
      <c r="P180" s="48"/>
      <c r="Q180" s="48">
        <v>0</v>
      </c>
      <c r="R180" s="48"/>
      <c r="S180" s="48">
        <v>2357608</v>
      </c>
      <c r="T180" s="48"/>
      <c r="U180" s="48">
        <v>9171</v>
      </c>
      <c r="V180" s="48"/>
      <c r="W180" s="48">
        <v>19397371500</v>
      </c>
      <c r="X180" s="48"/>
      <c r="Y180" s="48">
        <v>21454487822</v>
      </c>
      <c r="Z180" s="48"/>
      <c r="AA180" s="55">
        <f t="shared" si="2"/>
        <v>5.0375106384233492E-3</v>
      </c>
      <c r="AB180" s="55"/>
    </row>
    <row r="181" spans="1:28">
      <c r="A181" s="48" t="s">
        <v>298</v>
      </c>
      <c r="B181" s="48"/>
      <c r="C181" s="48">
        <v>10190676</v>
      </c>
      <c r="D181" s="48"/>
      <c r="E181" s="48">
        <v>35726047499</v>
      </c>
      <c r="F181" s="48"/>
      <c r="G181" s="48">
        <v>31458127354</v>
      </c>
      <c r="H181" s="48"/>
      <c r="I181" s="48">
        <v>0</v>
      </c>
      <c r="J181" s="48"/>
      <c r="K181" s="48">
        <v>0</v>
      </c>
      <c r="L181" s="48"/>
      <c r="M181" s="48">
        <v>0</v>
      </c>
      <c r="N181" s="48"/>
      <c r="O181" s="48">
        <v>0</v>
      </c>
      <c r="P181" s="48"/>
      <c r="Q181" s="48">
        <v>0</v>
      </c>
      <c r="R181" s="48"/>
      <c r="S181" s="48">
        <v>10190676</v>
      </c>
      <c r="T181" s="48"/>
      <c r="U181" s="48">
        <v>3111</v>
      </c>
      <c r="V181" s="48"/>
      <c r="W181" s="48">
        <v>35726047499</v>
      </c>
      <c r="X181" s="48"/>
      <c r="Y181" s="48">
        <v>31458127354</v>
      </c>
      <c r="Z181" s="48"/>
      <c r="AA181" s="55">
        <f t="shared" si="2"/>
        <v>7.386363754074407E-3</v>
      </c>
      <c r="AB181" s="55"/>
    </row>
    <row r="182" spans="1:28">
      <c r="A182" s="48" t="s">
        <v>299</v>
      </c>
      <c r="B182" s="48"/>
      <c r="C182" s="48">
        <v>1842980</v>
      </c>
      <c r="D182" s="48"/>
      <c r="E182" s="48">
        <v>33172875317</v>
      </c>
      <c r="F182" s="48"/>
      <c r="G182" s="48">
        <v>27906477248</v>
      </c>
      <c r="H182" s="48"/>
      <c r="I182" s="48">
        <v>0</v>
      </c>
      <c r="J182" s="48"/>
      <c r="K182" s="48">
        <v>0</v>
      </c>
      <c r="L182" s="48"/>
      <c r="M182" s="48">
        <v>0</v>
      </c>
      <c r="N182" s="48"/>
      <c r="O182" s="48">
        <v>0</v>
      </c>
      <c r="P182" s="48"/>
      <c r="Q182" s="48">
        <v>0</v>
      </c>
      <c r="R182" s="48"/>
      <c r="S182" s="48">
        <v>1842980</v>
      </c>
      <c r="T182" s="48"/>
      <c r="U182" s="48">
        <v>15260</v>
      </c>
      <c r="V182" s="48"/>
      <c r="W182" s="48">
        <v>33172875317</v>
      </c>
      <c r="X182" s="48"/>
      <c r="Y182" s="48">
        <v>27906477248</v>
      </c>
      <c r="Z182" s="48"/>
      <c r="AA182" s="55">
        <f t="shared" si="2"/>
        <v>6.5524368227315843E-3</v>
      </c>
      <c r="AB182" s="55"/>
    </row>
    <row r="183" spans="1:28">
      <c r="A183" s="48" t="s">
        <v>300</v>
      </c>
      <c r="B183" s="48"/>
      <c r="C183" s="48">
        <v>3052977</v>
      </c>
      <c r="D183" s="48"/>
      <c r="E183" s="48">
        <v>9377372255</v>
      </c>
      <c r="F183" s="48"/>
      <c r="G183" s="48">
        <v>18630671550</v>
      </c>
      <c r="H183" s="48"/>
      <c r="I183" s="48">
        <v>0</v>
      </c>
      <c r="J183" s="48"/>
      <c r="K183" s="48">
        <v>0</v>
      </c>
      <c r="L183" s="48"/>
      <c r="M183" s="48">
        <v>0</v>
      </c>
      <c r="N183" s="48"/>
      <c r="O183" s="48">
        <v>0</v>
      </c>
      <c r="P183" s="48"/>
      <c r="Q183" s="48">
        <v>0</v>
      </c>
      <c r="R183" s="48"/>
      <c r="S183" s="48">
        <v>3052977</v>
      </c>
      <c r="T183" s="48"/>
      <c r="U183" s="48">
        <v>6150</v>
      </c>
      <c r="V183" s="48"/>
      <c r="W183" s="48">
        <v>9377372255</v>
      </c>
      <c r="X183" s="48"/>
      <c r="Y183" s="48">
        <v>18630671550</v>
      </c>
      <c r="Z183" s="48"/>
      <c r="AA183" s="55">
        <f t="shared" si="2"/>
        <v>4.3744789860635912E-3</v>
      </c>
      <c r="AB183" s="55"/>
    </row>
    <row r="184" spans="1:28">
      <c r="A184" s="48" t="s">
        <v>301</v>
      </c>
      <c r="B184" s="48"/>
      <c r="C184" s="48">
        <v>4665617</v>
      </c>
      <c r="D184" s="48"/>
      <c r="E184" s="48">
        <v>14386160455</v>
      </c>
      <c r="F184" s="48"/>
      <c r="G184" s="48">
        <v>32129089357</v>
      </c>
      <c r="H184" s="48"/>
      <c r="I184" s="48">
        <v>0</v>
      </c>
      <c r="J184" s="48"/>
      <c r="K184" s="48">
        <v>0</v>
      </c>
      <c r="L184" s="48"/>
      <c r="M184" s="48">
        <v>0</v>
      </c>
      <c r="N184" s="48"/>
      <c r="O184" s="48">
        <v>0</v>
      </c>
      <c r="P184" s="48"/>
      <c r="Q184" s="48">
        <v>0</v>
      </c>
      <c r="R184" s="48"/>
      <c r="S184" s="48">
        <v>4665617</v>
      </c>
      <c r="T184" s="48"/>
      <c r="U184" s="48">
        <v>6940</v>
      </c>
      <c r="V184" s="48"/>
      <c r="W184" s="48">
        <v>14386160455</v>
      </c>
      <c r="X184" s="48"/>
      <c r="Y184" s="48">
        <v>32129089357</v>
      </c>
      <c r="Z184" s="48"/>
      <c r="AA184" s="55">
        <f t="shared" si="2"/>
        <v>7.5439055353619762E-3</v>
      </c>
      <c r="AB184" s="55"/>
    </row>
    <row r="185" spans="1:28">
      <c r="A185" s="48" t="s">
        <v>302</v>
      </c>
      <c r="B185" s="48"/>
      <c r="C185" s="48">
        <v>1726440</v>
      </c>
      <c r="D185" s="48"/>
      <c r="E185" s="48">
        <v>30613372268</v>
      </c>
      <c r="F185" s="48"/>
      <c r="G185" s="48">
        <v>34655904138</v>
      </c>
      <c r="H185" s="48"/>
      <c r="I185" s="48">
        <v>0</v>
      </c>
      <c r="J185" s="48"/>
      <c r="K185" s="48">
        <v>0</v>
      </c>
      <c r="L185" s="48"/>
      <c r="M185" s="48">
        <v>0</v>
      </c>
      <c r="N185" s="48"/>
      <c r="O185" s="48">
        <v>0</v>
      </c>
      <c r="P185" s="48"/>
      <c r="Q185" s="48">
        <v>0</v>
      </c>
      <c r="R185" s="48"/>
      <c r="S185" s="48">
        <v>1726440</v>
      </c>
      <c r="T185" s="48"/>
      <c r="U185" s="48">
        <v>20230</v>
      </c>
      <c r="V185" s="48"/>
      <c r="W185" s="48">
        <v>30613372268</v>
      </c>
      <c r="X185" s="48"/>
      <c r="Y185" s="48">
        <v>34655904138</v>
      </c>
      <c r="Z185" s="48"/>
      <c r="AA185" s="55">
        <f t="shared" si="2"/>
        <v>8.1372012805794574E-3</v>
      </c>
      <c r="AB185" s="55"/>
    </row>
    <row r="186" spans="1:28">
      <c r="A186" s="48" t="s">
        <v>303</v>
      </c>
      <c r="B186" s="48"/>
      <c r="C186" s="48">
        <v>835048</v>
      </c>
      <c r="D186" s="48"/>
      <c r="E186" s="48">
        <v>15698688691</v>
      </c>
      <c r="F186" s="48"/>
      <c r="G186" s="48">
        <v>21460560745</v>
      </c>
      <c r="H186" s="48"/>
      <c r="I186" s="48">
        <v>0</v>
      </c>
      <c r="J186" s="48"/>
      <c r="K186" s="48">
        <v>0</v>
      </c>
      <c r="L186" s="48"/>
      <c r="M186" s="48">
        <v>0</v>
      </c>
      <c r="N186" s="48"/>
      <c r="O186" s="48">
        <v>0</v>
      </c>
      <c r="P186" s="48"/>
      <c r="Q186" s="48">
        <v>0</v>
      </c>
      <c r="R186" s="48"/>
      <c r="S186" s="48">
        <v>835048</v>
      </c>
      <c r="T186" s="48"/>
      <c r="U186" s="48">
        <v>25900</v>
      </c>
      <c r="V186" s="48"/>
      <c r="W186" s="48">
        <v>15698688691</v>
      </c>
      <c r="X186" s="48"/>
      <c r="Y186" s="48">
        <v>21460560745</v>
      </c>
      <c r="Z186" s="48"/>
      <c r="AA186" s="55">
        <f t="shared" si="2"/>
        <v>5.0389365598656434E-3</v>
      </c>
      <c r="AB186" s="55"/>
    </row>
    <row r="187" spans="1:28">
      <c r="A187" s="48" t="s">
        <v>304</v>
      </c>
      <c r="B187" s="48"/>
      <c r="C187" s="48">
        <v>3490646</v>
      </c>
      <c r="D187" s="48"/>
      <c r="E187" s="48">
        <v>25343143786</v>
      </c>
      <c r="F187" s="48"/>
      <c r="G187" s="48">
        <v>27709306451</v>
      </c>
      <c r="H187" s="48"/>
      <c r="I187" s="48">
        <v>0</v>
      </c>
      <c r="J187" s="48"/>
      <c r="K187" s="48">
        <v>0</v>
      </c>
      <c r="L187" s="48"/>
      <c r="M187" s="48">
        <v>0</v>
      </c>
      <c r="N187" s="48"/>
      <c r="O187" s="48">
        <v>0</v>
      </c>
      <c r="P187" s="48"/>
      <c r="Q187" s="48">
        <v>0</v>
      </c>
      <c r="R187" s="48"/>
      <c r="S187" s="48">
        <v>3490646</v>
      </c>
      <c r="T187" s="48"/>
      <c r="U187" s="48">
        <v>8000</v>
      </c>
      <c r="V187" s="48"/>
      <c r="W187" s="48">
        <v>25343143786</v>
      </c>
      <c r="X187" s="48"/>
      <c r="Y187" s="48">
        <v>27709306451</v>
      </c>
      <c r="Z187" s="48"/>
      <c r="AA187" s="55">
        <f t="shared" si="2"/>
        <v>6.5061411481056259E-3</v>
      </c>
      <c r="AB187" s="55"/>
    </row>
    <row r="188" spans="1:28">
      <c r="A188" s="48" t="s">
        <v>305</v>
      </c>
      <c r="B188" s="48"/>
      <c r="C188" s="48">
        <v>275726</v>
      </c>
      <c r="D188" s="48"/>
      <c r="E188" s="48">
        <v>7715656489</v>
      </c>
      <c r="F188" s="48"/>
      <c r="G188" s="48">
        <v>6374755066</v>
      </c>
      <c r="H188" s="48"/>
      <c r="I188" s="48">
        <v>0</v>
      </c>
      <c r="J188" s="48"/>
      <c r="K188" s="48">
        <v>0</v>
      </c>
      <c r="L188" s="48"/>
      <c r="M188" s="48">
        <v>0</v>
      </c>
      <c r="N188" s="48"/>
      <c r="O188" s="48">
        <v>0</v>
      </c>
      <c r="P188" s="48"/>
      <c r="Q188" s="48">
        <v>0</v>
      </c>
      <c r="R188" s="48"/>
      <c r="S188" s="48">
        <v>275726</v>
      </c>
      <c r="T188" s="48"/>
      <c r="U188" s="48">
        <v>23300</v>
      </c>
      <c r="V188" s="48"/>
      <c r="W188" s="48">
        <v>7715656489</v>
      </c>
      <c r="X188" s="48"/>
      <c r="Y188" s="48">
        <v>6374755066</v>
      </c>
      <c r="Z188" s="48"/>
      <c r="AA188" s="55">
        <f t="shared" si="2"/>
        <v>1.4967915677478315E-3</v>
      </c>
      <c r="AB188" s="55"/>
    </row>
    <row r="189" spans="1:28">
      <c r="A189" s="48" t="s">
        <v>306</v>
      </c>
      <c r="B189" s="48"/>
      <c r="C189" s="48">
        <v>487887</v>
      </c>
      <c r="D189" s="48"/>
      <c r="E189" s="48">
        <v>9859579712</v>
      </c>
      <c r="F189" s="48"/>
      <c r="G189" s="48">
        <v>13075963261</v>
      </c>
      <c r="H189" s="48"/>
      <c r="I189" s="48">
        <v>0</v>
      </c>
      <c r="J189" s="48"/>
      <c r="K189" s="48">
        <v>0</v>
      </c>
      <c r="L189" s="48"/>
      <c r="M189" s="48">
        <v>0</v>
      </c>
      <c r="N189" s="48"/>
      <c r="O189" s="48">
        <v>0</v>
      </c>
      <c r="P189" s="48"/>
      <c r="Q189" s="48">
        <v>0</v>
      </c>
      <c r="R189" s="48"/>
      <c r="S189" s="48">
        <v>487887</v>
      </c>
      <c r="T189" s="48"/>
      <c r="U189" s="48">
        <v>27010</v>
      </c>
      <c r="V189" s="48"/>
      <c r="W189" s="48">
        <v>9859579712</v>
      </c>
      <c r="X189" s="48"/>
      <c r="Y189" s="48">
        <v>13075963261</v>
      </c>
      <c r="Z189" s="48"/>
      <c r="AA189" s="55">
        <f t="shared" si="2"/>
        <v>3.0702342829818205E-3</v>
      </c>
      <c r="AB189" s="55"/>
    </row>
    <row r="190" spans="1:28">
      <c r="A190" s="48" t="s">
        <v>307</v>
      </c>
      <c r="B190" s="48"/>
      <c r="C190" s="48">
        <v>1667558</v>
      </c>
      <c r="D190" s="48"/>
      <c r="E190" s="48">
        <v>14118247862</v>
      </c>
      <c r="F190" s="48"/>
      <c r="G190" s="48">
        <v>11781234570</v>
      </c>
      <c r="H190" s="48"/>
      <c r="I190" s="48">
        <v>0</v>
      </c>
      <c r="J190" s="48"/>
      <c r="K190" s="48">
        <v>0</v>
      </c>
      <c r="L190" s="48"/>
      <c r="M190" s="48">
        <v>0</v>
      </c>
      <c r="N190" s="48"/>
      <c r="O190" s="48">
        <v>0</v>
      </c>
      <c r="P190" s="48"/>
      <c r="Q190" s="48">
        <v>0</v>
      </c>
      <c r="R190" s="48"/>
      <c r="S190" s="48">
        <v>1667558</v>
      </c>
      <c r="T190" s="48"/>
      <c r="U190" s="48">
        <v>7120</v>
      </c>
      <c r="V190" s="48"/>
      <c r="W190" s="48">
        <v>14118247862</v>
      </c>
      <c r="X190" s="48"/>
      <c r="Y190" s="48">
        <v>11781234570</v>
      </c>
      <c r="Z190" s="48"/>
      <c r="AA190" s="55">
        <f t="shared" si="2"/>
        <v>2.7662321735445403E-3</v>
      </c>
      <c r="AB190" s="55"/>
    </row>
    <row r="191" spans="1:28">
      <c r="A191" s="48" t="s">
        <v>308</v>
      </c>
      <c r="B191" s="48"/>
      <c r="C191" s="48">
        <v>5116431</v>
      </c>
      <c r="D191" s="48"/>
      <c r="E191" s="48">
        <v>37383815268</v>
      </c>
      <c r="F191" s="48"/>
      <c r="G191" s="48">
        <v>23607496596</v>
      </c>
      <c r="H191" s="48"/>
      <c r="I191" s="48">
        <v>0</v>
      </c>
      <c r="J191" s="48"/>
      <c r="K191" s="48">
        <v>0</v>
      </c>
      <c r="L191" s="48"/>
      <c r="M191" s="48">
        <v>0</v>
      </c>
      <c r="N191" s="48"/>
      <c r="O191" s="48">
        <v>0</v>
      </c>
      <c r="P191" s="48"/>
      <c r="Q191" s="48">
        <v>0</v>
      </c>
      <c r="R191" s="48"/>
      <c r="S191" s="48">
        <v>5116431</v>
      </c>
      <c r="T191" s="48"/>
      <c r="U191" s="48">
        <v>4650</v>
      </c>
      <c r="V191" s="48"/>
      <c r="W191" s="48">
        <v>37383815268</v>
      </c>
      <c r="X191" s="48"/>
      <c r="Y191" s="48">
        <v>23607496596</v>
      </c>
      <c r="Z191" s="48"/>
      <c r="AA191" s="55">
        <f t="shared" si="2"/>
        <v>5.5430367872471974E-3</v>
      </c>
      <c r="AB191" s="55"/>
    </row>
    <row r="192" spans="1:28">
      <c r="A192" s="48" t="s">
        <v>309</v>
      </c>
      <c r="B192" s="48"/>
      <c r="C192" s="48">
        <v>828772</v>
      </c>
      <c r="D192" s="48"/>
      <c r="E192" s="48">
        <v>16660714616</v>
      </c>
      <c r="F192" s="48"/>
      <c r="G192" s="48">
        <v>12730219371</v>
      </c>
      <c r="H192" s="48"/>
      <c r="I192" s="48">
        <v>0</v>
      </c>
      <c r="J192" s="48"/>
      <c r="K192" s="48">
        <v>0</v>
      </c>
      <c r="L192" s="48"/>
      <c r="M192" s="48">
        <v>0</v>
      </c>
      <c r="N192" s="48"/>
      <c r="O192" s="48">
        <v>0</v>
      </c>
      <c r="P192" s="48"/>
      <c r="Q192" s="48">
        <v>0</v>
      </c>
      <c r="R192" s="48"/>
      <c r="S192" s="48">
        <v>828772</v>
      </c>
      <c r="T192" s="48"/>
      <c r="U192" s="48">
        <v>15480</v>
      </c>
      <c r="V192" s="48"/>
      <c r="W192" s="48">
        <v>16660714616</v>
      </c>
      <c r="X192" s="48"/>
      <c r="Y192" s="48">
        <v>12730219371</v>
      </c>
      <c r="Z192" s="48"/>
      <c r="AA192" s="55">
        <f t="shared" si="2"/>
        <v>2.9890536676021842E-3</v>
      </c>
      <c r="AB192" s="55"/>
    </row>
    <row r="193" spans="1:28">
      <c r="A193" s="48" t="s">
        <v>149</v>
      </c>
      <c r="B193" s="48"/>
      <c r="C193" s="48">
        <v>4033345</v>
      </c>
      <c r="D193" s="48"/>
      <c r="E193" s="48">
        <v>14222585282</v>
      </c>
      <c r="F193" s="48"/>
      <c r="G193" s="48">
        <v>14595903936</v>
      </c>
      <c r="H193" s="48"/>
      <c r="I193" s="48">
        <v>2823341</v>
      </c>
      <c r="J193" s="48"/>
      <c r="K193" s="48">
        <v>0</v>
      </c>
      <c r="L193" s="48"/>
      <c r="M193" s="48">
        <v>0</v>
      </c>
      <c r="N193" s="48"/>
      <c r="O193" s="48">
        <v>0</v>
      </c>
      <c r="P193" s="48"/>
      <c r="Q193" s="48">
        <v>0</v>
      </c>
      <c r="R193" s="48"/>
      <c r="S193" s="48">
        <v>6856686</v>
      </c>
      <c r="T193" s="48"/>
      <c r="U193" s="48">
        <v>2145</v>
      </c>
      <c r="V193" s="48"/>
      <c r="W193" s="48">
        <v>14222585282</v>
      </c>
      <c r="X193" s="48"/>
      <c r="Y193" s="48">
        <v>14593901788</v>
      </c>
      <c r="Z193" s="48"/>
      <c r="AA193" s="55">
        <f t="shared" si="2"/>
        <v>3.4266460296371805E-3</v>
      </c>
      <c r="AB193" s="55"/>
    </row>
    <row r="194" spans="1:28">
      <c r="A194" s="48" t="s">
        <v>310</v>
      </c>
      <c r="B194" s="48"/>
      <c r="C194" s="48">
        <v>2723567</v>
      </c>
      <c r="D194" s="48"/>
      <c r="E194" s="48">
        <v>19009668439</v>
      </c>
      <c r="F194" s="48"/>
      <c r="G194" s="48">
        <v>22268713935</v>
      </c>
      <c r="H194" s="48"/>
      <c r="I194" s="48">
        <v>0</v>
      </c>
      <c r="J194" s="48"/>
      <c r="K194" s="48">
        <v>0</v>
      </c>
      <c r="L194" s="48"/>
      <c r="M194" s="48">
        <v>0</v>
      </c>
      <c r="N194" s="48"/>
      <c r="O194" s="48">
        <v>0</v>
      </c>
      <c r="P194" s="48"/>
      <c r="Q194" s="48">
        <v>0</v>
      </c>
      <c r="R194" s="48"/>
      <c r="S194" s="48">
        <v>2723567</v>
      </c>
      <c r="T194" s="48"/>
      <c r="U194" s="48">
        <v>8240</v>
      </c>
      <c r="V194" s="48"/>
      <c r="W194" s="48">
        <v>19009668439</v>
      </c>
      <c r="X194" s="48"/>
      <c r="Y194" s="48">
        <v>22268713935</v>
      </c>
      <c r="Z194" s="48"/>
      <c r="AA194" s="55">
        <f t="shared" si="2"/>
        <v>5.2286908120238408E-3</v>
      </c>
      <c r="AB194" s="55"/>
    </row>
    <row r="195" spans="1:28">
      <c r="A195" s="48" t="s">
        <v>311</v>
      </c>
      <c r="B195" s="48"/>
      <c r="C195" s="48">
        <v>3014987</v>
      </c>
      <c r="D195" s="48"/>
      <c r="E195" s="48">
        <v>14987389690</v>
      </c>
      <c r="F195" s="48"/>
      <c r="G195" s="48">
        <v>14796854970</v>
      </c>
      <c r="H195" s="48"/>
      <c r="I195" s="48">
        <v>0</v>
      </c>
      <c r="J195" s="48"/>
      <c r="K195" s="48">
        <v>0</v>
      </c>
      <c r="L195" s="48"/>
      <c r="M195" s="48">
        <v>0</v>
      </c>
      <c r="N195" s="48"/>
      <c r="O195" s="48">
        <v>0</v>
      </c>
      <c r="P195" s="48"/>
      <c r="Q195" s="48">
        <v>0</v>
      </c>
      <c r="R195" s="48"/>
      <c r="S195" s="48">
        <v>3014987</v>
      </c>
      <c r="T195" s="48"/>
      <c r="U195" s="48">
        <v>4946</v>
      </c>
      <c r="V195" s="48"/>
      <c r="W195" s="48">
        <v>14987389690</v>
      </c>
      <c r="X195" s="48"/>
      <c r="Y195" s="48">
        <v>14796854970</v>
      </c>
      <c r="Z195" s="48"/>
      <c r="AA195" s="55">
        <f t="shared" si="2"/>
        <v>3.4742994074250435E-3</v>
      </c>
      <c r="AB195" s="55"/>
    </row>
    <row r="196" spans="1:28">
      <c r="A196" s="48" t="s">
        <v>312</v>
      </c>
      <c r="B196" s="48"/>
      <c r="C196" s="48">
        <v>4173330</v>
      </c>
      <c r="D196" s="48"/>
      <c r="E196" s="48">
        <v>11616275685</v>
      </c>
      <c r="F196" s="48"/>
      <c r="G196" s="48">
        <v>12899433546</v>
      </c>
      <c r="H196" s="48"/>
      <c r="I196" s="48">
        <v>0</v>
      </c>
      <c r="J196" s="48"/>
      <c r="K196" s="48">
        <v>0</v>
      </c>
      <c r="L196" s="48"/>
      <c r="M196" s="48">
        <v>0</v>
      </c>
      <c r="N196" s="48"/>
      <c r="O196" s="48">
        <v>0</v>
      </c>
      <c r="P196" s="48"/>
      <c r="Q196" s="48">
        <v>0</v>
      </c>
      <c r="R196" s="48"/>
      <c r="S196" s="48">
        <v>4173330</v>
      </c>
      <c r="T196" s="48"/>
      <c r="U196" s="48">
        <v>3115</v>
      </c>
      <c r="V196" s="48"/>
      <c r="W196" s="48">
        <v>11616275685</v>
      </c>
      <c r="X196" s="48"/>
      <c r="Y196" s="48">
        <v>12899433546</v>
      </c>
      <c r="Z196" s="48"/>
      <c r="AA196" s="55">
        <f t="shared" si="2"/>
        <v>3.0287851314248927E-3</v>
      </c>
      <c r="AB196" s="55"/>
    </row>
    <row r="197" spans="1:28">
      <c r="A197" s="48" t="s">
        <v>313</v>
      </c>
      <c r="B197" s="48"/>
      <c r="C197" s="48">
        <v>2586957</v>
      </c>
      <c r="D197" s="48"/>
      <c r="E197" s="48">
        <v>14869302601</v>
      </c>
      <c r="F197" s="48"/>
      <c r="G197" s="48">
        <v>17018943622</v>
      </c>
      <c r="H197" s="48"/>
      <c r="I197" s="48">
        <v>0</v>
      </c>
      <c r="J197" s="48"/>
      <c r="K197" s="48">
        <v>0</v>
      </c>
      <c r="L197" s="48"/>
      <c r="M197" s="48">
        <v>0</v>
      </c>
      <c r="N197" s="48"/>
      <c r="O197" s="48">
        <v>0</v>
      </c>
      <c r="P197" s="48"/>
      <c r="Q197" s="48">
        <v>0</v>
      </c>
      <c r="R197" s="48"/>
      <c r="S197" s="48">
        <v>2586957</v>
      </c>
      <c r="T197" s="48"/>
      <c r="U197" s="48">
        <v>6630</v>
      </c>
      <c r="V197" s="48"/>
      <c r="W197" s="48">
        <v>14869302601</v>
      </c>
      <c r="X197" s="48"/>
      <c r="Y197" s="48">
        <v>17018943622</v>
      </c>
      <c r="Z197" s="48"/>
      <c r="AA197" s="55">
        <f t="shared" si="2"/>
        <v>3.9960455016147811E-3</v>
      </c>
      <c r="AB197" s="55"/>
    </row>
    <row r="198" spans="1:28">
      <c r="A198" s="48" t="s">
        <v>314</v>
      </c>
      <c r="B198" s="48"/>
      <c r="C198" s="48">
        <v>7969322</v>
      </c>
      <c r="D198" s="48"/>
      <c r="E198" s="48">
        <v>26169954207</v>
      </c>
      <c r="F198" s="48"/>
      <c r="G198" s="48">
        <v>19848375044</v>
      </c>
      <c r="H198" s="48"/>
      <c r="I198" s="48">
        <v>0</v>
      </c>
      <c r="J198" s="48"/>
      <c r="K198" s="48">
        <v>0</v>
      </c>
      <c r="L198" s="48"/>
      <c r="M198" s="48">
        <v>0</v>
      </c>
      <c r="N198" s="48"/>
      <c r="O198" s="48">
        <v>0</v>
      </c>
      <c r="P198" s="48"/>
      <c r="Q198" s="48">
        <v>0</v>
      </c>
      <c r="R198" s="48"/>
      <c r="S198" s="48">
        <v>7969322</v>
      </c>
      <c r="T198" s="48"/>
      <c r="U198" s="48">
        <v>2510</v>
      </c>
      <c r="V198" s="48"/>
      <c r="W198" s="48">
        <v>26169954207</v>
      </c>
      <c r="X198" s="48"/>
      <c r="Y198" s="48">
        <v>19848375044</v>
      </c>
      <c r="Z198" s="48"/>
      <c r="AA198" s="55">
        <f t="shared" si="2"/>
        <v>4.6603955903826242E-3</v>
      </c>
      <c r="AB198" s="55"/>
    </row>
    <row r="199" spans="1:28">
      <c r="A199" s="48" t="s">
        <v>315</v>
      </c>
      <c r="B199" s="48"/>
      <c r="C199" s="48">
        <v>206895</v>
      </c>
      <c r="D199" s="48"/>
      <c r="E199" s="48">
        <v>9467110869</v>
      </c>
      <c r="F199" s="48"/>
      <c r="G199" s="48">
        <v>8076332903</v>
      </c>
      <c r="H199" s="48"/>
      <c r="I199" s="48">
        <v>0</v>
      </c>
      <c r="J199" s="48"/>
      <c r="K199" s="48">
        <v>0</v>
      </c>
      <c r="L199" s="48"/>
      <c r="M199" s="48">
        <v>0</v>
      </c>
      <c r="N199" s="48"/>
      <c r="O199" s="48">
        <v>0</v>
      </c>
      <c r="P199" s="48"/>
      <c r="Q199" s="48">
        <v>0</v>
      </c>
      <c r="R199" s="48"/>
      <c r="S199" s="48">
        <v>206895</v>
      </c>
      <c r="T199" s="48"/>
      <c r="U199" s="48">
        <v>39340</v>
      </c>
      <c r="V199" s="48"/>
      <c r="W199" s="48">
        <v>9467110869</v>
      </c>
      <c r="X199" s="48"/>
      <c r="Y199" s="48">
        <v>8076332903</v>
      </c>
      <c r="Z199" s="48"/>
      <c r="AA199" s="55">
        <f t="shared" si="2"/>
        <v>1.8963217978381173E-3</v>
      </c>
      <c r="AB199" s="55"/>
    </row>
    <row r="200" spans="1:28">
      <c r="A200" s="48" t="s">
        <v>135</v>
      </c>
      <c r="B200" s="48"/>
      <c r="C200" s="48">
        <v>3683366</v>
      </c>
      <c r="D200" s="48"/>
      <c r="E200" s="48">
        <v>10573465274</v>
      </c>
      <c r="F200" s="48"/>
      <c r="G200" s="48">
        <v>20723246603</v>
      </c>
      <c r="H200" s="48"/>
      <c r="I200" s="48">
        <v>17668526</v>
      </c>
      <c r="J200" s="48"/>
      <c r="K200" s="48">
        <v>0</v>
      </c>
      <c r="L200" s="48"/>
      <c r="M200" s="48">
        <v>0</v>
      </c>
      <c r="N200" s="48"/>
      <c r="O200" s="48">
        <v>0</v>
      </c>
      <c r="P200" s="48"/>
      <c r="Q200" s="48">
        <v>0</v>
      </c>
      <c r="R200" s="48"/>
      <c r="S200" s="48">
        <v>21351892</v>
      </c>
      <c r="T200" s="48"/>
      <c r="U200" s="48">
        <v>978</v>
      </c>
      <c r="V200" s="48"/>
      <c r="W200" s="48">
        <v>10573465274</v>
      </c>
      <c r="X200" s="48"/>
      <c r="Y200" s="48">
        <v>20720731354</v>
      </c>
      <c r="Z200" s="48"/>
      <c r="AA200" s="55">
        <f t="shared" si="2"/>
        <v>4.8652247258334598E-3</v>
      </c>
      <c r="AB200" s="55"/>
    </row>
    <row r="201" spans="1:28">
      <c r="A201" s="48" t="s">
        <v>316</v>
      </c>
      <c r="B201" s="48"/>
      <c r="C201" s="48">
        <v>1032048</v>
      </c>
      <c r="D201" s="48"/>
      <c r="E201" s="48">
        <v>24868059520</v>
      </c>
      <c r="F201" s="48"/>
      <c r="G201" s="48">
        <v>26625826993</v>
      </c>
      <c r="H201" s="48"/>
      <c r="I201" s="48">
        <v>0</v>
      </c>
      <c r="J201" s="48"/>
      <c r="K201" s="48">
        <v>0</v>
      </c>
      <c r="L201" s="48"/>
      <c r="M201" s="48">
        <v>0</v>
      </c>
      <c r="N201" s="48"/>
      <c r="O201" s="48">
        <v>0</v>
      </c>
      <c r="P201" s="48"/>
      <c r="Q201" s="48">
        <v>0</v>
      </c>
      <c r="R201" s="48"/>
      <c r="S201" s="48">
        <v>1032048</v>
      </c>
      <c r="T201" s="48"/>
      <c r="U201" s="48">
        <v>26000</v>
      </c>
      <c r="V201" s="48"/>
      <c r="W201" s="48">
        <v>24868059520</v>
      </c>
      <c r="X201" s="48"/>
      <c r="Y201" s="48">
        <v>26625826993</v>
      </c>
      <c r="Z201" s="48"/>
      <c r="AA201" s="55">
        <f t="shared" si="2"/>
        <v>6.2517403280314522E-3</v>
      </c>
      <c r="AB201" s="55"/>
    </row>
    <row r="202" spans="1:28">
      <c r="A202" s="48" t="s">
        <v>317</v>
      </c>
      <c r="B202" s="48"/>
      <c r="C202" s="48">
        <v>938593</v>
      </c>
      <c r="D202" s="48"/>
      <c r="E202" s="48">
        <v>36753852071</v>
      </c>
      <c r="F202" s="48"/>
      <c r="G202" s="48">
        <v>33304635298</v>
      </c>
      <c r="H202" s="48"/>
      <c r="I202" s="48">
        <v>0</v>
      </c>
      <c r="J202" s="48"/>
      <c r="K202" s="48">
        <v>0</v>
      </c>
      <c r="L202" s="48"/>
      <c r="M202" s="48">
        <v>0</v>
      </c>
      <c r="N202" s="48"/>
      <c r="O202" s="48">
        <v>0</v>
      </c>
      <c r="P202" s="48"/>
      <c r="Q202" s="48">
        <v>0</v>
      </c>
      <c r="R202" s="48"/>
      <c r="S202" s="48">
        <v>938593</v>
      </c>
      <c r="T202" s="48"/>
      <c r="U202" s="48">
        <v>35760</v>
      </c>
      <c r="V202" s="48"/>
      <c r="W202" s="48">
        <v>36753852071</v>
      </c>
      <c r="X202" s="48"/>
      <c r="Y202" s="48">
        <v>33304635298</v>
      </c>
      <c r="Z202" s="48"/>
      <c r="AA202" s="55">
        <f t="shared" si="2"/>
        <v>7.8199235523323234E-3</v>
      </c>
      <c r="AB202" s="55"/>
    </row>
    <row r="203" spans="1:28">
      <c r="A203" s="48" t="s">
        <v>318</v>
      </c>
      <c r="B203" s="48"/>
      <c r="C203" s="48">
        <v>795993</v>
      </c>
      <c r="D203" s="48"/>
      <c r="E203" s="48">
        <v>24623887954</v>
      </c>
      <c r="F203" s="48"/>
      <c r="G203" s="48">
        <v>28299966272</v>
      </c>
      <c r="H203" s="48"/>
      <c r="I203" s="48">
        <v>0</v>
      </c>
      <c r="J203" s="48"/>
      <c r="K203" s="48">
        <v>0</v>
      </c>
      <c r="L203" s="48"/>
      <c r="M203" s="48">
        <v>0</v>
      </c>
      <c r="N203" s="48"/>
      <c r="O203" s="48">
        <v>0</v>
      </c>
      <c r="P203" s="48"/>
      <c r="Q203" s="48">
        <v>0</v>
      </c>
      <c r="R203" s="48"/>
      <c r="S203" s="48">
        <v>795993</v>
      </c>
      <c r="T203" s="48"/>
      <c r="U203" s="48">
        <v>35830</v>
      </c>
      <c r="V203" s="48"/>
      <c r="W203" s="48">
        <v>24623887954</v>
      </c>
      <c r="X203" s="48"/>
      <c r="Y203" s="48">
        <v>28299966272</v>
      </c>
      <c r="Z203" s="48"/>
      <c r="AA203" s="55">
        <f t="shared" ref="AA203:AA223" si="3">Y203/4258946404670</f>
        <v>6.6448279886707788E-3</v>
      </c>
      <c r="AB203" s="55"/>
    </row>
    <row r="204" spans="1:28">
      <c r="A204" s="48" t="s">
        <v>319</v>
      </c>
      <c r="B204" s="48"/>
      <c r="C204" s="48">
        <v>392921</v>
      </c>
      <c r="D204" s="48"/>
      <c r="E204" s="48">
        <v>15618857021</v>
      </c>
      <c r="F204" s="48"/>
      <c r="G204" s="48">
        <v>17778697663</v>
      </c>
      <c r="H204" s="48"/>
      <c r="I204" s="48">
        <v>0</v>
      </c>
      <c r="J204" s="48"/>
      <c r="K204" s="48">
        <v>0</v>
      </c>
      <c r="L204" s="48"/>
      <c r="M204" s="48">
        <v>0</v>
      </c>
      <c r="N204" s="48"/>
      <c r="O204" s="48">
        <v>0</v>
      </c>
      <c r="P204" s="48"/>
      <c r="Q204" s="48">
        <v>0</v>
      </c>
      <c r="R204" s="48"/>
      <c r="S204" s="48">
        <v>392921</v>
      </c>
      <c r="T204" s="48"/>
      <c r="U204" s="48">
        <v>45600</v>
      </c>
      <c r="V204" s="48"/>
      <c r="W204" s="48">
        <v>15618857021</v>
      </c>
      <c r="X204" s="48"/>
      <c r="Y204" s="48">
        <v>17778697663</v>
      </c>
      <c r="Z204" s="48"/>
      <c r="AA204" s="55">
        <f t="shared" si="3"/>
        <v>4.1744356405859877E-3</v>
      </c>
      <c r="AB204" s="55"/>
    </row>
    <row r="205" spans="1:28">
      <c r="A205" s="48" t="s">
        <v>320</v>
      </c>
      <c r="B205" s="48"/>
      <c r="C205" s="48">
        <v>48341</v>
      </c>
      <c r="D205" s="48"/>
      <c r="E205" s="48">
        <v>13238121345</v>
      </c>
      <c r="F205" s="48"/>
      <c r="G205" s="48">
        <v>24334782847</v>
      </c>
      <c r="H205" s="48"/>
      <c r="I205" s="48">
        <v>1833515</v>
      </c>
      <c r="J205" s="48"/>
      <c r="K205" s="48">
        <v>0</v>
      </c>
      <c r="L205" s="48"/>
      <c r="M205" s="48">
        <v>0</v>
      </c>
      <c r="N205" s="48"/>
      <c r="O205" s="48">
        <v>0</v>
      </c>
      <c r="P205" s="48"/>
      <c r="Q205" s="48">
        <v>0</v>
      </c>
      <c r="R205" s="48"/>
      <c r="S205" s="48">
        <v>1881856</v>
      </c>
      <c r="T205" s="48"/>
      <c r="U205" s="48">
        <v>13032</v>
      </c>
      <c r="V205" s="48"/>
      <c r="W205" s="48">
        <v>13238121345</v>
      </c>
      <c r="X205" s="48"/>
      <c r="Y205" s="48">
        <v>24334774187</v>
      </c>
      <c r="Z205" s="48"/>
      <c r="AA205" s="55">
        <f t="shared" si="3"/>
        <v>5.7138014604542911E-3</v>
      </c>
      <c r="AB205" s="55"/>
    </row>
    <row r="206" spans="1:28">
      <c r="A206" s="48" t="s">
        <v>321</v>
      </c>
      <c r="B206" s="48"/>
      <c r="C206" s="48">
        <v>1036013</v>
      </c>
      <c r="D206" s="48"/>
      <c r="E206" s="48">
        <v>19148983815</v>
      </c>
      <c r="F206" s="48"/>
      <c r="G206" s="48">
        <v>19501247632</v>
      </c>
      <c r="H206" s="48"/>
      <c r="I206" s="48">
        <v>0</v>
      </c>
      <c r="J206" s="48"/>
      <c r="K206" s="48">
        <v>0</v>
      </c>
      <c r="L206" s="48"/>
      <c r="M206" s="48">
        <v>0</v>
      </c>
      <c r="N206" s="48"/>
      <c r="O206" s="48">
        <v>0</v>
      </c>
      <c r="P206" s="48"/>
      <c r="Q206" s="48">
        <v>0</v>
      </c>
      <c r="R206" s="48"/>
      <c r="S206" s="48">
        <v>1036013</v>
      </c>
      <c r="T206" s="48"/>
      <c r="U206" s="48">
        <v>18970</v>
      </c>
      <c r="V206" s="48"/>
      <c r="W206" s="48">
        <v>19148983815</v>
      </c>
      <c r="X206" s="48"/>
      <c r="Y206" s="48">
        <v>19501247632</v>
      </c>
      <c r="Z206" s="48"/>
      <c r="AA206" s="55">
        <f t="shared" si="3"/>
        <v>4.5788901242374367E-3</v>
      </c>
      <c r="AB206" s="55"/>
    </row>
    <row r="207" spans="1:28">
      <c r="A207" s="48" t="s">
        <v>322</v>
      </c>
      <c r="B207" s="48"/>
      <c r="C207" s="48">
        <v>5391749</v>
      </c>
      <c r="D207" s="48"/>
      <c r="E207" s="48">
        <v>26565928068</v>
      </c>
      <c r="F207" s="48"/>
      <c r="G207" s="48">
        <v>31244413357</v>
      </c>
      <c r="H207" s="48"/>
      <c r="I207" s="48">
        <v>0</v>
      </c>
      <c r="J207" s="48"/>
      <c r="K207" s="48">
        <v>0</v>
      </c>
      <c r="L207" s="48"/>
      <c r="M207" s="48">
        <v>0</v>
      </c>
      <c r="N207" s="48"/>
      <c r="O207" s="48">
        <v>0</v>
      </c>
      <c r="P207" s="48"/>
      <c r="Q207" s="48">
        <v>0</v>
      </c>
      <c r="R207" s="48"/>
      <c r="S207" s="48">
        <v>5391749</v>
      </c>
      <c r="T207" s="48"/>
      <c r="U207" s="48">
        <v>5840</v>
      </c>
      <c r="V207" s="48"/>
      <c r="W207" s="48">
        <v>26565928068</v>
      </c>
      <c r="X207" s="48"/>
      <c r="Y207" s="48">
        <v>31244413357</v>
      </c>
      <c r="Z207" s="48"/>
      <c r="AA207" s="55">
        <f t="shared" si="3"/>
        <v>7.336183738480489E-3</v>
      </c>
      <c r="AB207" s="55"/>
    </row>
    <row r="208" spans="1:28">
      <c r="A208" s="48" t="s">
        <v>323</v>
      </c>
      <c r="B208" s="48"/>
      <c r="C208" s="48">
        <v>14595002</v>
      </c>
      <c r="D208" s="48"/>
      <c r="E208" s="48">
        <v>39223501330</v>
      </c>
      <c r="F208" s="48"/>
      <c r="G208" s="48">
        <v>38986035652</v>
      </c>
      <c r="H208" s="48"/>
      <c r="I208" s="48">
        <v>0</v>
      </c>
      <c r="J208" s="48"/>
      <c r="K208" s="48">
        <v>0</v>
      </c>
      <c r="L208" s="48"/>
      <c r="M208" s="48">
        <v>0</v>
      </c>
      <c r="N208" s="48"/>
      <c r="O208" s="48">
        <v>0</v>
      </c>
      <c r="P208" s="48"/>
      <c r="Q208" s="48">
        <v>0</v>
      </c>
      <c r="R208" s="48"/>
      <c r="S208" s="48">
        <v>14595002</v>
      </c>
      <c r="T208" s="48"/>
      <c r="U208" s="48">
        <v>2692</v>
      </c>
      <c r="V208" s="48"/>
      <c r="W208" s="48">
        <v>39223501330</v>
      </c>
      <c r="X208" s="48"/>
      <c r="Y208" s="48">
        <v>38986035652</v>
      </c>
      <c r="Z208" s="48"/>
      <c r="AA208" s="55">
        <f t="shared" si="3"/>
        <v>9.1539155339572277E-3</v>
      </c>
      <c r="AB208" s="55"/>
    </row>
    <row r="209" spans="1:28">
      <c r="A209" s="48" t="s">
        <v>324</v>
      </c>
      <c r="B209" s="48"/>
      <c r="C209" s="48">
        <v>4368712</v>
      </c>
      <c r="D209" s="48"/>
      <c r="E209" s="48">
        <v>38790727008</v>
      </c>
      <c r="F209" s="48"/>
      <c r="G209" s="48">
        <v>43392767981</v>
      </c>
      <c r="H209" s="48"/>
      <c r="I209" s="48">
        <v>0</v>
      </c>
      <c r="J209" s="48"/>
      <c r="K209" s="48">
        <v>0</v>
      </c>
      <c r="L209" s="48"/>
      <c r="M209" s="48">
        <v>0</v>
      </c>
      <c r="N209" s="48"/>
      <c r="O209" s="48">
        <v>0</v>
      </c>
      <c r="P209" s="48"/>
      <c r="Q209" s="48">
        <v>0</v>
      </c>
      <c r="R209" s="48"/>
      <c r="S209" s="48">
        <v>4368712</v>
      </c>
      <c r="T209" s="48"/>
      <c r="U209" s="48">
        <v>10010</v>
      </c>
      <c r="V209" s="48"/>
      <c r="W209" s="48">
        <v>38790727008</v>
      </c>
      <c r="X209" s="48"/>
      <c r="Y209" s="48">
        <v>43392767981</v>
      </c>
      <c r="Z209" s="48"/>
      <c r="AA209" s="55">
        <f t="shared" si="3"/>
        <v>1.0188615647621009E-2</v>
      </c>
      <c r="AB209" s="55"/>
    </row>
    <row r="210" spans="1:28">
      <c r="A210" s="48" t="s">
        <v>325</v>
      </c>
      <c r="B210" s="48"/>
      <c r="C210" s="48">
        <v>450000</v>
      </c>
      <c r="D210" s="48"/>
      <c r="E210" s="48">
        <v>2252043000</v>
      </c>
      <c r="F210" s="48"/>
      <c r="G210" s="48">
        <v>4728662685</v>
      </c>
      <c r="H210" s="48"/>
      <c r="I210" s="48">
        <v>0</v>
      </c>
      <c r="J210" s="48"/>
      <c r="K210" s="48">
        <v>0</v>
      </c>
      <c r="L210" s="48"/>
      <c r="M210" s="48">
        <v>0</v>
      </c>
      <c r="N210" s="48"/>
      <c r="O210" s="48">
        <v>0</v>
      </c>
      <c r="P210" s="48"/>
      <c r="Q210" s="48">
        <v>0</v>
      </c>
      <c r="R210" s="48"/>
      <c r="S210" s="48">
        <v>450000</v>
      </c>
      <c r="T210" s="48"/>
      <c r="U210" s="48">
        <v>10590</v>
      </c>
      <c r="V210" s="48"/>
      <c r="W210" s="48">
        <v>2252043000</v>
      </c>
      <c r="X210" s="48"/>
      <c r="Y210" s="48">
        <v>4728662685</v>
      </c>
      <c r="Z210" s="48"/>
      <c r="AA210" s="55">
        <f t="shared" si="3"/>
        <v>1.1102893147035024E-3</v>
      </c>
      <c r="AB210" s="55"/>
    </row>
    <row r="211" spans="1:28">
      <c r="A211" s="48" t="s">
        <v>326</v>
      </c>
      <c r="B211" s="48"/>
      <c r="C211" s="48">
        <v>1405716</v>
      </c>
      <c r="D211" s="48"/>
      <c r="E211" s="48">
        <v>7977806216</v>
      </c>
      <c r="F211" s="48"/>
      <c r="G211" s="48">
        <v>13251073246</v>
      </c>
      <c r="H211" s="48"/>
      <c r="I211" s="48">
        <v>0</v>
      </c>
      <c r="J211" s="48"/>
      <c r="K211" s="48">
        <v>0</v>
      </c>
      <c r="L211" s="48"/>
      <c r="M211" s="48">
        <v>0</v>
      </c>
      <c r="N211" s="48"/>
      <c r="O211" s="48">
        <v>0</v>
      </c>
      <c r="P211" s="48"/>
      <c r="Q211" s="48">
        <v>0</v>
      </c>
      <c r="R211" s="48"/>
      <c r="S211" s="48">
        <v>1405716</v>
      </c>
      <c r="T211" s="48"/>
      <c r="U211" s="48">
        <v>9500</v>
      </c>
      <c r="V211" s="48"/>
      <c r="W211" s="48">
        <v>7977806216</v>
      </c>
      <c r="X211" s="48"/>
      <c r="Y211" s="48">
        <v>13251073246</v>
      </c>
      <c r="Z211" s="48"/>
      <c r="AA211" s="55">
        <f t="shared" si="3"/>
        <v>3.1113500821400323E-3</v>
      </c>
      <c r="AB211" s="55"/>
    </row>
    <row r="212" spans="1:28">
      <c r="A212" s="48" t="s">
        <v>327</v>
      </c>
      <c r="B212" s="48"/>
      <c r="C212" s="48">
        <v>5658733</v>
      </c>
      <c r="D212" s="48"/>
      <c r="E212" s="48">
        <v>21329982959</v>
      </c>
      <c r="F212" s="48"/>
      <c r="G212" s="48">
        <v>20500332119</v>
      </c>
      <c r="H212" s="48"/>
      <c r="I212" s="48">
        <v>0</v>
      </c>
      <c r="J212" s="48"/>
      <c r="K212" s="48">
        <v>0</v>
      </c>
      <c r="L212" s="48"/>
      <c r="M212" s="48">
        <v>0</v>
      </c>
      <c r="N212" s="48"/>
      <c r="O212" s="48">
        <v>0</v>
      </c>
      <c r="P212" s="48"/>
      <c r="Q212" s="48">
        <v>0</v>
      </c>
      <c r="R212" s="48"/>
      <c r="S212" s="48">
        <v>5658733</v>
      </c>
      <c r="T212" s="48"/>
      <c r="U212" s="48">
        <v>3651</v>
      </c>
      <c r="V212" s="48"/>
      <c r="W212" s="48">
        <v>21329982959</v>
      </c>
      <c r="X212" s="48"/>
      <c r="Y212" s="48">
        <v>20500332119</v>
      </c>
      <c r="Z212" s="48"/>
      <c r="AA212" s="55">
        <f t="shared" si="3"/>
        <v>4.813475017323785E-3</v>
      </c>
      <c r="AB212" s="55"/>
    </row>
    <row r="213" spans="1:28">
      <c r="A213" s="48" t="s">
        <v>328</v>
      </c>
      <c r="B213" s="48"/>
      <c r="C213" s="48">
        <v>2024465</v>
      </c>
      <c r="D213" s="48"/>
      <c r="E213" s="48">
        <v>16984113641</v>
      </c>
      <c r="F213" s="48"/>
      <c r="G213" s="48">
        <v>15407617842</v>
      </c>
      <c r="H213" s="48"/>
      <c r="I213" s="48">
        <v>0</v>
      </c>
      <c r="J213" s="48"/>
      <c r="K213" s="48">
        <v>0</v>
      </c>
      <c r="L213" s="48"/>
      <c r="M213" s="48">
        <v>0</v>
      </c>
      <c r="N213" s="48"/>
      <c r="O213" s="48">
        <v>0</v>
      </c>
      <c r="P213" s="48"/>
      <c r="Q213" s="48">
        <v>0</v>
      </c>
      <c r="R213" s="48"/>
      <c r="S213" s="48">
        <v>2024465</v>
      </c>
      <c r="T213" s="48"/>
      <c r="U213" s="48">
        <v>7670</v>
      </c>
      <c r="V213" s="48"/>
      <c r="W213" s="48">
        <v>16984113641</v>
      </c>
      <c r="X213" s="48"/>
      <c r="Y213" s="48">
        <v>15407617842</v>
      </c>
      <c r="Z213" s="48"/>
      <c r="AA213" s="55">
        <f t="shared" si="3"/>
        <v>3.6177064414582233E-3</v>
      </c>
      <c r="AB213" s="55"/>
    </row>
    <row r="214" spans="1:28">
      <c r="A214" s="48" t="s">
        <v>329</v>
      </c>
      <c r="B214" s="48"/>
      <c r="C214" s="48">
        <v>2192838</v>
      </c>
      <c r="D214" s="48"/>
      <c r="E214" s="48">
        <v>16347830069</v>
      </c>
      <c r="F214" s="48"/>
      <c r="G214" s="48">
        <v>20061681480</v>
      </c>
      <c r="H214" s="48"/>
      <c r="I214" s="48">
        <v>0</v>
      </c>
      <c r="J214" s="48"/>
      <c r="K214" s="48">
        <v>0</v>
      </c>
      <c r="L214" s="48"/>
      <c r="M214" s="48">
        <v>0</v>
      </c>
      <c r="N214" s="48"/>
      <c r="O214" s="48">
        <v>0</v>
      </c>
      <c r="P214" s="48"/>
      <c r="Q214" s="48">
        <v>0</v>
      </c>
      <c r="R214" s="48"/>
      <c r="S214" s="48">
        <v>2192838</v>
      </c>
      <c r="T214" s="48"/>
      <c r="U214" s="48">
        <v>9220</v>
      </c>
      <c r="V214" s="48"/>
      <c r="W214" s="48">
        <v>16347830069</v>
      </c>
      <c r="X214" s="48"/>
      <c r="Y214" s="48">
        <v>20061681480</v>
      </c>
      <c r="Z214" s="48"/>
      <c r="AA214" s="55">
        <f t="shared" si="3"/>
        <v>4.7104799107126729E-3</v>
      </c>
      <c r="AB214" s="55"/>
    </row>
    <row r="215" spans="1:28">
      <c r="A215" s="48" t="s">
        <v>330</v>
      </c>
      <c r="B215" s="48"/>
      <c r="C215" s="48">
        <v>6511043</v>
      </c>
      <c r="D215" s="48"/>
      <c r="E215" s="48">
        <v>26993462798</v>
      </c>
      <c r="F215" s="48"/>
      <c r="G215" s="48">
        <v>26314482573</v>
      </c>
      <c r="H215" s="48"/>
      <c r="I215" s="48">
        <v>0</v>
      </c>
      <c r="J215" s="48"/>
      <c r="K215" s="48">
        <v>0</v>
      </c>
      <c r="L215" s="48"/>
      <c r="M215" s="48">
        <v>0</v>
      </c>
      <c r="N215" s="48"/>
      <c r="O215" s="48">
        <v>0</v>
      </c>
      <c r="P215" s="48"/>
      <c r="Q215" s="48">
        <v>0</v>
      </c>
      <c r="R215" s="48"/>
      <c r="S215" s="48">
        <v>6511043</v>
      </c>
      <c r="T215" s="48"/>
      <c r="U215" s="48">
        <v>4073</v>
      </c>
      <c r="V215" s="48"/>
      <c r="W215" s="48">
        <v>26993462798</v>
      </c>
      <c r="X215" s="48"/>
      <c r="Y215" s="48">
        <v>26314482573</v>
      </c>
      <c r="Z215" s="48"/>
      <c r="AA215" s="55">
        <f t="shared" si="3"/>
        <v>6.1786367032338717E-3</v>
      </c>
      <c r="AB215" s="55"/>
    </row>
    <row r="216" spans="1:28">
      <c r="A216" s="48" t="s">
        <v>331</v>
      </c>
      <c r="B216" s="48"/>
      <c r="C216" s="48">
        <v>13112263</v>
      </c>
      <c r="D216" s="48"/>
      <c r="E216" s="48">
        <v>35430001353</v>
      </c>
      <c r="F216" s="48"/>
      <c r="G216" s="48">
        <v>32332099439</v>
      </c>
      <c r="H216" s="48"/>
      <c r="I216" s="48">
        <v>0</v>
      </c>
      <c r="J216" s="48"/>
      <c r="K216" s="48">
        <v>0</v>
      </c>
      <c r="L216" s="48"/>
      <c r="M216" s="48">
        <v>0</v>
      </c>
      <c r="N216" s="48"/>
      <c r="O216" s="48">
        <v>0</v>
      </c>
      <c r="P216" s="48"/>
      <c r="Q216" s="48">
        <v>0</v>
      </c>
      <c r="R216" s="48"/>
      <c r="S216" s="48">
        <v>13112263</v>
      </c>
      <c r="T216" s="48"/>
      <c r="U216" s="48">
        <v>2485</v>
      </c>
      <c r="V216" s="48"/>
      <c r="W216" s="48">
        <v>35430001353</v>
      </c>
      <c r="X216" s="48"/>
      <c r="Y216" s="48">
        <v>32332099439</v>
      </c>
      <c r="Z216" s="48"/>
      <c r="AA216" s="55">
        <f t="shared" si="3"/>
        <v>7.5915722732616117E-3</v>
      </c>
      <c r="AB216" s="55"/>
    </row>
    <row r="217" spans="1:28">
      <c r="A217" s="48" t="s">
        <v>332</v>
      </c>
      <c r="B217" s="48"/>
      <c r="C217" s="48">
        <v>9752234</v>
      </c>
      <c r="D217" s="48"/>
      <c r="E217" s="48">
        <v>13415884464</v>
      </c>
      <c r="F217" s="48"/>
      <c r="G217" s="48">
        <v>13286313994</v>
      </c>
      <c r="H217" s="48"/>
      <c r="I217" s="48">
        <v>0</v>
      </c>
      <c r="J217" s="48"/>
      <c r="K217" s="48">
        <v>0</v>
      </c>
      <c r="L217" s="48"/>
      <c r="M217" s="48">
        <v>0</v>
      </c>
      <c r="N217" s="48"/>
      <c r="O217" s="48">
        <v>0</v>
      </c>
      <c r="P217" s="48"/>
      <c r="Q217" s="48">
        <v>0</v>
      </c>
      <c r="R217" s="48"/>
      <c r="S217" s="48">
        <v>9752234</v>
      </c>
      <c r="T217" s="48"/>
      <c r="U217" s="48">
        <v>1373</v>
      </c>
      <c r="V217" s="48"/>
      <c r="W217" s="48">
        <v>13415884464</v>
      </c>
      <c r="X217" s="48"/>
      <c r="Y217" s="48">
        <v>13286313994</v>
      </c>
      <c r="Z217" s="48"/>
      <c r="AA217" s="55">
        <f t="shared" si="3"/>
        <v>3.1196246046748446E-3</v>
      </c>
      <c r="AB217" s="55"/>
    </row>
    <row r="218" spans="1:28">
      <c r="A218" s="48" t="s">
        <v>333</v>
      </c>
      <c r="B218" s="48"/>
      <c r="C218" s="48">
        <v>1500000</v>
      </c>
      <c r="D218" s="48"/>
      <c r="E218" s="48">
        <v>12197164260</v>
      </c>
      <c r="F218" s="48"/>
      <c r="G218" s="48">
        <v>13112848050</v>
      </c>
      <c r="H218" s="48"/>
      <c r="I218" s="48">
        <v>0</v>
      </c>
      <c r="J218" s="48"/>
      <c r="K218" s="48">
        <v>0</v>
      </c>
      <c r="L218" s="48"/>
      <c r="M218" s="48">
        <v>0</v>
      </c>
      <c r="N218" s="48"/>
      <c r="O218" s="48">
        <v>0</v>
      </c>
      <c r="P218" s="48"/>
      <c r="Q218" s="48">
        <v>0</v>
      </c>
      <c r="R218" s="48"/>
      <c r="S218" s="48">
        <v>1500000</v>
      </c>
      <c r="T218" s="48"/>
      <c r="U218" s="48">
        <v>8810</v>
      </c>
      <c r="V218" s="48"/>
      <c r="W218" s="48">
        <v>12197164260</v>
      </c>
      <c r="X218" s="48"/>
      <c r="Y218" s="48">
        <v>13112848050</v>
      </c>
      <c r="Z218" s="48"/>
      <c r="AA218" s="55">
        <f t="shared" si="3"/>
        <v>3.0788948261057151E-3</v>
      </c>
      <c r="AB218" s="55"/>
    </row>
    <row r="219" spans="1:28">
      <c r="A219" s="48" t="s">
        <v>334</v>
      </c>
      <c r="B219" s="48"/>
      <c r="C219" s="48">
        <v>26913216</v>
      </c>
      <c r="D219" s="48"/>
      <c r="E219" s="48">
        <v>34261064503</v>
      </c>
      <c r="F219" s="48"/>
      <c r="G219" s="48">
        <v>26838702725</v>
      </c>
      <c r="H219" s="48"/>
      <c r="I219" s="48">
        <v>0</v>
      </c>
      <c r="J219" s="48"/>
      <c r="K219" s="48">
        <v>0</v>
      </c>
      <c r="L219" s="48"/>
      <c r="M219" s="48">
        <v>0</v>
      </c>
      <c r="N219" s="48"/>
      <c r="O219" s="48">
        <v>0</v>
      </c>
      <c r="P219" s="48"/>
      <c r="Q219" s="48">
        <v>0</v>
      </c>
      <c r="R219" s="48"/>
      <c r="S219" s="48">
        <v>26913216</v>
      </c>
      <c r="T219" s="48"/>
      <c r="U219" s="48">
        <v>1005</v>
      </c>
      <c r="V219" s="48"/>
      <c r="W219" s="48">
        <v>34261064503</v>
      </c>
      <c r="X219" s="48"/>
      <c r="Y219" s="48">
        <v>26838702725</v>
      </c>
      <c r="Z219" s="48"/>
      <c r="AA219" s="55">
        <f t="shared" si="3"/>
        <v>6.3017235191245779E-3</v>
      </c>
      <c r="AB219" s="55"/>
    </row>
    <row r="220" spans="1:28">
      <c r="A220" s="48" t="s">
        <v>335</v>
      </c>
      <c r="B220" s="48"/>
      <c r="C220" s="48">
        <v>5200000</v>
      </c>
      <c r="D220" s="48"/>
      <c r="E220" s="48">
        <v>17798536615</v>
      </c>
      <c r="F220" s="48"/>
      <c r="G220" s="48">
        <v>15035668856</v>
      </c>
      <c r="H220" s="48"/>
      <c r="I220" s="48">
        <v>0</v>
      </c>
      <c r="J220" s="48"/>
      <c r="K220" s="48">
        <v>0</v>
      </c>
      <c r="L220" s="48"/>
      <c r="M220" s="48">
        <v>0</v>
      </c>
      <c r="N220" s="48"/>
      <c r="O220" s="48">
        <v>0</v>
      </c>
      <c r="P220" s="48"/>
      <c r="Q220" s="48">
        <v>0</v>
      </c>
      <c r="R220" s="48"/>
      <c r="S220" s="48">
        <v>5200000</v>
      </c>
      <c r="T220" s="48"/>
      <c r="U220" s="48">
        <v>2914</v>
      </c>
      <c r="V220" s="48"/>
      <c r="W220" s="48">
        <v>17798536615</v>
      </c>
      <c r="X220" s="48"/>
      <c r="Y220" s="48">
        <v>15035668856</v>
      </c>
      <c r="Z220" s="48"/>
      <c r="AA220" s="55">
        <f t="shared" si="3"/>
        <v>3.5303728733268769E-3</v>
      </c>
      <c r="AB220" s="55"/>
    </row>
    <row r="221" spans="1:28">
      <c r="A221" s="48" t="s">
        <v>129</v>
      </c>
      <c r="B221" s="48"/>
      <c r="C221" s="48">
        <v>11242355</v>
      </c>
      <c r="D221" s="48"/>
      <c r="E221" s="48">
        <v>24082436155</v>
      </c>
      <c r="F221" s="48"/>
      <c r="G221" s="48">
        <v>22255125934</v>
      </c>
      <c r="H221" s="48"/>
      <c r="I221" s="48">
        <v>0</v>
      </c>
      <c r="J221" s="48"/>
      <c r="K221" s="48">
        <v>0</v>
      </c>
      <c r="L221" s="48"/>
      <c r="M221" s="48">
        <v>0</v>
      </c>
      <c r="N221" s="48"/>
      <c r="O221" s="48">
        <v>0</v>
      </c>
      <c r="P221" s="48"/>
      <c r="Q221" s="48">
        <v>0</v>
      </c>
      <c r="R221" s="48"/>
      <c r="S221" s="48">
        <v>11242355</v>
      </c>
      <c r="T221" s="48"/>
      <c r="U221" s="48">
        <v>1901</v>
      </c>
      <c r="V221" s="48"/>
      <c r="W221" s="48">
        <v>22867039430</v>
      </c>
      <c r="X221" s="48"/>
      <c r="Y221" s="48">
        <v>21206513484</v>
      </c>
      <c r="Z221" s="48"/>
      <c r="AA221" s="55">
        <f t="shared" si="3"/>
        <v>4.9792862997164586E-3</v>
      </c>
      <c r="AB221" s="55"/>
    </row>
    <row r="222" spans="1:28">
      <c r="A222" s="48" t="s">
        <v>336</v>
      </c>
      <c r="B222" s="48"/>
      <c r="C222" s="48">
        <v>0</v>
      </c>
      <c r="D222" s="48"/>
      <c r="E222" s="48">
        <v>0</v>
      </c>
      <c r="F222" s="48"/>
      <c r="G222" s="48">
        <v>0</v>
      </c>
      <c r="H222" s="48"/>
      <c r="I222" s="48">
        <v>1175423</v>
      </c>
      <c r="J222" s="48"/>
      <c r="K222" s="48">
        <v>0</v>
      </c>
      <c r="L222" s="48"/>
      <c r="M222" s="48">
        <v>0</v>
      </c>
      <c r="N222" s="48"/>
      <c r="O222" s="48">
        <v>0</v>
      </c>
      <c r="P222" s="48"/>
      <c r="Q222" s="48">
        <v>0</v>
      </c>
      <c r="R222" s="48"/>
      <c r="S222" s="48">
        <v>1175423</v>
      </c>
      <c r="T222" s="48"/>
      <c r="U222" s="48">
        <v>901</v>
      </c>
      <c r="V222" s="48"/>
      <c r="W222" s="48">
        <v>1215396725</v>
      </c>
      <c r="X222" s="48"/>
      <c r="Y222" s="48">
        <v>1050869619</v>
      </c>
      <c r="Z222" s="48"/>
      <c r="AA222" s="55">
        <f t="shared" si="3"/>
        <v>2.4674403459214829E-4</v>
      </c>
      <c r="AB222" s="55"/>
    </row>
    <row r="223" spans="1:28">
      <c r="A223" s="48" t="s">
        <v>134</v>
      </c>
      <c r="B223" s="48"/>
      <c r="C223" s="48">
        <v>8112972</v>
      </c>
      <c r="D223" s="48"/>
      <c r="E223" s="48">
        <v>29111876861</v>
      </c>
      <c r="F223" s="48"/>
      <c r="G223" s="48">
        <v>22943237370</v>
      </c>
      <c r="H223" s="48"/>
      <c r="I223" s="48">
        <v>0</v>
      </c>
      <c r="J223" s="48"/>
      <c r="K223" s="48">
        <v>0</v>
      </c>
      <c r="L223" s="48"/>
      <c r="M223" s="48">
        <v>0</v>
      </c>
      <c r="N223" s="48"/>
      <c r="O223" s="48">
        <v>0</v>
      </c>
      <c r="P223" s="48"/>
      <c r="Q223" s="48">
        <v>0</v>
      </c>
      <c r="R223" s="48"/>
      <c r="S223" s="48">
        <v>8112972</v>
      </c>
      <c r="T223" s="48"/>
      <c r="U223" s="48">
        <v>2810</v>
      </c>
      <c r="V223" s="48"/>
      <c r="W223" s="48">
        <v>29111876861</v>
      </c>
      <c r="X223" s="48"/>
      <c r="Y223" s="48">
        <v>22621227021</v>
      </c>
      <c r="Z223" s="48"/>
      <c r="AA223" s="55">
        <f t="shared" si="3"/>
        <v>5.3114608336454943E-3</v>
      </c>
      <c r="AB223" s="55"/>
    </row>
    <row r="224" spans="1:28" ht="16.5" thickBot="1">
      <c r="A224" s="48" t="s">
        <v>2</v>
      </c>
      <c r="B224" s="48"/>
      <c r="C224" s="49">
        <f t="shared" ref="C224:S224" si="4">SUM(C10:C223)</f>
        <v>1166180733</v>
      </c>
      <c r="D224" s="48"/>
      <c r="E224" s="49">
        <f t="shared" si="4"/>
        <v>4094090938115</v>
      </c>
      <c r="F224" s="48"/>
      <c r="G224" s="49">
        <f t="shared" si="4"/>
        <v>4146422808542</v>
      </c>
      <c r="H224" s="48"/>
      <c r="I224" s="49">
        <f t="shared" si="4"/>
        <v>94548048</v>
      </c>
      <c r="J224" s="48"/>
      <c r="K224" s="49">
        <f t="shared" si="4"/>
        <v>0</v>
      </c>
      <c r="L224" s="48"/>
      <c r="M224" s="49">
        <f t="shared" si="4"/>
        <v>0</v>
      </c>
      <c r="N224" s="48"/>
      <c r="O224" s="49">
        <f t="shared" si="4"/>
        <v>2</v>
      </c>
      <c r="P224" s="48"/>
      <c r="Q224" s="49">
        <f t="shared" si="4"/>
        <v>2</v>
      </c>
      <c r="R224" s="48"/>
      <c r="S224" s="49">
        <f t="shared" si="4"/>
        <v>1260728779</v>
      </c>
      <c r="T224" s="48"/>
      <c r="U224" s="62"/>
      <c r="W224" s="49">
        <f>SUM(W10:W223)</f>
        <v>4094090934915</v>
      </c>
      <c r="X224" s="48"/>
      <c r="Y224" s="49">
        <f>SUM(Y10:Y223)</f>
        <v>4140022893502</v>
      </c>
      <c r="Z224" s="48"/>
      <c r="AA224" s="56">
        <f>SUM(AA10:AA223)</f>
        <v>0.9720767767733357</v>
      </c>
      <c r="AB224" s="55"/>
    </row>
    <row r="225" spans="25:25" ht="16.5" thickTop="1"/>
    <row r="226" spans="25:25">
      <c r="Y226" s="66"/>
    </row>
    <row r="228" spans="25:25">
      <c r="Y228" s="66"/>
    </row>
  </sheetData>
  <mergeCells count="19">
    <mergeCell ref="A1:AA1"/>
    <mergeCell ref="A2:AA2"/>
    <mergeCell ref="A3:AA3"/>
    <mergeCell ref="A4:AA4"/>
    <mergeCell ref="A5:AA5"/>
    <mergeCell ref="C7:G7"/>
    <mergeCell ref="K7:Q7"/>
    <mergeCell ref="S7:AA7"/>
    <mergeCell ref="A8:A9"/>
    <mergeCell ref="C8:C9"/>
    <mergeCell ref="E8:E9"/>
    <mergeCell ref="Y8:Y9"/>
    <mergeCell ref="AA8:AA9"/>
    <mergeCell ref="O8:Q8"/>
    <mergeCell ref="S8:S9"/>
    <mergeCell ref="U8:U9"/>
    <mergeCell ref="W8:W9"/>
    <mergeCell ref="I8:M8"/>
    <mergeCell ref="G8:G9"/>
  </mergeCells>
  <printOptions horizontalCentered="1"/>
  <pageMargins left="0" right="0" top="0.1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8"/>
  <sheetViews>
    <sheetView rightToLeft="1" view="pageBreakPreview" zoomScale="85" zoomScaleNormal="112" zoomScaleSheetLayoutView="85" workbookViewId="0">
      <selection activeCell="K15" sqref="K15"/>
    </sheetView>
  </sheetViews>
  <sheetFormatPr defaultColWidth="9.140625" defaultRowHeight="15.75"/>
  <cols>
    <col min="1" max="1" width="6.5703125" style="52" bestFit="1" customWidth="1"/>
    <col min="2" max="2" width="0.7109375" style="52" customWidth="1"/>
    <col min="3" max="3" width="11.85546875" style="52" bestFit="1" customWidth="1"/>
    <col min="4" max="4" width="0.7109375" style="52" customWidth="1"/>
    <col min="5" max="5" width="9.42578125" style="52" bestFit="1" customWidth="1"/>
    <col min="6" max="6" width="0.7109375" style="52" customWidth="1"/>
    <col min="7" max="7" width="12.140625" style="52" bestFit="1" customWidth="1"/>
    <col min="8" max="8" width="0.7109375" style="52" customWidth="1"/>
    <col min="9" max="9" width="10.140625" style="52" bestFit="1" customWidth="1"/>
    <col min="10" max="10" width="0.7109375" style="52" customWidth="1"/>
    <col min="11" max="11" width="11.85546875" style="52" bestFit="1" customWidth="1"/>
    <col min="12" max="12" width="0.7109375" style="52" customWidth="1"/>
    <col min="13" max="13" width="9.42578125" style="52" bestFit="1" customWidth="1"/>
    <col min="14" max="14" width="0.7109375" style="52" customWidth="1"/>
    <col min="15" max="15" width="9.42578125" style="52" bestFit="1" customWidth="1"/>
    <col min="16" max="16" width="0.7109375" style="52" customWidth="1"/>
    <col min="17" max="17" width="10.140625" style="52" bestFit="1" customWidth="1"/>
    <col min="18" max="18" width="0.7109375" style="52" customWidth="1"/>
    <col min="19" max="19" width="12.140625" style="52" bestFit="1" customWidth="1"/>
    <col min="20" max="20" width="0.7109375" style="52" customWidth="1"/>
    <col min="21" max="21" width="8.28515625" style="52" bestFit="1" customWidth="1"/>
    <col min="22" max="22" width="0.7109375" style="52" customWidth="1"/>
    <col min="23" max="23" width="9.42578125" style="52" bestFit="1" customWidth="1"/>
    <col min="24" max="24" width="0.7109375" style="52" customWidth="1"/>
    <col min="25" max="25" width="8.7109375" style="52" bestFit="1" customWidth="1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6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33"/>
    </row>
    <row r="2" spans="1:26" ht="21">
      <c r="A2" s="81" t="s">
        <v>74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33"/>
    </row>
    <row r="3" spans="1:26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33"/>
    </row>
    <row r="4" spans="1:26" ht="21">
      <c r="A4" s="82" t="s">
        <v>75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42"/>
    </row>
    <row r="5" spans="1:26" ht="16.5" thickBot="1">
      <c r="A5" s="57"/>
      <c r="B5" s="57"/>
      <c r="C5" s="58"/>
      <c r="D5" s="57"/>
      <c r="E5" s="58"/>
      <c r="F5" s="57"/>
      <c r="G5" s="58"/>
      <c r="H5" s="57"/>
      <c r="I5" s="58"/>
      <c r="J5" s="57"/>
    </row>
    <row r="6" spans="1:26" ht="16.5" thickBot="1">
      <c r="A6" s="57"/>
      <c r="B6" s="57"/>
      <c r="C6" s="83" t="s">
        <v>120</v>
      </c>
      <c r="D6" s="83"/>
      <c r="E6" s="83"/>
      <c r="F6" s="83"/>
      <c r="G6" s="83"/>
      <c r="H6" s="83"/>
      <c r="I6" s="83"/>
      <c r="J6" s="38"/>
      <c r="K6" s="83" t="s">
        <v>114</v>
      </c>
      <c r="L6" s="83"/>
      <c r="M6" s="83"/>
      <c r="N6" s="83"/>
      <c r="O6" s="83"/>
      <c r="P6" s="83"/>
      <c r="Q6" s="83"/>
      <c r="R6" s="38"/>
    </row>
    <row r="7" spans="1:26" ht="16.5" thickBot="1">
      <c r="A7" s="59" t="s">
        <v>40</v>
      </c>
      <c r="B7" s="57"/>
      <c r="C7" s="59" t="s">
        <v>41</v>
      </c>
      <c r="D7" s="57"/>
      <c r="E7" s="59" t="s">
        <v>42</v>
      </c>
      <c r="F7" s="57"/>
      <c r="G7" s="59" t="s">
        <v>43</v>
      </c>
      <c r="H7" s="57"/>
      <c r="I7" s="59" t="s">
        <v>44</v>
      </c>
      <c r="J7" s="57"/>
      <c r="K7" s="59" t="s">
        <v>41</v>
      </c>
      <c r="L7" s="57"/>
      <c r="M7" s="59" t="s">
        <v>42</v>
      </c>
      <c r="N7" s="57"/>
      <c r="O7" s="59" t="s">
        <v>43</v>
      </c>
      <c r="P7" s="57"/>
      <c r="Q7" s="59" t="s">
        <v>44</v>
      </c>
      <c r="R7" s="57"/>
    </row>
    <row r="8" spans="1:26">
      <c r="A8" s="7"/>
      <c r="B8" s="7"/>
      <c r="C8" s="9"/>
      <c r="D8" s="9"/>
      <c r="E8" s="9"/>
      <c r="F8" s="9"/>
      <c r="G8" s="8"/>
      <c r="H8" s="8"/>
      <c r="I8" s="9"/>
      <c r="J8" s="9"/>
      <c r="K8" s="9"/>
      <c r="L8" s="9"/>
      <c r="M8" s="9"/>
      <c r="N8" s="9"/>
      <c r="O8" s="8"/>
      <c r="P8" s="8"/>
      <c r="Q8" s="9"/>
      <c r="R8" s="9"/>
    </row>
    <row r="9" spans="1:26" ht="2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26" ht="21">
      <c r="A10" s="82" t="s">
        <v>84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42"/>
    </row>
    <row r="11" spans="1:26" ht="16.5" thickBot="1">
      <c r="A11" s="57"/>
      <c r="B11" s="57"/>
      <c r="C11" s="58"/>
      <c r="D11" s="57"/>
      <c r="E11" s="58"/>
      <c r="F11" s="57"/>
      <c r="G11" s="58"/>
      <c r="H11" s="57"/>
      <c r="I11" s="58"/>
      <c r="J11" s="57"/>
      <c r="K11" s="58"/>
      <c r="L11" s="57"/>
      <c r="M11" s="58"/>
      <c r="N11" s="57"/>
      <c r="O11" s="58"/>
      <c r="P11" s="57"/>
    </row>
    <row r="12" spans="1:26" ht="18.600000000000001" customHeight="1" thickBot="1">
      <c r="A12" s="57"/>
      <c r="B12" s="57"/>
      <c r="C12" s="83" t="s">
        <v>120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38"/>
      <c r="O12" s="83" t="s">
        <v>114</v>
      </c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38"/>
    </row>
    <row r="13" spans="1:26" ht="16.5" thickBot="1">
      <c r="A13" s="59" t="s">
        <v>40</v>
      </c>
      <c r="B13" s="57"/>
      <c r="C13" s="59" t="s">
        <v>86</v>
      </c>
      <c r="D13" s="57"/>
      <c r="E13" s="59" t="s">
        <v>85</v>
      </c>
      <c r="F13" s="57"/>
      <c r="G13" s="59" t="s">
        <v>87</v>
      </c>
      <c r="H13" s="57"/>
      <c r="I13" s="59" t="s">
        <v>83</v>
      </c>
      <c r="J13" s="57"/>
      <c r="K13" s="59" t="s">
        <v>42</v>
      </c>
      <c r="L13" s="57"/>
      <c r="M13" s="59" t="s">
        <v>43</v>
      </c>
      <c r="N13" s="57"/>
      <c r="O13" s="59" t="s">
        <v>86</v>
      </c>
      <c r="P13" s="57"/>
      <c r="Q13" s="59" t="s">
        <v>85</v>
      </c>
      <c r="R13" s="57"/>
      <c r="S13" s="59" t="s">
        <v>87</v>
      </c>
      <c r="T13" s="57"/>
      <c r="U13" s="59" t="s">
        <v>83</v>
      </c>
      <c r="V13" s="57"/>
      <c r="W13" s="59" t="s">
        <v>42</v>
      </c>
      <c r="X13" s="57"/>
      <c r="Y13" s="59" t="s">
        <v>43</v>
      </c>
      <c r="Z13" s="57"/>
    </row>
    <row r="14" spans="1:26" ht="2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>
      <c r="A16" s="82" t="s">
        <v>88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42"/>
    </row>
    <row r="17" spans="1:22" ht="16.5" thickBot="1">
      <c r="A17" s="57"/>
      <c r="B17" s="57"/>
      <c r="C17" s="58"/>
      <c r="D17" s="57"/>
      <c r="E17" s="58"/>
      <c r="F17" s="57"/>
    </row>
    <row r="18" spans="1:22" ht="18.600000000000001" customHeight="1" thickBot="1">
      <c r="A18" s="57"/>
      <c r="B18" s="57"/>
      <c r="C18" s="60" t="s">
        <v>120</v>
      </c>
      <c r="D18" s="61"/>
      <c r="E18" s="60"/>
      <c r="F18" s="61"/>
      <c r="G18" s="60"/>
      <c r="H18" s="61"/>
      <c r="I18" s="60"/>
      <c r="J18" s="61"/>
      <c r="K18" s="60" t="s">
        <v>114</v>
      </c>
      <c r="L18" s="61"/>
      <c r="M18" s="60"/>
      <c r="N18" s="61"/>
      <c r="O18" s="60"/>
      <c r="P18" s="61"/>
      <c r="Q18" s="60"/>
      <c r="R18" s="61"/>
      <c r="S18" s="61"/>
      <c r="T18" s="61"/>
      <c r="U18" s="61"/>
      <c r="V18" s="61"/>
    </row>
    <row r="19" spans="1:22" ht="16.5" thickBot="1">
      <c r="A19" s="59" t="s">
        <v>40</v>
      </c>
      <c r="B19" s="57"/>
      <c r="C19" s="59" t="s">
        <v>85</v>
      </c>
      <c r="D19" s="57"/>
      <c r="E19" s="59" t="s">
        <v>83</v>
      </c>
      <c r="F19" s="57"/>
      <c r="G19" s="59" t="s">
        <v>42</v>
      </c>
      <c r="H19" s="57"/>
      <c r="I19" s="59" t="s">
        <v>43</v>
      </c>
      <c r="J19" s="57"/>
      <c r="K19" s="59" t="s">
        <v>85</v>
      </c>
      <c r="L19" s="57"/>
      <c r="M19" s="59" t="s">
        <v>83</v>
      </c>
      <c r="N19" s="57"/>
      <c r="O19" s="59" t="s">
        <v>42</v>
      </c>
      <c r="P19" s="57"/>
      <c r="Q19" s="59" t="s">
        <v>43</v>
      </c>
      <c r="R19" s="57"/>
      <c r="S19" s="57"/>
      <c r="T19" s="57"/>
      <c r="U19" s="57"/>
      <c r="V19" s="57"/>
    </row>
    <row r="20" spans="1:2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9"/>
      <c r="T20" s="9"/>
      <c r="U20" s="8"/>
      <c r="V20" s="8"/>
    </row>
    <row r="21" spans="1:2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9"/>
      <c r="T21" s="9"/>
      <c r="U21" s="9"/>
      <c r="V21" s="9"/>
    </row>
    <row r="22" spans="1: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2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2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2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2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2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2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2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2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2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</sheetData>
  <mergeCells count="10">
    <mergeCell ref="A1:Y1"/>
    <mergeCell ref="A2:Y2"/>
    <mergeCell ref="A3:Y3"/>
    <mergeCell ref="A4:Y4"/>
    <mergeCell ref="A10:Y10"/>
    <mergeCell ref="A16:Y16"/>
    <mergeCell ref="C12:M12"/>
    <mergeCell ref="O12:Y12"/>
    <mergeCell ref="C6:I6"/>
    <mergeCell ref="K6:Q6"/>
  </mergeCells>
  <printOptions horizontalCentered="1"/>
  <pageMargins left="0" right="0" top="0.15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rightToLeft="1" view="pageBreakPreview" zoomScaleNormal="106" zoomScaleSheetLayoutView="100" workbookViewId="0">
      <selection activeCell="O12" sqref="O12"/>
    </sheetView>
  </sheetViews>
  <sheetFormatPr defaultColWidth="9.140625" defaultRowHeight="15.75"/>
  <cols>
    <col min="1" max="1" width="5" style="52" bestFit="1" customWidth="1"/>
    <col min="2" max="2" width="0.7109375" style="52" customWidth="1"/>
    <col min="3" max="3" width="7.140625" style="52" bestFit="1" customWidth="1"/>
    <col min="4" max="4" width="0.7109375" style="52" customWidth="1"/>
    <col min="5" max="5" width="9.28515625" style="52" bestFit="1" customWidth="1"/>
    <col min="6" max="6" width="0.7109375" style="52" customWidth="1"/>
    <col min="7" max="7" width="11.5703125" style="52" bestFit="1" customWidth="1"/>
    <col min="8" max="8" width="0.7109375" style="52" customWidth="1"/>
    <col min="9" max="9" width="4" style="52" bestFit="1" customWidth="1"/>
    <col min="10" max="10" width="0.7109375" style="52" customWidth="1"/>
    <col min="11" max="11" width="9.28515625" style="52" bestFit="1" customWidth="1"/>
    <col min="12" max="12" width="0.7109375" style="52" customWidth="1"/>
    <col min="13" max="13" width="4" style="52" bestFit="1" customWidth="1"/>
    <col min="14" max="14" width="0.7109375" style="52" customWidth="1"/>
    <col min="15" max="15" width="7.28515625" style="52" bestFit="1" customWidth="1"/>
    <col min="16" max="16" width="0.7109375" style="52" customWidth="1"/>
    <col min="17" max="17" width="4" style="52" bestFit="1" customWidth="1"/>
    <col min="18" max="18" width="0.7109375" style="52" customWidth="1"/>
    <col min="19" max="19" width="15.85546875" style="52" bestFit="1" customWidth="1"/>
    <col min="20" max="20" width="0.7109375" style="52" customWidth="1"/>
    <col min="21" max="21" width="9.28515625" style="52" bestFit="1" customWidth="1"/>
    <col min="22" max="22" width="0.7109375" style="52" customWidth="1"/>
    <col min="23" max="23" width="11.5703125" style="52" bestFit="1" customWidth="1"/>
    <col min="24" max="24" width="0.7109375" style="52" customWidth="1"/>
    <col min="25" max="25" width="13.42578125" style="52" bestFit="1" customWidth="1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6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33"/>
    </row>
    <row r="2" spans="1:26" ht="21">
      <c r="A2" s="81" t="s">
        <v>74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33"/>
    </row>
    <row r="3" spans="1:26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33"/>
    </row>
    <row r="4" spans="1:26" ht="21">
      <c r="A4" s="82" t="s">
        <v>96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42"/>
    </row>
    <row r="6" spans="1:26" ht="18.75" customHeight="1" thickBot="1">
      <c r="A6" s="6"/>
      <c r="B6" s="6"/>
      <c r="C6" s="72" t="s">
        <v>120</v>
      </c>
      <c r="D6" s="72"/>
      <c r="E6" s="72"/>
      <c r="F6" s="72"/>
      <c r="G6" s="72"/>
      <c r="H6" s="6"/>
      <c r="I6" s="73" t="s">
        <v>11</v>
      </c>
      <c r="J6" s="73"/>
      <c r="K6" s="73"/>
      <c r="L6" s="73"/>
      <c r="M6" s="73"/>
      <c r="N6" s="73"/>
      <c r="O6" s="73"/>
      <c r="P6" s="31"/>
      <c r="Q6" s="72" t="s">
        <v>114</v>
      </c>
      <c r="R6" s="72"/>
      <c r="S6" s="72"/>
      <c r="T6" s="72"/>
      <c r="U6" s="72"/>
      <c r="V6" s="72"/>
      <c r="W6" s="72"/>
      <c r="X6" s="72"/>
      <c r="Y6" s="72"/>
      <c r="Z6" s="6"/>
    </row>
    <row r="7" spans="1:26" ht="17.25" customHeight="1">
      <c r="A7" s="74" t="s">
        <v>89</v>
      </c>
      <c r="B7" s="8"/>
      <c r="C7" s="76" t="s">
        <v>90</v>
      </c>
      <c r="D7" s="9"/>
      <c r="E7" s="76" t="s">
        <v>0</v>
      </c>
      <c r="F7" s="9"/>
      <c r="G7" s="78" t="s">
        <v>27</v>
      </c>
      <c r="H7" s="8"/>
      <c r="I7" s="79" t="s">
        <v>101</v>
      </c>
      <c r="J7" s="79"/>
      <c r="K7" s="79"/>
      <c r="L7" s="31"/>
      <c r="M7" s="79" t="s">
        <v>102</v>
      </c>
      <c r="N7" s="79"/>
      <c r="O7" s="79"/>
      <c r="P7" s="31"/>
      <c r="Q7" s="80" t="s">
        <v>3</v>
      </c>
      <c r="R7" s="9"/>
      <c r="S7" s="78" t="s">
        <v>105</v>
      </c>
      <c r="T7" s="8"/>
      <c r="U7" s="80" t="s">
        <v>0</v>
      </c>
      <c r="V7" s="9"/>
      <c r="W7" s="78" t="s">
        <v>27</v>
      </c>
      <c r="X7" s="8"/>
      <c r="Y7" s="78" t="s">
        <v>30</v>
      </c>
      <c r="Z7" s="8"/>
    </row>
    <row r="8" spans="1:26" ht="20.25" customHeight="1" thickBot="1">
      <c r="A8" s="75"/>
      <c r="B8" s="8"/>
      <c r="C8" s="77"/>
      <c r="D8" s="9"/>
      <c r="E8" s="77"/>
      <c r="F8" s="9"/>
      <c r="G8" s="75"/>
      <c r="H8" s="8"/>
      <c r="I8" s="32" t="s">
        <v>3</v>
      </c>
      <c r="J8" s="31"/>
      <c r="K8" s="32" t="s">
        <v>0</v>
      </c>
      <c r="L8" s="31"/>
      <c r="M8" s="32" t="s">
        <v>3</v>
      </c>
      <c r="N8" s="31"/>
      <c r="O8" s="32" t="s">
        <v>73</v>
      </c>
      <c r="P8" s="31"/>
      <c r="Q8" s="77"/>
      <c r="R8" s="9"/>
      <c r="S8" s="75"/>
      <c r="T8" s="8"/>
      <c r="U8" s="77"/>
      <c r="V8" s="9"/>
      <c r="W8" s="75"/>
      <c r="X8" s="8"/>
      <c r="Y8" s="75"/>
      <c r="Z8" s="8"/>
    </row>
  </sheetData>
  <mergeCells count="18">
    <mergeCell ref="A1:Y1"/>
    <mergeCell ref="A2:Y2"/>
    <mergeCell ref="A3:Y3"/>
    <mergeCell ref="A7:A8"/>
    <mergeCell ref="I7:K7"/>
    <mergeCell ref="M7:O7"/>
    <mergeCell ref="U7:U8"/>
    <mergeCell ref="Q7:Q8"/>
    <mergeCell ref="E7:E8"/>
    <mergeCell ref="C7:C8"/>
    <mergeCell ref="A4:Y4"/>
    <mergeCell ref="I6:O6"/>
    <mergeCell ref="C6:G6"/>
    <mergeCell ref="Q6:Y6"/>
    <mergeCell ref="G7:G8"/>
    <mergeCell ref="W7:W8"/>
    <mergeCell ref="S7:S8"/>
    <mergeCell ref="Y7:Y8"/>
  </mergeCells>
  <printOptions horizontalCentered="1"/>
  <pageMargins left="0" right="0.7" top="0.15" bottom="0" header="0.3" footer="0.3"/>
  <pageSetup paperSize="9" scale="10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"/>
  <sheetViews>
    <sheetView rightToLeft="1" view="pageBreakPreview" zoomScale="90" zoomScaleNormal="77" zoomScaleSheetLayoutView="90" workbookViewId="0">
      <selection activeCell="E7" sqref="E7:E8"/>
    </sheetView>
  </sheetViews>
  <sheetFormatPr defaultColWidth="9.140625" defaultRowHeight="15.75"/>
  <cols>
    <col min="1" max="1" width="6.5703125" style="13" bestFit="1" customWidth="1"/>
    <col min="2" max="2" width="0.7109375" style="13" customWidth="1"/>
    <col min="3" max="3" width="15.28515625" style="13" bestFit="1" customWidth="1"/>
    <col min="4" max="4" width="0.7109375" style="13" customWidth="1"/>
    <col min="5" max="5" width="11" style="13" customWidth="1"/>
    <col min="6" max="6" width="0.7109375" style="13" customWidth="1"/>
    <col min="7" max="7" width="9.5703125" style="13" customWidth="1"/>
    <col min="8" max="8" width="0.7109375" style="13" customWidth="1"/>
    <col min="9" max="9" width="7" style="13" customWidth="1"/>
    <col min="10" max="10" width="0.7109375" style="13" customWidth="1"/>
    <col min="11" max="11" width="6.42578125" style="13" customWidth="1"/>
    <col min="12" max="12" width="0.7109375" style="13" customWidth="1"/>
    <col min="13" max="13" width="5.7109375" style="13" customWidth="1"/>
    <col min="14" max="14" width="0.7109375" style="13" customWidth="1"/>
    <col min="15" max="15" width="4.42578125" style="13" bestFit="1" customWidth="1"/>
    <col min="16" max="16" width="0.7109375" style="13" customWidth="1"/>
    <col min="17" max="17" width="7.42578125" style="13" customWidth="1"/>
    <col min="18" max="18" width="0.7109375" style="13" customWidth="1"/>
    <col min="19" max="19" width="8.28515625" style="13" customWidth="1"/>
    <col min="20" max="20" width="0.7109375" style="13" customWidth="1"/>
    <col min="21" max="21" width="4.42578125" style="13" bestFit="1" customWidth="1"/>
    <col min="22" max="22" width="0.7109375" style="13" customWidth="1"/>
    <col min="23" max="23" width="10.42578125" style="13" bestFit="1" customWidth="1"/>
    <col min="24" max="24" width="0.7109375" style="13" customWidth="1"/>
    <col min="25" max="25" width="4.42578125" style="13" bestFit="1" customWidth="1"/>
    <col min="26" max="26" width="0.7109375" style="13" customWidth="1"/>
    <col min="27" max="27" width="8.28515625" style="13" bestFit="1" customWidth="1"/>
    <col min="28" max="28" width="0.7109375" style="13" customWidth="1"/>
    <col min="29" max="29" width="4.42578125" style="13" bestFit="1" customWidth="1"/>
    <col min="30" max="30" width="0.7109375" style="13" customWidth="1"/>
    <col min="31" max="31" width="10.140625" style="13" customWidth="1"/>
    <col min="32" max="32" width="0.7109375" style="13" customWidth="1"/>
    <col min="33" max="33" width="6.7109375" style="13" customWidth="1"/>
    <col min="34" max="34" width="0.7109375" style="13" customWidth="1"/>
    <col min="35" max="35" width="10.140625" style="13" customWidth="1"/>
    <col min="36" max="36" width="0.7109375" style="13" customWidth="1"/>
    <col min="37" max="37" width="6.5703125" style="13" customWidth="1"/>
    <col min="38" max="16384" width="9.140625" style="13"/>
  </cols>
  <sheetData>
    <row r="1" spans="1:37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</row>
    <row r="2" spans="1:37" ht="21">
      <c r="A2" s="81" t="s">
        <v>74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</row>
    <row r="3" spans="1:37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</row>
    <row r="4" spans="1:37" ht="21">
      <c r="A4" s="82" t="s">
        <v>97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</row>
    <row r="6" spans="1:37" ht="18" customHeight="1" thickBot="1">
      <c r="A6" s="72" t="s">
        <v>25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6"/>
      <c r="O6" s="72" t="s">
        <v>120</v>
      </c>
      <c r="P6" s="72"/>
      <c r="Q6" s="72"/>
      <c r="R6" s="72"/>
      <c r="S6" s="72"/>
      <c r="T6" s="6"/>
      <c r="U6" s="91" t="s">
        <v>11</v>
      </c>
      <c r="V6" s="91"/>
      <c r="W6" s="91"/>
      <c r="X6" s="91"/>
      <c r="Y6" s="91"/>
      <c r="Z6" s="91"/>
      <c r="AA6" s="91"/>
      <c r="AC6" s="72" t="s">
        <v>114</v>
      </c>
      <c r="AD6" s="72"/>
      <c r="AE6" s="72"/>
      <c r="AF6" s="72"/>
      <c r="AG6" s="72"/>
      <c r="AH6" s="72"/>
      <c r="AI6" s="72"/>
      <c r="AJ6" s="72"/>
      <c r="AK6" s="72"/>
    </row>
    <row r="7" spans="1:37" ht="26.25" customHeight="1">
      <c r="A7" s="90" t="s">
        <v>26</v>
      </c>
      <c r="B7" s="6"/>
      <c r="C7" s="87" t="s">
        <v>10</v>
      </c>
      <c r="D7" s="30"/>
      <c r="E7" s="89" t="s">
        <v>9</v>
      </c>
      <c r="F7" s="30"/>
      <c r="G7" s="84" t="s">
        <v>38</v>
      </c>
      <c r="H7" s="6"/>
      <c r="I7" s="87" t="s">
        <v>29</v>
      </c>
      <c r="J7" s="30"/>
      <c r="K7" s="89" t="s">
        <v>8</v>
      </c>
      <c r="L7" s="30"/>
      <c r="M7" s="89" t="s">
        <v>7</v>
      </c>
      <c r="N7" s="30"/>
      <c r="O7" s="83" t="s">
        <v>3</v>
      </c>
      <c r="P7" s="38"/>
      <c r="Q7" s="84" t="s">
        <v>0</v>
      </c>
      <c r="R7" s="6"/>
      <c r="S7" s="84" t="s">
        <v>27</v>
      </c>
      <c r="T7" s="6"/>
      <c r="U7" s="86" t="s">
        <v>4</v>
      </c>
      <c r="V7" s="86"/>
      <c r="W7" s="86"/>
      <c r="Y7" s="86" t="s">
        <v>5</v>
      </c>
      <c r="Z7" s="86"/>
      <c r="AA7" s="86"/>
      <c r="AC7" s="83" t="s">
        <v>3</v>
      </c>
      <c r="AD7" s="38"/>
      <c r="AE7" s="84" t="s">
        <v>39</v>
      </c>
      <c r="AF7" s="6"/>
      <c r="AG7" s="84" t="s">
        <v>0</v>
      </c>
      <c r="AH7" s="6"/>
      <c r="AI7" s="84" t="s">
        <v>27</v>
      </c>
      <c r="AJ7" s="6"/>
      <c r="AK7" s="84" t="s">
        <v>28</v>
      </c>
    </row>
    <row r="8" spans="1:37" ht="40.5" customHeight="1" thickBot="1">
      <c r="A8" s="72"/>
      <c r="B8" s="6"/>
      <c r="C8" s="88"/>
      <c r="D8" s="30"/>
      <c r="E8" s="88"/>
      <c r="F8" s="30"/>
      <c r="G8" s="72"/>
      <c r="H8" s="6"/>
      <c r="I8" s="88"/>
      <c r="J8" s="30"/>
      <c r="K8" s="88"/>
      <c r="L8" s="30"/>
      <c r="M8" s="88"/>
      <c r="N8" s="30"/>
      <c r="O8" s="85"/>
      <c r="P8" s="38"/>
      <c r="Q8" s="72"/>
      <c r="R8" s="6"/>
      <c r="S8" s="72"/>
      <c r="T8" s="6"/>
      <c r="U8" s="12" t="s">
        <v>3</v>
      </c>
      <c r="W8" s="12" t="s">
        <v>0</v>
      </c>
      <c r="Y8" s="12" t="s">
        <v>3</v>
      </c>
      <c r="AA8" s="12" t="s">
        <v>73</v>
      </c>
      <c r="AC8" s="85"/>
      <c r="AD8" s="38"/>
      <c r="AE8" s="72"/>
      <c r="AF8" s="6"/>
      <c r="AG8" s="72"/>
      <c r="AH8" s="6"/>
      <c r="AI8" s="72"/>
      <c r="AJ8" s="6"/>
      <c r="AK8" s="72"/>
    </row>
    <row r="13" spans="1:37">
      <c r="K13" s="30"/>
      <c r="L13" s="30"/>
    </row>
  </sheetData>
  <mergeCells count="25">
    <mergeCell ref="A1:AK1"/>
    <mergeCell ref="A2:AK2"/>
    <mergeCell ref="A3:AK3"/>
    <mergeCell ref="A4:AK4"/>
    <mergeCell ref="U6:AA6"/>
    <mergeCell ref="AC6:AK6"/>
    <mergeCell ref="U7:W7"/>
    <mergeCell ref="Y7:AA7"/>
    <mergeCell ref="O6:S6"/>
    <mergeCell ref="A6:M6"/>
    <mergeCell ref="S7:S8"/>
    <mergeCell ref="C7:C8"/>
    <mergeCell ref="E7:E8"/>
    <mergeCell ref="K7:K8"/>
    <mergeCell ref="M7:M8"/>
    <mergeCell ref="I7:I8"/>
    <mergeCell ref="G7:G8"/>
    <mergeCell ref="A7:A8"/>
    <mergeCell ref="O7:O8"/>
    <mergeCell ref="Q7:Q8"/>
    <mergeCell ref="AI7:AI8"/>
    <mergeCell ref="AK7:AK8"/>
    <mergeCell ref="AC7:AC8"/>
    <mergeCell ref="AG7:AG8"/>
    <mergeCell ref="AE7:AE8"/>
  </mergeCells>
  <printOptions horizontalCentered="1"/>
  <pageMargins left="0" right="0" top="0.15" bottom="0" header="0.3" footer="0.3"/>
  <pageSetup paperSize="9" scale="85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"/>
  <sheetViews>
    <sheetView rightToLeft="1" view="pageBreakPreview" topLeftCell="A3" zoomScale="145" zoomScaleNormal="106" zoomScaleSheetLayoutView="145" workbookViewId="0">
      <selection activeCell="K7" sqref="K7:K8"/>
    </sheetView>
  </sheetViews>
  <sheetFormatPr defaultColWidth="9.140625" defaultRowHeight="15.75"/>
  <cols>
    <col min="1" max="1" width="9" style="52" bestFit="1" customWidth="1"/>
    <col min="2" max="2" width="0.7109375" style="52" customWidth="1"/>
    <col min="3" max="3" width="4" style="52" bestFit="1" customWidth="1"/>
    <col min="4" max="4" width="0.7109375" style="52" customWidth="1"/>
    <col min="5" max="5" width="7.85546875" style="52" bestFit="1" customWidth="1"/>
    <col min="6" max="6" width="0.7109375" style="52" customWidth="1"/>
    <col min="7" max="7" width="11.140625" style="52" bestFit="1" customWidth="1"/>
    <col min="8" max="8" width="0.7109375" style="52" customWidth="1"/>
    <col min="9" max="9" width="8.140625" style="52" bestFit="1" customWidth="1"/>
    <col min="10" max="10" width="0.7109375" style="52" customWidth="1"/>
    <col min="11" max="11" width="18.7109375" style="52" bestFit="1" customWidth="1"/>
    <col min="12" max="12" width="0.7109375" style="52" customWidth="1"/>
    <col min="13" max="13" width="10.85546875" style="52" customWidth="1"/>
    <col min="14" max="14" width="0.7109375" style="52" customWidth="1"/>
    <col min="15" max="15" width="9.140625" style="52"/>
    <col min="16" max="16" width="0.7109375" style="52" customWidth="1"/>
    <col min="17" max="17" width="9.140625" style="52"/>
    <col min="18" max="18" width="0.7109375" style="52" customWidth="1"/>
    <col min="19" max="19" width="9.140625" style="52"/>
    <col min="20" max="20" width="0.7109375" style="52" customWidth="1"/>
    <col min="21" max="21" width="9.140625" style="52"/>
    <col min="22" max="22" width="0.7109375" style="52" customWidth="1"/>
    <col min="23" max="23" width="9.140625" style="52"/>
    <col min="24" max="24" width="0.7109375" style="52" customWidth="1"/>
    <col min="25" max="25" width="9.140625" style="52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0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33"/>
    </row>
    <row r="2" spans="1:20" ht="21">
      <c r="A2" s="81" t="s">
        <v>74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33"/>
    </row>
    <row r="3" spans="1:20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33"/>
    </row>
    <row r="4" spans="1:20" ht="25.5" customHeight="1">
      <c r="A4" s="92" t="s">
        <v>46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46"/>
    </row>
    <row r="5" spans="1:20">
      <c r="A5" s="92" t="s">
        <v>45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46"/>
    </row>
    <row r="6" spans="1:20" ht="19.5" customHeight="1" thickBot="1">
      <c r="C6" s="72" t="s">
        <v>114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6"/>
    </row>
    <row r="7" spans="1:20" ht="31.5" customHeight="1">
      <c r="A7" s="76" t="s">
        <v>14</v>
      </c>
      <c r="B7" s="9"/>
      <c r="C7" s="79" t="s">
        <v>3</v>
      </c>
      <c r="D7" s="31"/>
      <c r="E7" s="74" t="s">
        <v>50</v>
      </c>
      <c r="F7" s="8"/>
      <c r="G7" s="74" t="s">
        <v>49</v>
      </c>
      <c r="H7" s="8"/>
      <c r="I7" s="74" t="s">
        <v>47</v>
      </c>
      <c r="J7" s="8"/>
      <c r="K7" s="74" t="s">
        <v>48</v>
      </c>
      <c r="L7" s="8"/>
      <c r="M7" s="74" t="s">
        <v>13</v>
      </c>
      <c r="N7" s="74"/>
      <c r="O7" s="74"/>
      <c r="P7" s="74"/>
      <c r="Q7" s="74"/>
      <c r="R7" s="74"/>
      <c r="S7" s="74"/>
      <c r="T7" s="8"/>
    </row>
    <row r="8" spans="1:20" ht="18" customHeight="1" thickBot="1">
      <c r="A8" s="77"/>
      <c r="B8" s="9"/>
      <c r="C8" s="73"/>
      <c r="D8" s="31"/>
      <c r="E8" s="75"/>
      <c r="F8" s="8"/>
      <c r="G8" s="75"/>
      <c r="H8" s="8"/>
      <c r="I8" s="75"/>
      <c r="J8" s="8"/>
      <c r="K8" s="75"/>
      <c r="L8" s="8"/>
      <c r="M8" s="75"/>
      <c r="N8" s="75"/>
      <c r="O8" s="75"/>
      <c r="P8" s="75"/>
      <c r="Q8" s="75"/>
      <c r="R8" s="75"/>
      <c r="S8" s="75"/>
      <c r="T8" s="8"/>
    </row>
  </sheetData>
  <mergeCells count="13">
    <mergeCell ref="A1:S1"/>
    <mergeCell ref="A2:S2"/>
    <mergeCell ref="A3:S3"/>
    <mergeCell ref="M7:S8"/>
    <mergeCell ref="A4:M4"/>
    <mergeCell ref="G7:G8"/>
    <mergeCell ref="A7:A8"/>
    <mergeCell ref="A5:M5"/>
    <mergeCell ref="E7:E8"/>
    <mergeCell ref="K7:K8"/>
    <mergeCell ref="I7:I8"/>
    <mergeCell ref="C7:C8"/>
    <mergeCell ref="C6:S6"/>
  </mergeCells>
  <printOptions horizontalCentered="1"/>
  <pageMargins left="0" right="0" top="0.15" bottom="0" header="0.3" footer="0.3"/>
  <pageSetup paperSize="9" scale="115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rightToLeft="1" view="pageBreakPreview" zoomScale="90" zoomScaleNormal="124" zoomScaleSheetLayoutView="90" workbookViewId="0">
      <selection activeCell="E11" sqref="E11"/>
    </sheetView>
  </sheetViews>
  <sheetFormatPr defaultColWidth="9.140625" defaultRowHeight="15.75"/>
  <cols>
    <col min="1" max="1" width="11.42578125" style="52" bestFit="1" customWidth="1"/>
    <col min="2" max="2" width="0.7109375" style="52" customWidth="1"/>
    <col min="3" max="3" width="12.42578125" style="52" bestFit="1" customWidth="1"/>
    <col min="4" max="4" width="0.7109375" style="52" customWidth="1"/>
    <col min="5" max="5" width="12.5703125" style="52" bestFit="1" customWidth="1"/>
    <col min="6" max="6" width="0.7109375" style="52" customWidth="1"/>
    <col min="7" max="7" width="12.5703125" style="52" bestFit="1" customWidth="1"/>
    <col min="8" max="8" width="0.7109375" style="52" customWidth="1"/>
    <col min="9" max="9" width="12.5703125" style="52" bestFit="1" customWidth="1"/>
    <col min="10" max="10" width="0.7109375" style="52" customWidth="1"/>
    <col min="11" max="11" width="13.85546875" style="52" bestFit="1" customWidth="1"/>
    <col min="12" max="12" width="0.7109375" style="52" customWidth="1"/>
    <col min="13" max="16384" width="9.140625" style="52"/>
  </cols>
  <sheetData>
    <row r="1" spans="1:12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21">
      <c r="A2" s="81" t="s">
        <v>74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ht="21">
      <c r="A4" s="82" t="s">
        <v>347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ht="16.5" thickBot="1">
      <c r="C5" s="54"/>
      <c r="E5" s="54"/>
      <c r="G5" s="54"/>
      <c r="I5" s="54"/>
      <c r="K5" s="54"/>
    </row>
    <row r="6" spans="1:12" ht="18.75" customHeight="1" thickBot="1">
      <c r="A6" s="6"/>
      <c r="B6" s="6"/>
      <c r="C6" s="27" t="s">
        <v>120</v>
      </c>
      <c r="D6" s="6"/>
      <c r="E6" s="73" t="s">
        <v>11</v>
      </c>
      <c r="F6" s="73"/>
      <c r="G6" s="73"/>
      <c r="H6" s="31"/>
      <c r="I6" s="72" t="s">
        <v>114</v>
      </c>
      <c r="J6" s="72"/>
      <c r="K6" s="72"/>
      <c r="L6" s="6"/>
    </row>
    <row r="7" spans="1:12" ht="24" customHeight="1">
      <c r="A7" s="74" t="s">
        <v>12</v>
      </c>
      <c r="B7" s="8"/>
      <c r="C7" s="76" t="s">
        <v>6</v>
      </c>
      <c r="D7" s="9"/>
      <c r="E7" s="93" t="s">
        <v>52</v>
      </c>
      <c r="F7" s="31"/>
      <c r="G7" s="93" t="s">
        <v>110</v>
      </c>
      <c r="H7" s="31"/>
      <c r="I7" s="80" t="s">
        <v>6</v>
      </c>
      <c r="J7" s="9"/>
      <c r="K7" s="78" t="s">
        <v>28</v>
      </c>
      <c r="L7" s="8"/>
    </row>
    <row r="8" spans="1:12" ht="29.25" customHeight="1" thickBot="1">
      <c r="A8" s="75"/>
      <c r="B8" s="8"/>
      <c r="C8" s="77"/>
      <c r="D8" s="9"/>
      <c r="E8" s="73"/>
      <c r="F8" s="31"/>
      <c r="G8" s="73"/>
      <c r="H8" s="31"/>
      <c r="I8" s="77"/>
      <c r="J8" s="9"/>
      <c r="K8" s="75"/>
      <c r="L8" s="8"/>
    </row>
    <row r="9" spans="1:12">
      <c r="A9" s="48" t="s">
        <v>116</v>
      </c>
      <c r="B9" s="48"/>
      <c r="C9" s="48">
        <v>783711</v>
      </c>
      <c r="D9" s="48"/>
      <c r="E9" s="48">
        <v>3101</v>
      </c>
      <c r="F9" s="48"/>
      <c r="G9" s="48">
        <v>750000</v>
      </c>
      <c r="H9" s="48"/>
      <c r="I9" s="48">
        <v>36812</v>
      </c>
      <c r="J9" s="48"/>
      <c r="K9" s="55">
        <f>I9/4258946404670</f>
        <v>8.6434522772193321E-9</v>
      </c>
      <c r="L9" s="55"/>
    </row>
    <row r="10" spans="1:12">
      <c r="A10" s="48" t="s">
        <v>117</v>
      </c>
      <c r="B10" s="48"/>
      <c r="C10" s="48">
        <v>15886770</v>
      </c>
      <c r="D10" s="48"/>
      <c r="E10" s="48">
        <v>125889</v>
      </c>
      <c r="F10" s="48"/>
      <c r="G10" s="48">
        <v>630000</v>
      </c>
      <c r="H10" s="48"/>
      <c r="I10" s="48">
        <v>15382659</v>
      </c>
      <c r="J10" s="48"/>
      <c r="K10" s="55">
        <f t="shared" ref="K10:K14" si="0">I10/4258946404670</f>
        <v>3.6118461089655128E-6</v>
      </c>
      <c r="L10" s="55"/>
    </row>
    <row r="11" spans="1:12">
      <c r="A11" s="48" t="s">
        <v>337</v>
      </c>
      <c r="B11" s="48"/>
      <c r="C11" s="48">
        <v>8658689</v>
      </c>
      <c r="D11" s="48"/>
      <c r="E11" s="48">
        <v>0</v>
      </c>
      <c r="F11" s="48"/>
      <c r="G11" s="48">
        <v>1260000</v>
      </c>
      <c r="H11" s="48"/>
      <c r="I11" s="48">
        <v>7398689</v>
      </c>
      <c r="J11" s="48"/>
      <c r="K11" s="55">
        <f t="shared" si="0"/>
        <v>1.7372111073967083E-6</v>
      </c>
      <c r="L11" s="55"/>
    </row>
    <row r="12" spans="1:12">
      <c r="A12" s="48" t="s">
        <v>118</v>
      </c>
      <c r="B12" s="48"/>
      <c r="C12" s="48">
        <v>1720092029</v>
      </c>
      <c r="D12" s="48"/>
      <c r="E12" s="48">
        <v>2528900090</v>
      </c>
      <c r="F12" s="48"/>
      <c r="G12" s="48">
        <v>4175760426</v>
      </c>
      <c r="H12" s="48"/>
      <c r="I12" s="48">
        <v>73231693</v>
      </c>
      <c r="J12" s="48"/>
      <c r="K12" s="55">
        <f t="shared" si="0"/>
        <v>1.7194790927563757E-5</v>
      </c>
      <c r="L12" s="55"/>
    </row>
    <row r="13" spans="1:12">
      <c r="A13" s="48" t="s">
        <v>115</v>
      </c>
      <c r="B13" s="48"/>
      <c r="C13" s="48">
        <v>44104960850</v>
      </c>
      <c r="D13" s="48"/>
      <c r="E13" s="48">
        <v>15459321135</v>
      </c>
      <c r="F13" s="48"/>
      <c r="G13" s="48">
        <v>12501960000</v>
      </c>
      <c r="H13" s="48"/>
      <c r="I13" s="48">
        <v>47062321985</v>
      </c>
      <c r="J13" s="48"/>
      <c r="K13" s="55">
        <f t="shared" si="0"/>
        <v>1.1050226397166079E-2</v>
      </c>
      <c r="L13" s="55"/>
    </row>
    <row r="14" spans="1:12">
      <c r="A14" s="48" t="s">
        <v>119</v>
      </c>
      <c r="B14" s="48"/>
      <c r="C14" s="48">
        <v>801177534</v>
      </c>
      <c r="D14" s="48"/>
      <c r="E14" s="48">
        <v>11001466761</v>
      </c>
      <c r="F14" s="48"/>
      <c r="G14" s="48">
        <v>11455778851</v>
      </c>
      <c r="H14" s="48"/>
      <c r="I14" s="48">
        <v>346865444</v>
      </c>
      <c r="J14" s="48"/>
      <c r="K14" s="55">
        <f t="shared" si="0"/>
        <v>8.1443956096666708E-5</v>
      </c>
      <c r="L14" s="55"/>
    </row>
    <row r="15" spans="1:12" ht="16.5" thickBot="1">
      <c r="A15" s="48" t="s">
        <v>2</v>
      </c>
      <c r="B15" s="48"/>
      <c r="C15" s="49">
        <f>SUM(C9:C14)</f>
        <v>46651559583</v>
      </c>
      <c r="D15" s="48"/>
      <c r="E15" s="49">
        <f>SUM(E9:E14)</f>
        <v>28989816976</v>
      </c>
      <c r="F15" s="48"/>
      <c r="G15" s="49">
        <f>SUM(G9:G14)</f>
        <v>28136139277</v>
      </c>
      <c r="H15" s="48"/>
      <c r="I15" s="49">
        <f>SUM(I9:I14)</f>
        <v>47505237282</v>
      </c>
      <c r="J15" s="48"/>
      <c r="K15" s="56">
        <f>SUM(K9:K14)</f>
        <v>1.1154222844858949E-2</v>
      </c>
      <c r="L15" s="55"/>
    </row>
    <row r="16" spans="1:12" ht="16.5" thickTop="1"/>
    <row r="17" spans="9:9">
      <c r="I17" s="66"/>
    </row>
    <row r="19" spans="9:9">
      <c r="I19" s="66"/>
    </row>
  </sheetData>
  <mergeCells count="12">
    <mergeCell ref="A1:L1"/>
    <mergeCell ref="A2:L2"/>
    <mergeCell ref="A3:L3"/>
    <mergeCell ref="K7:K8"/>
    <mergeCell ref="A4:L4"/>
    <mergeCell ref="I6:K6"/>
    <mergeCell ref="I7:I8"/>
    <mergeCell ref="A7:A8"/>
    <mergeCell ref="C7:C8"/>
    <mergeCell ref="E6:G6"/>
    <mergeCell ref="E7:E8"/>
    <mergeCell ref="G7:G8"/>
  </mergeCells>
  <printOptions horizontalCentered="1"/>
  <pageMargins left="0" right="0" top="0.15" bottom="0" header="0.3" footer="0.3"/>
  <pageSetup paperSize="9" scale="11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5"/>
  <sheetViews>
    <sheetView rightToLeft="1" view="pageBreakPreview" zoomScaleNormal="100" zoomScaleSheetLayoutView="100" workbookViewId="0">
      <selection activeCell="C11" sqref="C11"/>
    </sheetView>
  </sheetViews>
  <sheetFormatPr defaultRowHeight="18"/>
  <cols>
    <col min="1" max="1" width="53.5703125" style="45" bestFit="1" customWidth="1"/>
    <col min="2" max="2" width="0.7109375" style="45" customWidth="1"/>
    <col min="3" max="3" width="6.7109375" style="47" bestFit="1" customWidth="1"/>
    <col min="4" max="4" width="0.7109375" style="47" customWidth="1"/>
    <col min="5" max="5" width="12.28515625" style="47" bestFit="1" customWidth="1"/>
    <col min="6" max="6" width="0.7109375" style="47" customWidth="1"/>
    <col min="7" max="7" width="15.140625" style="47" bestFit="1" customWidth="1"/>
    <col min="8" max="8" width="0.7109375" style="47" customWidth="1"/>
    <col min="9" max="9" width="15.7109375" style="47" bestFit="1" customWidth="1"/>
    <col min="10" max="10" width="0.7109375" style="47" customWidth="1"/>
    <col min="11" max="11" width="9.140625" style="47"/>
    <col min="12" max="12" width="0.7109375" style="47" customWidth="1"/>
    <col min="13" max="13" width="9.140625" style="47"/>
    <col min="14" max="14" width="0.7109375" style="47" customWidth="1"/>
    <col min="15" max="15" width="9.140625" style="47"/>
    <col min="16" max="16" width="0.7109375" style="47" customWidth="1"/>
    <col min="17" max="17" width="9.140625" style="47"/>
    <col min="18" max="18" width="0.7109375" style="47" customWidth="1"/>
    <col min="19" max="19" width="9.140625" style="47"/>
    <col min="20" max="20" width="0.7109375" style="47" customWidth="1"/>
    <col min="21" max="21" width="9.140625" style="47"/>
    <col min="22" max="22" width="0.7109375" style="47" customWidth="1"/>
    <col min="23" max="23" width="9.140625" style="47"/>
    <col min="24" max="24" width="0.7109375" style="47" customWidth="1"/>
    <col min="25" max="25" width="9.140625" style="47"/>
    <col min="26" max="26" width="0.7109375" style="47" customWidth="1"/>
    <col min="27" max="27" width="9.140625" style="47"/>
    <col min="28" max="28" width="0.7109375" style="47" customWidth="1"/>
    <col min="29" max="29" width="9.140625" style="47"/>
    <col min="30" max="30" width="0.7109375" style="47" customWidth="1"/>
    <col min="31" max="31" width="9.140625" style="47"/>
    <col min="32" max="32" width="0.7109375" style="47" customWidth="1"/>
    <col min="33" max="33" width="9.140625" style="47"/>
    <col min="34" max="34" width="0.7109375" style="47" customWidth="1"/>
    <col min="35" max="35" width="9.140625" style="47"/>
    <col min="36" max="36" width="0.7109375" style="47" customWidth="1"/>
    <col min="37" max="16384" width="9.140625" style="47"/>
  </cols>
  <sheetData>
    <row r="1" spans="1:37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33"/>
    </row>
    <row r="2" spans="1:37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33"/>
    </row>
    <row r="3" spans="1:37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33"/>
    </row>
    <row r="4" spans="1:37" ht="21">
      <c r="A4" s="82" t="s">
        <v>34</v>
      </c>
      <c r="B4" s="82"/>
      <c r="C4" s="82"/>
      <c r="D4" s="82"/>
      <c r="E4" s="82"/>
      <c r="F4" s="82"/>
      <c r="G4" s="82"/>
      <c r="H4" s="82"/>
      <c r="I4" s="82"/>
      <c r="J4" s="4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</row>
    <row r="5" spans="1:37" ht="18.75" thickBot="1">
      <c r="A5" s="16" t="s">
        <v>53</v>
      </c>
      <c r="B5" s="39"/>
      <c r="C5" s="16" t="s">
        <v>54</v>
      </c>
      <c r="D5" s="39"/>
      <c r="E5" s="16" t="s">
        <v>6</v>
      </c>
      <c r="F5" s="39"/>
      <c r="G5" s="16" t="s">
        <v>23</v>
      </c>
      <c r="H5" s="39"/>
      <c r="I5" s="16" t="s">
        <v>82</v>
      </c>
      <c r="J5" s="39"/>
    </row>
    <row r="6" spans="1:37" ht="21">
      <c r="A6" s="17" t="s">
        <v>69</v>
      </c>
      <c r="B6" s="17"/>
      <c r="C6" s="22" t="s">
        <v>76</v>
      </c>
      <c r="D6" s="22"/>
      <c r="E6" s="48">
        <f>'درآمد سرمایه گذاری در سهام '!S41</f>
        <v>-55575313</v>
      </c>
      <c r="F6" s="48"/>
      <c r="G6" s="55">
        <f>E6/$E$11</f>
        <v>-4.7897335284615976E-2</v>
      </c>
      <c r="H6" s="55"/>
      <c r="I6" s="55">
        <f>E6/4258946404670</f>
        <v>-1.3049075456563815E-5</v>
      </c>
      <c r="J6" s="55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</row>
    <row r="7" spans="1:37" ht="21">
      <c r="A7" s="17" t="s">
        <v>91</v>
      </c>
      <c r="B7" s="17"/>
      <c r="C7" s="22" t="s">
        <v>77</v>
      </c>
      <c r="D7" s="22"/>
      <c r="E7" s="48">
        <v>0</v>
      </c>
      <c r="F7" s="48"/>
      <c r="G7" s="55">
        <f t="shared" ref="G7:G10" si="0">E7/$E$11</f>
        <v>0</v>
      </c>
      <c r="H7" s="55"/>
      <c r="I7" s="55">
        <f t="shared" ref="I7:I10" si="1">E7/4258946404670</f>
        <v>0</v>
      </c>
      <c r="J7" s="55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</row>
    <row r="8" spans="1:37" ht="21">
      <c r="A8" s="17" t="s">
        <v>70</v>
      </c>
      <c r="B8" s="17"/>
      <c r="C8" s="22" t="s">
        <v>78</v>
      </c>
      <c r="D8" s="22"/>
      <c r="E8" s="48">
        <v>0</v>
      </c>
      <c r="F8" s="48"/>
      <c r="G8" s="55">
        <f t="shared" si="0"/>
        <v>0</v>
      </c>
      <c r="H8" s="55"/>
      <c r="I8" s="55">
        <f t="shared" si="1"/>
        <v>0</v>
      </c>
      <c r="J8" s="55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</row>
    <row r="9" spans="1:37" ht="21">
      <c r="A9" s="17" t="s">
        <v>71</v>
      </c>
      <c r="B9" s="17"/>
      <c r="C9" s="22" t="s">
        <v>79</v>
      </c>
      <c r="D9" s="22"/>
      <c r="E9" s="48">
        <f>'درآمد سپرده بانکی'!G13</f>
        <v>1215876041</v>
      </c>
      <c r="F9" s="48"/>
      <c r="G9" s="55">
        <f t="shared" si="0"/>
        <v>1.0478973352846159</v>
      </c>
      <c r="H9" s="55"/>
      <c r="I9" s="55">
        <f t="shared" si="1"/>
        <v>2.854875186188709E-4</v>
      </c>
      <c r="J9" s="5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7" ht="21">
      <c r="A10" s="17" t="s">
        <v>36</v>
      </c>
      <c r="B10" s="17"/>
      <c r="C10" s="22" t="s">
        <v>92</v>
      </c>
      <c r="D10" s="22"/>
      <c r="E10" s="48">
        <v>0</v>
      </c>
      <c r="F10" s="48"/>
      <c r="G10" s="55">
        <f t="shared" si="0"/>
        <v>0</v>
      </c>
      <c r="H10" s="55"/>
      <c r="I10" s="55">
        <f t="shared" si="1"/>
        <v>0</v>
      </c>
      <c r="J10" s="55"/>
      <c r="K10" s="44"/>
      <c r="L10" s="44"/>
      <c r="M10" s="44"/>
      <c r="N10" s="44"/>
    </row>
    <row r="11" spans="1:37" ht="18.75" thickBot="1">
      <c r="A11" s="48" t="s">
        <v>2</v>
      </c>
      <c r="B11" s="48"/>
      <c r="E11" s="49">
        <f>SUM(E6:E10)</f>
        <v>1160300728</v>
      </c>
      <c r="F11" s="48"/>
      <c r="G11" s="56">
        <f>SUM(G6:G10)</f>
        <v>1</v>
      </c>
      <c r="H11" s="55"/>
      <c r="I11" s="56">
        <f>SUM(I6:I10)</f>
        <v>2.724384431623071E-4</v>
      </c>
      <c r="J11" s="55"/>
    </row>
    <row r="12" spans="1:37" ht="18.75" thickTop="1"/>
    <row r="13" spans="1:37">
      <c r="E13" s="67"/>
    </row>
    <row r="15" spans="1:37">
      <c r="E15" s="67"/>
    </row>
  </sheetData>
  <mergeCells count="4">
    <mergeCell ref="A4:I4"/>
    <mergeCell ref="A3:I3"/>
    <mergeCell ref="A2:I2"/>
    <mergeCell ref="A1:I1"/>
  </mergeCells>
  <printOptions horizontalCentered="1"/>
  <pageMargins left="0" right="0" top="0.15" bottom="0" header="0.3" footer="0.3"/>
  <pageSetup paperSize="9" scale="11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2"/>
  <sheetViews>
    <sheetView rightToLeft="1" view="pageBreakPreview" zoomScale="110" zoomScaleNormal="98" zoomScaleSheetLayoutView="110" workbookViewId="0">
      <selection activeCell="G20" sqref="G20"/>
    </sheetView>
  </sheetViews>
  <sheetFormatPr defaultColWidth="9.140625" defaultRowHeight="15.75"/>
  <cols>
    <col min="1" max="1" width="16.85546875" style="52" bestFit="1" customWidth="1"/>
    <col min="2" max="2" width="0.7109375" style="52" customWidth="1"/>
    <col min="3" max="3" width="12" style="52" bestFit="1" customWidth="1"/>
    <col min="4" max="4" width="0.7109375" style="52" customWidth="1"/>
    <col min="5" max="5" width="12.7109375" style="52" bestFit="1" customWidth="1"/>
    <col min="6" max="6" width="0.7109375" style="52" customWidth="1"/>
    <col min="7" max="7" width="9.140625" style="52" bestFit="1" customWidth="1"/>
    <col min="8" max="8" width="0.7109375" style="52" customWidth="1"/>
    <col min="9" max="9" width="10.7109375" style="52" bestFit="1" customWidth="1"/>
    <col min="10" max="10" width="0.7109375" style="52" customWidth="1"/>
    <col min="11" max="11" width="15" style="52" bestFit="1" customWidth="1"/>
    <col min="12" max="12" width="0.7109375" style="52" customWidth="1"/>
    <col min="13" max="13" width="12" style="52" bestFit="1" customWidth="1"/>
    <col min="14" max="14" width="0.7109375" style="52" customWidth="1"/>
    <col min="15" max="15" width="12.7109375" style="52" bestFit="1" customWidth="1"/>
    <col min="16" max="16" width="0.7109375" style="52" customWidth="1"/>
    <col min="17" max="17" width="9.140625" style="52" bestFit="1" customWidth="1"/>
    <col min="18" max="18" width="0.7109375" style="52" customWidth="1"/>
    <col min="19" max="19" width="10.7109375" style="52" bestFit="1" customWidth="1"/>
    <col min="20" max="20" width="0.7109375" style="52" customWidth="1"/>
    <col min="21" max="21" width="15" style="52" bestFit="1" customWidth="1"/>
    <col min="22" max="22" width="0.7109375" style="52" customWidth="1"/>
    <col min="23" max="23" width="9.140625" style="52"/>
    <col min="24" max="24" width="0.7109375" style="52" customWidth="1"/>
    <col min="25" max="25" width="9.140625" style="52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2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33"/>
    </row>
    <row r="2" spans="1:22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33"/>
    </row>
    <row r="3" spans="1:22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33"/>
    </row>
    <row r="5" spans="1:22" ht="21">
      <c r="A5" s="82" t="s">
        <v>35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42"/>
    </row>
    <row r="7" spans="1:22" ht="19.5" customHeight="1" thickBot="1">
      <c r="A7" s="54"/>
      <c r="C7" s="94" t="s">
        <v>109</v>
      </c>
      <c r="D7" s="94"/>
      <c r="E7" s="94"/>
      <c r="F7" s="94"/>
      <c r="G7" s="94"/>
      <c r="H7" s="94"/>
      <c r="I7" s="94"/>
      <c r="J7" s="94"/>
      <c r="K7" s="94"/>
      <c r="L7" s="5"/>
      <c r="M7" s="94" t="s">
        <v>114</v>
      </c>
      <c r="N7" s="94"/>
      <c r="O7" s="94"/>
      <c r="P7" s="94"/>
      <c r="Q7" s="94"/>
      <c r="R7" s="94"/>
      <c r="S7" s="94"/>
      <c r="T7" s="94"/>
      <c r="U7" s="94"/>
      <c r="V7" s="5"/>
    </row>
    <row r="8" spans="1:22" ht="19.5" customHeight="1">
      <c r="A8" s="95" t="s">
        <v>31</v>
      </c>
      <c r="B8" s="34"/>
      <c r="C8" s="97" t="s">
        <v>15</v>
      </c>
      <c r="D8" s="5"/>
      <c r="E8" s="97" t="s">
        <v>16</v>
      </c>
      <c r="F8" s="5"/>
      <c r="G8" s="97" t="s">
        <v>17</v>
      </c>
      <c r="H8" s="5"/>
      <c r="I8" s="97" t="s">
        <v>2</v>
      </c>
      <c r="J8" s="97"/>
      <c r="K8" s="97"/>
      <c r="L8" s="5"/>
      <c r="M8" s="97" t="s">
        <v>15</v>
      </c>
      <c r="N8" s="5"/>
      <c r="O8" s="97" t="s">
        <v>16</v>
      </c>
      <c r="P8" s="5"/>
      <c r="Q8" s="97" t="s">
        <v>17</v>
      </c>
      <c r="R8" s="5"/>
      <c r="S8" s="97" t="s">
        <v>2</v>
      </c>
      <c r="T8" s="97"/>
      <c r="U8" s="97"/>
      <c r="V8" s="5"/>
    </row>
    <row r="9" spans="1:22" ht="18.75" customHeight="1" thickBot="1">
      <c r="A9" s="95"/>
      <c r="B9" s="34"/>
      <c r="C9" s="98"/>
      <c r="D9" s="5"/>
      <c r="E9" s="98"/>
      <c r="F9" s="5"/>
      <c r="G9" s="98"/>
      <c r="H9" s="5"/>
      <c r="I9" s="94"/>
      <c r="J9" s="94"/>
      <c r="K9" s="94"/>
      <c r="L9" s="5"/>
      <c r="M9" s="98"/>
      <c r="N9" s="5"/>
      <c r="O9" s="98"/>
      <c r="P9" s="5"/>
      <c r="Q9" s="98"/>
      <c r="R9" s="5"/>
      <c r="S9" s="94"/>
      <c r="T9" s="94"/>
      <c r="U9" s="94"/>
      <c r="V9" s="5"/>
    </row>
    <row r="10" spans="1:22" ht="28.5" customHeight="1" thickBot="1">
      <c r="A10" s="96"/>
      <c r="B10" s="34"/>
      <c r="C10" s="24"/>
      <c r="D10" s="40"/>
      <c r="E10" s="24"/>
      <c r="F10" s="40"/>
      <c r="G10" s="24"/>
      <c r="H10" s="40"/>
      <c r="I10" s="2" t="s">
        <v>6</v>
      </c>
      <c r="J10" s="5"/>
      <c r="K10" s="2" t="s">
        <v>18</v>
      </c>
      <c r="L10" s="5"/>
      <c r="M10" s="24"/>
      <c r="N10" s="40"/>
      <c r="O10" s="24"/>
      <c r="P10" s="40"/>
      <c r="Q10" s="24"/>
      <c r="R10" s="40"/>
      <c r="S10" s="2" t="s">
        <v>6</v>
      </c>
      <c r="T10" s="5"/>
      <c r="U10" s="2" t="s">
        <v>18</v>
      </c>
      <c r="V10" s="5"/>
    </row>
    <row r="11" spans="1:22">
      <c r="A11" s="48" t="s">
        <v>123</v>
      </c>
      <c r="B11" s="48"/>
      <c r="C11" s="48">
        <v>0</v>
      </c>
      <c r="D11" s="48"/>
      <c r="E11" s="48">
        <v>2063632</v>
      </c>
      <c r="F11" s="48"/>
      <c r="G11" s="48">
        <v>0</v>
      </c>
      <c r="H11" s="48"/>
      <c r="I11" s="48">
        <v>2063632</v>
      </c>
      <c r="J11" s="48"/>
      <c r="K11" s="55">
        <v>1.778532022087984E-3</v>
      </c>
      <c r="L11" s="55"/>
      <c r="M11" s="48">
        <v>0</v>
      </c>
      <c r="N11" s="48"/>
      <c r="O11" s="48">
        <v>2063632</v>
      </c>
      <c r="P11" s="48"/>
      <c r="Q11" s="48">
        <v>0</v>
      </c>
      <c r="R11" s="48"/>
      <c r="S11" s="48">
        <f>M11+O11+Q11</f>
        <v>2063632</v>
      </c>
      <c r="T11" s="48"/>
      <c r="U11" s="55">
        <v>1.778532022087984E-3</v>
      </c>
      <c r="V11" s="55"/>
    </row>
    <row r="12" spans="1:22">
      <c r="A12" s="48" t="s">
        <v>124</v>
      </c>
      <c r="B12" s="48"/>
      <c r="C12" s="48">
        <v>0</v>
      </c>
      <c r="D12" s="48"/>
      <c r="E12" s="48">
        <v>265432</v>
      </c>
      <c r="F12" s="48"/>
      <c r="G12" s="48">
        <v>0</v>
      </c>
      <c r="H12" s="48"/>
      <c r="I12" s="48">
        <v>265432</v>
      </c>
      <c r="J12" s="48"/>
      <c r="K12" s="55">
        <v>2.2876138366087451E-4</v>
      </c>
      <c r="L12" s="55"/>
      <c r="M12" s="48">
        <v>0</v>
      </c>
      <c r="N12" s="48"/>
      <c r="O12" s="48">
        <v>265432</v>
      </c>
      <c r="P12" s="48"/>
      <c r="Q12" s="48">
        <v>0</v>
      </c>
      <c r="R12" s="48"/>
      <c r="S12" s="48">
        <f t="shared" ref="S12:S40" si="0">M12+O12+Q12</f>
        <v>265432</v>
      </c>
      <c r="T12" s="48"/>
      <c r="U12" s="55">
        <v>2.2876138366087451E-4</v>
      </c>
      <c r="V12" s="55"/>
    </row>
    <row r="13" spans="1:22">
      <c r="A13" s="48" t="s">
        <v>125</v>
      </c>
      <c r="B13" s="48"/>
      <c r="C13" s="48">
        <v>0</v>
      </c>
      <c r="D13" s="48"/>
      <c r="E13" s="48">
        <v>1529429</v>
      </c>
      <c r="F13" s="48"/>
      <c r="G13" s="48">
        <v>0</v>
      </c>
      <c r="H13" s="48"/>
      <c r="I13" s="48">
        <v>1529429</v>
      </c>
      <c r="J13" s="48"/>
      <c r="K13" s="55">
        <v>1.3181315525297162E-3</v>
      </c>
      <c r="L13" s="55"/>
      <c r="M13" s="48">
        <v>0</v>
      </c>
      <c r="N13" s="48"/>
      <c r="O13" s="48">
        <v>1529429</v>
      </c>
      <c r="P13" s="48"/>
      <c r="Q13" s="48">
        <v>0</v>
      </c>
      <c r="R13" s="48"/>
      <c r="S13" s="48">
        <f t="shared" si="0"/>
        <v>1529429</v>
      </c>
      <c r="T13" s="48"/>
      <c r="U13" s="55">
        <v>1.3181315525297162E-3</v>
      </c>
      <c r="V13" s="55"/>
    </row>
    <row r="14" spans="1:22">
      <c r="A14" s="48" t="s">
        <v>126</v>
      </c>
      <c r="B14" s="48"/>
      <c r="C14" s="48">
        <v>0</v>
      </c>
      <c r="D14" s="48"/>
      <c r="E14" s="48">
        <v>-2069597</v>
      </c>
      <c r="F14" s="48"/>
      <c r="G14" s="48">
        <v>0</v>
      </c>
      <c r="H14" s="48"/>
      <c r="I14" s="48">
        <v>-2069597</v>
      </c>
      <c r="J14" s="48"/>
      <c r="K14" s="55">
        <v>-1.7836729306956016E-3</v>
      </c>
      <c r="L14" s="55"/>
      <c r="M14" s="48">
        <v>0</v>
      </c>
      <c r="N14" s="48"/>
      <c r="O14" s="48">
        <v>-2069597</v>
      </c>
      <c r="P14" s="48"/>
      <c r="Q14" s="48">
        <v>0</v>
      </c>
      <c r="R14" s="48"/>
      <c r="S14" s="48">
        <f t="shared" si="0"/>
        <v>-2069597</v>
      </c>
      <c r="T14" s="48"/>
      <c r="U14" s="55">
        <v>-1.7836729306956016E-3</v>
      </c>
      <c r="V14" s="55"/>
    </row>
    <row r="15" spans="1:22">
      <c r="A15" s="48" t="s">
        <v>127</v>
      </c>
      <c r="B15" s="48"/>
      <c r="C15" s="48">
        <v>0</v>
      </c>
      <c r="D15" s="48"/>
      <c r="E15" s="48">
        <v>-9706415</v>
      </c>
      <c r="F15" s="48"/>
      <c r="G15" s="48">
        <v>0</v>
      </c>
      <c r="H15" s="48"/>
      <c r="I15" s="48">
        <v>-9706415</v>
      </c>
      <c r="J15" s="48"/>
      <c r="K15" s="55">
        <v>-8.3654304145192263E-3</v>
      </c>
      <c r="L15" s="55"/>
      <c r="M15" s="48">
        <v>0</v>
      </c>
      <c r="N15" s="48"/>
      <c r="O15" s="48">
        <v>-9706415</v>
      </c>
      <c r="P15" s="48"/>
      <c r="Q15" s="48">
        <v>0</v>
      </c>
      <c r="R15" s="48"/>
      <c r="S15" s="48">
        <f t="shared" si="0"/>
        <v>-9706415</v>
      </c>
      <c r="T15" s="48"/>
      <c r="U15" s="55">
        <v>-8.3654304145192263E-3</v>
      </c>
      <c r="V15" s="55"/>
    </row>
    <row r="16" spans="1:22">
      <c r="A16" s="48" t="s">
        <v>128</v>
      </c>
      <c r="B16" s="48"/>
      <c r="C16" s="48">
        <v>0</v>
      </c>
      <c r="D16" s="48"/>
      <c r="E16" s="48">
        <v>-671560</v>
      </c>
      <c r="F16" s="48"/>
      <c r="G16" s="48">
        <v>0</v>
      </c>
      <c r="H16" s="48"/>
      <c r="I16" s="48">
        <v>-671560</v>
      </c>
      <c r="J16" s="48"/>
      <c r="K16" s="55">
        <v>-5.7878098650990413E-4</v>
      </c>
      <c r="L16" s="55"/>
      <c r="M16" s="48">
        <v>0</v>
      </c>
      <c r="N16" s="48"/>
      <c r="O16" s="48">
        <v>-671560</v>
      </c>
      <c r="P16" s="48"/>
      <c r="Q16" s="48">
        <v>0</v>
      </c>
      <c r="R16" s="48"/>
      <c r="S16" s="48">
        <f t="shared" si="0"/>
        <v>-671560</v>
      </c>
      <c r="T16" s="48"/>
      <c r="U16" s="55">
        <v>-5.7878098650990413E-4</v>
      </c>
      <c r="V16" s="55"/>
    </row>
    <row r="17" spans="1:22">
      <c r="A17" s="48" t="s">
        <v>121</v>
      </c>
      <c r="B17" s="48"/>
      <c r="C17" s="48">
        <v>0</v>
      </c>
      <c r="D17" s="48"/>
      <c r="E17" s="48">
        <v>-6181331</v>
      </c>
      <c r="F17" s="48"/>
      <c r="G17" s="48">
        <v>-1218</v>
      </c>
      <c r="H17" s="48"/>
      <c r="I17" s="48">
        <v>-6182549</v>
      </c>
      <c r="J17" s="48"/>
      <c r="K17" s="55">
        <v>-5.3284022415954219E-3</v>
      </c>
      <c r="L17" s="55"/>
      <c r="M17" s="48">
        <v>0</v>
      </c>
      <c r="N17" s="48"/>
      <c r="O17" s="48">
        <v>-6181331</v>
      </c>
      <c r="P17" s="48"/>
      <c r="Q17" s="48">
        <v>-1218</v>
      </c>
      <c r="R17" s="48"/>
      <c r="S17" s="48">
        <f t="shared" si="0"/>
        <v>-6182549</v>
      </c>
      <c r="T17" s="48"/>
      <c r="U17" s="55">
        <v>-5.3284022415954219E-3</v>
      </c>
      <c r="V17" s="55"/>
    </row>
    <row r="18" spans="1:22">
      <c r="A18" s="48" t="s">
        <v>129</v>
      </c>
      <c r="B18" s="48"/>
      <c r="C18" s="48">
        <v>0</v>
      </c>
      <c r="D18" s="48"/>
      <c r="E18" s="48">
        <v>2257169</v>
      </c>
      <c r="F18" s="48"/>
      <c r="G18" s="48">
        <v>0</v>
      </c>
      <c r="H18" s="48"/>
      <c r="I18" s="48">
        <v>2257169</v>
      </c>
      <c r="J18" s="48"/>
      <c r="K18" s="55">
        <v>1.9453310211143813E-3</v>
      </c>
      <c r="L18" s="55"/>
      <c r="M18" s="48">
        <v>0</v>
      </c>
      <c r="N18" s="48"/>
      <c r="O18" s="48">
        <v>2257169</v>
      </c>
      <c r="P18" s="48"/>
      <c r="Q18" s="48">
        <v>0</v>
      </c>
      <c r="R18" s="48"/>
      <c r="S18" s="48">
        <f t="shared" si="0"/>
        <v>2257169</v>
      </c>
      <c r="T18" s="48"/>
      <c r="U18" s="55">
        <v>1.9453310211143813E-3</v>
      </c>
      <c r="V18" s="55"/>
    </row>
    <row r="19" spans="1:22">
      <c r="A19" s="48" t="s">
        <v>130</v>
      </c>
      <c r="B19" s="48"/>
      <c r="C19" s="48">
        <v>0</v>
      </c>
      <c r="D19" s="48"/>
      <c r="E19" s="48">
        <v>-9576790</v>
      </c>
      <c r="F19" s="48"/>
      <c r="G19" s="48">
        <v>0</v>
      </c>
      <c r="H19" s="48"/>
      <c r="I19" s="48">
        <v>-9576790</v>
      </c>
      <c r="J19" s="48"/>
      <c r="K19" s="55">
        <v>-8.2537136872329886E-3</v>
      </c>
      <c r="L19" s="55"/>
      <c r="M19" s="48">
        <v>0</v>
      </c>
      <c r="N19" s="48"/>
      <c r="O19" s="48">
        <v>-9576790</v>
      </c>
      <c r="P19" s="48"/>
      <c r="Q19" s="48">
        <v>0</v>
      </c>
      <c r="R19" s="48"/>
      <c r="S19" s="48">
        <f t="shared" si="0"/>
        <v>-9576790</v>
      </c>
      <c r="T19" s="48"/>
      <c r="U19" s="55">
        <v>-8.2537136872329886E-3</v>
      </c>
      <c r="V19" s="55"/>
    </row>
    <row r="20" spans="1:22">
      <c r="A20" s="48" t="s">
        <v>131</v>
      </c>
      <c r="B20" s="48"/>
      <c r="C20" s="48">
        <v>0</v>
      </c>
      <c r="D20" s="48"/>
      <c r="E20" s="48">
        <v>-1990319</v>
      </c>
      <c r="F20" s="48"/>
      <c r="G20" s="48">
        <v>0</v>
      </c>
      <c r="H20" s="48"/>
      <c r="I20" s="48">
        <v>-1990319</v>
      </c>
      <c r="J20" s="48"/>
      <c r="K20" s="55">
        <v>-1.7153475404869348E-3</v>
      </c>
      <c r="L20" s="55"/>
      <c r="M20" s="48">
        <v>0</v>
      </c>
      <c r="N20" s="48"/>
      <c r="O20" s="48">
        <v>-1990319</v>
      </c>
      <c r="P20" s="48"/>
      <c r="Q20" s="48">
        <v>0</v>
      </c>
      <c r="R20" s="48"/>
      <c r="S20" s="48">
        <f t="shared" si="0"/>
        <v>-1990319</v>
      </c>
      <c r="T20" s="48"/>
      <c r="U20" s="55">
        <v>-1.7153475404869348E-3</v>
      </c>
      <c r="V20" s="55"/>
    </row>
    <row r="21" spans="1:22">
      <c r="A21" s="48" t="s">
        <v>132</v>
      </c>
      <c r="B21" s="48"/>
      <c r="C21" s="48">
        <v>0</v>
      </c>
      <c r="D21" s="48"/>
      <c r="E21" s="48">
        <v>773732386</v>
      </c>
      <c r="F21" s="48"/>
      <c r="G21" s="48">
        <v>0</v>
      </c>
      <c r="H21" s="48"/>
      <c r="I21" s="48">
        <v>773732386</v>
      </c>
      <c r="J21" s="48"/>
      <c r="K21" s="55">
        <v>0.66683780103600865</v>
      </c>
      <c r="L21" s="55"/>
      <c r="M21" s="48">
        <v>0</v>
      </c>
      <c r="N21" s="48"/>
      <c r="O21" s="48">
        <v>773732386</v>
      </c>
      <c r="P21" s="48"/>
      <c r="Q21" s="48">
        <v>0</v>
      </c>
      <c r="R21" s="48"/>
      <c r="S21" s="48">
        <f t="shared" si="0"/>
        <v>773732386</v>
      </c>
      <c r="T21" s="48"/>
      <c r="U21" s="55">
        <v>0.66683780103600865</v>
      </c>
      <c r="V21" s="55"/>
    </row>
    <row r="22" spans="1:22">
      <c r="A22" s="48" t="s">
        <v>133</v>
      </c>
      <c r="B22" s="48"/>
      <c r="C22" s="48">
        <v>0</v>
      </c>
      <c r="D22" s="48"/>
      <c r="E22" s="48">
        <v>-264482</v>
      </c>
      <c r="F22" s="48"/>
      <c r="G22" s="48">
        <v>0</v>
      </c>
      <c r="H22" s="48"/>
      <c r="I22" s="48">
        <v>-264482</v>
      </c>
      <c r="J22" s="48"/>
      <c r="K22" s="55">
        <v>-2.2794263040400333E-4</v>
      </c>
      <c r="L22" s="55"/>
      <c r="M22" s="48">
        <v>0</v>
      </c>
      <c r="N22" s="48"/>
      <c r="O22" s="48">
        <v>-264482</v>
      </c>
      <c r="P22" s="48"/>
      <c r="Q22" s="48">
        <v>0</v>
      </c>
      <c r="R22" s="48"/>
      <c r="S22" s="48">
        <f t="shared" si="0"/>
        <v>-264482</v>
      </c>
      <c r="T22" s="48"/>
      <c r="U22" s="55">
        <v>-2.2794263040400333E-4</v>
      </c>
      <c r="V22" s="55"/>
    </row>
    <row r="23" spans="1:22">
      <c r="A23" s="48" t="s">
        <v>134</v>
      </c>
      <c r="B23" s="48"/>
      <c r="C23" s="48">
        <v>324518880</v>
      </c>
      <c r="D23" s="48"/>
      <c r="E23" s="48">
        <v>-322010349</v>
      </c>
      <c r="F23" s="48"/>
      <c r="G23" s="48">
        <v>0</v>
      </c>
      <c r="H23" s="48"/>
      <c r="I23" s="48">
        <v>2508531</v>
      </c>
      <c r="J23" s="48"/>
      <c r="K23" s="55">
        <v>2.1619662381182269E-3</v>
      </c>
      <c r="L23" s="55"/>
      <c r="M23" s="48">
        <v>324518880</v>
      </c>
      <c r="N23" s="48"/>
      <c r="O23" s="48">
        <v>-322010349</v>
      </c>
      <c r="P23" s="48"/>
      <c r="Q23" s="48">
        <v>0</v>
      </c>
      <c r="R23" s="48"/>
      <c r="S23" s="48">
        <f t="shared" si="0"/>
        <v>2508531</v>
      </c>
      <c r="T23" s="48"/>
      <c r="U23" s="55">
        <v>2.1619662381182269E-3</v>
      </c>
      <c r="V23" s="55"/>
    </row>
    <row r="24" spans="1:22">
      <c r="A24" s="48" t="s">
        <v>135</v>
      </c>
      <c r="B24" s="48"/>
      <c r="C24" s="48">
        <v>0</v>
      </c>
      <c r="D24" s="48"/>
      <c r="E24" s="48">
        <v>-2515249</v>
      </c>
      <c r="F24" s="48"/>
      <c r="G24" s="48">
        <v>0</v>
      </c>
      <c r="H24" s="48"/>
      <c r="I24" s="48">
        <v>-2515249</v>
      </c>
      <c r="J24" s="48"/>
      <c r="K24" s="55">
        <v>-2.1677561164126064E-3</v>
      </c>
      <c r="L24" s="55"/>
      <c r="M24" s="48">
        <v>0</v>
      </c>
      <c r="N24" s="48"/>
      <c r="O24" s="48">
        <v>-2515249</v>
      </c>
      <c r="P24" s="48"/>
      <c r="Q24" s="48">
        <v>0</v>
      </c>
      <c r="R24" s="48"/>
      <c r="S24" s="48">
        <f t="shared" si="0"/>
        <v>-2515249</v>
      </c>
      <c r="T24" s="48"/>
      <c r="U24" s="55">
        <v>-2.1677561164126064E-3</v>
      </c>
      <c r="V24" s="55"/>
    </row>
    <row r="25" spans="1:22">
      <c r="A25" s="48" t="s">
        <v>136</v>
      </c>
      <c r="B25" s="48"/>
      <c r="C25" s="48">
        <v>4876820845</v>
      </c>
      <c r="D25" s="48"/>
      <c r="E25" s="48">
        <v>-5693085352</v>
      </c>
      <c r="F25" s="48"/>
      <c r="G25" s="48">
        <v>0</v>
      </c>
      <c r="H25" s="48"/>
      <c r="I25" s="48">
        <v>-816264507</v>
      </c>
      <c r="J25" s="48"/>
      <c r="K25" s="55">
        <v>-0.70349391955220764</v>
      </c>
      <c r="L25" s="55"/>
      <c r="M25" s="48">
        <v>4876820845</v>
      </c>
      <c r="N25" s="48"/>
      <c r="O25" s="48">
        <v>-5693085352</v>
      </c>
      <c r="P25" s="48"/>
      <c r="Q25" s="48">
        <v>0</v>
      </c>
      <c r="R25" s="48"/>
      <c r="S25" s="48">
        <f t="shared" si="0"/>
        <v>-816264507</v>
      </c>
      <c r="T25" s="48"/>
      <c r="U25" s="55">
        <v>-0.70349391955220764</v>
      </c>
      <c r="V25" s="55"/>
    </row>
    <row r="26" spans="1:22">
      <c r="A26" s="48" t="s">
        <v>137</v>
      </c>
      <c r="B26" s="48"/>
      <c r="C26" s="48">
        <v>0</v>
      </c>
      <c r="D26" s="48"/>
      <c r="E26" s="48">
        <v>-8660</v>
      </c>
      <c r="F26" s="48"/>
      <c r="G26" s="48">
        <v>0</v>
      </c>
      <c r="H26" s="48"/>
      <c r="I26" s="48">
        <v>-8660</v>
      </c>
      <c r="J26" s="48"/>
      <c r="K26" s="55">
        <v>-7.4635823205309578E-6</v>
      </c>
      <c r="L26" s="55"/>
      <c r="M26" s="48">
        <v>0</v>
      </c>
      <c r="N26" s="48"/>
      <c r="O26" s="48">
        <v>-8660</v>
      </c>
      <c r="P26" s="48"/>
      <c r="Q26" s="48">
        <v>0</v>
      </c>
      <c r="R26" s="48"/>
      <c r="S26" s="48">
        <f t="shared" si="0"/>
        <v>-8660</v>
      </c>
      <c r="T26" s="48"/>
      <c r="U26" s="55">
        <v>-7.4635823205309578E-6</v>
      </c>
      <c r="V26" s="55"/>
    </row>
    <row r="27" spans="1:22">
      <c r="A27" s="48" t="s">
        <v>138</v>
      </c>
      <c r="B27" s="48"/>
      <c r="C27" s="48">
        <v>0</v>
      </c>
      <c r="D27" s="48"/>
      <c r="E27" s="48">
        <v>-609997</v>
      </c>
      <c r="F27" s="48"/>
      <c r="G27" s="48">
        <v>0</v>
      </c>
      <c r="H27" s="48"/>
      <c r="I27" s="48">
        <v>-609997</v>
      </c>
      <c r="J27" s="48"/>
      <c r="K27" s="55">
        <v>-5.2572318992805112E-4</v>
      </c>
      <c r="L27" s="55"/>
      <c r="M27" s="48">
        <v>0</v>
      </c>
      <c r="N27" s="48"/>
      <c r="O27" s="48">
        <v>-609997</v>
      </c>
      <c r="P27" s="48"/>
      <c r="Q27" s="48">
        <v>0</v>
      </c>
      <c r="R27" s="48"/>
      <c r="S27" s="48">
        <f t="shared" si="0"/>
        <v>-609997</v>
      </c>
      <c r="T27" s="48"/>
      <c r="U27" s="55">
        <v>-5.2572318992805112E-4</v>
      </c>
      <c r="V27" s="55"/>
    </row>
    <row r="28" spans="1:22">
      <c r="A28" s="48" t="s">
        <v>139</v>
      </c>
      <c r="B28" s="48"/>
      <c r="C28" s="48">
        <v>0</v>
      </c>
      <c r="D28" s="48"/>
      <c r="E28" s="48">
        <v>4218716</v>
      </c>
      <c r="F28" s="48"/>
      <c r="G28" s="48">
        <v>0</v>
      </c>
      <c r="H28" s="48"/>
      <c r="I28" s="48">
        <v>4218716</v>
      </c>
      <c r="J28" s="48"/>
      <c r="K28" s="55">
        <v>3.6358815419100556E-3</v>
      </c>
      <c r="L28" s="55"/>
      <c r="M28" s="48">
        <v>0</v>
      </c>
      <c r="N28" s="48"/>
      <c r="O28" s="48">
        <v>4218716</v>
      </c>
      <c r="P28" s="48"/>
      <c r="Q28" s="48">
        <v>0</v>
      </c>
      <c r="R28" s="48"/>
      <c r="S28" s="48">
        <f t="shared" si="0"/>
        <v>4218716</v>
      </c>
      <c r="T28" s="48"/>
      <c r="U28" s="55">
        <v>3.6358815419100556E-3</v>
      </c>
      <c r="V28" s="55"/>
    </row>
    <row r="29" spans="1:22">
      <c r="A29" s="48" t="s">
        <v>140</v>
      </c>
      <c r="B29" s="48"/>
      <c r="C29" s="48">
        <v>0</v>
      </c>
      <c r="D29" s="48"/>
      <c r="E29" s="48">
        <v>-441333</v>
      </c>
      <c r="F29" s="48"/>
      <c r="G29" s="48">
        <v>0</v>
      </c>
      <c r="H29" s="48"/>
      <c r="I29" s="48">
        <v>-441333</v>
      </c>
      <c r="J29" s="48"/>
      <c r="K29" s="55">
        <v>-3.8036087485760845E-4</v>
      </c>
      <c r="L29" s="55"/>
      <c r="M29" s="48">
        <v>0</v>
      </c>
      <c r="N29" s="48"/>
      <c r="O29" s="48">
        <v>-441333</v>
      </c>
      <c r="P29" s="48"/>
      <c r="Q29" s="48">
        <v>0</v>
      </c>
      <c r="R29" s="48"/>
      <c r="S29" s="48">
        <f t="shared" si="0"/>
        <v>-441333</v>
      </c>
      <c r="T29" s="48"/>
      <c r="U29" s="55">
        <v>-3.8036087485760845E-4</v>
      </c>
      <c r="V29" s="55"/>
    </row>
    <row r="30" spans="1:22">
      <c r="A30" s="48" t="s">
        <v>141</v>
      </c>
      <c r="B30" s="48"/>
      <c r="C30" s="48">
        <v>0</v>
      </c>
      <c r="D30" s="48"/>
      <c r="E30" s="48">
        <v>-2428480</v>
      </c>
      <c r="F30" s="48"/>
      <c r="G30" s="48">
        <v>0</v>
      </c>
      <c r="H30" s="48"/>
      <c r="I30" s="48">
        <v>-2428480</v>
      </c>
      <c r="J30" s="48"/>
      <c r="K30" s="55">
        <v>-2.0929746413121272E-3</v>
      </c>
      <c r="L30" s="55"/>
      <c r="M30" s="48">
        <v>0</v>
      </c>
      <c r="N30" s="48"/>
      <c r="O30" s="48">
        <v>-2428480</v>
      </c>
      <c r="P30" s="48"/>
      <c r="Q30" s="48">
        <v>0</v>
      </c>
      <c r="R30" s="48"/>
      <c r="S30" s="48">
        <f t="shared" si="0"/>
        <v>-2428480</v>
      </c>
      <c r="T30" s="48"/>
      <c r="U30" s="55">
        <v>-2.0929746413121272E-3</v>
      </c>
      <c r="V30" s="55"/>
    </row>
    <row r="31" spans="1:22">
      <c r="A31" s="48" t="s">
        <v>142</v>
      </c>
      <c r="B31" s="48"/>
      <c r="C31" s="48">
        <v>0</v>
      </c>
      <c r="D31" s="48"/>
      <c r="E31" s="48">
        <v>-350584</v>
      </c>
      <c r="F31" s="48"/>
      <c r="G31" s="48">
        <v>0</v>
      </c>
      <c r="H31" s="48"/>
      <c r="I31" s="48">
        <v>-350584</v>
      </c>
      <c r="J31" s="48"/>
      <c r="K31" s="55">
        <v>-3.0214925453360571E-4</v>
      </c>
      <c r="L31" s="55"/>
      <c r="M31" s="48">
        <v>0</v>
      </c>
      <c r="N31" s="48"/>
      <c r="O31" s="48">
        <v>-350584</v>
      </c>
      <c r="P31" s="48"/>
      <c r="Q31" s="48">
        <v>0</v>
      </c>
      <c r="R31" s="48"/>
      <c r="S31" s="48">
        <f t="shared" si="0"/>
        <v>-350584</v>
      </c>
      <c r="T31" s="48"/>
      <c r="U31" s="55">
        <v>-3.0214925453360571E-4</v>
      </c>
      <c r="V31" s="55"/>
    </row>
    <row r="32" spans="1:22">
      <c r="A32" s="48" t="s">
        <v>143</v>
      </c>
      <c r="B32" s="48"/>
      <c r="C32" s="48">
        <v>1143000000</v>
      </c>
      <c r="D32" s="48"/>
      <c r="E32" s="48">
        <v>-1134164610</v>
      </c>
      <c r="F32" s="48"/>
      <c r="G32" s="48">
        <v>0</v>
      </c>
      <c r="H32" s="48"/>
      <c r="I32" s="48">
        <v>8835390</v>
      </c>
      <c r="J32" s="48"/>
      <c r="K32" s="55">
        <v>7.6147414086600489E-3</v>
      </c>
      <c r="L32" s="55"/>
      <c r="M32" s="48">
        <v>1143000000</v>
      </c>
      <c r="N32" s="48"/>
      <c r="O32" s="48">
        <v>-1134164610</v>
      </c>
      <c r="P32" s="48"/>
      <c r="Q32" s="48">
        <v>0</v>
      </c>
      <c r="R32" s="48"/>
      <c r="S32" s="48">
        <f t="shared" si="0"/>
        <v>8835390</v>
      </c>
      <c r="T32" s="48"/>
      <c r="U32" s="55">
        <v>7.6147414086600489E-3</v>
      </c>
      <c r="V32" s="55"/>
    </row>
    <row r="33" spans="1:22">
      <c r="A33" s="48" t="s">
        <v>144</v>
      </c>
      <c r="B33" s="48"/>
      <c r="C33" s="48">
        <v>0</v>
      </c>
      <c r="D33" s="48"/>
      <c r="E33" s="48">
        <v>6144866</v>
      </c>
      <c r="F33" s="48"/>
      <c r="G33" s="48">
        <v>0</v>
      </c>
      <c r="H33" s="48"/>
      <c r="I33" s="48">
        <v>6144866</v>
      </c>
      <c r="J33" s="48"/>
      <c r="K33" s="55">
        <v>5.2959253163547097E-3</v>
      </c>
      <c r="L33" s="55"/>
      <c r="M33" s="48">
        <v>0</v>
      </c>
      <c r="N33" s="48"/>
      <c r="O33" s="48">
        <v>6144866</v>
      </c>
      <c r="P33" s="48"/>
      <c r="Q33" s="48">
        <v>0</v>
      </c>
      <c r="R33" s="48"/>
      <c r="S33" s="48">
        <f t="shared" si="0"/>
        <v>6144866</v>
      </c>
      <c r="T33" s="48"/>
      <c r="U33" s="55">
        <v>5.2959253163547097E-3</v>
      </c>
      <c r="V33" s="55"/>
    </row>
    <row r="34" spans="1:22">
      <c r="A34" s="48" t="s">
        <v>145</v>
      </c>
      <c r="B34" s="48"/>
      <c r="C34" s="48">
        <v>0</v>
      </c>
      <c r="D34" s="48"/>
      <c r="E34" s="48">
        <v>0</v>
      </c>
      <c r="F34" s="48"/>
      <c r="G34" s="48">
        <v>0</v>
      </c>
      <c r="H34" s="48"/>
      <c r="I34" s="48">
        <v>0</v>
      </c>
      <c r="J34" s="48"/>
      <c r="K34" s="55">
        <v>0</v>
      </c>
      <c r="L34" s="55"/>
      <c r="M34" s="48">
        <v>0</v>
      </c>
      <c r="N34" s="48"/>
      <c r="O34" s="48">
        <v>0</v>
      </c>
      <c r="P34" s="48"/>
      <c r="Q34" s="48">
        <v>0</v>
      </c>
      <c r="R34" s="48"/>
      <c r="S34" s="48">
        <f t="shared" si="0"/>
        <v>0</v>
      </c>
      <c r="T34" s="48"/>
      <c r="U34" s="55">
        <v>0</v>
      </c>
      <c r="V34" s="55"/>
    </row>
    <row r="35" spans="1:22">
      <c r="A35" s="48" t="s">
        <v>122</v>
      </c>
      <c r="B35" s="48"/>
      <c r="C35" s="48">
        <v>0</v>
      </c>
      <c r="D35" s="48"/>
      <c r="E35" s="48">
        <v>5206524</v>
      </c>
      <c r="F35" s="48"/>
      <c r="G35" s="48">
        <v>-1100</v>
      </c>
      <c r="H35" s="48"/>
      <c r="I35" s="48">
        <v>5205424</v>
      </c>
      <c r="J35" s="48"/>
      <c r="K35" s="55">
        <v>4.4862714246267366E-3</v>
      </c>
      <c r="L35" s="55"/>
      <c r="M35" s="48">
        <v>0</v>
      </c>
      <c r="N35" s="48"/>
      <c r="O35" s="48">
        <v>5206524</v>
      </c>
      <c r="P35" s="48"/>
      <c r="Q35" s="48">
        <v>-1100</v>
      </c>
      <c r="R35" s="48"/>
      <c r="S35" s="48">
        <f t="shared" si="0"/>
        <v>5205424</v>
      </c>
      <c r="T35" s="48"/>
      <c r="U35" s="55">
        <v>4.4862714246267366E-3</v>
      </c>
      <c r="V35" s="55"/>
    </row>
    <row r="36" spans="1:22">
      <c r="A36" s="48" t="s">
        <v>146</v>
      </c>
      <c r="B36" s="48"/>
      <c r="C36" s="48">
        <v>0</v>
      </c>
      <c r="D36" s="48"/>
      <c r="E36" s="48">
        <v>1660491</v>
      </c>
      <c r="F36" s="48"/>
      <c r="G36" s="48">
        <v>0</v>
      </c>
      <c r="H36" s="48"/>
      <c r="I36" s="48">
        <v>1660491</v>
      </c>
      <c r="J36" s="48"/>
      <c r="K36" s="55">
        <v>1.431086751847664E-3</v>
      </c>
      <c r="L36" s="55"/>
      <c r="M36" s="48">
        <v>0</v>
      </c>
      <c r="N36" s="48"/>
      <c r="O36" s="48">
        <v>1660491</v>
      </c>
      <c r="P36" s="48"/>
      <c r="Q36" s="48">
        <v>0</v>
      </c>
      <c r="R36" s="48"/>
      <c r="S36" s="48">
        <f t="shared" si="0"/>
        <v>1660491</v>
      </c>
      <c r="T36" s="48"/>
      <c r="U36" s="55">
        <v>1.431086751847664E-3</v>
      </c>
      <c r="V36" s="55"/>
    </row>
    <row r="37" spans="1:22">
      <c r="A37" s="48" t="s">
        <v>147</v>
      </c>
      <c r="B37" s="48"/>
      <c r="C37" s="48">
        <v>0</v>
      </c>
      <c r="D37" s="48"/>
      <c r="E37" s="48">
        <v>-6183336</v>
      </c>
      <c r="F37" s="48"/>
      <c r="G37" s="48">
        <v>0</v>
      </c>
      <c r="H37" s="48"/>
      <c r="I37" s="48">
        <v>-6183336</v>
      </c>
      <c r="J37" s="48"/>
      <c r="K37" s="55">
        <v>-5.3290805140303243E-3</v>
      </c>
      <c r="L37" s="55"/>
      <c r="M37" s="48">
        <v>0</v>
      </c>
      <c r="N37" s="48"/>
      <c r="O37" s="48">
        <v>-6183336</v>
      </c>
      <c r="P37" s="48"/>
      <c r="Q37" s="48">
        <v>0</v>
      </c>
      <c r="R37" s="48"/>
      <c r="S37" s="48">
        <f t="shared" si="0"/>
        <v>-6183336</v>
      </c>
      <c r="T37" s="48"/>
      <c r="U37" s="55">
        <v>-5.3290805140303243E-3</v>
      </c>
      <c r="V37" s="55"/>
    </row>
    <row r="38" spans="1:22">
      <c r="A38" s="48" t="s">
        <v>148</v>
      </c>
      <c r="B38" s="48"/>
      <c r="C38" s="48">
        <v>0</v>
      </c>
      <c r="D38" s="48"/>
      <c r="E38" s="48">
        <v>-2759894</v>
      </c>
      <c r="F38" s="48"/>
      <c r="G38" s="48">
        <v>0</v>
      </c>
      <c r="H38" s="48"/>
      <c r="I38" s="48">
        <v>-2759894</v>
      </c>
      <c r="J38" s="48"/>
      <c r="K38" s="55">
        <v>-2.3786023169676059E-3</v>
      </c>
      <c r="L38" s="55"/>
      <c r="M38" s="48">
        <v>0</v>
      </c>
      <c r="N38" s="48"/>
      <c r="O38" s="48">
        <v>-2759894</v>
      </c>
      <c r="P38" s="48"/>
      <c r="Q38" s="48">
        <v>0</v>
      </c>
      <c r="R38" s="48"/>
      <c r="S38" s="48">
        <f t="shared" si="0"/>
        <v>-2759894</v>
      </c>
      <c r="T38" s="48"/>
      <c r="U38" s="55">
        <v>-2.3786023169676059E-3</v>
      </c>
      <c r="V38" s="55"/>
    </row>
    <row r="39" spans="1:22">
      <c r="A39" s="48" t="s">
        <v>149</v>
      </c>
      <c r="B39" s="48"/>
      <c r="C39" s="48">
        <v>0</v>
      </c>
      <c r="D39" s="48"/>
      <c r="E39" s="48">
        <v>-2002148</v>
      </c>
      <c r="F39" s="48"/>
      <c r="G39" s="48">
        <v>0</v>
      </c>
      <c r="H39" s="48"/>
      <c r="I39" s="48">
        <v>-2002148</v>
      </c>
      <c r="J39" s="48"/>
      <c r="K39" s="55">
        <v>-1.7255423113032814E-3</v>
      </c>
      <c r="L39" s="55"/>
      <c r="M39" s="48">
        <v>0</v>
      </c>
      <c r="N39" s="48"/>
      <c r="O39" s="48">
        <v>-2002148</v>
      </c>
      <c r="P39" s="48"/>
      <c r="Q39" s="48">
        <v>0</v>
      </c>
      <c r="R39" s="48"/>
      <c r="S39" s="48">
        <f t="shared" si="0"/>
        <v>-2002148</v>
      </c>
      <c r="T39" s="48"/>
      <c r="U39" s="55">
        <v>-1.7255423113032814E-3</v>
      </c>
      <c r="V39" s="55"/>
    </row>
    <row r="40" spans="1:22">
      <c r="A40" s="48" t="s">
        <v>150</v>
      </c>
      <c r="B40" s="48"/>
      <c r="C40" s="48">
        <v>0</v>
      </c>
      <c r="D40" s="48"/>
      <c r="E40" s="48">
        <v>29121</v>
      </c>
      <c r="F40" s="48"/>
      <c r="G40" s="48">
        <v>0</v>
      </c>
      <c r="H40" s="48"/>
      <c r="I40" s="48">
        <v>29121</v>
      </c>
      <c r="J40" s="48"/>
      <c r="K40" s="55">
        <v>2.5097803782469057E-5</v>
      </c>
      <c r="L40" s="55"/>
      <c r="M40" s="48">
        <v>0</v>
      </c>
      <c r="N40" s="48"/>
      <c r="O40" s="48">
        <v>29121</v>
      </c>
      <c r="P40" s="48"/>
      <c r="Q40" s="48">
        <v>0</v>
      </c>
      <c r="R40" s="48"/>
      <c r="S40" s="48">
        <f t="shared" si="0"/>
        <v>29121</v>
      </c>
      <c r="T40" s="48"/>
      <c r="U40" s="55">
        <v>2.5097803782469057E-5</v>
      </c>
      <c r="V40" s="55"/>
    </row>
    <row r="41" spans="1:22" ht="16.5" thickBot="1">
      <c r="A41" s="48" t="s">
        <v>2</v>
      </c>
      <c r="B41" s="48"/>
      <c r="C41" s="49">
        <f t="shared" ref="C41:U41" si="1">SUM(C11:C40)</f>
        <v>6344339725</v>
      </c>
      <c r="D41" s="48"/>
      <c r="E41" s="49">
        <f t="shared" si="1"/>
        <v>-6399912720</v>
      </c>
      <c r="F41" s="48"/>
      <c r="G41" s="49">
        <f t="shared" si="1"/>
        <v>-2318</v>
      </c>
      <c r="H41" s="48"/>
      <c r="I41" s="49">
        <f t="shared" si="1"/>
        <v>-55575313</v>
      </c>
      <c r="J41" s="48"/>
      <c r="K41" s="56">
        <f t="shared" si="1"/>
        <v>-4.78973352846159E-2</v>
      </c>
      <c r="L41" s="55"/>
      <c r="M41" s="49">
        <f t="shared" si="1"/>
        <v>6344339725</v>
      </c>
      <c r="N41" s="48"/>
      <c r="O41" s="49">
        <f t="shared" si="1"/>
        <v>-6399912720</v>
      </c>
      <c r="P41" s="48"/>
      <c r="Q41" s="49">
        <f t="shared" si="1"/>
        <v>-2318</v>
      </c>
      <c r="R41" s="48"/>
      <c r="S41" s="49">
        <f t="shared" si="1"/>
        <v>-55575313</v>
      </c>
      <c r="T41" s="48"/>
      <c r="U41" s="56">
        <f t="shared" si="1"/>
        <v>-4.78973352846159E-2</v>
      </c>
      <c r="V41" s="55"/>
    </row>
    <row r="42" spans="1:22" ht="16.5" thickTop="1"/>
  </sheetData>
  <mergeCells count="15">
    <mergeCell ref="M7:U7"/>
    <mergeCell ref="C7:K7"/>
    <mergeCell ref="A8:A10"/>
    <mergeCell ref="A1:U1"/>
    <mergeCell ref="A2:U2"/>
    <mergeCell ref="A3:U3"/>
    <mergeCell ref="C8:C9"/>
    <mergeCell ref="E8:E9"/>
    <mergeCell ref="G8:G9"/>
    <mergeCell ref="M8:M9"/>
    <mergeCell ref="O8:O9"/>
    <mergeCell ref="Q8:Q9"/>
    <mergeCell ref="I8:K9"/>
    <mergeCell ref="S8:U9"/>
    <mergeCell ref="A5:U5"/>
  </mergeCells>
  <printOptions horizontalCentered="1"/>
  <pageMargins left="0" right="0" top="0.15" bottom="0" header="0.3" footer="0.3"/>
  <pageSetup paperSize="9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"/>
  <sheetViews>
    <sheetView rightToLeft="1" view="pageBreakPreview" zoomScale="110" zoomScaleNormal="142" zoomScaleSheetLayoutView="110" workbookViewId="0">
      <selection activeCell="U15" sqref="U15"/>
    </sheetView>
  </sheetViews>
  <sheetFormatPr defaultColWidth="9.140625" defaultRowHeight="15.75"/>
  <cols>
    <col min="1" max="1" width="5" style="52" bestFit="1" customWidth="1"/>
    <col min="2" max="2" width="0.7109375" style="52" customWidth="1"/>
    <col min="3" max="3" width="13.28515625" style="52" bestFit="1" customWidth="1"/>
    <col min="4" max="4" width="0.7109375" style="52" customWidth="1"/>
    <col min="5" max="5" width="12.5703125" style="52" bestFit="1" customWidth="1"/>
    <col min="6" max="6" width="0.7109375" style="52" customWidth="1"/>
    <col min="7" max="7" width="9" style="52" bestFit="1" customWidth="1"/>
    <col min="8" max="8" width="0.7109375" style="52" customWidth="1"/>
    <col min="9" max="9" width="4" style="52" bestFit="1" customWidth="1"/>
    <col min="10" max="10" width="0.7109375" style="52" customWidth="1"/>
    <col min="11" max="11" width="14.85546875" style="52" bestFit="1" customWidth="1"/>
    <col min="12" max="12" width="0.7109375" style="52" customWidth="1"/>
    <col min="13" max="13" width="13.28515625" style="52" bestFit="1" customWidth="1"/>
    <col min="14" max="14" width="0.7109375" style="52" customWidth="1"/>
    <col min="15" max="15" width="12.5703125" style="52" bestFit="1" customWidth="1"/>
    <col min="16" max="16" width="0.7109375" style="52" customWidth="1"/>
    <col min="17" max="17" width="9" style="52" bestFit="1" customWidth="1"/>
    <col min="18" max="18" width="0.7109375" style="52" customWidth="1"/>
    <col min="19" max="19" width="4" style="52" bestFit="1" customWidth="1"/>
    <col min="20" max="20" width="0.7109375" style="52" customWidth="1"/>
    <col min="21" max="21" width="14.85546875" style="52" bestFit="1" customWidth="1"/>
    <col min="22" max="22" width="0.7109375" style="52" customWidth="1"/>
    <col min="23" max="23" width="9.140625" style="52"/>
    <col min="24" max="24" width="0.7109375" style="52" customWidth="1"/>
    <col min="25" max="25" width="9.140625" style="52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2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33"/>
    </row>
    <row r="2" spans="1:22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33"/>
    </row>
    <row r="3" spans="1:22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33"/>
    </row>
    <row r="5" spans="1:22" ht="21">
      <c r="A5" s="82" t="s">
        <v>94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42"/>
    </row>
    <row r="7" spans="1:22" ht="19.5" customHeight="1" thickBot="1">
      <c r="A7" s="54"/>
      <c r="C7" s="94" t="s">
        <v>109</v>
      </c>
      <c r="D7" s="94"/>
      <c r="E7" s="94"/>
      <c r="F7" s="94"/>
      <c r="G7" s="94"/>
      <c r="H7" s="94"/>
      <c r="I7" s="94"/>
      <c r="J7" s="94"/>
      <c r="K7" s="94"/>
      <c r="L7" s="5"/>
      <c r="M7" s="94" t="s">
        <v>114</v>
      </c>
      <c r="N7" s="94"/>
      <c r="O7" s="94"/>
      <c r="P7" s="94"/>
      <c r="Q7" s="94"/>
      <c r="R7" s="94"/>
      <c r="S7" s="94"/>
      <c r="T7" s="94"/>
      <c r="U7" s="94"/>
      <c r="V7" s="5"/>
    </row>
    <row r="8" spans="1:22" ht="19.5" customHeight="1">
      <c r="A8" s="95" t="s">
        <v>89</v>
      </c>
      <c r="B8" s="34"/>
      <c r="C8" s="97" t="s">
        <v>95</v>
      </c>
      <c r="D8" s="5"/>
      <c r="E8" s="97" t="s">
        <v>16</v>
      </c>
      <c r="F8" s="5"/>
      <c r="G8" s="97" t="s">
        <v>17</v>
      </c>
      <c r="H8" s="5"/>
      <c r="I8" s="97" t="s">
        <v>2</v>
      </c>
      <c r="J8" s="97"/>
      <c r="K8" s="97"/>
      <c r="L8" s="5"/>
      <c r="M8" s="97" t="s">
        <v>95</v>
      </c>
      <c r="N8" s="5"/>
      <c r="O8" s="97" t="s">
        <v>16</v>
      </c>
      <c r="P8" s="5"/>
      <c r="Q8" s="97" t="s">
        <v>17</v>
      </c>
      <c r="R8" s="5"/>
      <c r="S8" s="97" t="s">
        <v>2</v>
      </c>
      <c r="T8" s="97"/>
      <c r="U8" s="97"/>
      <c r="V8" s="5"/>
    </row>
    <row r="9" spans="1:22" ht="18.75" customHeight="1" thickBot="1">
      <c r="A9" s="95"/>
      <c r="B9" s="34"/>
      <c r="C9" s="98"/>
      <c r="D9" s="5"/>
      <c r="E9" s="98"/>
      <c r="F9" s="5"/>
      <c r="G9" s="98"/>
      <c r="H9" s="5"/>
      <c r="I9" s="94"/>
      <c r="J9" s="94"/>
      <c r="K9" s="94"/>
      <c r="L9" s="5"/>
      <c r="M9" s="98"/>
      <c r="N9" s="5"/>
      <c r="O9" s="98"/>
      <c r="P9" s="5"/>
      <c r="Q9" s="98"/>
      <c r="R9" s="5"/>
      <c r="S9" s="94"/>
      <c r="T9" s="94"/>
      <c r="U9" s="94"/>
      <c r="V9" s="5"/>
    </row>
    <row r="10" spans="1:22" ht="28.5" customHeight="1" thickBot="1">
      <c r="A10" s="96"/>
      <c r="B10" s="34"/>
      <c r="C10" s="24"/>
      <c r="D10" s="40"/>
      <c r="E10" s="24"/>
      <c r="F10" s="40"/>
      <c r="G10" s="24"/>
      <c r="H10" s="40"/>
      <c r="I10" s="2" t="s">
        <v>6</v>
      </c>
      <c r="J10" s="5"/>
      <c r="K10" s="2" t="s">
        <v>18</v>
      </c>
      <c r="L10" s="5"/>
      <c r="M10" s="24"/>
      <c r="N10" s="40"/>
      <c r="O10" s="24"/>
      <c r="P10" s="40"/>
      <c r="Q10" s="24"/>
      <c r="R10" s="40"/>
      <c r="S10" s="2" t="s">
        <v>6</v>
      </c>
      <c r="T10" s="5"/>
      <c r="U10" s="2" t="s">
        <v>18</v>
      </c>
      <c r="V10" s="5"/>
    </row>
  </sheetData>
  <mergeCells count="15">
    <mergeCell ref="A1:U1"/>
    <mergeCell ref="A2:U2"/>
    <mergeCell ref="A3:U3"/>
    <mergeCell ref="A5:U5"/>
    <mergeCell ref="C7:K7"/>
    <mergeCell ref="M7:U7"/>
    <mergeCell ref="M8:M9"/>
    <mergeCell ref="O8:O9"/>
    <mergeCell ref="Q8:Q9"/>
    <mergeCell ref="S8:U9"/>
    <mergeCell ref="A8:A10"/>
    <mergeCell ref="C8:C9"/>
    <mergeCell ref="E8:E9"/>
    <mergeCell ref="G8:G9"/>
    <mergeCell ref="I8:K9"/>
  </mergeCells>
  <printOptions horizontalCentered="1"/>
  <pageMargins left="0" right="0" top="0.75" bottom="0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9"/>
  <sheetViews>
    <sheetView rightToLeft="1" view="pageBreakPreview" zoomScale="90" zoomScaleNormal="95" zoomScaleSheetLayoutView="90" workbookViewId="0">
      <selection activeCell="M14" sqref="M14"/>
    </sheetView>
  </sheetViews>
  <sheetFormatPr defaultColWidth="9.140625" defaultRowHeight="18"/>
  <cols>
    <col min="1" max="1" width="22.5703125" style="47" customWidth="1"/>
    <col min="2" max="2" width="0.7109375" style="47" customWidth="1"/>
    <col min="3" max="3" width="11.85546875" style="47" bestFit="1" customWidth="1"/>
    <col min="4" max="4" width="0.7109375" style="47" customWidth="1"/>
    <col min="5" max="5" width="16.7109375" style="47" bestFit="1" customWidth="1"/>
    <col min="6" max="6" width="0.7109375" style="47" customWidth="1"/>
    <col min="7" max="7" width="9" style="47" bestFit="1" customWidth="1"/>
    <col min="8" max="8" width="0.7109375" style="47" customWidth="1"/>
    <col min="9" max="9" width="4" style="47" bestFit="1" customWidth="1"/>
    <col min="10" max="10" width="0.7109375" style="47" customWidth="1"/>
    <col min="11" max="11" width="11.85546875" style="47" bestFit="1" customWidth="1"/>
    <col min="12" max="12" width="0.7109375" style="47" customWidth="1"/>
    <col min="13" max="13" width="16.7109375" style="47" bestFit="1" customWidth="1"/>
    <col min="14" max="14" width="0.7109375" style="47" customWidth="1"/>
    <col min="15" max="15" width="9" style="47" bestFit="1" customWidth="1"/>
    <col min="16" max="16" width="0.7109375" style="47" customWidth="1"/>
    <col min="17" max="17" width="4" style="47" bestFit="1" customWidth="1"/>
    <col min="18" max="19" width="0.7109375" style="47" customWidth="1"/>
    <col min="20" max="20" width="9.140625" style="47"/>
    <col min="21" max="21" width="0.7109375" style="47" customWidth="1"/>
    <col min="22" max="22" width="9.140625" style="47"/>
    <col min="23" max="23" width="0.7109375" style="47" customWidth="1"/>
    <col min="24" max="24" width="9.140625" style="47"/>
    <col min="25" max="25" width="0.7109375" style="47" customWidth="1"/>
    <col min="26" max="26" width="9.140625" style="47"/>
    <col min="27" max="27" width="0.7109375" style="47" customWidth="1"/>
    <col min="28" max="28" width="9.140625" style="47"/>
    <col min="29" max="29" width="0.7109375" style="47" customWidth="1"/>
    <col min="30" max="30" width="9.140625" style="47"/>
    <col min="31" max="31" width="0.7109375" style="47" customWidth="1"/>
    <col min="32" max="16384" width="9.140625" style="47"/>
  </cols>
  <sheetData>
    <row r="1" spans="1:18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33"/>
    </row>
    <row r="2" spans="1:18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33"/>
    </row>
    <row r="3" spans="1:18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33"/>
    </row>
    <row r="4" spans="1:18" ht="21">
      <c r="A4" s="82" t="s">
        <v>93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42"/>
    </row>
    <row r="6" spans="1:18" ht="19.5" customHeight="1" thickBot="1">
      <c r="A6" s="4"/>
      <c r="B6" s="37"/>
      <c r="C6" s="4"/>
      <c r="D6" s="37"/>
      <c r="E6" s="94" t="s">
        <v>109</v>
      </c>
      <c r="F6" s="94"/>
      <c r="G6" s="94"/>
      <c r="H6" s="94"/>
      <c r="I6" s="94"/>
      <c r="J6" s="5"/>
      <c r="K6" s="11"/>
      <c r="L6" s="5"/>
      <c r="M6" s="94" t="s">
        <v>114</v>
      </c>
      <c r="N6" s="94"/>
      <c r="O6" s="94"/>
      <c r="P6" s="94"/>
      <c r="Q6" s="94"/>
      <c r="R6" s="5"/>
    </row>
    <row r="7" spans="1:18" ht="20.25" customHeight="1">
      <c r="A7" s="99"/>
      <c r="B7" s="3"/>
      <c r="C7" s="97" t="s">
        <v>19</v>
      </c>
      <c r="D7" s="5"/>
      <c r="E7" s="97" t="s">
        <v>111</v>
      </c>
      <c r="F7" s="5"/>
      <c r="G7" s="97" t="s">
        <v>17</v>
      </c>
      <c r="H7" s="5"/>
      <c r="I7" s="97" t="s">
        <v>2</v>
      </c>
      <c r="J7" s="5"/>
      <c r="K7" s="97" t="s">
        <v>19</v>
      </c>
      <c r="L7" s="5"/>
      <c r="M7" s="97" t="s">
        <v>111</v>
      </c>
      <c r="N7" s="5"/>
      <c r="O7" s="97" t="s">
        <v>17</v>
      </c>
      <c r="P7" s="5"/>
      <c r="Q7" s="97" t="s">
        <v>2</v>
      </c>
      <c r="R7" s="5"/>
    </row>
    <row r="8" spans="1:18" ht="20.25" customHeight="1">
      <c r="A8" s="100"/>
      <c r="B8" s="3"/>
      <c r="C8" s="98"/>
      <c r="D8" s="5"/>
      <c r="E8" s="98"/>
      <c r="F8" s="5"/>
      <c r="G8" s="98"/>
      <c r="H8" s="5"/>
      <c r="I8" s="98"/>
      <c r="J8" s="5"/>
      <c r="K8" s="98"/>
      <c r="L8" s="5"/>
      <c r="M8" s="98"/>
      <c r="N8" s="5"/>
      <c r="O8" s="98"/>
      <c r="P8" s="5"/>
      <c r="Q8" s="98"/>
      <c r="R8" s="5"/>
    </row>
    <row r="9" spans="1:18" ht="18.75" thickBot="1">
      <c r="A9" s="100"/>
      <c r="B9" s="3"/>
      <c r="C9" s="23"/>
      <c r="D9" s="1"/>
      <c r="E9" s="23"/>
      <c r="F9" s="1"/>
      <c r="G9" s="23"/>
      <c r="H9" s="1"/>
      <c r="I9" s="94"/>
      <c r="J9" s="5"/>
      <c r="K9" s="23"/>
      <c r="L9" s="1"/>
      <c r="M9" s="23"/>
      <c r="N9" s="1"/>
      <c r="O9" s="23"/>
      <c r="P9" s="1"/>
      <c r="Q9" s="94"/>
      <c r="R9" s="5"/>
    </row>
  </sheetData>
  <mergeCells count="15">
    <mergeCell ref="Q7:Q9"/>
    <mergeCell ref="I7:I9"/>
    <mergeCell ref="C7:C8"/>
    <mergeCell ref="K7:K8"/>
    <mergeCell ref="A1:Q1"/>
    <mergeCell ref="A2:Q2"/>
    <mergeCell ref="A3:Q3"/>
    <mergeCell ref="E7:E8"/>
    <mergeCell ref="G7:G8"/>
    <mergeCell ref="M7:M8"/>
    <mergeCell ref="O7:O8"/>
    <mergeCell ref="A4:Q4"/>
    <mergeCell ref="E6:I6"/>
    <mergeCell ref="M6:Q6"/>
    <mergeCell ref="A7:A9"/>
  </mergeCells>
  <printOptions horizontalCentered="1"/>
  <pageMargins left="0" right="0" top="0.15" bottom="0" header="0.3" footer="0.3"/>
  <pageSetup paperSize="9" scale="11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"/>
  <sheetViews>
    <sheetView rightToLeft="1" view="pageBreakPreview" zoomScaleNormal="154" zoomScaleSheetLayoutView="100" workbookViewId="0">
      <selection activeCell="C10" sqref="C10"/>
    </sheetView>
  </sheetViews>
  <sheetFormatPr defaultColWidth="9.140625" defaultRowHeight="15.75"/>
  <cols>
    <col min="1" max="1" width="11.28515625" style="52" bestFit="1" customWidth="1"/>
    <col min="2" max="2" width="0.7109375" style="52" customWidth="1"/>
    <col min="3" max="3" width="23.28515625" style="52" bestFit="1" customWidth="1"/>
    <col min="4" max="4" width="0.7109375" style="52" customWidth="1"/>
    <col min="5" max="5" width="10.85546875" style="52" bestFit="1" customWidth="1"/>
    <col min="6" max="6" width="0.7109375" style="52" customWidth="1"/>
    <col min="7" max="7" width="18.85546875" style="52" bestFit="1" customWidth="1"/>
    <col min="8" max="8" width="0.7109375" style="52" customWidth="1"/>
    <col min="9" max="9" width="10" style="52" bestFit="1" customWidth="1"/>
    <col min="10" max="10" width="0.7109375" style="52" customWidth="1"/>
    <col min="11" max="11" width="9.140625" style="52"/>
    <col min="12" max="12" width="0.7109375" style="52" customWidth="1"/>
    <col min="13" max="13" width="9.140625" style="52"/>
    <col min="14" max="14" width="0.7109375" style="52" customWidth="1"/>
    <col min="15" max="15" width="9.140625" style="52"/>
    <col min="16" max="16" width="0.7109375" style="52" customWidth="1"/>
    <col min="17" max="17" width="9.140625" style="52"/>
    <col min="18" max="18" width="0.7109375" style="52" customWidth="1"/>
    <col min="19" max="19" width="9.140625" style="52"/>
    <col min="20" max="20" width="0.7109375" style="52" customWidth="1"/>
    <col min="21" max="21" width="9.140625" style="52"/>
    <col min="22" max="22" width="0.7109375" style="52" customWidth="1"/>
    <col min="23" max="23" width="9.140625" style="52"/>
    <col min="24" max="24" width="0.7109375" style="52" customWidth="1"/>
    <col min="25" max="25" width="9.140625" style="52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12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33"/>
    </row>
    <row r="2" spans="1:12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33"/>
    </row>
    <row r="3" spans="1:12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33"/>
    </row>
    <row r="4" spans="1:12" ht="21">
      <c r="A4" s="82" t="s">
        <v>345</v>
      </c>
      <c r="B4" s="82"/>
      <c r="C4" s="82"/>
      <c r="D4" s="82"/>
      <c r="E4" s="82"/>
      <c r="F4" s="82"/>
      <c r="G4" s="82"/>
      <c r="H4" s="82"/>
      <c r="I4" s="82"/>
      <c r="J4" s="42"/>
    </row>
    <row r="5" spans="1:12" ht="16.5" thickBot="1">
      <c r="A5" s="54"/>
      <c r="C5" s="54"/>
      <c r="E5" s="54"/>
      <c r="G5" s="54"/>
      <c r="I5" s="54"/>
    </row>
    <row r="6" spans="1:12" ht="37.5" customHeight="1" thickBot="1">
      <c r="A6" s="2" t="s">
        <v>24</v>
      </c>
      <c r="B6" s="5"/>
      <c r="C6" s="101" t="s">
        <v>109</v>
      </c>
      <c r="D6" s="101"/>
      <c r="E6" s="101"/>
      <c r="F6" s="30"/>
      <c r="G6" s="102" t="s">
        <v>114</v>
      </c>
      <c r="H6" s="102"/>
      <c r="I6" s="102"/>
      <c r="J6" s="5"/>
      <c r="K6" s="1"/>
      <c r="L6" s="1"/>
    </row>
    <row r="7" spans="1:12" ht="59.25" customHeight="1">
      <c r="A7" s="14" t="s">
        <v>20</v>
      </c>
      <c r="B7" s="5"/>
      <c r="C7" s="5" t="s">
        <v>21</v>
      </c>
      <c r="D7" s="5"/>
      <c r="E7" s="5" t="s">
        <v>22</v>
      </c>
      <c r="F7" s="5"/>
      <c r="G7" s="5" t="s">
        <v>21</v>
      </c>
      <c r="H7" s="5"/>
      <c r="I7" s="5" t="s">
        <v>22</v>
      </c>
      <c r="J7" s="5"/>
      <c r="K7" s="3"/>
      <c r="L7" s="3"/>
    </row>
    <row r="8" spans="1:12">
      <c r="A8" s="48" t="s">
        <v>115</v>
      </c>
      <c r="B8" s="48"/>
      <c r="C8" s="48">
        <v>1207470200</v>
      </c>
      <c r="D8" s="48"/>
      <c r="E8" s="55">
        <f>C8/C13</f>
        <v>0.99308659705714197</v>
      </c>
      <c r="F8" s="55"/>
      <c r="G8" s="48">
        <v>1207470200</v>
      </c>
      <c r="H8" s="48"/>
      <c r="I8" s="55">
        <f>G8/G13</f>
        <v>0.99308659705714197</v>
      </c>
      <c r="J8" s="55"/>
    </row>
    <row r="9" spans="1:12">
      <c r="A9" s="48" t="s">
        <v>116</v>
      </c>
      <c r="B9" s="48"/>
      <c r="C9" s="48">
        <v>3101</v>
      </c>
      <c r="D9" s="48"/>
      <c r="E9" s="55">
        <f>C9/C13</f>
        <v>2.5504244638701621E-6</v>
      </c>
      <c r="F9" s="55"/>
      <c r="G9" s="48">
        <v>3101</v>
      </c>
      <c r="H9" s="48"/>
      <c r="I9" s="55">
        <f>G9/G13</f>
        <v>2.5504244638701621E-6</v>
      </c>
      <c r="J9" s="55"/>
    </row>
    <row r="10" spans="1:12">
      <c r="A10" s="48" t="s">
        <v>117</v>
      </c>
      <c r="B10" s="48"/>
      <c r="C10" s="48">
        <v>125889</v>
      </c>
      <c r="D10" s="48"/>
      <c r="E10" s="55">
        <f>C10/C13</f>
        <v>1.0353769278689158E-4</v>
      </c>
      <c r="F10" s="55"/>
      <c r="G10" s="48">
        <v>125889</v>
      </c>
      <c r="H10" s="48"/>
      <c r="I10" s="55">
        <f>G10/G13</f>
        <v>1.0353769278689158E-4</v>
      </c>
      <c r="J10" s="55"/>
    </row>
    <row r="11" spans="1:12">
      <c r="A11" s="48" t="s">
        <v>118</v>
      </c>
      <c r="B11" s="48"/>
      <c r="C11" s="48">
        <v>6810090</v>
      </c>
      <c r="D11" s="48"/>
      <c r="E11" s="55">
        <f>C11/C13</f>
        <v>5.6009739236238471E-3</v>
      </c>
      <c r="F11" s="55"/>
      <c r="G11" s="48">
        <v>6810090</v>
      </c>
      <c r="H11" s="48"/>
      <c r="I11" s="55">
        <f>G11/G13</f>
        <v>5.6009739236238471E-3</v>
      </c>
      <c r="J11" s="55"/>
    </row>
    <row r="12" spans="1:12">
      <c r="A12" s="48" t="s">
        <v>119</v>
      </c>
      <c r="B12" s="48"/>
      <c r="C12" s="48">
        <v>1466761</v>
      </c>
      <c r="D12" s="48"/>
      <c r="E12" s="55">
        <f>C12/C13</f>
        <v>1.2063409019834449E-3</v>
      </c>
      <c r="F12" s="55"/>
      <c r="G12" s="48">
        <v>1466761</v>
      </c>
      <c r="H12" s="48"/>
      <c r="I12" s="55">
        <f>G12/G13</f>
        <v>1.2063409019834449E-3</v>
      </c>
      <c r="J12" s="55"/>
    </row>
    <row r="13" spans="1:12" ht="16.5" thickBot="1">
      <c r="A13" s="48" t="s">
        <v>2</v>
      </c>
      <c r="B13" s="48"/>
      <c r="C13" s="49">
        <f>SUM(C8:C12)</f>
        <v>1215876041</v>
      </c>
      <c r="D13" s="48"/>
      <c r="E13" s="56">
        <f>SUM(E8:E12)</f>
        <v>1</v>
      </c>
      <c r="F13" s="55"/>
      <c r="G13" s="49">
        <f>SUM(G8:G12)</f>
        <v>1215876041</v>
      </c>
      <c r="H13" s="48"/>
      <c r="I13" s="56">
        <f>SUM(I8:I12)</f>
        <v>1</v>
      </c>
      <c r="J13" s="55"/>
    </row>
    <row r="14" spans="1:12" ht="16.5" thickTop="1"/>
  </sheetData>
  <mergeCells count="6">
    <mergeCell ref="C6:E6"/>
    <mergeCell ref="A4:I4"/>
    <mergeCell ref="G6:I6"/>
    <mergeCell ref="A1:I1"/>
    <mergeCell ref="A2:I2"/>
    <mergeCell ref="A3:I3"/>
  </mergeCells>
  <printOptions horizontalCentered="1"/>
  <pageMargins left="0" right="0" top="0.15" bottom="0" header="0.3" footer="0.3"/>
  <pageSetup paperSize="9" scale="12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rightToLeft="1" view="pageBreakPreview" zoomScaleNormal="124" zoomScaleSheetLayoutView="100" workbookViewId="0">
      <selection activeCell="C6" sqref="C6:C7"/>
    </sheetView>
  </sheetViews>
  <sheetFormatPr defaultRowHeight="18"/>
  <cols>
    <col min="1" max="1" width="8.28515625" style="47" bestFit="1" customWidth="1"/>
    <col min="2" max="2" width="0.7109375" style="47" customWidth="1"/>
    <col min="3" max="3" width="6.5703125" style="47" bestFit="1" customWidth="1"/>
    <col min="4" max="4" width="0.7109375" style="47" customWidth="1"/>
    <col min="5" max="5" width="8.85546875" style="47" bestFit="1" customWidth="1"/>
    <col min="6" max="6" width="0.7109375" style="47" customWidth="1"/>
    <col min="7" max="7" width="9.140625" style="47"/>
    <col min="8" max="8" width="0.7109375" style="47" customWidth="1"/>
    <col min="9" max="9" width="9.140625" style="47"/>
    <col min="10" max="10" width="0.7109375" style="47" customWidth="1"/>
    <col min="11" max="11" width="9.140625" style="47"/>
    <col min="12" max="12" width="0.7109375" style="47" customWidth="1"/>
    <col min="13" max="13" width="9.140625" style="47"/>
    <col min="14" max="14" width="0.7109375" style="47" customWidth="1"/>
    <col min="15" max="15" width="9.140625" style="47"/>
    <col min="16" max="16" width="0.7109375" style="47" customWidth="1"/>
    <col min="17" max="17" width="9.140625" style="47"/>
    <col min="18" max="18" width="0.7109375" style="47" customWidth="1"/>
    <col min="19" max="19" width="9.140625" style="47"/>
    <col min="20" max="20" width="0.7109375" style="47" customWidth="1"/>
    <col min="21" max="21" width="9.140625" style="47"/>
    <col min="22" max="22" width="0.7109375" style="47" customWidth="1"/>
    <col min="23" max="23" width="9.140625" style="47"/>
    <col min="24" max="24" width="0.7109375" style="47" customWidth="1"/>
    <col min="25" max="25" width="9.140625" style="47"/>
    <col min="26" max="26" width="0.7109375" style="47" customWidth="1"/>
    <col min="27" max="27" width="9.140625" style="47"/>
    <col min="28" max="28" width="0.7109375" style="47" customWidth="1"/>
    <col min="29" max="29" width="9.140625" style="47"/>
    <col min="30" max="30" width="0.7109375" style="47" customWidth="1"/>
    <col min="31" max="31" width="9.140625" style="47"/>
    <col min="32" max="32" width="0.7109375" style="47" customWidth="1"/>
    <col min="33" max="33" width="9.140625" style="47"/>
    <col min="34" max="34" width="0.7109375" style="47" customWidth="1"/>
    <col min="35" max="35" width="9.140625" style="47"/>
    <col min="36" max="36" width="0.7109375" style="47" customWidth="1"/>
    <col min="37" max="16384" width="9.140625" style="47"/>
  </cols>
  <sheetData>
    <row r="1" spans="1:6">
      <c r="A1" s="103" t="s">
        <v>112</v>
      </c>
      <c r="B1" s="103"/>
      <c r="C1" s="103"/>
      <c r="D1" s="103"/>
      <c r="E1" s="103"/>
      <c r="F1" s="39"/>
    </row>
    <row r="2" spans="1:6">
      <c r="A2" s="103" t="s">
        <v>80</v>
      </c>
      <c r="B2" s="103"/>
      <c r="C2" s="103"/>
      <c r="D2" s="103"/>
      <c r="E2" s="103"/>
      <c r="F2" s="39"/>
    </row>
    <row r="3" spans="1:6">
      <c r="A3" s="103" t="s">
        <v>113</v>
      </c>
      <c r="B3" s="103"/>
      <c r="C3" s="103"/>
      <c r="D3" s="103"/>
      <c r="E3" s="103"/>
      <c r="F3" s="39"/>
    </row>
    <row r="4" spans="1:6" ht="21">
      <c r="A4" s="82" t="s">
        <v>346</v>
      </c>
      <c r="B4" s="82"/>
      <c r="C4" s="82"/>
      <c r="D4" s="82"/>
      <c r="E4" s="82"/>
      <c r="F4" s="42"/>
    </row>
    <row r="5" spans="1:6" ht="18.75" thickBot="1">
      <c r="A5" s="4"/>
      <c r="B5" s="37"/>
      <c r="C5" s="11" t="s">
        <v>109</v>
      </c>
      <c r="D5" s="5"/>
      <c r="E5" s="11" t="s">
        <v>114</v>
      </c>
      <c r="F5" s="5"/>
    </row>
    <row r="6" spans="1:6" ht="16.5" customHeight="1">
      <c r="A6" s="99" t="s">
        <v>36</v>
      </c>
      <c r="B6" s="3"/>
      <c r="C6" s="97" t="s">
        <v>6</v>
      </c>
      <c r="D6" s="5"/>
      <c r="E6" s="97" t="s">
        <v>6</v>
      </c>
      <c r="F6" s="5"/>
    </row>
    <row r="7" spans="1:6" ht="18.75" thickBot="1">
      <c r="A7" s="100"/>
      <c r="B7" s="3"/>
      <c r="C7" s="94"/>
      <c r="D7" s="5"/>
      <c r="E7" s="94"/>
      <c r="F7" s="5"/>
    </row>
  </sheetData>
  <mergeCells count="7">
    <mergeCell ref="A1:E1"/>
    <mergeCell ref="A2:E2"/>
    <mergeCell ref="A3:E3"/>
    <mergeCell ref="E6:E7"/>
    <mergeCell ref="C6:C7"/>
    <mergeCell ref="A4:E4"/>
    <mergeCell ref="A6:A7"/>
  </mergeCells>
  <printOptions horizontalCentered="1"/>
  <pageMargins left="0" right="0" top="0.15" bottom="0" header="0.3" footer="0.3"/>
  <pageSetup paperSize="9" scale="110"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2"/>
  <sheetViews>
    <sheetView rightToLeft="1" view="pageBreakPreview" zoomScale="98" zoomScaleNormal="118" zoomScaleSheetLayoutView="98" workbookViewId="0">
      <selection activeCell="A6" sqref="A6"/>
    </sheetView>
  </sheetViews>
  <sheetFormatPr defaultColWidth="9.140625" defaultRowHeight="15.75"/>
  <cols>
    <col min="1" max="1" width="16.85546875" style="52" bestFit="1" customWidth="1"/>
    <col min="2" max="2" width="0.7109375" style="52" customWidth="1"/>
    <col min="3" max="3" width="12.28515625" style="52" bestFit="1" customWidth="1"/>
    <col min="4" max="4" width="0.7109375" style="52" customWidth="1"/>
    <col min="5" max="5" width="12.85546875" style="52" customWidth="1"/>
    <col min="6" max="6" width="0.7109375" style="52" customWidth="1"/>
    <col min="7" max="7" width="14" style="52" bestFit="1" customWidth="1"/>
    <col min="8" max="8" width="0.7109375" style="52" customWidth="1"/>
    <col min="9" max="9" width="13.85546875" style="52" bestFit="1" customWidth="1"/>
    <col min="10" max="10" width="0.7109375" style="52" customWidth="1"/>
    <col min="11" max="11" width="11.5703125" style="52" bestFit="1" customWidth="1"/>
    <col min="12" max="12" width="0.7109375" style="52" customWidth="1"/>
    <col min="13" max="13" width="14.42578125" style="52" bestFit="1" customWidth="1"/>
    <col min="14" max="14" width="0.7109375" style="52" customWidth="1"/>
    <col min="15" max="15" width="13.85546875" style="52" bestFit="1" customWidth="1"/>
    <col min="16" max="16" width="0.7109375" style="52" customWidth="1"/>
    <col min="17" max="17" width="11.5703125" style="52" bestFit="1" customWidth="1"/>
    <col min="18" max="18" width="0.7109375" style="52" customWidth="1"/>
    <col min="19" max="19" width="14.42578125" style="52" bestFit="1" customWidth="1"/>
    <col min="20" max="20" width="0.7109375" style="52" customWidth="1"/>
    <col min="21" max="21" width="9.140625" style="52"/>
    <col min="22" max="22" width="0.7109375" style="52" customWidth="1"/>
    <col min="23" max="23" width="9.140625" style="52"/>
    <col min="24" max="24" width="0.7109375" style="52" customWidth="1"/>
    <col min="25" max="25" width="9.140625" style="52"/>
    <col min="26" max="26" width="0.7109375" style="52" customWidth="1"/>
    <col min="27" max="27" width="9.140625" style="52"/>
    <col min="28" max="28" width="0.7109375" style="52" customWidth="1"/>
    <col min="29" max="29" width="9.140625" style="52"/>
    <col min="30" max="30" width="0.7109375" style="52" customWidth="1"/>
    <col min="31" max="31" width="9.140625" style="52"/>
    <col min="32" max="32" width="0.7109375" style="52" customWidth="1"/>
    <col min="33" max="33" width="9.140625" style="52"/>
    <col min="34" max="34" width="0.7109375" style="52" customWidth="1"/>
    <col min="35" max="35" width="9.140625" style="52"/>
    <col min="36" max="36" width="0.7109375" style="52" customWidth="1"/>
    <col min="37" max="16384" width="9.140625" style="52"/>
  </cols>
  <sheetData>
    <row r="1" spans="1:26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33"/>
    </row>
    <row r="2" spans="1:26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33"/>
    </row>
    <row r="3" spans="1:26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33"/>
    </row>
    <row r="4" spans="1:26" ht="21">
      <c r="A4" s="82" t="s">
        <v>15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42"/>
      <c r="U4" s="44"/>
      <c r="V4" s="44"/>
      <c r="W4" s="44"/>
      <c r="X4" s="44"/>
      <c r="Y4" s="44"/>
      <c r="Z4" s="44"/>
    </row>
    <row r="5" spans="1:26" ht="16.5" customHeight="1" thickBot="1">
      <c r="C5" s="91" t="s">
        <v>61</v>
      </c>
      <c r="D5" s="91"/>
      <c r="E5" s="91"/>
      <c r="F5" s="91"/>
      <c r="G5" s="91"/>
      <c r="H5" s="13"/>
      <c r="I5" s="94" t="s">
        <v>109</v>
      </c>
      <c r="J5" s="94"/>
      <c r="K5" s="94"/>
      <c r="L5" s="94"/>
      <c r="M5" s="94"/>
      <c r="N5" s="5"/>
      <c r="O5" s="94" t="s">
        <v>114</v>
      </c>
      <c r="P5" s="94"/>
      <c r="Q5" s="94"/>
      <c r="R5" s="94"/>
      <c r="S5" s="94"/>
      <c r="T5" s="5"/>
      <c r="U5" s="1"/>
      <c r="V5" s="1"/>
      <c r="W5" s="1"/>
      <c r="X5" s="1"/>
      <c r="Y5" s="1"/>
      <c r="Z5" s="1"/>
    </row>
    <row r="6" spans="1:26" ht="47.25" customHeight="1" thickBot="1">
      <c r="A6" s="53" t="s">
        <v>40</v>
      </c>
      <c r="B6" s="3"/>
      <c r="C6" s="10" t="s">
        <v>55</v>
      </c>
      <c r="D6" s="34"/>
      <c r="E6" s="10" t="s">
        <v>60</v>
      </c>
      <c r="F6" s="3"/>
      <c r="G6" s="19" t="s">
        <v>56</v>
      </c>
      <c r="H6" s="3"/>
      <c r="I6" s="19" t="s">
        <v>57</v>
      </c>
      <c r="J6" s="3"/>
      <c r="K6" s="10" t="s">
        <v>58</v>
      </c>
      <c r="L6" s="34"/>
      <c r="M6" s="19" t="s">
        <v>59</v>
      </c>
      <c r="N6" s="3"/>
      <c r="O6" s="19" t="s">
        <v>57</v>
      </c>
      <c r="P6" s="3"/>
      <c r="Q6" s="19" t="s">
        <v>58</v>
      </c>
      <c r="R6" s="3"/>
      <c r="S6" s="19" t="s">
        <v>59</v>
      </c>
      <c r="T6" s="3"/>
    </row>
    <row r="7" spans="1:26">
      <c r="A7" s="48" t="s">
        <v>143</v>
      </c>
      <c r="B7" s="48"/>
      <c r="C7" s="48" t="s">
        <v>338</v>
      </c>
      <c r="D7" s="48"/>
      <c r="E7" s="48">
        <v>285750</v>
      </c>
      <c r="F7" s="48"/>
      <c r="G7" s="48">
        <v>4000</v>
      </c>
      <c r="H7" s="48"/>
      <c r="I7" s="48">
        <v>1143000000</v>
      </c>
      <c r="J7" s="48"/>
      <c r="K7" s="48">
        <v>-79405354</v>
      </c>
      <c r="L7" s="48"/>
      <c r="M7" s="48">
        <v>1063594646</v>
      </c>
      <c r="N7" s="48"/>
      <c r="O7" s="48">
        <v>1143000000</v>
      </c>
      <c r="P7" s="48"/>
      <c r="Q7" s="48">
        <v>-79405354</v>
      </c>
      <c r="R7" s="48"/>
      <c r="S7" s="48">
        <v>1063594646</v>
      </c>
      <c r="T7" s="48"/>
    </row>
    <row r="8" spans="1:26">
      <c r="A8" s="48" t="s">
        <v>145</v>
      </c>
      <c r="B8" s="48"/>
      <c r="C8" s="48" t="s">
        <v>339</v>
      </c>
      <c r="D8" s="48"/>
      <c r="E8" s="48">
        <v>860136</v>
      </c>
      <c r="F8" s="48"/>
      <c r="G8" s="48">
        <v>1500</v>
      </c>
      <c r="H8" s="48"/>
      <c r="I8" s="48">
        <v>0</v>
      </c>
      <c r="J8" s="48"/>
      <c r="K8" s="48">
        <v>0</v>
      </c>
      <c r="L8" s="48"/>
      <c r="M8" s="48">
        <v>0</v>
      </c>
      <c r="N8" s="48"/>
      <c r="O8" s="48">
        <v>0</v>
      </c>
      <c r="P8" s="48"/>
      <c r="Q8" s="48">
        <v>0</v>
      </c>
      <c r="R8" s="48"/>
      <c r="S8" s="48">
        <v>0</v>
      </c>
      <c r="T8" s="48"/>
    </row>
    <row r="9" spans="1:26">
      <c r="A9" s="48" t="s">
        <v>136</v>
      </c>
      <c r="B9" s="48"/>
      <c r="C9" s="48" t="s">
        <v>340</v>
      </c>
      <c r="D9" s="48"/>
      <c r="E9" s="48">
        <v>1027781</v>
      </c>
      <c r="F9" s="48"/>
      <c r="G9" s="48">
        <v>4745</v>
      </c>
      <c r="H9" s="48"/>
      <c r="I9" s="48">
        <v>4876820845</v>
      </c>
      <c r="J9" s="48"/>
      <c r="K9" s="48">
        <v>-148959999</v>
      </c>
      <c r="L9" s="48"/>
      <c r="M9" s="48">
        <v>4727860846</v>
      </c>
      <c r="N9" s="48"/>
      <c r="O9" s="48">
        <v>4876820845</v>
      </c>
      <c r="P9" s="48"/>
      <c r="Q9" s="48">
        <v>-148959999</v>
      </c>
      <c r="R9" s="48"/>
      <c r="S9" s="48">
        <v>4727860846</v>
      </c>
      <c r="T9" s="48"/>
    </row>
    <row r="10" spans="1:26">
      <c r="A10" s="48" t="s">
        <v>134</v>
      </c>
      <c r="B10" s="48"/>
      <c r="C10" s="48" t="s">
        <v>341</v>
      </c>
      <c r="D10" s="48"/>
      <c r="E10" s="48">
        <v>8112972</v>
      </c>
      <c r="F10" s="48"/>
      <c r="G10" s="48">
        <v>40</v>
      </c>
      <c r="H10" s="48"/>
      <c r="I10" s="48">
        <v>324518880</v>
      </c>
      <c r="J10" s="48"/>
      <c r="K10" s="48">
        <v>-16257615</v>
      </c>
      <c r="L10" s="48"/>
      <c r="M10" s="48">
        <v>308261265</v>
      </c>
      <c r="N10" s="48"/>
      <c r="O10" s="48">
        <v>324518880</v>
      </c>
      <c r="P10" s="48"/>
      <c r="Q10" s="48">
        <v>-16257615</v>
      </c>
      <c r="R10" s="48"/>
      <c r="S10" s="48">
        <v>308261265</v>
      </c>
      <c r="T10" s="48"/>
    </row>
    <row r="11" spans="1:26" ht="16.5" thickBot="1">
      <c r="A11" s="48" t="s">
        <v>2</v>
      </c>
      <c r="B11" s="48"/>
      <c r="C11" s="48">
        <f t="shared" ref="C11:S11" si="0">SUM(C7:C10)</f>
        <v>0</v>
      </c>
      <c r="D11" s="48"/>
      <c r="E11" s="49">
        <f t="shared" si="0"/>
        <v>10286639</v>
      </c>
      <c r="F11" s="48"/>
      <c r="G11" s="49">
        <f t="shared" si="0"/>
        <v>10285</v>
      </c>
      <c r="H11" s="48"/>
      <c r="I11" s="49">
        <f t="shared" si="0"/>
        <v>6344339725</v>
      </c>
      <c r="J11" s="48"/>
      <c r="K11" s="49">
        <f t="shared" si="0"/>
        <v>-244622968</v>
      </c>
      <c r="L11" s="48"/>
      <c r="M11" s="49">
        <f t="shared" si="0"/>
        <v>6099716757</v>
      </c>
      <c r="N11" s="48"/>
      <c r="O11" s="49">
        <f t="shared" si="0"/>
        <v>6344339725</v>
      </c>
      <c r="P11" s="48"/>
      <c r="Q11" s="49">
        <f t="shared" si="0"/>
        <v>-244622968</v>
      </c>
      <c r="R11" s="48"/>
      <c r="S11" s="49">
        <f t="shared" si="0"/>
        <v>6099716757</v>
      </c>
      <c r="T11" s="48"/>
    </row>
    <row r="12" spans="1:26" ht="16.5" thickTop="1"/>
  </sheetData>
  <mergeCells count="7">
    <mergeCell ref="C5:G5"/>
    <mergeCell ref="I5:M5"/>
    <mergeCell ref="O5:S5"/>
    <mergeCell ref="A1:S1"/>
    <mergeCell ref="A2:S2"/>
    <mergeCell ref="A3:S3"/>
    <mergeCell ref="A4:S4"/>
  </mergeCells>
  <printOptions horizontalCentered="1"/>
  <pageMargins left="0" right="0" top="0.15" bottom="0" header="0.3" footer="0.3"/>
  <pageSetup paperSize="9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"/>
  <sheetViews>
    <sheetView rightToLeft="1" view="pageBreakPreview" zoomScale="106" zoomScaleNormal="226" zoomScaleSheetLayoutView="106" workbookViewId="0">
      <selection activeCell="E9" sqref="E9"/>
    </sheetView>
  </sheetViews>
  <sheetFormatPr defaultColWidth="9.140625" defaultRowHeight="15.75"/>
  <cols>
    <col min="1" max="1" width="6.85546875" style="31" bestFit="1" customWidth="1"/>
    <col min="2" max="2" width="0.7109375" style="31" customWidth="1"/>
    <col min="3" max="3" width="8.28515625" style="31" bestFit="1" customWidth="1"/>
    <col min="4" max="4" width="0.7109375" style="31" customWidth="1"/>
    <col min="5" max="5" width="16.85546875" style="31" bestFit="1" customWidth="1"/>
    <col min="6" max="6" width="0.7109375" style="31" customWidth="1"/>
    <col min="7" max="7" width="13.85546875" style="31" bestFit="1" customWidth="1"/>
    <col min="8" max="8" width="0.7109375" style="31" customWidth="1"/>
    <col min="9" max="9" width="15.42578125" style="31" bestFit="1" customWidth="1"/>
    <col min="10" max="10" width="0.7109375" style="31" customWidth="1"/>
    <col min="11" max="11" width="15.42578125" style="31" bestFit="1" customWidth="1"/>
    <col min="12" max="12" width="0.7109375" style="31" customWidth="1"/>
    <col min="13" max="13" width="9.140625" style="31"/>
    <col min="14" max="14" width="0.7109375" style="31" customWidth="1"/>
    <col min="15" max="15" width="9.140625" style="31"/>
    <col min="16" max="16" width="0.7109375" style="31" customWidth="1"/>
    <col min="17" max="17" width="9.140625" style="31"/>
    <col min="18" max="18" width="0.7109375" style="31" customWidth="1"/>
    <col min="19" max="19" width="9.140625" style="31"/>
    <col min="20" max="20" width="0.7109375" style="31" customWidth="1"/>
    <col min="21" max="21" width="9.140625" style="31"/>
    <col min="22" max="22" width="0.7109375" style="31" customWidth="1"/>
    <col min="23" max="23" width="9.140625" style="31"/>
    <col min="24" max="24" width="0.7109375" style="31" customWidth="1"/>
    <col min="25" max="25" width="9.140625" style="31"/>
    <col min="26" max="26" width="0.7109375" style="31" customWidth="1"/>
    <col min="27" max="27" width="9.140625" style="31"/>
    <col min="28" max="28" width="0.7109375" style="31" customWidth="1"/>
    <col min="29" max="29" width="9.140625" style="31"/>
    <col min="30" max="30" width="0.7109375" style="31" customWidth="1"/>
    <col min="31" max="31" width="9.140625" style="31"/>
    <col min="32" max="32" width="0.7109375" style="31" customWidth="1"/>
    <col min="33" max="33" width="9.140625" style="31"/>
    <col min="34" max="34" width="0.7109375" style="31" customWidth="1"/>
    <col min="35" max="35" width="9.140625" style="31"/>
    <col min="36" max="36" width="0.7109375" style="31" customWidth="1"/>
    <col min="37" max="16384" width="9.140625" style="31"/>
  </cols>
  <sheetData>
    <row r="1" spans="1:20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33"/>
      <c r="M1" s="43"/>
      <c r="N1" s="43"/>
    </row>
    <row r="2" spans="1:20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33"/>
      <c r="M2" s="43"/>
      <c r="N2" s="43"/>
    </row>
    <row r="3" spans="1:20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33"/>
      <c r="M3" s="43"/>
      <c r="N3" s="43"/>
    </row>
    <row r="4" spans="1:20" ht="21">
      <c r="A4" s="82" t="s">
        <v>95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42"/>
      <c r="M4" s="44"/>
      <c r="N4" s="44"/>
      <c r="O4" s="44"/>
      <c r="P4" s="44"/>
      <c r="Q4" s="44"/>
      <c r="R4" s="44"/>
      <c r="S4" s="44"/>
      <c r="T4" s="44"/>
    </row>
    <row r="5" spans="1:20" ht="16.5" thickBot="1">
      <c r="A5" s="25"/>
      <c r="B5" s="25"/>
      <c r="C5" s="25"/>
      <c r="D5" s="25"/>
      <c r="E5" s="25"/>
      <c r="F5" s="25"/>
      <c r="G5" s="25"/>
      <c r="H5" s="25"/>
      <c r="I5" s="4" t="s">
        <v>109</v>
      </c>
      <c r="J5" s="37"/>
      <c r="K5" s="4" t="s">
        <v>114</v>
      </c>
      <c r="L5" s="37"/>
      <c r="M5" s="5"/>
      <c r="N5" s="5"/>
    </row>
    <row r="6" spans="1:20" ht="47.25" customHeight="1" thickBot="1">
      <c r="A6" s="29" t="s">
        <v>98</v>
      </c>
      <c r="B6" s="34"/>
      <c r="C6" s="29" t="s">
        <v>99</v>
      </c>
      <c r="D6" s="34"/>
      <c r="E6" s="29" t="s">
        <v>103</v>
      </c>
      <c r="F6" s="34"/>
      <c r="G6" s="29" t="s">
        <v>100</v>
      </c>
      <c r="H6" s="34"/>
      <c r="I6" s="10" t="s">
        <v>104</v>
      </c>
      <c r="J6" s="34"/>
      <c r="K6" s="10" t="s">
        <v>104</v>
      </c>
      <c r="L6" s="34"/>
    </row>
  </sheetData>
  <mergeCells count="4">
    <mergeCell ref="A1:K1"/>
    <mergeCell ref="A2:K2"/>
    <mergeCell ref="A3:K3"/>
    <mergeCell ref="A4:K4"/>
  </mergeCells>
  <printOptions horizontalCentered="1"/>
  <pageMargins left="0" right="0" top="0.15" bottom="0" header="0.3" footer="0.3"/>
  <pageSetup paperSize="9" scale="11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6"/>
  <sheetViews>
    <sheetView rightToLeft="1" view="pageBreakPreview" zoomScale="60" zoomScaleNormal="226" workbookViewId="0">
      <selection activeCell="G8" sqref="G8"/>
    </sheetView>
  </sheetViews>
  <sheetFormatPr defaultRowHeight="18"/>
  <cols>
    <col min="1" max="1" width="4.140625" style="47" bestFit="1" customWidth="1"/>
    <col min="2" max="2" width="0.7109375" style="47" customWidth="1"/>
    <col min="3" max="3" width="10.140625" style="47" bestFit="1" customWidth="1"/>
    <col min="4" max="4" width="0.7109375" style="47" customWidth="1"/>
    <col min="5" max="5" width="10.42578125" style="47" bestFit="1" customWidth="1"/>
    <col min="6" max="6" width="0.7109375" style="47" customWidth="1"/>
    <col min="7" max="7" width="10.28515625" style="47" bestFit="1" customWidth="1"/>
    <col min="8" max="8" width="0.7109375" style="47" customWidth="1"/>
    <col min="9" max="9" width="8.28515625" style="47" bestFit="1" customWidth="1"/>
    <col min="10" max="10" width="0.7109375" style="47" customWidth="1"/>
    <col min="11" max="11" width="9" style="47" bestFit="1" customWidth="1"/>
    <col min="12" max="12" width="0.7109375" style="47" customWidth="1"/>
    <col min="13" max="13" width="5.5703125" style="47" bestFit="1" customWidth="1"/>
    <col min="14" max="14" width="0.7109375" style="47" customWidth="1"/>
    <col min="15" max="15" width="8.28515625" style="47" bestFit="1" customWidth="1"/>
    <col min="16" max="16" width="0.7109375" style="47" customWidth="1"/>
    <col min="17" max="17" width="9" style="47" bestFit="1" customWidth="1"/>
    <col min="18" max="18" width="0.7109375" style="47" customWidth="1"/>
    <col min="19" max="19" width="5.5703125" style="47" bestFit="1" customWidth="1"/>
    <col min="20" max="20" width="0.7109375" style="47" customWidth="1"/>
    <col min="21" max="21" width="9.140625" style="47"/>
    <col min="22" max="22" width="0.7109375" style="47" customWidth="1"/>
    <col min="23" max="23" width="9.140625" style="47"/>
    <col min="24" max="24" width="0.7109375" style="47" customWidth="1"/>
    <col min="25" max="25" width="9.140625" style="47"/>
    <col min="26" max="26" width="0.7109375" style="47" customWidth="1"/>
    <col min="27" max="27" width="9.140625" style="47"/>
    <col min="28" max="28" width="0.7109375" style="47" customWidth="1"/>
    <col min="29" max="29" width="9.140625" style="47"/>
    <col min="30" max="30" width="0.7109375" style="47" customWidth="1"/>
    <col min="31" max="31" width="9.140625" style="47"/>
    <col min="32" max="32" width="0.7109375" style="47" customWidth="1"/>
    <col min="33" max="33" width="9.140625" style="47"/>
    <col min="34" max="34" width="0.7109375" style="47" customWidth="1"/>
    <col min="35" max="35" width="9.140625" style="47"/>
    <col min="36" max="36" width="0.7109375" style="47" customWidth="1"/>
    <col min="37" max="16384" width="9.140625" style="47"/>
  </cols>
  <sheetData>
    <row r="1" spans="1:20" ht="19.5">
      <c r="A1" s="105" t="s">
        <v>112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50"/>
    </row>
    <row r="2" spans="1:20" ht="19.5">
      <c r="A2" s="105" t="s">
        <v>80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50"/>
    </row>
    <row r="3" spans="1:20" ht="19.5">
      <c r="A3" s="105" t="s">
        <v>113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50"/>
    </row>
    <row r="4" spans="1:20" ht="21">
      <c r="A4" s="82" t="s">
        <v>106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42"/>
    </row>
    <row r="5" spans="1:20" ht="16.5" customHeight="1" thickBot="1">
      <c r="A5" s="39"/>
      <c r="B5" s="39"/>
      <c r="C5" s="104"/>
      <c r="D5" s="104"/>
      <c r="E5" s="104"/>
      <c r="F5" s="104"/>
      <c r="G5" s="104"/>
      <c r="H5" s="39"/>
      <c r="I5" s="94" t="s">
        <v>109</v>
      </c>
      <c r="J5" s="94"/>
      <c r="K5" s="94"/>
      <c r="L5" s="94"/>
      <c r="M5" s="94"/>
      <c r="N5" s="5"/>
      <c r="O5" s="94" t="s">
        <v>114</v>
      </c>
      <c r="P5" s="94"/>
      <c r="Q5" s="94"/>
      <c r="R5" s="94"/>
      <c r="S5" s="94"/>
      <c r="T5" s="5"/>
    </row>
    <row r="6" spans="1:20" ht="38.25" customHeight="1" thickBot="1">
      <c r="A6" s="51" t="s">
        <v>53</v>
      </c>
      <c r="C6" s="20" t="s">
        <v>62</v>
      </c>
      <c r="D6" s="36"/>
      <c r="E6" s="20" t="s">
        <v>29</v>
      </c>
      <c r="F6" s="36"/>
      <c r="G6" s="20" t="s">
        <v>51</v>
      </c>
      <c r="H6" s="36"/>
      <c r="I6" s="20" t="s">
        <v>81</v>
      </c>
      <c r="J6" s="36"/>
      <c r="K6" s="20" t="s">
        <v>58</v>
      </c>
      <c r="L6" s="36"/>
      <c r="M6" s="20" t="s">
        <v>63</v>
      </c>
      <c r="N6" s="36"/>
      <c r="O6" s="20" t="s">
        <v>81</v>
      </c>
      <c r="P6" s="36"/>
      <c r="Q6" s="20" t="s">
        <v>58</v>
      </c>
      <c r="R6" s="36"/>
      <c r="S6" s="20" t="s">
        <v>63</v>
      </c>
      <c r="T6" s="36"/>
    </row>
  </sheetData>
  <mergeCells count="7">
    <mergeCell ref="C5:G5"/>
    <mergeCell ref="I5:M5"/>
    <mergeCell ref="O5:S5"/>
    <mergeCell ref="A1:S1"/>
    <mergeCell ref="A2:S2"/>
    <mergeCell ref="A3:S3"/>
    <mergeCell ref="A4:S4"/>
  </mergeCells>
  <printOptions horizontalCentered="1"/>
  <pageMargins left="0" right="0" top="0.15" bottom="0" header="0.3" footer="0.3"/>
  <pageSetup paperSize="9" scale="12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3"/>
  <sheetViews>
    <sheetView rightToLeft="1" view="pageBreakPreview" zoomScale="93" zoomScaleNormal="98" zoomScaleSheetLayoutView="93" workbookViewId="0">
      <selection activeCell="E17" sqref="E17"/>
    </sheetView>
  </sheetViews>
  <sheetFormatPr defaultRowHeight="18"/>
  <cols>
    <col min="1" max="1" width="6.5703125" style="47" bestFit="1" customWidth="1"/>
    <col min="2" max="2" width="0.7109375" style="47" customWidth="1"/>
    <col min="3" max="3" width="12" style="47" bestFit="1" customWidth="1"/>
    <col min="4" max="4" width="0.7109375" style="47" customWidth="1"/>
    <col min="5" max="5" width="9" style="47" bestFit="1" customWidth="1"/>
    <col min="6" max="6" width="0.7109375" style="47" customWidth="1"/>
    <col min="7" max="7" width="12" style="47" bestFit="1" customWidth="1"/>
    <col min="8" max="8" width="0.7109375" style="47" customWidth="1"/>
    <col min="9" max="9" width="12" style="47" bestFit="1" customWidth="1"/>
    <col min="10" max="10" width="0.7109375" style="47" customWidth="1"/>
    <col min="11" max="11" width="9" style="47" bestFit="1" customWidth="1"/>
    <col min="12" max="12" width="0.7109375" style="47" customWidth="1"/>
    <col min="13" max="13" width="12" style="47" bestFit="1" customWidth="1"/>
    <col min="14" max="14" width="0.7109375" style="47" customWidth="1"/>
    <col min="15" max="15" width="9.140625" style="47"/>
    <col min="16" max="16" width="0.7109375" style="47" customWidth="1"/>
    <col min="17" max="17" width="9.140625" style="47"/>
    <col min="18" max="18" width="0.7109375" style="47" customWidth="1"/>
    <col min="19" max="19" width="9.140625" style="47"/>
    <col min="20" max="20" width="0.7109375" style="47" customWidth="1"/>
    <col min="21" max="21" width="9.140625" style="47"/>
    <col min="22" max="22" width="0.7109375" style="47" customWidth="1"/>
    <col min="23" max="23" width="9.140625" style="47"/>
    <col min="24" max="24" width="0.7109375" style="47" customWidth="1"/>
    <col min="25" max="25" width="9.140625" style="47"/>
    <col min="26" max="26" width="0.7109375" style="47" customWidth="1"/>
    <col min="27" max="27" width="9.140625" style="47"/>
    <col min="28" max="28" width="0.7109375" style="47" customWidth="1"/>
    <col min="29" max="29" width="9.140625" style="47"/>
    <col min="30" max="30" width="0.7109375" style="47" customWidth="1"/>
    <col min="31" max="31" width="9.140625" style="47"/>
    <col min="32" max="32" width="0.7109375" style="47" customWidth="1"/>
    <col min="33" max="33" width="9.140625" style="47"/>
    <col min="34" max="34" width="0.7109375" style="47" customWidth="1"/>
    <col min="35" max="35" width="9.140625" style="47"/>
    <col min="36" max="36" width="0.7109375" style="47" customWidth="1"/>
    <col min="37" max="16384" width="9.140625" style="47"/>
  </cols>
  <sheetData>
    <row r="1" spans="1:14" ht="19.5">
      <c r="A1" s="105" t="s">
        <v>112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50"/>
    </row>
    <row r="2" spans="1:14" ht="19.5">
      <c r="A2" s="105" t="s">
        <v>80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50"/>
    </row>
    <row r="3" spans="1:14" ht="19.5">
      <c r="A3" s="105" t="s">
        <v>113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50"/>
    </row>
    <row r="4" spans="1:14" ht="21">
      <c r="A4" s="82" t="s">
        <v>107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42"/>
    </row>
    <row r="5" spans="1:14" ht="16.5" customHeight="1" thickBot="1">
      <c r="A5" s="39"/>
      <c r="B5" s="39"/>
      <c r="C5" s="94" t="s">
        <v>109</v>
      </c>
      <c r="D5" s="94"/>
      <c r="E5" s="94"/>
      <c r="F5" s="94"/>
      <c r="G5" s="94"/>
      <c r="H5" s="5"/>
      <c r="I5" s="94" t="s">
        <v>114</v>
      </c>
      <c r="J5" s="94"/>
      <c r="K5" s="94"/>
      <c r="L5" s="94"/>
      <c r="M5" s="94"/>
      <c r="N5" s="5"/>
    </row>
    <row r="6" spans="1:14" ht="38.25" customHeight="1" thickBot="1">
      <c r="A6" s="51" t="s">
        <v>53</v>
      </c>
      <c r="C6" s="20" t="s">
        <v>81</v>
      </c>
      <c r="D6" s="36"/>
      <c r="E6" s="20" t="s">
        <v>58</v>
      </c>
      <c r="F6" s="36"/>
      <c r="G6" s="20" t="s">
        <v>63</v>
      </c>
      <c r="H6" s="36"/>
      <c r="I6" s="20" t="s">
        <v>81</v>
      </c>
      <c r="J6" s="36"/>
      <c r="K6" s="20" t="s">
        <v>58</v>
      </c>
      <c r="L6" s="36"/>
      <c r="M6" s="20" t="s">
        <v>63</v>
      </c>
      <c r="N6" s="36"/>
    </row>
    <row r="7" spans="1:14">
      <c r="A7" s="48" t="s">
        <v>118</v>
      </c>
      <c r="B7" s="48"/>
      <c r="C7" s="48">
        <v>6810090</v>
      </c>
      <c r="D7" s="48"/>
      <c r="E7" s="48">
        <v>0</v>
      </c>
      <c r="F7" s="48"/>
      <c r="G7" s="48">
        <v>6810090</v>
      </c>
      <c r="H7" s="48"/>
      <c r="I7" s="48">
        <v>6810090</v>
      </c>
      <c r="J7" s="48"/>
      <c r="K7" s="48">
        <v>0</v>
      </c>
      <c r="L7" s="48"/>
      <c r="M7" s="48">
        <v>6810090</v>
      </c>
      <c r="N7" s="48"/>
    </row>
    <row r="8" spans="1:14">
      <c r="A8" s="48" t="s">
        <v>117</v>
      </c>
      <c r="B8" s="48"/>
      <c r="C8" s="48">
        <v>125889</v>
      </c>
      <c r="D8" s="48"/>
      <c r="E8" s="48">
        <v>0</v>
      </c>
      <c r="F8" s="48"/>
      <c r="G8" s="48">
        <v>125889</v>
      </c>
      <c r="H8" s="48"/>
      <c r="I8" s="48">
        <v>125889</v>
      </c>
      <c r="J8" s="48"/>
      <c r="K8" s="48">
        <v>0</v>
      </c>
      <c r="L8" s="48"/>
      <c r="M8" s="48">
        <v>125889</v>
      </c>
      <c r="N8" s="48"/>
    </row>
    <row r="9" spans="1:14">
      <c r="A9" s="48" t="s">
        <v>116</v>
      </c>
      <c r="B9" s="48"/>
      <c r="C9" s="48">
        <v>3101</v>
      </c>
      <c r="D9" s="48"/>
      <c r="E9" s="48">
        <v>0</v>
      </c>
      <c r="F9" s="48"/>
      <c r="G9" s="48">
        <v>3101</v>
      </c>
      <c r="H9" s="48"/>
      <c r="I9" s="48">
        <v>3101</v>
      </c>
      <c r="J9" s="48"/>
      <c r="K9" s="48">
        <v>0</v>
      </c>
      <c r="L9" s="48"/>
      <c r="M9" s="48">
        <v>3101</v>
      </c>
      <c r="N9" s="48"/>
    </row>
    <row r="10" spans="1:14">
      <c r="A10" s="48" t="s">
        <v>119</v>
      </c>
      <c r="B10" s="48"/>
      <c r="C10" s="48">
        <v>1466761</v>
      </c>
      <c r="D10" s="48"/>
      <c r="E10" s="48">
        <v>0</v>
      </c>
      <c r="F10" s="48"/>
      <c r="G10" s="48">
        <v>1466761</v>
      </c>
      <c r="H10" s="48"/>
      <c r="I10" s="48">
        <v>1466761</v>
      </c>
      <c r="J10" s="48"/>
      <c r="K10" s="48">
        <v>0</v>
      </c>
      <c r="L10" s="48"/>
      <c r="M10" s="48">
        <v>1466761</v>
      </c>
      <c r="N10" s="48"/>
    </row>
    <row r="11" spans="1:14">
      <c r="A11" s="48" t="s">
        <v>115</v>
      </c>
      <c r="B11" s="48"/>
      <c r="C11" s="48">
        <v>1207470200</v>
      </c>
      <c r="D11" s="48"/>
      <c r="E11" s="48">
        <v>0</v>
      </c>
      <c r="F11" s="48"/>
      <c r="G11" s="48">
        <v>1207470200</v>
      </c>
      <c r="H11" s="48"/>
      <c r="I11" s="48">
        <v>1207470200</v>
      </c>
      <c r="J11" s="48"/>
      <c r="K11" s="48">
        <v>0</v>
      </c>
      <c r="L11" s="48"/>
      <c r="M11" s="48">
        <v>1207470200</v>
      </c>
      <c r="N11" s="48"/>
    </row>
    <row r="12" spans="1:14" ht="18.75" thickBot="1">
      <c r="A12" s="48" t="s">
        <v>2</v>
      </c>
      <c r="B12" s="48"/>
      <c r="C12" s="49">
        <f t="shared" ref="C12:M12" si="0">SUM(C7:C11)</f>
        <v>1215876041</v>
      </c>
      <c r="D12" s="48"/>
      <c r="E12" s="49">
        <f t="shared" si="0"/>
        <v>0</v>
      </c>
      <c r="F12" s="48"/>
      <c r="G12" s="49">
        <f t="shared" si="0"/>
        <v>1215876041</v>
      </c>
      <c r="H12" s="48"/>
      <c r="I12" s="49">
        <f t="shared" si="0"/>
        <v>1215876041</v>
      </c>
      <c r="J12" s="48"/>
      <c r="K12" s="49">
        <f t="shared" si="0"/>
        <v>0</v>
      </c>
      <c r="L12" s="48"/>
      <c r="M12" s="49">
        <f t="shared" si="0"/>
        <v>1215876041</v>
      </c>
      <c r="N12" s="48"/>
    </row>
    <row r="13" spans="1:14" ht="18.75" thickTop="1"/>
  </sheetData>
  <mergeCells count="6">
    <mergeCell ref="A1:M1"/>
    <mergeCell ref="A2:M2"/>
    <mergeCell ref="A3:M3"/>
    <mergeCell ref="A4:M4"/>
    <mergeCell ref="C5:G5"/>
    <mergeCell ref="I5:M5"/>
  </mergeCells>
  <printOptions horizontalCentered="1"/>
  <pageMargins left="0" right="0" top="0.15" bottom="0" header="0.3" footer="0.3"/>
  <pageSetup paperSize="9" scale="120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"/>
  <sheetViews>
    <sheetView rightToLeft="1" view="pageBreakPreview" zoomScale="130" zoomScaleNormal="154" zoomScaleSheetLayoutView="130" workbookViewId="0">
      <selection activeCell="D13" sqref="D13"/>
    </sheetView>
  </sheetViews>
  <sheetFormatPr defaultRowHeight="18"/>
  <cols>
    <col min="1" max="1" width="15.42578125" style="47" bestFit="1" customWidth="1"/>
    <col min="2" max="2" width="0.7109375" style="47" customWidth="1"/>
    <col min="3" max="3" width="4.42578125" style="47" bestFit="1" customWidth="1"/>
    <col min="4" max="4" width="0.7109375" style="47" customWidth="1"/>
    <col min="5" max="5" width="13.28515625" style="47" bestFit="1" customWidth="1"/>
    <col min="6" max="6" width="0.7109375" style="47" customWidth="1"/>
    <col min="7" max="7" width="9.42578125" style="47" bestFit="1" customWidth="1"/>
    <col min="8" max="8" width="0.7109375" style="47" customWidth="1"/>
    <col min="9" max="9" width="18.28515625" style="47" bestFit="1" customWidth="1"/>
    <col min="10" max="10" width="0.7109375" style="47" customWidth="1"/>
    <col min="11" max="11" width="4.42578125" style="47" bestFit="1" customWidth="1"/>
    <col min="12" max="12" width="0.7109375" style="47" customWidth="1"/>
    <col min="13" max="13" width="14.28515625" style="47" bestFit="1" customWidth="1"/>
    <col min="14" max="14" width="0.7109375" style="47" customWidth="1"/>
    <col min="15" max="15" width="9.42578125" style="47" bestFit="1" customWidth="1"/>
    <col min="16" max="16" width="0.7109375" style="47" customWidth="1"/>
    <col min="17" max="17" width="18.28515625" style="47" bestFit="1" customWidth="1"/>
    <col min="18" max="18" width="0.7109375" style="47" customWidth="1"/>
    <col min="19" max="19" width="9.140625" style="47"/>
    <col min="20" max="20" width="0.7109375" style="47" customWidth="1"/>
    <col min="21" max="21" width="9.140625" style="47"/>
    <col min="22" max="22" width="0.7109375" style="47" customWidth="1"/>
    <col min="23" max="23" width="9.140625" style="47"/>
    <col min="24" max="24" width="0.7109375" style="47" customWidth="1"/>
    <col min="25" max="25" width="9.140625" style="47"/>
    <col min="26" max="26" width="0.7109375" style="47" customWidth="1"/>
    <col min="27" max="27" width="9.140625" style="47"/>
    <col min="28" max="28" width="0.7109375" style="47" customWidth="1"/>
    <col min="29" max="29" width="9.140625" style="47"/>
    <col min="30" max="30" width="0.7109375" style="47" customWidth="1"/>
    <col min="31" max="31" width="9.140625" style="47"/>
    <col min="32" max="32" width="0.7109375" style="47" customWidth="1"/>
    <col min="33" max="33" width="9.140625" style="47"/>
    <col min="34" max="34" width="0.7109375" style="47" customWidth="1"/>
    <col min="35" max="35" width="9.140625" style="47"/>
    <col min="36" max="36" width="0.7109375" style="47" customWidth="1"/>
    <col min="37" max="16384" width="9.140625" style="47"/>
  </cols>
  <sheetData>
    <row r="1" spans="1:18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33"/>
    </row>
    <row r="2" spans="1:18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33"/>
    </row>
    <row r="3" spans="1:18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33"/>
    </row>
    <row r="4" spans="1:18" ht="21">
      <c r="A4" s="82" t="s">
        <v>72</v>
      </c>
      <c r="B4" s="82"/>
      <c r="C4" s="82"/>
      <c r="D4" s="82"/>
      <c r="E4" s="82"/>
      <c r="F4" s="82"/>
      <c r="G4" s="82"/>
      <c r="H4" s="82"/>
      <c r="I4" s="82"/>
      <c r="J4" s="42"/>
      <c r="K4" s="82"/>
      <c r="L4" s="82"/>
      <c r="M4" s="82"/>
      <c r="N4" s="82"/>
      <c r="O4" s="82"/>
      <c r="P4" s="82"/>
      <c r="Q4" s="82"/>
      <c r="R4" s="42"/>
    </row>
    <row r="5" spans="1:18" ht="16.5" customHeight="1" thickBot="1">
      <c r="C5" s="94" t="s">
        <v>109</v>
      </c>
      <c r="D5" s="94"/>
      <c r="E5" s="94"/>
      <c r="F5" s="94"/>
      <c r="G5" s="94"/>
      <c r="H5" s="94"/>
      <c r="I5" s="94"/>
      <c r="J5" s="5"/>
      <c r="K5" s="94" t="s">
        <v>114</v>
      </c>
      <c r="L5" s="94"/>
      <c r="M5" s="94"/>
      <c r="N5" s="94"/>
      <c r="O5" s="94"/>
      <c r="P5" s="94"/>
      <c r="Q5" s="94"/>
      <c r="R5" s="5"/>
    </row>
    <row r="6" spans="1:18" ht="36.75" thickBot="1">
      <c r="A6" s="28" t="s">
        <v>53</v>
      </c>
      <c r="B6" s="39"/>
      <c r="C6" s="16" t="s">
        <v>3</v>
      </c>
      <c r="D6" s="39"/>
      <c r="E6" s="18" t="s">
        <v>67</v>
      </c>
      <c r="F6" s="36"/>
      <c r="G6" s="16" t="s">
        <v>65</v>
      </c>
      <c r="H6" s="39"/>
      <c r="I6" s="21" t="s">
        <v>68</v>
      </c>
      <c r="J6" s="35"/>
      <c r="K6" s="16" t="s">
        <v>3</v>
      </c>
      <c r="L6" s="39"/>
      <c r="M6" s="18" t="s">
        <v>27</v>
      </c>
      <c r="N6" s="36"/>
      <c r="O6" s="16" t="s">
        <v>65</v>
      </c>
      <c r="P6" s="39"/>
      <c r="Q6" s="21" t="s">
        <v>68</v>
      </c>
      <c r="R6" s="35"/>
    </row>
    <row r="7" spans="1:18">
      <c r="A7" s="48" t="s">
        <v>121</v>
      </c>
      <c r="B7" s="48"/>
      <c r="C7" s="48">
        <v>1</v>
      </c>
      <c r="D7" s="48"/>
      <c r="E7" s="48">
        <v>1</v>
      </c>
      <c r="F7" s="48"/>
      <c r="G7" s="48">
        <v>1219</v>
      </c>
      <c r="H7" s="48"/>
      <c r="I7" s="48">
        <v>-1218</v>
      </c>
      <c r="J7" s="48"/>
      <c r="K7" s="48">
        <v>1</v>
      </c>
      <c r="L7" s="48"/>
      <c r="M7" s="48">
        <v>1</v>
      </c>
      <c r="N7" s="48"/>
      <c r="O7" s="48">
        <v>1219</v>
      </c>
      <c r="P7" s="48"/>
      <c r="Q7" s="48">
        <v>-1218</v>
      </c>
      <c r="R7" s="48"/>
    </row>
    <row r="8" spans="1:18">
      <c r="A8" s="48" t="s">
        <v>122</v>
      </c>
      <c r="B8" s="48"/>
      <c r="C8" s="48">
        <v>1</v>
      </c>
      <c r="D8" s="48"/>
      <c r="E8" s="48">
        <v>1</v>
      </c>
      <c r="F8" s="48"/>
      <c r="G8" s="48">
        <v>1101</v>
      </c>
      <c r="H8" s="48"/>
      <c r="I8" s="48">
        <v>-1100</v>
      </c>
      <c r="J8" s="48"/>
      <c r="K8" s="48">
        <v>1</v>
      </c>
      <c r="L8" s="48"/>
      <c r="M8" s="48">
        <v>1</v>
      </c>
      <c r="N8" s="48"/>
      <c r="O8" s="48">
        <v>1101</v>
      </c>
      <c r="P8" s="48"/>
      <c r="Q8" s="48">
        <v>-1100</v>
      </c>
      <c r="R8" s="48"/>
    </row>
    <row r="9" spans="1:18" ht="18.75" thickBot="1">
      <c r="A9" s="48" t="s">
        <v>2</v>
      </c>
      <c r="B9" s="48"/>
      <c r="C9" s="49">
        <f t="shared" ref="C9:Q9" si="0">SUM(C7:C8)</f>
        <v>2</v>
      </c>
      <c r="D9" s="48"/>
      <c r="E9" s="49">
        <f t="shared" si="0"/>
        <v>2</v>
      </c>
      <c r="F9" s="48"/>
      <c r="G9" s="49">
        <f t="shared" si="0"/>
        <v>2320</v>
      </c>
      <c r="H9" s="48"/>
      <c r="I9" s="49">
        <f t="shared" si="0"/>
        <v>-2318</v>
      </c>
      <c r="J9" s="48"/>
      <c r="K9" s="49">
        <f t="shared" si="0"/>
        <v>2</v>
      </c>
      <c r="L9" s="48"/>
      <c r="M9" s="49">
        <f t="shared" si="0"/>
        <v>2</v>
      </c>
      <c r="N9" s="48"/>
      <c r="O9" s="49">
        <f t="shared" si="0"/>
        <v>2320</v>
      </c>
      <c r="P9" s="48"/>
      <c r="Q9" s="49">
        <f t="shared" si="0"/>
        <v>-2318</v>
      </c>
      <c r="R9" s="48"/>
    </row>
    <row r="10" spans="1:18" ht="18.75" thickTop="1"/>
  </sheetData>
  <mergeCells count="7">
    <mergeCell ref="A1:Q1"/>
    <mergeCell ref="A2:Q2"/>
    <mergeCell ref="A3:Q3"/>
    <mergeCell ref="C5:I5"/>
    <mergeCell ref="K5:Q5"/>
    <mergeCell ref="A4:I4"/>
    <mergeCell ref="K4:Q4"/>
  </mergeCells>
  <printOptions horizontalCentered="1"/>
  <pageMargins left="0" right="0" top="0.15" bottom="0" header="0.3" footer="0.3"/>
  <pageSetup paperSize="9" scale="10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23"/>
  <sheetViews>
    <sheetView rightToLeft="1" view="pageBreakPreview" zoomScaleNormal="124" zoomScaleSheetLayoutView="100" workbookViewId="0">
      <selection activeCell="E8" sqref="E8"/>
    </sheetView>
  </sheetViews>
  <sheetFormatPr defaultRowHeight="18"/>
  <cols>
    <col min="1" max="1" width="30" style="47" customWidth="1"/>
    <col min="2" max="2" width="0.7109375" style="47" customWidth="1"/>
    <col min="3" max="3" width="13.140625" style="47" bestFit="1" customWidth="1"/>
    <col min="4" max="4" width="0.7109375" style="47" customWidth="1"/>
    <col min="5" max="5" width="17" style="47" bestFit="1" customWidth="1"/>
    <col min="6" max="6" width="0.7109375" style="47" customWidth="1"/>
    <col min="7" max="7" width="17" style="47" bestFit="1" customWidth="1"/>
    <col min="8" max="8" width="0.7109375" style="47" customWidth="1"/>
    <col min="9" max="9" width="14.85546875" style="47" bestFit="1" customWidth="1"/>
    <col min="10" max="10" width="0.7109375" style="47" customWidth="1"/>
    <col min="11" max="11" width="13.140625" style="47" bestFit="1" customWidth="1"/>
    <col min="12" max="12" width="0.7109375" style="47" customWidth="1"/>
    <col min="13" max="13" width="17" style="47" bestFit="1" customWidth="1"/>
    <col min="14" max="14" width="0.7109375" style="47" customWidth="1"/>
    <col min="15" max="15" width="17" style="47" bestFit="1" customWidth="1"/>
    <col min="16" max="16" width="0.7109375" style="47" customWidth="1"/>
    <col min="17" max="17" width="23" style="47" bestFit="1" customWidth="1"/>
    <col min="18" max="18" width="0.7109375" style="47" customWidth="1"/>
    <col min="19" max="19" width="9.140625" style="47"/>
    <col min="20" max="20" width="0.7109375" style="47" customWidth="1"/>
    <col min="21" max="21" width="9.140625" style="47"/>
    <col min="22" max="22" width="0.7109375" style="47" customWidth="1"/>
    <col min="23" max="23" width="9.140625" style="47"/>
    <col min="24" max="24" width="0.7109375" style="47" customWidth="1"/>
    <col min="25" max="25" width="9.140625" style="47"/>
    <col min="26" max="26" width="0.7109375" style="47" customWidth="1"/>
    <col min="27" max="27" width="9.140625" style="47"/>
    <col min="28" max="28" width="0.7109375" style="47" customWidth="1"/>
    <col min="29" max="29" width="9.140625" style="47"/>
    <col min="30" max="30" width="0.7109375" style="47" customWidth="1"/>
    <col min="31" max="31" width="9.140625" style="47"/>
    <col min="32" max="32" width="0.7109375" style="47" customWidth="1"/>
    <col min="33" max="33" width="9.140625" style="47"/>
    <col min="34" max="34" width="0.7109375" style="47" customWidth="1"/>
    <col min="35" max="35" width="9.140625" style="47"/>
    <col min="36" max="36" width="0.7109375" style="47" customWidth="1"/>
    <col min="37" max="16384" width="9.140625" style="47"/>
  </cols>
  <sheetData>
    <row r="1" spans="1:18" ht="21">
      <c r="A1" s="81" t="s">
        <v>112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33"/>
    </row>
    <row r="2" spans="1:18" ht="21">
      <c r="A2" s="81" t="s">
        <v>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33"/>
    </row>
    <row r="3" spans="1:18" ht="21">
      <c r="A3" s="81" t="s">
        <v>113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33"/>
    </row>
    <row r="4" spans="1:18" ht="21">
      <c r="A4" s="82" t="s">
        <v>64</v>
      </c>
      <c r="B4" s="82"/>
      <c r="C4" s="82"/>
      <c r="D4" s="82"/>
      <c r="E4" s="82"/>
      <c r="F4" s="82"/>
      <c r="G4" s="82"/>
      <c r="H4" s="42"/>
    </row>
    <row r="5" spans="1:18" ht="16.5" customHeight="1" thickBot="1">
      <c r="C5" s="104" t="s">
        <v>109</v>
      </c>
      <c r="D5" s="104"/>
      <c r="E5" s="104"/>
      <c r="F5" s="104"/>
      <c r="G5" s="104"/>
      <c r="H5" s="104"/>
      <c r="I5" s="104"/>
      <c r="J5" s="39"/>
      <c r="K5" s="94" t="s">
        <v>114</v>
      </c>
      <c r="L5" s="94"/>
      <c r="M5" s="94"/>
      <c r="N5" s="94"/>
      <c r="O5" s="94"/>
      <c r="P5" s="94"/>
      <c r="Q5" s="94"/>
      <c r="R5" s="5"/>
    </row>
    <row r="6" spans="1:18" ht="53.25" customHeight="1" thickBot="1">
      <c r="A6" s="28" t="s">
        <v>53</v>
      </c>
      <c r="B6" s="39"/>
      <c r="C6" s="16" t="s">
        <v>3</v>
      </c>
      <c r="D6" s="39"/>
      <c r="E6" s="18" t="s">
        <v>27</v>
      </c>
      <c r="F6" s="36"/>
      <c r="G6" s="16" t="s">
        <v>65</v>
      </c>
      <c r="H6" s="39"/>
      <c r="I6" s="21" t="s">
        <v>66</v>
      </c>
      <c r="J6" s="35"/>
      <c r="K6" s="16" t="s">
        <v>3</v>
      </c>
      <c r="L6" s="39"/>
      <c r="M6" s="18" t="s">
        <v>27</v>
      </c>
      <c r="N6" s="36"/>
      <c r="O6" s="16" t="s">
        <v>65</v>
      </c>
      <c r="P6" s="39"/>
      <c r="Q6" s="21" t="s">
        <v>66</v>
      </c>
      <c r="R6" s="35"/>
    </row>
    <row r="7" spans="1:18">
      <c r="A7" s="48" t="s">
        <v>148</v>
      </c>
      <c r="B7" s="48"/>
      <c r="C7" s="48">
        <v>7827544</v>
      </c>
      <c r="D7" s="48"/>
      <c r="E7" s="48">
        <v>30283677594</v>
      </c>
      <c r="F7" s="48"/>
      <c r="G7" s="48">
        <v>30286437488</v>
      </c>
      <c r="H7" s="48"/>
      <c r="I7" s="48">
        <v>-2759894</v>
      </c>
      <c r="J7" s="48"/>
      <c r="K7" s="48">
        <v>7827544</v>
      </c>
      <c r="L7" s="48"/>
      <c r="M7" s="48">
        <v>30283677594</v>
      </c>
      <c r="N7" s="48"/>
      <c r="O7" s="48">
        <v>30286437488</v>
      </c>
      <c r="P7" s="48"/>
      <c r="Q7" s="48">
        <v>-2759894</v>
      </c>
      <c r="R7" s="48"/>
    </row>
    <row r="8" spans="1:18">
      <c r="A8" s="48" t="s">
        <v>151</v>
      </c>
      <c r="B8" s="48"/>
      <c r="C8" s="48">
        <v>6742935</v>
      </c>
      <c r="D8" s="48"/>
      <c r="E8" s="48">
        <v>48441479694</v>
      </c>
      <c r="F8" s="48"/>
      <c r="G8" s="48">
        <v>48441479694</v>
      </c>
      <c r="H8" s="48"/>
      <c r="I8" s="48">
        <v>0</v>
      </c>
      <c r="J8" s="48"/>
      <c r="K8" s="48">
        <v>6742935</v>
      </c>
      <c r="L8" s="48"/>
      <c r="M8" s="48">
        <v>48441479694</v>
      </c>
      <c r="N8" s="48"/>
      <c r="O8" s="48">
        <v>48441479694</v>
      </c>
      <c r="P8" s="48"/>
      <c r="Q8" s="48">
        <v>0</v>
      </c>
      <c r="R8" s="48"/>
    </row>
    <row r="9" spans="1:18">
      <c r="A9" s="48" t="s">
        <v>152</v>
      </c>
      <c r="B9" s="48"/>
      <c r="C9" s="48">
        <v>158909</v>
      </c>
      <c r="D9" s="48"/>
      <c r="E9" s="48">
        <v>17472590990</v>
      </c>
      <c r="F9" s="48"/>
      <c r="G9" s="48">
        <v>17472590990</v>
      </c>
      <c r="H9" s="48"/>
      <c r="I9" s="48">
        <v>0</v>
      </c>
      <c r="J9" s="48"/>
      <c r="K9" s="48">
        <v>158909</v>
      </c>
      <c r="L9" s="48"/>
      <c r="M9" s="48">
        <v>17472590990</v>
      </c>
      <c r="N9" s="48"/>
      <c r="O9" s="48">
        <v>17472590990</v>
      </c>
      <c r="P9" s="48"/>
      <c r="Q9" s="48">
        <v>0</v>
      </c>
      <c r="R9" s="48"/>
    </row>
    <row r="10" spans="1:18">
      <c r="A10" s="48" t="s">
        <v>153</v>
      </c>
      <c r="B10" s="48"/>
      <c r="C10" s="48">
        <v>2862943</v>
      </c>
      <c r="D10" s="48"/>
      <c r="E10" s="48">
        <v>15823325350</v>
      </c>
      <c r="F10" s="48"/>
      <c r="G10" s="48">
        <v>15823325350</v>
      </c>
      <c r="H10" s="48"/>
      <c r="I10" s="48">
        <v>0</v>
      </c>
      <c r="J10" s="48"/>
      <c r="K10" s="48">
        <v>2862943</v>
      </c>
      <c r="L10" s="48"/>
      <c r="M10" s="48">
        <v>15823325350</v>
      </c>
      <c r="N10" s="48"/>
      <c r="O10" s="48">
        <v>15823325350</v>
      </c>
      <c r="P10" s="48"/>
      <c r="Q10" s="48">
        <v>0</v>
      </c>
      <c r="R10" s="48"/>
    </row>
    <row r="11" spans="1:18">
      <c r="A11" s="48" t="s">
        <v>150</v>
      </c>
      <c r="B11" s="48"/>
      <c r="C11" s="48">
        <v>88610</v>
      </c>
      <c r="D11" s="48"/>
      <c r="E11" s="48">
        <v>987925802</v>
      </c>
      <c r="F11" s="48"/>
      <c r="G11" s="48">
        <v>1035847860</v>
      </c>
      <c r="H11" s="48"/>
      <c r="I11" s="48">
        <v>-47922058</v>
      </c>
      <c r="J11" s="48"/>
      <c r="K11" s="48">
        <v>88610</v>
      </c>
      <c r="L11" s="48"/>
      <c r="M11" s="48">
        <v>987925802</v>
      </c>
      <c r="N11" s="48"/>
      <c r="O11" s="48">
        <v>1035847860</v>
      </c>
      <c r="P11" s="48"/>
      <c r="Q11" s="48">
        <v>-47922058</v>
      </c>
      <c r="R11" s="48"/>
    </row>
    <row r="12" spans="1:18">
      <c r="A12" s="48" t="s">
        <v>154</v>
      </c>
      <c r="B12" s="48"/>
      <c r="C12" s="48">
        <v>23633</v>
      </c>
      <c r="D12" s="48"/>
      <c r="E12" s="48">
        <v>240037444</v>
      </c>
      <c r="F12" s="48"/>
      <c r="G12" s="48">
        <v>192086265</v>
      </c>
      <c r="H12" s="48"/>
      <c r="I12" s="48">
        <v>47951179</v>
      </c>
      <c r="J12" s="48"/>
      <c r="K12" s="48">
        <v>23633</v>
      </c>
      <c r="L12" s="48"/>
      <c r="M12" s="48">
        <v>240037444</v>
      </c>
      <c r="N12" s="48"/>
      <c r="O12" s="48">
        <v>192086265</v>
      </c>
      <c r="P12" s="48"/>
      <c r="Q12" s="48">
        <v>47951179</v>
      </c>
      <c r="R12" s="48"/>
    </row>
    <row r="13" spans="1:18">
      <c r="A13" s="48" t="s">
        <v>155</v>
      </c>
      <c r="B13" s="48"/>
      <c r="C13" s="48">
        <v>3814542</v>
      </c>
      <c r="D13" s="48"/>
      <c r="E13" s="48">
        <v>15851812812</v>
      </c>
      <c r="F13" s="48"/>
      <c r="G13" s="48">
        <v>15851812812</v>
      </c>
      <c r="H13" s="48"/>
      <c r="I13" s="48">
        <v>0</v>
      </c>
      <c r="J13" s="48"/>
      <c r="K13" s="48">
        <v>3814542</v>
      </c>
      <c r="L13" s="48"/>
      <c r="M13" s="48">
        <v>15851812812</v>
      </c>
      <c r="N13" s="48"/>
      <c r="O13" s="48">
        <v>15851812812</v>
      </c>
      <c r="P13" s="48"/>
      <c r="Q13" s="48">
        <v>0</v>
      </c>
      <c r="R13" s="48"/>
    </row>
    <row r="14" spans="1:18">
      <c r="A14" s="48" t="s">
        <v>156</v>
      </c>
      <c r="B14" s="48"/>
      <c r="C14" s="48">
        <v>245000</v>
      </c>
      <c r="D14" s="48"/>
      <c r="E14" s="48">
        <v>2525872898</v>
      </c>
      <c r="F14" s="48"/>
      <c r="G14" s="48">
        <v>2525872898</v>
      </c>
      <c r="H14" s="48"/>
      <c r="I14" s="48">
        <v>0</v>
      </c>
      <c r="J14" s="48"/>
      <c r="K14" s="48">
        <v>245000</v>
      </c>
      <c r="L14" s="48"/>
      <c r="M14" s="48">
        <v>2525872898</v>
      </c>
      <c r="N14" s="48"/>
      <c r="O14" s="48">
        <v>2525872898</v>
      </c>
      <c r="P14" s="48"/>
      <c r="Q14" s="48">
        <v>0</v>
      </c>
      <c r="R14" s="48"/>
    </row>
    <row r="15" spans="1:18">
      <c r="A15" s="48" t="s">
        <v>157</v>
      </c>
      <c r="B15" s="48"/>
      <c r="C15" s="48">
        <v>2124125</v>
      </c>
      <c r="D15" s="48"/>
      <c r="E15" s="48">
        <v>7929188143</v>
      </c>
      <c r="F15" s="48"/>
      <c r="G15" s="48">
        <v>7929188143</v>
      </c>
      <c r="H15" s="48"/>
      <c r="I15" s="48">
        <v>0</v>
      </c>
      <c r="J15" s="48"/>
      <c r="K15" s="48">
        <v>2124125</v>
      </c>
      <c r="L15" s="48"/>
      <c r="M15" s="48">
        <v>7929188143</v>
      </c>
      <c r="N15" s="48"/>
      <c r="O15" s="48">
        <v>7929188143</v>
      </c>
      <c r="P15" s="48"/>
      <c r="Q15" s="48">
        <v>0</v>
      </c>
      <c r="R15" s="48"/>
    </row>
    <row r="16" spans="1:18">
      <c r="A16" s="48" t="s">
        <v>158</v>
      </c>
      <c r="B16" s="48"/>
      <c r="C16" s="48">
        <v>2398170</v>
      </c>
      <c r="D16" s="48"/>
      <c r="E16" s="48">
        <v>25842805104</v>
      </c>
      <c r="F16" s="48"/>
      <c r="G16" s="48">
        <v>25842805104</v>
      </c>
      <c r="H16" s="48"/>
      <c r="I16" s="48">
        <v>0</v>
      </c>
      <c r="J16" s="48"/>
      <c r="K16" s="48">
        <v>2398170</v>
      </c>
      <c r="L16" s="48"/>
      <c r="M16" s="48">
        <v>25842805104</v>
      </c>
      <c r="N16" s="48"/>
      <c r="O16" s="48">
        <v>25842805104</v>
      </c>
      <c r="P16" s="48"/>
      <c r="Q16" s="48">
        <v>0</v>
      </c>
      <c r="R16" s="48"/>
    </row>
    <row r="17" spans="1:18">
      <c r="A17" s="48" t="s">
        <v>159</v>
      </c>
      <c r="B17" s="48"/>
      <c r="C17" s="48">
        <v>8948358</v>
      </c>
      <c r="D17" s="48"/>
      <c r="E17" s="48">
        <v>17971474878</v>
      </c>
      <c r="F17" s="48"/>
      <c r="G17" s="48">
        <v>17971474878</v>
      </c>
      <c r="H17" s="48"/>
      <c r="I17" s="48">
        <v>0</v>
      </c>
      <c r="J17" s="48"/>
      <c r="K17" s="48">
        <v>8948358</v>
      </c>
      <c r="L17" s="48"/>
      <c r="M17" s="48">
        <v>17971474878</v>
      </c>
      <c r="N17" s="48"/>
      <c r="O17" s="48">
        <v>17971474878</v>
      </c>
      <c r="P17" s="48"/>
      <c r="Q17" s="48">
        <v>0</v>
      </c>
      <c r="R17" s="48"/>
    </row>
    <row r="18" spans="1:18">
      <c r="A18" s="48" t="s">
        <v>160</v>
      </c>
      <c r="B18" s="48"/>
      <c r="C18" s="48">
        <v>8421427</v>
      </c>
      <c r="D18" s="48"/>
      <c r="E18" s="48">
        <v>28737416701</v>
      </c>
      <c r="F18" s="48"/>
      <c r="G18" s="48">
        <v>28737416701</v>
      </c>
      <c r="H18" s="48"/>
      <c r="I18" s="48">
        <v>0</v>
      </c>
      <c r="J18" s="48"/>
      <c r="K18" s="48">
        <v>8421427</v>
      </c>
      <c r="L18" s="48"/>
      <c r="M18" s="48">
        <v>28737416701</v>
      </c>
      <c r="N18" s="48"/>
      <c r="O18" s="48">
        <v>28737416701</v>
      </c>
      <c r="P18" s="48"/>
      <c r="Q18" s="48">
        <v>0</v>
      </c>
      <c r="R18" s="48"/>
    </row>
    <row r="19" spans="1:18">
      <c r="A19" s="48" t="s">
        <v>161</v>
      </c>
      <c r="B19" s="48"/>
      <c r="C19" s="48">
        <v>1705609</v>
      </c>
      <c r="D19" s="48"/>
      <c r="E19" s="48">
        <v>29515885764</v>
      </c>
      <c r="F19" s="48"/>
      <c r="G19" s="48">
        <v>29515885764</v>
      </c>
      <c r="H19" s="48"/>
      <c r="I19" s="48">
        <v>0</v>
      </c>
      <c r="J19" s="48"/>
      <c r="K19" s="48">
        <v>1705609</v>
      </c>
      <c r="L19" s="48"/>
      <c r="M19" s="48">
        <v>29515885764</v>
      </c>
      <c r="N19" s="48"/>
      <c r="O19" s="48">
        <v>29515885764</v>
      </c>
      <c r="P19" s="48"/>
      <c r="Q19" s="48">
        <v>0</v>
      </c>
      <c r="R19" s="48"/>
    </row>
    <row r="20" spans="1:18">
      <c r="A20" s="48" t="s">
        <v>162</v>
      </c>
      <c r="B20" s="48"/>
      <c r="C20" s="48">
        <v>8803637</v>
      </c>
      <c r="D20" s="48"/>
      <c r="E20" s="48">
        <v>19331849353</v>
      </c>
      <c r="F20" s="48"/>
      <c r="G20" s="48">
        <v>19331849353</v>
      </c>
      <c r="H20" s="48"/>
      <c r="I20" s="48">
        <v>0</v>
      </c>
      <c r="J20" s="48"/>
      <c r="K20" s="48">
        <v>8803637</v>
      </c>
      <c r="L20" s="48"/>
      <c r="M20" s="48">
        <v>19331849353</v>
      </c>
      <c r="N20" s="48"/>
      <c r="O20" s="48">
        <v>19331849353</v>
      </c>
      <c r="P20" s="48"/>
      <c r="Q20" s="48">
        <v>0</v>
      </c>
      <c r="R20" s="48"/>
    </row>
    <row r="21" spans="1:18">
      <c r="A21" s="48" t="s">
        <v>163</v>
      </c>
      <c r="B21" s="48"/>
      <c r="C21" s="48">
        <v>22471939</v>
      </c>
      <c r="D21" s="48"/>
      <c r="E21" s="48">
        <v>51486615175</v>
      </c>
      <c r="F21" s="48"/>
      <c r="G21" s="48">
        <v>51486615175</v>
      </c>
      <c r="H21" s="48"/>
      <c r="I21" s="48">
        <v>0</v>
      </c>
      <c r="J21" s="48"/>
      <c r="K21" s="48">
        <v>22471939</v>
      </c>
      <c r="L21" s="48"/>
      <c r="M21" s="48">
        <v>51486615175</v>
      </c>
      <c r="N21" s="48"/>
      <c r="O21" s="48">
        <v>51486615175</v>
      </c>
      <c r="P21" s="48"/>
      <c r="Q21" s="48">
        <v>0</v>
      </c>
      <c r="R21" s="48"/>
    </row>
    <row r="22" spans="1:18">
      <c r="A22" s="48" t="s">
        <v>164</v>
      </c>
      <c r="B22" s="48"/>
      <c r="C22" s="48">
        <v>63507736</v>
      </c>
      <c r="D22" s="48"/>
      <c r="E22" s="48">
        <v>29932990070</v>
      </c>
      <c r="F22" s="48"/>
      <c r="G22" s="48">
        <v>29932990070</v>
      </c>
      <c r="H22" s="48"/>
      <c r="I22" s="48">
        <v>0</v>
      </c>
      <c r="J22" s="48"/>
      <c r="K22" s="48">
        <v>63507736</v>
      </c>
      <c r="L22" s="48"/>
      <c r="M22" s="48">
        <v>29932990070</v>
      </c>
      <c r="N22" s="48"/>
      <c r="O22" s="48">
        <v>29932990070</v>
      </c>
      <c r="P22" s="48"/>
      <c r="Q22" s="48">
        <v>0</v>
      </c>
      <c r="R22" s="48"/>
    </row>
    <row r="23" spans="1:18">
      <c r="A23" s="48" t="s">
        <v>165</v>
      </c>
      <c r="B23" s="48"/>
      <c r="C23" s="48">
        <v>1750000</v>
      </c>
      <c r="D23" s="48"/>
      <c r="E23" s="48">
        <v>4554767367</v>
      </c>
      <c r="F23" s="48"/>
      <c r="G23" s="48">
        <v>4554767367</v>
      </c>
      <c r="H23" s="48"/>
      <c r="I23" s="48">
        <v>0</v>
      </c>
      <c r="J23" s="48"/>
      <c r="K23" s="48">
        <v>1750000</v>
      </c>
      <c r="L23" s="48"/>
      <c r="M23" s="48">
        <v>4554767367</v>
      </c>
      <c r="N23" s="48"/>
      <c r="O23" s="48">
        <v>4554767367</v>
      </c>
      <c r="P23" s="48"/>
      <c r="Q23" s="48">
        <v>0</v>
      </c>
      <c r="R23" s="48"/>
    </row>
    <row r="24" spans="1:18">
      <c r="A24" s="48" t="s">
        <v>166</v>
      </c>
      <c r="B24" s="48"/>
      <c r="C24" s="48">
        <v>9109504</v>
      </c>
      <c r="D24" s="48"/>
      <c r="E24" s="48">
        <v>14462540055</v>
      </c>
      <c r="F24" s="48"/>
      <c r="G24" s="48">
        <v>14462540055</v>
      </c>
      <c r="H24" s="48"/>
      <c r="I24" s="48">
        <v>0</v>
      </c>
      <c r="J24" s="48"/>
      <c r="K24" s="48">
        <v>9109504</v>
      </c>
      <c r="L24" s="48"/>
      <c r="M24" s="48">
        <v>14462540055</v>
      </c>
      <c r="N24" s="48"/>
      <c r="O24" s="48">
        <v>14462540055</v>
      </c>
      <c r="P24" s="48"/>
      <c r="Q24" s="48">
        <v>0</v>
      </c>
      <c r="R24" s="48"/>
    </row>
    <row r="25" spans="1:18">
      <c r="A25" s="48" t="s">
        <v>123</v>
      </c>
      <c r="B25" s="48"/>
      <c r="C25" s="48">
        <v>36217997</v>
      </c>
      <c r="D25" s="48"/>
      <c r="E25" s="48">
        <v>13512699988</v>
      </c>
      <c r="F25" s="48"/>
      <c r="G25" s="48">
        <v>13510636356</v>
      </c>
      <c r="H25" s="48"/>
      <c r="I25" s="48">
        <v>2063632</v>
      </c>
      <c r="J25" s="48"/>
      <c r="K25" s="48">
        <v>36217997</v>
      </c>
      <c r="L25" s="48"/>
      <c r="M25" s="48">
        <v>13512699988</v>
      </c>
      <c r="N25" s="48"/>
      <c r="O25" s="48">
        <v>13510636356</v>
      </c>
      <c r="P25" s="48"/>
      <c r="Q25" s="48">
        <v>2063632</v>
      </c>
      <c r="R25" s="48"/>
    </row>
    <row r="26" spans="1:18">
      <c r="A26" s="48" t="s">
        <v>167</v>
      </c>
      <c r="B26" s="48"/>
      <c r="C26" s="48">
        <v>5600000</v>
      </c>
      <c r="D26" s="48"/>
      <c r="E26" s="48">
        <v>14614152560</v>
      </c>
      <c r="F26" s="48"/>
      <c r="G26" s="48">
        <v>14614152560</v>
      </c>
      <c r="H26" s="48"/>
      <c r="I26" s="48">
        <v>0</v>
      </c>
      <c r="J26" s="48"/>
      <c r="K26" s="48">
        <v>5600000</v>
      </c>
      <c r="L26" s="48"/>
      <c r="M26" s="48">
        <v>14614152560</v>
      </c>
      <c r="N26" s="48"/>
      <c r="O26" s="48">
        <v>14614152560</v>
      </c>
      <c r="P26" s="48"/>
      <c r="Q26" s="48">
        <v>0</v>
      </c>
      <c r="R26" s="48"/>
    </row>
    <row r="27" spans="1:18">
      <c r="A27" s="48" t="s">
        <v>142</v>
      </c>
      <c r="B27" s="48"/>
      <c r="C27" s="48">
        <v>7875143</v>
      </c>
      <c r="D27" s="48"/>
      <c r="E27" s="48">
        <v>14339182045</v>
      </c>
      <c r="F27" s="48"/>
      <c r="G27" s="48">
        <v>14339532629</v>
      </c>
      <c r="H27" s="48"/>
      <c r="I27" s="48">
        <v>-350584</v>
      </c>
      <c r="J27" s="48"/>
      <c r="K27" s="48">
        <v>7875143</v>
      </c>
      <c r="L27" s="48"/>
      <c r="M27" s="48">
        <v>14339182045</v>
      </c>
      <c r="N27" s="48"/>
      <c r="O27" s="48">
        <v>14339532629</v>
      </c>
      <c r="P27" s="48"/>
      <c r="Q27" s="48">
        <v>-350584</v>
      </c>
      <c r="R27" s="48"/>
    </row>
    <row r="28" spans="1:18">
      <c r="A28" s="48" t="s">
        <v>168</v>
      </c>
      <c r="B28" s="48"/>
      <c r="C28" s="48">
        <v>45323085</v>
      </c>
      <c r="D28" s="48"/>
      <c r="E28" s="48">
        <v>21901723188</v>
      </c>
      <c r="F28" s="48"/>
      <c r="G28" s="48">
        <v>21901723188</v>
      </c>
      <c r="H28" s="48"/>
      <c r="I28" s="48">
        <v>0</v>
      </c>
      <c r="J28" s="48"/>
      <c r="K28" s="48">
        <v>45323085</v>
      </c>
      <c r="L28" s="48"/>
      <c r="M28" s="48">
        <v>21901723188</v>
      </c>
      <c r="N28" s="48"/>
      <c r="O28" s="48">
        <v>21901723188</v>
      </c>
      <c r="P28" s="48"/>
      <c r="Q28" s="48">
        <v>0</v>
      </c>
      <c r="R28" s="48"/>
    </row>
    <row r="29" spans="1:18">
      <c r="A29" s="48" t="s">
        <v>144</v>
      </c>
      <c r="B29" s="48"/>
      <c r="C29" s="48">
        <v>24896139</v>
      </c>
      <c r="D29" s="48"/>
      <c r="E29" s="48">
        <v>21566322981</v>
      </c>
      <c r="F29" s="48"/>
      <c r="G29" s="48">
        <v>21560178115</v>
      </c>
      <c r="H29" s="48"/>
      <c r="I29" s="48">
        <v>6144866</v>
      </c>
      <c r="J29" s="48"/>
      <c r="K29" s="48">
        <v>24896139</v>
      </c>
      <c r="L29" s="48"/>
      <c r="M29" s="48">
        <v>21566322981</v>
      </c>
      <c r="N29" s="48"/>
      <c r="O29" s="48">
        <v>21560178115</v>
      </c>
      <c r="P29" s="48"/>
      <c r="Q29" s="48">
        <v>6144866</v>
      </c>
      <c r="R29" s="48"/>
    </row>
    <row r="30" spans="1:18">
      <c r="A30" s="48" t="s">
        <v>139</v>
      </c>
      <c r="B30" s="48"/>
      <c r="C30" s="48">
        <v>8503160</v>
      </c>
      <c r="D30" s="48"/>
      <c r="E30" s="48">
        <v>25135105678</v>
      </c>
      <c r="F30" s="48"/>
      <c r="G30" s="48">
        <v>25130886962</v>
      </c>
      <c r="H30" s="48"/>
      <c r="I30" s="48">
        <v>4218716</v>
      </c>
      <c r="J30" s="48"/>
      <c r="K30" s="48">
        <v>8503160</v>
      </c>
      <c r="L30" s="48"/>
      <c r="M30" s="48">
        <v>25135105678</v>
      </c>
      <c r="N30" s="48"/>
      <c r="O30" s="48">
        <v>25130886962</v>
      </c>
      <c r="P30" s="48"/>
      <c r="Q30" s="48">
        <v>4218716</v>
      </c>
      <c r="R30" s="48"/>
    </row>
    <row r="31" spans="1:18">
      <c r="A31" s="48" t="s">
        <v>169</v>
      </c>
      <c r="B31" s="48"/>
      <c r="C31" s="48">
        <v>22445192</v>
      </c>
      <c r="D31" s="48"/>
      <c r="E31" s="48">
        <v>34075686719</v>
      </c>
      <c r="F31" s="48"/>
      <c r="G31" s="48">
        <v>34075686719</v>
      </c>
      <c r="H31" s="48"/>
      <c r="I31" s="48">
        <v>0</v>
      </c>
      <c r="J31" s="48"/>
      <c r="K31" s="48">
        <v>22445192</v>
      </c>
      <c r="L31" s="48"/>
      <c r="M31" s="48">
        <v>34075686719</v>
      </c>
      <c r="N31" s="48"/>
      <c r="O31" s="48">
        <v>34075686719</v>
      </c>
      <c r="P31" s="48"/>
      <c r="Q31" s="48">
        <v>0</v>
      </c>
      <c r="R31" s="48"/>
    </row>
    <row r="32" spans="1:18">
      <c r="A32" s="48" t="s">
        <v>170</v>
      </c>
      <c r="B32" s="48"/>
      <c r="C32" s="48">
        <v>9210264</v>
      </c>
      <c r="D32" s="48"/>
      <c r="E32" s="48">
        <v>17537872757</v>
      </c>
      <c r="F32" s="48"/>
      <c r="G32" s="48">
        <v>17537872757</v>
      </c>
      <c r="H32" s="48"/>
      <c r="I32" s="48">
        <v>0</v>
      </c>
      <c r="J32" s="48"/>
      <c r="K32" s="48">
        <v>9210264</v>
      </c>
      <c r="L32" s="48"/>
      <c r="M32" s="48">
        <v>17537872757</v>
      </c>
      <c r="N32" s="48"/>
      <c r="O32" s="48">
        <v>17537872757</v>
      </c>
      <c r="P32" s="48"/>
      <c r="Q32" s="48">
        <v>0</v>
      </c>
      <c r="R32" s="48"/>
    </row>
    <row r="33" spans="1:18">
      <c r="A33" s="48" t="s">
        <v>171</v>
      </c>
      <c r="B33" s="48"/>
      <c r="C33" s="48">
        <v>7041661</v>
      </c>
      <c r="D33" s="48"/>
      <c r="E33" s="48">
        <v>14673180817</v>
      </c>
      <c r="F33" s="48"/>
      <c r="G33" s="48">
        <v>14673180817</v>
      </c>
      <c r="H33" s="48"/>
      <c r="I33" s="48">
        <v>0</v>
      </c>
      <c r="J33" s="48"/>
      <c r="K33" s="48">
        <v>7041661</v>
      </c>
      <c r="L33" s="48"/>
      <c r="M33" s="48">
        <v>14673180817</v>
      </c>
      <c r="N33" s="48"/>
      <c r="O33" s="48">
        <v>14673180817</v>
      </c>
      <c r="P33" s="48"/>
      <c r="Q33" s="48">
        <v>0</v>
      </c>
      <c r="R33" s="48"/>
    </row>
    <row r="34" spans="1:18">
      <c r="A34" s="48" t="s">
        <v>172</v>
      </c>
      <c r="B34" s="48"/>
      <c r="C34" s="48">
        <v>2875000</v>
      </c>
      <c r="D34" s="48"/>
      <c r="E34" s="48">
        <v>5668466409</v>
      </c>
      <c r="F34" s="48"/>
      <c r="G34" s="48">
        <v>5668466409</v>
      </c>
      <c r="H34" s="48"/>
      <c r="I34" s="48">
        <v>0</v>
      </c>
      <c r="J34" s="48"/>
      <c r="K34" s="48">
        <v>2875000</v>
      </c>
      <c r="L34" s="48"/>
      <c r="M34" s="48">
        <v>5668466409</v>
      </c>
      <c r="N34" s="48"/>
      <c r="O34" s="48">
        <v>5668466409</v>
      </c>
      <c r="P34" s="48"/>
      <c r="Q34" s="48">
        <v>0</v>
      </c>
      <c r="R34" s="48"/>
    </row>
    <row r="35" spans="1:18">
      <c r="A35" s="48" t="s">
        <v>173</v>
      </c>
      <c r="B35" s="48"/>
      <c r="C35" s="48">
        <v>10263245</v>
      </c>
      <c r="D35" s="48"/>
      <c r="E35" s="48">
        <v>12729887645</v>
      </c>
      <c r="F35" s="48"/>
      <c r="G35" s="48">
        <v>12729887645</v>
      </c>
      <c r="H35" s="48"/>
      <c r="I35" s="48">
        <v>0</v>
      </c>
      <c r="J35" s="48"/>
      <c r="K35" s="48">
        <v>10263245</v>
      </c>
      <c r="L35" s="48"/>
      <c r="M35" s="48">
        <v>12729887645</v>
      </c>
      <c r="N35" s="48"/>
      <c r="O35" s="48">
        <v>12729887645</v>
      </c>
      <c r="P35" s="48"/>
      <c r="Q35" s="48">
        <v>0</v>
      </c>
      <c r="R35" s="48"/>
    </row>
    <row r="36" spans="1:18">
      <c r="A36" s="48" t="s">
        <v>174</v>
      </c>
      <c r="B36" s="48"/>
      <c r="C36" s="48">
        <v>3665469</v>
      </c>
      <c r="D36" s="48"/>
      <c r="E36" s="48">
        <v>10354923130</v>
      </c>
      <c r="F36" s="48"/>
      <c r="G36" s="48">
        <v>10354923130</v>
      </c>
      <c r="H36" s="48"/>
      <c r="I36" s="48">
        <v>0</v>
      </c>
      <c r="J36" s="48"/>
      <c r="K36" s="48">
        <v>3665469</v>
      </c>
      <c r="L36" s="48"/>
      <c r="M36" s="48">
        <v>10354923130</v>
      </c>
      <c r="N36" s="48"/>
      <c r="O36" s="48">
        <v>10354923130</v>
      </c>
      <c r="P36" s="48"/>
      <c r="Q36" s="48">
        <v>0</v>
      </c>
      <c r="R36" s="48"/>
    </row>
    <row r="37" spans="1:18">
      <c r="A37" s="48" t="s">
        <v>175</v>
      </c>
      <c r="B37" s="48"/>
      <c r="C37" s="48">
        <v>8417878</v>
      </c>
      <c r="D37" s="48"/>
      <c r="E37" s="48">
        <v>12721326284</v>
      </c>
      <c r="F37" s="48"/>
      <c r="G37" s="48">
        <v>12721326284</v>
      </c>
      <c r="H37" s="48"/>
      <c r="I37" s="48">
        <v>0</v>
      </c>
      <c r="J37" s="48"/>
      <c r="K37" s="48">
        <v>8417878</v>
      </c>
      <c r="L37" s="48"/>
      <c r="M37" s="48">
        <v>12721326284</v>
      </c>
      <c r="N37" s="48"/>
      <c r="O37" s="48">
        <v>12721326284</v>
      </c>
      <c r="P37" s="48"/>
      <c r="Q37" s="48">
        <v>0</v>
      </c>
      <c r="R37" s="48"/>
    </row>
    <row r="38" spans="1:18">
      <c r="A38" s="48" t="s">
        <v>176</v>
      </c>
      <c r="B38" s="48"/>
      <c r="C38" s="48">
        <v>4264408</v>
      </c>
      <c r="D38" s="48"/>
      <c r="E38" s="48">
        <v>11416436252</v>
      </c>
      <c r="F38" s="48"/>
      <c r="G38" s="48">
        <v>11416436252</v>
      </c>
      <c r="H38" s="48"/>
      <c r="I38" s="48">
        <v>0</v>
      </c>
      <c r="J38" s="48"/>
      <c r="K38" s="48">
        <v>4264408</v>
      </c>
      <c r="L38" s="48"/>
      <c r="M38" s="48">
        <v>11416436252</v>
      </c>
      <c r="N38" s="48"/>
      <c r="O38" s="48">
        <v>11416436252</v>
      </c>
      <c r="P38" s="48"/>
      <c r="Q38" s="48">
        <v>0</v>
      </c>
      <c r="R38" s="48"/>
    </row>
    <row r="39" spans="1:18">
      <c r="A39" s="48" t="s">
        <v>125</v>
      </c>
      <c r="B39" s="48"/>
      <c r="C39" s="48">
        <v>4238696</v>
      </c>
      <c r="D39" s="48"/>
      <c r="E39" s="48">
        <v>25904328289</v>
      </c>
      <c r="F39" s="48"/>
      <c r="G39" s="48">
        <v>25902798860</v>
      </c>
      <c r="H39" s="48"/>
      <c r="I39" s="48">
        <v>1529429</v>
      </c>
      <c r="J39" s="48"/>
      <c r="K39" s="48">
        <v>4238696</v>
      </c>
      <c r="L39" s="48"/>
      <c r="M39" s="48">
        <v>25904328289</v>
      </c>
      <c r="N39" s="48"/>
      <c r="O39" s="48">
        <v>25902798860</v>
      </c>
      <c r="P39" s="48"/>
      <c r="Q39" s="48">
        <v>1529429</v>
      </c>
      <c r="R39" s="48"/>
    </row>
    <row r="40" spans="1:18">
      <c r="A40" s="48" t="s">
        <v>177</v>
      </c>
      <c r="B40" s="48"/>
      <c r="C40" s="48">
        <v>5516183</v>
      </c>
      <c r="D40" s="48"/>
      <c r="E40" s="48">
        <v>24795149362</v>
      </c>
      <c r="F40" s="48"/>
      <c r="G40" s="48">
        <v>24795149362</v>
      </c>
      <c r="H40" s="48"/>
      <c r="I40" s="48">
        <v>0</v>
      </c>
      <c r="J40" s="48"/>
      <c r="K40" s="48">
        <v>5516183</v>
      </c>
      <c r="L40" s="48"/>
      <c r="M40" s="48">
        <v>24795149362</v>
      </c>
      <c r="N40" s="48"/>
      <c r="O40" s="48">
        <v>24795149362</v>
      </c>
      <c r="P40" s="48"/>
      <c r="Q40" s="48">
        <v>0</v>
      </c>
      <c r="R40" s="48"/>
    </row>
    <row r="41" spans="1:18">
      <c r="A41" s="48" t="s">
        <v>178</v>
      </c>
      <c r="B41" s="48"/>
      <c r="C41" s="48">
        <v>6728056</v>
      </c>
      <c r="D41" s="48"/>
      <c r="E41" s="48">
        <v>11135648276</v>
      </c>
      <c r="F41" s="48"/>
      <c r="G41" s="48">
        <v>11136319836</v>
      </c>
      <c r="H41" s="48"/>
      <c r="I41" s="48">
        <v>-671560</v>
      </c>
      <c r="J41" s="48"/>
      <c r="K41" s="48">
        <v>6728056</v>
      </c>
      <c r="L41" s="48"/>
      <c r="M41" s="48">
        <v>11135648276</v>
      </c>
      <c r="N41" s="48"/>
      <c r="O41" s="48">
        <v>11136319836</v>
      </c>
      <c r="P41" s="48"/>
      <c r="Q41" s="48">
        <v>-671560</v>
      </c>
      <c r="R41" s="48"/>
    </row>
    <row r="42" spans="1:18">
      <c r="A42" s="48" t="s">
        <v>179</v>
      </c>
      <c r="B42" s="48"/>
      <c r="C42" s="48">
        <v>11800000</v>
      </c>
      <c r="D42" s="48"/>
      <c r="E42" s="48">
        <v>26110592780</v>
      </c>
      <c r="F42" s="48"/>
      <c r="G42" s="48">
        <v>26110592780</v>
      </c>
      <c r="H42" s="48"/>
      <c r="I42" s="48">
        <v>0</v>
      </c>
      <c r="J42" s="48"/>
      <c r="K42" s="48">
        <v>11800000</v>
      </c>
      <c r="L42" s="48"/>
      <c r="M42" s="48">
        <v>26110592780</v>
      </c>
      <c r="N42" s="48"/>
      <c r="O42" s="48">
        <v>26110592780</v>
      </c>
      <c r="P42" s="48"/>
      <c r="Q42" s="48">
        <v>0</v>
      </c>
      <c r="R42" s="48"/>
    </row>
    <row r="43" spans="1:18">
      <c r="A43" s="48" t="s">
        <v>180</v>
      </c>
      <c r="B43" s="48"/>
      <c r="C43" s="48">
        <v>7357161</v>
      </c>
      <c r="D43" s="48"/>
      <c r="E43" s="48">
        <v>29639177991</v>
      </c>
      <c r="F43" s="48"/>
      <c r="G43" s="48">
        <v>29639177991</v>
      </c>
      <c r="H43" s="48"/>
      <c r="I43" s="48">
        <v>0</v>
      </c>
      <c r="J43" s="48"/>
      <c r="K43" s="48">
        <v>7357161</v>
      </c>
      <c r="L43" s="48"/>
      <c r="M43" s="48">
        <v>29639177991</v>
      </c>
      <c r="N43" s="48"/>
      <c r="O43" s="48">
        <v>29639177991</v>
      </c>
      <c r="P43" s="48"/>
      <c r="Q43" s="48">
        <v>0</v>
      </c>
      <c r="R43" s="48"/>
    </row>
    <row r="44" spans="1:18">
      <c r="A44" s="48" t="s">
        <v>181</v>
      </c>
      <c r="B44" s="48"/>
      <c r="C44" s="48">
        <v>842177</v>
      </c>
      <c r="D44" s="48"/>
      <c r="E44" s="48">
        <v>2619815957</v>
      </c>
      <c r="F44" s="48"/>
      <c r="G44" s="48">
        <v>2619815957</v>
      </c>
      <c r="H44" s="48"/>
      <c r="I44" s="48">
        <v>0</v>
      </c>
      <c r="J44" s="48"/>
      <c r="K44" s="48">
        <v>842177</v>
      </c>
      <c r="L44" s="48"/>
      <c r="M44" s="48">
        <v>2619815957</v>
      </c>
      <c r="N44" s="48"/>
      <c r="O44" s="48">
        <v>2619815957</v>
      </c>
      <c r="P44" s="48"/>
      <c r="Q44" s="48">
        <v>0</v>
      </c>
      <c r="R44" s="48"/>
    </row>
    <row r="45" spans="1:18">
      <c r="A45" s="48" t="s">
        <v>143</v>
      </c>
      <c r="B45" s="48"/>
      <c r="C45" s="48">
        <v>285750</v>
      </c>
      <c r="D45" s="48"/>
      <c r="E45" s="48">
        <v>13822631184</v>
      </c>
      <c r="F45" s="48"/>
      <c r="G45" s="48">
        <v>14956795794</v>
      </c>
      <c r="H45" s="48"/>
      <c r="I45" s="48">
        <v>-1134164610</v>
      </c>
      <c r="J45" s="48"/>
      <c r="K45" s="48">
        <v>285750</v>
      </c>
      <c r="L45" s="48"/>
      <c r="M45" s="48">
        <v>13822631184</v>
      </c>
      <c r="N45" s="48"/>
      <c r="O45" s="48">
        <v>14956795794</v>
      </c>
      <c r="P45" s="48"/>
      <c r="Q45" s="48">
        <v>-1134164610</v>
      </c>
      <c r="R45" s="48"/>
    </row>
    <row r="46" spans="1:18">
      <c r="A46" s="48" t="s">
        <v>182</v>
      </c>
      <c r="B46" s="48"/>
      <c r="C46" s="48">
        <v>11278863</v>
      </c>
      <c r="D46" s="48"/>
      <c r="E46" s="48">
        <v>14403688800</v>
      </c>
      <c r="F46" s="48"/>
      <c r="G46" s="48">
        <v>14403688800</v>
      </c>
      <c r="H46" s="48"/>
      <c r="I46" s="48">
        <v>0</v>
      </c>
      <c r="J46" s="48"/>
      <c r="K46" s="48">
        <v>11278863</v>
      </c>
      <c r="L46" s="48"/>
      <c r="M46" s="48">
        <v>14403688800</v>
      </c>
      <c r="N46" s="48"/>
      <c r="O46" s="48">
        <v>14403688800</v>
      </c>
      <c r="P46" s="48"/>
      <c r="Q46" s="48">
        <v>0</v>
      </c>
      <c r="R46" s="48"/>
    </row>
    <row r="47" spans="1:18">
      <c r="A47" s="48" t="s">
        <v>183</v>
      </c>
      <c r="B47" s="48"/>
      <c r="C47" s="48">
        <v>1648155</v>
      </c>
      <c r="D47" s="48"/>
      <c r="E47" s="48">
        <v>13410401047</v>
      </c>
      <c r="F47" s="48"/>
      <c r="G47" s="48">
        <v>13410401047</v>
      </c>
      <c r="H47" s="48"/>
      <c r="I47" s="48">
        <v>0</v>
      </c>
      <c r="J47" s="48"/>
      <c r="K47" s="48">
        <v>1648155</v>
      </c>
      <c r="L47" s="48"/>
      <c r="M47" s="48">
        <v>13410401047</v>
      </c>
      <c r="N47" s="48"/>
      <c r="O47" s="48">
        <v>13410401047</v>
      </c>
      <c r="P47" s="48"/>
      <c r="Q47" s="48">
        <v>0</v>
      </c>
      <c r="R47" s="48"/>
    </row>
    <row r="48" spans="1:18">
      <c r="A48" s="48" t="s">
        <v>184</v>
      </c>
      <c r="B48" s="48"/>
      <c r="C48" s="48">
        <v>250000</v>
      </c>
      <c r="D48" s="48"/>
      <c r="E48" s="48">
        <v>1200646700</v>
      </c>
      <c r="F48" s="48"/>
      <c r="G48" s="48">
        <v>1200646700</v>
      </c>
      <c r="H48" s="48"/>
      <c r="I48" s="48">
        <v>0</v>
      </c>
      <c r="J48" s="48"/>
      <c r="K48" s="48">
        <v>250000</v>
      </c>
      <c r="L48" s="48"/>
      <c r="M48" s="48">
        <v>1200646700</v>
      </c>
      <c r="N48" s="48"/>
      <c r="O48" s="48">
        <v>1200646700</v>
      </c>
      <c r="P48" s="48"/>
      <c r="Q48" s="48">
        <v>0</v>
      </c>
      <c r="R48" s="48"/>
    </row>
    <row r="49" spans="1:18">
      <c r="A49" s="48" t="s">
        <v>185</v>
      </c>
      <c r="B49" s="48"/>
      <c r="C49" s="48">
        <v>3860139</v>
      </c>
      <c r="D49" s="48"/>
      <c r="E49" s="48">
        <v>17048665859</v>
      </c>
      <c r="F49" s="48"/>
      <c r="G49" s="48">
        <v>17048665859</v>
      </c>
      <c r="H49" s="48"/>
      <c r="I49" s="48">
        <v>0</v>
      </c>
      <c r="J49" s="48"/>
      <c r="K49" s="48">
        <v>3860139</v>
      </c>
      <c r="L49" s="48"/>
      <c r="M49" s="48">
        <v>17048665859</v>
      </c>
      <c r="N49" s="48"/>
      <c r="O49" s="48">
        <v>17048665859</v>
      </c>
      <c r="P49" s="48"/>
      <c r="Q49" s="48">
        <v>0</v>
      </c>
      <c r="R49" s="48"/>
    </row>
    <row r="50" spans="1:18">
      <c r="A50" s="48" t="s">
        <v>186</v>
      </c>
      <c r="B50" s="48"/>
      <c r="C50" s="48">
        <v>189400</v>
      </c>
      <c r="D50" s="48"/>
      <c r="E50" s="48">
        <v>23736308969</v>
      </c>
      <c r="F50" s="48"/>
      <c r="G50" s="48">
        <v>23736308969</v>
      </c>
      <c r="H50" s="48"/>
      <c r="I50" s="48">
        <v>0</v>
      </c>
      <c r="J50" s="48"/>
      <c r="K50" s="48">
        <v>189400</v>
      </c>
      <c r="L50" s="48"/>
      <c r="M50" s="48">
        <v>23736308969</v>
      </c>
      <c r="N50" s="48"/>
      <c r="O50" s="48">
        <v>23736308969</v>
      </c>
      <c r="P50" s="48"/>
      <c r="Q50" s="48">
        <v>0</v>
      </c>
      <c r="R50" s="48"/>
    </row>
    <row r="51" spans="1:18">
      <c r="A51" s="48" t="s">
        <v>187</v>
      </c>
      <c r="B51" s="48"/>
      <c r="C51" s="48">
        <v>3735701</v>
      </c>
      <c r="D51" s="48"/>
      <c r="E51" s="48">
        <v>37516766020</v>
      </c>
      <c r="F51" s="48"/>
      <c r="G51" s="48">
        <v>37516766020</v>
      </c>
      <c r="H51" s="48"/>
      <c r="I51" s="48">
        <v>0</v>
      </c>
      <c r="J51" s="48"/>
      <c r="K51" s="48">
        <v>3735701</v>
      </c>
      <c r="L51" s="48"/>
      <c r="M51" s="48">
        <v>37516766020</v>
      </c>
      <c r="N51" s="48"/>
      <c r="O51" s="48">
        <v>37516766020</v>
      </c>
      <c r="P51" s="48"/>
      <c r="Q51" s="48">
        <v>0</v>
      </c>
      <c r="R51" s="48"/>
    </row>
    <row r="52" spans="1:18">
      <c r="A52" s="48" t="s">
        <v>188</v>
      </c>
      <c r="B52" s="48"/>
      <c r="C52" s="48">
        <v>3283236</v>
      </c>
      <c r="D52" s="48"/>
      <c r="E52" s="48">
        <v>17462111299</v>
      </c>
      <c r="F52" s="48"/>
      <c r="G52" s="48">
        <v>17462111299</v>
      </c>
      <c r="H52" s="48"/>
      <c r="I52" s="48">
        <v>0</v>
      </c>
      <c r="J52" s="48"/>
      <c r="K52" s="48">
        <v>3283236</v>
      </c>
      <c r="L52" s="48"/>
      <c r="M52" s="48">
        <v>17462111299</v>
      </c>
      <c r="N52" s="48"/>
      <c r="O52" s="48">
        <v>17462111299</v>
      </c>
      <c r="P52" s="48"/>
      <c r="Q52" s="48">
        <v>0</v>
      </c>
      <c r="R52" s="48"/>
    </row>
    <row r="53" spans="1:18">
      <c r="A53" s="48" t="s">
        <v>189</v>
      </c>
      <c r="B53" s="48"/>
      <c r="C53" s="48">
        <v>9760615</v>
      </c>
      <c r="D53" s="48"/>
      <c r="E53" s="48">
        <v>16058004310</v>
      </c>
      <c r="F53" s="48"/>
      <c r="G53" s="48">
        <v>16058004310</v>
      </c>
      <c r="H53" s="48"/>
      <c r="I53" s="48">
        <v>0</v>
      </c>
      <c r="J53" s="48"/>
      <c r="K53" s="48">
        <v>9760615</v>
      </c>
      <c r="L53" s="48"/>
      <c r="M53" s="48">
        <v>16058004310</v>
      </c>
      <c r="N53" s="48"/>
      <c r="O53" s="48">
        <v>16058004310</v>
      </c>
      <c r="P53" s="48"/>
      <c r="Q53" s="48">
        <v>0</v>
      </c>
      <c r="R53" s="48"/>
    </row>
    <row r="54" spans="1:18">
      <c r="A54" s="48" t="s">
        <v>130</v>
      </c>
      <c r="B54" s="48"/>
      <c r="C54" s="48">
        <v>24127841</v>
      </c>
      <c r="D54" s="48"/>
      <c r="E54" s="48">
        <v>35074052536</v>
      </c>
      <c r="F54" s="48"/>
      <c r="G54" s="48">
        <v>35083629326</v>
      </c>
      <c r="H54" s="48"/>
      <c r="I54" s="48">
        <v>-9576790</v>
      </c>
      <c r="J54" s="48"/>
      <c r="K54" s="48">
        <v>24127841</v>
      </c>
      <c r="L54" s="48"/>
      <c r="M54" s="48">
        <v>35074052536</v>
      </c>
      <c r="N54" s="48"/>
      <c r="O54" s="48">
        <v>35083629326</v>
      </c>
      <c r="P54" s="48"/>
      <c r="Q54" s="48">
        <v>-9576790</v>
      </c>
      <c r="R54" s="48"/>
    </row>
    <row r="55" spans="1:18">
      <c r="A55" s="48" t="s">
        <v>190</v>
      </c>
      <c r="B55" s="48"/>
      <c r="C55" s="48">
        <v>3641112</v>
      </c>
      <c r="D55" s="48"/>
      <c r="E55" s="48">
        <v>11619299313</v>
      </c>
      <c r="F55" s="48"/>
      <c r="G55" s="48">
        <v>11619299313</v>
      </c>
      <c r="H55" s="48"/>
      <c r="I55" s="48">
        <v>0</v>
      </c>
      <c r="J55" s="48"/>
      <c r="K55" s="48">
        <v>3641112</v>
      </c>
      <c r="L55" s="48"/>
      <c r="M55" s="48">
        <v>11619299313</v>
      </c>
      <c r="N55" s="48"/>
      <c r="O55" s="48">
        <v>11619299313</v>
      </c>
      <c r="P55" s="48"/>
      <c r="Q55" s="48">
        <v>0</v>
      </c>
      <c r="R55" s="48"/>
    </row>
    <row r="56" spans="1:18">
      <c r="A56" s="48" t="s">
        <v>191</v>
      </c>
      <c r="B56" s="48"/>
      <c r="C56" s="48">
        <v>4607801</v>
      </c>
      <c r="D56" s="48"/>
      <c r="E56" s="48">
        <v>35205806777</v>
      </c>
      <c r="F56" s="48"/>
      <c r="G56" s="48">
        <v>35205806777</v>
      </c>
      <c r="H56" s="48"/>
      <c r="I56" s="48">
        <v>0</v>
      </c>
      <c r="J56" s="48"/>
      <c r="K56" s="48">
        <v>4607801</v>
      </c>
      <c r="L56" s="48"/>
      <c r="M56" s="48">
        <v>35205806777</v>
      </c>
      <c r="N56" s="48"/>
      <c r="O56" s="48">
        <v>35205806777</v>
      </c>
      <c r="P56" s="48"/>
      <c r="Q56" s="48">
        <v>0</v>
      </c>
      <c r="R56" s="48"/>
    </row>
    <row r="57" spans="1:18">
      <c r="A57" s="48" t="s">
        <v>192</v>
      </c>
      <c r="B57" s="48"/>
      <c r="C57" s="48">
        <v>1111278</v>
      </c>
      <c r="D57" s="48"/>
      <c r="E57" s="48">
        <v>26354238923</v>
      </c>
      <c r="F57" s="48"/>
      <c r="G57" s="48">
        <v>26354238923</v>
      </c>
      <c r="H57" s="48"/>
      <c r="I57" s="48">
        <v>0</v>
      </c>
      <c r="J57" s="48"/>
      <c r="K57" s="48">
        <v>1111278</v>
      </c>
      <c r="L57" s="48"/>
      <c r="M57" s="48">
        <v>26354238923</v>
      </c>
      <c r="N57" s="48"/>
      <c r="O57" s="48">
        <v>26354238923</v>
      </c>
      <c r="P57" s="48"/>
      <c r="Q57" s="48">
        <v>0</v>
      </c>
      <c r="R57" s="48"/>
    </row>
    <row r="58" spans="1:18">
      <c r="A58" s="48" t="s">
        <v>193</v>
      </c>
      <c r="B58" s="48"/>
      <c r="C58" s="48">
        <v>5580504</v>
      </c>
      <c r="D58" s="48"/>
      <c r="E58" s="48">
        <v>29680285534</v>
      </c>
      <c r="F58" s="48"/>
      <c r="G58" s="48">
        <v>29680285534</v>
      </c>
      <c r="H58" s="48"/>
      <c r="I58" s="48">
        <v>0</v>
      </c>
      <c r="J58" s="48"/>
      <c r="K58" s="48">
        <v>5580504</v>
      </c>
      <c r="L58" s="48"/>
      <c r="M58" s="48">
        <v>29680285534</v>
      </c>
      <c r="N58" s="48"/>
      <c r="O58" s="48">
        <v>29680285534</v>
      </c>
      <c r="P58" s="48"/>
      <c r="Q58" s="48">
        <v>0</v>
      </c>
      <c r="R58" s="48"/>
    </row>
    <row r="59" spans="1:18">
      <c r="A59" s="48" t="s">
        <v>194</v>
      </c>
      <c r="B59" s="48"/>
      <c r="C59" s="48">
        <v>940025</v>
      </c>
      <c r="D59" s="48"/>
      <c r="E59" s="48">
        <v>23020482415</v>
      </c>
      <c r="F59" s="48"/>
      <c r="G59" s="48">
        <v>23020482415</v>
      </c>
      <c r="H59" s="48"/>
      <c r="I59" s="48">
        <v>0</v>
      </c>
      <c r="J59" s="48"/>
      <c r="K59" s="48">
        <v>940025</v>
      </c>
      <c r="L59" s="48"/>
      <c r="M59" s="48">
        <v>23020482415</v>
      </c>
      <c r="N59" s="48"/>
      <c r="O59" s="48">
        <v>23020482415</v>
      </c>
      <c r="P59" s="48"/>
      <c r="Q59" s="48">
        <v>0</v>
      </c>
      <c r="R59" s="48"/>
    </row>
    <row r="60" spans="1:18">
      <c r="A60" s="48" t="s">
        <v>195</v>
      </c>
      <c r="B60" s="48"/>
      <c r="C60" s="48">
        <v>5599143</v>
      </c>
      <c r="D60" s="48"/>
      <c r="E60" s="48">
        <v>27390397809</v>
      </c>
      <c r="F60" s="48"/>
      <c r="G60" s="48">
        <v>27390397809</v>
      </c>
      <c r="H60" s="48"/>
      <c r="I60" s="48">
        <v>0</v>
      </c>
      <c r="J60" s="48"/>
      <c r="K60" s="48">
        <v>5599143</v>
      </c>
      <c r="L60" s="48"/>
      <c r="M60" s="48">
        <v>27390397809</v>
      </c>
      <c r="N60" s="48"/>
      <c r="O60" s="48">
        <v>27390397809</v>
      </c>
      <c r="P60" s="48"/>
      <c r="Q60" s="48">
        <v>0</v>
      </c>
      <c r="R60" s="48"/>
    </row>
    <row r="61" spans="1:18">
      <c r="A61" s="48" t="s">
        <v>196</v>
      </c>
      <c r="B61" s="48"/>
      <c r="C61" s="48">
        <v>4929408</v>
      </c>
      <c r="D61" s="48"/>
      <c r="E61" s="48">
        <v>30277169755</v>
      </c>
      <c r="F61" s="48"/>
      <c r="G61" s="48">
        <v>30277169755</v>
      </c>
      <c r="H61" s="48"/>
      <c r="I61" s="48">
        <v>0</v>
      </c>
      <c r="J61" s="48"/>
      <c r="K61" s="48">
        <v>4929408</v>
      </c>
      <c r="L61" s="48"/>
      <c r="M61" s="48">
        <v>30277169755</v>
      </c>
      <c r="N61" s="48"/>
      <c r="O61" s="48">
        <v>30277169755</v>
      </c>
      <c r="P61" s="48"/>
      <c r="Q61" s="48">
        <v>0</v>
      </c>
      <c r="R61" s="48"/>
    </row>
    <row r="62" spans="1:18">
      <c r="A62" s="48" t="s">
        <v>197</v>
      </c>
      <c r="B62" s="48"/>
      <c r="C62" s="48">
        <v>2428938</v>
      </c>
      <c r="D62" s="48"/>
      <c r="E62" s="48">
        <v>19088485489</v>
      </c>
      <c r="F62" s="48"/>
      <c r="G62" s="48">
        <v>19088485489</v>
      </c>
      <c r="H62" s="48"/>
      <c r="I62" s="48">
        <v>0</v>
      </c>
      <c r="J62" s="48"/>
      <c r="K62" s="48">
        <v>2428938</v>
      </c>
      <c r="L62" s="48"/>
      <c r="M62" s="48">
        <v>19088485489</v>
      </c>
      <c r="N62" s="48"/>
      <c r="O62" s="48">
        <v>19088485489</v>
      </c>
      <c r="P62" s="48"/>
      <c r="Q62" s="48">
        <v>0</v>
      </c>
      <c r="R62" s="48"/>
    </row>
    <row r="63" spans="1:18">
      <c r="A63" s="48" t="s">
        <v>198</v>
      </c>
      <c r="B63" s="48"/>
      <c r="C63" s="48">
        <v>2649593</v>
      </c>
      <c r="D63" s="48"/>
      <c r="E63" s="48">
        <v>24450738309</v>
      </c>
      <c r="F63" s="48"/>
      <c r="G63" s="48">
        <v>24450738309</v>
      </c>
      <c r="H63" s="48"/>
      <c r="I63" s="48">
        <v>0</v>
      </c>
      <c r="J63" s="48"/>
      <c r="K63" s="48">
        <v>2649593</v>
      </c>
      <c r="L63" s="48"/>
      <c r="M63" s="48">
        <v>24450738309</v>
      </c>
      <c r="N63" s="48"/>
      <c r="O63" s="48">
        <v>24450738309</v>
      </c>
      <c r="P63" s="48"/>
      <c r="Q63" s="48">
        <v>0</v>
      </c>
      <c r="R63" s="48"/>
    </row>
    <row r="64" spans="1:18">
      <c r="A64" s="48" t="s">
        <v>199</v>
      </c>
      <c r="B64" s="48"/>
      <c r="C64" s="48">
        <v>1133693</v>
      </c>
      <c r="D64" s="48"/>
      <c r="E64" s="48">
        <v>9595649088</v>
      </c>
      <c r="F64" s="48"/>
      <c r="G64" s="48">
        <v>9595649088</v>
      </c>
      <c r="H64" s="48"/>
      <c r="I64" s="48">
        <v>0</v>
      </c>
      <c r="J64" s="48"/>
      <c r="K64" s="48">
        <v>1133693</v>
      </c>
      <c r="L64" s="48"/>
      <c r="M64" s="48">
        <v>9595649088</v>
      </c>
      <c r="N64" s="48"/>
      <c r="O64" s="48">
        <v>9595649088</v>
      </c>
      <c r="P64" s="48"/>
      <c r="Q64" s="48">
        <v>0</v>
      </c>
      <c r="R64" s="48"/>
    </row>
    <row r="65" spans="1:18">
      <c r="A65" s="48" t="s">
        <v>200</v>
      </c>
      <c r="B65" s="48"/>
      <c r="C65" s="48">
        <v>16854222</v>
      </c>
      <c r="D65" s="48"/>
      <c r="E65" s="48">
        <v>24333331047</v>
      </c>
      <c r="F65" s="48"/>
      <c r="G65" s="48">
        <v>24333331047</v>
      </c>
      <c r="H65" s="48"/>
      <c r="I65" s="48">
        <v>0</v>
      </c>
      <c r="J65" s="48"/>
      <c r="K65" s="48">
        <v>16854222</v>
      </c>
      <c r="L65" s="48"/>
      <c r="M65" s="48">
        <v>24333331047</v>
      </c>
      <c r="N65" s="48"/>
      <c r="O65" s="48">
        <v>24333331047</v>
      </c>
      <c r="P65" s="48"/>
      <c r="Q65" s="48">
        <v>0</v>
      </c>
      <c r="R65" s="48"/>
    </row>
    <row r="66" spans="1:18">
      <c r="A66" s="48" t="s">
        <v>201</v>
      </c>
      <c r="B66" s="48"/>
      <c r="C66" s="48">
        <v>1125246</v>
      </c>
      <c r="D66" s="48"/>
      <c r="E66" s="48">
        <v>14224819589</v>
      </c>
      <c r="F66" s="48"/>
      <c r="G66" s="48">
        <v>14224819589</v>
      </c>
      <c r="H66" s="48"/>
      <c r="I66" s="48">
        <v>0</v>
      </c>
      <c r="J66" s="48"/>
      <c r="K66" s="48">
        <v>1125246</v>
      </c>
      <c r="L66" s="48"/>
      <c r="M66" s="48">
        <v>14224819589</v>
      </c>
      <c r="N66" s="48"/>
      <c r="O66" s="48">
        <v>14224819589</v>
      </c>
      <c r="P66" s="48"/>
      <c r="Q66" s="48">
        <v>0</v>
      </c>
      <c r="R66" s="48"/>
    </row>
    <row r="67" spans="1:18">
      <c r="A67" s="48" t="s">
        <v>202</v>
      </c>
      <c r="B67" s="48"/>
      <c r="C67" s="48">
        <v>18020136</v>
      </c>
      <c r="D67" s="48"/>
      <c r="E67" s="48">
        <v>27500732456</v>
      </c>
      <c r="F67" s="48"/>
      <c r="G67" s="48">
        <v>27500732456</v>
      </c>
      <c r="H67" s="48"/>
      <c r="I67" s="48">
        <v>0</v>
      </c>
      <c r="J67" s="48"/>
      <c r="K67" s="48">
        <v>18020136</v>
      </c>
      <c r="L67" s="48"/>
      <c r="M67" s="48">
        <v>27500732456</v>
      </c>
      <c r="N67" s="48"/>
      <c r="O67" s="48">
        <v>27500732456</v>
      </c>
      <c r="P67" s="48"/>
      <c r="Q67" s="48">
        <v>0</v>
      </c>
      <c r="R67" s="48"/>
    </row>
    <row r="68" spans="1:18">
      <c r="A68" s="48" t="s">
        <v>121</v>
      </c>
      <c r="B68" s="48"/>
      <c r="C68" s="48">
        <v>18378584</v>
      </c>
      <c r="D68" s="48"/>
      <c r="E68" s="48">
        <v>22412680064</v>
      </c>
      <c r="F68" s="48"/>
      <c r="G68" s="48">
        <v>22418861395</v>
      </c>
      <c r="H68" s="48"/>
      <c r="I68" s="48">
        <v>-6181331</v>
      </c>
      <c r="J68" s="48"/>
      <c r="K68" s="48">
        <v>18378584</v>
      </c>
      <c r="L68" s="48"/>
      <c r="M68" s="48">
        <v>22412680064</v>
      </c>
      <c r="N68" s="48"/>
      <c r="O68" s="48">
        <v>22418861395</v>
      </c>
      <c r="P68" s="48"/>
      <c r="Q68" s="48">
        <v>-6181331</v>
      </c>
      <c r="R68" s="48"/>
    </row>
    <row r="69" spans="1:18">
      <c r="A69" s="48" t="s">
        <v>203</v>
      </c>
      <c r="B69" s="48"/>
      <c r="C69" s="48">
        <v>9169674</v>
      </c>
      <c r="D69" s="48"/>
      <c r="E69" s="48">
        <v>29243518838</v>
      </c>
      <c r="F69" s="48"/>
      <c r="G69" s="48">
        <v>29243518838</v>
      </c>
      <c r="H69" s="48"/>
      <c r="I69" s="48">
        <v>0</v>
      </c>
      <c r="J69" s="48"/>
      <c r="K69" s="48">
        <v>9169674</v>
      </c>
      <c r="L69" s="48"/>
      <c r="M69" s="48">
        <v>29243518838</v>
      </c>
      <c r="N69" s="48"/>
      <c r="O69" s="48">
        <v>29243518838</v>
      </c>
      <c r="P69" s="48"/>
      <c r="Q69" s="48">
        <v>0</v>
      </c>
      <c r="R69" s="48"/>
    </row>
    <row r="70" spans="1:18">
      <c r="A70" s="48" t="s">
        <v>204</v>
      </c>
      <c r="B70" s="48"/>
      <c r="C70" s="48">
        <v>562500</v>
      </c>
      <c r="D70" s="48"/>
      <c r="E70" s="48">
        <v>4632660562</v>
      </c>
      <c r="F70" s="48"/>
      <c r="G70" s="48">
        <v>4632660562</v>
      </c>
      <c r="H70" s="48"/>
      <c r="I70" s="48">
        <v>0</v>
      </c>
      <c r="J70" s="48"/>
      <c r="K70" s="48">
        <v>562500</v>
      </c>
      <c r="L70" s="48"/>
      <c r="M70" s="48">
        <v>4632660562</v>
      </c>
      <c r="N70" s="48"/>
      <c r="O70" s="48">
        <v>4632660562</v>
      </c>
      <c r="P70" s="48"/>
      <c r="Q70" s="48">
        <v>0</v>
      </c>
      <c r="R70" s="48"/>
    </row>
    <row r="71" spans="1:18">
      <c r="A71" s="48" t="s">
        <v>205</v>
      </c>
      <c r="B71" s="48"/>
      <c r="C71" s="48">
        <v>3973870</v>
      </c>
      <c r="D71" s="48"/>
      <c r="E71" s="48">
        <v>19163718647</v>
      </c>
      <c r="F71" s="48"/>
      <c r="G71" s="48">
        <v>19163718647</v>
      </c>
      <c r="H71" s="48"/>
      <c r="I71" s="48">
        <v>0</v>
      </c>
      <c r="J71" s="48"/>
      <c r="K71" s="48">
        <v>3973870</v>
      </c>
      <c r="L71" s="48"/>
      <c r="M71" s="48">
        <v>19163718647</v>
      </c>
      <c r="N71" s="48"/>
      <c r="O71" s="48">
        <v>19163718647</v>
      </c>
      <c r="P71" s="48"/>
      <c r="Q71" s="48">
        <v>0</v>
      </c>
      <c r="R71" s="48"/>
    </row>
    <row r="72" spans="1:18">
      <c r="A72" s="48" t="s">
        <v>206</v>
      </c>
      <c r="B72" s="48"/>
      <c r="C72" s="48">
        <v>25600000</v>
      </c>
      <c r="D72" s="48"/>
      <c r="E72" s="48">
        <v>12802664448</v>
      </c>
      <c r="F72" s="48"/>
      <c r="G72" s="48">
        <v>12802664448</v>
      </c>
      <c r="H72" s="48"/>
      <c r="I72" s="48">
        <v>0</v>
      </c>
      <c r="J72" s="48"/>
      <c r="K72" s="48">
        <v>25600000</v>
      </c>
      <c r="L72" s="48"/>
      <c r="M72" s="48">
        <v>12802664448</v>
      </c>
      <c r="N72" s="48"/>
      <c r="O72" s="48">
        <v>12802664448</v>
      </c>
      <c r="P72" s="48"/>
      <c r="Q72" s="48">
        <v>0</v>
      </c>
      <c r="R72" s="48"/>
    </row>
    <row r="73" spans="1:18">
      <c r="A73" s="48" t="s">
        <v>207</v>
      </c>
      <c r="B73" s="48"/>
      <c r="C73" s="48">
        <v>11440020</v>
      </c>
      <c r="D73" s="48"/>
      <c r="E73" s="48">
        <v>33736921454</v>
      </c>
      <c r="F73" s="48"/>
      <c r="G73" s="48">
        <v>33736921454</v>
      </c>
      <c r="H73" s="48"/>
      <c r="I73" s="48">
        <v>0</v>
      </c>
      <c r="J73" s="48"/>
      <c r="K73" s="48">
        <v>11440020</v>
      </c>
      <c r="L73" s="48"/>
      <c r="M73" s="48">
        <v>33736921454</v>
      </c>
      <c r="N73" s="48"/>
      <c r="O73" s="48">
        <v>33736921454</v>
      </c>
      <c r="P73" s="48"/>
      <c r="Q73" s="48">
        <v>0</v>
      </c>
      <c r="R73" s="48"/>
    </row>
    <row r="74" spans="1:18">
      <c r="A74" s="48" t="s">
        <v>208</v>
      </c>
      <c r="B74" s="48"/>
      <c r="C74" s="48">
        <v>7640317</v>
      </c>
      <c r="D74" s="48"/>
      <c r="E74" s="48">
        <v>41090414835</v>
      </c>
      <c r="F74" s="48"/>
      <c r="G74" s="48">
        <v>41090414835</v>
      </c>
      <c r="H74" s="48"/>
      <c r="I74" s="48">
        <v>0</v>
      </c>
      <c r="J74" s="48"/>
      <c r="K74" s="48">
        <v>7640317</v>
      </c>
      <c r="L74" s="48"/>
      <c r="M74" s="48">
        <v>41090414835</v>
      </c>
      <c r="N74" s="48"/>
      <c r="O74" s="48">
        <v>41090414835</v>
      </c>
      <c r="P74" s="48"/>
      <c r="Q74" s="48">
        <v>0</v>
      </c>
      <c r="R74" s="48"/>
    </row>
    <row r="75" spans="1:18">
      <c r="A75" s="48" t="s">
        <v>209</v>
      </c>
      <c r="B75" s="48"/>
      <c r="C75" s="48">
        <v>12459071</v>
      </c>
      <c r="D75" s="48"/>
      <c r="E75" s="48">
        <v>20262567543</v>
      </c>
      <c r="F75" s="48"/>
      <c r="G75" s="48">
        <v>20262567543</v>
      </c>
      <c r="H75" s="48"/>
      <c r="I75" s="48">
        <v>0</v>
      </c>
      <c r="J75" s="48"/>
      <c r="K75" s="48">
        <v>12459071</v>
      </c>
      <c r="L75" s="48"/>
      <c r="M75" s="48">
        <v>20262567543</v>
      </c>
      <c r="N75" s="48"/>
      <c r="O75" s="48">
        <v>20262567543</v>
      </c>
      <c r="P75" s="48"/>
      <c r="Q75" s="48">
        <v>0</v>
      </c>
      <c r="R75" s="48"/>
    </row>
    <row r="76" spans="1:18">
      <c r="A76" s="48" t="s">
        <v>210</v>
      </c>
      <c r="B76" s="48"/>
      <c r="C76" s="48">
        <v>3380920</v>
      </c>
      <c r="D76" s="48"/>
      <c r="E76" s="48">
        <v>15801039650</v>
      </c>
      <c r="F76" s="48"/>
      <c r="G76" s="48">
        <v>15801039650</v>
      </c>
      <c r="H76" s="48"/>
      <c r="I76" s="48">
        <v>0</v>
      </c>
      <c r="J76" s="48"/>
      <c r="K76" s="48">
        <v>3380920</v>
      </c>
      <c r="L76" s="48"/>
      <c r="M76" s="48">
        <v>15801039650</v>
      </c>
      <c r="N76" s="48"/>
      <c r="O76" s="48">
        <v>15801039650</v>
      </c>
      <c r="P76" s="48"/>
      <c r="Q76" s="48">
        <v>0</v>
      </c>
      <c r="R76" s="48"/>
    </row>
    <row r="77" spans="1:18">
      <c r="A77" s="48" t="s">
        <v>138</v>
      </c>
      <c r="B77" s="48"/>
      <c r="C77" s="48">
        <v>926418</v>
      </c>
      <c r="D77" s="48"/>
      <c r="E77" s="48">
        <v>9125462143</v>
      </c>
      <c r="F77" s="48"/>
      <c r="G77" s="48">
        <v>9875714101</v>
      </c>
      <c r="H77" s="48"/>
      <c r="I77" s="48">
        <v>-750251958</v>
      </c>
      <c r="J77" s="48"/>
      <c r="K77" s="48">
        <v>926418</v>
      </c>
      <c r="L77" s="48"/>
      <c r="M77" s="48">
        <v>9125462143</v>
      </c>
      <c r="N77" s="48"/>
      <c r="O77" s="48">
        <v>9875714101</v>
      </c>
      <c r="P77" s="48"/>
      <c r="Q77" s="48">
        <v>-750251958</v>
      </c>
      <c r="R77" s="48"/>
    </row>
    <row r="78" spans="1:18">
      <c r="A78" s="48" t="s">
        <v>211</v>
      </c>
      <c r="B78" s="48"/>
      <c r="C78" s="48">
        <v>310965</v>
      </c>
      <c r="D78" s="48"/>
      <c r="E78" s="48">
        <v>2754526194</v>
      </c>
      <c r="F78" s="48"/>
      <c r="G78" s="48">
        <v>2004884233</v>
      </c>
      <c r="H78" s="48"/>
      <c r="I78" s="48">
        <v>749641961</v>
      </c>
      <c r="J78" s="48"/>
      <c r="K78" s="48">
        <v>310965</v>
      </c>
      <c r="L78" s="48"/>
      <c r="M78" s="48">
        <v>2754526194</v>
      </c>
      <c r="N78" s="48"/>
      <c r="O78" s="48">
        <v>2004884233</v>
      </c>
      <c r="P78" s="48"/>
      <c r="Q78" s="48">
        <v>749641961</v>
      </c>
      <c r="R78" s="48"/>
    </row>
    <row r="79" spans="1:18">
      <c r="A79" s="48" t="s">
        <v>145</v>
      </c>
      <c r="B79" s="48"/>
      <c r="C79" s="48">
        <v>860136</v>
      </c>
      <c r="D79" s="48"/>
      <c r="E79" s="48">
        <v>11590355480</v>
      </c>
      <c r="F79" s="48"/>
      <c r="G79" s="48">
        <v>11590355480</v>
      </c>
      <c r="H79" s="48"/>
      <c r="I79" s="48">
        <v>0</v>
      </c>
      <c r="J79" s="48"/>
      <c r="K79" s="48">
        <v>860136</v>
      </c>
      <c r="L79" s="48"/>
      <c r="M79" s="48">
        <v>11590355480</v>
      </c>
      <c r="N79" s="48"/>
      <c r="O79" s="48">
        <v>11590355480</v>
      </c>
      <c r="P79" s="48"/>
      <c r="Q79" s="48">
        <v>0</v>
      </c>
      <c r="R79" s="48"/>
    </row>
    <row r="80" spans="1:18">
      <c r="A80" s="48" t="s">
        <v>212</v>
      </c>
      <c r="B80" s="48"/>
      <c r="C80" s="48">
        <v>517391</v>
      </c>
      <c r="D80" s="48"/>
      <c r="E80" s="48">
        <v>16228307451</v>
      </c>
      <c r="F80" s="48"/>
      <c r="G80" s="48">
        <v>16228307451</v>
      </c>
      <c r="H80" s="48"/>
      <c r="I80" s="48">
        <v>0</v>
      </c>
      <c r="J80" s="48"/>
      <c r="K80" s="48">
        <v>517391</v>
      </c>
      <c r="L80" s="48"/>
      <c r="M80" s="48">
        <v>16228307451</v>
      </c>
      <c r="N80" s="48"/>
      <c r="O80" s="48">
        <v>16228307451</v>
      </c>
      <c r="P80" s="48"/>
      <c r="Q80" s="48">
        <v>0</v>
      </c>
      <c r="R80" s="48"/>
    </row>
    <row r="81" spans="1:18">
      <c r="A81" s="48" t="s">
        <v>213</v>
      </c>
      <c r="B81" s="48"/>
      <c r="C81" s="48">
        <v>3534630</v>
      </c>
      <c r="D81" s="48"/>
      <c r="E81" s="48">
        <v>18308144159</v>
      </c>
      <c r="F81" s="48"/>
      <c r="G81" s="48">
        <v>18308144159</v>
      </c>
      <c r="H81" s="48"/>
      <c r="I81" s="48">
        <v>0</v>
      </c>
      <c r="J81" s="48"/>
      <c r="K81" s="48">
        <v>3534630</v>
      </c>
      <c r="L81" s="48"/>
      <c r="M81" s="48">
        <v>18308144159</v>
      </c>
      <c r="N81" s="48"/>
      <c r="O81" s="48">
        <v>18308144159</v>
      </c>
      <c r="P81" s="48"/>
      <c r="Q81" s="48">
        <v>0</v>
      </c>
      <c r="R81" s="48"/>
    </row>
    <row r="82" spans="1:18">
      <c r="A82" s="48" t="s">
        <v>214</v>
      </c>
      <c r="B82" s="48"/>
      <c r="C82" s="48">
        <v>3250000</v>
      </c>
      <c r="D82" s="48"/>
      <c r="E82" s="48">
        <v>3537690617</v>
      </c>
      <c r="F82" s="48"/>
      <c r="G82" s="48">
        <v>3537690617</v>
      </c>
      <c r="H82" s="48"/>
      <c r="I82" s="48">
        <v>0</v>
      </c>
      <c r="J82" s="48"/>
      <c r="K82" s="48">
        <v>3250000</v>
      </c>
      <c r="L82" s="48"/>
      <c r="M82" s="48">
        <v>3537690617</v>
      </c>
      <c r="N82" s="48"/>
      <c r="O82" s="48">
        <v>3537690617</v>
      </c>
      <c r="P82" s="48"/>
      <c r="Q82" s="48">
        <v>0</v>
      </c>
      <c r="R82" s="48"/>
    </row>
    <row r="83" spans="1:18">
      <c r="A83" s="48" t="s">
        <v>215</v>
      </c>
      <c r="B83" s="48"/>
      <c r="C83" s="48">
        <v>4215293</v>
      </c>
      <c r="D83" s="48"/>
      <c r="E83" s="48">
        <v>15685157944</v>
      </c>
      <c r="F83" s="48"/>
      <c r="G83" s="48">
        <v>15685157944</v>
      </c>
      <c r="H83" s="48"/>
      <c r="I83" s="48">
        <v>0</v>
      </c>
      <c r="J83" s="48"/>
      <c r="K83" s="48">
        <v>4215293</v>
      </c>
      <c r="L83" s="48"/>
      <c r="M83" s="48">
        <v>15685157944</v>
      </c>
      <c r="N83" s="48"/>
      <c r="O83" s="48">
        <v>15685157944</v>
      </c>
      <c r="P83" s="48"/>
      <c r="Q83" s="48">
        <v>0</v>
      </c>
      <c r="R83" s="48"/>
    </row>
    <row r="84" spans="1:18">
      <c r="A84" s="48" t="s">
        <v>216</v>
      </c>
      <c r="B84" s="48"/>
      <c r="C84" s="48">
        <v>2874653</v>
      </c>
      <c r="D84" s="48"/>
      <c r="E84" s="48">
        <v>19510634417</v>
      </c>
      <c r="F84" s="48"/>
      <c r="G84" s="48">
        <v>19510634417</v>
      </c>
      <c r="H84" s="48"/>
      <c r="I84" s="48">
        <v>0</v>
      </c>
      <c r="J84" s="48"/>
      <c r="K84" s="48">
        <v>2874653</v>
      </c>
      <c r="L84" s="48"/>
      <c r="M84" s="48">
        <v>19510634417</v>
      </c>
      <c r="N84" s="48"/>
      <c r="O84" s="48">
        <v>19510634417</v>
      </c>
      <c r="P84" s="48"/>
      <c r="Q84" s="48">
        <v>0</v>
      </c>
      <c r="R84" s="48"/>
    </row>
    <row r="85" spans="1:18">
      <c r="A85" s="48" t="s">
        <v>217</v>
      </c>
      <c r="B85" s="48"/>
      <c r="C85" s="48">
        <v>84882</v>
      </c>
      <c r="D85" s="48"/>
      <c r="E85" s="48">
        <v>10580452802</v>
      </c>
      <c r="F85" s="48"/>
      <c r="G85" s="48">
        <v>10580452802</v>
      </c>
      <c r="H85" s="48"/>
      <c r="I85" s="48">
        <v>0</v>
      </c>
      <c r="J85" s="48"/>
      <c r="K85" s="48">
        <v>84882</v>
      </c>
      <c r="L85" s="48"/>
      <c r="M85" s="48">
        <v>10580452802</v>
      </c>
      <c r="N85" s="48"/>
      <c r="O85" s="48">
        <v>10580452802</v>
      </c>
      <c r="P85" s="48"/>
      <c r="Q85" s="48">
        <v>0</v>
      </c>
      <c r="R85" s="48"/>
    </row>
    <row r="86" spans="1:18">
      <c r="A86" s="48" t="s">
        <v>218</v>
      </c>
      <c r="B86" s="48"/>
      <c r="C86" s="48">
        <v>612681</v>
      </c>
      <c r="D86" s="48"/>
      <c r="E86" s="48">
        <v>18524083415</v>
      </c>
      <c r="F86" s="48"/>
      <c r="G86" s="48">
        <v>18524083415</v>
      </c>
      <c r="H86" s="48"/>
      <c r="I86" s="48">
        <v>0</v>
      </c>
      <c r="J86" s="48"/>
      <c r="K86" s="48">
        <v>612681</v>
      </c>
      <c r="L86" s="48"/>
      <c r="M86" s="48">
        <v>18524083415</v>
      </c>
      <c r="N86" s="48"/>
      <c r="O86" s="48">
        <v>18524083415</v>
      </c>
      <c r="P86" s="48"/>
      <c r="Q86" s="48">
        <v>0</v>
      </c>
      <c r="R86" s="48"/>
    </row>
    <row r="87" spans="1:18">
      <c r="A87" s="48" t="s">
        <v>219</v>
      </c>
      <c r="B87" s="48"/>
      <c r="C87" s="48">
        <v>3983350</v>
      </c>
      <c r="D87" s="48"/>
      <c r="E87" s="48">
        <v>14442649506</v>
      </c>
      <c r="F87" s="48"/>
      <c r="G87" s="48">
        <v>14442649506</v>
      </c>
      <c r="H87" s="48"/>
      <c r="I87" s="48">
        <v>0</v>
      </c>
      <c r="J87" s="48"/>
      <c r="K87" s="48">
        <v>3983350</v>
      </c>
      <c r="L87" s="48"/>
      <c r="M87" s="48">
        <v>14442649506</v>
      </c>
      <c r="N87" s="48"/>
      <c r="O87" s="48">
        <v>14442649506</v>
      </c>
      <c r="P87" s="48"/>
      <c r="Q87" s="48">
        <v>0</v>
      </c>
      <c r="R87" s="48"/>
    </row>
    <row r="88" spans="1:18">
      <c r="A88" s="48" t="s">
        <v>220</v>
      </c>
      <c r="B88" s="48"/>
      <c r="C88" s="48">
        <v>2830564</v>
      </c>
      <c r="D88" s="48"/>
      <c r="E88" s="48">
        <v>22357122573</v>
      </c>
      <c r="F88" s="48"/>
      <c r="G88" s="48">
        <v>22357122573</v>
      </c>
      <c r="H88" s="48"/>
      <c r="I88" s="48">
        <v>0</v>
      </c>
      <c r="J88" s="48"/>
      <c r="K88" s="48">
        <v>2830564</v>
      </c>
      <c r="L88" s="48"/>
      <c r="M88" s="48">
        <v>22357122573</v>
      </c>
      <c r="N88" s="48"/>
      <c r="O88" s="48">
        <v>22357122573</v>
      </c>
      <c r="P88" s="48"/>
      <c r="Q88" s="48">
        <v>0</v>
      </c>
      <c r="R88" s="48"/>
    </row>
    <row r="89" spans="1:18">
      <c r="A89" s="48" t="s">
        <v>221</v>
      </c>
      <c r="B89" s="48"/>
      <c r="C89" s="48">
        <v>2001235</v>
      </c>
      <c r="D89" s="48"/>
      <c r="E89" s="48">
        <v>17593881918</v>
      </c>
      <c r="F89" s="48"/>
      <c r="G89" s="48">
        <v>17593881918</v>
      </c>
      <c r="H89" s="48"/>
      <c r="I89" s="48">
        <v>0</v>
      </c>
      <c r="J89" s="48"/>
      <c r="K89" s="48">
        <v>2001235</v>
      </c>
      <c r="L89" s="48"/>
      <c r="M89" s="48">
        <v>17593881918</v>
      </c>
      <c r="N89" s="48"/>
      <c r="O89" s="48">
        <v>17593881918</v>
      </c>
      <c r="P89" s="48"/>
      <c r="Q89" s="48">
        <v>0</v>
      </c>
      <c r="R89" s="48"/>
    </row>
    <row r="90" spans="1:18">
      <c r="A90" s="48" t="s">
        <v>222</v>
      </c>
      <c r="B90" s="48"/>
      <c r="C90" s="48">
        <v>5476907</v>
      </c>
      <c r="D90" s="48"/>
      <c r="E90" s="48">
        <v>22221958811</v>
      </c>
      <c r="F90" s="48"/>
      <c r="G90" s="48">
        <v>22221958811</v>
      </c>
      <c r="H90" s="48"/>
      <c r="I90" s="48">
        <v>0</v>
      </c>
      <c r="J90" s="48"/>
      <c r="K90" s="48">
        <v>5476907</v>
      </c>
      <c r="L90" s="48"/>
      <c r="M90" s="48">
        <v>22221958811</v>
      </c>
      <c r="N90" s="48"/>
      <c r="O90" s="48">
        <v>22221958811</v>
      </c>
      <c r="P90" s="48"/>
      <c r="Q90" s="48">
        <v>0</v>
      </c>
      <c r="R90" s="48"/>
    </row>
    <row r="91" spans="1:18">
      <c r="A91" s="48" t="s">
        <v>223</v>
      </c>
      <c r="B91" s="48"/>
      <c r="C91" s="48">
        <v>2800000</v>
      </c>
      <c r="D91" s="48"/>
      <c r="E91" s="48">
        <v>21337774080</v>
      </c>
      <c r="F91" s="48"/>
      <c r="G91" s="48">
        <v>21337774080</v>
      </c>
      <c r="H91" s="48"/>
      <c r="I91" s="48">
        <v>0</v>
      </c>
      <c r="J91" s="48"/>
      <c r="K91" s="48">
        <v>2800000</v>
      </c>
      <c r="L91" s="48"/>
      <c r="M91" s="48">
        <v>21337774080</v>
      </c>
      <c r="N91" s="48"/>
      <c r="O91" s="48">
        <v>21337774080</v>
      </c>
      <c r="P91" s="48"/>
      <c r="Q91" s="48">
        <v>0</v>
      </c>
      <c r="R91" s="48"/>
    </row>
    <row r="92" spans="1:18">
      <c r="A92" s="48" t="s">
        <v>224</v>
      </c>
      <c r="B92" s="48"/>
      <c r="C92" s="48">
        <v>2913758</v>
      </c>
      <c r="D92" s="48"/>
      <c r="E92" s="48">
        <v>27871502032</v>
      </c>
      <c r="F92" s="48"/>
      <c r="G92" s="48">
        <v>27871502032</v>
      </c>
      <c r="H92" s="48"/>
      <c r="I92" s="48">
        <v>0</v>
      </c>
      <c r="J92" s="48"/>
      <c r="K92" s="48">
        <v>2913758</v>
      </c>
      <c r="L92" s="48"/>
      <c r="M92" s="48">
        <v>27871502032</v>
      </c>
      <c r="N92" s="48"/>
      <c r="O92" s="48">
        <v>27871502032</v>
      </c>
      <c r="P92" s="48"/>
      <c r="Q92" s="48">
        <v>0</v>
      </c>
      <c r="R92" s="48"/>
    </row>
    <row r="93" spans="1:18">
      <c r="A93" s="48" t="s">
        <v>136</v>
      </c>
      <c r="B93" s="48"/>
      <c r="C93" s="48">
        <v>1209154</v>
      </c>
      <c r="D93" s="48"/>
      <c r="E93" s="48">
        <v>9220518636</v>
      </c>
      <c r="F93" s="48"/>
      <c r="G93" s="48">
        <v>14913603988</v>
      </c>
      <c r="H93" s="48"/>
      <c r="I93" s="48">
        <v>-5693085352</v>
      </c>
      <c r="J93" s="48"/>
      <c r="K93" s="48">
        <v>1209154</v>
      </c>
      <c r="L93" s="48"/>
      <c r="M93" s="48">
        <v>9220518636</v>
      </c>
      <c r="N93" s="48"/>
      <c r="O93" s="48">
        <v>14913603988</v>
      </c>
      <c r="P93" s="48"/>
      <c r="Q93" s="48">
        <v>-5693085352</v>
      </c>
      <c r="R93" s="48"/>
    </row>
    <row r="94" spans="1:18">
      <c r="A94" s="48" t="s">
        <v>225</v>
      </c>
      <c r="B94" s="48"/>
      <c r="C94" s="48">
        <v>1813731</v>
      </c>
      <c r="D94" s="48"/>
      <c r="E94" s="48">
        <v>20570695123</v>
      </c>
      <c r="F94" s="48"/>
      <c r="G94" s="48">
        <v>20570695123</v>
      </c>
      <c r="H94" s="48"/>
      <c r="I94" s="48">
        <v>0</v>
      </c>
      <c r="J94" s="48"/>
      <c r="K94" s="48">
        <v>1813731</v>
      </c>
      <c r="L94" s="48"/>
      <c r="M94" s="48">
        <v>20570695123</v>
      </c>
      <c r="N94" s="48"/>
      <c r="O94" s="48">
        <v>20570695123</v>
      </c>
      <c r="P94" s="48"/>
      <c r="Q94" s="48">
        <v>0</v>
      </c>
      <c r="R94" s="48"/>
    </row>
    <row r="95" spans="1:18">
      <c r="A95" s="48" t="s">
        <v>226</v>
      </c>
      <c r="B95" s="48"/>
      <c r="C95" s="48">
        <v>104452</v>
      </c>
      <c r="D95" s="48"/>
      <c r="E95" s="48">
        <v>13160789535</v>
      </c>
      <c r="F95" s="48"/>
      <c r="G95" s="48">
        <v>13160789535</v>
      </c>
      <c r="H95" s="48"/>
      <c r="I95" s="48">
        <v>0</v>
      </c>
      <c r="J95" s="48"/>
      <c r="K95" s="48">
        <v>104452</v>
      </c>
      <c r="L95" s="48"/>
      <c r="M95" s="48">
        <v>13160789535</v>
      </c>
      <c r="N95" s="48"/>
      <c r="O95" s="48">
        <v>13160789535</v>
      </c>
      <c r="P95" s="48"/>
      <c r="Q95" s="48">
        <v>0</v>
      </c>
      <c r="R95" s="48"/>
    </row>
    <row r="96" spans="1:18">
      <c r="A96" s="48" t="s">
        <v>227</v>
      </c>
      <c r="B96" s="48"/>
      <c r="C96" s="48">
        <v>144247</v>
      </c>
      <c r="D96" s="48"/>
      <c r="E96" s="48">
        <v>913181973</v>
      </c>
      <c r="F96" s="48"/>
      <c r="G96" s="48">
        <v>913181973</v>
      </c>
      <c r="H96" s="48"/>
      <c r="I96" s="48">
        <v>0</v>
      </c>
      <c r="J96" s="48"/>
      <c r="K96" s="48">
        <v>144247</v>
      </c>
      <c r="L96" s="48"/>
      <c r="M96" s="48">
        <v>913181973</v>
      </c>
      <c r="N96" s="48"/>
      <c r="O96" s="48">
        <v>913181973</v>
      </c>
      <c r="P96" s="48"/>
      <c r="Q96" s="48">
        <v>0</v>
      </c>
      <c r="R96" s="48"/>
    </row>
    <row r="97" spans="1:18">
      <c r="A97" s="48" t="s">
        <v>228</v>
      </c>
      <c r="B97" s="48"/>
      <c r="C97" s="48">
        <v>336344</v>
      </c>
      <c r="D97" s="48"/>
      <c r="E97" s="48">
        <v>10663122745</v>
      </c>
      <c r="F97" s="48"/>
      <c r="G97" s="48">
        <v>10663122745</v>
      </c>
      <c r="H97" s="48"/>
      <c r="I97" s="48">
        <v>0</v>
      </c>
      <c r="J97" s="48"/>
      <c r="K97" s="48">
        <v>336344</v>
      </c>
      <c r="L97" s="48"/>
      <c r="M97" s="48">
        <v>10663122745</v>
      </c>
      <c r="N97" s="48"/>
      <c r="O97" s="48">
        <v>10663122745</v>
      </c>
      <c r="P97" s="48"/>
      <c r="Q97" s="48">
        <v>0</v>
      </c>
      <c r="R97" s="48"/>
    </row>
    <row r="98" spans="1:18">
      <c r="A98" s="48" t="s">
        <v>229</v>
      </c>
      <c r="B98" s="48"/>
      <c r="C98" s="48">
        <v>1824791</v>
      </c>
      <c r="D98" s="48"/>
      <c r="E98" s="48">
        <v>28427760239</v>
      </c>
      <c r="F98" s="48"/>
      <c r="G98" s="48">
        <v>28427760239</v>
      </c>
      <c r="H98" s="48"/>
      <c r="I98" s="48">
        <v>0</v>
      </c>
      <c r="J98" s="48"/>
      <c r="K98" s="48">
        <v>1824791</v>
      </c>
      <c r="L98" s="48"/>
      <c r="M98" s="48">
        <v>28427760239</v>
      </c>
      <c r="N98" s="48"/>
      <c r="O98" s="48">
        <v>28427760239</v>
      </c>
      <c r="P98" s="48"/>
      <c r="Q98" s="48">
        <v>0</v>
      </c>
      <c r="R98" s="48"/>
    </row>
    <row r="99" spans="1:18">
      <c r="A99" s="48" t="s">
        <v>230</v>
      </c>
      <c r="B99" s="48"/>
      <c r="C99" s="48">
        <v>1504289</v>
      </c>
      <c r="D99" s="48"/>
      <c r="E99" s="48">
        <v>16150590354</v>
      </c>
      <c r="F99" s="48"/>
      <c r="G99" s="48">
        <v>16150590354</v>
      </c>
      <c r="H99" s="48"/>
      <c r="I99" s="48">
        <v>0</v>
      </c>
      <c r="J99" s="48"/>
      <c r="K99" s="48">
        <v>1504289</v>
      </c>
      <c r="L99" s="48"/>
      <c r="M99" s="48">
        <v>16150590354</v>
      </c>
      <c r="N99" s="48"/>
      <c r="O99" s="48">
        <v>16150590354</v>
      </c>
      <c r="P99" s="48"/>
      <c r="Q99" s="48">
        <v>0</v>
      </c>
      <c r="R99" s="48"/>
    </row>
    <row r="100" spans="1:18">
      <c r="A100" s="48" t="s">
        <v>231</v>
      </c>
      <c r="B100" s="48"/>
      <c r="C100" s="48">
        <v>512506</v>
      </c>
      <c r="D100" s="48"/>
      <c r="E100" s="48">
        <v>17890589481</v>
      </c>
      <c r="F100" s="48"/>
      <c r="G100" s="48">
        <v>17890589481</v>
      </c>
      <c r="H100" s="48"/>
      <c r="I100" s="48">
        <v>0</v>
      </c>
      <c r="J100" s="48"/>
      <c r="K100" s="48">
        <v>512506</v>
      </c>
      <c r="L100" s="48"/>
      <c r="M100" s="48">
        <v>17890589481</v>
      </c>
      <c r="N100" s="48"/>
      <c r="O100" s="48">
        <v>17890589481</v>
      </c>
      <c r="P100" s="48"/>
      <c r="Q100" s="48">
        <v>0</v>
      </c>
      <c r="R100" s="48"/>
    </row>
    <row r="101" spans="1:18">
      <c r="A101" s="48" t="s">
        <v>232</v>
      </c>
      <c r="B101" s="48"/>
      <c r="C101" s="48">
        <v>21110</v>
      </c>
      <c r="D101" s="48"/>
      <c r="E101" s="48">
        <v>2291372607</v>
      </c>
      <c r="F101" s="48"/>
      <c r="G101" s="48">
        <v>2291372607</v>
      </c>
      <c r="H101" s="48"/>
      <c r="I101" s="48">
        <v>0</v>
      </c>
      <c r="J101" s="48"/>
      <c r="K101" s="48">
        <v>21110</v>
      </c>
      <c r="L101" s="48"/>
      <c r="M101" s="48">
        <v>2291372607</v>
      </c>
      <c r="N101" s="48"/>
      <c r="O101" s="48">
        <v>2291372607</v>
      </c>
      <c r="P101" s="48"/>
      <c r="Q101" s="48">
        <v>0</v>
      </c>
      <c r="R101" s="48"/>
    </row>
    <row r="102" spans="1:18">
      <c r="A102" s="48" t="s">
        <v>233</v>
      </c>
      <c r="B102" s="48"/>
      <c r="C102" s="48">
        <v>6761644</v>
      </c>
      <c r="D102" s="48"/>
      <c r="E102" s="48">
        <v>13606615526</v>
      </c>
      <c r="F102" s="48"/>
      <c r="G102" s="48">
        <v>13606615526</v>
      </c>
      <c r="H102" s="48"/>
      <c r="I102" s="48">
        <v>0</v>
      </c>
      <c r="J102" s="48"/>
      <c r="K102" s="48">
        <v>6761644</v>
      </c>
      <c r="L102" s="48"/>
      <c r="M102" s="48">
        <v>13606615526</v>
      </c>
      <c r="N102" s="48"/>
      <c r="O102" s="48">
        <v>13606615526</v>
      </c>
      <c r="P102" s="48"/>
      <c r="Q102" s="48">
        <v>0</v>
      </c>
      <c r="R102" s="48"/>
    </row>
    <row r="103" spans="1:18">
      <c r="A103" s="48" t="s">
        <v>234</v>
      </c>
      <c r="B103" s="48"/>
      <c r="C103" s="48">
        <v>520570</v>
      </c>
      <c r="D103" s="48"/>
      <c r="E103" s="48">
        <v>20982098272</v>
      </c>
      <c r="F103" s="48"/>
      <c r="G103" s="48">
        <v>20982098272</v>
      </c>
      <c r="H103" s="48"/>
      <c r="I103" s="48">
        <v>0</v>
      </c>
      <c r="J103" s="48"/>
      <c r="K103" s="48">
        <v>520570</v>
      </c>
      <c r="L103" s="48"/>
      <c r="M103" s="48">
        <v>20982098272</v>
      </c>
      <c r="N103" s="48"/>
      <c r="O103" s="48">
        <v>20982098272</v>
      </c>
      <c r="P103" s="48"/>
      <c r="Q103" s="48">
        <v>0</v>
      </c>
      <c r="R103" s="48"/>
    </row>
    <row r="104" spans="1:18">
      <c r="A104" s="48" t="s">
        <v>235</v>
      </c>
      <c r="B104" s="48"/>
      <c r="C104" s="48">
        <v>1155746</v>
      </c>
      <c r="D104" s="48"/>
      <c r="E104" s="48">
        <v>15745729905</v>
      </c>
      <c r="F104" s="48"/>
      <c r="G104" s="48">
        <v>15745729905</v>
      </c>
      <c r="H104" s="48"/>
      <c r="I104" s="48">
        <v>0</v>
      </c>
      <c r="J104" s="48"/>
      <c r="K104" s="48">
        <v>1155746</v>
      </c>
      <c r="L104" s="48"/>
      <c r="M104" s="48">
        <v>15745729905</v>
      </c>
      <c r="N104" s="48"/>
      <c r="O104" s="48">
        <v>15745729905</v>
      </c>
      <c r="P104" s="48"/>
      <c r="Q104" s="48">
        <v>0</v>
      </c>
      <c r="R104" s="48"/>
    </row>
    <row r="105" spans="1:18">
      <c r="A105" s="48" t="s">
        <v>236</v>
      </c>
      <c r="B105" s="48"/>
      <c r="C105" s="48">
        <v>3019851</v>
      </c>
      <c r="D105" s="48"/>
      <c r="E105" s="48">
        <v>8764784589</v>
      </c>
      <c r="F105" s="48"/>
      <c r="G105" s="48">
        <v>8764784589</v>
      </c>
      <c r="H105" s="48"/>
      <c r="I105" s="48">
        <v>0</v>
      </c>
      <c r="J105" s="48"/>
      <c r="K105" s="48">
        <v>3019851</v>
      </c>
      <c r="L105" s="48"/>
      <c r="M105" s="48">
        <v>8764784589</v>
      </c>
      <c r="N105" s="48"/>
      <c r="O105" s="48">
        <v>8764784589</v>
      </c>
      <c r="P105" s="48"/>
      <c r="Q105" s="48">
        <v>0</v>
      </c>
      <c r="R105" s="48"/>
    </row>
    <row r="106" spans="1:18">
      <c r="A106" s="48" t="s">
        <v>237</v>
      </c>
      <c r="B106" s="48"/>
      <c r="C106" s="48">
        <v>3863965</v>
      </c>
      <c r="D106" s="48"/>
      <c r="E106" s="48">
        <v>25343378199</v>
      </c>
      <c r="F106" s="48"/>
      <c r="G106" s="48">
        <v>25343378199</v>
      </c>
      <c r="H106" s="48"/>
      <c r="I106" s="48">
        <v>0</v>
      </c>
      <c r="J106" s="48"/>
      <c r="K106" s="48">
        <v>3863965</v>
      </c>
      <c r="L106" s="48"/>
      <c r="M106" s="48">
        <v>25343378199</v>
      </c>
      <c r="N106" s="48"/>
      <c r="O106" s="48">
        <v>25343378199</v>
      </c>
      <c r="P106" s="48"/>
      <c r="Q106" s="48">
        <v>0</v>
      </c>
      <c r="R106" s="48"/>
    </row>
    <row r="107" spans="1:18">
      <c r="A107" s="48" t="s">
        <v>238</v>
      </c>
      <c r="B107" s="48"/>
      <c r="C107" s="48">
        <v>1467107</v>
      </c>
      <c r="D107" s="48"/>
      <c r="E107" s="48">
        <v>24748026469</v>
      </c>
      <c r="F107" s="48"/>
      <c r="G107" s="48">
        <v>24748026469</v>
      </c>
      <c r="H107" s="48"/>
      <c r="I107" s="48">
        <v>0</v>
      </c>
      <c r="J107" s="48"/>
      <c r="K107" s="48">
        <v>1467107</v>
      </c>
      <c r="L107" s="48"/>
      <c r="M107" s="48">
        <v>24748026469</v>
      </c>
      <c r="N107" s="48"/>
      <c r="O107" s="48">
        <v>24748026469</v>
      </c>
      <c r="P107" s="48"/>
      <c r="Q107" s="48">
        <v>0</v>
      </c>
      <c r="R107" s="48"/>
    </row>
    <row r="108" spans="1:18">
      <c r="A108" s="48" t="s">
        <v>239</v>
      </c>
      <c r="B108" s="48"/>
      <c r="C108" s="48">
        <v>2277911</v>
      </c>
      <c r="D108" s="48"/>
      <c r="E108" s="48">
        <v>21111227666</v>
      </c>
      <c r="F108" s="48"/>
      <c r="G108" s="48">
        <v>21111227666</v>
      </c>
      <c r="H108" s="48"/>
      <c r="I108" s="48">
        <v>0</v>
      </c>
      <c r="J108" s="48"/>
      <c r="K108" s="48">
        <v>2277911</v>
      </c>
      <c r="L108" s="48"/>
      <c r="M108" s="48">
        <v>21111227666</v>
      </c>
      <c r="N108" s="48"/>
      <c r="O108" s="48">
        <v>21111227666</v>
      </c>
      <c r="P108" s="48"/>
      <c r="Q108" s="48">
        <v>0</v>
      </c>
      <c r="R108" s="48"/>
    </row>
    <row r="109" spans="1:18">
      <c r="A109" s="48" t="s">
        <v>240</v>
      </c>
      <c r="B109" s="48"/>
      <c r="C109" s="48">
        <v>22585402</v>
      </c>
      <c r="D109" s="48"/>
      <c r="E109" s="48">
        <v>42401265466</v>
      </c>
      <c r="F109" s="48"/>
      <c r="G109" s="48">
        <v>42401265466</v>
      </c>
      <c r="H109" s="48"/>
      <c r="I109" s="48">
        <v>0</v>
      </c>
      <c r="J109" s="48"/>
      <c r="K109" s="48">
        <v>22585402</v>
      </c>
      <c r="L109" s="48"/>
      <c r="M109" s="48">
        <v>42401265466</v>
      </c>
      <c r="N109" s="48"/>
      <c r="O109" s="48">
        <v>42401265466</v>
      </c>
      <c r="P109" s="48"/>
      <c r="Q109" s="48">
        <v>0</v>
      </c>
      <c r="R109" s="48"/>
    </row>
    <row r="110" spans="1:18">
      <c r="A110" s="48" t="s">
        <v>241</v>
      </c>
      <c r="B110" s="48"/>
      <c r="C110" s="48">
        <v>835696</v>
      </c>
      <c r="D110" s="48"/>
      <c r="E110" s="48">
        <v>20614808698</v>
      </c>
      <c r="F110" s="48"/>
      <c r="G110" s="48">
        <v>20614808698</v>
      </c>
      <c r="H110" s="48"/>
      <c r="I110" s="48">
        <v>0</v>
      </c>
      <c r="J110" s="48"/>
      <c r="K110" s="48">
        <v>835696</v>
      </c>
      <c r="L110" s="48"/>
      <c r="M110" s="48">
        <v>20614808698</v>
      </c>
      <c r="N110" s="48"/>
      <c r="O110" s="48">
        <v>20614808698</v>
      </c>
      <c r="P110" s="48"/>
      <c r="Q110" s="48">
        <v>0</v>
      </c>
      <c r="R110" s="48"/>
    </row>
    <row r="111" spans="1:18">
      <c r="A111" s="48" t="s">
        <v>242</v>
      </c>
      <c r="B111" s="48"/>
      <c r="C111" s="48">
        <v>200000</v>
      </c>
      <c r="D111" s="48"/>
      <c r="E111" s="48">
        <v>1210569400</v>
      </c>
      <c r="F111" s="48"/>
      <c r="G111" s="48">
        <v>1210569400</v>
      </c>
      <c r="H111" s="48"/>
      <c r="I111" s="48">
        <v>0</v>
      </c>
      <c r="J111" s="48"/>
      <c r="K111" s="48">
        <v>200000</v>
      </c>
      <c r="L111" s="48"/>
      <c r="M111" s="48">
        <v>1210569400</v>
      </c>
      <c r="N111" s="48"/>
      <c r="O111" s="48">
        <v>1210569400</v>
      </c>
      <c r="P111" s="48"/>
      <c r="Q111" s="48">
        <v>0</v>
      </c>
      <c r="R111" s="48"/>
    </row>
    <row r="112" spans="1:18">
      <c r="A112" s="48" t="s">
        <v>243</v>
      </c>
      <c r="B112" s="48"/>
      <c r="C112" s="48">
        <v>2478</v>
      </c>
      <c r="D112" s="48"/>
      <c r="E112" s="48">
        <v>664134051</v>
      </c>
      <c r="F112" s="48"/>
      <c r="G112" s="48">
        <v>664134051</v>
      </c>
      <c r="H112" s="48"/>
      <c r="I112" s="48">
        <v>0</v>
      </c>
      <c r="J112" s="48"/>
      <c r="K112" s="48">
        <v>2478</v>
      </c>
      <c r="L112" s="48"/>
      <c r="M112" s="48">
        <v>664134051</v>
      </c>
      <c r="N112" s="48"/>
      <c r="O112" s="48">
        <v>664134051</v>
      </c>
      <c r="P112" s="48"/>
      <c r="Q112" s="48">
        <v>0</v>
      </c>
      <c r="R112" s="48"/>
    </row>
    <row r="113" spans="1:18">
      <c r="A113" s="48" t="s">
        <v>244</v>
      </c>
      <c r="B113" s="48"/>
      <c r="C113" s="48">
        <v>249996</v>
      </c>
      <c r="D113" s="48"/>
      <c r="E113" s="48">
        <v>1478458644</v>
      </c>
      <c r="F113" s="48"/>
      <c r="G113" s="48">
        <v>1478458644</v>
      </c>
      <c r="H113" s="48"/>
      <c r="I113" s="48">
        <v>0</v>
      </c>
      <c r="J113" s="48"/>
      <c r="K113" s="48">
        <v>249996</v>
      </c>
      <c r="L113" s="48"/>
      <c r="M113" s="48">
        <v>1478458644</v>
      </c>
      <c r="N113" s="48"/>
      <c r="O113" s="48">
        <v>1478458644</v>
      </c>
      <c r="P113" s="48"/>
      <c r="Q113" s="48">
        <v>0</v>
      </c>
      <c r="R113" s="48"/>
    </row>
    <row r="114" spans="1:18">
      <c r="A114" s="48" t="s">
        <v>245</v>
      </c>
      <c r="B114" s="48"/>
      <c r="C114" s="48">
        <v>13572652</v>
      </c>
      <c r="D114" s="48"/>
      <c r="E114" s="48">
        <v>35298934484</v>
      </c>
      <c r="F114" s="48"/>
      <c r="G114" s="48">
        <v>35298934484</v>
      </c>
      <c r="H114" s="48"/>
      <c r="I114" s="48">
        <v>0</v>
      </c>
      <c r="J114" s="48"/>
      <c r="K114" s="48">
        <v>13572652</v>
      </c>
      <c r="L114" s="48"/>
      <c r="M114" s="48">
        <v>35298934484</v>
      </c>
      <c r="N114" s="48"/>
      <c r="O114" s="48">
        <v>35298934484</v>
      </c>
      <c r="P114" s="48"/>
      <c r="Q114" s="48">
        <v>0</v>
      </c>
      <c r="R114" s="48"/>
    </row>
    <row r="115" spans="1:18">
      <c r="A115" s="48" t="s">
        <v>246</v>
      </c>
      <c r="B115" s="48"/>
      <c r="C115" s="48">
        <v>1875000</v>
      </c>
      <c r="D115" s="48"/>
      <c r="E115" s="48">
        <v>6586192125</v>
      </c>
      <c r="F115" s="48"/>
      <c r="G115" s="48">
        <v>6586192125</v>
      </c>
      <c r="H115" s="48"/>
      <c r="I115" s="48">
        <v>0</v>
      </c>
      <c r="J115" s="48"/>
      <c r="K115" s="48">
        <v>1875000</v>
      </c>
      <c r="L115" s="48"/>
      <c r="M115" s="48">
        <v>6586192125</v>
      </c>
      <c r="N115" s="48"/>
      <c r="O115" s="48">
        <v>6586192125</v>
      </c>
      <c r="P115" s="48"/>
      <c r="Q115" s="48">
        <v>0</v>
      </c>
      <c r="R115" s="48"/>
    </row>
    <row r="116" spans="1:18">
      <c r="A116" s="48" t="s">
        <v>247</v>
      </c>
      <c r="B116" s="48"/>
      <c r="C116" s="48">
        <v>23792</v>
      </c>
      <c r="D116" s="48"/>
      <c r="E116" s="48">
        <v>1431830527</v>
      </c>
      <c r="F116" s="48"/>
      <c r="G116" s="48">
        <v>1431830527</v>
      </c>
      <c r="H116" s="48"/>
      <c r="I116" s="48">
        <v>0</v>
      </c>
      <c r="J116" s="48"/>
      <c r="K116" s="48">
        <v>23792</v>
      </c>
      <c r="L116" s="48"/>
      <c r="M116" s="48">
        <v>1431830527</v>
      </c>
      <c r="N116" s="48"/>
      <c r="O116" s="48">
        <v>1431830527</v>
      </c>
      <c r="P116" s="48"/>
      <c r="Q116" s="48">
        <v>0</v>
      </c>
      <c r="R116" s="48"/>
    </row>
    <row r="117" spans="1:18">
      <c r="A117" s="48" t="s">
        <v>248</v>
      </c>
      <c r="B117" s="48"/>
      <c r="C117" s="48">
        <v>943421</v>
      </c>
      <c r="D117" s="48"/>
      <c r="E117" s="48">
        <v>15904820763</v>
      </c>
      <c r="F117" s="48"/>
      <c r="G117" s="48">
        <v>15904820763</v>
      </c>
      <c r="H117" s="48"/>
      <c r="I117" s="48">
        <v>0</v>
      </c>
      <c r="J117" s="48"/>
      <c r="K117" s="48">
        <v>943421</v>
      </c>
      <c r="L117" s="48"/>
      <c r="M117" s="48">
        <v>15904820763</v>
      </c>
      <c r="N117" s="48"/>
      <c r="O117" s="48">
        <v>15904820763</v>
      </c>
      <c r="P117" s="48"/>
      <c r="Q117" s="48">
        <v>0</v>
      </c>
      <c r="R117" s="48"/>
    </row>
    <row r="118" spans="1:18">
      <c r="A118" s="48" t="s">
        <v>249</v>
      </c>
      <c r="B118" s="48"/>
      <c r="C118" s="48">
        <v>3733986</v>
      </c>
      <c r="D118" s="48"/>
      <c r="E118" s="48">
        <v>31975205347</v>
      </c>
      <c r="F118" s="48"/>
      <c r="G118" s="48">
        <v>31975205347</v>
      </c>
      <c r="H118" s="48"/>
      <c r="I118" s="48">
        <v>0</v>
      </c>
      <c r="J118" s="48"/>
      <c r="K118" s="48">
        <v>3733986</v>
      </c>
      <c r="L118" s="48"/>
      <c r="M118" s="48">
        <v>31975205347</v>
      </c>
      <c r="N118" s="48"/>
      <c r="O118" s="48">
        <v>31975205347</v>
      </c>
      <c r="P118" s="48"/>
      <c r="Q118" s="48">
        <v>0</v>
      </c>
      <c r="R118" s="48"/>
    </row>
    <row r="119" spans="1:18">
      <c r="A119" s="48" t="s">
        <v>250</v>
      </c>
      <c r="B119" s="48"/>
      <c r="C119" s="48">
        <v>7083396</v>
      </c>
      <c r="D119" s="48"/>
      <c r="E119" s="48">
        <v>19504479743</v>
      </c>
      <c r="F119" s="48"/>
      <c r="G119" s="48">
        <v>19504479743</v>
      </c>
      <c r="H119" s="48"/>
      <c r="I119" s="48">
        <v>0</v>
      </c>
      <c r="J119" s="48"/>
      <c r="K119" s="48">
        <v>7083396</v>
      </c>
      <c r="L119" s="48"/>
      <c r="M119" s="48">
        <v>19504479743</v>
      </c>
      <c r="N119" s="48"/>
      <c r="O119" s="48">
        <v>19504479743</v>
      </c>
      <c r="P119" s="48"/>
      <c r="Q119" s="48">
        <v>0</v>
      </c>
      <c r="R119" s="48"/>
    </row>
    <row r="120" spans="1:18">
      <c r="A120" s="48" t="s">
        <v>251</v>
      </c>
      <c r="B120" s="48"/>
      <c r="C120" s="48">
        <v>3429795</v>
      </c>
      <c r="D120" s="48"/>
      <c r="E120" s="48">
        <v>23006190948</v>
      </c>
      <c r="F120" s="48"/>
      <c r="G120" s="48">
        <v>23006190948</v>
      </c>
      <c r="H120" s="48"/>
      <c r="I120" s="48">
        <v>0</v>
      </c>
      <c r="J120" s="48"/>
      <c r="K120" s="48">
        <v>3429795</v>
      </c>
      <c r="L120" s="48"/>
      <c r="M120" s="48">
        <v>23006190948</v>
      </c>
      <c r="N120" s="48"/>
      <c r="O120" s="48">
        <v>23006190948</v>
      </c>
      <c r="P120" s="48"/>
      <c r="Q120" s="48">
        <v>0</v>
      </c>
      <c r="R120" s="48"/>
    </row>
    <row r="121" spans="1:18">
      <c r="A121" s="48" t="s">
        <v>252</v>
      </c>
      <c r="B121" s="48"/>
      <c r="C121" s="48">
        <v>6157463</v>
      </c>
      <c r="D121" s="48"/>
      <c r="E121" s="48">
        <v>25624777211</v>
      </c>
      <c r="F121" s="48"/>
      <c r="G121" s="48">
        <v>25624777211</v>
      </c>
      <c r="H121" s="48"/>
      <c r="I121" s="48">
        <v>0</v>
      </c>
      <c r="J121" s="48"/>
      <c r="K121" s="48">
        <v>6157463</v>
      </c>
      <c r="L121" s="48"/>
      <c r="M121" s="48">
        <v>25624777211</v>
      </c>
      <c r="N121" s="48"/>
      <c r="O121" s="48">
        <v>25624777211</v>
      </c>
      <c r="P121" s="48"/>
      <c r="Q121" s="48">
        <v>0</v>
      </c>
      <c r="R121" s="48"/>
    </row>
    <row r="122" spans="1:18">
      <c r="A122" s="48" t="s">
        <v>147</v>
      </c>
      <c r="B122" s="48"/>
      <c r="C122" s="48">
        <v>16239055</v>
      </c>
      <c r="D122" s="48"/>
      <c r="E122" s="48">
        <v>34756877965</v>
      </c>
      <c r="F122" s="48"/>
      <c r="G122" s="48">
        <v>34763061301</v>
      </c>
      <c r="H122" s="48"/>
      <c r="I122" s="48">
        <v>-6183336</v>
      </c>
      <c r="J122" s="48"/>
      <c r="K122" s="48">
        <v>16239055</v>
      </c>
      <c r="L122" s="48"/>
      <c r="M122" s="48">
        <v>34756877965</v>
      </c>
      <c r="N122" s="48"/>
      <c r="O122" s="48">
        <v>34763061301</v>
      </c>
      <c r="P122" s="48"/>
      <c r="Q122" s="48">
        <v>-6183336</v>
      </c>
      <c r="R122" s="48"/>
    </row>
    <row r="123" spans="1:18">
      <c r="A123" s="48" t="s">
        <v>253</v>
      </c>
      <c r="B123" s="48"/>
      <c r="C123" s="48">
        <v>5065914</v>
      </c>
      <c r="D123" s="48"/>
      <c r="E123" s="48">
        <v>13697905971</v>
      </c>
      <c r="F123" s="48"/>
      <c r="G123" s="48">
        <v>13697905971</v>
      </c>
      <c r="H123" s="48"/>
      <c r="I123" s="48">
        <v>0</v>
      </c>
      <c r="J123" s="48"/>
      <c r="K123" s="48">
        <v>5065914</v>
      </c>
      <c r="L123" s="48"/>
      <c r="M123" s="48">
        <v>13697905971</v>
      </c>
      <c r="N123" s="48"/>
      <c r="O123" s="48">
        <v>13697905971</v>
      </c>
      <c r="P123" s="48"/>
      <c r="Q123" s="48">
        <v>0</v>
      </c>
      <c r="R123" s="48"/>
    </row>
    <row r="124" spans="1:18">
      <c r="A124" s="48" t="s">
        <v>254</v>
      </c>
      <c r="B124" s="48"/>
      <c r="C124" s="48">
        <v>7380289</v>
      </c>
      <c r="D124" s="48"/>
      <c r="E124" s="48">
        <v>21530323736</v>
      </c>
      <c r="F124" s="48"/>
      <c r="G124" s="48">
        <v>21530323736</v>
      </c>
      <c r="H124" s="48"/>
      <c r="I124" s="48">
        <v>0</v>
      </c>
      <c r="J124" s="48"/>
      <c r="K124" s="48">
        <v>7380289</v>
      </c>
      <c r="L124" s="48"/>
      <c r="M124" s="48">
        <v>21530323736</v>
      </c>
      <c r="N124" s="48"/>
      <c r="O124" s="48">
        <v>21530323736</v>
      </c>
      <c r="P124" s="48"/>
      <c r="Q124" s="48">
        <v>0</v>
      </c>
      <c r="R124" s="48"/>
    </row>
    <row r="125" spans="1:18">
      <c r="A125" s="48" t="s">
        <v>131</v>
      </c>
      <c r="B125" s="48"/>
      <c r="C125" s="48">
        <v>6518463</v>
      </c>
      <c r="D125" s="48"/>
      <c r="E125" s="48">
        <v>15730359083</v>
      </c>
      <c r="F125" s="48"/>
      <c r="G125" s="48">
        <v>15732349402</v>
      </c>
      <c r="H125" s="48"/>
      <c r="I125" s="48">
        <v>-1990319</v>
      </c>
      <c r="J125" s="48"/>
      <c r="K125" s="48">
        <v>6518463</v>
      </c>
      <c r="L125" s="48"/>
      <c r="M125" s="48">
        <v>15730359083</v>
      </c>
      <c r="N125" s="48"/>
      <c r="O125" s="48">
        <v>15732349402</v>
      </c>
      <c r="P125" s="48"/>
      <c r="Q125" s="48">
        <v>-1990319</v>
      </c>
      <c r="R125" s="48"/>
    </row>
    <row r="126" spans="1:18">
      <c r="A126" s="48" t="s">
        <v>255</v>
      </c>
      <c r="B126" s="48"/>
      <c r="C126" s="48">
        <v>2038313</v>
      </c>
      <c r="D126" s="48"/>
      <c r="E126" s="48">
        <v>25443765054</v>
      </c>
      <c r="F126" s="48"/>
      <c r="G126" s="48">
        <v>25443765054</v>
      </c>
      <c r="H126" s="48"/>
      <c r="I126" s="48">
        <v>0</v>
      </c>
      <c r="J126" s="48"/>
      <c r="K126" s="48">
        <v>2038313</v>
      </c>
      <c r="L126" s="48"/>
      <c r="M126" s="48">
        <v>25443765054</v>
      </c>
      <c r="N126" s="48"/>
      <c r="O126" s="48">
        <v>25443765054</v>
      </c>
      <c r="P126" s="48"/>
      <c r="Q126" s="48">
        <v>0</v>
      </c>
      <c r="R126" s="48"/>
    </row>
    <row r="127" spans="1:18">
      <c r="A127" s="48" t="s">
        <v>256</v>
      </c>
      <c r="B127" s="48"/>
      <c r="C127" s="48">
        <v>7043843</v>
      </c>
      <c r="D127" s="48"/>
      <c r="E127" s="48">
        <v>23889749012</v>
      </c>
      <c r="F127" s="48"/>
      <c r="G127" s="48">
        <v>23889749012</v>
      </c>
      <c r="H127" s="48"/>
      <c r="I127" s="48">
        <v>0</v>
      </c>
      <c r="J127" s="48"/>
      <c r="K127" s="48">
        <v>7043843</v>
      </c>
      <c r="L127" s="48"/>
      <c r="M127" s="48">
        <v>23889749012</v>
      </c>
      <c r="N127" s="48"/>
      <c r="O127" s="48">
        <v>23889749012</v>
      </c>
      <c r="P127" s="48"/>
      <c r="Q127" s="48">
        <v>0</v>
      </c>
      <c r="R127" s="48"/>
    </row>
    <row r="128" spans="1:18">
      <c r="A128" s="48" t="s">
        <v>146</v>
      </c>
      <c r="B128" s="48"/>
      <c r="C128" s="48">
        <v>3904663</v>
      </c>
      <c r="D128" s="48"/>
      <c r="E128" s="48">
        <v>15029107745</v>
      </c>
      <c r="F128" s="48"/>
      <c r="G128" s="48">
        <v>15027447254</v>
      </c>
      <c r="H128" s="48"/>
      <c r="I128" s="48">
        <v>1660491</v>
      </c>
      <c r="J128" s="48"/>
      <c r="K128" s="48">
        <v>3904663</v>
      </c>
      <c r="L128" s="48"/>
      <c r="M128" s="48">
        <v>15029107745</v>
      </c>
      <c r="N128" s="48"/>
      <c r="O128" s="48">
        <v>15027447254</v>
      </c>
      <c r="P128" s="48"/>
      <c r="Q128" s="48">
        <v>1660491</v>
      </c>
      <c r="R128" s="48"/>
    </row>
    <row r="129" spans="1:18">
      <c r="A129" s="48" t="s">
        <v>257</v>
      </c>
      <c r="B129" s="48"/>
      <c r="C129" s="48">
        <v>1200163</v>
      </c>
      <c r="D129" s="48"/>
      <c r="E129" s="48">
        <v>15219519757</v>
      </c>
      <c r="F129" s="48"/>
      <c r="G129" s="48">
        <v>15219519757</v>
      </c>
      <c r="H129" s="48"/>
      <c r="I129" s="48">
        <v>0</v>
      </c>
      <c r="J129" s="48"/>
      <c r="K129" s="48">
        <v>1200163</v>
      </c>
      <c r="L129" s="48"/>
      <c r="M129" s="48">
        <v>15219519757</v>
      </c>
      <c r="N129" s="48"/>
      <c r="O129" s="48">
        <v>15219519757</v>
      </c>
      <c r="P129" s="48"/>
      <c r="Q129" s="48">
        <v>0</v>
      </c>
      <c r="R129" s="48"/>
    </row>
    <row r="130" spans="1:18">
      <c r="A130" s="48" t="s">
        <v>258</v>
      </c>
      <c r="B130" s="48"/>
      <c r="C130" s="48">
        <v>2116099</v>
      </c>
      <c r="D130" s="48"/>
      <c r="E130" s="48">
        <v>20766443976</v>
      </c>
      <c r="F130" s="48"/>
      <c r="G130" s="48">
        <v>20766443976</v>
      </c>
      <c r="H130" s="48"/>
      <c r="I130" s="48">
        <v>0</v>
      </c>
      <c r="J130" s="48"/>
      <c r="K130" s="48">
        <v>2116099</v>
      </c>
      <c r="L130" s="48"/>
      <c r="M130" s="48">
        <v>20766443976</v>
      </c>
      <c r="N130" s="48"/>
      <c r="O130" s="48">
        <v>20766443976</v>
      </c>
      <c r="P130" s="48"/>
      <c r="Q130" s="48">
        <v>0</v>
      </c>
      <c r="R130" s="48"/>
    </row>
    <row r="131" spans="1:18">
      <c r="A131" s="48" t="s">
        <v>259</v>
      </c>
      <c r="B131" s="48"/>
      <c r="C131" s="48">
        <v>204021</v>
      </c>
      <c r="D131" s="48"/>
      <c r="E131" s="48">
        <v>6577402885</v>
      </c>
      <c r="F131" s="48"/>
      <c r="G131" s="48">
        <v>6577402885</v>
      </c>
      <c r="H131" s="48"/>
      <c r="I131" s="48">
        <v>0</v>
      </c>
      <c r="J131" s="48"/>
      <c r="K131" s="48">
        <v>204021</v>
      </c>
      <c r="L131" s="48"/>
      <c r="M131" s="48">
        <v>6577402885</v>
      </c>
      <c r="N131" s="48"/>
      <c r="O131" s="48">
        <v>6577402885</v>
      </c>
      <c r="P131" s="48"/>
      <c r="Q131" s="48">
        <v>0</v>
      </c>
      <c r="R131" s="48"/>
    </row>
    <row r="132" spans="1:18">
      <c r="A132" s="48" t="s">
        <v>260</v>
      </c>
      <c r="B132" s="48"/>
      <c r="C132" s="48">
        <v>4967900</v>
      </c>
      <c r="D132" s="48"/>
      <c r="E132" s="48">
        <v>20260237327</v>
      </c>
      <c r="F132" s="48"/>
      <c r="G132" s="48">
        <v>20260237327</v>
      </c>
      <c r="H132" s="48"/>
      <c r="I132" s="48">
        <v>0</v>
      </c>
      <c r="J132" s="48"/>
      <c r="K132" s="48">
        <v>4967900</v>
      </c>
      <c r="L132" s="48"/>
      <c r="M132" s="48">
        <v>20260237327</v>
      </c>
      <c r="N132" s="48"/>
      <c r="O132" s="48">
        <v>20260237327</v>
      </c>
      <c r="P132" s="48"/>
      <c r="Q132" s="48">
        <v>0</v>
      </c>
      <c r="R132" s="48"/>
    </row>
    <row r="133" spans="1:18">
      <c r="A133" s="48" t="s">
        <v>126</v>
      </c>
      <c r="B133" s="48"/>
      <c r="C133" s="48">
        <v>25021276</v>
      </c>
      <c r="D133" s="48"/>
      <c r="E133" s="48">
        <v>25572697383</v>
      </c>
      <c r="F133" s="48"/>
      <c r="G133" s="48">
        <v>25574766980</v>
      </c>
      <c r="H133" s="48"/>
      <c r="I133" s="48">
        <v>-2069597</v>
      </c>
      <c r="J133" s="48"/>
      <c r="K133" s="48">
        <v>25021276</v>
      </c>
      <c r="L133" s="48"/>
      <c r="M133" s="48">
        <v>25572697383</v>
      </c>
      <c r="N133" s="48"/>
      <c r="O133" s="48">
        <v>25574766980</v>
      </c>
      <c r="P133" s="48"/>
      <c r="Q133" s="48">
        <v>-2069597</v>
      </c>
      <c r="R133" s="48"/>
    </row>
    <row r="134" spans="1:18">
      <c r="A134" s="48" t="s">
        <v>261</v>
      </c>
      <c r="B134" s="48"/>
      <c r="C134" s="48">
        <v>3915801</v>
      </c>
      <c r="D134" s="48"/>
      <c r="E134" s="48">
        <v>12433701946</v>
      </c>
      <c r="F134" s="48"/>
      <c r="G134" s="48">
        <v>12433701946</v>
      </c>
      <c r="H134" s="48"/>
      <c r="I134" s="48">
        <v>0</v>
      </c>
      <c r="J134" s="48"/>
      <c r="K134" s="48">
        <v>3915801</v>
      </c>
      <c r="L134" s="48"/>
      <c r="M134" s="48">
        <v>12433701946</v>
      </c>
      <c r="N134" s="48"/>
      <c r="O134" s="48">
        <v>12433701946</v>
      </c>
      <c r="P134" s="48"/>
      <c r="Q134" s="48">
        <v>0</v>
      </c>
      <c r="R134" s="48"/>
    </row>
    <row r="135" spans="1:18">
      <c r="A135" s="48" t="s">
        <v>262</v>
      </c>
      <c r="B135" s="48"/>
      <c r="C135" s="48">
        <v>1440400</v>
      </c>
      <c r="D135" s="48"/>
      <c r="E135" s="48">
        <v>9470314581</v>
      </c>
      <c r="F135" s="48"/>
      <c r="G135" s="48">
        <v>9470314581</v>
      </c>
      <c r="H135" s="48"/>
      <c r="I135" s="48">
        <v>0</v>
      </c>
      <c r="J135" s="48"/>
      <c r="K135" s="48">
        <v>1440400</v>
      </c>
      <c r="L135" s="48"/>
      <c r="M135" s="48">
        <v>9470314581</v>
      </c>
      <c r="N135" s="48"/>
      <c r="O135" s="48">
        <v>9470314581</v>
      </c>
      <c r="P135" s="48"/>
      <c r="Q135" s="48">
        <v>0</v>
      </c>
      <c r="R135" s="48"/>
    </row>
    <row r="136" spans="1:18">
      <c r="A136" s="48" t="s">
        <v>263</v>
      </c>
      <c r="B136" s="48"/>
      <c r="C136" s="48">
        <v>8858150</v>
      </c>
      <c r="D136" s="48"/>
      <c r="E136" s="48">
        <v>17579353001</v>
      </c>
      <c r="F136" s="48"/>
      <c r="G136" s="48">
        <v>17579353001</v>
      </c>
      <c r="H136" s="48"/>
      <c r="I136" s="48">
        <v>0</v>
      </c>
      <c r="J136" s="48"/>
      <c r="K136" s="48">
        <v>8858150</v>
      </c>
      <c r="L136" s="48"/>
      <c r="M136" s="48">
        <v>17579353001</v>
      </c>
      <c r="N136" s="48"/>
      <c r="O136" s="48">
        <v>17579353001</v>
      </c>
      <c r="P136" s="48"/>
      <c r="Q136" s="48">
        <v>0</v>
      </c>
      <c r="R136" s="48"/>
    </row>
    <row r="137" spans="1:18">
      <c r="A137" s="48" t="s">
        <v>264</v>
      </c>
      <c r="B137" s="48"/>
      <c r="C137" s="48">
        <v>5800000</v>
      </c>
      <c r="D137" s="48"/>
      <c r="E137" s="48">
        <v>24419169338</v>
      </c>
      <c r="F137" s="48"/>
      <c r="G137" s="48">
        <v>24419169338</v>
      </c>
      <c r="H137" s="48"/>
      <c r="I137" s="48">
        <v>0</v>
      </c>
      <c r="J137" s="48"/>
      <c r="K137" s="48">
        <v>5800000</v>
      </c>
      <c r="L137" s="48"/>
      <c r="M137" s="48">
        <v>24419169338</v>
      </c>
      <c r="N137" s="48"/>
      <c r="O137" s="48">
        <v>24419169338</v>
      </c>
      <c r="P137" s="48"/>
      <c r="Q137" s="48">
        <v>0</v>
      </c>
      <c r="R137" s="48"/>
    </row>
    <row r="138" spans="1:18">
      <c r="A138" s="48" t="s">
        <v>140</v>
      </c>
      <c r="B138" s="48"/>
      <c r="C138" s="48">
        <v>5729478</v>
      </c>
      <c r="D138" s="48"/>
      <c r="E138" s="48">
        <v>14838343643</v>
      </c>
      <c r="F138" s="48"/>
      <c r="G138" s="48">
        <v>14838784976</v>
      </c>
      <c r="H138" s="48"/>
      <c r="I138" s="48">
        <v>-441333</v>
      </c>
      <c r="J138" s="48"/>
      <c r="K138" s="48">
        <v>5729478</v>
      </c>
      <c r="L138" s="48"/>
      <c r="M138" s="48">
        <v>14838343643</v>
      </c>
      <c r="N138" s="48"/>
      <c r="O138" s="48">
        <v>14838784976</v>
      </c>
      <c r="P138" s="48"/>
      <c r="Q138" s="48">
        <v>-441333</v>
      </c>
      <c r="R138" s="48"/>
    </row>
    <row r="139" spans="1:18">
      <c r="A139" s="48" t="s">
        <v>127</v>
      </c>
      <c r="B139" s="48"/>
      <c r="C139" s="48">
        <v>23989450</v>
      </c>
      <c r="D139" s="48"/>
      <c r="E139" s="48">
        <v>26589080903</v>
      </c>
      <c r="F139" s="48"/>
      <c r="G139" s="48">
        <v>26598787318</v>
      </c>
      <c r="H139" s="48"/>
      <c r="I139" s="48">
        <v>-9706415</v>
      </c>
      <c r="J139" s="48"/>
      <c r="K139" s="48">
        <v>23989450</v>
      </c>
      <c r="L139" s="48"/>
      <c r="M139" s="48">
        <v>26589080903</v>
      </c>
      <c r="N139" s="48"/>
      <c r="O139" s="48">
        <v>26598787318</v>
      </c>
      <c r="P139" s="48"/>
      <c r="Q139" s="48">
        <v>-9706415</v>
      </c>
      <c r="R139" s="48"/>
    </row>
    <row r="140" spans="1:18">
      <c r="A140" s="48" t="s">
        <v>265</v>
      </c>
      <c r="B140" s="48"/>
      <c r="C140" s="48">
        <v>19209541</v>
      </c>
      <c r="D140" s="48"/>
      <c r="E140" s="48">
        <v>21691476320</v>
      </c>
      <c r="F140" s="48"/>
      <c r="G140" s="48">
        <v>21691476320</v>
      </c>
      <c r="H140" s="48"/>
      <c r="I140" s="48">
        <v>0</v>
      </c>
      <c r="J140" s="48"/>
      <c r="K140" s="48">
        <v>19209541</v>
      </c>
      <c r="L140" s="48"/>
      <c r="M140" s="48">
        <v>21691476320</v>
      </c>
      <c r="N140" s="48"/>
      <c r="O140" s="48">
        <v>21691476320</v>
      </c>
      <c r="P140" s="48"/>
      <c r="Q140" s="48">
        <v>0</v>
      </c>
      <c r="R140" s="48"/>
    </row>
    <row r="141" spans="1:18">
      <c r="A141" s="48" t="s">
        <v>266</v>
      </c>
      <c r="B141" s="48"/>
      <c r="C141" s="48">
        <v>1447708</v>
      </c>
      <c r="D141" s="48"/>
      <c r="E141" s="48">
        <v>10400384652</v>
      </c>
      <c r="F141" s="48"/>
      <c r="G141" s="48">
        <v>10400384652</v>
      </c>
      <c r="H141" s="48"/>
      <c r="I141" s="48">
        <v>0</v>
      </c>
      <c r="J141" s="48"/>
      <c r="K141" s="48">
        <v>1447708</v>
      </c>
      <c r="L141" s="48"/>
      <c r="M141" s="48">
        <v>10400384652</v>
      </c>
      <c r="N141" s="48"/>
      <c r="O141" s="48">
        <v>10400384652</v>
      </c>
      <c r="P141" s="48"/>
      <c r="Q141" s="48">
        <v>0</v>
      </c>
      <c r="R141" s="48"/>
    </row>
    <row r="142" spans="1:18">
      <c r="A142" s="48" t="s">
        <v>267</v>
      </c>
      <c r="B142" s="48"/>
      <c r="C142" s="48">
        <v>2867583</v>
      </c>
      <c r="D142" s="48"/>
      <c r="E142" s="48">
        <v>36392878102</v>
      </c>
      <c r="F142" s="48"/>
      <c r="G142" s="48">
        <v>36392878102</v>
      </c>
      <c r="H142" s="48"/>
      <c r="I142" s="48">
        <v>0</v>
      </c>
      <c r="J142" s="48"/>
      <c r="K142" s="48">
        <v>2867583</v>
      </c>
      <c r="L142" s="48"/>
      <c r="M142" s="48">
        <v>36392878102</v>
      </c>
      <c r="N142" s="48"/>
      <c r="O142" s="48">
        <v>36392878102</v>
      </c>
      <c r="P142" s="48"/>
      <c r="Q142" s="48">
        <v>0</v>
      </c>
      <c r="R142" s="48"/>
    </row>
    <row r="143" spans="1:18">
      <c r="A143" s="48" t="s">
        <v>268</v>
      </c>
      <c r="B143" s="48"/>
      <c r="C143" s="48">
        <v>5309272</v>
      </c>
      <c r="D143" s="48"/>
      <c r="E143" s="48">
        <v>25550921938</v>
      </c>
      <c r="F143" s="48"/>
      <c r="G143" s="48">
        <v>25550921938</v>
      </c>
      <c r="H143" s="48"/>
      <c r="I143" s="48">
        <v>0</v>
      </c>
      <c r="J143" s="48"/>
      <c r="K143" s="48">
        <v>5309272</v>
      </c>
      <c r="L143" s="48"/>
      <c r="M143" s="48">
        <v>25550921938</v>
      </c>
      <c r="N143" s="48"/>
      <c r="O143" s="48">
        <v>25550921938</v>
      </c>
      <c r="P143" s="48"/>
      <c r="Q143" s="48">
        <v>0</v>
      </c>
      <c r="R143" s="48"/>
    </row>
    <row r="144" spans="1:18">
      <c r="A144" s="48" t="s">
        <v>269</v>
      </c>
      <c r="B144" s="48"/>
      <c r="C144" s="48">
        <v>241083</v>
      </c>
      <c r="D144" s="48"/>
      <c r="E144" s="48">
        <v>2545294718</v>
      </c>
      <c r="F144" s="48"/>
      <c r="G144" s="48">
        <v>2545294718</v>
      </c>
      <c r="H144" s="48"/>
      <c r="I144" s="48">
        <v>0</v>
      </c>
      <c r="J144" s="48"/>
      <c r="K144" s="48">
        <v>241083</v>
      </c>
      <c r="L144" s="48"/>
      <c r="M144" s="48">
        <v>2545294718</v>
      </c>
      <c r="N144" s="48"/>
      <c r="O144" s="48">
        <v>2545294718</v>
      </c>
      <c r="P144" s="48"/>
      <c r="Q144" s="48">
        <v>0</v>
      </c>
      <c r="R144" s="48"/>
    </row>
    <row r="145" spans="1:18">
      <c r="A145" s="48" t="s">
        <v>270</v>
      </c>
      <c r="B145" s="48"/>
      <c r="C145" s="48">
        <v>5849737</v>
      </c>
      <c r="D145" s="48"/>
      <c r="E145" s="48">
        <v>18319060490</v>
      </c>
      <c r="F145" s="48"/>
      <c r="G145" s="48">
        <v>18319060490</v>
      </c>
      <c r="H145" s="48"/>
      <c r="I145" s="48">
        <v>0</v>
      </c>
      <c r="J145" s="48"/>
      <c r="K145" s="48">
        <v>5849737</v>
      </c>
      <c r="L145" s="48"/>
      <c r="M145" s="48">
        <v>18319060490</v>
      </c>
      <c r="N145" s="48"/>
      <c r="O145" s="48">
        <v>18319060490</v>
      </c>
      <c r="P145" s="48"/>
      <c r="Q145" s="48">
        <v>0</v>
      </c>
      <c r="R145" s="48"/>
    </row>
    <row r="146" spans="1:18">
      <c r="A146" s="48" t="s">
        <v>271</v>
      </c>
      <c r="B146" s="48"/>
      <c r="C146" s="48">
        <v>10684873</v>
      </c>
      <c r="D146" s="48"/>
      <c r="E146" s="48">
        <v>25519685389</v>
      </c>
      <c r="F146" s="48"/>
      <c r="G146" s="48">
        <v>25519685389</v>
      </c>
      <c r="H146" s="48"/>
      <c r="I146" s="48">
        <v>0</v>
      </c>
      <c r="J146" s="48"/>
      <c r="K146" s="48">
        <v>10684873</v>
      </c>
      <c r="L146" s="48"/>
      <c r="M146" s="48">
        <v>25519685389</v>
      </c>
      <c r="N146" s="48"/>
      <c r="O146" s="48">
        <v>25519685389</v>
      </c>
      <c r="P146" s="48"/>
      <c r="Q146" s="48">
        <v>0</v>
      </c>
      <c r="R146" s="48"/>
    </row>
    <row r="147" spans="1:18">
      <c r="A147" s="48" t="s">
        <v>272</v>
      </c>
      <c r="B147" s="48"/>
      <c r="C147" s="48">
        <v>14665640</v>
      </c>
      <c r="D147" s="48"/>
      <c r="E147" s="48">
        <v>51544156643</v>
      </c>
      <c r="F147" s="48"/>
      <c r="G147" s="48">
        <v>51544156643</v>
      </c>
      <c r="H147" s="48"/>
      <c r="I147" s="48">
        <v>0</v>
      </c>
      <c r="J147" s="48"/>
      <c r="K147" s="48">
        <v>14665640</v>
      </c>
      <c r="L147" s="48"/>
      <c r="M147" s="48">
        <v>51544156643</v>
      </c>
      <c r="N147" s="48"/>
      <c r="O147" s="48">
        <v>51544156643</v>
      </c>
      <c r="P147" s="48"/>
      <c r="Q147" s="48">
        <v>0</v>
      </c>
      <c r="R147" s="48"/>
    </row>
    <row r="148" spans="1:18">
      <c r="A148" s="48" t="s">
        <v>273</v>
      </c>
      <c r="B148" s="48"/>
      <c r="C148" s="48">
        <v>21893355</v>
      </c>
      <c r="D148" s="48"/>
      <c r="E148" s="48">
        <v>26612046223</v>
      </c>
      <c r="F148" s="48"/>
      <c r="G148" s="48">
        <v>26612046223</v>
      </c>
      <c r="H148" s="48"/>
      <c r="I148" s="48">
        <v>0</v>
      </c>
      <c r="J148" s="48"/>
      <c r="K148" s="48">
        <v>21893355</v>
      </c>
      <c r="L148" s="48"/>
      <c r="M148" s="48">
        <v>26612046223</v>
      </c>
      <c r="N148" s="48"/>
      <c r="O148" s="48">
        <v>26612046223</v>
      </c>
      <c r="P148" s="48"/>
      <c r="Q148" s="48">
        <v>0</v>
      </c>
      <c r="R148" s="48"/>
    </row>
    <row r="149" spans="1:18">
      <c r="A149" s="48" t="s">
        <v>274</v>
      </c>
      <c r="B149" s="48"/>
      <c r="C149" s="48">
        <v>3340260</v>
      </c>
      <c r="D149" s="48"/>
      <c r="E149" s="48">
        <v>24858298426</v>
      </c>
      <c r="F149" s="48"/>
      <c r="G149" s="48">
        <v>24858298426</v>
      </c>
      <c r="H149" s="48"/>
      <c r="I149" s="48">
        <v>0</v>
      </c>
      <c r="J149" s="48"/>
      <c r="K149" s="48">
        <v>3340260</v>
      </c>
      <c r="L149" s="48"/>
      <c r="M149" s="48">
        <v>24858298426</v>
      </c>
      <c r="N149" s="48"/>
      <c r="O149" s="48">
        <v>24858298426</v>
      </c>
      <c r="P149" s="48"/>
      <c r="Q149" s="48">
        <v>0</v>
      </c>
      <c r="R149" s="48"/>
    </row>
    <row r="150" spans="1:18">
      <c r="A150" s="48" t="s">
        <v>275</v>
      </c>
      <c r="B150" s="48"/>
      <c r="C150" s="48">
        <v>862852</v>
      </c>
      <c r="D150" s="48"/>
      <c r="E150" s="48">
        <v>11130368003</v>
      </c>
      <c r="F150" s="48"/>
      <c r="G150" s="48">
        <v>11130368003</v>
      </c>
      <c r="H150" s="48"/>
      <c r="I150" s="48">
        <v>0</v>
      </c>
      <c r="J150" s="48"/>
      <c r="K150" s="48">
        <v>862852</v>
      </c>
      <c r="L150" s="48"/>
      <c r="M150" s="48">
        <v>11130368003</v>
      </c>
      <c r="N150" s="48"/>
      <c r="O150" s="48">
        <v>11130368003</v>
      </c>
      <c r="P150" s="48"/>
      <c r="Q150" s="48">
        <v>0</v>
      </c>
      <c r="R150" s="48"/>
    </row>
    <row r="151" spans="1:18">
      <c r="A151" s="48" t="s">
        <v>276</v>
      </c>
      <c r="B151" s="48"/>
      <c r="C151" s="48">
        <v>3484284</v>
      </c>
      <c r="D151" s="48"/>
      <c r="E151" s="48">
        <v>27797097897</v>
      </c>
      <c r="F151" s="48"/>
      <c r="G151" s="48">
        <v>27797097897</v>
      </c>
      <c r="H151" s="48"/>
      <c r="I151" s="48">
        <v>0</v>
      </c>
      <c r="J151" s="48"/>
      <c r="K151" s="48">
        <v>3484284</v>
      </c>
      <c r="L151" s="48"/>
      <c r="M151" s="48">
        <v>27797097897</v>
      </c>
      <c r="N151" s="48"/>
      <c r="O151" s="48">
        <v>27797097897</v>
      </c>
      <c r="P151" s="48"/>
      <c r="Q151" s="48">
        <v>0</v>
      </c>
      <c r="R151" s="48"/>
    </row>
    <row r="152" spans="1:18">
      <c r="A152" s="48" t="s">
        <v>132</v>
      </c>
      <c r="B152" s="48"/>
      <c r="C152" s="48">
        <v>881085</v>
      </c>
      <c r="D152" s="48"/>
      <c r="E152" s="48">
        <v>4196516222</v>
      </c>
      <c r="F152" s="48"/>
      <c r="G152" s="48">
        <v>4196516222</v>
      </c>
      <c r="H152" s="48"/>
      <c r="I152" s="48">
        <v>0</v>
      </c>
      <c r="J152" s="48"/>
      <c r="K152" s="48">
        <v>881085</v>
      </c>
      <c r="L152" s="48"/>
      <c r="M152" s="48">
        <v>4196516222</v>
      </c>
      <c r="N152" s="48"/>
      <c r="O152" s="48">
        <v>4196516222</v>
      </c>
      <c r="P152" s="48"/>
      <c r="Q152" s="48">
        <v>0</v>
      </c>
      <c r="R152" s="48"/>
    </row>
    <row r="153" spans="1:18">
      <c r="A153" s="48" t="s">
        <v>277</v>
      </c>
      <c r="B153" s="48"/>
      <c r="C153" s="48">
        <v>1321627</v>
      </c>
      <c r="D153" s="48"/>
      <c r="E153" s="48">
        <v>4983361129</v>
      </c>
      <c r="F153" s="48"/>
      <c r="G153" s="48">
        <v>4209628743</v>
      </c>
      <c r="H153" s="48"/>
      <c r="I153" s="48">
        <v>773732386</v>
      </c>
      <c r="J153" s="48"/>
      <c r="K153" s="48">
        <v>1321627</v>
      </c>
      <c r="L153" s="48"/>
      <c r="M153" s="48">
        <v>4983361129</v>
      </c>
      <c r="N153" s="48"/>
      <c r="O153" s="48">
        <v>4209628743</v>
      </c>
      <c r="P153" s="48"/>
      <c r="Q153" s="48">
        <v>773732386</v>
      </c>
      <c r="R153" s="48"/>
    </row>
    <row r="154" spans="1:18">
      <c r="A154" s="48" t="s">
        <v>278</v>
      </c>
      <c r="B154" s="48"/>
      <c r="C154" s="48">
        <v>4568835</v>
      </c>
      <c r="D154" s="48"/>
      <c r="E154" s="48">
        <v>28153146193</v>
      </c>
      <c r="F154" s="48"/>
      <c r="G154" s="48">
        <v>28153146193</v>
      </c>
      <c r="H154" s="48"/>
      <c r="I154" s="48">
        <v>0</v>
      </c>
      <c r="J154" s="48"/>
      <c r="K154" s="48">
        <v>4568835</v>
      </c>
      <c r="L154" s="48"/>
      <c r="M154" s="48">
        <v>28153146193</v>
      </c>
      <c r="N154" s="48"/>
      <c r="O154" s="48">
        <v>28153146193</v>
      </c>
      <c r="P154" s="48"/>
      <c r="Q154" s="48">
        <v>0</v>
      </c>
      <c r="R154" s="48"/>
    </row>
    <row r="155" spans="1:18">
      <c r="A155" s="48" t="s">
        <v>279</v>
      </c>
      <c r="B155" s="48"/>
      <c r="C155" s="48">
        <v>1764830</v>
      </c>
      <c r="D155" s="48"/>
      <c r="E155" s="48">
        <v>18965364568</v>
      </c>
      <c r="F155" s="48"/>
      <c r="G155" s="48">
        <v>18965364568</v>
      </c>
      <c r="H155" s="48"/>
      <c r="I155" s="48">
        <v>0</v>
      </c>
      <c r="J155" s="48"/>
      <c r="K155" s="48">
        <v>1764830</v>
      </c>
      <c r="L155" s="48"/>
      <c r="M155" s="48">
        <v>18965364568</v>
      </c>
      <c r="N155" s="48"/>
      <c r="O155" s="48">
        <v>18965364568</v>
      </c>
      <c r="P155" s="48"/>
      <c r="Q155" s="48">
        <v>0</v>
      </c>
      <c r="R155" s="48"/>
    </row>
    <row r="156" spans="1:18">
      <c r="A156" s="48" t="s">
        <v>280</v>
      </c>
      <c r="B156" s="48"/>
      <c r="C156" s="48">
        <v>3600000</v>
      </c>
      <c r="D156" s="48"/>
      <c r="E156" s="48">
        <v>22647570480</v>
      </c>
      <c r="F156" s="48"/>
      <c r="G156" s="48">
        <v>22647570480</v>
      </c>
      <c r="H156" s="48"/>
      <c r="I156" s="48">
        <v>0</v>
      </c>
      <c r="J156" s="48"/>
      <c r="K156" s="48">
        <v>3600000</v>
      </c>
      <c r="L156" s="48"/>
      <c r="M156" s="48">
        <v>22647570480</v>
      </c>
      <c r="N156" s="48"/>
      <c r="O156" s="48">
        <v>22647570480</v>
      </c>
      <c r="P156" s="48"/>
      <c r="Q156" s="48">
        <v>0</v>
      </c>
      <c r="R156" s="48"/>
    </row>
    <row r="157" spans="1:18">
      <c r="A157" s="48" t="s">
        <v>281</v>
      </c>
      <c r="B157" s="48"/>
      <c r="C157" s="48">
        <v>6741110</v>
      </c>
      <c r="D157" s="48"/>
      <c r="E157" s="48">
        <v>36388166635</v>
      </c>
      <c r="F157" s="48"/>
      <c r="G157" s="48">
        <v>36388166635</v>
      </c>
      <c r="H157" s="48"/>
      <c r="I157" s="48">
        <v>0</v>
      </c>
      <c r="J157" s="48"/>
      <c r="K157" s="48">
        <v>6741110</v>
      </c>
      <c r="L157" s="48"/>
      <c r="M157" s="48">
        <v>36388166635</v>
      </c>
      <c r="N157" s="48"/>
      <c r="O157" s="48">
        <v>36388166635</v>
      </c>
      <c r="P157" s="48"/>
      <c r="Q157" s="48">
        <v>0</v>
      </c>
      <c r="R157" s="48"/>
    </row>
    <row r="158" spans="1:18">
      <c r="A158" s="48" t="s">
        <v>282</v>
      </c>
      <c r="B158" s="48"/>
      <c r="C158" s="48">
        <v>2141672</v>
      </c>
      <c r="D158" s="48"/>
      <c r="E158" s="48">
        <v>11326872946</v>
      </c>
      <c r="F158" s="48"/>
      <c r="G158" s="48">
        <v>11326872946</v>
      </c>
      <c r="H158" s="48"/>
      <c r="I158" s="48">
        <v>0</v>
      </c>
      <c r="J158" s="48"/>
      <c r="K158" s="48">
        <v>2141672</v>
      </c>
      <c r="L158" s="48"/>
      <c r="M158" s="48">
        <v>11326872946</v>
      </c>
      <c r="N158" s="48"/>
      <c r="O158" s="48">
        <v>11326872946</v>
      </c>
      <c r="P158" s="48"/>
      <c r="Q158" s="48">
        <v>0</v>
      </c>
      <c r="R158" s="48"/>
    </row>
    <row r="159" spans="1:18">
      <c r="A159" s="48" t="s">
        <v>122</v>
      </c>
      <c r="B159" s="48"/>
      <c r="C159" s="48">
        <v>12516623</v>
      </c>
      <c r="D159" s="48"/>
      <c r="E159" s="48">
        <v>13773635280</v>
      </c>
      <c r="F159" s="48"/>
      <c r="G159" s="48">
        <v>13768428756</v>
      </c>
      <c r="H159" s="48"/>
      <c r="I159" s="48">
        <v>5206524</v>
      </c>
      <c r="J159" s="48"/>
      <c r="K159" s="48">
        <v>12516623</v>
      </c>
      <c r="L159" s="48"/>
      <c r="M159" s="48">
        <v>13773635280</v>
      </c>
      <c r="N159" s="48"/>
      <c r="O159" s="48">
        <v>13768428756</v>
      </c>
      <c r="P159" s="48"/>
      <c r="Q159" s="48">
        <v>5206524</v>
      </c>
      <c r="R159" s="48"/>
    </row>
    <row r="160" spans="1:18">
      <c r="A160" s="48" t="s">
        <v>283</v>
      </c>
      <c r="B160" s="48"/>
      <c r="C160" s="48">
        <v>2451893</v>
      </c>
      <c r="D160" s="48"/>
      <c r="E160" s="48">
        <v>13989404236</v>
      </c>
      <c r="F160" s="48"/>
      <c r="G160" s="48">
        <v>13989404236</v>
      </c>
      <c r="H160" s="48"/>
      <c r="I160" s="48">
        <v>0</v>
      </c>
      <c r="J160" s="48"/>
      <c r="K160" s="48">
        <v>2451893</v>
      </c>
      <c r="L160" s="48"/>
      <c r="M160" s="48">
        <v>13989404236</v>
      </c>
      <c r="N160" s="48"/>
      <c r="O160" s="48">
        <v>13989404236</v>
      </c>
      <c r="P160" s="48"/>
      <c r="Q160" s="48">
        <v>0</v>
      </c>
      <c r="R160" s="48"/>
    </row>
    <row r="161" spans="1:18">
      <c r="A161" s="48" t="s">
        <v>284</v>
      </c>
      <c r="B161" s="48"/>
      <c r="C161" s="48">
        <v>3667933</v>
      </c>
      <c r="D161" s="48"/>
      <c r="E161" s="48">
        <v>22601791042</v>
      </c>
      <c r="F161" s="48"/>
      <c r="G161" s="48">
        <v>22601791042</v>
      </c>
      <c r="H161" s="48"/>
      <c r="I161" s="48">
        <v>0</v>
      </c>
      <c r="J161" s="48"/>
      <c r="K161" s="48">
        <v>3667933</v>
      </c>
      <c r="L161" s="48"/>
      <c r="M161" s="48">
        <v>22601791042</v>
      </c>
      <c r="N161" s="48"/>
      <c r="O161" s="48">
        <v>22601791042</v>
      </c>
      <c r="P161" s="48"/>
      <c r="Q161" s="48">
        <v>0</v>
      </c>
      <c r="R161" s="48"/>
    </row>
    <row r="162" spans="1:18">
      <c r="A162" s="48" t="s">
        <v>124</v>
      </c>
      <c r="B162" s="48"/>
      <c r="C162" s="48">
        <v>802500</v>
      </c>
      <c r="D162" s="48"/>
      <c r="E162" s="48">
        <v>10046875148</v>
      </c>
      <c r="F162" s="48"/>
      <c r="G162" s="48">
        <v>10046609716</v>
      </c>
      <c r="H162" s="48"/>
      <c r="I162" s="48">
        <v>265432</v>
      </c>
      <c r="J162" s="48"/>
      <c r="K162" s="48">
        <v>802500</v>
      </c>
      <c r="L162" s="48"/>
      <c r="M162" s="48">
        <v>10046875148</v>
      </c>
      <c r="N162" s="48"/>
      <c r="O162" s="48">
        <v>10046609716</v>
      </c>
      <c r="P162" s="48"/>
      <c r="Q162" s="48">
        <v>265432</v>
      </c>
      <c r="R162" s="48"/>
    </row>
    <row r="163" spans="1:18">
      <c r="A163" s="48" t="s">
        <v>285</v>
      </c>
      <c r="B163" s="48"/>
      <c r="C163" s="48">
        <v>5118151</v>
      </c>
      <c r="D163" s="48"/>
      <c r="E163" s="48">
        <v>20040107036</v>
      </c>
      <c r="F163" s="48"/>
      <c r="G163" s="48">
        <v>20040107036</v>
      </c>
      <c r="H163" s="48"/>
      <c r="I163" s="48">
        <v>0</v>
      </c>
      <c r="J163" s="48"/>
      <c r="K163" s="48">
        <v>5118151</v>
      </c>
      <c r="L163" s="48"/>
      <c r="M163" s="48">
        <v>20040107036</v>
      </c>
      <c r="N163" s="48"/>
      <c r="O163" s="48">
        <v>20040107036</v>
      </c>
      <c r="P163" s="48"/>
      <c r="Q163" s="48">
        <v>0</v>
      </c>
      <c r="R163" s="48"/>
    </row>
    <row r="164" spans="1:18">
      <c r="A164" s="48" t="s">
        <v>286</v>
      </c>
      <c r="B164" s="48"/>
      <c r="C164" s="48">
        <v>1256499</v>
      </c>
      <c r="D164" s="48"/>
      <c r="E164" s="48">
        <v>7630331928</v>
      </c>
      <c r="F164" s="48"/>
      <c r="G164" s="48">
        <v>7630331928</v>
      </c>
      <c r="H164" s="48"/>
      <c r="I164" s="48">
        <v>0</v>
      </c>
      <c r="J164" s="48"/>
      <c r="K164" s="48">
        <v>1256499</v>
      </c>
      <c r="L164" s="48"/>
      <c r="M164" s="48">
        <v>7630331928</v>
      </c>
      <c r="N164" s="48"/>
      <c r="O164" s="48">
        <v>7630331928</v>
      </c>
      <c r="P164" s="48"/>
      <c r="Q164" s="48">
        <v>0</v>
      </c>
      <c r="R164" s="48"/>
    </row>
    <row r="165" spans="1:18">
      <c r="A165" s="48" t="s">
        <v>287</v>
      </c>
      <c r="B165" s="48"/>
      <c r="C165" s="48">
        <v>700000</v>
      </c>
      <c r="D165" s="48"/>
      <c r="E165" s="48">
        <v>12044173260</v>
      </c>
      <c r="F165" s="48"/>
      <c r="G165" s="48">
        <v>12044173260</v>
      </c>
      <c r="H165" s="48"/>
      <c r="I165" s="48">
        <v>0</v>
      </c>
      <c r="J165" s="48"/>
      <c r="K165" s="48">
        <v>700000</v>
      </c>
      <c r="L165" s="48"/>
      <c r="M165" s="48">
        <v>12044173260</v>
      </c>
      <c r="N165" s="48"/>
      <c r="O165" s="48">
        <v>12044173260</v>
      </c>
      <c r="P165" s="48"/>
      <c r="Q165" s="48">
        <v>0</v>
      </c>
      <c r="R165" s="48"/>
    </row>
    <row r="166" spans="1:18">
      <c r="A166" s="48" t="s">
        <v>288</v>
      </c>
      <c r="B166" s="48"/>
      <c r="C166" s="48">
        <v>7979362</v>
      </c>
      <c r="D166" s="48"/>
      <c r="E166" s="48">
        <v>26247114278</v>
      </c>
      <c r="F166" s="48"/>
      <c r="G166" s="48">
        <v>26247114278</v>
      </c>
      <c r="H166" s="48"/>
      <c r="I166" s="48">
        <v>0</v>
      </c>
      <c r="J166" s="48"/>
      <c r="K166" s="48">
        <v>7979362</v>
      </c>
      <c r="L166" s="48"/>
      <c r="M166" s="48">
        <v>26247114278</v>
      </c>
      <c r="N166" s="48"/>
      <c r="O166" s="48">
        <v>26247114278</v>
      </c>
      <c r="P166" s="48"/>
      <c r="Q166" s="48">
        <v>0</v>
      </c>
      <c r="R166" s="48"/>
    </row>
    <row r="167" spans="1:18">
      <c r="A167" s="48" t="s">
        <v>289</v>
      </c>
      <c r="B167" s="48"/>
      <c r="C167" s="48">
        <v>1293618</v>
      </c>
      <c r="D167" s="48"/>
      <c r="E167" s="48">
        <v>17585571160</v>
      </c>
      <c r="F167" s="48"/>
      <c r="G167" s="48">
        <v>17585571160</v>
      </c>
      <c r="H167" s="48"/>
      <c r="I167" s="48">
        <v>0</v>
      </c>
      <c r="J167" s="48"/>
      <c r="K167" s="48">
        <v>1293618</v>
      </c>
      <c r="L167" s="48"/>
      <c r="M167" s="48">
        <v>17585571160</v>
      </c>
      <c r="N167" s="48"/>
      <c r="O167" s="48">
        <v>17585571160</v>
      </c>
      <c r="P167" s="48"/>
      <c r="Q167" s="48">
        <v>0</v>
      </c>
      <c r="R167" s="48"/>
    </row>
    <row r="168" spans="1:18">
      <c r="A168" s="48" t="s">
        <v>290</v>
      </c>
      <c r="B168" s="48"/>
      <c r="C168" s="48">
        <v>8154486</v>
      </c>
      <c r="D168" s="48"/>
      <c r="E168" s="48">
        <v>39971772007</v>
      </c>
      <c r="F168" s="48"/>
      <c r="G168" s="48">
        <v>39971772007</v>
      </c>
      <c r="H168" s="48"/>
      <c r="I168" s="48">
        <v>0</v>
      </c>
      <c r="J168" s="48"/>
      <c r="K168" s="48">
        <v>8154486</v>
      </c>
      <c r="L168" s="48"/>
      <c r="M168" s="48">
        <v>39971772007</v>
      </c>
      <c r="N168" s="48"/>
      <c r="O168" s="48">
        <v>39971772007</v>
      </c>
      <c r="P168" s="48"/>
      <c r="Q168" s="48">
        <v>0</v>
      </c>
      <c r="R168" s="48"/>
    </row>
    <row r="169" spans="1:18">
      <c r="A169" s="48" t="s">
        <v>291</v>
      </c>
      <c r="B169" s="48"/>
      <c r="C169" s="48">
        <v>2470314</v>
      </c>
      <c r="D169" s="48"/>
      <c r="E169" s="48">
        <v>19364625935</v>
      </c>
      <c r="F169" s="48"/>
      <c r="G169" s="48">
        <v>19364625935</v>
      </c>
      <c r="H169" s="48"/>
      <c r="I169" s="48">
        <v>0</v>
      </c>
      <c r="J169" s="48"/>
      <c r="K169" s="48">
        <v>2470314</v>
      </c>
      <c r="L169" s="48"/>
      <c r="M169" s="48">
        <v>19364625935</v>
      </c>
      <c r="N169" s="48"/>
      <c r="O169" s="48">
        <v>19364625935</v>
      </c>
      <c r="P169" s="48"/>
      <c r="Q169" s="48">
        <v>0</v>
      </c>
      <c r="R169" s="48"/>
    </row>
    <row r="170" spans="1:18">
      <c r="A170" s="48" t="s">
        <v>292</v>
      </c>
      <c r="B170" s="48"/>
      <c r="C170" s="48">
        <v>1483336</v>
      </c>
      <c r="D170" s="48"/>
      <c r="E170" s="48">
        <v>4854226642</v>
      </c>
      <c r="F170" s="48"/>
      <c r="G170" s="48">
        <v>4854226642</v>
      </c>
      <c r="H170" s="48"/>
      <c r="I170" s="48">
        <v>0</v>
      </c>
      <c r="J170" s="48"/>
      <c r="K170" s="48">
        <v>1483336</v>
      </c>
      <c r="L170" s="48"/>
      <c r="M170" s="48">
        <v>4854226642</v>
      </c>
      <c r="N170" s="48"/>
      <c r="O170" s="48">
        <v>4854226642</v>
      </c>
      <c r="P170" s="48"/>
      <c r="Q170" s="48">
        <v>0</v>
      </c>
      <c r="R170" s="48"/>
    </row>
    <row r="171" spans="1:18">
      <c r="A171" s="48" t="s">
        <v>293</v>
      </c>
      <c r="B171" s="48"/>
      <c r="C171" s="48">
        <v>1086071</v>
      </c>
      <c r="D171" s="48"/>
      <c r="E171" s="48">
        <v>20411177212</v>
      </c>
      <c r="F171" s="48"/>
      <c r="G171" s="48">
        <v>20411177212</v>
      </c>
      <c r="H171" s="48"/>
      <c r="I171" s="48">
        <v>0</v>
      </c>
      <c r="J171" s="48"/>
      <c r="K171" s="48">
        <v>1086071</v>
      </c>
      <c r="L171" s="48"/>
      <c r="M171" s="48">
        <v>20411177212</v>
      </c>
      <c r="N171" s="48"/>
      <c r="O171" s="48">
        <v>20411177212</v>
      </c>
      <c r="P171" s="48"/>
      <c r="Q171" s="48">
        <v>0</v>
      </c>
      <c r="R171" s="48"/>
    </row>
    <row r="172" spans="1:18">
      <c r="A172" s="48" t="s">
        <v>141</v>
      </c>
      <c r="B172" s="48"/>
      <c r="C172" s="48">
        <v>12640871</v>
      </c>
      <c r="D172" s="48"/>
      <c r="E172" s="48">
        <v>17736024093</v>
      </c>
      <c r="F172" s="48"/>
      <c r="G172" s="48">
        <v>17738452573</v>
      </c>
      <c r="H172" s="48"/>
      <c r="I172" s="48">
        <v>-2428480</v>
      </c>
      <c r="J172" s="48"/>
      <c r="K172" s="48">
        <v>12640871</v>
      </c>
      <c r="L172" s="48"/>
      <c r="M172" s="48">
        <v>17736024093</v>
      </c>
      <c r="N172" s="48"/>
      <c r="O172" s="48">
        <v>17738452573</v>
      </c>
      <c r="P172" s="48"/>
      <c r="Q172" s="48">
        <v>-2428480</v>
      </c>
      <c r="R172" s="48"/>
    </row>
    <row r="173" spans="1:18">
      <c r="A173" s="48" t="s">
        <v>294</v>
      </c>
      <c r="B173" s="48"/>
      <c r="C173" s="48">
        <v>15001572</v>
      </c>
      <c r="D173" s="48"/>
      <c r="E173" s="48">
        <v>29205566523</v>
      </c>
      <c r="F173" s="48"/>
      <c r="G173" s="48">
        <v>29205566523</v>
      </c>
      <c r="H173" s="48"/>
      <c r="I173" s="48">
        <v>0</v>
      </c>
      <c r="J173" s="48"/>
      <c r="K173" s="48">
        <v>15001572</v>
      </c>
      <c r="L173" s="48"/>
      <c r="M173" s="48">
        <v>29205566523</v>
      </c>
      <c r="N173" s="48"/>
      <c r="O173" s="48">
        <v>29205566523</v>
      </c>
      <c r="P173" s="48"/>
      <c r="Q173" s="48">
        <v>0</v>
      </c>
      <c r="R173" s="48"/>
    </row>
    <row r="174" spans="1:18">
      <c r="A174" s="48" t="s">
        <v>295</v>
      </c>
      <c r="B174" s="48"/>
      <c r="C174" s="48">
        <v>1145414</v>
      </c>
      <c r="D174" s="48"/>
      <c r="E174" s="48">
        <v>14218364972</v>
      </c>
      <c r="F174" s="48"/>
      <c r="G174" s="48">
        <v>14218364972</v>
      </c>
      <c r="H174" s="48"/>
      <c r="I174" s="48">
        <v>0</v>
      </c>
      <c r="J174" s="48"/>
      <c r="K174" s="48">
        <v>1145414</v>
      </c>
      <c r="L174" s="48"/>
      <c r="M174" s="48">
        <v>14218364972</v>
      </c>
      <c r="N174" s="48"/>
      <c r="O174" s="48">
        <v>14218364972</v>
      </c>
      <c r="P174" s="48"/>
      <c r="Q174" s="48">
        <v>0</v>
      </c>
      <c r="R174" s="48"/>
    </row>
    <row r="175" spans="1:18">
      <c r="A175" s="48" t="s">
        <v>296</v>
      </c>
      <c r="B175" s="48"/>
      <c r="C175" s="48">
        <v>594875</v>
      </c>
      <c r="D175" s="48"/>
      <c r="E175" s="48">
        <v>30104107429</v>
      </c>
      <c r="F175" s="48"/>
      <c r="G175" s="48">
        <v>30104107429</v>
      </c>
      <c r="H175" s="48"/>
      <c r="I175" s="48">
        <v>0</v>
      </c>
      <c r="J175" s="48"/>
      <c r="K175" s="48">
        <v>594875</v>
      </c>
      <c r="L175" s="48"/>
      <c r="M175" s="48">
        <v>30104107429</v>
      </c>
      <c r="N175" s="48"/>
      <c r="O175" s="48">
        <v>30104107429</v>
      </c>
      <c r="P175" s="48"/>
      <c r="Q175" s="48">
        <v>0</v>
      </c>
      <c r="R175" s="48"/>
    </row>
    <row r="176" spans="1:18">
      <c r="A176" s="48" t="s">
        <v>297</v>
      </c>
      <c r="B176" s="48"/>
      <c r="C176" s="48">
        <v>795841</v>
      </c>
      <c r="D176" s="48"/>
      <c r="E176" s="48">
        <v>14530280343</v>
      </c>
      <c r="F176" s="48"/>
      <c r="G176" s="48">
        <v>14530280343</v>
      </c>
      <c r="H176" s="48"/>
      <c r="I176" s="48">
        <v>0</v>
      </c>
      <c r="J176" s="48"/>
      <c r="K176" s="48">
        <v>795841</v>
      </c>
      <c r="L176" s="48"/>
      <c r="M176" s="48">
        <v>14530280343</v>
      </c>
      <c r="N176" s="48"/>
      <c r="O176" s="48">
        <v>14530280343</v>
      </c>
      <c r="P176" s="48"/>
      <c r="Q176" s="48">
        <v>0</v>
      </c>
      <c r="R176" s="48"/>
    </row>
    <row r="177" spans="1:18">
      <c r="A177" s="48" t="s">
        <v>133</v>
      </c>
      <c r="B177" s="48"/>
      <c r="C177" s="48">
        <v>2357608</v>
      </c>
      <c r="D177" s="48"/>
      <c r="E177" s="48">
        <v>21454487822</v>
      </c>
      <c r="F177" s="48"/>
      <c r="G177" s="48">
        <v>21454752304</v>
      </c>
      <c r="H177" s="48"/>
      <c r="I177" s="48">
        <v>-264482</v>
      </c>
      <c r="J177" s="48"/>
      <c r="K177" s="48">
        <v>2357608</v>
      </c>
      <c r="L177" s="48"/>
      <c r="M177" s="48">
        <v>21454487822</v>
      </c>
      <c r="N177" s="48"/>
      <c r="O177" s="48">
        <v>21454752304</v>
      </c>
      <c r="P177" s="48"/>
      <c r="Q177" s="48">
        <v>-264482</v>
      </c>
      <c r="R177" s="48"/>
    </row>
    <row r="178" spans="1:18">
      <c r="A178" s="48" t="s">
        <v>298</v>
      </c>
      <c r="B178" s="48"/>
      <c r="C178" s="48">
        <v>10190676</v>
      </c>
      <c r="D178" s="48"/>
      <c r="E178" s="48">
        <v>31458127354</v>
      </c>
      <c r="F178" s="48"/>
      <c r="G178" s="48">
        <v>31458127354</v>
      </c>
      <c r="H178" s="48"/>
      <c r="I178" s="48">
        <v>0</v>
      </c>
      <c r="J178" s="48"/>
      <c r="K178" s="48">
        <v>10190676</v>
      </c>
      <c r="L178" s="48"/>
      <c r="M178" s="48">
        <v>31458127354</v>
      </c>
      <c r="N178" s="48"/>
      <c r="O178" s="48">
        <v>31458127354</v>
      </c>
      <c r="P178" s="48"/>
      <c r="Q178" s="48">
        <v>0</v>
      </c>
      <c r="R178" s="48"/>
    </row>
    <row r="179" spans="1:18">
      <c r="A179" s="48" t="s">
        <v>299</v>
      </c>
      <c r="B179" s="48"/>
      <c r="C179" s="48">
        <v>1842980</v>
      </c>
      <c r="D179" s="48"/>
      <c r="E179" s="48">
        <v>27906477248</v>
      </c>
      <c r="F179" s="48"/>
      <c r="G179" s="48">
        <v>27906477248</v>
      </c>
      <c r="H179" s="48"/>
      <c r="I179" s="48">
        <v>0</v>
      </c>
      <c r="J179" s="48"/>
      <c r="K179" s="48">
        <v>1842980</v>
      </c>
      <c r="L179" s="48"/>
      <c r="M179" s="48">
        <v>27906477248</v>
      </c>
      <c r="N179" s="48"/>
      <c r="O179" s="48">
        <v>27906477248</v>
      </c>
      <c r="P179" s="48"/>
      <c r="Q179" s="48">
        <v>0</v>
      </c>
      <c r="R179" s="48"/>
    </row>
    <row r="180" spans="1:18">
      <c r="A180" s="48" t="s">
        <v>300</v>
      </c>
      <c r="B180" s="48"/>
      <c r="C180" s="48">
        <v>3052977</v>
      </c>
      <c r="D180" s="48"/>
      <c r="E180" s="48">
        <v>18630671550</v>
      </c>
      <c r="F180" s="48"/>
      <c r="G180" s="48">
        <v>18630671550</v>
      </c>
      <c r="H180" s="48"/>
      <c r="I180" s="48">
        <v>0</v>
      </c>
      <c r="J180" s="48"/>
      <c r="K180" s="48">
        <v>3052977</v>
      </c>
      <c r="L180" s="48"/>
      <c r="M180" s="48">
        <v>18630671550</v>
      </c>
      <c r="N180" s="48"/>
      <c r="O180" s="48">
        <v>18630671550</v>
      </c>
      <c r="P180" s="48"/>
      <c r="Q180" s="48">
        <v>0</v>
      </c>
      <c r="R180" s="48"/>
    </row>
    <row r="181" spans="1:18">
      <c r="A181" s="48" t="s">
        <v>301</v>
      </c>
      <c r="B181" s="48"/>
      <c r="C181" s="48">
        <v>4665617</v>
      </c>
      <c r="D181" s="48"/>
      <c r="E181" s="48">
        <v>32129089357</v>
      </c>
      <c r="F181" s="48"/>
      <c r="G181" s="48">
        <v>32129089357</v>
      </c>
      <c r="H181" s="48"/>
      <c r="I181" s="48">
        <v>0</v>
      </c>
      <c r="J181" s="48"/>
      <c r="K181" s="48">
        <v>4665617</v>
      </c>
      <c r="L181" s="48"/>
      <c r="M181" s="48">
        <v>32129089357</v>
      </c>
      <c r="N181" s="48"/>
      <c r="O181" s="48">
        <v>32129089357</v>
      </c>
      <c r="P181" s="48"/>
      <c r="Q181" s="48">
        <v>0</v>
      </c>
      <c r="R181" s="48"/>
    </row>
    <row r="182" spans="1:18">
      <c r="A182" s="48" t="s">
        <v>302</v>
      </c>
      <c r="B182" s="48"/>
      <c r="C182" s="48">
        <v>1726440</v>
      </c>
      <c r="D182" s="48"/>
      <c r="E182" s="48">
        <v>34655904138</v>
      </c>
      <c r="F182" s="48"/>
      <c r="G182" s="48">
        <v>34655904138</v>
      </c>
      <c r="H182" s="48"/>
      <c r="I182" s="48">
        <v>0</v>
      </c>
      <c r="J182" s="48"/>
      <c r="K182" s="48">
        <v>1726440</v>
      </c>
      <c r="L182" s="48"/>
      <c r="M182" s="48">
        <v>34655904138</v>
      </c>
      <c r="N182" s="48"/>
      <c r="O182" s="48">
        <v>34655904138</v>
      </c>
      <c r="P182" s="48"/>
      <c r="Q182" s="48">
        <v>0</v>
      </c>
      <c r="R182" s="48"/>
    </row>
    <row r="183" spans="1:18">
      <c r="A183" s="48" t="s">
        <v>303</v>
      </c>
      <c r="B183" s="48"/>
      <c r="C183" s="48">
        <v>835048</v>
      </c>
      <c r="D183" s="48"/>
      <c r="E183" s="48">
        <v>21460560745</v>
      </c>
      <c r="F183" s="48"/>
      <c r="G183" s="48">
        <v>21460560745</v>
      </c>
      <c r="H183" s="48"/>
      <c r="I183" s="48">
        <v>0</v>
      </c>
      <c r="J183" s="48"/>
      <c r="K183" s="48">
        <v>835048</v>
      </c>
      <c r="L183" s="48"/>
      <c r="M183" s="48">
        <v>21460560745</v>
      </c>
      <c r="N183" s="48"/>
      <c r="O183" s="48">
        <v>21460560745</v>
      </c>
      <c r="P183" s="48"/>
      <c r="Q183" s="48">
        <v>0</v>
      </c>
      <c r="R183" s="48"/>
    </row>
    <row r="184" spans="1:18">
      <c r="A184" s="48" t="s">
        <v>304</v>
      </c>
      <c r="B184" s="48"/>
      <c r="C184" s="48">
        <v>3490646</v>
      </c>
      <c r="D184" s="48"/>
      <c r="E184" s="48">
        <v>27709306451</v>
      </c>
      <c r="F184" s="48"/>
      <c r="G184" s="48">
        <v>27709306451</v>
      </c>
      <c r="H184" s="48"/>
      <c r="I184" s="48">
        <v>0</v>
      </c>
      <c r="J184" s="48"/>
      <c r="K184" s="48">
        <v>3490646</v>
      </c>
      <c r="L184" s="48"/>
      <c r="M184" s="48">
        <v>27709306451</v>
      </c>
      <c r="N184" s="48"/>
      <c r="O184" s="48">
        <v>27709306451</v>
      </c>
      <c r="P184" s="48"/>
      <c r="Q184" s="48">
        <v>0</v>
      </c>
      <c r="R184" s="48"/>
    </row>
    <row r="185" spans="1:18">
      <c r="A185" s="48" t="s">
        <v>305</v>
      </c>
      <c r="B185" s="48"/>
      <c r="C185" s="48">
        <v>275726</v>
      </c>
      <c r="D185" s="48"/>
      <c r="E185" s="48">
        <v>6374755066</v>
      </c>
      <c r="F185" s="48"/>
      <c r="G185" s="48">
        <v>6374755066</v>
      </c>
      <c r="H185" s="48"/>
      <c r="I185" s="48">
        <v>0</v>
      </c>
      <c r="J185" s="48"/>
      <c r="K185" s="48">
        <v>275726</v>
      </c>
      <c r="L185" s="48"/>
      <c r="M185" s="48">
        <v>6374755066</v>
      </c>
      <c r="N185" s="48"/>
      <c r="O185" s="48">
        <v>6374755066</v>
      </c>
      <c r="P185" s="48"/>
      <c r="Q185" s="48">
        <v>0</v>
      </c>
      <c r="R185" s="48"/>
    </row>
    <row r="186" spans="1:18">
      <c r="A186" s="48" t="s">
        <v>306</v>
      </c>
      <c r="B186" s="48"/>
      <c r="C186" s="48">
        <v>487887</v>
      </c>
      <c r="D186" s="48"/>
      <c r="E186" s="48">
        <v>13075963261</v>
      </c>
      <c r="F186" s="48"/>
      <c r="G186" s="48">
        <v>13075963261</v>
      </c>
      <c r="H186" s="48"/>
      <c r="I186" s="48">
        <v>0</v>
      </c>
      <c r="J186" s="48"/>
      <c r="K186" s="48">
        <v>487887</v>
      </c>
      <c r="L186" s="48"/>
      <c r="M186" s="48">
        <v>13075963261</v>
      </c>
      <c r="N186" s="48"/>
      <c r="O186" s="48">
        <v>13075963261</v>
      </c>
      <c r="P186" s="48"/>
      <c r="Q186" s="48">
        <v>0</v>
      </c>
      <c r="R186" s="48"/>
    </row>
    <row r="187" spans="1:18">
      <c r="A187" s="48" t="s">
        <v>307</v>
      </c>
      <c r="B187" s="48"/>
      <c r="C187" s="48">
        <v>1667558</v>
      </c>
      <c r="D187" s="48"/>
      <c r="E187" s="48">
        <v>11781234570</v>
      </c>
      <c r="F187" s="48"/>
      <c r="G187" s="48">
        <v>11781234570</v>
      </c>
      <c r="H187" s="48"/>
      <c r="I187" s="48">
        <v>0</v>
      </c>
      <c r="J187" s="48"/>
      <c r="K187" s="48">
        <v>1667558</v>
      </c>
      <c r="L187" s="48"/>
      <c r="M187" s="48">
        <v>11781234570</v>
      </c>
      <c r="N187" s="48"/>
      <c r="O187" s="48">
        <v>11781234570</v>
      </c>
      <c r="P187" s="48"/>
      <c r="Q187" s="48">
        <v>0</v>
      </c>
      <c r="R187" s="48"/>
    </row>
    <row r="188" spans="1:18">
      <c r="A188" s="48" t="s">
        <v>308</v>
      </c>
      <c r="B188" s="48"/>
      <c r="C188" s="48">
        <v>5116431</v>
      </c>
      <c r="D188" s="48"/>
      <c r="E188" s="48">
        <v>23607496596</v>
      </c>
      <c r="F188" s="48"/>
      <c r="G188" s="48">
        <v>23607496596</v>
      </c>
      <c r="H188" s="48"/>
      <c r="I188" s="48">
        <v>0</v>
      </c>
      <c r="J188" s="48"/>
      <c r="K188" s="48">
        <v>5116431</v>
      </c>
      <c r="L188" s="48"/>
      <c r="M188" s="48">
        <v>23607496596</v>
      </c>
      <c r="N188" s="48"/>
      <c r="O188" s="48">
        <v>23607496596</v>
      </c>
      <c r="P188" s="48"/>
      <c r="Q188" s="48">
        <v>0</v>
      </c>
      <c r="R188" s="48"/>
    </row>
    <row r="189" spans="1:18">
      <c r="A189" s="48" t="s">
        <v>309</v>
      </c>
      <c r="B189" s="48"/>
      <c r="C189" s="48">
        <v>828772</v>
      </c>
      <c r="D189" s="48"/>
      <c r="E189" s="48">
        <v>12730219371</v>
      </c>
      <c r="F189" s="48"/>
      <c r="G189" s="48">
        <v>12730219371</v>
      </c>
      <c r="H189" s="48"/>
      <c r="I189" s="48">
        <v>0</v>
      </c>
      <c r="J189" s="48"/>
      <c r="K189" s="48">
        <v>828772</v>
      </c>
      <c r="L189" s="48"/>
      <c r="M189" s="48">
        <v>12730219371</v>
      </c>
      <c r="N189" s="48"/>
      <c r="O189" s="48">
        <v>12730219371</v>
      </c>
      <c r="P189" s="48"/>
      <c r="Q189" s="48">
        <v>0</v>
      </c>
      <c r="R189" s="48"/>
    </row>
    <row r="190" spans="1:18">
      <c r="A190" s="48" t="s">
        <v>149</v>
      </c>
      <c r="B190" s="48"/>
      <c r="C190" s="48">
        <v>6856686</v>
      </c>
      <c r="D190" s="48"/>
      <c r="E190" s="48">
        <v>14593901788</v>
      </c>
      <c r="F190" s="48"/>
      <c r="G190" s="48">
        <v>14595903936</v>
      </c>
      <c r="H190" s="48"/>
      <c r="I190" s="48">
        <v>-2002148</v>
      </c>
      <c r="J190" s="48"/>
      <c r="K190" s="48">
        <v>6856686</v>
      </c>
      <c r="L190" s="48"/>
      <c r="M190" s="48">
        <v>14593901788</v>
      </c>
      <c r="N190" s="48"/>
      <c r="O190" s="48">
        <v>14595903936</v>
      </c>
      <c r="P190" s="48"/>
      <c r="Q190" s="48">
        <v>-2002148</v>
      </c>
      <c r="R190" s="48"/>
    </row>
    <row r="191" spans="1:18">
      <c r="A191" s="48" t="s">
        <v>310</v>
      </c>
      <c r="B191" s="48"/>
      <c r="C191" s="48">
        <v>2723567</v>
      </c>
      <c r="D191" s="48"/>
      <c r="E191" s="48">
        <v>22268713935</v>
      </c>
      <c r="F191" s="48"/>
      <c r="G191" s="48">
        <v>22268713935</v>
      </c>
      <c r="H191" s="48"/>
      <c r="I191" s="48">
        <v>0</v>
      </c>
      <c r="J191" s="48"/>
      <c r="K191" s="48">
        <v>2723567</v>
      </c>
      <c r="L191" s="48"/>
      <c r="M191" s="48">
        <v>22268713935</v>
      </c>
      <c r="N191" s="48"/>
      <c r="O191" s="48">
        <v>22268713935</v>
      </c>
      <c r="P191" s="48"/>
      <c r="Q191" s="48">
        <v>0</v>
      </c>
      <c r="R191" s="48"/>
    </row>
    <row r="192" spans="1:18">
      <c r="A192" s="48" t="s">
        <v>311</v>
      </c>
      <c r="B192" s="48"/>
      <c r="C192" s="48">
        <v>3014987</v>
      </c>
      <c r="D192" s="48"/>
      <c r="E192" s="48">
        <v>14796854970</v>
      </c>
      <c r="F192" s="48"/>
      <c r="G192" s="48">
        <v>14796854970</v>
      </c>
      <c r="H192" s="48"/>
      <c r="I192" s="48">
        <v>0</v>
      </c>
      <c r="J192" s="48"/>
      <c r="K192" s="48">
        <v>3014987</v>
      </c>
      <c r="L192" s="48"/>
      <c r="M192" s="48">
        <v>14796854970</v>
      </c>
      <c r="N192" s="48"/>
      <c r="O192" s="48">
        <v>14796854970</v>
      </c>
      <c r="P192" s="48"/>
      <c r="Q192" s="48">
        <v>0</v>
      </c>
      <c r="R192" s="48"/>
    </row>
    <row r="193" spans="1:18">
      <c r="A193" s="48" t="s">
        <v>312</v>
      </c>
      <c r="B193" s="48"/>
      <c r="C193" s="48">
        <v>4173330</v>
      </c>
      <c r="D193" s="48"/>
      <c r="E193" s="48">
        <v>12899433546</v>
      </c>
      <c r="F193" s="48"/>
      <c r="G193" s="48">
        <v>12899433546</v>
      </c>
      <c r="H193" s="48"/>
      <c r="I193" s="48">
        <v>0</v>
      </c>
      <c r="J193" s="48"/>
      <c r="K193" s="48">
        <v>4173330</v>
      </c>
      <c r="L193" s="48"/>
      <c r="M193" s="48">
        <v>12899433546</v>
      </c>
      <c r="N193" s="48"/>
      <c r="O193" s="48">
        <v>12899433546</v>
      </c>
      <c r="P193" s="48"/>
      <c r="Q193" s="48">
        <v>0</v>
      </c>
      <c r="R193" s="48"/>
    </row>
    <row r="194" spans="1:18">
      <c r="A194" s="48" t="s">
        <v>313</v>
      </c>
      <c r="B194" s="48"/>
      <c r="C194" s="48">
        <v>2586957</v>
      </c>
      <c r="D194" s="48"/>
      <c r="E194" s="48">
        <v>17018943622</v>
      </c>
      <c r="F194" s="48"/>
      <c r="G194" s="48">
        <v>17018943622</v>
      </c>
      <c r="H194" s="48"/>
      <c r="I194" s="48">
        <v>0</v>
      </c>
      <c r="J194" s="48"/>
      <c r="K194" s="48">
        <v>2586957</v>
      </c>
      <c r="L194" s="48"/>
      <c r="M194" s="48">
        <v>17018943622</v>
      </c>
      <c r="N194" s="48"/>
      <c r="O194" s="48">
        <v>17018943622</v>
      </c>
      <c r="P194" s="48"/>
      <c r="Q194" s="48">
        <v>0</v>
      </c>
      <c r="R194" s="48"/>
    </row>
    <row r="195" spans="1:18">
      <c r="A195" s="48" t="s">
        <v>314</v>
      </c>
      <c r="B195" s="48"/>
      <c r="C195" s="48">
        <v>7969322</v>
      </c>
      <c r="D195" s="48"/>
      <c r="E195" s="48">
        <v>19848375044</v>
      </c>
      <c r="F195" s="48"/>
      <c r="G195" s="48">
        <v>19848375044</v>
      </c>
      <c r="H195" s="48"/>
      <c r="I195" s="48">
        <v>0</v>
      </c>
      <c r="J195" s="48"/>
      <c r="K195" s="48">
        <v>7969322</v>
      </c>
      <c r="L195" s="48"/>
      <c r="M195" s="48">
        <v>19848375044</v>
      </c>
      <c r="N195" s="48"/>
      <c r="O195" s="48">
        <v>19848375044</v>
      </c>
      <c r="P195" s="48"/>
      <c r="Q195" s="48">
        <v>0</v>
      </c>
      <c r="R195" s="48"/>
    </row>
    <row r="196" spans="1:18">
      <c r="A196" s="48" t="s">
        <v>315</v>
      </c>
      <c r="B196" s="48"/>
      <c r="C196" s="48">
        <v>206895</v>
      </c>
      <c r="D196" s="48"/>
      <c r="E196" s="48">
        <v>8076332903</v>
      </c>
      <c r="F196" s="48"/>
      <c r="G196" s="48">
        <v>8076332903</v>
      </c>
      <c r="H196" s="48"/>
      <c r="I196" s="48">
        <v>0</v>
      </c>
      <c r="J196" s="48"/>
      <c r="K196" s="48">
        <v>206895</v>
      </c>
      <c r="L196" s="48"/>
      <c r="M196" s="48">
        <v>8076332903</v>
      </c>
      <c r="N196" s="48"/>
      <c r="O196" s="48">
        <v>8076332903</v>
      </c>
      <c r="P196" s="48"/>
      <c r="Q196" s="48">
        <v>0</v>
      </c>
      <c r="R196" s="48"/>
    </row>
    <row r="197" spans="1:18">
      <c r="A197" s="48" t="s">
        <v>135</v>
      </c>
      <c r="B197" s="48"/>
      <c r="C197" s="48">
        <v>21351892</v>
      </c>
      <c r="D197" s="48"/>
      <c r="E197" s="48">
        <v>20720731354</v>
      </c>
      <c r="F197" s="48"/>
      <c r="G197" s="48">
        <v>20723246603</v>
      </c>
      <c r="H197" s="48"/>
      <c r="I197" s="48">
        <v>-2515249</v>
      </c>
      <c r="J197" s="48"/>
      <c r="K197" s="48">
        <v>21351892</v>
      </c>
      <c r="L197" s="48"/>
      <c r="M197" s="48">
        <v>20720731354</v>
      </c>
      <c r="N197" s="48"/>
      <c r="O197" s="48">
        <v>20723246603</v>
      </c>
      <c r="P197" s="48"/>
      <c r="Q197" s="48">
        <v>-2515249</v>
      </c>
      <c r="R197" s="48"/>
    </row>
    <row r="198" spans="1:18">
      <c r="A198" s="48" t="s">
        <v>316</v>
      </c>
      <c r="B198" s="48"/>
      <c r="C198" s="48">
        <v>1032048</v>
      </c>
      <c r="D198" s="48"/>
      <c r="E198" s="48">
        <v>26625826993</v>
      </c>
      <c r="F198" s="48"/>
      <c r="G198" s="48">
        <v>26625826993</v>
      </c>
      <c r="H198" s="48"/>
      <c r="I198" s="48">
        <v>0</v>
      </c>
      <c r="J198" s="48"/>
      <c r="K198" s="48">
        <v>1032048</v>
      </c>
      <c r="L198" s="48"/>
      <c r="M198" s="48">
        <v>26625826993</v>
      </c>
      <c r="N198" s="48"/>
      <c r="O198" s="48">
        <v>26625826993</v>
      </c>
      <c r="P198" s="48"/>
      <c r="Q198" s="48">
        <v>0</v>
      </c>
      <c r="R198" s="48"/>
    </row>
    <row r="199" spans="1:18">
      <c r="A199" s="48" t="s">
        <v>317</v>
      </c>
      <c r="B199" s="48"/>
      <c r="C199" s="48">
        <v>938593</v>
      </c>
      <c r="D199" s="48"/>
      <c r="E199" s="48">
        <v>33304635298</v>
      </c>
      <c r="F199" s="48"/>
      <c r="G199" s="48">
        <v>33304635298</v>
      </c>
      <c r="H199" s="48"/>
      <c r="I199" s="48">
        <v>0</v>
      </c>
      <c r="J199" s="48"/>
      <c r="K199" s="48">
        <v>938593</v>
      </c>
      <c r="L199" s="48"/>
      <c r="M199" s="48">
        <v>33304635298</v>
      </c>
      <c r="N199" s="48"/>
      <c r="O199" s="48">
        <v>33304635298</v>
      </c>
      <c r="P199" s="48"/>
      <c r="Q199" s="48">
        <v>0</v>
      </c>
      <c r="R199" s="48"/>
    </row>
    <row r="200" spans="1:18">
      <c r="A200" s="48" t="s">
        <v>318</v>
      </c>
      <c r="B200" s="48"/>
      <c r="C200" s="48">
        <v>795993</v>
      </c>
      <c r="D200" s="48"/>
      <c r="E200" s="48">
        <v>28299966272</v>
      </c>
      <c r="F200" s="48"/>
      <c r="G200" s="48">
        <v>28299966272</v>
      </c>
      <c r="H200" s="48"/>
      <c r="I200" s="48">
        <v>0</v>
      </c>
      <c r="J200" s="48"/>
      <c r="K200" s="48">
        <v>795993</v>
      </c>
      <c r="L200" s="48"/>
      <c r="M200" s="48">
        <v>28299966272</v>
      </c>
      <c r="N200" s="48"/>
      <c r="O200" s="48">
        <v>28299966272</v>
      </c>
      <c r="P200" s="48"/>
      <c r="Q200" s="48">
        <v>0</v>
      </c>
      <c r="R200" s="48"/>
    </row>
    <row r="201" spans="1:18">
      <c r="A201" s="48" t="s">
        <v>319</v>
      </c>
      <c r="B201" s="48"/>
      <c r="C201" s="48">
        <v>392921</v>
      </c>
      <c r="D201" s="48"/>
      <c r="E201" s="48">
        <v>17778697663</v>
      </c>
      <c r="F201" s="48"/>
      <c r="G201" s="48">
        <v>17778697663</v>
      </c>
      <c r="H201" s="48"/>
      <c r="I201" s="48">
        <v>0</v>
      </c>
      <c r="J201" s="48"/>
      <c r="K201" s="48">
        <v>392921</v>
      </c>
      <c r="L201" s="48"/>
      <c r="M201" s="48">
        <v>17778697663</v>
      </c>
      <c r="N201" s="48"/>
      <c r="O201" s="48">
        <v>17778697663</v>
      </c>
      <c r="P201" s="48"/>
      <c r="Q201" s="48">
        <v>0</v>
      </c>
      <c r="R201" s="48"/>
    </row>
    <row r="202" spans="1:18">
      <c r="A202" s="48" t="s">
        <v>320</v>
      </c>
      <c r="B202" s="48"/>
      <c r="C202" s="48">
        <v>1881856</v>
      </c>
      <c r="D202" s="48"/>
      <c r="E202" s="48">
        <v>24334774187</v>
      </c>
      <c r="F202" s="48"/>
      <c r="G202" s="48">
        <v>24334782847</v>
      </c>
      <c r="H202" s="48"/>
      <c r="I202" s="48">
        <v>-8660</v>
      </c>
      <c r="J202" s="48"/>
      <c r="K202" s="48">
        <v>1881856</v>
      </c>
      <c r="L202" s="48"/>
      <c r="M202" s="48">
        <v>24334774187</v>
      </c>
      <c r="N202" s="48"/>
      <c r="O202" s="48">
        <v>24334782847</v>
      </c>
      <c r="P202" s="48"/>
      <c r="Q202" s="48">
        <v>-8660</v>
      </c>
      <c r="R202" s="48"/>
    </row>
    <row r="203" spans="1:18">
      <c r="A203" s="48" t="s">
        <v>321</v>
      </c>
      <c r="B203" s="48"/>
      <c r="C203" s="48">
        <v>1036013</v>
      </c>
      <c r="D203" s="48"/>
      <c r="E203" s="48">
        <v>19501247632</v>
      </c>
      <c r="F203" s="48"/>
      <c r="G203" s="48">
        <v>19501247632</v>
      </c>
      <c r="H203" s="48"/>
      <c r="I203" s="48">
        <v>0</v>
      </c>
      <c r="J203" s="48"/>
      <c r="K203" s="48">
        <v>1036013</v>
      </c>
      <c r="L203" s="48"/>
      <c r="M203" s="48">
        <v>19501247632</v>
      </c>
      <c r="N203" s="48"/>
      <c r="O203" s="48">
        <v>19501247632</v>
      </c>
      <c r="P203" s="48"/>
      <c r="Q203" s="48">
        <v>0</v>
      </c>
      <c r="R203" s="48"/>
    </row>
    <row r="204" spans="1:18">
      <c r="A204" s="48" t="s">
        <v>322</v>
      </c>
      <c r="B204" s="48"/>
      <c r="C204" s="48">
        <v>5391749</v>
      </c>
      <c r="D204" s="48"/>
      <c r="E204" s="48">
        <v>31244413357</v>
      </c>
      <c r="F204" s="48"/>
      <c r="G204" s="48">
        <v>31244413357</v>
      </c>
      <c r="H204" s="48"/>
      <c r="I204" s="48">
        <v>0</v>
      </c>
      <c r="J204" s="48"/>
      <c r="K204" s="48">
        <v>5391749</v>
      </c>
      <c r="L204" s="48"/>
      <c r="M204" s="48">
        <v>31244413357</v>
      </c>
      <c r="N204" s="48"/>
      <c r="O204" s="48">
        <v>31244413357</v>
      </c>
      <c r="P204" s="48"/>
      <c r="Q204" s="48">
        <v>0</v>
      </c>
      <c r="R204" s="48"/>
    </row>
    <row r="205" spans="1:18">
      <c r="A205" s="48" t="s">
        <v>323</v>
      </c>
      <c r="B205" s="48"/>
      <c r="C205" s="48">
        <v>14595002</v>
      </c>
      <c r="D205" s="48"/>
      <c r="E205" s="48">
        <v>38986035652</v>
      </c>
      <c r="F205" s="48"/>
      <c r="G205" s="48">
        <v>38986035652</v>
      </c>
      <c r="H205" s="48"/>
      <c r="I205" s="48">
        <v>0</v>
      </c>
      <c r="J205" s="48"/>
      <c r="K205" s="48">
        <v>14595002</v>
      </c>
      <c r="L205" s="48"/>
      <c r="M205" s="48">
        <v>38986035652</v>
      </c>
      <c r="N205" s="48"/>
      <c r="O205" s="48">
        <v>38986035652</v>
      </c>
      <c r="P205" s="48"/>
      <c r="Q205" s="48">
        <v>0</v>
      </c>
      <c r="R205" s="48"/>
    </row>
    <row r="206" spans="1:18">
      <c r="A206" s="48" t="s">
        <v>324</v>
      </c>
      <c r="B206" s="48"/>
      <c r="C206" s="48">
        <v>4368712</v>
      </c>
      <c r="D206" s="48"/>
      <c r="E206" s="48">
        <v>43392767981</v>
      </c>
      <c r="F206" s="48"/>
      <c r="G206" s="48">
        <v>43392767981</v>
      </c>
      <c r="H206" s="48"/>
      <c r="I206" s="48">
        <v>0</v>
      </c>
      <c r="J206" s="48"/>
      <c r="K206" s="48">
        <v>4368712</v>
      </c>
      <c r="L206" s="48"/>
      <c r="M206" s="48">
        <v>43392767981</v>
      </c>
      <c r="N206" s="48"/>
      <c r="O206" s="48">
        <v>43392767981</v>
      </c>
      <c r="P206" s="48"/>
      <c r="Q206" s="48">
        <v>0</v>
      </c>
      <c r="R206" s="48"/>
    </row>
    <row r="207" spans="1:18">
      <c r="A207" s="48" t="s">
        <v>325</v>
      </c>
      <c r="B207" s="48"/>
      <c r="C207" s="48">
        <v>450000</v>
      </c>
      <c r="D207" s="48"/>
      <c r="E207" s="48">
        <v>4728662685</v>
      </c>
      <c r="F207" s="48"/>
      <c r="G207" s="48">
        <v>4728662685</v>
      </c>
      <c r="H207" s="48"/>
      <c r="I207" s="48">
        <v>0</v>
      </c>
      <c r="J207" s="48"/>
      <c r="K207" s="48">
        <v>450000</v>
      </c>
      <c r="L207" s="48"/>
      <c r="M207" s="48">
        <v>4728662685</v>
      </c>
      <c r="N207" s="48"/>
      <c r="O207" s="48">
        <v>4728662685</v>
      </c>
      <c r="P207" s="48"/>
      <c r="Q207" s="48">
        <v>0</v>
      </c>
      <c r="R207" s="48"/>
    </row>
    <row r="208" spans="1:18">
      <c r="A208" s="48" t="s">
        <v>326</v>
      </c>
      <c r="B208" s="48"/>
      <c r="C208" s="48">
        <v>1405716</v>
      </c>
      <c r="D208" s="48"/>
      <c r="E208" s="48">
        <v>13251073246</v>
      </c>
      <c r="F208" s="48"/>
      <c r="G208" s="48">
        <v>13251073246</v>
      </c>
      <c r="H208" s="48"/>
      <c r="I208" s="48">
        <v>0</v>
      </c>
      <c r="J208" s="48"/>
      <c r="K208" s="48">
        <v>1405716</v>
      </c>
      <c r="L208" s="48"/>
      <c r="M208" s="48">
        <v>13251073246</v>
      </c>
      <c r="N208" s="48"/>
      <c r="O208" s="48">
        <v>13251073246</v>
      </c>
      <c r="P208" s="48"/>
      <c r="Q208" s="48">
        <v>0</v>
      </c>
      <c r="R208" s="48"/>
    </row>
    <row r="209" spans="1:18">
      <c r="A209" s="48" t="s">
        <v>327</v>
      </c>
      <c r="B209" s="48"/>
      <c r="C209" s="48">
        <v>5658733</v>
      </c>
      <c r="D209" s="48"/>
      <c r="E209" s="48">
        <v>20500332119</v>
      </c>
      <c r="F209" s="48"/>
      <c r="G209" s="48">
        <v>20500332119</v>
      </c>
      <c r="H209" s="48"/>
      <c r="I209" s="48">
        <v>0</v>
      </c>
      <c r="J209" s="48"/>
      <c r="K209" s="48">
        <v>5658733</v>
      </c>
      <c r="L209" s="48"/>
      <c r="M209" s="48">
        <v>20500332119</v>
      </c>
      <c r="N209" s="48"/>
      <c r="O209" s="48">
        <v>20500332119</v>
      </c>
      <c r="P209" s="48"/>
      <c r="Q209" s="48">
        <v>0</v>
      </c>
      <c r="R209" s="48"/>
    </row>
    <row r="210" spans="1:18">
      <c r="A210" s="48" t="s">
        <v>328</v>
      </c>
      <c r="B210" s="48"/>
      <c r="C210" s="48">
        <v>2024465</v>
      </c>
      <c r="D210" s="48"/>
      <c r="E210" s="48">
        <v>15407617842</v>
      </c>
      <c r="F210" s="48"/>
      <c r="G210" s="48">
        <v>15407617842</v>
      </c>
      <c r="H210" s="48"/>
      <c r="I210" s="48">
        <v>0</v>
      </c>
      <c r="J210" s="48"/>
      <c r="K210" s="48">
        <v>2024465</v>
      </c>
      <c r="L210" s="48"/>
      <c r="M210" s="48">
        <v>15407617842</v>
      </c>
      <c r="N210" s="48"/>
      <c r="O210" s="48">
        <v>15407617842</v>
      </c>
      <c r="P210" s="48"/>
      <c r="Q210" s="48">
        <v>0</v>
      </c>
      <c r="R210" s="48"/>
    </row>
    <row r="211" spans="1:18">
      <c r="A211" s="48" t="s">
        <v>329</v>
      </c>
      <c r="B211" s="48"/>
      <c r="C211" s="48">
        <v>2192838</v>
      </c>
      <c r="D211" s="48"/>
      <c r="E211" s="48">
        <v>20061681480</v>
      </c>
      <c r="F211" s="48"/>
      <c r="G211" s="48">
        <v>20061681480</v>
      </c>
      <c r="H211" s="48"/>
      <c r="I211" s="48">
        <v>0</v>
      </c>
      <c r="J211" s="48"/>
      <c r="K211" s="48">
        <v>2192838</v>
      </c>
      <c r="L211" s="48"/>
      <c r="M211" s="48">
        <v>20061681480</v>
      </c>
      <c r="N211" s="48"/>
      <c r="O211" s="48">
        <v>20061681480</v>
      </c>
      <c r="P211" s="48"/>
      <c r="Q211" s="48">
        <v>0</v>
      </c>
      <c r="R211" s="48"/>
    </row>
    <row r="212" spans="1:18">
      <c r="A212" s="48" t="s">
        <v>330</v>
      </c>
      <c r="B212" s="48"/>
      <c r="C212" s="48">
        <v>6511043</v>
      </c>
      <c r="D212" s="48"/>
      <c r="E212" s="48">
        <v>26314482573</v>
      </c>
      <c r="F212" s="48"/>
      <c r="G212" s="48">
        <v>26314482573</v>
      </c>
      <c r="H212" s="48"/>
      <c r="I212" s="48">
        <v>0</v>
      </c>
      <c r="J212" s="48"/>
      <c r="K212" s="48">
        <v>6511043</v>
      </c>
      <c r="L212" s="48"/>
      <c r="M212" s="48">
        <v>26314482573</v>
      </c>
      <c r="N212" s="48"/>
      <c r="O212" s="48">
        <v>26314482573</v>
      </c>
      <c r="P212" s="48"/>
      <c r="Q212" s="48">
        <v>0</v>
      </c>
      <c r="R212" s="48"/>
    </row>
    <row r="213" spans="1:18">
      <c r="A213" s="48" t="s">
        <v>331</v>
      </c>
      <c r="B213" s="48"/>
      <c r="C213" s="48">
        <v>13112263</v>
      </c>
      <c r="D213" s="48"/>
      <c r="E213" s="48">
        <v>32332099439</v>
      </c>
      <c r="F213" s="48"/>
      <c r="G213" s="48">
        <v>32332099439</v>
      </c>
      <c r="H213" s="48"/>
      <c r="I213" s="48">
        <v>0</v>
      </c>
      <c r="J213" s="48"/>
      <c r="K213" s="48">
        <v>13112263</v>
      </c>
      <c r="L213" s="48"/>
      <c r="M213" s="48">
        <v>32332099439</v>
      </c>
      <c r="N213" s="48"/>
      <c r="O213" s="48">
        <v>32332099439</v>
      </c>
      <c r="P213" s="48"/>
      <c r="Q213" s="48">
        <v>0</v>
      </c>
      <c r="R213" s="48"/>
    </row>
    <row r="214" spans="1:18">
      <c r="A214" s="48" t="s">
        <v>332</v>
      </c>
      <c r="B214" s="48"/>
      <c r="C214" s="48">
        <v>9752234</v>
      </c>
      <c r="D214" s="48"/>
      <c r="E214" s="48">
        <v>13286313994</v>
      </c>
      <c r="F214" s="48"/>
      <c r="G214" s="48">
        <v>13286313994</v>
      </c>
      <c r="H214" s="48"/>
      <c r="I214" s="48">
        <v>0</v>
      </c>
      <c r="J214" s="48"/>
      <c r="K214" s="48">
        <v>9752234</v>
      </c>
      <c r="L214" s="48"/>
      <c r="M214" s="48">
        <v>13286313994</v>
      </c>
      <c r="N214" s="48"/>
      <c r="O214" s="48">
        <v>13286313994</v>
      </c>
      <c r="P214" s="48"/>
      <c r="Q214" s="48">
        <v>0</v>
      </c>
      <c r="R214" s="48"/>
    </row>
    <row r="215" spans="1:18">
      <c r="A215" s="48" t="s">
        <v>333</v>
      </c>
      <c r="B215" s="48"/>
      <c r="C215" s="48">
        <v>1500000</v>
      </c>
      <c r="D215" s="48"/>
      <c r="E215" s="48">
        <v>13112848050</v>
      </c>
      <c r="F215" s="48"/>
      <c r="G215" s="48">
        <v>13112848050</v>
      </c>
      <c r="H215" s="48"/>
      <c r="I215" s="48">
        <v>0</v>
      </c>
      <c r="J215" s="48"/>
      <c r="K215" s="48">
        <v>1500000</v>
      </c>
      <c r="L215" s="48"/>
      <c r="M215" s="48">
        <v>13112848050</v>
      </c>
      <c r="N215" s="48"/>
      <c r="O215" s="48">
        <v>13112848050</v>
      </c>
      <c r="P215" s="48"/>
      <c r="Q215" s="48">
        <v>0</v>
      </c>
      <c r="R215" s="48"/>
    </row>
    <row r="216" spans="1:18">
      <c r="A216" s="48" t="s">
        <v>334</v>
      </c>
      <c r="B216" s="48"/>
      <c r="C216" s="48">
        <v>26913216</v>
      </c>
      <c r="D216" s="48"/>
      <c r="E216" s="48">
        <v>26838702725</v>
      </c>
      <c r="F216" s="48"/>
      <c r="G216" s="48">
        <v>26838702725</v>
      </c>
      <c r="H216" s="48"/>
      <c r="I216" s="48">
        <v>0</v>
      </c>
      <c r="J216" s="48"/>
      <c r="K216" s="48">
        <v>26913216</v>
      </c>
      <c r="L216" s="48"/>
      <c r="M216" s="48">
        <v>26838702725</v>
      </c>
      <c r="N216" s="48"/>
      <c r="O216" s="48">
        <v>26838702725</v>
      </c>
      <c r="P216" s="48"/>
      <c r="Q216" s="48">
        <v>0</v>
      </c>
      <c r="R216" s="48"/>
    </row>
    <row r="217" spans="1:18">
      <c r="A217" s="48" t="s">
        <v>335</v>
      </c>
      <c r="B217" s="48"/>
      <c r="C217" s="48">
        <v>5200000</v>
      </c>
      <c r="D217" s="48"/>
      <c r="E217" s="48">
        <v>15035668856</v>
      </c>
      <c r="F217" s="48"/>
      <c r="G217" s="48">
        <v>15035668856</v>
      </c>
      <c r="H217" s="48"/>
      <c r="I217" s="48">
        <v>0</v>
      </c>
      <c r="J217" s="48"/>
      <c r="K217" s="48">
        <v>5200000</v>
      </c>
      <c r="L217" s="48"/>
      <c r="M217" s="48">
        <v>15035668856</v>
      </c>
      <c r="N217" s="48"/>
      <c r="O217" s="48">
        <v>15035668856</v>
      </c>
      <c r="P217" s="48"/>
      <c r="Q217" s="48">
        <v>0</v>
      </c>
      <c r="R217" s="48"/>
    </row>
    <row r="218" spans="1:18">
      <c r="A218" s="48" t="s">
        <v>129</v>
      </c>
      <c r="B218" s="48"/>
      <c r="C218" s="48">
        <v>11242355</v>
      </c>
      <c r="D218" s="48"/>
      <c r="E218" s="48">
        <v>21206513484</v>
      </c>
      <c r="F218" s="48"/>
      <c r="G218" s="48">
        <v>21039729209</v>
      </c>
      <c r="H218" s="48"/>
      <c r="I218" s="48">
        <v>166784275</v>
      </c>
      <c r="J218" s="48"/>
      <c r="K218" s="48">
        <v>11242355</v>
      </c>
      <c r="L218" s="48"/>
      <c r="M218" s="48">
        <v>21206513484</v>
      </c>
      <c r="N218" s="48"/>
      <c r="O218" s="48">
        <v>21039729209</v>
      </c>
      <c r="P218" s="48"/>
      <c r="Q218" s="48">
        <v>166784275</v>
      </c>
      <c r="R218" s="48"/>
    </row>
    <row r="219" spans="1:18">
      <c r="A219" s="48" t="s">
        <v>336</v>
      </c>
      <c r="B219" s="48"/>
      <c r="C219" s="48">
        <v>1175423</v>
      </c>
      <c r="D219" s="48"/>
      <c r="E219" s="48">
        <v>1050869619</v>
      </c>
      <c r="F219" s="48"/>
      <c r="G219" s="48">
        <v>1215396725</v>
      </c>
      <c r="H219" s="48"/>
      <c r="I219" s="48">
        <v>-164527106</v>
      </c>
      <c r="J219" s="48"/>
      <c r="K219" s="48">
        <v>1175423</v>
      </c>
      <c r="L219" s="48"/>
      <c r="M219" s="48">
        <v>1050869619</v>
      </c>
      <c r="N219" s="48"/>
      <c r="O219" s="48">
        <v>1215396725</v>
      </c>
      <c r="P219" s="48"/>
      <c r="Q219" s="48">
        <v>-164527106</v>
      </c>
      <c r="R219" s="48"/>
    </row>
    <row r="220" spans="1:18">
      <c r="A220" s="48" t="s">
        <v>134</v>
      </c>
      <c r="B220" s="48"/>
      <c r="C220" s="48">
        <v>8112972</v>
      </c>
      <c r="D220" s="48"/>
      <c r="E220" s="48">
        <v>22621227021</v>
      </c>
      <c r="F220" s="48"/>
      <c r="G220" s="48">
        <v>22943237370</v>
      </c>
      <c r="H220" s="48"/>
      <c r="I220" s="48">
        <v>-322010349</v>
      </c>
      <c r="J220" s="48"/>
      <c r="K220" s="48">
        <v>8112972</v>
      </c>
      <c r="L220" s="48"/>
      <c r="M220" s="48">
        <v>22621227021</v>
      </c>
      <c r="N220" s="48"/>
      <c r="O220" s="48">
        <v>22943237370</v>
      </c>
      <c r="P220" s="48"/>
      <c r="Q220" s="48">
        <v>-322010349</v>
      </c>
      <c r="R220" s="48"/>
    </row>
    <row r="221" spans="1:18" ht="18.75" thickBot="1">
      <c r="A221" s="48" t="s">
        <v>2</v>
      </c>
      <c r="B221" s="48"/>
      <c r="C221" s="49">
        <f t="shared" ref="C221:Q221" si="0">SUM(C7:C220)</f>
        <v>1260728779</v>
      </c>
      <c r="D221" s="48"/>
      <c r="E221" s="49">
        <f t="shared" si="0"/>
        <v>4140022893502</v>
      </c>
      <c r="F221" s="48"/>
      <c r="G221" s="49">
        <f t="shared" si="0"/>
        <v>4146422806222</v>
      </c>
      <c r="H221" s="48"/>
      <c r="I221" s="49">
        <f t="shared" si="0"/>
        <v>-6399912720</v>
      </c>
      <c r="J221" s="48"/>
      <c r="K221" s="49">
        <f t="shared" si="0"/>
        <v>1260728779</v>
      </c>
      <c r="L221" s="48"/>
      <c r="M221" s="49">
        <f t="shared" si="0"/>
        <v>4140022893502</v>
      </c>
      <c r="N221" s="48"/>
      <c r="O221" s="49">
        <f t="shared" si="0"/>
        <v>4146422806222</v>
      </c>
      <c r="P221" s="48"/>
      <c r="Q221" s="49">
        <f t="shared" si="0"/>
        <v>-6399912720</v>
      </c>
      <c r="R221" s="48"/>
    </row>
    <row r="222" spans="1:18" ht="18.75" thickTop="1"/>
    <row r="223" spans="1:18">
      <c r="A223" s="48"/>
      <c r="B223" s="48"/>
    </row>
  </sheetData>
  <mergeCells count="6">
    <mergeCell ref="C5:I5"/>
    <mergeCell ref="K5:Q5"/>
    <mergeCell ref="A4:G4"/>
    <mergeCell ref="A1:Q1"/>
    <mergeCell ref="A2:Q2"/>
    <mergeCell ref="A3:Q3"/>
  </mergeCells>
  <printOptions horizontalCentered="1"/>
  <pageMargins left="0" right="0" top="0.15" bottom="0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صفحه نخست</vt:lpstr>
      <vt:lpstr> سهام</vt:lpstr>
      <vt:lpstr>اوراق مشتقه</vt:lpstr>
      <vt:lpstr>واحدهای صندوق</vt:lpstr>
      <vt:lpstr>اوراق</vt:lpstr>
      <vt:lpstr>تعدیل قیمت</vt:lpstr>
      <vt:lpstr>سپرده</vt:lpstr>
      <vt:lpstr>درآمدها</vt:lpstr>
      <vt:lpstr>درآمد سرمایه گذاری در سهام </vt:lpstr>
      <vt:lpstr>درآمد سرمایه گذاری در صندوق</vt:lpstr>
      <vt:lpstr>درآمد سرمایه گذاری در اوراق بها</vt:lpstr>
      <vt:lpstr>درآمد سپرده بانکی</vt:lpstr>
      <vt:lpstr>سایر درآمدها</vt:lpstr>
      <vt:lpstr>درآمد سود سهام</vt:lpstr>
      <vt:lpstr>درآمد سود صندوق</vt:lpstr>
      <vt:lpstr>سود اوراق بهادار</vt:lpstr>
      <vt:lpstr>سود  سپرده بانکی</vt:lpstr>
      <vt:lpstr>درآمد ناشی ازفروش</vt:lpstr>
      <vt:lpstr>درآمد ناشی از تغییر قیمت اوراق </vt:lpstr>
      <vt:lpstr>' سهام'!Print_Area</vt:lpstr>
      <vt:lpstr>اوراق!Print_Area</vt:lpstr>
      <vt:lpstr>'اوراق مشتقه'!Print_Area</vt:lpstr>
      <vt:lpstr>'تعدیل قیمت'!Print_Area</vt:lpstr>
      <vt:lpstr>'درآمد سرمایه گذاری در اوراق بها'!Print_Area</vt:lpstr>
      <vt:lpstr>'درآمد سرمایه گذاری در صندوق'!Print_Area</vt:lpstr>
      <vt:lpstr>'درآمد سود صندوق'!Print_Area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 سپرده بانکی'!Print_Area</vt:lpstr>
      <vt:lpstr>'سود اوراق بهادار'!Print_Area</vt:lpstr>
      <vt:lpstr>'صفحه نخست'!Print_Area</vt:lpstr>
      <vt:lpstr>'واحدهای صندوق'!Print_Area</vt:lpstr>
      <vt:lpstr>' سهام'!Print_Titles</vt:lpstr>
      <vt:lpstr>'درآمد سرمایه گذاری در سهام '!Print_Titles</vt:lpstr>
      <vt:lpstr>'درآمد ناشی از تغییر قیمت اوراق '!Print_Titles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Niknam</cp:lastModifiedBy>
  <cp:lastPrinted>2026-04-29T11:04:08Z</cp:lastPrinted>
  <dcterms:created xsi:type="dcterms:W3CDTF">2017-11-22T14:26:20Z</dcterms:created>
  <dcterms:modified xsi:type="dcterms:W3CDTF">2026-04-29T11:04:21Z</dcterms:modified>
</cp:coreProperties>
</file>