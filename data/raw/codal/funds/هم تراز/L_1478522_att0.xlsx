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zaei\پرتفو\پرتفوی1404.10.30\پرتفوی مشترک1404.10.30\"/>
    </mc:Choice>
  </mc:AlternateContent>
  <xr:revisionPtr revIDLastSave="0" documentId="13_ncr:1_{19A29252-3505-4B0C-826B-878061E31B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'11'!$A$8:$Q$224</definedName>
    <definedName name="_xlnm.Print_Titles" localSheetId="1">'1'!$1:$10</definedName>
    <definedName name="_xlnm.Print_Titles" localSheetId="9">'10'!$1:$8</definedName>
    <definedName name="_xlnm.Print_Titles" localSheetId="10">'11'!$1:$8</definedName>
    <definedName name="_xlnm.Print_Titles" localSheetId="11">'12'!$1:$8</definedName>
    <definedName name="_xlnm.Print_Titles" localSheetId="7">'8'!$1:$8</definedName>
    <definedName name="_xlnm.Print_Titles" localSheetId="8">'9'!$1:$8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6" l="1"/>
  <c r="C10" i="16"/>
  <c r="G16" i="15"/>
  <c r="I12" i="15" s="1"/>
  <c r="C16" i="15"/>
  <c r="E14" i="15" s="1"/>
  <c r="Q9" i="14"/>
  <c r="O9" i="14"/>
  <c r="M9" i="14"/>
  <c r="K9" i="14"/>
  <c r="I9" i="14"/>
  <c r="G9" i="14"/>
  <c r="E9" i="14"/>
  <c r="C9" i="14"/>
  <c r="U231" i="13"/>
  <c r="S231" i="13"/>
  <c r="Q231" i="13"/>
  <c r="O231" i="13"/>
  <c r="M231" i="13"/>
  <c r="K231" i="13"/>
  <c r="I231" i="13"/>
  <c r="G231" i="13"/>
  <c r="E231" i="13"/>
  <c r="C231" i="13"/>
  <c r="Q224" i="12"/>
  <c r="O224" i="12"/>
  <c r="M224" i="12"/>
  <c r="K224" i="12"/>
  <c r="I224" i="12"/>
  <c r="G224" i="12"/>
  <c r="E224" i="12"/>
  <c r="C224" i="12"/>
  <c r="Q184" i="11"/>
  <c r="O184" i="11"/>
  <c r="M184" i="11"/>
  <c r="K184" i="11"/>
  <c r="I184" i="11"/>
  <c r="G184" i="11"/>
  <c r="E184" i="11"/>
  <c r="C184" i="11"/>
  <c r="M16" i="10"/>
  <c r="K16" i="10"/>
  <c r="I16" i="10"/>
  <c r="G16" i="10"/>
  <c r="E16" i="10"/>
  <c r="C16" i="10"/>
  <c r="S89" i="9"/>
  <c r="Q89" i="9"/>
  <c r="O89" i="9"/>
  <c r="M89" i="9"/>
  <c r="K89" i="9"/>
  <c r="I89" i="9"/>
  <c r="E12" i="8"/>
  <c r="I12" i="8"/>
  <c r="L16" i="6"/>
  <c r="J16" i="6"/>
  <c r="H16" i="6"/>
  <c r="F16" i="6"/>
  <c r="D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230" i="2"/>
  <c r="U230" i="2"/>
  <c r="S230" i="2"/>
  <c r="Q230" i="2"/>
  <c r="O230" i="2"/>
  <c r="M230" i="2"/>
  <c r="L230" i="2"/>
  <c r="J230" i="2"/>
  <c r="I230" i="2"/>
  <c r="G230" i="2"/>
  <c r="E230" i="2"/>
  <c r="C230" i="2"/>
  <c r="E13" i="15" l="1"/>
  <c r="I13" i="15"/>
  <c r="I14" i="15"/>
  <c r="E9" i="15"/>
  <c r="E15" i="15"/>
  <c r="I10" i="15"/>
  <c r="E11" i="15"/>
  <c r="I9" i="15"/>
  <c r="E12" i="15"/>
  <c r="G12" i="8"/>
  <c r="I11" i="15"/>
  <c r="I15" i="15"/>
  <c r="E10" i="15"/>
  <c r="E16" i="15" l="1"/>
  <c r="I16" i="15"/>
</calcChain>
</file>

<file path=xl/sharedStrings.xml><?xml version="1.0" encoding="utf-8"?>
<sst xmlns="http://schemas.openxmlformats.org/spreadsheetml/2006/main" count="1284" uniqueCount="431">
  <si>
    <t>‫شاخصی هم ‏وزن تراز</t>
  </si>
  <si>
    <t>‫صورت وضعیت پورتفوی</t>
  </si>
  <si>
    <t>‫برای ماه منتهی به 1404/10/30</t>
  </si>
  <si>
    <t>‫1- سرمایه گذاری ها</t>
  </si>
  <si>
    <t>‫1-1- سرمایه گذاری در سهام و حق تقدم سهام</t>
  </si>
  <si>
    <t>‫1404/09/30</t>
  </si>
  <si>
    <t>‫تغییرات طی دوره</t>
  </si>
  <si>
    <t>‫1404/10/30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</si>
  <si>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</si>
  <si>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</si>
  <si>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</si>
  <si>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</si>
  <si>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</si>
  <si>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</si>
  <si>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</si>
  <si>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</si>
  <si>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</si>
  <si>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‫آترا زيست آراي</t>
  </si>
  <si>
    <t>‫آريان كيميا تك</t>
  </si>
  <si>
    <t>‫آلوميناي ايران</t>
  </si>
  <si>
    <t>‫آلومينيوم ايران</t>
  </si>
  <si>
    <t>‫آنتي بيوتيك سازي ايران</t>
  </si>
  <si>
    <t>‫آهن و فولاد غدير ايرانيان</t>
  </si>
  <si>
    <t>‫اخشان خراسان</t>
  </si>
  <si>
    <t>‫ارتباطات سیار</t>
  </si>
  <si>
    <t>‫افست</t>
  </si>
  <si>
    <t>‫اقتصاد نوين</t>
  </si>
  <si>
    <t>‫البرز دارو</t>
  </si>
  <si>
    <t>‫الكتريك خودرو</t>
  </si>
  <si>
    <t>‫املاح ايران</t>
  </si>
  <si>
    <t>‫انتقال داده هاي آسياتك</t>
  </si>
  <si>
    <t>‫ايران ترانسفو</t>
  </si>
  <si>
    <t>‫ايران ترانسفو (تقدم)</t>
  </si>
  <si>
    <t>‫ايران خودرو</t>
  </si>
  <si>
    <t>‫ايمن خودرو شرق</t>
  </si>
  <si>
    <t>‫ایرکا پارت صنعت</t>
  </si>
  <si>
    <t>‫بانك تجارت</t>
  </si>
  <si>
    <t>‫بانك خاورميانه</t>
  </si>
  <si>
    <t>‫بانك سينا</t>
  </si>
  <si>
    <t>‫بانك صادرات</t>
  </si>
  <si>
    <t>‫بانك ملت</t>
  </si>
  <si>
    <t>‫بهار رز عاليس چناران</t>
  </si>
  <si>
    <t>‫بهمن دیزل</t>
  </si>
  <si>
    <t>‫بيمه آسيا</t>
  </si>
  <si>
    <t>‫بيمه البرز</t>
  </si>
  <si>
    <t>‫بيمه ايران - معين</t>
  </si>
  <si>
    <t>‫بيمه پارسيان</t>
  </si>
  <si>
    <t>‫تامين سرمايه لوتوس پارسيان</t>
  </si>
  <si>
    <t>‫تامين سرمايه نوين</t>
  </si>
  <si>
    <t>‫تامين ماسه</t>
  </si>
  <si>
    <t>‫تايدواتر</t>
  </si>
  <si>
    <t>‫تجارت الکترونیک پارسیان</t>
  </si>
  <si>
    <t xml:space="preserve">‫تراكتور سازي </t>
  </si>
  <si>
    <t>‫توزيع دارو پخش</t>
  </si>
  <si>
    <t>‫توسعه سامانه ي نرم افزاري نگين</t>
  </si>
  <si>
    <t>‫توسعه معادن كروميت كاوندگان</t>
  </si>
  <si>
    <t>‫توسعه نيشكر و صنايع جانبي</t>
  </si>
  <si>
    <t>‫توسعه و عمران اميد</t>
  </si>
  <si>
    <t>‫توكا رنگ فولاد سپاهان</t>
  </si>
  <si>
    <t>‫توليد انرژي برق شمس پاسارگاد</t>
  </si>
  <si>
    <t>‫توليد برق عسلويه مپنا</t>
  </si>
  <si>
    <t>‫توليد ژلاتين كپسول ايران</t>
  </si>
  <si>
    <t>‫توليدات پتروشيمي قائد بصير</t>
  </si>
  <si>
    <t>‫توليدي برنا باطري</t>
  </si>
  <si>
    <t>‫توليدي و صنعتي گوهرفام</t>
  </si>
  <si>
    <t>‫توليدي چدن سازان</t>
  </si>
  <si>
    <t>‫حفاري شمال</t>
  </si>
  <si>
    <t>‫حمل و نقل ريلي پارسيان</t>
  </si>
  <si>
    <t>‫خاك چيني</t>
  </si>
  <si>
    <t>‫داده پردازي</t>
  </si>
  <si>
    <t>‫دارو ابوريحان</t>
  </si>
  <si>
    <t>‫داروسازي زاگرس</t>
  </si>
  <si>
    <t>‫داروسازي فارابي</t>
  </si>
  <si>
    <t>‫داروسازي‌ اكسير</t>
  </si>
  <si>
    <t>‫دارويي ره آورد تامين</t>
  </si>
  <si>
    <t>‫دارويي و نهاده هاي زاگرس دارو</t>
  </si>
  <si>
    <t>‫دارويي‌ رازك‌</t>
  </si>
  <si>
    <t>‫دريايي سينا</t>
  </si>
  <si>
    <t>‫رادياتور</t>
  </si>
  <si>
    <t>‫ريخته گري تراكتورسازي</t>
  </si>
  <si>
    <t>‫ريل سير كوثر</t>
  </si>
  <si>
    <t>‫س. و توسعه صنايع لاستيك</t>
  </si>
  <si>
    <t>‫سالمين</t>
  </si>
  <si>
    <t>‫سايپا</t>
  </si>
  <si>
    <t>‫سبحان_دارو</t>
  </si>
  <si>
    <t>‫سرمايه گذاري اميد</t>
  </si>
  <si>
    <t>‫سرمايه گذاري اميد (تقدم)</t>
  </si>
  <si>
    <t>‫سرمايه گذاري تامين اجتماعي</t>
  </si>
  <si>
    <t>‫سرمايه گذاري سپه</t>
  </si>
  <si>
    <t>‫سرمايه گذاري سپه (تقدم)</t>
  </si>
  <si>
    <t>‫سرمايه گذاري صدرتامين</t>
  </si>
  <si>
    <t>‫سرمايه گذاري غدير</t>
  </si>
  <si>
    <t>‫سرمايه گذاري كشاورزي كوثر</t>
  </si>
  <si>
    <t>‫سرمايه گذاري ملي ايران</t>
  </si>
  <si>
    <t>‫سرمايه گذاري پايا تدبيرپارسا</t>
  </si>
  <si>
    <t>‫سرمایه گذاری مسکن تهران</t>
  </si>
  <si>
    <t>‫سنگ آهن گهرزمين</t>
  </si>
  <si>
    <t>‫سيمان اروميه</t>
  </si>
  <si>
    <t>‫سيمان بجنورد</t>
  </si>
  <si>
    <t>‫سيمان بهبهان</t>
  </si>
  <si>
    <t>‫سيمان تهران</t>
  </si>
  <si>
    <t>‫سيمان خاش</t>
  </si>
  <si>
    <t>‫سيمان خزر</t>
  </si>
  <si>
    <t>‫سيمان ساوه</t>
  </si>
  <si>
    <t>‫سيمان سپاهان</t>
  </si>
  <si>
    <t>‫سيمان شمال</t>
  </si>
  <si>
    <t>‫سيمان شمال (تقدم)</t>
  </si>
  <si>
    <t>‫سيمان صوفيان</t>
  </si>
  <si>
    <t>‫سيمان غرب</t>
  </si>
  <si>
    <t>‫سيمان فارس نو</t>
  </si>
  <si>
    <t>‫سيمان فارس و خوزستان</t>
  </si>
  <si>
    <t>‫سيمان قاين</t>
  </si>
  <si>
    <t>‫سيمان مازندران</t>
  </si>
  <si>
    <t>‫سيمان هگمتان</t>
  </si>
  <si>
    <t>‫سيمرغ</t>
  </si>
  <si>
    <t>‫سينا دارو</t>
  </si>
  <si>
    <t>‫سپيد ماكيان</t>
  </si>
  <si>
    <t>‫سیمان سبزوار</t>
  </si>
  <si>
    <t>‫شرکت سرمایه گذاری خوارزمی</t>
  </si>
  <si>
    <t>‫شهد ايران</t>
  </si>
  <si>
    <t>‫شير و گوشت زاگرس شهركرد</t>
  </si>
  <si>
    <t>‫شير پاستوريزه پگاه گلپايگان</t>
  </si>
  <si>
    <t>‫شيشه همدان</t>
  </si>
  <si>
    <t>‫شيشه و گاز</t>
  </si>
  <si>
    <t>‫شيميايي ايران</t>
  </si>
  <si>
    <t>‫شیرین دارو</t>
  </si>
  <si>
    <t>‫شیشه قزوین</t>
  </si>
  <si>
    <t>‫صنايع ارتباطي آوا</t>
  </si>
  <si>
    <t>‫صنايع الكترونيك ماديران</t>
  </si>
  <si>
    <t>‫صنايع غذايي رضوي</t>
  </si>
  <si>
    <t>‫صنايع چوب خزر كاسپين</t>
  </si>
  <si>
    <t>‫صندوق بازنشستگي</t>
  </si>
  <si>
    <t>‫صنعت غذايي كورش</t>
  </si>
  <si>
    <t>‫صنعتي آما</t>
  </si>
  <si>
    <t>‫صنعتي بارز</t>
  </si>
  <si>
    <t>‫صنعتي بهشهر</t>
  </si>
  <si>
    <t>‫صنعتي زر ماكارون</t>
  </si>
  <si>
    <t>‫صنعتي سپاهان</t>
  </si>
  <si>
    <t>‫صنعتی صبانور</t>
  </si>
  <si>
    <t>‫عطرين نخ قم</t>
  </si>
  <si>
    <t>‫عمران فارس</t>
  </si>
  <si>
    <t>‫غذايي مينو</t>
  </si>
  <si>
    <t>‫غلتك سازان سپاهان</t>
  </si>
  <si>
    <t>‫فجر انرژي خليج فارس</t>
  </si>
  <si>
    <t>‫فرآوري زغال سنگ پروده طبس</t>
  </si>
  <si>
    <t>‫فروشگاههاي زنجيره اي افق كوروش</t>
  </si>
  <si>
    <t>‫فن آوران</t>
  </si>
  <si>
    <t>‫فنرسازي زر</t>
  </si>
  <si>
    <t>‫فولاد آلياژي ايران</t>
  </si>
  <si>
    <t>‫فولاد ارفع</t>
  </si>
  <si>
    <t>‫فولاد خوزستان</t>
  </si>
  <si>
    <t>‫فولاد كاوه</t>
  </si>
  <si>
    <t>‫فولاد مباركه</t>
  </si>
  <si>
    <t>‫قاسم ايران</t>
  </si>
  <si>
    <t>‫قند اصفهان</t>
  </si>
  <si>
    <t>‫قند قزوين</t>
  </si>
  <si>
    <t>‫قند لرستان</t>
  </si>
  <si>
    <t>‫قند هكمتان</t>
  </si>
  <si>
    <t>‫قند پيرانشهر</t>
  </si>
  <si>
    <t>‫قند چهار محال</t>
  </si>
  <si>
    <t>‫كارخانجات داروپخش</t>
  </si>
  <si>
    <t>‫كاشي الوند</t>
  </si>
  <si>
    <t>‫كاشي حافظ</t>
  </si>
  <si>
    <t>‫كاشي سعدي</t>
  </si>
  <si>
    <t>‫كاشي وسراميك سينا</t>
  </si>
  <si>
    <t>‫كاشي پارس</t>
  </si>
  <si>
    <t>‫كاني كربن طبس</t>
  </si>
  <si>
    <t>‫كربن</t>
  </si>
  <si>
    <t>‫كشاورزي مكانيزه اصفهان كشت</t>
  </si>
  <si>
    <t>‫كشاورزي و دامپروري بينالود</t>
  </si>
  <si>
    <t>‫كشت و دام قيام اصفهان</t>
  </si>
  <si>
    <t>‫كشت و دامداري فكا</t>
  </si>
  <si>
    <t>‫كشت و صنعت شهداب</t>
  </si>
  <si>
    <t>‫كشتيراني ايران</t>
  </si>
  <si>
    <t>‫كوير تاير</t>
  </si>
  <si>
    <t>‫كيميا كالاي رازي</t>
  </si>
  <si>
    <t>‫مجتمع صنايع لاستيك يزد</t>
  </si>
  <si>
    <t>‫مجتمع كاشي و سنگ پرسپوليس يزد</t>
  </si>
  <si>
    <t>‫مديريت نيروگاهي ايرانيان مپنا</t>
  </si>
  <si>
    <t>‫ملي شيمي كشاورز</t>
  </si>
  <si>
    <t>‫ملي مس</t>
  </si>
  <si>
    <t>‫منگنز ايران</t>
  </si>
  <si>
    <t>‫مهرام</t>
  </si>
  <si>
    <t>‫مهرمام ميهن</t>
  </si>
  <si>
    <t>‫مواداوليه داروپخش</t>
  </si>
  <si>
    <t>‫موتورسازان</t>
  </si>
  <si>
    <t>‫موتوژن</t>
  </si>
  <si>
    <t>‫مپنا</t>
  </si>
  <si>
    <t>‫مگسال</t>
  </si>
  <si>
    <t>‫نخريسي و نساجي خسروي خراسان</t>
  </si>
  <si>
    <t>‫نساجي هديه البرز مشهد</t>
  </si>
  <si>
    <t>‫نسوز آذر</t>
  </si>
  <si>
    <t>‫نشاسته و گلوكز آردينه</t>
  </si>
  <si>
    <t>‫نفت اصفهان</t>
  </si>
  <si>
    <t>‫نفت بندر عباس</t>
  </si>
  <si>
    <t>‫نفت بهران</t>
  </si>
  <si>
    <t>‫نفت تبريز</t>
  </si>
  <si>
    <t>‫نفت سپاهان</t>
  </si>
  <si>
    <t>‫نفت لاوان</t>
  </si>
  <si>
    <t>‫نفت و گاز پارسیان</t>
  </si>
  <si>
    <t>‫نورد قطعات</t>
  </si>
  <si>
    <t>‫نيان الكترونيك</t>
  </si>
  <si>
    <t>‫نيان باتري خاوران</t>
  </si>
  <si>
    <t>‫نيروترانس</t>
  </si>
  <si>
    <t>‫نگين طبس</t>
  </si>
  <si>
    <t>‫همكاران سيستم</t>
  </si>
  <si>
    <t>‫پارس خزر</t>
  </si>
  <si>
    <t>‫پارس سوييچ</t>
  </si>
  <si>
    <t>‫پارس شهاب</t>
  </si>
  <si>
    <t>‫پارس فنر</t>
  </si>
  <si>
    <t>‫پارس فولاد سبزوار</t>
  </si>
  <si>
    <t>‫پارس مينو</t>
  </si>
  <si>
    <t>‫پاکدیس</t>
  </si>
  <si>
    <t>‫پتروشيمي جم</t>
  </si>
  <si>
    <t xml:space="preserve">‫پتروشيمي كرمانشاه </t>
  </si>
  <si>
    <t>‫پتروشيمي نوري</t>
  </si>
  <si>
    <t>‫پتروشيمی پردیس</t>
  </si>
  <si>
    <t>‫پتروشیمی تامین</t>
  </si>
  <si>
    <t>‫پخش البرز</t>
  </si>
  <si>
    <t>‫پخش البرز (تقدم)</t>
  </si>
  <si>
    <t>‫پخش هجرت</t>
  </si>
  <si>
    <t>‫پديده شيمي قرن</t>
  </si>
  <si>
    <t>‫پرتو بار فرابر خليج فارس</t>
  </si>
  <si>
    <t>‫پست بانك ايران</t>
  </si>
  <si>
    <t>‫پشم شيشه</t>
  </si>
  <si>
    <t>‫پلي پروپيلن جم - جم پيلن</t>
  </si>
  <si>
    <t>‫پمپ ايران</t>
  </si>
  <si>
    <t>‫پگاه آذربايجان</t>
  </si>
  <si>
    <t>‫پگاه اصفهان</t>
  </si>
  <si>
    <t>‫پگاه خراسان</t>
  </si>
  <si>
    <t>‫چادرملو</t>
  </si>
  <si>
    <t>‫کارت اعتباری ایران کیش</t>
  </si>
  <si>
    <t>‫گروه انتخاب الكترونيك آرمان</t>
  </si>
  <si>
    <t>‫گروه مالي نماد غدير(سهامي عام)</t>
  </si>
  <si>
    <t>‫گل گهر</t>
  </si>
  <si>
    <t>‫گلتاش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</si>
  <si>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</si>
  <si>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</si>
  <si>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</si>
  <si>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</si>
  <si>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</si>
  <si>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</si>
  <si>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</si>
  <si>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محتشم-17150-4/11/08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</si>
  <si>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</si>
  <si>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</si>
  <si>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</si>
  <si>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</si>
  <si>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</si>
  <si>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</si>
  <si>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</si>
  <si>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</si>
  <si>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</si>
  <si>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</si>
  <si>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</si>
  <si>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</si>
  <si>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</si>
  <si>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</si>
  <si>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</si>
  <si>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</si>
  <si>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</si>
  <si>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</si>
  <si>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</si>
  <si>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</si>
  <si>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</si>
  <si>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</si>
  <si>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</si>
  <si>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</si>
  <si>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</si>
  <si>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</si>
  <si>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</si>
  <si>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</si>
  <si>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</si>
  <si>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</si>
  <si>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</si>
  <si>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</si>
  <si>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</si>
  <si>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</si>
  <si>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</si>
  <si>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‫1-2</t>
  </si>
  <si>
    <t>‫درآمد حاصل از سرمایه گذاری در اوراق بهادار با درآمد ثابت</t>
  </si>
  <si>
    <t>‫2-2</t>
  </si>
  <si>
    <t>‫درآمد حاصل از سرمایه گذاری در سپرده بانکی و گواهی سپرده</t>
  </si>
  <si>
    <t>‫3-2</t>
  </si>
  <si>
    <t>‫سایر درآمدها</t>
  </si>
  <si>
    <t>‫4-2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</si>
  <si>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</si>
  <si>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</si>
  <si>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</si>
  <si>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</si>
  <si>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</si>
  <si>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</si>
  <si>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</si>
  <si>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</si>
  <si>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</si>
  <si>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</si>
  <si>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‫1404/05/14</t>
  </si>
  <si>
    <t>‫1404/03/21</t>
  </si>
  <si>
    <t>‫1404/03/26</t>
  </si>
  <si>
    <t>‫1404/03/12</t>
  </si>
  <si>
    <t>‫1404/04/05</t>
  </si>
  <si>
    <t>‫ايران ياسا</t>
  </si>
  <si>
    <t>‫1404/03/13</t>
  </si>
  <si>
    <t>‫1404/02/31</t>
  </si>
  <si>
    <t>‫1404/05/28</t>
  </si>
  <si>
    <t>‫1404/03/06</t>
  </si>
  <si>
    <t>‫1404/07/06</t>
  </si>
  <si>
    <t>‫1404/04/28</t>
  </si>
  <si>
    <t>‫تراكتور سازي</t>
  </si>
  <si>
    <t>‫1404/05/04</t>
  </si>
  <si>
    <t>‫1404/04/30</t>
  </si>
  <si>
    <t>‫1404/03/01</t>
  </si>
  <si>
    <t>‫1404/04/29</t>
  </si>
  <si>
    <t>‫1404/04/25</t>
  </si>
  <si>
    <t>‫1404/09/26</t>
  </si>
  <si>
    <t>‫1404/04/04</t>
  </si>
  <si>
    <t>‫1404/05/15</t>
  </si>
  <si>
    <t>‫1404/05/13</t>
  </si>
  <si>
    <t>‫1404/04/22</t>
  </si>
  <si>
    <t>‫زامياد</t>
  </si>
  <si>
    <t>‫1404/07/30</t>
  </si>
  <si>
    <t>‫1404/08/13</t>
  </si>
  <si>
    <t>‫1404/08/18</t>
  </si>
  <si>
    <t>‫سيمان آبيك</t>
  </si>
  <si>
    <t>‫1404/03/17</t>
  </si>
  <si>
    <t>‫1404/02/13</t>
  </si>
  <si>
    <t>‫1404/02/30</t>
  </si>
  <si>
    <t>‫1404/09/15</t>
  </si>
  <si>
    <t>‫1404/07/26</t>
  </si>
  <si>
    <t>‫1404/06/03</t>
  </si>
  <si>
    <t>‫صبا فولاد خليج فارس</t>
  </si>
  <si>
    <t>‫1404/01/31</t>
  </si>
  <si>
    <t>‫1404/04/31</t>
  </si>
  <si>
    <t>‫1404/04/19</t>
  </si>
  <si>
    <t>‫صنعتي مينو</t>
  </si>
  <si>
    <t>‫1404/03/25</t>
  </si>
  <si>
    <t>‫1404/05/08</t>
  </si>
  <si>
    <t>‫1404/03/03</t>
  </si>
  <si>
    <t>‫1404/08/24</t>
  </si>
  <si>
    <t>‫1404/08/27</t>
  </si>
  <si>
    <t>‫1404/03/28</t>
  </si>
  <si>
    <t>‫1404/04/26</t>
  </si>
  <si>
    <t>‫1404/07/15</t>
  </si>
  <si>
    <t>‫لاستيك سهند</t>
  </si>
  <si>
    <t>‫1404/02/20</t>
  </si>
  <si>
    <t>‫ليزينگ اقتصاد نوين</t>
  </si>
  <si>
    <t>‫1404/03/11</t>
  </si>
  <si>
    <t>‫1404/05/05</t>
  </si>
  <si>
    <t>‫1404/05/09</t>
  </si>
  <si>
    <t>‫1404/10/11</t>
  </si>
  <si>
    <t>‫1404/07/20</t>
  </si>
  <si>
    <t>‫1404/05/12</t>
  </si>
  <si>
    <t>‫1404/10/23</t>
  </si>
  <si>
    <t>‫1404/03/10</t>
  </si>
  <si>
    <t>‫1404/04/01</t>
  </si>
  <si>
    <t>‫1404/06/23</t>
  </si>
  <si>
    <t>‫1404/02/15</t>
  </si>
  <si>
    <t>‫1404/04/23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</si>
  <si>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</si>
  <si>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</si>
  <si>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</si>
  <si>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</si>
  <si>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</si>
  <si>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</si>
  <si>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‫پتروشيمي كرمانشاه</t>
  </si>
  <si>
    <t>‫گروه مالي مهرگان تامين پارس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</si>
  <si>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</si>
  <si>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</si>
  <si>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</si>
  <si>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</si>
  <si>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</si>
  <si>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</si>
  <si>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</si>
  <si>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</si>
  <si>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</si>
  <si>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</si>
  <si>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</si>
  <si>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</si>
  <si>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‫برق مپنا</t>
  </si>
  <si>
    <t>‫بهمن ديزل</t>
  </si>
  <si>
    <t>‫بيمه اتكايي ايران معين</t>
  </si>
  <si>
    <t>‫تجارت الكترونيك پارسيان</t>
  </si>
  <si>
    <t>‫توليد مواد اوليه داروپخش</t>
  </si>
  <si>
    <t>‫داروسازي اكسير</t>
  </si>
  <si>
    <t>‫سيمان سبزوار</t>
  </si>
  <si>
    <t>‫شركت سرمايه گذاري خوارزمي</t>
  </si>
  <si>
    <t>‫شركت سرمايه گذاري مسكن تهران</t>
  </si>
  <si>
    <t>‫شركت شيرين دارو</t>
  </si>
  <si>
    <t>‫شركت پالايش نفت لاوان</t>
  </si>
  <si>
    <t>‫شركت پخش البرز</t>
  </si>
  <si>
    <t>‫شيشه قزوين</t>
  </si>
  <si>
    <t>‫صنعتي صبانور</t>
  </si>
  <si>
    <t>‫صنعتي پارس خزر</t>
  </si>
  <si>
    <t>‫كارت اعتباري ايران كيش</t>
  </si>
  <si>
    <t>‫كاشي و سراميك سعدي</t>
  </si>
  <si>
    <t>‫لامپ پارس شهاب</t>
  </si>
  <si>
    <t>‫معادن منگنز ايران</t>
  </si>
  <si>
    <t>‫نفت و گاز پارسيان</t>
  </si>
  <si>
    <t>‫پاكديس</t>
  </si>
  <si>
    <t>‫پتروشيمي تامين</t>
  </si>
  <si>
    <t>‫پتروشيمي فجر</t>
  </si>
  <si>
    <t>‫پتروشيمي پرديس</t>
  </si>
  <si>
    <t>‫پمپ سازي ايران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</si>
  <si>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</si>
  <si>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</si>
  <si>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</si>
  <si>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</si>
  <si>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</si>
  <si>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</si>
  <si>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</si>
  <si>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</si>
  <si>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‫كاريزما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</si>
  <si>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</si>
  <si>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</si>
  <si>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دی 1404</t>
  </si>
  <si>
    <t>‫%22</t>
  </si>
  <si>
    <t>‫ بانک پاسارگاد</t>
  </si>
  <si>
    <t>‫ بانک خاورميانه</t>
  </si>
  <si>
    <t>‫ بانک دي</t>
  </si>
  <si>
    <t>‫ بانک سامان</t>
  </si>
  <si>
    <t>‫ بانک سپه</t>
  </si>
  <si>
    <t>‫ بانک ملت</t>
  </si>
  <si>
    <t>‫ بانک ملي</t>
  </si>
  <si>
    <t>‫3-1- سرمایه گذاری در سپرده بانکی و گواهی سپرده بانکی</t>
  </si>
  <si>
    <t>‫بانک ملي</t>
  </si>
  <si>
    <t>‫بانک دي</t>
  </si>
  <si>
    <t>‫بانک سامان</t>
  </si>
  <si>
    <t>‫بانک پاسارگاد</t>
  </si>
  <si>
    <t>‫بانک سپه</t>
  </si>
  <si>
    <t>‫بانک خاورميانه</t>
  </si>
  <si>
    <t>‫بانک ملت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</si>
</sst>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22"/>
      <color rgb="FFFF0000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1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5">
    <xf numFmtId="0" fontId="0" fillId="0" borderId="0" xfId="0"/>
    <xf numFmtId="0" fontId="2" fillId="3" borderId="6" xfId="1" applyFont="1" applyFill="1"/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7" fillId="3" borderId="6" xfId="1" applyFont="1" applyFill="1" applyAlignment="1">
      <alignment horizontal="center"/>
    </xf>
    <xf numFmtId="0" fontId="8" fillId="3" borderId="6" xfId="1" applyFont="1" applyFill="1" applyAlignment="1">
      <alignment horizontal="center" vertical="center" wrapText="1"/>
    </xf>
    <xf numFmtId="0" fontId="7" fillId="3" borderId="6" xfId="1" applyFont="1" applyFill="1"/>
    <xf numFmtId="0" fontId="9" fillId="3" borderId="6" xfId="1" applyFont="1" applyFill="1" applyAlignment="1">
      <alignment horizontal="center"/>
    </xf>
    <xf numFmtId="0" fontId="10" fillId="3" borderId="6" xfId="1" applyFont="1" applyFill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/>
    <xf numFmtId="37" fontId="13" fillId="0" borderId="0" xfId="0" applyNumberFormat="1" applyFont="1" applyAlignment="1">
      <alignment horizontal="right" vertical="center"/>
    </xf>
    <xf numFmtId="37" fontId="13" fillId="0" borderId="1" xfId="0" applyNumberFormat="1" applyFont="1" applyBorder="1" applyAlignment="1">
      <alignment horizontal="center" vertical="center"/>
    </xf>
    <xf numFmtId="0" fontId="12" fillId="2" borderId="2" xfId="0" applyNumberFormat="1" applyFont="1" applyFill="1" applyBorder="1"/>
    <xf numFmtId="0" fontId="14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center" vertical="center" wrapText="1"/>
    </xf>
    <xf numFmtId="37" fontId="14" fillId="0" borderId="1" xfId="0" applyNumberFormat="1" applyFont="1" applyBorder="1" applyAlignment="1">
      <alignment horizontal="center" vertical="center"/>
    </xf>
    <xf numFmtId="37" fontId="14" fillId="0" borderId="1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7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 wrapText="1"/>
    </xf>
    <xf numFmtId="37" fontId="14" fillId="0" borderId="0" xfId="0" applyNumberFormat="1" applyFont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/>
    </xf>
    <xf numFmtId="37" fontId="14" fillId="0" borderId="5" xfId="0" applyNumberFormat="1" applyFont="1" applyBorder="1" applyAlignment="1">
      <alignment horizontal="center" vertical="center"/>
    </xf>
    <xf numFmtId="0" fontId="12" fillId="2" borderId="7" xfId="0" applyNumberFormat="1" applyFont="1" applyFill="1" applyBorder="1"/>
    <xf numFmtId="0" fontId="12" fillId="2" borderId="8" xfId="0" applyNumberFormat="1" applyFont="1" applyFill="1" applyBorder="1"/>
    <xf numFmtId="37" fontId="13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" fontId="12" fillId="0" borderId="0" xfId="0" applyNumberFormat="1" applyFont="1"/>
    <xf numFmtId="37" fontId="14" fillId="0" borderId="0" xfId="0" applyNumberFormat="1" applyFont="1" applyFill="1" applyAlignment="1">
      <alignment horizontal="center" vertical="center"/>
    </xf>
    <xf numFmtId="0" fontId="12" fillId="0" borderId="0" xfId="0" applyFont="1" applyFill="1"/>
    <xf numFmtId="10" fontId="14" fillId="0" borderId="0" xfId="0" applyNumberFormat="1" applyFont="1" applyFill="1" applyAlignment="1">
      <alignment horizontal="center" vertical="center"/>
    </xf>
    <xf numFmtId="37" fontId="12" fillId="0" borderId="0" xfId="0" applyNumberFormat="1" applyFont="1" applyFill="1" applyAlignment="1">
      <alignment horizontal="right" vertical="center" wrapText="1"/>
    </xf>
    <xf numFmtId="37" fontId="15" fillId="0" borderId="0" xfId="0" applyNumberFormat="1" applyFont="1" applyFill="1" applyAlignment="1">
      <alignment horizontal="right" vertical="center" wrapText="1"/>
    </xf>
    <xf numFmtId="37" fontId="1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5B114BA9-B428-4862-B7E1-AB7A67ADB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Id="1" sqref="A1:W1 A1:XFD1048576"/>
    </sheetView>
  </sheetViews>
  <sheetFormatPr defaultRowHeight="18" x14ac:dyDescent="0.45"/>
  <cols>
    <col min="1" max="16384" width="9.140625" style="13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45">
      <c r="A4" s="2" t="s">
        <v>412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51" customHeight="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4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4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x14ac:dyDescent="0.7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5.5" x14ac:dyDescent="0.65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 x14ac:dyDescent="0.45">
      <c r="A15" s="7" t="s">
        <v>414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4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36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" customHeight="1" x14ac:dyDescent="0.65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26.25" customHeight="1" x14ac:dyDescent="0.6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39.950000000000003" customHeight="1" x14ac:dyDescent="0.65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45">
      <c r="A25" s="10" t="s">
        <v>413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31"/>
  <sheetViews>
    <sheetView rightToLeft="1" view="pageBreakPreview" zoomScale="89" zoomScaleNormal="100" zoomScaleSheetLayoutView="89" workbookViewId="0">
      <selection activeCellId="1" sqref="A1:W1 A1:XFD1048576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13.42578125" style="13" bestFit="1" customWidth="1"/>
    <col min="4" max="4" width="1.42578125" style="13" customWidth="1"/>
    <col min="5" max="5" width="19.85546875" style="13" bestFit="1" customWidth="1"/>
    <col min="6" max="6" width="1.42578125" style="13" customWidth="1"/>
    <col min="7" max="7" width="19.140625" style="13" bestFit="1" customWidth="1"/>
    <col min="8" max="8" width="1.42578125" style="13" customWidth="1"/>
    <col min="9" max="9" width="13.7109375" style="13" bestFit="1" customWidth="1"/>
    <col min="10" max="10" width="19.42578125" style="13" bestFit="1" customWidth="1"/>
    <col min="11" max="11" width="1.42578125" style="13" customWidth="1"/>
    <col min="12" max="12" width="14" style="13" bestFit="1" customWidth="1"/>
    <col min="13" max="13" width="17.7109375" style="13" bestFit="1" customWidth="1"/>
    <col min="14" max="14" width="1.42578125" style="13" customWidth="1"/>
    <col min="15" max="15" width="15.5703125" style="13" bestFit="1" customWidth="1"/>
    <col min="16" max="16" width="1.42578125" style="13" customWidth="1"/>
    <col min="17" max="17" width="14.85546875" style="13" bestFit="1" customWidth="1"/>
    <col min="18" max="18" width="1.42578125" style="13" customWidth="1"/>
    <col min="19" max="19" width="19.140625" style="13" bestFit="1" customWidth="1"/>
    <col min="20" max="20" width="1.42578125" style="13" customWidth="1"/>
    <col min="21" max="21" width="19.42578125" style="13" bestFit="1" customWidth="1"/>
    <col min="22" max="22" width="1.42578125" style="13" customWidth="1"/>
    <col min="23" max="23" width="17.28515625" style="13" bestFit="1" customWidth="1"/>
    <col min="24" max="16384" width="9.140625" style="13"/>
  </cols>
  <sheetData>
    <row r="1" spans="1:2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7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1:27" ht="21" x14ac:dyDescent="0.45">
      <c r="A5" s="14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7" ht="21" x14ac:dyDescent="0.45">
      <c r="A6" s="14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AA6" s="38"/>
    </row>
    <row r="8" spans="1:27" ht="21" x14ac:dyDescent="0.45">
      <c r="C8" s="15" t="s">
        <v>5</v>
      </c>
      <c r="D8" s="16"/>
      <c r="E8" s="16"/>
      <c r="F8" s="16"/>
      <c r="G8" s="16"/>
      <c r="I8" s="15" t="s">
        <v>6</v>
      </c>
      <c r="J8" s="16"/>
      <c r="K8" s="16"/>
      <c r="L8" s="16"/>
      <c r="M8" s="16"/>
      <c r="O8" s="15" t="s">
        <v>7</v>
      </c>
      <c r="P8" s="16"/>
      <c r="Q8" s="16"/>
      <c r="R8" s="16"/>
      <c r="S8" s="16"/>
      <c r="T8" s="16"/>
      <c r="U8" s="16"/>
      <c r="V8" s="16"/>
      <c r="W8" s="16"/>
    </row>
    <row r="9" spans="1:27" ht="18.75" x14ac:dyDescent="0.45">
      <c r="A9" s="17" t="s">
        <v>8</v>
      </c>
      <c r="C9" s="17" t="s">
        <v>9</v>
      </c>
      <c r="E9" s="17" t="s">
        <v>10</v>
      </c>
      <c r="G9" s="17" t="s">
        <v>11</v>
      </c>
      <c r="I9" s="17" t="s">
        <v>12</v>
      </c>
      <c r="J9" s="12"/>
      <c r="L9" s="17" t="s">
        <v>13</v>
      </c>
      <c r="M9" s="12"/>
      <c r="O9" s="17" t="s">
        <v>9</v>
      </c>
      <c r="Q9" s="18" t="s">
        <v>14</v>
      </c>
      <c r="S9" s="17" t="s">
        <v>10</v>
      </c>
      <c r="U9" s="17" t="s">
        <v>11</v>
      </c>
      <c r="W9" s="18" t="s">
        <v>15</v>
      </c>
    </row>
    <row r="10" spans="1:27" ht="18.75" x14ac:dyDescent="0.45">
      <c r="A10" s="19"/>
      <c r="C10" s="19"/>
      <c r="E10" s="19"/>
      <c r="G10" s="19"/>
      <c r="I10" s="20" t="s">
        <v>9</v>
      </c>
      <c r="J10" s="20" t="s">
        <v>10</v>
      </c>
      <c r="L10" s="20" t="s">
        <v>9</v>
      </c>
      <c r="M10" s="20" t="s">
        <v>16</v>
      </c>
      <c r="O10" s="19"/>
      <c r="Q10" s="19"/>
      <c r="S10" s="19"/>
      <c r="U10" s="19"/>
      <c r="W10" s="19"/>
    </row>
    <row r="11" spans="1:27" ht="18.75" x14ac:dyDescent="0.45">
      <c r="A11" s="21" t="s">
        <v>17</v>
      </c>
      <c r="H11" s="22"/>
      <c r="I11" s="23">
        <v>6430805</v>
      </c>
      <c r="J11" s="23">
        <v>41172551698</v>
      </c>
      <c r="L11" s="23">
        <v>679682</v>
      </c>
      <c r="M11" s="23">
        <v>3840727940</v>
      </c>
      <c r="O11" s="23">
        <v>5751123</v>
      </c>
      <c r="Q11" s="23">
        <v>5960</v>
      </c>
      <c r="S11" s="23">
        <v>36820959280</v>
      </c>
      <c r="U11" s="23">
        <v>34125867579</v>
      </c>
      <c r="W11" s="24">
        <v>5.8154636768622068E-3</v>
      </c>
    </row>
    <row r="12" spans="1:27" ht="18.75" x14ac:dyDescent="0.45">
      <c r="A12" s="21" t="s">
        <v>18</v>
      </c>
      <c r="C12" s="23">
        <v>1341550</v>
      </c>
      <c r="E12" s="23">
        <v>11427298293</v>
      </c>
      <c r="G12" s="23">
        <v>14536483618</v>
      </c>
      <c r="I12" s="23">
        <v>3226865</v>
      </c>
      <c r="J12" s="23">
        <v>35076192563</v>
      </c>
      <c r="L12" s="23">
        <v>46389</v>
      </c>
      <c r="M12" s="23">
        <v>523826111</v>
      </c>
      <c r="O12" s="23">
        <v>4522026</v>
      </c>
      <c r="Q12" s="23">
        <v>11090</v>
      </c>
      <c r="S12" s="23">
        <v>46031281033</v>
      </c>
      <c r="U12" s="23">
        <v>49447519544</v>
      </c>
      <c r="W12" s="24">
        <v>8.4264598739761196E-3</v>
      </c>
    </row>
    <row r="13" spans="1:27" ht="18.75" x14ac:dyDescent="0.45">
      <c r="A13" s="21" t="s">
        <v>19</v>
      </c>
      <c r="C13" s="23">
        <v>108909</v>
      </c>
      <c r="E13" s="23">
        <v>9972240615</v>
      </c>
      <c r="G13" s="23">
        <v>14734953643</v>
      </c>
      <c r="I13" s="23">
        <v>100000</v>
      </c>
      <c r="J13" s="23">
        <v>14159080617</v>
      </c>
      <c r="L13" s="23">
        <v>50000</v>
      </c>
      <c r="M13" s="23">
        <v>6684922996</v>
      </c>
      <c r="O13" s="23">
        <v>158909</v>
      </c>
      <c r="Q13" s="23">
        <v>138280</v>
      </c>
      <c r="S13" s="23">
        <v>18355763158</v>
      </c>
      <c r="U13" s="23">
        <v>21722084061</v>
      </c>
      <c r="W13" s="24">
        <v>3.7017078188578819E-3</v>
      </c>
    </row>
    <row r="14" spans="1:27" ht="18.75" x14ac:dyDescent="0.45">
      <c r="A14" s="21" t="s">
        <v>20</v>
      </c>
      <c r="C14" s="23">
        <v>2800000</v>
      </c>
      <c r="E14" s="23">
        <v>15777920621</v>
      </c>
      <c r="G14" s="23">
        <v>15975547000</v>
      </c>
      <c r="I14" s="23">
        <v>400000</v>
      </c>
      <c r="J14" s="23">
        <v>2636438414</v>
      </c>
      <c r="L14" s="23">
        <v>337057</v>
      </c>
      <c r="M14" s="23">
        <v>2200247831</v>
      </c>
      <c r="O14" s="23">
        <v>2862943</v>
      </c>
      <c r="Q14" s="23">
        <v>6750</v>
      </c>
      <c r="S14" s="23">
        <v>16474768843</v>
      </c>
      <c r="U14" s="23">
        <v>19345932789</v>
      </c>
      <c r="W14" s="24">
        <v>3.2967826874731091E-3</v>
      </c>
    </row>
    <row r="15" spans="1:27" ht="37.5" x14ac:dyDescent="0.45">
      <c r="A15" s="21" t="s">
        <v>21</v>
      </c>
      <c r="C15" s="23">
        <v>50000</v>
      </c>
      <c r="E15" s="23">
        <v>1000908000</v>
      </c>
      <c r="G15" s="23">
        <v>1590112675</v>
      </c>
      <c r="N15" s="22"/>
      <c r="O15" s="23">
        <v>50000</v>
      </c>
      <c r="Q15" s="23">
        <v>35300</v>
      </c>
      <c r="S15" s="23">
        <v>1000908000</v>
      </c>
      <c r="U15" s="23">
        <v>1758798575</v>
      </c>
      <c r="W15" s="24">
        <v>2.9972070905308335E-4</v>
      </c>
    </row>
    <row r="16" spans="1:27" ht="37.5" x14ac:dyDescent="0.45">
      <c r="A16" s="21" t="s">
        <v>22</v>
      </c>
      <c r="C16" s="23">
        <v>3814542</v>
      </c>
      <c r="E16" s="23">
        <v>16572695909</v>
      </c>
      <c r="G16" s="23">
        <v>19265932955</v>
      </c>
      <c r="N16" s="22"/>
      <c r="O16" s="23">
        <v>3814542</v>
      </c>
      <c r="Q16" s="23">
        <v>4688</v>
      </c>
      <c r="S16" s="23">
        <v>16572695909</v>
      </c>
      <c r="U16" s="23">
        <v>17774621052</v>
      </c>
      <c r="W16" s="24">
        <v>3.0290120202396131E-3</v>
      </c>
    </row>
    <row r="17" spans="1:23" ht="18.75" x14ac:dyDescent="0.45">
      <c r="A17" s="21" t="s">
        <v>23</v>
      </c>
      <c r="C17" s="23">
        <v>245000</v>
      </c>
      <c r="E17" s="23">
        <v>1829159370</v>
      </c>
      <c r="G17" s="23">
        <v>2365422839</v>
      </c>
      <c r="N17" s="22"/>
      <c r="O17" s="23">
        <v>245000</v>
      </c>
      <c r="Q17" s="23">
        <v>10710</v>
      </c>
      <c r="S17" s="23">
        <v>1829159370</v>
      </c>
      <c r="U17" s="23">
        <v>2610960051</v>
      </c>
      <c r="W17" s="24">
        <v>4.4493940859316125E-4</v>
      </c>
    </row>
    <row r="18" spans="1:23" ht="18.75" x14ac:dyDescent="0.45">
      <c r="A18" s="21" t="s">
        <v>24</v>
      </c>
      <c r="C18" s="23">
        <v>2124125</v>
      </c>
      <c r="E18" s="23">
        <v>8803931592</v>
      </c>
      <c r="G18" s="23">
        <v>11170839223</v>
      </c>
      <c r="N18" s="22"/>
      <c r="O18" s="23">
        <v>2124125</v>
      </c>
      <c r="Q18" s="23">
        <v>4657</v>
      </c>
      <c r="S18" s="23">
        <v>8803931592</v>
      </c>
      <c r="U18" s="23">
        <v>9821907694</v>
      </c>
      <c r="W18" s="24">
        <v>1.6737727560983582E-3</v>
      </c>
    </row>
    <row r="19" spans="1:23" ht="18.75" x14ac:dyDescent="0.45">
      <c r="A19" s="21" t="s">
        <v>25</v>
      </c>
      <c r="C19" s="23">
        <v>2798170</v>
      </c>
      <c r="E19" s="23">
        <v>27203034731</v>
      </c>
      <c r="G19" s="23">
        <v>34817813430</v>
      </c>
      <c r="I19" s="23">
        <v>100000</v>
      </c>
      <c r="J19" s="23">
        <v>1411750902</v>
      </c>
      <c r="L19" s="23">
        <v>400000</v>
      </c>
      <c r="M19" s="23">
        <v>5495936282</v>
      </c>
      <c r="O19" s="23">
        <v>2498170</v>
      </c>
      <c r="Q19" s="23">
        <v>14290</v>
      </c>
      <c r="S19" s="23">
        <v>24665426468</v>
      </c>
      <c r="U19" s="23">
        <v>36092189164</v>
      </c>
      <c r="W19" s="24">
        <v>6.1505488355948282E-3</v>
      </c>
    </row>
    <row r="20" spans="1:23" ht="18.75" x14ac:dyDescent="0.45">
      <c r="A20" s="21" t="s">
        <v>26</v>
      </c>
      <c r="C20" s="23">
        <v>3800000</v>
      </c>
      <c r="E20" s="23">
        <v>14347988206</v>
      </c>
      <c r="G20" s="23">
        <v>18623121814</v>
      </c>
      <c r="N20" s="22"/>
      <c r="O20" s="23">
        <v>8948358</v>
      </c>
      <c r="Q20" s="23">
        <v>2234</v>
      </c>
      <c r="S20" s="23">
        <v>14347988206</v>
      </c>
      <c r="U20" s="23">
        <v>19836104188</v>
      </c>
      <c r="W20" s="24">
        <v>3.3803138668555021E-3</v>
      </c>
    </row>
    <row r="21" spans="1:23" ht="18.75" x14ac:dyDescent="0.45">
      <c r="A21" s="21" t="s">
        <v>27</v>
      </c>
      <c r="C21" s="23">
        <v>6800000</v>
      </c>
      <c r="E21" s="23">
        <v>29367362362</v>
      </c>
      <c r="G21" s="23">
        <v>30781803032</v>
      </c>
      <c r="I21" s="23">
        <v>3821695</v>
      </c>
      <c r="J21" s="23">
        <v>18098175662</v>
      </c>
      <c r="L21" s="23">
        <v>1200000</v>
      </c>
      <c r="M21" s="23">
        <v>5476139697</v>
      </c>
      <c r="O21" s="23">
        <v>9421695</v>
      </c>
      <c r="Q21" s="23">
        <v>4957</v>
      </c>
      <c r="S21" s="23">
        <v>42103056270</v>
      </c>
      <c r="U21" s="23">
        <v>46426465068</v>
      </c>
      <c r="W21" s="24">
        <v>7.9116353781496368E-3</v>
      </c>
    </row>
    <row r="22" spans="1:23" ht="18.75" x14ac:dyDescent="0.45">
      <c r="A22" s="21" t="s">
        <v>28</v>
      </c>
      <c r="C22" s="23">
        <v>5816855</v>
      </c>
      <c r="E22" s="23">
        <v>22942568842</v>
      </c>
      <c r="G22" s="23">
        <v>17436881837</v>
      </c>
      <c r="I22" s="23">
        <v>0</v>
      </c>
      <c r="J22" s="23">
        <v>0</v>
      </c>
      <c r="L22" s="23">
        <v>5816855</v>
      </c>
      <c r="M22" s="23">
        <v>15250930048</v>
      </c>
      <c r="W22" s="24">
        <v>0</v>
      </c>
    </row>
    <row r="23" spans="1:23" ht="18.75" x14ac:dyDescent="0.45">
      <c r="A23" s="21" t="s">
        <v>29</v>
      </c>
      <c r="C23" s="23">
        <v>1946586</v>
      </c>
      <c r="E23" s="23">
        <v>27536269177</v>
      </c>
      <c r="G23" s="23">
        <v>38341046971</v>
      </c>
      <c r="I23" s="23">
        <v>759023</v>
      </c>
      <c r="J23" s="23">
        <v>15196561688</v>
      </c>
      <c r="L23" s="23">
        <v>800000</v>
      </c>
      <c r="M23" s="23">
        <v>14604781690</v>
      </c>
      <c r="O23" s="23">
        <v>1905609</v>
      </c>
      <c r="Q23" s="23">
        <v>19670</v>
      </c>
      <c r="S23" s="23">
        <v>30097500079</v>
      </c>
      <c r="U23" s="23">
        <v>37193582897</v>
      </c>
      <c r="W23" s="24">
        <v>6.3382397487520567E-3</v>
      </c>
    </row>
    <row r="24" spans="1:23" ht="37.5" x14ac:dyDescent="0.45">
      <c r="A24" s="21" t="s">
        <v>30</v>
      </c>
      <c r="H24" s="22"/>
      <c r="I24" s="23">
        <v>6965914</v>
      </c>
      <c r="J24" s="23">
        <v>28533723803</v>
      </c>
      <c r="L24" s="23">
        <v>0</v>
      </c>
      <c r="M24" s="23">
        <v>0</v>
      </c>
      <c r="O24" s="23">
        <v>10403637</v>
      </c>
      <c r="Q24" s="23">
        <v>2493</v>
      </c>
      <c r="S24" s="23">
        <v>28533723803</v>
      </c>
      <c r="U24" s="23">
        <v>25973213685</v>
      </c>
      <c r="W24" s="24">
        <v>4.4261521090073934E-3</v>
      </c>
    </row>
    <row r="25" spans="1:23" ht="18.75" x14ac:dyDescent="0.45">
      <c r="A25" s="21" t="s">
        <v>31</v>
      </c>
      <c r="C25" s="23">
        <v>15409456</v>
      </c>
      <c r="E25" s="23">
        <v>25670576373</v>
      </c>
      <c r="G25" s="23">
        <v>37614238627</v>
      </c>
      <c r="I25" s="23">
        <v>6005047</v>
      </c>
      <c r="J25" s="23">
        <v>15674626618</v>
      </c>
      <c r="L25" s="23">
        <v>800000</v>
      </c>
      <c r="M25" s="23">
        <v>1894838808</v>
      </c>
      <c r="O25" s="23">
        <v>22871939</v>
      </c>
      <c r="Q25" s="23">
        <v>2394</v>
      </c>
      <c r="S25" s="23">
        <v>43581494747</v>
      </c>
      <c r="U25" s="23">
        <v>54354857693</v>
      </c>
      <c r="W25" s="24">
        <v>9.2627300930269423E-3</v>
      </c>
    </row>
    <row r="26" spans="1:23" ht="18.75" x14ac:dyDescent="0.45">
      <c r="A26" s="21" t="s">
        <v>32</v>
      </c>
      <c r="C26" s="23">
        <v>2257436</v>
      </c>
      <c r="E26" s="23">
        <v>1503221303</v>
      </c>
      <c r="G26" s="23">
        <v>2941101644</v>
      </c>
      <c r="N26" s="22"/>
      <c r="W26" s="24">
        <v>0</v>
      </c>
    </row>
    <row r="27" spans="1:23" ht="18.75" x14ac:dyDescent="0.45">
      <c r="A27" s="21" t="s">
        <v>33</v>
      </c>
      <c r="C27" s="23">
        <v>49966373</v>
      </c>
      <c r="E27" s="23">
        <v>23839426802</v>
      </c>
      <c r="G27" s="23">
        <v>30838842687</v>
      </c>
      <c r="I27" s="23">
        <v>20341363</v>
      </c>
      <c r="J27" s="23">
        <v>13422306436</v>
      </c>
      <c r="L27" s="23">
        <v>6800000</v>
      </c>
      <c r="M27" s="23">
        <v>3907956277</v>
      </c>
      <c r="O27" s="23">
        <v>63507736</v>
      </c>
      <c r="Q27" s="23">
        <v>612</v>
      </c>
      <c r="S27" s="23">
        <v>33657865436</v>
      </c>
      <c r="U27" s="23">
        <v>38566294575</v>
      </c>
      <c r="W27" s="24">
        <v>6.5721665458872017E-3</v>
      </c>
    </row>
    <row r="28" spans="1:23" ht="18.75" x14ac:dyDescent="0.45">
      <c r="A28" s="21" t="s">
        <v>34</v>
      </c>
      <c r="C28" s="23">
        <v>1750000</v>
      </c>
      <c r="E28" s="23">
        <v>4291393050</v>
      </c>
      <c r="G28" s="23">
        <v>6529136600</v>
      </c>
      <c r="N28" s="22"/>
      <c r="O28" s="23">
        <v>1750000</v>
      </c>
      <c r="Q28" s="23">
        <v>3738</v>
      </c>
      <c r="S28" s="23">
        <v>4291393050</v>
      </c>
      <c r="U28" s="23">
        <v>6492670677</v>
      </c>
      <c r="W28" s="24">
        <v>1.1064301999213315E-3</v>
      </c>
    </row>
    <row r="29" spans="1:23" ht="18.75" x14ac:dyDescent="0.45">
      <c r="A29" s="21" t="s">
        <v>35</v>
      </c>
      <c r="C29" s="23">
        <v>9109504</v>
      </c>
      <c r="E29" s="23">
        <v>18425777349</v>
      </c>
      <c r="G29" s="23">
        <v>16523452012</v>
      </c>
      <c r="N29" s="22"/>
      <c r="O29" s="23">
        <v>9109504</v>
      </c>
      <c r="Q29" s="23">
        <v>1769</v>
      </c>
      <c r="S29" s="23">
        <v>18425777349</v>
      </c>
      <c r="U29" s="23">
        <v>16116693073</v>
      </c>
      <c r="W29" s="24">
        <v>2.7464808899054726E-3</v>
      </c>
    </row>
    <row r="30" spans="1:23" ht="18.75" x14ac:dyDescent="0.45">
      <c r="A30" s="21" t="s">
        <v>36</v>
      </c>
      <c r="C30" s="23">
        <v>28966397</v>
      </c>
      <c r="E30" s="23">
        <v>11160852097</v>
      </c>
      <c r="G30" s="23">
        <v>16958067183</v>
      </c>
      <c r="I30" s="23">
        <v>47536294</v>
      </c>
      <c r="J30" s="23">
        <v>28584379763</v>
      </c>
      <c r="L30" s="23">
        <v>42800000</v>
      </c>
      <c r="M30" s="23">
        <v>22012078684</v>
      </c>
      <c r="O30" s="23">
        <v>33702691</v>
      </c>
      <c r="Q30" s="23">
        <v>534</v>
      </c>
      <c r="S30" s="23">
        <v>17509466015</v>
      </c>
      <c r="U30" s="23">
        <v>17925002690</v>
      </c>
      <c r="W30" s="24">
        <v>3.0546388838330885E-3</v>
      </c>
    </row>
    <row r="31" spans="1:23" ht="18.75" x14ac:dyDescent="0.45">
      <c r="A31" s="21" t="s">
        <v>37</v>
      </c>
      <c r="C31" s="23">
        <v>3600000</v>
      </c>
      <c r="E31" s="23">
        <v>9973298250</v>
      </c>
      <c r="G31" s="23">
        <v>9930638160</v>
      </c>
      <c r="I31" s="23">
        <v>2400000</v>
      </c>
      <c r="J31" s="23">
        <v>6978541410</v>
      </c>
      <c r="L31" s="23">
        <v>400000</v>
      </c>
      <c r="M31" s="23">
        <v>1218904474</v>
      </c>
      <c r="O31" s="23">
        <v>5600000</v>
      </c>
      <c r="Q31" s="23">
        <v>3131</v>
      </c>
      <c r="S31" s="23">
        <v>15821717016</v>
      </c>
      <c r="U31" s="23">
        <v>17598106904</v>
      </c>
      <c r="W31" s="24">
        <v>2.9989318585039461E-3</v>
      </c>
    </row>
    <row r="32" spans="1:23" ht="18.75" x14ac:dyDescent="0.45">
      <c r="A32" s="21" t="s">
        <v>38</v>
      </c>
      <c r="C32" s="23">
        <v>5421007</v>
      </c>
      <c r="E32" s="23">
        <v>19979115074</v>
      </c>
      <c r="G32" s="23">
        <v>19327115699</v>
      </c>
      <c r="I32" s="23">
        <v>2771247</v>
      </c>
      <c r="J32" s="23">
        <v>9989558528</v>
      </c>
      <c r="L32" s="23">
        <v>1200000</v>
      </c>
      <c r="M32" s="23">
        <v>3691967724</v>
      </c>
      <c r="O32" s="23">
        <v>6992254</v>
      </c>
      <c r="Q32" s="23">
        <v>3270</v>
      </c>
      <c r="S32" s="23">
        <v>25578867290</v>
      </c>
      <c r="U32" s="23">
        <v>22687926676</v>
      </c>
      <c r="W32" s="24">
        <v>3.8662991697472151E-3</v>
      </c>
    </row>
    <row r="33" spans="1:23" ht="18.75" x14ac:dyDescent="0.45">
      <c r="A33" s="21" t="s">
        <v>39</v>
      </c>
      <c r="C33" s="23">
        <v>35600000</v>
      </c>
      <c r="E33" s="23">
        <v>18338590879</v>
      </c>
      <c r="G33" s="23">
        <v>23561649604</v>
      </c>
      <c r="I33" s="23">
        <v>31723085</v>
      </c>
      <c r="J33" s="23">
        <v>22207868333</v>
      </c>
      <c r="L33" s="23">
        <v>6000000</v>
      </c>
      <c r="M33" s="23">
        <v>3915100607</v>
      </c>
      <c r="O33" s="23">
        <v>61323085</v>
      </c>
      <c r="Q33" s="23">
        <v>671</v>
      </c>
      <c r="S33" s="23">
        <v>36932858391</v>
      </c>
      <c r="U33" s="23">
        <v>40951415733</v>
      </c>
      <c r="W33" s="24">
        <v>6.978620255149089E-3</v>
      </c>
    </row>
    <row r="34" spans="1:23" ht="18.75" x14ac:dyDescent="0.45">
      <c r="A34" s="21" t="s">
        <v>40</v>
      </c>
      <c r="C34" s="23">
        <v>13980938</v>
      </c>
      <c r="E34" s="23">
        <v>14363242088</v>
      </c>
      <c r="G34" s="23">
        <v>20448603525</v>
      </c>
      <c r="I34" s="23">
        <v>27527633</v>
      </c>
      <c r="J34" s="23">
        <v>42222129799</v>
      </c>
      <c r="L34" s="23">
        <v>18800000</v>
      </c>
      <c r="M34" s="23">
        <v>28134698061</v>
      </c>
      <c r="O34" s="23">
        <v>22708571</v>
      </c>
      <c r="Q34" s="23">
        <v>1474</v>
      </c>
      <c r="S34" s="23">
        <v>30956809741</v>
      </c>
      <c r="U34" s="23">
        <v>33123559607</v>
      </c>
      <c r="W34" s="24">
        <v>5.6446581847907802E-3</v>
      </c>
    </row>
    <row r="35" spans="1:23" ht="18.75" x14ac:dyDescent="0.45">
      <c r="A35" s="21" t="s">
        <v>41</v>
      </c>
      <c r="C35" s="23">
        <v>5552212</v>
      </c>
      <c r="E35" s="23">
        <v>23310392086</v>
      </c>
      <c r="G35" s="23">
        <v>30301113707</v>
      </c>
      <c r="I35" s="23">
        <v>1200000</v>
      </c>
      <c r="J35" s="23">
        <v>6845701902</v>
      </c>
      <c r="L35" s="23">
        <v>0</v>
      </c>
      <c r="M35" s="23">
        <v>0</v>
      </c>
      <c r="O35" s="23">
        <v>6752212</v>
      </c>
      <c r="Q35" s="23">
        <v>5490</v>
      </c>
      <c r="S35" s="23">
        <v>30156093988</v>
      </c>
      <c r="U35" s="23">
        <v>36649095185</v>
      </c>
      <c r="W35" s="24">
        <v>6.2454524077620111E-3</v>
      </c>
    </row>
    <row r="36" spans="1:23" ht="18.75" x14ac:dyDescent="0.45">
      <c r="A36" s="21" t="s">
        <v>42</v>
      </c>
      <c r="C36" s="23">
        <v>16531416</v>
      </c>
      <c r="E36" s="23">
        <v>23880997927</v>
      </c>
      <c r="G36" s="23">
        <v>29231265371</v>
      </c>
      <c r="I36" s="23">
        <v>14577003</v>
      </c>
      <c r="J36" s="23">
        <v>27591894113</v>
      </c>
      <c r="L36" s="23">
        <v>6400000</v>
      </c>
      <c r="M36" s="23">
        <v>11564311560</v>
      </c>
      <c r="O36" s="23">
        <v>24708419</v>
      </c>
      <c r="Q36" s="23">
        <v>1842</v>
      </c>
      <c r="S36" s="23">
        <v>40883266477</v>
      </c>
      <c r="U36" s="23">
        <v>45749511171</v>
      </c>
      <c r="W36" s="24">
        <v>7.7962741850664046E-3</v>
      </c>
    </row>
    <row r="37" spans="1:23" ht="18.75" x14ac:dyDescent="0.45">
      <c r="A37" s="21" t="s">
        <v>43</v>
      </c>
      <c r="C37" s="23">
        <v>6410264</v>
      </c>
      <c r="E37" s="23">
        <v>8608387640</v>
      </c>
      <c r="G37" s="23">
        <v>13611925091</v>
      </c>
      <c r="I37" s="23">
        <v>2800000</v>
      </c>
      <c r="J37" s="23">
        <v>6423472230</v>
      </c>
      <c r="L37" s="23">
        <v>0</v>
      </c>
      <c r="M37" s="23">
        <v>0</v>
      </c>
      <c r="O37" s="23">
        <v>9210264</v>
      </c>
      <c r="Q37" s="23">
        <v>2122</v>
      </c>
      <c r="S37" s="23">
        <v>15031859870</v>
      </c>
      <c r="U37" s="23">
        <v>19566746000</v>
      </c>
      <c r="W37" s="24">
        <v>3.3344119493510407E-3</v>
      </c>
    </row>
    <row r="38" spans="1:23" ht="18.75" x14ac:dyDescent="0.45">
      <c r="A38" s="21" t="s">
        <v>44</v>
      </c>
      <c r="C38" s="23">
        <v>7441661</v>
      </c>
      <c r="E38" s="23">
        <v>15712795568</v>
      </c>
      <c r="G38" s="23">
        <v>19508889850</v>
      </c>
      <c r="I38" s="23">
        <v>3200000</v>
      </c>
      <c r="J38" s="23">
        <v>8558600364</v>
      </c>
      <c r="L38" s="23">
        <v>3600000</v>
      </c>
      <c r="M38" s="23">
        <v>8585211347</v>
      </c>
      <c r="O38" s="23">
        <v>7041661</v>
      </c>
      <c r="Q38" s="23">
        <v>2297</v>
      </c>
      <c r="S38" s="23">
        <v>16060551276</v>
      </c>
      <c r="U38" s="23">
        <v>16063639380</v>
      </c>
      <c r="W38" s="24">
        <v>2.7374398941314997E-3</v>
      </c>
    </row>
    <row r="39" spans="1:23" ht="18.75" x14ac:dyDescent="0.45">
      <c r="A39" s="21" t="s">
        <v>45</v>
      </c>
      <c r="C39" s="23">
        <v>2875000</v>
      </c>
      <c r="E39" s="23">
        <v>4907321845</v>
      </c>
      <c r="G39" s="23">
        <v>6475802087</v>
      </c>
      <c r="N39" s="22"/>
      <c r="O39" s="23">
        <v>2875000</v>
      </c>
      <c r="Q39" s="23">
        <v>2033</v>
      </c>
      <c r="S39" s="23">
        <v>4907321845</v>
      </c>
      <c r="U39" s="23">
        <v>5808252445</v>
      </c>
      <c r="W39" s="24">
        <v>9.8979699319730525E-4</v>
      </c>
    </row>
    <row r="40" spans="1:23" ht="18.75" x14ac:dyDescent="0.45">
      <c r="A40" s="21" t="s">
        <v>46</v>
      </c>
      <c r="C40" s="23">
        <v>7463245</v>
      </c>
      <c r="E40" s="23">
        <v>9800050464</v>
      </c>
      <c r="G40" s="23">
        <v>11360120014</v>
      </c>
      <c r="I40" s="23">
        <v>2800000</v>
      </c>
      <c r="J40" s="23">
        <v>4554825319</v>
      </c>
      <c r="L40" s="23">
        <v>0</v>
      </c>
      <c r="M40" s="23">
        <v>0</v>
      </c>
      <c r="O40" s="23">
        <v>10263245</v>
      </c>
      <c r="Q40" s="23">
        <v>1493</v>
      </c>
      <c r="S40" s="23">
        <v>14354875783</v>
      </c>
      <c r="U40" s="23">
        <v>15092554792</v>
      </c>
      <c r="W40" s="24">
        <v>2.571955247166806E-3</v>
      </c>
    </row>
    <row r="41" spans="1:23" ht="37.5" x14ac:dyDescent="0.45">
      <c r="A41" s="21" t="s">
        <v>47</v>
      </c>
      <c r="C41" s="23">
        <v>7265469</v>
      </c>
      <c r="E41" s="23">
        <v>16049679533</v>
      </c>
      <c r="G41" s="23">
        <v>20474431666</v>
      </c>
      <c r="I41" s="23">
        <v>0</v>
      </c>
      <c r="J41" s="23">
        <v>0</v>
      </c>
      <c r="L41" s="23">
        <v>2800000</v>
      </c>
      <c r="M41" s="23">
        <v>8286757785</v>
      </c>
      <c r="O41" s="23">
        <v>4465469</v>
      </c>
      <c r="Q41" s="23">
        <v>2865</v>
      </c>
      <c r="S41" s="23">
        <v>9864379907</v>
      </c>
      <c r="U41" s="23">
        <v>12840895780</v>
      </c>
      <c r="W41" s="24">
        <v>2.1882451138888069E-3</v>
      </c>
    </row>
    <row r="42" spans="1:23" ht="18.75" x14ac:dyDescent="0.45">
      <c r="A42" s="21" t="s">
        <v>48</v>
      </c>
      <c r="C42" s="23">
        <v>12393399</v>
      </c>
      <c r="E42" s="23">
        <v>18510273240</v>
      </c>
      <c r="G42" s="23">
        <v>22430818799</v>
      </c>
      <c r="I42" s="23">
        <v>3600000</v>
      </c>
      <c r="J42" s="23">
        <v>6540852587</v>
      </c>
      <c r="L42" s="23">
        <v>375521</v>
      </c>
      <c r="M42" s="23">
        <v>607740329</v>
      </c>
      <c r="O42" s="23">
        <v>15617878</v>
      </c>
      <c r="Q42" s="23">
        <v>1667</v>
      </c>
      <c r="S42" s="23">
        <v>24462931671</v>
      </c>
      <c r="U42" s="23">
        <v>25926734967</v>
      </c>
      <c r="W42" s="24">
        <v>4.418231569092902E-3</v>
      </c>
    </row>
    <row r="43" spans="1:23" ht="18.75" x14ac:dyDescent="0.45">
      <c r="A43" s="21" t="s">
        <v>49</v>
      </c>
      <c r="C43" s="23">
        <v>8407085</v>
      </c>
      <c r="E43" s="23">
        <v>30076273347</v>
      </c>
      <c r="G43" s="23">
        <v>31407999847</v>
      </c>
      <c r="I43" s="23">
        <v>4657323</v>
      </c>
      <c r="J43" s="23">
        <v>18730818310</v>
      </c>
      <c r="L43" s="23">
        <v>8800000</v>
      </c>
      <c r="M43" s="23">
        <v>32110254358</v>
      </c>
      <c r="O43" s="23">
        <v>4264408</v>
      </c>
      <c r="Q43" s="23">
        <v>3682</v>
      </c>
      <c r="S43" s="23">
        <v>15931326710</v>
      </c>
      <c r="U43" s="23">
        <v>15444771060</v>
      </c>
      <c r="W43" s="24">
        <v>2.6319771911719578E-3</v>
      </c>
    </row>
    <row r="44" spans="1:23" ht="18.75" x14ac:dyDescent="0.45">
      <c r="A44" s="21" t="s">
        <v>50</v>
      </c>
      <c r="C44" s="23">
        <v>4335472</v>
      </c>
      <c r="E44" s="23">
        <v>19092292350</v>
      </c>
      <c r="G44" s="23">
        <v>34888885880</v>
      </c>
      <c r="I44" s="23">
        <v>0</v>
      </c>
      <c r="J44" s="23">
        <v>0</v>
      </c>
      <c r="L44" s="23">
        <v>60116</v>
      </c>
      <c r="M44" s="23">
        <v>595865768</v>
      </c>
      <c r="O44" s="23">
        <v>4275356</v>
      </c>
      <c r="Q44" s="23">
        <v>9860</v>
      </c>
      <c r="S44" s="23">
        <v>18827557104</v>
      </c>
      <c r="U44" s="23">
        <v>42083690381</v>
      </c>
      <c r="W44" s="24">
        <v>7.1715736525222876E-3</v>
      </c>
    </row>
    <row r="45" spans="1:23" ht="37.5" x14ac:dyDescent="0.45">
      <c r="A45" s="21" t="s">
        <v>51</v>
      </c>
      <c r="C45" s="23">
        <v>6716183</v>
      </c>
      <c r="E45" s="23">
        <v>12815360336</v>
      </c>
      <c r="G45" s="23">
        <v>21159047425</v>
      </c>
      <c r="I45" s="23">
        <v>0</v>
      </c>
      <c r="J45" s="23">
        <v>0</v>
      </c>
      <c r="L45" s="23">
        <v>800000</v>
      </c>
      <c r="M45" s="23">
        <v>3382449988</v>
      </c>
      <c r="O45" s="23">
        <v>5916183</v>
      </c>
      <c r="Q45" s="23">
        <v>4386</v>
      </c>
      <c r="S45" s="23">
        <v>11288855137</v>
      </c>
      <c r="U45" s="23">
        <v>25759538573</v>
      </c>
      <c r="W45" s="24">
        <v>4.3897392661805014E-3</v>
      </c>
    </row>
    <row r="46" spans="1:23" ht="18.75" x14ac:dyDescent="0.45">
      <c r="A46" s="21" t="s">
        <v>52</v>
      </c>
      <c r="C46" s="23">
        <v>1916567</v>
      </c>
      <c r="E46" s="23">
        <v>6930571783</v>
      </c>
      <c r="G46" s="23">
        <v>7380699268</v>
      </c>
      <c r="I46" s="23">
        <v>2400000</v>
      </c>
      <c r="J46" s="23">
        <v>10224764496</v>
      </c>
      <c r="L46" s="23">
        <v>0</v>
      </c>
      <c r="M46" s="23">
        <v>0</v>
      </c>
      <c r="O46" s="23">
        <v>4316567</v>
      </c>
      <c r="Q46" s="23">
        <v>3627</v>
      </c>
      <c r="S46" s="23">
        <v>17155336279</v>
      </c>
      <c r="U46" s="23">
        <v>15483767773</v>
      </c>
      <c r="W46" s="24">
        <v>2.638622706262337E-3</v>
      </c>
    </row>
    <row r="47" spans="1:23" ht="18.75" x14ac:dyDescent="0.45">
      <c r="A47" s="21" t="s">
        <v>53</v>
      </c>
      <c r="C47" s="23">
        <v>8600000</v>
      </c>
      <c r="E47" s="23">
        <v>18411428946</v>
      </c>
      <c r="G47" s="23">
        <v>21180201604</v>
      </c>
      <c r="I47" s="23">
        <v>11200000</v>
      </c>
      <c r="J47" s="23">
        <v>31527180932</v>
      </c>
      <c r="L47" s="23">
        <v>6400000</v>
      </c>
      <c r="M47" s="23">
        <v>16016078243</v>
      </c>
      <c r="O47" s="23">
        <v>13400000</v>
      </c>
      <c r="Q47" s="23">
        <v>2664</v>
      </c>
      <c r="S47" s="23">
        <v>33796836988</v>
      </c>
      <c r="U47" s="23">
        <v>35647696658</v>
      </c>
      <c r="W47" s="24">
        <v>6.0748018962006435E-3</v>
      </c>
    </row>
    <row r="48" spans="1:23" ht="37.5" x14ac:dyDescent="0.45">
      <c r="A48" s="21" t="s">
        <v>54</v>
      </c>
      <c r="C48" s="23">
        <v>7348545</v>
      </c>
      <c r="E48" s="23">
        <v>28135300706</v>
      </c>
      <c r="G48" s="23">
        <v>28685708099</v>
      </c>
      <c r="I48" s="23">
        <v>4067289</v>
      </c>
      <c r="J48" s="23">
        <v>17367433352</v>
      </c>
      <c r="L48" s="23">
        <v>1600000</v>
      </c>
      <c r="M48" s="23">
        <v>6855223709</v>
      </c>
      <c r="O48" s="23">
        <v>9815834</v>
      </c>
      <c r="Q48" s="23">
        <v>4458</v>
      </c>
      <c r="S48" s="23">
        <v>39125243417</v>
      </c>
      <c r="U48" s="23">
        <v>43878509002</v>
      </c>
      <c r="W48" s="24">
        <v>7.4774326163367178E-3</v>
      </c>
    </row>
    <row r="49" spans="1:23" ht="37.5" x14ac:dyDescent="0.45">
      <c r="A49" s="21" t="s">
        <v>55</v>
      </c>
      <c r="C49" s="23">
        <v>842177</v>
      </c>
      <c r="E49" s="23">
        <v>2001916090</v>
      </c>
      <c r="G49" s="23">
        <v>3975267785</v>
      </c>
      <c r="N49" s="22"/>
      <c r="O49" s="23">
        <v>842177</v>
      </c>
      <c r="Q49" s="23">
        <v>4273</v>
      </c>
      <c r="S49" s="23">
        <v>2001916090</v>
      </c>
      <c r="U49" s="23">
        <v>3594203646</v>
      </c>
      <c r="W49" s="24">
        <v>6.1249609851446321E-4</v>
      </c>
    </row>
    <row r="50" spans="1:23" ht="37.5" x14ac:dyDescent="0.45">
      <c r="A50" s="21" t="s">
        <v>56</v>
      </c>
      <c r="C50" s="23">
        <v>285750</v>
      </c>
      <c r="E50" s="23">
        <v>12123197874</v>
      </c>
      <c r="G50" s="23">
        <v>17210947957</v>
      </c>
      <c r="N50" s="22"/>
      <c r="O50" s="23">
        <v>285750</v>
      </c>
      <c r="Q50" s="23">
        <v>67650</v>
      </c>
      <c r="S50" s="23">
        <v>12123197874</v>
      </c>
      <c r="U50" s="23">
        <v>19082319563</v>
      </c>
      <c r="W50" s="24">
        <v>3.2518597814987903E-3</v>
      </c>
    </row>
    <row r="51" spans="1:23" ht="18.75" x14ac:dyDescent="0.45">
      <c r="A51" s="21" t="s">
        <v>57</v>
      </c>
      <c r="C51" s="23">
        <v>10496746</v>
      </c>
      <c r="E51" s="23">
        <v>17246303416</v>
      </c>
      <c r="G51" s="23">
        <v>21581135950</v>
      </c>
      <c r="I51" s="23">
        <v>2800000</v>
      </c>
      <c r="J51" s="23">
        <v>6014556182</v>
      </c>
      <c r="L51" s="23">
        <v>2577433</v>
      </c>
      <c r="M51" s="23">
        <v>5024253091</v>
      </c>
      <c r="O51" s="23">
        <v>10719313</v>
      </c>
      <c r="Q51" s="23">
        <v>1989</v>
      </c>
      <c r="S51" s="23">
        <v>18751988996</v>
      </c>
      <c r="U51" s="23">
        <v>21379269948</v>
      </c>
      <c r="W51" s="24">
        <v>3.6432881166348664E-3</v>
      </c>
    </row>
    <row r="52" spans="1:23" ht="37.5" x14ac:dyDescent="0.45">
      <c r="A52" s="21" t="s">
        <v>58</v>
      </c>
      <c r="C52" s="23">
        <v>1648155</v>
      </c>
      <c r="E52" s="23">
        <v>11910020869</v>
      </c>
      <c r="G52" s="23">
        <v>13753838147</v>
      </c>
      <c r="N52" s="22"/>
      <c r="O52" s="23">
        <v>1648155</v>
      </c>
      <c r="Q52" s="23">
        <v>8840</v>
      </c>
      <c r="S52" s="23">
        <v>11910020869</v>
      </c>
      <c r="U52" s="23">
        <v>14636962119</v>
      </c>
      <c r="W52" s="24">
        <v>2.4943167040545285E-3</v>
      </c>
    </row>
    <row r="53" spans="1:23" ht="37.5" x14ac:dyDescent="0.45">
      <c r="A53" s="21" t="s">
        <v>59</v>
      </c>
      <c r="C53" s="23">
        <v>250000</v>
      </c>
      <c r="E53" s="23">
        <v>800726400</v>
      </c>
      <c r="G53" s="23">
        <v>1379255300</v>
      </c>
      <c r="N53" s="22"/>
      <c r="O53" s="23">
        <v>250000</v>
      </c>
      <c r="Q53" s="23">
        <v>5530</v>
      </c>
      <c r="S53" s="23">
        <v>800726400</v>
      </c>
      <c r="U53" s="23">
        <v>1374293950</v>
      </c>
      <c r="W53" s="24">
        <v>2.3419643556475063E-4</v>
      </c>
    </row>
    <row r="54" spans="1:23" ht="37.5" x14ac:dyDescent="0.45">
      <c r="A54" s="21" t="s">
        <v>60</v>
      </c>
      <c r="C54" s="23">
        <v>4260139</v>
      </c>
      <c r="E54" s="23">
        <v>17738464357</v>
      </c>
      <c r="G54" s="23">
        <v>23080556365</v>
      </c>
      <c r="N54" s="22"/>
      <c r="O54" s="23">
        <v>4260139</v>
      </c>
      <c r="Q54" s="23">
        <v>5323</v>
      </c>
      <c r="S54" s="23">
        <v>17738464357</v>
      </c>
      <c r="U54" s="23">
        <v>22192842659</v>
      </c>
      <c r="W54" s="24">
        <v>3.7819308203948234E-3</v>
      </c>
    </row>
    <row r="55" spans="1:23" ht="37.5" x14ac:dyDescent="0.45">
      <c r="A55" s="21" t="s">
        <v>61</v>
      </c>
      <c r="C55" s="23">
        <v>114400</v>
      </c>
      <c r="E55" s="23">
        <v>13902770527</v>
      </c>
      <c r="G55" s="23">
        <v>16488153682</v>
      </c>
      <c r="I55" s="23">
        <v>200000</v>
      </c>
      <c r="J55" s="23">
        <v>31552089351</v>
      </c>
      <c r="L55" s="23">
        <v>75000</v>
      </c>
      <c r="M55" s="23">
        <v>9976068566</v>
      </c>
      <c r="O55" s="23">
        <v>239400</v>
      </c>
      <c r="Q55" s="23">
        <v>139650</v>
      </c>
      <c r="S55" s="23">
        <v>34611620404</v>
      </c>
      <c r="U55" s="23">
        <v>33838917443</v>
      </c>
      <c r="W55" s="24">
        <v>5.7665638770515327E-3</v>
      </c>
    </row>
    <row r="56" spans="1:23" ht="37.5" x14ac:dyDescent="0.45">
      <c r="A56" s="21" t="s">
        <v>62</v>
      </c>
      <c r="C56" s="23">
        <v>2528206</v>
      </c>
      <c r="E56" s="23">
        <v>25598141535</v>
      </c>
      <c r="G56" s="23">
        <v>38031330589</v>
      </c>
      <c r="I56" s="23">
        <v>600000</v>
      </c>
      <c r="J56" s="23">
        <v>9432874710</v>
      </c>
      <c r="L56" s="23">
        <v>100000</v>
      </c>
      <c r="M56" s="23">
        <v>1937903316</v>
      </c>
      <c r="O56" s="23">
        <v>3028206</v>
      </c>
      <c r="Q56" s="23">
        <v>19180</v>
      </c>
      <c r="S56" s="23">
        <v>33911172595</v>
      </c>
      <c r="U56" s="23">
        <v>58713752287</v>
      </c>
      <c r="W56" s="24">
        <v>1.000553884723652E-2</v>
      </c>
    </row>
    <row r="57" spans="1:23" ht="18.75" x14ac:dyDescent="0.45">
      <c r="A57" s="21" t="s">
        <v>63</v>
      </c>
      <c r="C57" s="23">
        <v>2683236</v>
      </c>
      <c r="E57" s="23">
        <v>18802199320</v>
      </c>
      <c r="G57" s="23">
        <v>19755709826</v>
      </c>
      <c r="I57" s="23">
        <v>600000</v>
      </c>
      <c r="J57" s="23">
        <v>4384315467</v>
      </c>
      <c r="L57" s="23">
        <v>0</v>
      </c>
      <c r="M57" s="23">
        <v>0</v>
      </c>
      <c r="O57" s="23">
        <v>3283236</v>
      </c>
      <c r="Q57" s="23">
        <v>7150</v>
      </c>
      <c r="S57" s="23">
        <v>23186514787</v>
      </c>
      <c r="U57" s="23">
        <v>23228517456</v>
      </c>
      <c r="W57" s="24">
        <v>3.9584224260383223E-3</v>
      </c>
    </row>
    <row r="58" spans="1:23" ht="37.5" x14ac:dyDescent="0.45">
      <c r="A58" s="21" t="s">
        <v>64</v>
      </c>
      <c r="C58" s="23">
        <v>3742054</v>
      </c>
      <c r="E58" s="23">
        <v>7179669122</v>
      </c>
      <c r="G58" s="23">
        <v>9579870040</v>
      </c>
      <c r="I58" s="23">
        <v>6018561</v>
      </c>
      <c r="J58" s="23">
        <v>16673786690</v>
      </c>
      <c r="L58" s="23">
        <v>0</v>
      </c>
      <c r="M58" s="23">
        <v>0</v>
      </c>
      <c r="O58" s="23">
        <v>9760615</v>
      </c>
      <c r="Q58" s="23">
        <v>2588</v>
      </c>
      <c r="S58" s="23">
        <v>23853455812</v>
      </c>
      <c r="U58" s="23">
        <v>25152374663</v>
      </c>
      <c r="W58" s="24">
        <v>4.2862711373092676E-3</v>
      </c>
    </row>
    <row r="59" spans="1:23" ht="18.75" x14ac:dyDescent="0.45">
      <c r="A59" s="21" t="s">
        <v>65</v>
      </c>
      <c r="C59" s="23">
        <v>22792882</v>
      </c>
      <c r="E59" s="23">
        <v>42443854400</v>
      </c>
      <c r="G59" s="23">
        <v>42157515793</v>
      </c>
      <c r="I59" s="23">
        <v>4400000</v>
      </c>
      <c r="J59" s="23">
        <v>8875152079</v>
      </c>
      <c r="L59" s="23">
        <v>3200000</v>
      </c>
      <c r="M59" s="23">
        <v>6010774829</v>
      </c>
      <c r="O59" s="23">
        <v>23992882</v>
      </c>
      <c r="Q59" s="23">
        <v>2085</v>
      </c>
      <c r="S59" s="23">
        <v>45279895923</v>
      </c>
      <c r="U59" s="23">
        <v>49995575746</v>
      </c>
      <c r="W59" s="24">
        <v>8.5198553291460661E-3</v>
      </c>
    </row>
    <row r="60" spans="1:23" ht="18.75" x14ac:dyDescent="0.45">
      <c r="A60" s="21" t="s">
        <v>66</v>
      </c>
      <c r="C60" s="23">
        <v>2841112</v>
      </c>
      <c r="E60" s="23">
        <v>11797204735</v>
      </c>
      <c r="G60" s="23">
        <v>14687772564</v>
      </c>
      <c r="I60" s="23">
        <v>2000000</v>
      </c>
      <c r="J60" s="23">
        <v>10615548926</v>
      </c>
      <c r="L60" s="23">
        <v>0</v>
      </c>
      <c r="M60" s="23">
        <v>0</v>
      </c>
      <c r="O60" s="23">
        <v>4841112</v>
      </c>
      <c r="Q60" s="23">
        <v>4610</v>
      </c>
      <c r="S60" s="23">
        <v>22412753661</v>
      </c>
      <c r="U60" s="23">
        <v>22265104097</v>
      </c>
      <c r="W60" s="24">
        <v>3.7942450499731336E-3</v>
      </c>
    </row>
    <row r="61" spans="1:23" ht="37.5" x14ac:dyDescent="0.45">
      <c r="A61" s="21" t="s">
        <v>67</v>
      </c>
      <c r="C61" s="23">
        <v>4807801</v>
      </c>
      <c r="E61" s="23">
        <v>34956078994</v>
      </c>
      <c r="G61" s="23">
        <v>30675193970</v>
      </c>
      <c r="I61" s="23">
        <v>0</v>
      </c>
      <c r="J61" s="23">
        <v>0</v>
      </c>
      <c r="L61" s="23">
        <v>200000</v>
      </c>
      <c r="M61" s="23">
        <v>1547833611</v>
      </c>
      <c r="O61" s="23">
        <v>4607801</v>
      </c>
      <c r="Q61" s="23">
        <v>8010</v>
      </c>
      <c r="S61" s="23">
        <v>33501938983</v>
      </c>
      <c r="U61" s="23">
        <v>36623183413</v>
      </c>
      <c r="W61" s="24">
        <v>6.2410367260648265E-3</v>
      </c>
    </row>
    <row r="62" spans="1:23" ht="18.75" x14ac:dyDescent="0.45">
      <c r="A62" s="21" t="s">
        <v>68</v>
      </c>
      <c r="C62" s="23">
        <v>898693</v>
      </c>
      <c r="E62" s="23">
        <v>15466598389</v>
      </c>
      <c r="G62" s="23">
        <v>21990458903</v>
      </c>
      <c r="I62" s="23">
        <v>607324</v>
      </c>
      <c r="J62" s="23">
        <v>16793026063</v>
      </c>
      <c r="L62" s="23">
        <v>344078</v>
      </c>
      <c r="M62" s="23">
        <v>9403745755</v>
      </c>
      <c r="O62" s="23">
        <v>1161939</v>
      </c>
      <c r="Q62" s="23">
        <v>27520</v>
      </c>
      <c r="S62" s="23">
        <v>24889304846</v>
      </c>
      <c r="U62" s="23">
        <v>31544909307</v>
      </c>
      <c r="W62" s="24">
        <v>5.3756369369978869E-3</v>
      </c>
    </row>
    <row r="63" spans="1:23" ht="18.75" x14ac:dyDescent="0.45">
      <c r="A63" s="21" t="s">
        <v>69</v>
      </c>
      <c r="C63" s="23">
        <v>5360107</v>
      </c>
      <c r="E63" s="23">
        <v>16722698863</v>
      </c>
      <c r="G63" s="23">
        <v>24832885978</v>
      </c>
      <c r="I63" s="23">
        <v>2051435</v>
      </c>
      <c r="J63" s="23">
        <v>10071569113</v>
      </c>
      <c r="L63" s="23">
        <v>528324</v>
      </c>
      <c r="M63" s="23">
        <v>2539734702</v>
      </c>
      <c r="O63" s="23">
        <v>6883218</v>
      </c>
      <c r="Q63" s="23">
        <v>5039</v>
      </c>
      <c r="S63" s="23">
        <v>24884266679</v>
      </c>
      <c r="U63" s="23">
        <v>34416424043</v>
      </c>
      <c r="W63" s="24">
        <v>5.8649780389090581E-3</v>
      </c>
    </row>
    <row r="64" spans="1:23" ht="18.75" x14ac:dyDescent="0.45">
      <c r="A64" s="21" t="s">
        <v>70</v>
      </c>
      <c r="C64" s="23">
        <v>40025</v>
      </c>
      <c r="E64" s="23">
        <v>688267606</v>
      </c>
      <c r="G64" s="23">
        <v>1208545913</v>
      </c>
      <c r="I64" s="23">
        <v>1000000</v>
      </c>
      <c r="J64" s="23">
        <v>33007698799</v>
      </c>
      <c r="L64" s="23">
        <v>100000</v>
      </c>
      <c r="M64" s="23">
        <v>3252661073</v>
      </c>
      <c r="O64" s="23">
        <v>940025</v>
      </c>
      <c r="Q64" s="23">
        <v>34180</v>
      </c>
      <c r="S64" s="23">
        <v>30456047518</v>
      </c>
      <c r="U64" s="23">
        <v>31928327109</v>
      </c>
      <c r="W64" s="24">
        <v>5.4409760026035182E-3</v>
      </c>
    </row>
    <row r="65" spans="1:23" ht="18.75" x14ac:dyDescent="0.45">
      <c r="A65" s="21" t="s">
        <v>71</v>
      </c>
      <c r="C65" s="23">
        <v>3792430</v>
      </c>
      <c r="E65" s="23">
        <v>15527107701</v>
      </c>
      <c r="G65" s="23">
        <v>25476285274</v>
      </c>
      <c r="I65" s="23">
        <v>3065312</v>
      </c>
      <c r="J65" s="23">
        <v>21712851146</v>
      </c>
      <c r="L65" s="23">
        <v>405744</v>
      </c>
      <c r="M65" s="23">
        <v>3088342290</v>
      </c>
      <c r="O65" s="23">
        <v>6451998</v>
      </c>
      <c r="Q65" s="23">
        <v>7650</v>
      </c>
      <c r="S65" s="23">
        <v>35036625758</v>
      </c>
      <c r="U65" s="23">
        <v>48848206543</v>
      </c>
      <c r="W65" s="24">
        <v>8.3243296356658846E-3</v>
      </c>
    </row>
    <row r="66" spans="1:23" ht="18.75" x14ac:dyDescent="0.45">
      <c r="A66" s="21" t="s">
        <v>72</v>
      </c>
      <c r="C66" s="23">
        <v>5729408</v>
      </c>
      <c r="E66" s="23">
        <v>27895013654</v>
      </c>
      <c r="G66" s="23">
        <v>41899332013</v>
      </c>
      <c r="I66" s="23">
        <v>0</v>
      </c>
      <c r="J66" s="23">
        <v>0</v>
      </c>
      <c r="L66" s="23">
        <v>600000</v>
      </c>
      <c r="M66" s="23">
        <v>4006847207</v>
      </c>
      <c r="O66" s="23">
        <v>5129408</v>
      </c>
      <c r="Q66" s="23">
        <v>6990</v>
      </c>
      <c r="S66" s="23">
        <v>24973768005</v>
      </c>
      <c r="U66" s="23">
        <v>35628303733</v>
      </c>
      <c r="W66" s="24">
        <v>6.071497105467792E-3</v>
      </c>
    </row>
    <row r="67" spans="1:23" ht="18.75" x14ac:dyDescent="0.45">
      <c r="A67" s="21" t="s">
        <v>73</v>
      </c>
      <c r="C67" s="23">
        <v>2428938</v>
      </c>
      <c r="E67" s="23">
        <v>14823306774</v>
      </c>
      <c r="G67" s="23">
        <v>26728700010</v>
      </c>
      <c r="I67" s="23">
        <v>300000</v>
      </c>
      <c r="J67" s="23">
        <v>3582518456</v>
      </c>
      <c r="L67" s="23">
        <v>100000</v>
      </c>
      <c r="M67" s="23">
        <v>1003184983</v>
      </c>
      <c r="O67" s="23">
        <v>2628938</v>
      </c>
      <c r="Q67" s="23">
        <v>10420</v>
      </c>
      <c r="S67" s="23">
        <v>17731356802</v>
      </c>
      <c r="U67" s="23">
        <v>27207868106</v>
      </c>
      <c r="W67" s="24">
        <v>4.63655226725044E-3</v>
      </c>
    </row>
    <row r="68" spans="1:23" ht="18.75" x14ac:dyDescent="0.45">
      <c r="A68" s="21" t="s">
        <v>74</v>
      </c>
      <c r="C68" s="23">
        <v>2232181</v>
      </c>
      <c r="E68" s="23">
        <v>19841676456</v>
      </c>
      <c r="G68" s="23">
        <v>26113980380</v>
      </c>
      <c r="I68" s="23">
        <v>2017412</v>
      </c>
      <c r="J68" s="23">
        <v>25885341356</v>
      </c>
      <c r="L68" s="23">
        <v>0</v>
      </c>
      <c r="M68" s="23">
        <v>0</v>
      </c>
      <c r="O68" s="23">
        <v>4249593</v>
      </c>
      <c r="Q68" s="23">
        <v>12700</v>
      </c>
      <c r="S68" s="23">
        <v>45727017812</v>
      </c>
      <c r="U68" s="23">
        <v>52920132759</v>
      </c>
      <c r="W68" s="24">
        <v>9.0182354814057012E-3</v>
      </c>
    </row>
    <row r="69" spans="1:23" ht="37.5" x14ac:dyDescent="0.45">
      <c r="A69" s="21" t="s">
        <v>75</v>
      </c>
      <c r="C69" s="23">
        <v>272374</v>
      </c>
      <c r="E69" s="23">
        <v>6749678917</v>
      </c>
      <c r="G69" s="23">
        <v>11959383292</v>
      </c>
      <c r="N69" s="22"/>
      <c r="O69" s="23">
        <v>1233693</v>
      </c>
      <c r="Q69" s="23">
        <v>10250</v>
      </c>
      <c r="S69" s="23">
        <v>6749678917</v>
      </c>
      <c r="U69" s="23">
        <v>12547604669</v>
      </c>
      <c r="W69" s="24">
        <v>2.1382647346700626E-3</v>
      </c>
    </row>
    <row r="70" spans="1:23" ht="18.75" x14ac:dyDescent="0.45">
      <c r="A70" s="21" t="s">
        <v>76</v>
      </c>
      <c r="C70" s="23">
        <v>6800000</v>
      </c>
      <c r="E70" s="23">
        <v>10902166072</v>
      </c>
      <c r="G70" s="23">
        <v>12449019420</v>
      </c>
      <c r="I70" s="23">
        <v>24322548</v>
      </c>
      <c r="J70" s="23">
        <v>45447208632</v>
      </c>
      <c r="L70" s="23">
        <v>3060502</v>
      </c>
      <c r="M70" s="23">
        <v>4976374181</v>
      </c>
      <c r="O70" s="23">
        <v>28062046</v>
      </c>
      <c r="Q70" s="23">
        <v>1755</v>
      </c>
      <c r="S70" s="23">
        <v>50808801334</v>
      </c>
      <c r="U70" s="23">
        <v>48868196805</v>
      </c>
      <c r="W70" s="24">
        <v>8.3277362199023972E-3</v>
      </c>
    </row>
    <row r="71" spans="1:23" ht="18.75" x14ac:dyDescent="0.45">
      <c r="A71" s="21" t="s">
        <v>77</v>
      </c>
      <c r="C71" s="23">
        <v>1125246</v>
      </c>
      <c r="E71" s="23">
        <v>14898426822</v>
      </c>
      <c r="G71" s="23">
        <v>15575842485</v>
      </c>
      <c r="N71" s="22"/>
      <c r="O71" s="23">
        <v>1125246</v>
      </c>
      <c r="Q71" s="23">
        <v>16860</v>
      </c>
      <c r="S71" s="23">
        <v>14898426822</v>
      </c>
      <c r="U71" s="23">
        <v>18824996724</v>
      </c>
      <c r="W71" s="24">
        <v>3.2080088341209009E-3</v>
      </c>
    </row>
    <row r="72" spans="1:23" ht="18.75" x14ac:dyDescent="0.45">
      <c r="A72" s="21" t="s">
        <v>78</v>
      </c>
      <c r="C72" s="23">
        <v>14299343</v>
      </c>
      <c r="E72" s="23">
        <v>37564673964</v>
      </c>
      <c r="G72" s="23">
        <v>30009331201</v>
      </c>
      <c r="I72" s="23">
        <v>7686693</v>
      </c>
      <c r="J72" s="23">
        <v>16574300067</v>
      </c>
      <c r="L72" s="23">
        <v>1200000</v>
      </c>
      <c r="M72" s="23">
        <v>2302860236</v>
      </c>
      <c r="O72" s="23">
        <v>20786036</v>
      </c>
      <c r="Q72" s="23">
        <v>1919</v>
      </c>
      <c r="S72" s="23">
        <v>51184063521</v>
      </c>
      <c r="U72" s="23">
        <v>39621316448</v>
      </c>
      <c r="W72" s="24">
        <v>6.7519551290352586E-3</v>
      </c>
    </row>
    <row r="73" spans="1:23" ht="37.5" x14ac:dyDescent="0.45">
      <c r="A73" s="21" t="s">
        <v>79</v>
      </c>
      <c r="C73" s="23">
        <v>7009755</v>
      </c>
      <c r="E73" s="23">
        <v>20419274318</v>
      </c>
      <c r="G73" s="23">
        <v>16512522216</v>
      </c>
      <c r="I73" s="23">
        <v>8800000</v>
      </c>
      <c r="J73" s="23">
        <v>22586391577</v>
      </c>
      <c r="L73" s="23">
        <v>1600000</v>
      </c>
      <c r="M73" s="23">
        <v>3524543067</v>
      </c>
      <c r="O73" s="23">
        <v>14209755</v>
      </c>
      <c r="Q73" s="23">
        <v>2271</v>
      </c>
      <c r="S73" s="23">
        <v>38653348896</v>
      </c>
      <c r="U73" s="23">
        <v>32190102735</v>
      </c>
      <c r="W73" s="24">
        <v>5.4855857591457275E-3</v>
      </c>
    </row>
    <row r="74" spans="1:23" ht="18.75" x14ac:dyDescent="0.45">
      <c r="A74" s="21" t="s">
        <v>80</v>
      </c>
      <c r="C74" s="23">
        <v>9361008</v>
      </c>
      <c r="E74" s="23">
        <v>30921869528</v>
      </c>
      <c r="G74" s="23">
        <v>38919432640</v>
      </c>
      <c r="I74" s="23">
        <v>3808666</v>
      </c>
      <c r="J74" s="23">
        <v>16816960655</v>
      </c>
      <c r="L74" s="23">
        <v>800000</v>
      </c>
      <c r="M74" s="23">
        <v>3352284983</v>
      </c>
      <c r="O74" s="23">
        <v>12369674</v>
      </c>
      <c r="Q74" s="23">
        <v>4145</v>
      </c>
      <c r="S74" s="23">
        <v>44980673975</v>
      </c>
      <c r="U74" s="23">
        <v>50569112450</v>
      </c>
      <c r="W74" s="24">
        <v>8.6175929723499491E-3</v>
      </c>
    </row>
    <row r="75" spans="1:23" ht="37.5" x14ac:dyDescent="0.45">
      <c r="A75" s="21" t="s">
        <v>81</v>
      </c>
      <c r="C75" s="23">
        <v>562500</v>
      </c>
      <c r="E75" s="23">
        <v>4931974167</v>
      </c>
      <c r="G75" s="23">
        <v>5542448119</v>
      </c>
      <c r="N75" s="22"/>
      <c r="O75" s="23">
        <v>562500</v>
      </c>
      <c r="Q75" s="23">
        <v>9810</v>
      </c>
      <c r="S75" s="23">
        <v>4931974167</v>
      </c>
      <c r="U75" s="23">
        <v>5497795969</v>
      </c>
      <c r="W75" s="24">
        <v>9.3689142661368342E-4</v>
      </c>
    </row>
    <row r="76" spans="1:23" ht="18.75" x14ac:dyDescent="0.45">
      <c r="A76" s="21" t="s">
        <v>82</v>
      </c>
      <c r="C76" s="23">
        <v>3773870</v>
      </c>
      <c r="E76" s="23">
        <v>19978179220</v>
      </c>
      <c r="G76" s="23">
        <v>19659664421</v>
      </c>
      <c r="I76" s="23">
        <v>200000</v>
      </c>
      <c r="J76" s="23">
        <v>1154433419</v>
      </c>
      <c r="L76" s="23">
        <v>0</v>
      </c>
      <c r="M76" s="23">
        <v>0</v>
      </c>
      <c r="O76" s="23">
        <v>3973870</v>
      </c>
      <c r="Q76" s="23">
        <v>5600</v>
      </c>
      <c r="S76" s="23">
        <v>21132612639</v>
      </c>
      <c r="U76" s="23">
        <v>22081651115</v>
      </c>
      <c r="W76" s="24">
        <v>3.7629824263705745E-3</v>
      </c>
    </row>
    <row r="77" spans="1:23" ht="18.75" x14ac:dyDescent="0.45">
      <c r="A77" s="21" t="s">
        <v>83</v>
      </c>
      <c r="C77" s="23">
        <v>25600000</v>
      </c>
      <c r="E77" s="23">
        <v>10028365723</v>
      </c>
      <c r="G77" s="23">
        <v>14047367936</v>
      </c>
      <c r="N77" s="22"/>
      <c r="O77" s="23">
        <v>25600000</v>
      </c>
      <c r="Q77" s="23">
        <v>552</v>
      </c>
      <c r="S77" s="23">
        <v>10028365723</v>
      </c>
      <c r="U77" s="23">
        <v>14199780608</v>
      </c>
      <c r="W77" s="24">
        <v>2.4198156472966118E-3</v>
      </c>
    </row>
    <row r="78" spans="1:23" ht="18.75" x14ac:dyDescent="0.45">
      <c r="A78" s="21" t="s">
        <v>84</v>
      </c>
      <c r="C78" s="23">
        <v>10240020</v>
      </c>
      <c r="E78" s="23">
        <v>26120875248</v>
      </c>
      <c r="G78" s="23">
        <v>37818738210</v>
      </c>
      <c r="I78" s="23">
        <v>1600000</v>
      </c>
      <c r="J78" s="23">
        <v>6632421799</v>
      </c>
      <c r="L78" s="23">
        <v>0</v>
      </c>
      <c r="M78" s="23">
        <v>0</v>
      </c>
      <c r="O78" s="23">
        <v>11840020</v>
      </c>
      <c r="Q78" s="23">
        <v>3894</v>
      </c>
      <c r="S78" s="23">
        <v>32753297047</v>
      </c>
      <c r="U78" s="23">
        <v>46065855347</v>
      </c>
      <c r="W78" s="24">
        <v>7.8501830874747047E-3</v>
      </c>
    </row>
    <row r="79" spans="1:23" ht="18.75" x14ac:dyDescent="0.45">
      <c r="A79" s="21" t="s">
        <v>85</v>
      </c>
      <c r="C79" s="23">
        <v>3522592</v>
      </c>
      <c r="E79" s="23">
        <v>13420102259</v>
      </c>
      <c r="G79" s="23">
        <v>21042081430</v>
      </c>
      <c r="N79" s="22"/>
      <c r="O79" s="23">
        <v>3522592</v>
      </c>
      <c r="Q79" s="23">
        <v>5970</v>
      </c>
      <c r="S79" s="23">
        <v>13420102259</v>
      </c>
      <c r="U79" s="23">
        <v>20902266936</v>
      </c>
      <c r="W79" s="24">
        <v>3.5620009908609008E-3</v>
      </c>
    </row>
    <row r="80" spans="1:23" ht="37.5" x14ac:dyDescent="0.45">
      <c r="A80" s="21" t="s">
        <v>86</v>
      </c>
      <c r="C80" s="23">
        <v>4117725</v>
      </c>
      <c r="E80" s="23">
        <v>11569669559</v>
      </c>
      <c r="G80" s="23">
        <v>20511192828</v>
      </c>
      <c r="N80" s="22"/>
      <c r="O80" s="23">
        <v>4117725</v>
      </c>
      <c r="Q80" s="23">
        <v>3029</v>
      </c>
      <c r="S80" s="23">
        <v>11569669559</v>
      </c>
      <c r="U80" s="23">
        <v>12461979707</v>
      </c>
      <c r="W80" s="24">
        <v>2.1236731977606793E-3</v>
      </c>
    </row>
    <row r="81" spans="1:23" ht="37.5" x14ac:dyDescent="0.45">
      <c r="A81" s="21" t="s">
        <v>87</v>
      </c>
      <c r="C81" s="23">
        <v>21659071</v>
      </c>
      <c r="E81" s="23">
        <v>33660199456</v>
      </c>
      <c r="G81" s="23">
        <v>36858173544</v>
      </c>
      <c r="I81" s="23">
        <v>12400000</v>
      </c>
      <c r="J81" s="23">
        <v>21786392218</v>
      </c>
      <c r="L81" s="23">
        <v>10400000</v>
      </c>
      <c r="M81" s="23">
        <v>19314937557</v>
      </c>
      <c r="O81" s="23">
        <v>23659071</v>
      </c>
      <c r="Q81" s="23">
        <v>1909</v>
      </c>
      <c r="S81" s="23">
        <v>38515872882</v>
      </c>
      <c r="U81" s="23">
        <v>44698658870</v>
      </c>
      <c r="W81" s="24">
        <v>7.6171961477955455E-3</v>
      </c>
    </row>
    <row r="82" spans="1:23" ht="18.75" x14ac:dyDescent="0.45">
      <c r="A82" s="21" t="s">
        <v>88</v>
      </c>
      <c r="C82" s="23">
        <v>1138157</v>
      </c>
      <c r="E82" s="23">
        <v>4964658746</v>
      </c>
      <c r="G82" s="23">
        <v>6324410660</v>
      </c>
      <c r="I82" s="23">
        <v>1800000</v>
      </c>
      <c r="J82" s="23">
        <v>10110739045</v>
      </c>
      <c r="L82" s="23">
        <v>400000</v>
      </c>
      <c r="M82" s="23">
        <v>2452891452</v>
      </c>
      <c r="O82" s="23">
        <v>3380920</v>
      </c>
      <c r="Q82" s="23">
        <v>5730</v>
      </c>
      <c r="S82" s="23">
        <v>16767735799</v>
      </c>
      <c r="U82" s="23">
        <v>19558399397</v>
      </c>
      <c r="W82" s="24">
        <v>3.3329895864921532E-3</v>
      </c>
    </row>
    <row r="83" spans="1:23" ht="37.5" x14ac:dyDescent="0.45">
      <c r="A83" s="21" t="s">
        <v>89</v>
      </c>
      <c r="C83" s="23">
        <v>842763</v>
      </c>
      <c r="E83" s="23">
        <v>2833382469</v>
      </c>
      <c r="G83" s="23">
        <v>2468605401</v>
      </c>
      <c r="N83" s="22"/>
      <c r="W83" s="24">
        <v>0</v>
      </c>
    </row>
    <row r="84" spans="1:23" ht="37.5" x14ac:dyDescent="0.45">
      <c r="A84" s="21" t="s">
        <v>90</v>
      </c>
      <c r="C84" s="23">
        <v>1674591</v>
      </c>
      <c r="E84" s="23">
        <v>17048981881</v>
      </c>
      <c r="G84" s="23">
        <v>22515308877</v>
      </c>
      <c r="I84" s="23">
        <v>0</v>
      </c>
      <c r="J84" s="23">
        <v>0</v>
      </c>
      <c r="L84" s="23">
        <v>600000</v>
      </c>
      <c r="M84" s="23">
        <v>9972313570</v>
      </c>
      <c r="O84" s="23">
        <v>1074591</v>
      </c>
      <c r="Q84" s="23">
        <v>16390</v>
      </c>
      <c r="S84" s="23">
        <v>10940392304</v>
      </c>
      <c r="U84" s="23">
        <v>17465738662</v>
      </c>
      <c r="W84" s="24">
        <v>2.9763746970914457E-3</v>
      </c>
    </row>
    <row r="85" spans="1:23" ht="18.75" x14ac:dyDescent="0.45">
      <c r="A85" s="21" t="s">
        <v>91</v>
      </c>
      <c r="C85" s="23">
        <v>1260136</v>
      </c>
      <c r="E85" s="23">
        <v>12060645599</v>
      </c>
      <c r="G85" s="23">
        <v>17755611112</v>
      </c>
      <c r="I85" s="23">
        <v>0</v>
      </c>
      <c r="J85" s="23">
        <v>0</v>
      </c>
      <c r="L85" s="23">
        <v>100000</v>
      </c>
      <c r="M85" s="23">
        <v>1686859005</v>
      </c>
      <c r="O85" s="23">
        <v>1160136</v>
      </c>
      <c r="Q85" s="23">
        <v>16750</v>
      </c>
      <c r="S85" s="23">
        <v>11103554809</v>
      </c>
      <c r="U85" s="23">
        <v>18948227728</v>
      </c>
      <c r="W85" s="24">
        <v>3.2290088988362153E-3</v>
      </c>
    </row>
    <row r="86" spans="1:23" ht="37.5" x14ac:dyDescent="0.45">
      <c r="A86" s="21" t="s">
        <v>92</v>
      </c>
      <c r="C86" s="23">
        <v>617391</v>
      </c>
      <c r="E86" s="23">
        <v>20363184293</v>
      </c>
      <c r="G86" s="23">
        <v>26495753047</v>
      </c>
      <c r="I86" s="23">
        <v>0</v>
      </c>
      <c r="J86" s="23">
        <v>0</v>
      </c>
      <c r="L86" s="23">
        <v>100000</v>
      </c>
      <c r="M86" s="23">
        <v>4300075884</v>
      </c>
      <c r="O86" s="23">
        <v>517391</v>
      </c>
      <c r="Q86" s="23">
        <v>43880</v>
      </c>
      <c r="S86" s="23">
        <v>17064920422</v>
      </c>
      <c r="U86" s="23">
        <v>22738112528</v>
      </c>
      <c r="W86" s="24">
        <v>3.8748514504686575E-3</v>
      </c>
    </row>
    <row r="87" spans="1:23" ht="37.5" x14ac:dyDescent="0.45">
      <c r="A87" s="21" t="s">
        <v>93</v>
      </c>
      <c r="C87" s="23">
        <v>3734630</v>
      </c>
      <c r="E87" s="23">
        <v>14667234348</v>
      </c>
      <c r="G87" s="23">
        <v>19936995848</v>
      </c>
      <c r="I87" s="23">
        <v>0</v>
      </c>
      <c r="J87" s="23">
        <v>0</v>
      </c>
      <c r="L87" s="23">
        <v>200000</v>
      </c>
      <c r="M87" s="23">
        <v>1218507562</v>
      </c>
      <c r="O87" s="23">
        <v>3534630</v>
      </c>
      <c r="Q87" s="23">
        <v>5730</v>
      </c>
      <c r="S87" s="23">
        <v>13881762462</v>
      </c>
      <c r="U87" s="23">
        <v>19886432448</v>
      </c>
      <c r="W87" s="24">
        <v>3.3888904156354599E-3</v>
      </c>
    </row>
    <row r="88" spans="1:23" ht="37.5" x14ac:dyDescent="0.45">
      <c r="A88" s="21" t="s">
        <v>94</v>
      </c>
      <c r="C88" s="23">
        <v>3250000</v>
      </c>
      <c r="E88" s="23">
        <v>3939323661</v>
      </c>
      <c r="G88" s="23">
        <v>3815030082</v>
      </c>
      <c r="N88" s="22"/>
      <c r="O88" s="23">
        <v>3250000</v>
      </c>
      <c r="Q88" s="23">
        <v>1155</v>
      </c>
      <c r="S88" s="23">
        <v>3939323661</v>
      </c>
      <c r="U88" s="23">
        <v>3715058880</v>
      </c>
      <c r="W88" s="24">
        <v>6.3309130307178795E-4</v>
      </c>
    </row>
    <row r="89" spans="1:23" ht="37.5" x14ac:dyDescent="0.45">
      <c r="A89" s="21" t="s">
        <v>95</v>
      </c>
      <c r="C89" s="23">
        <v>3296745</v>
      </c>
      <c r="E89" s="23">
        <v>14653139899</v>
      </c>
      <c r="G89" s="23">
        <v>19365866074</v>
      </c>
      <c r="I89" s="23">
        <v>4000000</v>
      </c>
      <c r="J89" s="23">
        <v>23218529625</v>
      </c>
      <c r="L89" s="23">
        <v>3040703</v>
      </c>
      <c r="M89" s="23">
        <v>14749462858</v>
      </c>
      <c r="O89" s="23">
        <v>4256042</v>
      </c>
      <c r="Q89" s="23">
        <v>4937</v>
      </c>
      <c r="S89" s="23">
        <v>22089769630</v>
      </c>
      <c r="U89" s="23">
        <v>20896110551</v>
      </c>
      <c r="W89" s="24">
        <v>3.5609518678381556E-3</v>
      </c>
    </row>
    <row r="90" spans="1:23" ht="18.75" x14ac:dyDescent="0.45">
      <c r="A90" s="21" t="s">
        <v>96</v>
      </c>
      <c r="C90" s="23">
        <v>3074653</v>
      </c>
      <c r="E90" s="23">
        <v>19892057950</v>
      </c>
      <c r="G90" s="23">
        <v>23888436850</v>
      </c>
      <c r="I90" s="23">
        <v>600000</v>
      </c>
      <c r="J90" s="23">
        <v>4716797555</v>
      </c>
      <c r="L90" s="23">
        <v>800000</v>
      </c>
      <c r="M90" s="23">
        <v>5778980543</v>
      </c>
      <c r="O90" s="23">
        <v>2874653</v>
      </c>
      <c r="Q90" s="23">
        <v>8780</v>
      </c>
      <c r="S90" s="23">
        <v>19251319867</v>
      </c>
      <c r="U90" s="23">
        <v>24987303727</v>
      </c>
      <c r="W90" s="24">
        <v>4.2581410383398756E-3</v>
      </c>
    </row>
    <row r="91" spans="1:23" ht="18.75" x14ac:dyDescent="0.45">
      <c r="A91" s="21" t="s">
        <v>97</v>
      </c>
      <c r="C91" s="23">
        <v>84882</v>
      </c>
      <c r="E91" s="23">
        <v>8293870385</v>
      </c>
      <c r="G91" s="23">
        <v>10632672837</v>
      </c>
      <c r="N91" s="22"/>
      <c r="O91" s="23">
        <v>84882</v>
      </c>
      <c r="Q91" s="23">
        <v>124900</v>
      </c>
      <c r="S91" s="23">
        <v>8293870385</v>
      </c>
      <c r="U91" s="23">
        <v>10621723474</v>
      </c>
      <c r="W91" s="24">
        <v>1.810071111180574E-3</v>
      </c>
    </row>
    <row r="92" spans="1:23" ht="18.75" x14ac:dyDescent="0.45">
      <c r="A92" s="21" t="s">
        <v>98</v>
      </c>
      <c r="H92" s="22"/>
      <c r="I92" s="23">
        <v>812681</v>
      </c>
      <c r="J92" s="23">
        <v>29897154520</v>
      </c>
      <c r="L92" s="23">
        <v>0</v>
      </c>
      <c r="M92" s="23">
        <v>0</v>
      </c>
      <c r="O92" s="23">
        <v>812681</v>
      </c>
      <c r="Q92" s="23">
        <v>32430</v>
      </c>
      <c r="S92" s="23">
        <v>29897154520</v>
      </c>
      <c r="U92" s="23">
        <v>26272478634</v>
      </c>
      <c r="W92" s="24">
        <v>4.4771505030156526E-3</v>
      </c>
    </row>
    <row r="93" spans="1:23" ht="18.75" x14ac:dyDescent="0.45">
      <c r="A93" s="21" t="s">
        <v>99</v>
      </c>
      <c r="C93" s="23">
        <v>1583350</v>
      </c>
      <c r="E93" s="23">
        <v>5228904026</v>
      </c>
      <c r="G93" s="23">
        <v>7439209186</v>
      </c>
      <c r="I93" s="23">
        <v>2400000</v>
      </c>
      <c r="J93" s="23">
        <v>11397574630</v>
      </c>
      <c r="L93" s="23">
        <v>0</v>
      </c>
      <c r="M93" s="23">
        <v>0</v>
      </c>
      <c r="O93" s="23">
        <v>3983350</v>
      </c>
      <c r="Q93" s="23">
        <v>4187</v>
      </c>
      <c r="S93" s="23">
        <v>16626478656</v>
      </c>
      <c r="U93" s="23">
        <v>16632367029</v>
      </c>
      <c r="W93" s="24">
        <v>2.8343580157625531E-3</v>
      </c>
    </row>
    <row r="94" spans="1:23" ht="18.75" x14ac:dyDescent="0.45">
      <c r="A94" s="21" t="s">
        <v>100</v>
      </c>
      <c r="C94" s="23">
        <v>3930564</v>
      </c>
      <c r="E94" s="23">
        <v>25400479818</v>
      </c>
      <c r="G94" s="23">
        <v>41302914040</v>
      </c>
      <c r="I94" s="23">
        <v>800000</v>
      </c>
      <c r="J94" s="23">
        <v>8926717542</v>
      </c>
      <c r="L94" s="23">
        <v>1100000</v>
      </c>
      <c r="M94" s="23">
        <v>10235338386</v>
      </c>
      <c r="O94" s="23">
        <v>3630564</v>
      </c>
      <c r="Q94" s="23">
        <v>9160</v>
      </c>
      <c r="S94" s="23">
        <v>26345079986</v>
      </c>
      <c r="U94" s="23">
        <v>33323122598</v>
      </c>
      <c r="W94" s="24">
        <v>5.6786661502357576E-3</v>
      </c>
    </row>
    <row r="95" spans="1:23" ht="18.75" x14ac:dyDescent="0.45">
      <c r="A95" s="21" t="s">
        <v>101</v>
      </c>
      <c r="C95" s="23">
        <v>2401235</v>
      </c>
      <c r="E95" s="23">
        <v>15850700014</v>
      </c>
      <c r="G95" s="23">
        <v>22397130462</v>
      </c>
      <c r="N95" s="22"/>
      <c r="O95" s="23">
        <v>2401235</v>
      </c>
      <c r="Q95" s="23">
        <v>9190</v>
      </c>
      <c r="S95" s="23">
        <v>15850700014</v>
      </c>
      <c r="U95" s="23">
        <v>21872942303</v>
      </c>
      <c r="W95" s="24">
        <v>3.7274159015806244E-3</v>
      </c>
    </row>
    <row r="96" spans="1:23" ht="18.75" x14ac:dyDescent="0.45">
      <c r="A96" s="21" t="s">
        <v>102</v>
      </c>
      <c r="C96" s="23">
        <v>4676907</v>
      </c>
      <c r="E96" s="23">
        <v>20688005379</v>
      </c>
      <c r="G96" s="23">
        <v>22776823130</v>
      </c>
      <c r="I96" s="23">
        <v>800000</v>
      </c>
      <c r="J96" s="23">
        <v>3853926356</v>
      </c>
      <c r="L96" s="23">
        <v>0</v>
      </c>
      <c r="M96" s="23">
        <v>0</v>
      </c>
      <c r="O96" s="23">
        <v>5476907</v>
      </c>
      <c r="Q96" s="23">
        <v>4492</v>
      </c>
      <c r="S96" s="23">
        <v>24541931735</v>
      </c>
      <c r="U96" s="23">
        <v>24678384681</v>
      </c>
      <c r="W96" s="24">
        <v>4.2054974685626356E-3</v>
      </c>
    </row>
    <row r="97" spans="1:23" ht="18.75" x14ac:dyDescent="0.45">
      <c r="A97" s="21" t="s">
        <v>103</v>
      </c>
      <c r="C97" s="23">
        <v>2300000</v>
      </c>
      <c r="E97" s="23">
        <v>13560777701</v>
      </c>
      <c r="G97" s="23">
        <v>20425877950</v>
      </c>
      <c r="I97" s="23">
        <v>1400000</v>
      </c>
      <c r="J97" s="23">
        <v>12655372454</v>
      </c>
      <c r="L97" s="23">
        <v>700000</v>
      </c>
      <c r="M97" s="23">
        <v>5738606320</v>
      </c>
      <c r="O97" s="23">
        <v>3000000</v>
      </c>
      <c r="Q97" s="23">
        <v>8540</v>
      </c>
      <c r="S97" s="23">
        <v>21256337964</v>
      </c>
      <c r="U97" s="23">
        <v>25570797900</v>
      </c>
      <c r="W97" s="24">
        <v>4.3575755555982842E-3</v>
      </c>
    </row>
    <row r="98" spans="1:23" ht="18.75" x14ac:dyDescent="0.45">
      <c r="A98" s="21" t="s">
        <v>104</v>
      </c>
      <c r="C98" s="23">
        <v>3139198</v>
      </c>
      <c r="E98" s="23">
        <v>27878205957</v>
      </c>
      <c r="G98" s="23">
        <v>35541374114</v>
      </c>
      <c r="I98" s="23">
        <v>1113580</v>
      </c>
      <c r="J98" s="23">
        <v>13652792065</v>
      </c>
      <c r="L98" s="23">
        <v>345008</v>
      </c>
      <c r="M98" s="23">
        <v>3492177934</v>
      </c>
      <c r="O98" s="23">
        <v>3907770</v>
      </c>
      <c r="Q98" s="23">
        <v>10510</v>
      </c>
      <c r="S98" s="23">
        <v>38161782285</v>
      </c>
      <c r="U98" s="23">
        <v>40830737736</v>
      </c>
      <c r="W98" s="24">
        <v>6.958055253936289E-3</v>
      </c>
    </row>
    <row r="99" spans="1:23" ht="18.75" x14ac:dyDescent="0.45">
      <c r="A99" s="21" t="s">
        <v>105</v>
      </c>
      <c r="C99" s="23">
        <v>327781</v>
      </c>
      <c r="E99" s="23">
        <v>8490452900</v>
      </c>
      <c r="G99" s="23">
        <v>9910283795</v>
      </c>
      <c r="I99" s="23">
        <v>700000</v>
      </c>
      <c r="J99" s="23">
        <v>23595041534</v>
      </c>
      <c r="L99" s="23">
        <v>0</v>
      </c>
      <c r="M99" s="23">
        <v>0</v>
      </c>
      <c r="O99" s="23">
        <v>1209154</v>
      </c>
      <c r="Q99" s="23">
        <v>13140</v>
      </c>
      <c r="S99" s="23">
        <v>13559690174</v>
      </c>
      <c r="U99" s="23">
        <v>15765467128</v>
      </c>
      <c r="W99" s="24">
        <v>2.6866277090071204E-3</v>
      </c>
    </row>
    <row r="100" spans="1:23" ht="18.75" x14ac:dyDescent="0.45">
      <c r="A100" s="21" t="s">
        <v>106</v>
      </c>
      <c r="H100" s="22"/>
      <c r="N100" s="22"/>
      <c r="O100" s="23">
        <v>1813731</v>
      </c>
      <c r="Q100" s="23">
        <v>12140</v>
      </c>
      <c r="S100" s="23">
        <v>18525804260</v>
      </c>
      <c r="U100" s="23">
        <v>21848489833</v>
      </c>
      <c r="W100" s="24">
        <v>3.7232489027265916E-3</v>
      </c>
    </row>
    <row r="101" spans="1:23" ht="18.75" x14ac:dyDescent="0.45">
      <c r="A101" s="21" t="s">
        <v>107</v>
      </c>
      <c r="C101" s="23">
        <v>104452</v>
      </c>
      <c r="E101" s="23">
        <v>12026316222</v>
      </c>
      <c r="G101" s="23">
        <v>14419034810</v>
      </c>
      <c r="N101" s="22"/>
      <c r="O101" s="23">
        <v>104452</v>
      </c>
      <c r="Q101" s="23">
        <v>137620</v>
      </c>
      <c r="S101" s="23">
        <v>12026316222</v>
      </c>
      <c r="U101" s="23">
        <v>14264604377</v>
      </c>
      <c r="W101" s="24">
        <v>2.4308624074454669E-3</v>
      </c>
    </row>
    <row r="102" spans="1:23" ht="18.75" x14ac:dyDescent="0.45">
      <c r="A102" s="21" t="s">
        <v>108</v>
      </c>
      <c r="C102" s="23">
        <v>3544247</v>
      </c>
      <c r="E102" s="23">
        <v>28328364210</v>
      </c>
      <c r="G102" s="23">
        <v>29295360256</v>
      </c>
      <c r="I102" s="23">
        <v>200000</v>
      </c>
      <c r="J102" s="23">
        <v>1596241083</v>
      </c>
      <c r="L102" s="23">
        <v>600000</v>
      </c>
      <c r="M102" s="23">
        <v>4524751215</v>
      </c>
      <c r="O102" s="23">
        <v>3144247</v>
      </c>
      <c r="Q102" s="23">
        <v>7780</v>
      </c>
      <c r="S102" s="23">
        <v>25129311827</v>
      </c>
      <c r="U102" s="23">
        <v>24335547371</v>
      </c>
      <c r="W102" s="24">
        <v>4.1470738132881524E-3</v>
      </c>
    </row>
    <row r="103" spans="1:23" ht="18.75" x14ac:dyDescent="0.45">
      <c r="A103" s="21" t="s">
        <v>109</v>
      </c>
      <c r="C103" s="23">
        <v>261325</v>
      </c>
      <c r="E103" s="23">
        <v>7340478709</v>
      </c>
      <c r="G103" s="23">
        <v>9957310378</v>
      </c>
      <c r="I103" s="23">
        <v>300000</v>
      </c>
      <c r="J103" s="23">
        <v>11746282803</v>
      </c>
      <c r="L103" s="23">
        <v>100000</v>
      </c>
      <c r="M103" s="23">
        <v>3485060163</v>
      </c>
      <c r="O103" s="23">
        <v>461325</v>
      </c>
      <c r="Q103" s="23">
        <v>36620</v>
      </c>
      <c r="S103" s="23">
        <v>15686456606</v>
      </c>
      <c r="U103" s="23">
        <v>16708201958</v>
      </c>
      <c r="W103" s="24">
        <v>2.8472812117521051E-3</v>
      </c>
    </row>
    <row r="104" spans="1:23" ht="37.5" x14ac:dyDescent="0.45">
      <c r="A104" s="21" t="s">
        <v>110</v>
      </c>
      <c r="C104" s="23">
        <v>1246759</v>
      </c>
      <c r="E104" s="23">
        <v>20649343800</v>
      </c>
      <c r="G104" s="23">
        <v>23393968566</v>
      </c>
      <c r="I104" s="23">
        <v>1178032</v>
      </c>
      <c r="J104" s="23">
        <v>24490727216</v>
      </c>
      <c r="L104" s="23">
        <v>0</v>
      </c>
      <c r="M104" s="23">
        <v>0</v>
      </c>
      <c r="O104" s="23">
        <v>2424791</v>
      </c>
      <c r="Q104" s="23">
        <v>17470</v>
      </c>
      <c r="S104" s="23">
        <v>45140071016</v>
      </c>
      <c r="U104" s="23">
        <v>42779522160</v>
      </c>
      <c r="W104" s="24">
        <v>7.2901518667351055E-3</v>
      </c>
    </row>
    <row r="105" spans="1:23" ht="18.75" x14ac:dyDescent="0.45">
      <c r="A105" s="21" t="s">
        <v>111</v>
      </c>
      <c r="C105" s="23">
        <v>1504289</v>
      </c>
      <c r="E105" s="23">
        <v>9141298952</v>
      </c>
      <c r="G105" s="23">
        <v>17732810851</v>
      </c>
      <c r="N105" s="22"/>
      <c r="O105" s="23">
        <v>1504289</v>
      </c>
      <c r="Q105" s="23">
        <v>10990</v>
      </c>
      <c r="S105" s="23">
        <v>9141298952</v>
      </c>
      <c r="U105" s="23">
        <v>16419269306</v>
      </c>
      <c r="W105" s="24">
        <v>2.798043567057045E-3</v>
      </c>
    </row>
    <row r="106" spans="1:23" ht="18.75" x14ac:dyDescent="0.45">
      <c r="A106" s="21" t="s">
        <v>112</v>
      </c>
      <c r="C106" s="23">
        <v>414523</v>
      </c>
      <c r="E106" s="23">
        <v>17125366833</v>
      </c>
      <c r="G106" s="23">
        <v>19225037777</v>
      </c>
      <c r="I106" s="23">
        <v>700000</v>
      </c>
      <c r="J106" s="23">
        <v>33421754272</v>
      </c>
      <c r="L106" s="23">
        <v>502017</v>
      </c>
      <c r="M106" s="23">
        <v>20956675806</v>
      </c>
      <c r="O106" s="23">
        <v>612506</v>
      </c>
      <c r="Q106" s="23">
        <v>44000</v>
      </c>
      <c r="S106" s="23">
        <v>27779072266</v>
      </c>
      <c r="U106" s="23">
        <v>26741938459</v>
      </c>
      <c r="W106" s="24">
        <v>4.557152177807171E-3</v>
      </c>
    </row>
    <row r="107" spans="1:23" ht="18.75" x14ac:dyDescent="0.45">
      <c r="A107" s="21" t="s">
        <v>113</v>
      </c>
      <c r="C107" s="23">
        <v>121110</v>
      </c>
      <c r="E107" s="23">
        <v>15342681196</v>
      </c>
      <c r="G107" s="23">
        <v>15695902591</v>
      </c>
      <c r="I107" s="23">
        <v>0</v>
      </c>
      <c r="J107" s="23">
        <v>0</v>
      </c>
      <c r="L107" s="23">
        <v>100000</v>
      </c>
      <c r="M107" s="23">
        <v>12188816271</v>
      </c>
      <c r="O107" s="23">
        <v>21110</v>
      </c>
      <c r="Q107" s="23">
        <v>128030</v>
      </c>
      <c r="S107" s="23">
        <v>2674296095</v>
      </c>
      <c r="U107" s="23">
        <v>2687476968</v>
      </c>
      <c r="W107" s="24">
        <v>4.5797882364829106E-4</v>
      </c>
    </row>
    <row r="108" spans="1:23" ht="18.75" x14ac:dyDescent="0.45">
      <c r="A108" s="21" t="s">
        <v>114</v>
      </c>
      <c r="C108" s="23">
        <v>7961644</v>
      </c>
      <c r="E108" s="23">
        <v>12738109491</v>
      </c>
      <c r="G108" s="23">
        <v>17143218067</v>
      </c>
      <c r="N108" s="22"/>
      <c r="O108" s="23">
        <v>7961644</v>
      </c>
      <c r="Q108" s="23">
        <v>2713</v>
      </c>
      <c r="S108" s="23">
        <v>12738109491</v>
      </c>
      <c r="U108" s="23">
        <v>21156469117</v>
      </c>
      <c r="W108" s="24">
        <v>3.6053201400887539E-3</v>
      </c>
    </row>
    <row r="109" spans="1:23" ht="18.75" x14ac:dyDescent="0.45">
      <c r="A109" s="21" t="s">
        <v>115</v>
      </c>
      <c r="C109" s="23">
        <v>352625</v>
      </c>
      <c r="E109" s="23">
        <v>10770580028</v>
      </c>
      <c r="G109" s="23">
        <v>17047089450</v>
      </c>
      <c r="I109" s="23">
        <v>300000</v>
      </c>
      <c r="J109" s="23">
        <v>14912941418</v>
      </c>
      <c r="L109" s="23">
        <v>100000</v>
      </c>
      <c r="M109" s="23">
        <v>4778772330</v>
      </c>
      <c r="O109" s="23">
        <v>552625</v>
      </c>
      <c r="Q109" s="23">
        <v>50150</v>
      </c>
      <c r="S109" s="23">
        <v>21748103488</v>
      </c>
      <c r="U109" s="23">
        <v>27499913419</v>
      </c>
      <c r="W109" s="24">
        <v>4.6863203473092889E-3</v>
      </c>
    </row>
    <row r="110" spans="1:23" ht="18.75" x14ac:dyDescent="0.45">
      <c r="A110" s="21" t="s">
        <v>116</v>
      </c>
      <c r="C110" s="23">
        <v>1155746</v>
      </c>
      <c r="E110" s="23">
        <v>7943307049</v>
      </c>
      <c r="G110" s="23">
        <v>11330503384</v>
      </c>
      <c r="N110" s="22"/>
      <c r="O110" s="23">
        <v>1155746</v>
      </c>
      <c r="Q110" s="23">
        <v>14350</v>
      </c>
      <c r="S110" s="23">
        <v>7943307049</v>
      </c>
      <c r="U110" s="23">
        <v>16456753397</v>
      </c>
      <c r="W110" s="24">
        <v>2.8044313129265406E-3</v>
      </c>
    </row>
    <row r="111" spans="1:23" ht="18.75" x14ac:dyDescent="0.45">
      <c r="A111" s="21" t="s">
        <v>117</v>
      </c>
      <c r="H111" s="22"/>
      <c r="I111" s="23">
        <v>5200000</v>
      </c>
      <c r="J111" s="23">
        <v>28206380843</v>
      </c>
      <c r="L111" s="23">
        <v>5200000</v>
      </c>
      <c r="M111" s="23">
        <v>25764534866</v>
      </c>
      <c r="W111" s="24">
        <v>0</v>
      </c>
    </row>
    <row r="112" spans="1:23" ht="37.5" x14ac:dyDescent="0.45">
      <c r="A112" s="21" t="s">
        <v>118</v>
      </c>
      <c r="C112" s="23">
        <v>2664575</v>
      </c>
      <c r="E112" s="23">
        <v>5968348429</v>
      </c>
      <c r="G112" s="23">
        <v>9486592473</v>
      </c>
      <c r="N112" s="22"/>
      <c r="O112" s="23">
        <v>2664575</v>
      </c>
      <c r="Q112" s="23">
        <v>4753</v>
      </c>
      <c r="S112" s="23">
        <v>5968348429</v>
      </c>
      <c r="U112" s="23">
        <v>12513947094</v>
      </c>
      <c r="W112" s="24">
        <v>2.13252907375505E-3</v>
      </c>
    </row>
    <row r="113" spans="1:23" ht="18.75" x14ac:dyDescent="0.45">
      <c r="A113" s="21" t="s">
        <v>119</v>
      </c>
      <c r="C113" s="23">
        <v>3083586</v>
      </c>
      <c r="E113" s="23">
        <v>17142551222</v>
      </c>
      <c r="G113" s="23">
        <v>22213784130</v>
      </c>
      <c r="I113" s="23">
        <v>800000</v>
      </c>
      <c r="J113" s="23">
        <v>6123826066</v>
      </c>
      <c r="L113" s="23">
        <v>19621</v>
      </c>
      <c r="M113" s="23">
        <v>134338381</v>
      </c>
      <c r="O113" s="23">
        <v>3863965</v>
      </c>
      <c r="Q113" s="23">
        <v>6720</v>
      </c>
      <c r="S113" s="23">
        <v>23148828819</v>
      </c>
      <c r="U113" s="23">
        <v>25995174613</v>
      </c>
      <c r="W113" s="24">
        <v>4.4298945187438944E-3</v>
      </c>
    </row>
    <row r="114" spans="1:23" ht="37.5" x14ac:dyDescent="0.45">
      <c r="A114" s="21" t="s">
        <v>120</v>
      </c>
      <c r="C114" s="23">
        <v>1100000</v>
      </c>
      <c r="E114" s="23">
        <v>15897496230</v>
      </c>
      <c r="G114" s="23">
        <v>18664598700</v>
      </c>
      <c r="I114" s="23">
        <v>867107</v>
      </c>
      <c r="J114" s="23">
        <v>15901820929</v>
      </c>
      <c r="L114" s="23">
        <v>500000</v>
      </c>
      <c r="M114" s="23">
        <v>8820784209</v>
      </c>
      <c r="O114" s="23">
        <v>1467107</v>
      </c>
      <c r="Q114" s="23">
        <v>18540</v>
      </c>
      <c r="S114" s="23">
        <v>23716554717</v>
      </c>
      <c r="U114" s="23">
        <v>26989906514</v>
      </c>
      <c r="W114" s="24">
        <v>4.5994089559985652E-3</v>
      </c>
    </row>
    <row r="115" spans="1:23" ht="37.5" x14ac:dyDescent="0.45">
      <c r="A115" s="21" t="s">
        <v>121</v>
      </c>
      <c r="C115" s="23">
        <v>2098015</v>
      </c>
      <c r="E115" s="23">
        <v>19484611433</v>
      </c>
      <c r="G115" s="23">
        <v>27417271021</v>
      </c>
      <c r="I115" s="23">
        <v>600000</v>
      </c>
      <c r="J115" s="23">
        <v>7324940409</v>
      </c>
      <c r="L115" s="23">
        <v>400000</v>
      </c>
      <c r="M115" s="23">
        <v>4577582861</v>
      </c>
      <c r="O115" s="23">
        <v>2298015</v>
      </c>
      <c r="Q115" s="23">
        <v>11960</v>
      </c>
      <c r="S115" s="23">
        <v>22834844238</v>
      </c>
      <c r="U115" s="23">
        <v>27454226182</v>
      </c>
      <c r="W115" s="24">
        <v>4.6785346854018037E-3</v>
      </c>
    </row>
    <row r="116" spans="1:23" ht="18.75" x14ac:dyDescent="0.45">
      <c r="A116" s="21" t="s">
        <v>122</v>
      </c>
      <c r="C116" s="23">
        <v>10637818</v>
      </c>
      <c r="E116" s="23">
        <v>25940772939</v>
      </c>
      <c r="G116" s="23">
        <v>19285058667</v>
      </c>
      <c r="I116" s="23">
        <v>15834224</v>
      </c>
      <c r="J116" s="23">
        <v>30728699329</v>
      </c>
      <c r="L116" s="23">
        <v>2400000</v>
      </c>
      <c r="M116" s="23">
        <v>3974636804</v>
      </c>
      <c r="O116" s="23">
        <v>24072042</v>
      </c>
      <c r="Q116" s="23">
        <v>1774</v>
      </c>
      <c r="S116" s="23">
        <v>51531722281</v>
      </c>
      <c r="U116" s="23">
        <v>41967640708</v>
      </c>
      <c r="W116" s="24">
        <v>7.1517973741176168E-3</v>
      </c>
    </row>
    <row r="117" spans="1:23" ht="18.75" x14ac:dyDescent="0.45">
      <c r="A117" s="21" t="s">
        <v>123</v>
      </c>
      <c r="C117" s="23">
        <v>635696</v>
      </c>
      <c r="E117" s="23">
        <v>19028284660</v>
      </c>
      <c r="G117" s="23">
        <v>22323377454</v>
      </c>
      <c r="I117" s="23">
        <v>200000</v>
      </c>
      <c r="J117" s="23">
        <v>7458987445</v>
      </c>
      <c r="L117" s="23">
        <v>0</v>
      </c>
      <c r="M117" s="23">
        <v>0</v>
      </c>
      <c r="O117" s="23">
        <v>835696</v>
      </c>
      <c r="Q117" s="23">
        <v>33670</v>
      </c>
      <c r="S117" s="23">
        <v>26487272105</v>
      </c>
      <c r="U117" s="23">
        <v>27638438210</v>
      </c>
      <c r="W117" s="24">
        <v>4.7099266596921322E-3</v>
      </c>
    </row>
    <row r="118" spans="1:23" ht="18.75" x14ac:dyDescent="0.45">
      <c r="A118" s="21" t="s">
        <v>124</v>
      </c>
      <c r="H118" s="22"/>
      <c r="I118" s="23">
        <v>200000</v>
      </c>
      <c r="J118" s="23">
        <v>1501990667</v>
      </c>
      <c r="L118" s="23">
        <v>0</v>
      </c>
      <c r="M118" s="23">
        <v>0</v>
      </c>
      <c r="O118" s="23">
        <v>200000</v>
      </c>
      <c r="Q118" s="23">
        <v>8160</v>
      </c>
      <c r="S118" s="23">
        <v>1501990667</v>
      </c>
      <c r="U118" s="23">
        <v>1605492860</v>
      </c>
      <c r="W118" s="24">
        <v>2.7359554710741261E-4</v>
      </c>
    </row>
    <row r="119" spans="1:23" ht="18.75" x14ac:dyDescent="0.45">
      <c r="A119" s="21" t="s">
        <v>125</v>
      </c>
      <c r="H119" s="22"/>
      <c r="I119" s="23">
        <v>2478</v>
      </c>
      <c r="J119" s="23">
        <v>634181829</v>
      </c>
      <c r="L119" s="23">
        <v>0</v>
      </c>
      <c r="M119" s="23">
        <v>0</v>
      </c>
      <c r="O119" s="23">
        <v>2478</v>
      </c>
      <c r="Q119" s="23">
        <v>298200</v>
      </c>
      <c r="S119" s="23">
        <v>634181829</v>
      </c>
      <c r="U119" s="23">
        <v>733227597</v>
      </c>
      <c r="W119" s="24">
        <v>1.2495091728746054E-4</v>
      </c>
    </row>
    <row r="120" spans="1:23" ht="18.75" x14ac:dyDescent="0.45">
      <c r="A120" s="21" t="s">
        <v>126</v>
      </c>
      <c r="C120" s="23">
        <v>9448213</v>
      </c>
      <c r="E120" s="23">
        <v>15392047456</v>
      </c>
      <c r="G120" s="23">
        <v>6375121253</v>
      </c>
      <c r="I120" s="23">
        <v>29600000</v>
      </c>
      <c r="J120" s="23">
        <v>19986599826</v>
      </c>
      <c r="L120" s="23">
        <v>8000000</v>
      </c>
      <c r="M120" s="23">
        <v>4500936780</v>
      </c>
      <c r="O120" s="23">
        <v>31048213</v>
      </c>
      <c r="Q120" s="23">
        <v>572</v>
      </c>
      <c r="S120" s="23">
        <v>28130449311</v>
      </c>
      <c r="U120" s="23">
        <v>17807145561</v>
      </c>
      <c r="W120" s="24">
        <v>3.0345545929012286E-3</v>
      </c>
    </row>
    <row r="121" spans="1:23" ht="18.75" x14ac:dyDescent="0.45">
      <c r="A121" s="21" t="s">
        <v>127</v>
      </c>
      <c r="C121" s="23">
        <v>249996</v>
      </c>
      <c r="E121" s="23">
        <v>1764072098</v>
      </c>
      <c r="G121" s="23">
        <v>2165594625</v>
      </c>
      <c r="N121" s="22"/>
      <c r="O121" s="23">
        <v>249996</v>
      </c>
      <c r="Q121" s="23">
        <v>7500</v>
      </c>
      <c r="S121" s="23">
        <v>1764072098</v>
      </c>
      <c r="U121" s="23">
        <v>1892724741</v>
      </c>
      <c r="W121" s="24">
        <v>3.2254335969929564E-4</v>
      </c>
    </row>
    <row r="122" spans="1:23" ht="37.5" x14ac:dyDescent="0.45">
      <c r="A122" s="21" t="s">
        <v>128</v>
      </c>
      <c r="C122" s="23">
        <v>8000000</v>
      </c>
      <c r="E122" s="23">
        <v>35372158228</v>
      </c>
      <c r="G122" s="23">
        <v>34927904000</v>
      </c>
      <c r="I122" s="23">
        <v>1600000</v>
      </c>
      <c r="J122" s="23">
        <v>7514989360</v>
      </c>
      <c r="L122" s="23">
        <v>0</v>
      </c>
      <c r="M122" s="23">
        <v>0</v>
      </c>
      <c r="O122" s="23">
        <v>14400000</v>
      </c>
      <c r="Q122" s="23">
        <v>3190</v>
      </c>
      <c r="S122" s="23">
        <v>42887147588</v>
      </c>
      <c r="U122" s="23">
        <v>45452316528</v>
      </c>
      <c r="W122" s="24">
        <v>7.7456285964282983E-3</v>
      </c>
    </row>
    <row r="123" spans="1:23" ht="18.75" x14ac:dyDescent="0.45">
      <c r="A123" s="21" t="s">
        <v>129</v>
      </c>
      <c r="C123" s="23">
        <v>1875000</v>
      </c>
      <c r="E123" s="23">
        <v>5911612875</v>
      </c>
      <c r="G123" s="23">
        <v>7871801944</v>
      </c>
      <c r="N123" s="22"/>
      <c r="O123" s="23">
        <v>1875000</v>
      </c>
      <c r="Q123" s="23">
        <v>4343</v>
      </c>
      <c r="S123" s="23">
        <v>5911612875</v>
      </c>
      <c r="U123" s="23">
        <v>8069015606</v>
      </c>
      <c r="W123" s="24">
        <v>1.3750585844036832E-3</v>
      </c>
    </row>
    <row r="124" spans="1:23" ht="37.5" x14ac:dyDescent="0.45">
      <c r="A124" s="21" t="s">
        <v>130</v>
      </c>
      <c r="C124" s="23">
        <v>23792</v>
      </c>
      <c r="E124" s="23">
        <v>1265552380</v>
      </c>
      <c r="G124" s="23">
        <v>1518000048</v>
      </c>
      <c r="N124" s="22"/>
      <c r="O124" s="23">
        <v>23792</v>
      </c>
      <c r="Q124" s="23">
        <v>77300</v>
      </c>
      <c r="S124" s="23">
        <v>1265552380</v>
      </c>
      <c r="U124" s="23">
        <v>1826085594</v>
      </c>
      <c r="W124" s="24">
        <v>3.111872370179177E-4</v>
      </c>
    </row>
    <row r="125" spans="1:23" ht="18.75" x14ac:dyDescent="0.45">
      <c r="A125" s="21" t="s">
        <v>131</v>
      </c>
      <c r="C125" s="23">
        <v>943421</v>
      </c>
      <c r="E125" s="23">
        <v>12470037471</v>
      </c>
      <c r="G125" s="23">
        <v>19658695469</v>
      </c>
      <c r="N125" s="22"/>
      <c r="O125" s="23">
        <v>943421</v>
      </c>
      <c r="Q125" s="23">
        <v>24210</v>
      </c>
      <c r="S125" s="23">
        <v>12470037471</v>
      </c>
      <c r="U125" s="23">
        <v>22654306207</v>
      </c>
      <c r="W125" s="24">
        <v>3.8605698321467585E-3</v>
      </c>
    </row>
    <row r="126" spans="1:23" ht="18.75" x14ac:dyDescent="0.45">
      <c r="A126" s="21" t="s">
        <v>132</v>
      </c>
      <c r="C126" s="23">
        <v>3733986</v>
      </c>
      <c r="E126" s="23">
        <v>14066948730</v>
      </c>
      <c r="G126" s="23">
        <v>21193299489</v>
      </c>
      <c r="N126" s="22"/>
      <c r="O126" s="23">
        <v>3733986</v>
      </c>
      <c r="Q126" s="23">
        <v>7990</v>
      </c>
      <c r="S126" s="23">
        <v>14066948730</v>
      </c>
      <c r="U126" s="23">
        <v>29603927083</v>
      </c>
      <c r="W126" s="24">
        <v>5.0448699141529257E-3</v>
      </c>
    </row>
    <row r="127" spans="1:23" ht="18.75" x14ac:dyDescent="0.45">
      <c r="A127" s="21" t="s">
        <v>133</v>
      </c>
      <c r="C127" s="23">
        <v>8635517</v>
      </c>
      <c r="E127" s="23">
        <v>30779242857</v>
      </c>
      <c r="G127" s="23">
        <v>24335291048</v>
      </c>
      <c r="I127" s="23">
        <v>1200000</v>
      </c>
      <c r="J127" s="23">
        <v>3461930295</v>
      </c>
      <c r="L127" s="23">
        <v>331527</v>
      </c>
      <c r="M127" s="23">
        <v>854377805</v>
      </c>
      <c r="O127" s="23">
        <v>9503990</v>
      </c>
      <c r="Q127" s="23">
        <v>2673</v>
      </c>
      <c r="S127" s="23">
        <v>33087001652</v>
      </c>
      <c r="U127" s="23">
        <v>25302096314</v>
      </c>
      <c r="W127" s="24">
        <v>4.3117855310756585E-3</v>
      </c>
    </row>
    <row r="128" spans="1:23" ht="18.75" x14ac:dyDescent="0.45">
      <c r="A128" s="21" t="s">
        <v>134</v>
      </c>
      <c r="C128" s="23">
        <v>3629795</v>
      </c>
      <c r="E128" s="23">
        <v>24023830338</v>
      </c>
      <c r="G128" s="23">
        <v>26796920934</v>
      </c>
      <c r="I128" s="23">
        <v>0</v>
      </c>
      <c r="J128" s="23">
        <v>0</v>
      </c>
      <c r="L128" s="23">
        <v>200000</v>
      </c>
      <c r="M128" s="23">
        <v>1460621449</v>
      </c>
      <c r="O128" s="23">
        <v>3429795</v>
      </c>
      <c r="Q128" s="23">
        <v>7210</v>
      </c>
      <c r="S128" s="23">
        <v>22700128568</v>
      </c>
      <c r="U128" s="23">
        <v>24673799464</v>
      </c>
      <c r="W128" s="24">
        <v>4.2047160917125879E-3</v>
      </c>
    </row>
    <row r="129" spans="1:23" ht="18.75" x14ac:dyDescent="0.45">
      <c r="A129" s="21" t="s">
        <v>135</v>
      </c>
      <c r="C129" s="23">
        <v>6157463</v>
      </c>
      <c r="E129" s="23">
        <v>12101239129</v>
      </c>
      <c r="G129" s="23">
        <v>21964967591</v>
      </c>
      <c r="N129" s="22"/>
      <c r="O129" s="23">
        <v>6157463</v>
      </c>
      <c r="Q129" s="23">
        <v>5590</v>
      </c>
      <c r="S129" s="23">
        <v>12101239129</v>
      </c>
      <c r="U129" s="23">
        <v>34154149884</v>
      </c>
      <c r="W129" s="24">
        <v>5.8202833262687654E-3</v>
      </c>
    </row>
    <row r="130" spans="1:23" ht="18.75" x14ac:dyDescent="0.45">
      <c r="A130" s="21" t="s">
        <v>136</v>
      </c>
      <c r="C130" s="23">
        <v>10131711</v>
      </c>
      <c r="E130" s="23">
        <v>19444762475</v>
      </c>
      <c r="G130" s="23">
        <v>25324496650</v>
      </c>
      <c r="I130" s="23">
        <v>5200000</v>
      </c>
      <c r="J130" s="23">
        <v>13731683713</v>
      </c>
      <c r="L130" s="23">
        <v>0</v>
      </c>
      <c r="M130" s="23">
        <v>0</v>
      </c>
      <c r="O130" s="23">
        <v>15331711</v>
      </c>
      <c r="Q130" s="23">
        <v>2649</v>
      </c>
      <c r="S130" s="23">
        <v>33176446188</v>
      </c>
      <c r="U130" s="23">
        <v>40908286394</v>
      </c>
      <c r="W130" s="24">
        <v>6.9712704902301177E-3</v>
      </c>
    </row>
    <row r="131" spans="1:23" ht="18.75" x14ac:dyDescent="0.45">
      <c r="A131" s="21" t="s">
        <v>137</v>
      </c>
      <c r="C131" s="23">
        <v>5865914</v>
      </c>
      <c r="E131" s="23">
        <v>20246303729</v>
      </c>
      <c r="G131" s="23">
        <v>17956459946</v>
      </c>
      <c r="I131" s="23">
        <v>0</v>
      </c>
      <c r="J131" s="23">
        <v>0</v>
      </c>
      <c r="L131" s="23">
        <v>800000</v>
      </c>
      <c r="M131" s="23">
        <v>2683891913</v>
      </c>
      <c r="O131" s="23">
        <v>5065914</v>
      </c>
      <c r="Q131" s="23">
        <v>3263</v>
      </c>
      <c r="S131" s="23">
        <v>17485089878</v>
      </c>
      <c r="U131" s="23">
        <v>16362085848</v>
      </c>
      <c r="W131" s="24">
        <v>2.7882988090037432E-3</v>
      </c>
    </row>
    <row r="132" spans="1:23" ht="18.75" x14ac:dyDescent="0.45">
      <c r="A132" s="21" t="s">
        <v>138</v>
      </c>
      <c r="C132" s="23">
        <v>8580289</v>
      </c>
      <c r="E132" s="23">
        <v>24479212282</v>
      </c>
      <c r="G132" s="23">
        <v>28325956119</v>
      </c>
      <c r="I132" s="23">
        <v>1600000</v>
      </c>
      <c r="J132" s="23">
        <v>5812240480</v>
      </c>
      <c r="L132" s="23">
        <v>0</v>
      </c>
      <c r="M132" s="23">
        <v>0</v>
      </c>
      <c r="O132" s="23">
        <v>10180289</v>
      </c>
      <c r="Q132" s="23">
        <v>3658</v>
      </c>
      <c r="S132" s="23">
        <v>30291452762</v>
      </c>
      <c r="U132" s="23">
        <v>36688994369</v>
      </c>
      <c r="W132" s="24">
        <v>6.2522517149078676E-3</v>
      </c>
    </row>
    <row r="133" spans="1:23" ht="18.75" x14ac:dyDescent="0.45">
      <c r="A133" s="21" t="s">
        <v>139</v>
      </c>
      <c r="C133" s="23">
        <v>5689661</v>
      </c>
      <c r="E133" s="23">
        <v>20468822561</v>
      </c>
      <c r="G133" s="23">
        <v>25857214036</v>
      </c>
      <c r="I133" s="23">
        <v>800000</v>
      </c>
      <c r="J133" s="23">
        <v>4093077879</v>
      </c>
      <c r="L133" s="23">
        <v>2000000</v>
      </c>
      <c r="M133" s="23">
        <v>8406860420</v>
      </c>
      <c r="O133" s="23">
        <v>4489661</v>
      </c>
      <c r="Q133" s="23">
        <v>4481</v>
      </c>
      <c r="S133" s="23">
        <v>16992352373</v>
      </c>
      <c r="U133" s="23">
        <v>20225499879</v>
      </c>
      <c r="W133" s="24">
        <v>3.4466716375904116E-3</v>
      </c>
    </row>
    <row r="134" spans="1:23" ht="18.75" x14ac:dyDescent="0.45">
      <c r="A134" s="21" t="s">
        <v>140</v>
      </c>
      <c r="C134" s="23">
        <v>1038313</v>
      </c>
      <c r="E134" s="23">
        <v>15239876812</v>
      </c>
      <c r="G134" s="23">
        <v>21378451941</v>
      </c>
      <c r="I134" s="23">
        <v>1000000</v>
      </c>
      <c r="J134" s="23">
        <v>20372863898</v>
      </c>
      <c r="L134" s="23">
        <v>0</v>
      </c>
      <c r="M134" s="23">
        <v>0</v>
      </c>
      <c r="O134" s="23">
        <v>2038313</v>
      </c>
      <c r="Q134" s="23">
        <v>16190</v>
      </c>
      <c r="S134" s="23">
        <v>35612740710</v>
      </c>
      <c r="U134" s="23">
        <v>32704744111</v>
      </c>
      <c r="W134" s="24">
        <v>5.5732869207882844E-3</v>
      </c>
    </row>
    <row r="135" spans="1:23" ht="18.75" x14ac:dyDescent="0.45">
      <c r="A135" s="21" t="s">
        <v>141</v>
      </c>
      <c r="C135" s="23">
        <v>6779392</v>
      </c>
      <c r="E135" s="23">
        <v>20686911631</v>
      </c>
      <c r="G135" s="23">
        <v>29336391615</v>
      </c>
      <c r="N135" s="22"/>
      <c r="O135" s="23">
        <v>6779392</v>
      </c>
      <c r="Q135" s="23">
        <v>4744</v>
      </c>
      <c r="S135" s="23">
        <v>20686911631</v>
      </c>
      <c r="U135" s="23">
        <v>32000278585</v>
      </c>
      <c r="W135" s="24">
        <v>5.4532374108799807E-3</v>
      </c>
    </row>
    <row r="136" spans="1:23" ht="18.75" x14ac:dyDescent="0.45">
      <c r="A136" s="21" t="s">
        <v>142</v>
      </c>
      <c r="C136" s="23">
        <v>2589045</v>
      </c>
      <c r="E136" s="23">
        <v>8523271213</v>
      </c>
      <c r="G136" s="23">
        <v>14103983935</v>
      </c>
      <c r="I136" s="23">
        <v>200000</v>
      </c>
      <c r="J136" s="23">
        <v>1181138187</v>
      </c>
      <c r="L136" s="23">
        <v>0</v>
      </c>
      <c r="M136" s="23">
        <v>0</v>
      </c>
      <c r="O136" s="23">
        <v>2789045</v>
      </c>
      <c r="Q136" s="23">
        <v>5740</v>
      </c>
      <c r="S136" s="23">
        <v>9704409400</v>
      </c>
      <c r="U136" s="23">
        <v>15885367816</v>
      </c>
      <c r="W136" s="24">
        <v>2.707060247294407E-3</v>
      </c>
    </row>
    <row r="137" spans="1:23" ht="37.5" x14ac:dyDescent="0.45">
      <c r="A137" s="21" t="s">
        <v>143</v>
      </c>
      <c r="C137" s="23">
        <v>1377085</v>
      </c>
      <c r="E137" s="23">
        <v>17494346213</v>
      </c>
      <c r="G137" s="23">
        <v>19936361540</v>
      </c>
      <c r="I137" s="23">
        <v>900000</v>
      </c>
      <c r="J137" s="23">
        <v>13240075769</v>
      </c>
      <c r="L137" s="23">
        <v>221831</v>
      </c>
      <c r="M137" s="23">
        <v>3828055094</v>
      </c>
      <c r="O137" s="23">
        <v>2055254</v>
      </c>
      <c r="Q137" s="23">
        <v>16580</v>
      </c>
      <c r="S137" s="23">
        <v>27740309965</v>
      </c>
      <c r="U137" s="23">
        <v>33894277655</v>
      </c>
      <c r="W137" s="24">
        <v>5.7759979317692361E-3</v>
      </c>
    </row>
    <row r="138" spans="1:23" ht="37.5" x14ac:dyDescent="0.45">
      <c r="A138" s="21" t="s">
        <v>144</v>
      </c>
      <c r="C138" s="23">
        <v>316099</v>
      </c>
      <c r="E138" s="23">
        <v>2474138629</v>
      </c>
      <c r="G138" s="23">
        <v>3064414770</v>
      </c>
      <c r="I138" s="23">
        <v>2400000</v>
      </c>
      <c r="J138" s="23">
        <v>22401574270</v>
      </c>
      <c r="L138" s="23">
        <v>600000</v>
      </c>
      <c r="M138" s="23">
        <v>6358466227</v>
      </c>
      <c r="O138" s="23">
        <v>2116099</v>
      </c>
      <c r="Q138" s="23">
        <v>11490</v>
      </c>
      <c r="S138" s="23">
        <v>19380542164</v>
      </c>
      <c r="U138" s="23">
        <v>24126030464</v>
      </c>
      <c r="W138" s="24">
        <v>4.1113695792631454E-3</v>
      </c>
    </row>
    <row r="139" spans="1:23" ht="37.5" x14ac:dyDescent="0.45">
      <c r="A139" s="21" t="s">
        <v>145</v>
      </c>
      <c r="C139" s="23">
        <v>582860</v>
      </c>
      <c r="E139" s="23">
        <v>12577058146</v>
      </c>
      <c r="G139" s="23">
        <v>18015742432</v>
      </c>
      <c r="I139" s="23">
        <v>400000</v>
      </c>
      <c r="J139" s="23">
        <v>12523787560</v>
      </c>
      <c r="L139" s="23">
        <v>678839</v>
      </c>
      <c r="M139" s="23">
        <v>23529993505</v>
      </c>
      <c r="O139" s="23">
        <v>304021</v>
      </c>
      <c r="Q139" s="23">
        <v>33280</v>
      </c>
      <c r="S139" s="23">
        <v>7764263692</v>
      </c>
      <c r="U139" s="23">
        <v>10024524594</v>
      </c>
      <c r="W139" s="24">
        <v>1.7083011448504003E-3</v>
      </c>
    </row>
    <row r="140" spans="1:23" ht="18.75" x14ac:dyDescent="0.45">
      <c r="A140" s="21" t="s">
        <v>146</v>
      </c>
      <c r="C140" s="23">
        <v>5367900</v>
      </c>
      <c r="E140" s="23">
        <v>27987560252</v>
      </c>
      <c r="G140" s="23">
        <v>31851908675</v>
      </c>
      <c r="I140" s="23">
        <v>2000000</v>
      </c>
      <c r="J140" s="23">
        <v>12529162643</v>
      </c>
      <c r="L140" s="23">
        <v>2200000</v>
      </c>
      <c r="M140" s="23">
        <v>14854536407</v>
      </c>
      <c r="O140" s="23">
        <v>5167900</v>
      </c>
      <c r="Q140" s="23">
        <v>6570</v>
      </c>
      <c r="S140" s="23">
        <v>28418731559</v>
      </c>
      <c r="U140" s="23">
        <v>33998322642</v>
      </c>
      <c r="W140" s="24">
        <v>5.7937284653961805E-3</v>
      </c>
    </row>
    <row r="141" spans="1:23" ht="18.75" x14ac:dyDescent="0.45">
      <c r="A141" s="21" t="s">
        <v>147</v>
      </c>
      <c r="C141" s="23">
        <v>11200000</v>
      </c>
      <c r="E141" s="23">
        <v>21988020236</v>
      </c>
      <c r="G141" s="23">
        <v>21760084192</v>
      </c>
      <c r="I141" s="23">
        <v>10000000</v>
      </c>
      <c r="J141" s="23">
        <v>20554048919</v>
      </c>
      <c r="L141" s="23">
        <v>1600000</v>
      </c>
      <c r="M141" s="23">
        <v>2982545370</v>
      </c>
      <c r="O141" s="23">
        <v>19600000</v>
      </c>
      <c r="Q141" s="23">
        <v>1819</v>
      </c>
      <c r="S141" s="23">
        <v>39331346955</v>
      </c>
      <c r="U141" s="23">
        <v>35668534328</v>
      </c>
      <c r="W141" s="24">
        <v>6.0783528890864628E-3</v>
      </c>
    </row>
    <row r="142" spans="1:23" ht="18.75" x14ac:dyDescent="0.45">
      <c r="A142" s="21" t="s">
        <v>148</v>
      </c>
      <c r="C142" s="23">
        <v>3915801</v>
      </c>
      <c r="E142" s="23">
        <v>13026834643</v>
      </c>
      <c r="G142" s="23">
        <v>15992849129</v>
      </c>
      <c r="N142" s="22"/>
      <c r="O142" s="23">
        <v>3915801</v>
      </c>
      <c r="Q142" s="23">
        <v>3667</v>
      </c>
      <c r="S142" s="23">
        <v>13026834643</v>
      </c>
      <c r="U142" s="23">
        <v>14287100643</v>
      </c>
      <c r="W142" s="24">
        <v>2.434696045300539E-3</v>
      </c>
    </row>
    <row r="143" spans="1:23" ht="18.75" x14ac:dyDescent="0.45">
      <c r="A143" s="21" t="s">
        <v>149</v>
      </c>
      <c r="C143" s="23">
        <v>540150</v>
      </c>
      <c r="E143" s="23">
        <v>8499361036</v>
      </c>
      <c r="G143" s="23">
        <v>8580953994</v>
      </c>
      <c r="N143" s="22"/>
      <c r="O143" s="23">
        <v>540150</v>
      </c>
      <c r="Q143" s="23">
        <v>18270</v>
      </c>
      <c r="S143" s="23">
        <v>8499361036</v>
      </c>
      <c r="U143" s="23">
        <v>10242475380</v>
      </c>
      <c r="W143" s="24">
        <v>1.7454426146281984E-3</v>
      </c>
    </row>
    <row r="144" spans="1:23" ht="18.75" x14ac:dyDescent="0.45">
      <c r="A144" s="21" t="s">
        <v>150</v>
      </c>
      <c r="C144" s="23">
        <v>8858150</v>
      </c>
      <c r="E144" s="23">
        <v>11344964033</v>
      </c>
      <c r="G144" s="23">
        <v>16550960850</v>
      </c>
      <c r="N144" s="22"/>
      <c r="O144" s="23">
        <v>8858150</v>
      </c>
      <c r="Q144" s="23">
        <v>2332</v>
      </c>
      <c r="S144" s="23">
        <v>11344964033</v>
      </c>
      <c r="U144" s="23">
        <v>20805164277</v>
      </c>
      <c r="W144" s="24">
        <v>3.5454535145210252E-3</v>
      </c>
    </row>
    <row r="145" spans="1:23" ht="18.75" x14ac:dyDescent="0.45">
      <c r="A145" s="21" t="s">
        <v>151</v>
      </c>
      <c r="C145" s="23">
        <v>3000000</v>
      </c>
      <c r="E145" s="23">
        <v>7822145005</v>
      </c>
      <c r="G145" s="23">
        <v>14375015490</v>
      </c>
      <c r="I145" s="23">
        <v>2800000</v>
      </c>
      <c r="J145" s="23">
        <v>13516311728</v>
      </c>
      <c r="L145" s="23">
        <v>0</v>
      </c>
      <c r="M145" s="23">
        <v>0</v>
      </c>
      <c r="O145" s="23">
        <v>5800000</v>
      </c>
      <c r="Q145" s="23">
        <v>5450</v>
      </c>
      <c r="S145" s="23">
        <v>21338456733</v>
      </c>
      <c r="U145" s="23">
        <v>31308103040</v>
      </c>
      <c r="W145" s="24">
        <v>5.335282263493871E-3</v>
      </c>
    </row>
    <row r="146" spans="1:23" ht="18.75" x14ac:dyDescent="0.45">
      <c r="A146" s="21" t="s">
        <v>152</v>
      </c>
      <c r="C146" s="23">
        <v>4441456</v>
      </c>
      <c r="E146" s="23">
        <v>11625693660</v>
      </c>
      <c r="G146" s="23">
        <v>17073196614</v>
      </c>
      <c r="N146" s="22"/>
      <c r="O146" s="23">
        <v>4441456</v>
      </c>
      <c r="Q146" s="23">
        <v>3992</v>
      </c>
      <c r="S146" s="23">
        <v>11625693660</v>
      </c>
      <c r="U146" s="23">
        <v>17487466227</v>
      </c>
      <c r="W146" s="24">
        <v>2.9800773389290973E-3</v>
      </c>
    </row>
    <row r="147" spans="1:23" ht="18.75" x14ac:dyDescent="0.45">
      <c r="A147" s="21" t="s">
        <v>153</v>
      </c>
      <c r="C147" s="23">
        <v>6186321</v>
      </c>
      <c r="E147" s="23">
        <v>26726392187</v>
      </c>
      <c r="G147" s="23">
        <v>24124307903</v>
      </c>
      <c r="N147" s="22"/>
      <c r="O147" s="23">
        <v>6186321</v>
      </c>
      <c r="Q147" s="23">
        <v>4864</v>
      </c>
      <c r="S147" s="23">
        <v>26726392187</v>
      </c>
      <c r="U147" s="23">
        <v>29857667593</v>
      </c>
      <c r="W147" s="24">
        <v>5.0881103890166781E-3</v>
      </c>
    </row>
    <row r="148" spans="1:23" ht="18.75" x14ac:dyDescent="0.45">
      <c r="A148" s="21" t="s">
        <v>154</v>
      </c>
      <c r="C148" s="23">
        <v>15412467</v>
      </c>
      <c r="E148" s="23">
        <v>15455930566</v>
      </c>
      <c r="G148" s="23">
        <v>21257726796</v>
      </c>
      <c r="I148" s="23">
        <v>5797074</v>
      </c>
      <c r="J148" s="23">
        <v>8178327817</v>
      </c>
      <c r="L148" s="23">
        <v>0</v>
      </c>
      <c r="M148" s="23">
        <v>0</v>
      </c>
      <c r="O148" s="23">
        <v>21209541</v>
      </c>
      <c r="Q148" s="23">
        <v>1254</v>
      </c>
      <c r="S148" s="23">
        <v>23634258383</v>
      </c>
      <c r="U148" s="23">
        <v>26391171425</v>
      </c>
      <c r="W148" s="24">
        <v>4.4973772009352878E-3</v>
      </c>
    </row>
    <row r="149" spans="1:23" ht="18.75" x14ac:dyDescent="0.45">
      <c r="A149" s="21" t="s">
        <v>155</v>
      </c>
      <c r="C149" s="23">
        <v>1447708</v>
      </c>
      <c r="E149" s="23">
        <v>7589659743</v>
      </c>
      <c r="G149" s="23">
        <v>10314193619</v>
      </c>
      <c r="N149" s="22"/>
      <c r="O149" s="23">
        <v>1447708</v>
      </c>
      <c r="Q149" s="23">
        <v>8020</v>
      </c>
      <c r="S149" s="23">
        <v>7589659743</v>
      </c>
      <c r="U149" s="23">
        <v>11520868082</v>
      </c>
      <c r="W149" s="24">
        <v>1.9632963089272894E-3</v>
      </c>
    </row>
    <row r="150" spans="1:23" ht="18.75" x14ac:dyDescent="0.45">
      <c r="A150" s="21" t="s">
        <v>156</v>
      </c>
      <c r="C150" s="23">
        <v>1375942</v>
      </c>
      <c r="E150" s="23">
        <v>10930235967</v>
      </c>
      <c r="G150" s="23">
        <v>13448263788</v>
      </c>
      <c r="I150" s="23">
        <v>2154429</v>
      </c>
      <c r="J150" s="23">
        <v>22449602355</v>
      </c>
      <c r="L150" s="23">
        <v>112250</v>
      </c>
      <c r="M150" s="23">
        <v>1243507552</v>
      </c>
      <c r="O150" s="23">
        <v>3418121</v>
      </c>
      <c r="Q150" s="23">
        <v>11220</v>
      </c>
      <c r="S150" s="23">
        <v>32318508832</v>
      </c>
      <c r="U150" s="23">
        <v>38054861935</v>
      </c>
      <c r="W150" s="24">
        <v>6.485012191959157E-3</v>
      </c>
    </row>
    <row r="151" spans="1:23" ht="18.75" x14ac:dyDescent="0.45">
      <c r="A151" s="21" t="s">
        <v>157</v>
      </c>
      <c r="C151" s="23">
        <v>4342474</v>
      </c>
      <c r="E151" s="23">
        <v>19318413279</v>
      </c>
      <c r="G151" s="23">
        <v>23526630451</v>
      </c>
      <c r="I151" s="23">
        <v>1566798</v>
      </c>
      <c r="J151" s="23">
        <v>8942776893</v>
      </c>
      <c r="L151" s="23">
        <v>200000</v>
      </c>
      <c r="M151" s="23">
        <v>1172863158</v>
      </c>
      <c r="O151" s="23">
        <v>5709272</v>
      </c>
      <c r="Q151" s="23">
        <v>5910</v>
      </c>
      <c r="S151" s="23">
        <v>27304686895</v>
      </c>
      <c r="U151" s="23">
        <v>33480973425</v>
      </c>
      <c r="W151" s="24">
        <v>5.7055658546507756E-3</v>
      </c>
    </row>
    <row r="152" spans="1:23" ht="18.75" x14ac:dyDescent="0.45">
      <c r="A152" s="21" t="s">
        <v>158</v>
      </c>
      <c r="C152" s="23">
        <v>241083</v>
      </c>
      <c r="E152" s="23">
        <v>1966102194</v>
      </c>
      <c r="G152" s="23">
        <v>2382625507</v>
      </c>
      <c r="N152" s="22"/>
      <c r="O152" s="23">
        <v>241083</v>
      </c>
      <c r="Q152" s="23">
        <v>13050</v>
      </c>
      <c r="S152" s="23">
        <v>1966102194</v>
      </c>
      <c r="U152" s="23">
        <v>3143343289</v>
      </c>
      <c r="W152" s="24">
        <v>5.3566399971431136E-4</v>
      </c>
    </row>
    <row r="153" spans="1:23" ht="18.75" x14ac:dyDescent="0.45">
      <c r="A153" s="21" t="s">
        <v>159</v>
      </c>
      <c r="C153" s="23">
        <v>4912237</v>
      </c>
      <c r="E153" s="23">
        <v>17994298726</v>
      </c>
      <c r="G153" s="23">
        <v>19204605707</v>
      </c>
      <c r="I153" s="23">
        <v>1200000</v>
      </c>
      <c r="J153" s="23">
        <v>4794699220</v>
      </c>
      <c r="L153" s="23">
        <v>262500</v>
      </c>
      <c r="M153" s="23">
        <v>939257977</v>
      </c>
      <c r="O153" s="23">
        <v>5849737</v>
      </c>
      <c r="Q153" s="23">
        <v>3945</v>
      </c>
      <c r="S153" s="23">
        <v>21810287212</v>
      </c>
      <c r="U153" s="23">
        <v>22898825613</v>
      </c>
      <c r="W153" s="24">
        <v>3.9022389185249745E-3</v>
      </c>
    </row>
    <row r="154" spans="1:23" ht="18.75" x14ac:dyDescent="0.45">
      <c r="A154" s="21" t="s">
        <v>160</v>
      </c>
      <c r="C154" s="23">
        <v>9197090</v>
      </c>
      <c r="E154" s="23">
        <v>13119139315</v>
      </c>
      <c r="G154" s="23">
        <v>23088771131</v>
      </c>
      <c r="I154" s="23">
        <v>4000000</v>
      </c>
      <c r="J154" s="23">
        <v>11631987477</v>
      </c>
      <c r="L154" s="23">
        <v>0</v>
      </c>
      <c r="M154" s="23">
        <v>0</v>
      </c>
      <c r="O154" s="23">
        <v>13197090</v>
      </c>
      <c r="Q154" s="23">
        <v>2730</v>
      </c>
      <c r="S154" s="23">
        <v>24751126792</v>
      </c>
      <c r="U154" s="23">
        <v>35749558829</v>
      </c>
      <c r="W154" s="24">
        <v>6.0921604513824428E-3</v>
      </c>
    </row>
    <row r="155" spans="1:23" ht="18.75" x14ac:dyDescent="0.45">
      <c r="A155" s="21" t="s">
        <v>161</v>
      </c>
      <c r="C155" s="23">
        <v>12665640</v>
      </c>
      <c r="E155" s="23">
        <v>49480294676</v>
      </c>
      <c r="G155" s="23">
        <v>51540279606</v>
      </c>
      <c r="I155" s="23">
        <v>4000000</v>
      </c>
      <c r="J155" s="23">
        <v>16529660853</v>
      </c>
      <c r="L155" s="23">
        <v>800000</v>
      </c>
      <c r="M155" s="23">
        <v>3034361696</v>
      </c>
      <c r="O155" s="23">
        <v>15865640</v>
      </c>
      <c r="Q155" s="23">
        <v>3970</v>
      </c>
      <c r="S155" s="23">
        <v>62841282473</v>
      </c>
      <c r="U155" s="23">
        <v>62940508414</v>
      </c>
      <c r="W155" s="24">
        <v>1.0725829596493527E-2</v>
      </c>
    </row>
    <row r="156" spans="1:23" ht="18.75" x14ac:dyDescent="0.45">
      <c r="A156" s="21" t="s">
        <v>162</v>
      </c>
      <c r="C156" s="23">
        <v>21884042</v>
      </c>
      <c r="E156" s="23">
        <v>29953628719</v>
      </c>
      <c r="G156" s="23">
        <v>35677545138</v>
      </c>
      <c r="I156" s="23">
        <v>8000000</v>
      </c>
      <c r="J156" s="23">
        <v>13244304720</v>
      </c>
      <c r="L156" s="23">
        <v>2706642</v>
      </c>
      <c r="M156" s="23">
        <v>4152330348</v>
      </c>
      <c r="O156" s="23">
        <v>27177400</v>
      </c>
      <c r="Q156" s="23">
        <v>1609</v>
      </c>
      <c r="S156" s="23">
        <v>39285434378</v>
      </c>
      <c r="U156" s="23">
        <v>43444350422</v>
      </c>
      <c r="W156" s="24">
        <v>7.4034467038571836E-3</v>
      </c>
    </row>
    <row r="157" spans="1:23" ht="18.75" x14ac:dyDescent="0.45">
      <c r="A157" s="21" t="s">
        <v>163</v>
      </c>
      <c r="C157" s="23">
        <v>2800000</v>
      </c>
      <c r="E157" s="23">
        <v>23138668746</v>
      </c>
      <c r="G157" s="23">
        <v>22226848000</v>
      </c>
      <c r="I157" s="23">
        <v>2340260</v>
      </c>
      <c r="J157" s="23">
        <v>19380453648</v>
      </c>
      <c r="L157" s="23">
        <v>1400000</v>
      </c>
      <c r="M157" s="23">
        <v>11758568235</v>
      </c>
      <c r="O157" s="23">
        <v>3740260</v>
      </c>
      <c r="Q157" s="23">
        <v>8810</v>
      </c>
      <c r="S157" s="23">
        <v>30938624257</v>
      </c>
      <c r="U157" s="23">
        <v>32696974032</v>
      </c>
      <c r="W157" s="24">
        <v>5.5719628046442407E-3</v>
      </c>
    </row>
    <row r="158" spans="1:23" ht="18.75" x14ac:dyDescent="0.45">
      <c r="A158" s="21" t="s">
        <v>164</v>
      </c>
      <c r="C158" s="23">
        <v>862852</v>
      </c>
      <c r="E158" s="23">
        <v>7777212626</v>
      </c>
      <c r="G158" s="23">
        <v>12594439486</v>
      </c>
      <c r="N158" s="22"/>
      <c r="O158" s="23">
        <v>862852</v>
      </c>
      <c r="Q158" s="23">
        <v>15690</v>
      </c>
      <c r="S158" s="23">
        <v>7777212626</v>
      </c>
      <c r="U158" s="23">
        <v>13467745283</v>
      </c>
      <c r="W158" s="24">
        <v>2.2950679076864039E-3</v>
      </c>
    </row>
    <row r="159" spans="1:23" ht="18.75" x14ac:dyDescent="0.45">
      <c r="A159" s="21" t="s">
        <v>165</v>
      </c>
      <c r="C159" s="23">
        <v>4284284</v>
      </c>
      <c r="E159" s="23">
        <v>32422751835</v>
      </c>
      <c r="G159" s="23">
        <v>38345521692</v>
      </c>
      <c r="I159" s="23">
        <v>400000</v>
      </c>
      <c r="J159" s="23">
        <v>4010655981</v>
      </c>
      <c r="L159" s="23">
        <v>0</v>
      </c>
      <c r="M159" s="23">
        <v>0</v>
      </c>
      <c r="O159" s="23">
        <v>4684284</v>
      </c>
      <c r="Q159" s="23">
        <v>8770</v>
      </c>
      <c r="S159" s="23">
        <v>36433407816</v>
      </c>
      <c r="U159" s="23">
        <v>41228420679</v>
      </c>
      <c r="W159" s="24">
        <v>7.0258252733964629E-3</v>
      </c>
    </row>
    <row r="160" spans="1:23" ht="18.75" x14ac:dyDescent="0.45">
      <c r="A160" s="21" t="s">
        <v>166</v>
      </c>
      <c r="C160" s="23">
        <v>1181085</v>
      </c>
      <c r="E160" s="23">
        <v>13077150409</v>
      </c>
      <c r="G160" s="23">
        <v>14977587622</v>
      </c>
      <c r="I160" s="23">
        <v>0</v>
      </c>
      <c r="J160" s="23">
        <v>0</v>
      </c>
      <c r="L160" s="23">
        <v>300000</v>
      </c>
      <c r="M160" s="23">
        <v>3667456572</v>
      </c>
      <c r="O160" s="23">
        <v>881085</v>
      </c>
      <c r="Q160" s="23">
        <v>12970</v>
      </c>
      <c r="S160" s="23">
        <v>9755505377</v>
      </c>
      <c r="U160" s="23">
        <v>11356822026</v>
      </c>
      <c r="W160" s="24">
        <v>1.9353408619985917E-3</v>
      </c>
    </row>
    <row r="161" spans="1:23" ht="18.75" x14ac:dyDescent="0.45">
      <c r="A161" s="21" t="s">
        <v>167</v>
      </c>
      <c r="C161" s="23">
        <v>3100000</v>
      </c>
      <c r="E161" s="23">
        <v>16707862255</v>
      </c>
      <c r="G161" s="23">
        <v>23070277500</v>
      </c>
      <c r="I161" s="23">
        <v>3400000</v>
      </c>
      <c r="J161" s="23">
        <v>25383351552</v>
      </c>
      <c r="L161" s="23">
        <v>631157</v>
      </c>
      <c r="M161" s="23">
        <v>4649464223</v>
      </c>
      <c r="O161" s="23">
        <v>5868843</v>
      </c>
      <c r="Q161" s="23">
        <v>7370</v>
      </c>
      <c r="S161" s="23">
        <v>38004774869</v>
      </c>
      <c r="U161" s="23">
        <v>43093728643</v>
      </c>
      <c r="W161" s="24">
        <v>7.3436964802073073E-3</v>
      </c>
    </row>
    <row r="162" spans="1:23" ht="37.5" x14ac:dyDescent="0.45">
      <c r="A162" s="21" t="s">
        <v>168</v>
      </c>
      <c r="C162" s="23">
        <v>1400000</v>
      </c>
      <c r="E162" s="23">
        <v>12092170716</v>
      </c>
      <c r="G162" s="23">
        <v>17350833220</v>
      </c>
      <c r="I162" s="23">
        <v>364830</v>
      </c>
      <c r="J162" s="23">
        <v>4663881276</v>
      </c>
      <c r="L162" s="23">
        <v>0</v>
      </c>
      <c r="M162" s="23">
        <v>0</v>
      </c>
      <c r="O162" s="23">
        <v>1764830</v>
      </c>
      <c r="Q162" s="23">
        <v>12640</v>
      </c>
      <c r="S162" s="23">
        <v>16756051992</v>
      </c>
      <c r="U162" s="23">
        <v>22135014602</v>
      </c>
      <c r="W162" s="24">
        <v>3.7720762148171481E-3</v>
      </c>
    </row>
    <row r="163" spans="1:23" ht="37.5" x14ac:dyDescent="0.45">
      <c r="A163" s="21" t="s">
        <v>169</v>
      </c>
      <c r="C163" s="23">
        <v>2400000</v>
      </c>
      <c r="E163" s="23">
        <v>11849949912</v>
      </c>
      <c r="G163" s="23">
        <v>14622090720</v>
      </c>
      <c r="I163" s="23">
        <v>1200000</v>
      </c>
      <c r="J163" s="23">
        <v>7567956812</v>
      </c>
      <c r="L163" s="23">
        <v>0</v>
      </c>
      <c r="M163" s="23">
        <v>0</v>
      </c>
      <c r="O163" s="23">
        <v>3600000</v>
      </c>
      <c r="Q163" s="23">
        <v>7530</v>
      </c>
      <c r="S163" s="23">
        <v>19417906724</v>
      </c>
      <c r="U163" s="23">
        <v>26755568280</v>
      </c>
      <c r="W163" s="24">
        <v>4.5594748653920115E-3</v>
      </c>
    </row>
    <row r="164" spans="1:23" ht="37.5" x14ac:dyDescent="0.45">
      <c r="A164" s="21" t="s">
        <v>170</v>
      </c>
      <c r="C164" s="23">
        <v>5558999</v>
      </c>
      <c r="E164" s="23">
        <v>20274327593</v>
      </c>
      <c r="G164" s="23">
        <v>27320886376</v>
      </c>
      <c r="I164" s="23">
        <v>5975403</v>
      </c>
      <c r="J164" s="23">
        <v>30771636446</v>
      </c>
      <c r="L164" s="23">
        <v>2186506</v>
      </c>
      <c r="M164" s="23">
        <v>11736349632</v>
      </c>
      <c r="O164" s="23">
        <v>9347896</v>
      </c>
      <c r="Q164" s="23">
        <v>6070</v>
      </c>
      <c r="S164" s="23">
        <v>41369493022</v>
      </c>
      <c r="U164" s="23">
        <v>56303115157</v>
      </c>
      <c r="W164" s="24">
        <v>9.5947369054204777E-3</v>
      </c>
    </row>
    <row r="165" spans="1:23" ht="18.75" x14ac:dyDescent="0.45">
      <c r="A165" s="21" t="s">
        <v>171</v>
      </c>
      <c r="C165" s="23">
        <v>2141672</v>
      </c>
      <c r="E165" s="23">
        <v>4306799190</v>
      </c>
      <c r="G165" s="23">
        <v>9894544172</v>
      </c>
      <c r="N165" s="22"/>
      <c r="O165" s="23">
        <v>2141672</v>
      </c>
      <c r="Q165" s="23">
        <v>5910</v>
      </c>
      <c r="S165" s="23">
        <v>4306799190</v>
      </c>
      <c r="U165" s="23">
        <v>12559440734</v>
      </c>
      <c r="W165" s="24">
        <v>2.1402817443746552E-3</v>
      </c>
    </row>
    <row r="166" spans="1:23" ht="37.5" x14ac:dyDescent="0.45">
      <c r="A166" s="21" t="s">
        <v>172</v>
      </c>
      <c r="C166" s="23">
        <v>13104132</v>
      </c>
      <c r="E166" s="23">
        <v>18159717549</v>
      </c>
      <c r="G166" s="23">
        <v>23808194656</v>
      </c>
      <c r="I166" s="23">
        <v>0</v>
      </c>
      <c r="J166" s="23">
        <v>0</v>
      </c>
      <c r="L166" s="23">
        <v>3200000</v>
      </c>
      <c r="M166" s="23">
        <v>5585289441</v>
      </c>
      <c r="O166" s="23">
        <v>9904132</v>
      </c>
      <c r="Q166" s="23">
        <v>1837</v>
      </c>
      <c r="S166" s="23">
        <v>13725154759</v>
      </c>
      <c r="U166" s="23">
        <v>18131872295</v>
      </c>
      <c r="W166" s="24">
        <v>3.0898919853385473E-3</v>
      </c>
    </row>
    <row r="167" spans="1:23" ht="18.75" x14ac:dyDescent="0.45">
      <c r="A167" s="21" t="s">
        <v>173</v>
      </c>
      <c r="C167" s="23">
        <v>2851893</v>
      </c>
      <c r="E167" s="23">
        <v>17234991291</v>
      </c>
      <c r="G167" s="23">
        <v>21337052918</v>
      </c>
      <c r="I167" s="23">
        <v>0</v>
      </c>
      <c r="J167" s="23">
        <v>0</v>
      </c>
      <c r="L167" s="23">
        <v>400000</v>
      </c>
      <c r="M167" s="23">
        <v>2992686332</v>
      </c>
      <c r="O167" s="23">
        <v>2451893</v>
      </c>
      <c r="Q167" s="23">
        <v>7430</v>
      </c>
      <c r="S167" s="23">
        <v>14817650768</v>
      </c>
      <c r="U167" s="23">
        <v>17882108023</v>
      </c>
      <c r="W167" s="24">
        <v>3.0473291098825177E-3</v>
      </c>
    </row>
    <row r="168" spans="1:23" ht="18.75" x14ac:dyDescent="0.45">
      <c r="A168" s="21" t="s">
        <v>174</v>
      </c>
      <c r="C168" s="23">
        <v>4067933</v>
      </c>
      <c r="E168" s="23">
        <v>18170844045</v>
      </c>
      <c r="G168" s="23">
        <v>28093955630</v>
      </c>
      <c r="I168" s="23">
        <v>200000</v>
      </c>
      <c r="J168" s="23">
        <v>1508006651</v>
      </c>
      <c r="L168" s="23">
        <v>400000</v>
      </c>
      <c r="M168" s="23">
        <v>2742634315</v>
      </c>
      <c r="O168" s="23">
        <v>3867933</v>
      </c>
      <c r="Q168" s="23">
        <v>7430</v>
      </c>
      <c r="S168" s="23">
        <v>17834505839</v>
      </c>
      <c r="U168" s="23">
        <v>28516591713</v>
      </c>
      <c r="W168" s="24">
        <v>4.859574717359344E-3</v>
      </c>
    </row>
    <row r="169" spans="1:23" ht="18.75" x14ac:dyDescent="0.45">
      <c r="A169" s="21" t="s">
        <v>175</v>
      </c>
      <c r="C169" s="23">
        <v>267500</v>
      </c>
      <c r="E169" s="23">
        <v>7375699925</v>
      </c>
      <c r="G169" s="23">
        <v>7883337082</v>
      </c>
      <c r="N169" s="22"/>
      <c r="O169" s="23">
        <v>267500</v>
      </c>
      <c r="Q169" s="23">
        <v>41800</v>
      </c>
      <c r="S169" s="23">
        <v>7375699925</v>
      </c>
      <c r="U169" s="23">
        <v>11161425061</v>
      </c>
      <c r="W169" s="24">
        <v>1.9020428381492033E-3</v>
      </c>
    </row>
    <row r="170" spans="1:23" ht="37.5" x14ac:dyDescent="0.45">
      <c r="A170" s="21" t="s">
        <v>176</v>
      </c>
      <c r="C170" s="23">
        <v>4745098</v>
      </c>
      <c r="E170" s="23">
        <v>15987512902</v>
      </c>
      <c r="G170" s="23">
        <v>19040843979</v>
      </c>
      <c r="I170" s="23">
        <v>0</v>
      </c>
      <c r="J170" s="23">
        <v>0</v>
      </c>
      <c r="L170" s="23">
        <v>26947</v>
      </c>
      <c r="M170" s="23">
        <v>113362176</v>
      </c>
      <c r="O170" s="23">
        <v>4718151</v>
      </c>
      <c r="Q170" s="23">
        <v>4540</v>
      </c>
      <c r="S170" s="23">
        <v>15896721203</v>
      </c>
      <c r="U170" s="23">
        <v>21254825805</v>
      </c>
      <c r="W170" s="24">
        <v>3.6220813182512236E-3</v>
      </c>
    </row>
    <row r="171" spans="1:23" ht="37.5" x14ac:dyDescent="0.45">
      <c r="A171" s="21" t="s">
        <v>177</v>
      </c>
      <c r="H171" s="22"/>
      <c r="I171" s="23">
        <v>2513000</v>
      </c>
      <c r="J171" s="23">
        <v>16629984560</v>
      </c>
      <c r="L171" s="23">
        <v>0</v>
      </c>
      <c r="M171" s="23">
        <v>0</v>
      </c>
      <c r="O171" s="23">
        <v>2513000</v>
      </c>
      <c r="Q171" s="23">
        <v>7340</v>
      </c>
      <c r="S171" s="23">
        <v>16629652843</v>
      </c>
      <c r="U171" s="23">
        <v>18302836903</v>
      </c>
      <c r="W171" s="24">
        <v>3.1190264378341908E-3</v>
      </c>
    </row>
    <row r="172" spans="1:23" ht="37.5" x14ac:dyDescent="0.45">
      <c r="A172" s="21" t="s">
        <v>178</v>
      </c>
      <c r="C172" s="23">
        <v>700000</v>
      </c>
      <c r="E172" s="23">
        <v>9143294580</v>
      </c>
      <c r="G172" s="23">
        <v>13412513590</v>
      </c>
      <c r="N172" s="22"/>
      <c r="O172" s="23">
        <v>700000</v>
      </c>
      <c r="Q172" s="23">
        <v>18420</v>
      </c>
      <c r="S172" s="23">
        <v>9143294580</v>
      </c>
      <c r="U172" s="23">
        <v>12988814300</v>
      </c>
      <c r="W172" s="24">
        <v>2.2134522321607115E-3</v>
      </c>
    </row>
    <row r="173" spans="1:23" ht="18.75" x14ac:dyDescent="0.45">
      <c r="A173" s="21" t="s">
        <v>179</v>
      </c>
      <c r="C173" s="23">
        <v>9226316</v>
      </c>
      <c r="E173" s="23">
        <v>44588125969</v>
      </c>
      <c r="G173" s="23">
        <v>40153814988</v>
      </c>
      <c r="I173" s="23">
        <v>2000000</v>
      </c>
      <c r="J173" s="23">
        <v>8922729456</v>
      </c>
      <c r="L173" s="23">
        <v>1200000</v>
      </c>
      <c r="M173" s="23">
        <v>5728392698</v>
      </c>
      <c r="O173" s="23">
        <v>10026316</v>
      </c>
      <c r="Q173" s="23">
        <v>4830</v>
      </c>
      <c r="S173" s="23">
        <v>47790989130</v>
      </c>
      <c r="U173" s="23">
        <v>48052764748</v>
      </c>
      <c r="W173" s="24">
        <v>8.1887766609269452E-3</v>
      </c>
    </row>
    <row r="174" spans="1:23" ht="18.75" x14ac:dyDescent="0.45">
      <c r="A174" s="21" t="s">
        <v>180</v>
      </c>
      <c r="C174" s="23">
        <v>1393618</v>
      </c>
      <c r="E174" s="23">
        <v>9758417707</v>
      </c>
      <c r="G174" s="23">
        <v>16027177408</v>
      </c>
      <c r="I174" s="23">
        <v>0</v>
      </c>
      <c r="J174" s="23">
        <v>0</v>
      </c>
      <c r="L174" s="23">
        <v>100000</v>
      </c>
      <c r="M174" s="23">
        <v>1629307346</v>
      </c>
      <c r="O174" s="23">
        <v>1293618</v>
      </c>
      <c r="Q174" s="23">
        <v>15890</v>
      </c>
      <c r="S174" s="23">
        <v>9058195859</v>
      </c>
      <c r="U174" s="23">
        <v>20371022942</v>
      </c>
      <c r="W174" s="24">
        <v>3.4714705407996298E-3</v>
      </c>
    </row>
    <row r="175" spans="1:23" ht="18.75" x14ac:dyDescent="0.45">
      <c r="A175" s="21" t="s">
        <v>181</v>
      </c>
      <c r="C175" s="23">
        <v>5217580</v>
      </c>
      <c r="E175" s="23">
        <v>23505956274</v>
      </c>
      <c r="G175" s="23">
        <v>28630182029</v>
      </c>
      <c r="I175" s="23">
        <v>2271148</v>
      </c>
      <c r="J175" s="23">
        <v>13335911509</v>
      </c>
      <c r="L175" s="23">
        <v>0</v>
      </c>
      <c r="M175" s="23">
        <v>0</v>
      </c>
      <c r="O175" s="23">
        <v>7488728</v>
      </c>
      <c r="Q175" s="23">
        <v>5990</v>
      </c>
      <c r="S175" s="23">
        <v>36841867783</v>
      </c>
      <c r="U175" s="23">
        <v>44287807190</v>
      </c>
      <c r="W175" s="24">
        <v>7.5471820150826785E-3</v>
      </c>
    </row>
    <row r="176" spans="1:23" ht="18.75" x14ac:dyDescent="0.45">
      <c r="A176" s="21" t="s">
        <v>182</v>
      </c>
      <c r="C176" s="23">
        <v>1709001</v>
      </c>
      <c r="E176" s="23">
        <v>13023691685</v>
      </c>
      <c r="G176" s="23">
        <v>24843329686</v>
      </c>
      <c r="N176" s="22"/>
      <c r="O176" s="23">
        <v>2670314</v>
      </c>
      <c r="Q176" s="23">
        <v>11290</v>
      </c>
      <c r="S176" s="23">
        <v>13023691685</v>
      </c>
      <c r="U176" s="23">
        <v>29914802218</v>
      </c>
      <c r="W176" s="24">
        <v>5.0978468253317245E-3</v>
      </c>
    </row>
    <row r="177" spans="1:23" ht="18.75" x14ac:dyDescent="0.45">
      <c r="A177" s="21" t="s">
        <v>183</v>
      </c>
      <c r="C177" s="23">
        <v>999999</v>
      </c>
      <c r="E177" s="23">
        <v>3088990714</v>
      </c>
      <c r="G177" s="23">
        <v>4651757108</v>
      </c>
      <c r="N177" s="22"/>
      <c r="O177" s="23">
        <v>999999</v>
      </c>
      <c r="Q177" s="23">
        <v>4637</v>
      </c>
      <c r="S177" s="23">
        <v>3088990714</v>
      </c>
      <c r="U177" s="23">
        <v>4597182313</v>
      </c>
      <c r="W177" s="24">
        <v>7.8341588518665583E-4</v>
      </c>
    </row>
    <row r="178" spans="1:23" ht="18.75" x14ac:dyDescent="0.45">
      <c r="A178" s="21" t="s">
        <v>184</v>
      </c>
      <c r="C178" s="23">
        <v>1786071</v>
      </c>
      <c r="E178" s="23">
        <v>23355013073</v>
      </c>
      <c r="G178" s="23">
        <v>31457697913</v>
      </c>
      <c r="I178" s="23">
        <v>0</v>
      </c>
      <c r="J178" s="23">
        <v>0</v>
      </c>
      <c r="L178" s="23">
        <v>400000</v>
      </c>
      <c r="M178" s="23">
        <v>10168783038</v>
      </c>
      <c r="O178" s="23">
        <v>1386071</v>
      </c>
      <c r="Q178" s="23">
        <v>25950</v>
      </c>
      <c r="S178" s="23">
        <v>18124534985</v>
      </c>
      <c r="U178" s="23">
        <v>36570733886</v>
      </c>
      <c r="W178" s="24">
        <v>6.2320986875393294E-3</v>
      </c>
    </row>
    <row r="179" spans="1:23" ht="18.75" x14ac:dyDescent="0.45">
      <c r="A179" s="21" t="s">
        <v>185</v>
      </c>
      <c r="C179" s="23">
        <v>6232316</v>
      </c>
      <c r="E179" s="23">
        <v>16760526050</v>
      </c>
      <c r="G179" s="23">
        <v>20525161315</v>
      </c>
      <c r="I179" s="23">
        <v>6233826</v>
      </c>
      <c r="J179" s="23">
        <v>22050770776</v>
      </c>
      <c r="L179" s="23">
        <v>310741</v>
      </c>
      <c r="M179" s="23">
        <v>930368234</v>
      </c>
      <c r="O179" s="23">
        <v>12155401</v>
      </c>
      <c r="Q179" s="23">
        <v>3049</v>
      </c>
      <c r="S179" s="23">
        <v>37843855481</v>
      </c>
      <c r="U179" s="23">
        <v>36678838281</v>
      </c>
      <c r="W179" s="24">
        <v>6.2505209937554658E-3</v>
      </c>
    </row>
    <row r="180" spans="1:23" ht="18.75" x14ac:dyDescent="0.45">
      <c r="A180" s="21" t="s">
        <v>186</v>
      </c>
      <c r="C180" s="23">
        <v>8201572</v>
      </c>
      <c r="E180" s="23">
        <v>15893097431</v>
      </c>
      <c r="G180" s="23">
        <v>19539755410</v>
      </c>
      <c r="I180" s="23">
        <v>400000</v>
      </c>
      <c r="J180" s="23">
        <v>918039146</v>
      </c>
      <c r="L180" s="23">
        <v>0</v>
      </c>
      <c r="M180" s="23">
        <v>0</v>
      </c>
      <c r="O180" s="23">
        <v>8601572</v>
      </c>
      <c r="Q180" s="23">
        <v>2218</v>
      </c>
      <c r="S180" s="23">
        <v>16811136577</v>
      </c>
      <c r="U180" s="23">
        <v>18964951867</v>
      </c>
      <c r="W180" s="24">
        <v>3.2318588959141257E-3</v>
      </c>
    </row>
    <row r="181" spans="1:23" ht="18.75" x14ac:dyDescent="0.45">
      <c r="A181" s="21" t="s">
        <v>187</v>
      </c>
      <c r="C181" s="23">
        <v>845414</v>
      </c>
      <c r="E181" s="23">
        <v>9972258712</v>
      </c>
      <c r="G181" s="23">
        <v>12750960037</v>
      </c>
      <c r="I181" s="23">
        <v>300000</v>
      </c>
      <c r="J181" s="23">
        <v>4547081230</v>
      </c>
      <c r="L181" s="23">
        <v>0</v>
      </c>
      <c r="M181" s="23">
        <v>0</v>
      </c>
      <c r="O181" s="23">
        <v>1145414</v>
      </c>
      <c r="Q181" s="23">
        <v>14810</v>
      </c>
      <c r="S181" s="23">
        <v>14519339942</v>
      </c>
      <c r="U181" s="23">
        <v>17025668048</v>
      </c>
      <c r="W181" s="24">
        <v>2.9013813019771102E-3</v>
      </c>
    </row>
    <row r="182" spans="1:23" ht="18.75" x14ac:dyDescent="0.45">
      <c r="A182" s="21" t="s">
        <v>188</v>
      </c>
      <c r="H182" s="22"/>
      <c r="I182" s="23">
        <v>604777</v>
      </c>
      <c r="J182" s="23">
        <v>37512663684</v>
      </c>
      <c r="L182" s="23">
        <v>0</v>
      </c>
      <c r="M182" s="23">
        <v>0</v>
      </c>
      <c r="O182" s="23">
        <v>604777</v>
      </c>
      <c r="Q182" s="23">
        <v>64890</v>
      </c>
      <c r="S182" s="23">
        <v>37513468883</v>
      </c>
      <c r="U182" s="23">
        <v>38940623568</v>
      </c>
      <c r="W182" s="24">
        <v>6.63595676768738E-3</v>
      </c>
    </row>
    <row r="183" spans="1:23" ht="37.5" x14ac:dyDescent="0.45">
      <c r="A183" s="21" t="s">
        <v>189</v>
      </c>
      <c r="C183" s="23">
        <v>795841</v>
      </c>
      <c r="E183" s="23">
        <v>14972987328</v>
      </c>
      <c r="G183" s="23">
        <v>16899347790</v>
      </c>
      <c r="I183" s="23">
        <v>200000</v>
      </c>
      <c r="J183" s="23">
        <v>4251210553</v>
      </c>
      <c r="L183" s="23">
        <v>0</v>
      </c>
      <c r="M183" s="23">
        <v>0</v>
      </c>
      <c r="O183" s="23">
        <v>995841</v>
      </c>
      <c r="Q183" s="23">
        <v>20700</v>
      </c>
      <c r="S183" s="23">
        <v>19224197881</v>
      </c>
      <c r="U183" s="23">
        <v>20355748871</v>
      </c>
      <c r="W183" s="24">
        <v>3.4688676529787505E-3</v>
      </c>
    </row>
    <row r="184" spans="1:23" ht="37.5" x14ac:dyDescent="0.45">
      <c r="A184" s="21" t="s">
        <v>190</v>
      </c>
      <c r="C184" s="23">
        <v>478878</v>
      </c>
      <c r="E184" s="23">
        <v>15446258238</v>
      </c>
      <c r="G184" s="23">
        <v>18626909904</v>
      </c>
      <c r="I184" s="23">
        <v>645035</v>
      </c>
      <c r="J184" s="23">
        <v>26165532259</v>
      </c>
      <c r="L184" s="23">
        <v>300000</v>
      </c>
      <c r="M184" s="23">
        <v>10366287317</v>
      </c>
      <c r="O184" s="23">
        <v>823913</v>
      </c>
      <c r="Q184" s="23">
        <v>33920</v>
      </c>
      <c r="S184" s="23">
        <v>30504580998</v>
      </c>
      <c r="U184" s="23">
        <v>27444957200</v>
      </c>
      <c r="W184" s="24">
        <v>4.6769551379216498E-3</v>
      </c>
    </row>
    <row r="185" spans="1:23" ht="18.75" x14ac:dyDescent="0.45">
      <c r="A185" s="21" t="s">
        <v>191</v>
      </c>
      <c r="C185" s="23">
        <v>5465017</v>
      </c>
      <c r="E185" s="23">
        <v>15778895158</v>
      </c>
      <c r="G185" s="23">
        <v>19310492583</v>
      </c>
      <c r="I185" s="23">
        <v>7973116</v>
      </c>
      <c r="J185" s="23">
        <v>31331951841</v>
      </c>
      <c r="L185" s="23">
        <v>2703715</v>
      </c>
      <c r="M185" s="23">
        <v>10204282913</v>
      </c>
      <c r="O185" s="23">
        <v>10734418</v>
      </c>
      <c r="Q185" s="23">
        <v>4106</v>
      </c>
      <c r="S185" s="23">
        <v>37632275557</v>
      </c>
      <c r="U185" s="23">
        <v>43734816536</v>
      </c>
      <c r="W185" s="24">
        <v>7.4529456691630738E-3</v>
      </c>
    </row>
    <row r="186" spans="1:23" ht="37.5" x14ac:dyDescent="0.45">
      <c r="A186" s="21" t="s">
        <v>192</v>
      </c>
      <c r="C186" s="23">
        <v>2042980</v>
      </c>
      <c r="E186" s="23">
        <v>36710409501</v>
      </c>
      <c r="G186" s="23">
        <v>36489379763</v>
      </c>
      <c r="I186" s="23">
        <v>400000</v>
      </c>
      <c r="J186" s="23">
        <v>7262216865</v>
      </c>
      <c r="L186" s="23">
        <v>600000</v>
      </c>
      <c r="M186" s="23">
        <v>9792473777</v>
      </c>
      <c r="O186" s="23">
        <v>1842980</v>
      </c>
      <c r="Q186" s="23">
        <v>18030</v>
      </c>
      <c r="S186" s="23">
        <v>33172875317</v>
      </c>
      <c r="U186" s="23">
        <v>33136655815</v>
      </c>
      <c r="W186" s="24">
        <v>5.6468899382180696E-3</v>
      </c>
    </row>
    <row r="187" spans="1:23" ht="18.75" x14ac:dyDescent="0.45">
      <c r="A187" s="21" t="s">
        <v>193</v>
      </c>
      <c r="C187" s="23">
        <v>3052977</v>
      </c>
      <c r="E187" s="23">
        <v>9377372255</v>
      </c>
      <c r="G187" s="23">
        <v>18933609299</v>
      </c>
      <c r="N187" s="22"/>
      <c r="O187" s="23">
        <v>3052977</v>
      </c>
      <c r="Q187" s="23">
        <v>8110</v>
      </c>
      <c r="S187" s="23">
        <v>9377372255</v>
      </c>
      <c r="U187" s="23">
        <v>24325901227</v>
      </c>
      <c r="W187" s="24">
        <v>4.1454299928072834E-3</v>
      </c>
    </row>
    <row r="188" spans="1:23" ht="18.75" x14ac:dyDescent="0.45">
      <c r="A188" s="21" t="s">
        <v>194</v>
      </c>
      <c r="C188" s="23">
        <v>5265617</v>
      </c>
      <c r="E188" s="23">
        <v>16236225789</v>
      </c>
      <c r="G188" s="23">
        <v>33805192160</v>
      </c>
      <c r="N188" s="22"/>
      <c r="O188" s="23">
        <v>5265617</v>
      </c>
      <c r="Q188" s="23">
        <v>9070</v>
      </c>
      <c r="S188" s="23">
        <v>16236225789</v>
      </c>
      <c r="U188" s="23">
        <v>47442217128</v>
      </c>
      <c r="W188" s="24">
        <v>8.0847319066394488E-3</v>
      </c>
    </row>
    <row r="189" spans="1:23" ht="18.75" x14ac:dyDescent="0.45">
      <c r="A189" s="21" t="s">
        <v>195</v>
      </c>
      <c r="C189" s="23">
        <v>1858128</v>
      </c>
      <c r="E189" s="23">
        <v>27821098488</v>
      </c>
      <c r="G189" s="23">
        <v>38719058082</v>
      </c>
      <c r="I189" s="23">
        <v>883786</v>
      </c>
      <c r="J189" s="23">
        <v>18685757023</v>
      </c>
      <c r="L189" s="23">
        <v>400000</v>
      </c>
      <c r="M189" s="23">
        <v>7930221924</v>
      </c>
      <c r="O189" s="23">
        <v>2341914</v>
      </c>
      <c r="Q189" s="23">
        <v>21440</v>
      </c>
      <c r="S189" s="23">
        <v>39772331410</v>
      </c>
      <c r="U189" s="23">
        <v>49822507942</v>
      </c>
      <c r="W189" s="24">
        <v>8.4903624664234897E-3</v>
      </c>
    </row>
    <row r="190" spans="1:23" ht="18.75" x14ac:dyDescent="0.45">
      <c r="A190" s="21" t="s">
        <v>196</v>
      </c>
      <c r="C190" s="23">
        <v>1035048</v>
      </c>
      <c r="E190" s="23">
        <v>19458637507</v>
      </c>
      <c r="G190" s="23">
        <v>27268099946</v>
      </c>
      <c r="N190" s="22"/>
      <c r="O190" s="23">
        <v>1035048</v>
      </c>
      <c r="Q190" s="23">
        <v>37920</v>
      </c>
      <c r="S190" s="23">
        <v>19458637507</v>
      </c>
      <c r="U190" s="23">
        <v>38462913107</v>
      </c>
      <c r="W190" s="24">
        <v>6.5545490839831813E-3</v>
      </c>
    </row>
    <row r="191" spans="1:23" ht="18.75" x14ac:dyDescent="0.45">
      <c r="A191" s="21" t="s">
        <v>197</v>
      </c>
      <c r="C191" s="23">
        <v>2000000</v>
      </c>
      <c r="E191" s="23">
        <v>11710857525</v>
      </c>
      <c r="G191" s="23">
        <v>17821169200</v>
      </c>
      <c r="I191" s="23">
        <v>1600000</v>
      </c>
      <c r="J191" s="23">
        <v>14426229315</v>
      </c>
      <c r="L191" s="23">
        <v>0</v>
      </c>
      <c r="M191" s="23">
        <v>0</v>
      </c>
      <c r="O191" s="23">
        <v>3600000</v>
      </c>
      <c r="Q191" s="23">
        <v>9250</v>
      </c>
      <c r="S191" s="23">
        <v>26137086840</v>
      </c>
      <c r="U191" s="23">
        <v>33042591000</v>
      </c>
      <c r="W191" s="24">
        <v>5.6308601475134985E-3</v>
      </c>
    </row>
    <row r="192" spans="1:23" ht="18.75" x14ac:dyDescent="0.45">
      <c r="A192" s="21" t="s">
        <v>198</v>
      </c>
      <c r="C192" s="23">
        <v>950000</v>
      </c>
      <c r="E192" s="23">
        <v>25923368872</v>
      </c>
      <c r="G192" s="23">
        <v>25970186575</v>
      </c>
      <c r="I192" s="23">
        <v>400000</v>
      </c>
      <c r="J192" s="23">
        <v>11853758638</v>
      </c>
      <c r="L192" s="23">
        <v>0</v>
      </c>
      <c r="M192" s="23">
        <v>0</v>
      </c>
      <c r="O192" s="23">
        <v>1350000</v>
      </c>
      <c r="Q192" s="23">
        <v>32050</v>
      </c>
      <c r="S192" s="23">
        <v>37777127510</v>
      </c>
      <c r="U192" s="23">
        <v>42598151100</v>
      </c>
      <c r="W192" s="24">
        <v>7.2592440280106457E-3</v>
      </c>
    </row>
    <row r="193" spans="1:23" ht="18.75" x14ac:dyDescent="0.45">
      <c r="A193" s="21" t="s">
        <v>199</v>
      </c>
      <c r="C193" s="23">
        <v>162629</v>
      </c>
      <c r="E193" s="23">
        <v>9859579712</v>
      </c>
      <c r="G193" s="23">
        <v>13550396581</v>
      </c>
      <c r="N193" s="22"/>
      <c r="O193" s="23">
        <v>487887</v>
      </c>
      <c r="Q193" s="23">
        <v>25573</v>
      </c>
      <c r="S193" s="23">
        <v>9859579712</v>
      </c>
      <c r="U193" s="23">
        <v>12407883686</v>
      </c>
      <c r="W193" s="24">
        <v>2.114454576594199E-3</v>
      </c>
    </row>
    <row r="194" spans="1:23" ht="18.75" x14ac:dyDescent="0.45">
      <c r="A194" s="21" t="s">
        <v>200</v>
      </c>
      <c r="C194" s="23">
        <v>2067558</v>
      </c>
      <c r="E194" s="23">
        <v>17504816212</v>
      </c>
      <c r="G194" s="23">
        <v>17417878344</v>
      </c>
      <c r="N194" s="22"/>
      <c r="O194" s="23">
        <v>2067558</v>
      </c>
      <c r="Q194" s="23">
        <v>9710</v>
      </c>
      <c r="S194" s="23">
        <v>17504816212</v>
      </c>
      <c r="U194" s="23">
        <v>19941316549</v>
      </c>
      <c r="W194" s="24">
        <v>3.3982433352371037E-3</v>
      </c>
    </row>
    <row r="195" spans="1:23" ht="18.75" x14ac:dyDescent="0.45">
      <c r="A195" s="21" t="s">
        <v>201</v>
      </c>
      <c r="C195" s="23">
        <v>4676925</v>
      </c>
      <c r="E195" s="23">
        <v>33174964493</v>
      </c>
      <c r="G195" s="23">
        <v>33924046023</v>
      </c>
      <c r="I195" s="23">
        <v>1200000</v>
      </c>
      <c r="J195" s="23">
        <v>9765491177</v>
      </c>
      <c r="L195" s="23">
        <v>600000</v>
      </c>
      <c r="M195" s="23">
        <v>4114118057</v>
      </c>
      <c r="O195" s="23">
        <v>5276925</v>
      </c>
      <c r="Q195" s="23">
        <v>6620</v>
      </c>
      <c r="S195" s="23">
        <v>38556483882</v>
      </c>
      <c r="U195" s="23">
        <v>34296680122</v>
      </c>
      <c r="W195" s="24">
        <v>5.8445722156288587E-3</v>
      </c>
    </row>
    <row r="196" spans="1:23" ht="18.75" x14ac:dyDescent="0.45">
      <c r="A196" s="21" t="s">
        <v>202</v>
      </c>
      <c r="C196" s="23">
        <v>515000</v>
      </c>
      <c r="E196" s="23">
        <v>8519967390</v>
      </c>
      <c r="G196" s="23">
        <v>10353245953</v>
      </c>
      <c r="I196" s="23">
        <v>1413772</v>
      </c>
      <c r="J196" s="23">
        <v>30253929232</v>
      </c>
      <c r="L196" s="23">
        <v>600000</v>
      </c>
      <c r="M196" s="23">
        <v>10997461329</v>
      </c>
      <c r="O196" s="23">
        <v>1328772</v>
      </c>
      <c r="Q196" s="23">
        <v>18810</v>
      </c>
      <c r="S196" s="23">
        <v>26712160982</v>
      </c>
      <c r="U196" s="23">
        <v>24919661197</v>
      </c>
      <c r="W196" s="24">
        <v>4.2466139269685546E-3</v>
      </c>
    </row>
    <row r="197" spans="1:23" ht="18.75" x14ac:dyDescent="0.45">
      <c r="A197" s="21" t="s">
        <v>203</v>
      </c>
      <c r="C197" s="23">
        <v>6854018</v>
      </c>
      <c r="E197" s="23">
        <v>21502035448</v>
      </c>
      <c r="G197" s="23">
        <v>29026823530</v>
      </c>
      <c r="I197" s="23">
        <v>2400000</v>
      </c>
      <c r="J197" s="23">
        <v>11129951206</v>
      </c>
      <c r="L197" s="23">
        <v>2020673</v>
      </c>
      <c r="M197" s="23">
        <v>8724314537</v>
      </c>
      <c r="O197" s="23">
        <v>7233345</v>
      </c>
      <c r="Q197" s="23">
        <v>4036</v>
      </c>
      <c r="S197" s="23">
        <v>25506587247</v>
      </c>
      <c r="U197" s="23">
        <v>28788676716</v>
      </c>
      <c r="W197" s="24">
        <v>4.90594131736746E-3</v>
      </c>
    </row>
    <row r="198" spans="1:23" ht="18.75" x14ac:dyDescent="0.45">
      <c r="A198" s="21" t="s">
        <v>204</v>
      </c>
      <c r="C198" s="23">
        <v>2723567</v>
      </c>
      <c r="E198" s="23">
        <v>19009668439</v>
      </c>
      <c r="G198" s="23">
        <v>22809216701</v>
      </c>
      <c r="N198" s="22"/>
      <c r="O198" s="23">
        <v>2723567</v>
      </c>
      <c r="Q198" s="23">
        <v>9880</v>
      </c>
      <c r="S198" s="23">
        <v>19009668439</v>
      </c>
      <c r="U198" s="23">
        <v>26646786335</v>
      </c>
      <c r="W198" s="24">
        <v>4.5409370963995768E-3</v>
      </c>
    </row>
    <row r="199" spans="1:23" ht="18.75" x14ac:dyDescent="0.45">
      <c r="A199" s="21" t="s">
        <v>205</v>
      </c>
      <c r="C199" s="23">
        <v>420369</v>
      </c>
      <c r="E199" s="23">
        <v>11815472726</v>
      </c>
      <c r="G199" s="23">
        <v>17448110677</v>
      </c>
      <c r="I199" s="23">
        <v>100000</v>
      </c>
      <c r="J199" s="23">
        <v>3422730788</v>
      </c>
      <c r="L199" s="23">
        <v>400000</v>
      </c>
      <c r="M199" s="23">
        <v>11817690376</v>
      </c>
      <c r="O199" s="23">
        <v>120369</v>
      </c>
      <c r="Q199" s="23">
        <v>31710</v>
      </c>
      <c r="S199" s="23">
        <v>3524820500</v>
      </c>
      <c r="U199" s="23">
        <v>3787396345</v>
      </c>
      <c r="W199" s="24">
        <v>6.4541848857732696E-4</v>
      </c>
    </row>
    <row r="200" spans="1:23" ht="18.75" x14ac:dyDescent="0.45">
      <c r="A200" s="21" t="s">
        <v>206</v>
      </c>
      <c r="C200" s="23">
        <v>3014987</v>
      </c>
      <c r="E200" s="23">
        <v>14987389690</v>
      </c>
      <c r="G200" s="23">
        <v>16454246328</v>
      </c>
      <c r="N200" s="22"/>
      <c r="O200" s="23">
        <v>3014987</v>
      </c>
      <c r="Q200" s="23">
        <v>5430</v>
      </c>
      <c r="S200" s="23">
        <v>14987389690</v>
      </c>
      <c r="U200" s="23">
        <v>16274745459</v>
      </c>
      <c r="W200" s="24">
        <v>2.7734149424301921E-3</v>
      </c>
    </row>
    <row r="201" spans="1:23" ht="18.75" x14ac:dyDescent="0.45">
      <c r="A201" s="21" t="s">
        <v>207</v>
      </c>
      <c r="C201" s="23">
        <v>1641424</v>
      </c>
      <c r="E201" s="23">
        <v>7922461528</v>
      </c>
      <c r="G201" s="23">
        <v>9853851545</v>
      </c>
      <c r="I201" s="23">
        <v>600000</v>
      </c>
      <c r="J201" s="23">
        <v>3693814157</v>
      </c>
      <c r="L201" s="23">
        <v>0</v>
      </c>
      <c r="M201" s="23">
        <v>0</v>
      </c>
      <c r="O201" s="23">
        <v>2241424</v>
      </c>
      <c r="Q201" s="23">
        <v>5840</v>
      </c>
      <c r="S201" s="23">
        <v>11616275685</v>
      </c>
      <c r="U201" s="23">
        <v>13010972086</v>
      </c>
      <c r="W201" s="24">
        <v>2.2172281888992291E-3</v>
      </c>
    </row>
    <row r="202" spans="1:23" ht="18.75" x14ac:dyDescent="0.45">
      <c r="A202" s="21" t="s">
        <v>208</v>
      </c>
      <c r="C202" s="23">
        <v>2948029</v>
      </c>
      <c r="E202" s="23">
        <v>15842138437</v>
      </c>
      <c r="G202" s="23">
        <v>23226411442</v>
      </c>
      <c r="I202" s="23">
        <v>600000</v>
      </c>
      <c r="J202" s="23">
        <v>4551210520</v>
      </c>
      <c r="L202" s="23">
        <v>961072</v>
      </c>
      <c r="M202" s="23">
        <v>6513382435</v>
      </c>
      <c r="O202" s="23">
        <v>2586957</v>
      </c>
      <c r="Q202" s="23">
        <v>7590</v>
      </c>
      <c r="S202" s="23">
        <v>14869302601</v>
      </c>
      <c r="U202" s="23">
        <v>19431885855</v>
      </c>
      <c r="W202" s="24">
        <v>3.3114301373022102E-3</v>
      </c>
    </row>
    <row r="203" spans="1:23" ht="18.75" x14ac:dyDescent="0.45">
      <c r="A203" s="21" t="s">
        <v>209</v>
      </c>
      <c r="C203" s="23">
        <v>2000000</v>
      </c>
      <c r="E203" s="23">
        <v>5146668896</v>
      </c>
      <c r="G203" s="23">
        <v>6548982000</v>
      </c>
      <c r="I203" s="23">
        <v>7443089</v>
      </c>
      <c r="J203" s="23">
        <v>25862895870</v>
      </c>
      <c r="L203" s="23">
        <v>1473767</v>
      </c>
      <c r="M203" s="23">
        <v>4458085477</v>
      </c>
      <c r="O203" s="23">
        <v>7969322</v>
      </c>
      <c r="Q203" s="23">
        <v>3014</v>
      </c>
      <c r="S203" s="23">
        <v>26169954207</v>
      </c>
      <c r="U203" s="23">
        <v>23802234614</v>
      </c>
      <c r="W203" s="24">
        <v>4.0561908208027317E-3</v>
      </c>
    </row>
    <row r="204" spans="1:23" ht="18.75" x14ac:dyDescent="0.45">
      <c r="A204" s="21" t="s">
        <v>210</v>
      </c>
      <c r="C204" s="23">
        <v>397412</v>
      </c>
      <c r="E204" s="23">
        <v>15259892367</v>
      </c>
      <c r="G204" s="23">
        <v>20545114273</v>
      </c>
      <c r="I204" s="23">
        <v>700000</v>
      </c>
      <c r="J204" s="23">
        <v>34955536103</v>
      </c>
      <c r="L204" s="23">
        <v>266380</v>
      </c>
      <c r="M204" s="23">
        <v>12658907252</v>
      </c>
      <c r="O204" s="23">
        <v>831032</v>
      </c>
      <c r="Q204" s="23">
        <v>47030</v>
      </c>
      <c r="S204" s="23">
        <v>38026400251</v>
      </c>
      <c r="U204" s="23">
        <v>38937995551</v>
      </c>
      <c r="W204" s="24">
        <v>6.635508921566829E-3</v>
      </c>
    </row>
    <row r="205" spans="1:23" ht="18.75" x14ac:dyDescent="0.45">
      <c r="A205" s="21" t="s">
        <v>211</v>
      </c>
      <c r="C205" s="23">
        <v>4883366</v>
      </c>
      <c r="E205" s="23">
        <v>14018183591</v>
      </c>
      <c r="G205" s="23">
        <v>23321957416</v>
      </c>
      <c r="I205" s="23">
        <v>0</v>
      </c>
      <c r="J205" s="23">
        <v>0</v>
      </c>
      <c r="L205" s="23">
        <v>1200000</v>
      </c>
      <c r="M205" s="23">
        <v>6558321294</v>
      </c>
      <c r="O205" s="23">
        <v>3683366</v>
      </c>
      <c r="Q205" s="23">
        <v>5790</v>
      </c>
      <c r="S205" s="23">
        <v>10573465274</v>
      </c>
      <c r="U205" s="23">
        <v>21198382769</v>
      </c>
      <c r="W205" s="24">
        <v>3.612462737129148E-3</v>
      </c>
    </row>
    <row r="206" spans="1:23" ht="18.75" x14ac:dyDescent="0.45">
      <c r="A206" s="21" t="s">
        <v>212</v>
      </c>
      <c r="C206" s="23">
        <v>912749</v>
      </c>
      <c r="E206" s="23">
        <v>14077599354</v>
      </c>
      <c r="G206" s="23">
        <v>31744555431</v>
      </c>
      <c r="I206" s="23">
        <v>669299</v>
      </c>
      <c r="J206" s="23">
        <v>24043170054</v>
      </c>
      <c r="L206" s="23">
        <v>200000</v>
      </c>
      <c r="M206" s="23">
        <v>6403001475</v>
      </c>
      <c r="O206" s="23">
        <v>1382048</v>
      </c>
      <c r="Q206" s="23">
        <v>31850</v>
      </c>
      <c r="S206" s="23">
        <v>33301602176</v>
      </c>
      <c r="U206" s="23">
        <v>43266558461</v>
      </c>
      <c r="W206" s="24">
        <v>7.3731487872155024E-3</v>
      </c>
    </row>
    <row r="207" spans="1:23" ht="18.75" x14ac:dyDescent="0.45">
      <c r="A207" s="21" t="s">
        <v>213</v>
      </c>
      <c r="C207" s="23">
        <v>246131</v>
      </c>
      <c r="E207" s="23">
        <v>8999408991</v>
      </c>
      <c r="G207" s="23">
        <v>14885721429</v>
      </c>
      <c r="I207" s="23">
        <v>604648</v>
      </c>
      <c r="J207" s="23">
        <v>40046615596</v>
      </c>
      <c r="L207" s="23">
        <v>839588</v>
      </c>
      <c r="M207" s="23">
        <v>51169615612</v>
      </c>
      <c r="O207" s="23">
        <v>11191</v>
      </c>
      <c r="Q207" s="23">
        <v>60560</v>
      </c>
      <c r="S207" s="23">
        <v>645142935</v>
      </c>
      <c r="U207" s="23">
        <v>672266041</v>
      </c>
      <c r="W207" s="24">
        <v>1.1456232529687444E-4</v>
      </c>
    </row>
    <row r="208" spans="1:23" ht="18.75" x14ac:dyDescent="0.45">
      <c r="A208" s="21" t="s">
        <v>214</v>
      </c>
      <c r="C208" s="23">
        <v>795993</v>
      </c>
      <c r="E208" s="23">
        <v>21860329397</v>
      </c>
      <c r="G208" s="23">
        <v>23023835245</v>
      </c>
      <c r="N208" s="22"/>
      <c r="O208" s="23">
        <v>795993</v>
      </c>
      <c r="Q208" s="23">
        <v>43840</v>
      </c>
      <c r="S208" s="23">
        <v>21860329397</v>
      </c>
      <c r="U208" s="23">
        <v>34729263662</v>
      </c>
      <c r="W208" s="24">
        <v>5.9182897220997135E-3</v>
      </c>
    </row>
    <row r="209" spans="1:23" ht="18.75" x14ac:dyDescent="0.45">
      <c r="A209" s="21" t="s">
        <v>215</v>
      </c>
      <c r="C209" s="23">
        <v>292921</v>
      </c>
      <c r="E209" s="23">
        <v>9637966266</v>
      </c>
      <c r="G209" s="23">
        <v>14922316039</v>
      </c>
      <c r="I209" s="23">
        <v>100000</v>
      </c>
      <c r="J209" s="23">
        <v>5980890755</v>
      </c>
      <c r="L209" s="23">
        <v>0</v>
      </c>
      <c r="M209" s="23">
        <v>0</v>
      </c>
      <c r="O209" s="23">
        <v>392921</v>
      </c>
      <c r="Q209" s="23">
        <v>60700</v>
      </c>
      <c r="S209" s="23">
        <v>15618857021</v>
      </c>
      <c r="U209" s="23">
        <v>23662043007</v>
      </c>
      <c r="W209" s="24">
        <v>4.0323004626624699E-3</v>
      </c>
    </row>
    <row r="210" spans="1:23" ht="18.75" x14ac:dyDescent="0.45">
      <c r="A210" s="21" t="s">
        <v>216</v>
      </c>
      <c r="C210" s="23">
        <v>48341</v>
      </c>
      <c r="E210" s="23">
        <v>13238121345</v>
      </c>
      <c r="G210" s="23">
        <v>18950450720</v>
      </c>
      <c r="N210" s="22"/>
      <c r="O210" s="23">
        <v>48341</v>
      </c>
      <c r="Q210" s="23">
        <v>612690</v>
      </c>
      <c r="S210" s="23">
        <v>13238121345</v>
      </c>
      <c r="U210" s="23">
        <v>29064840674</v>
      </c>
      <c r="W210" s="24">
        <v>4.9530030210117593E-3</v>
      </c>
    </row>
    <row r="211" spans="1:23" ht="18.75" x14ac:dyDescent="0.45">
      <c r="A211" s="21" t="s">
        <v>217</v>
      </c>
      <c r="C211" s="23">
        <v>1036013</v>
      </c>
      <c r="E211" s="23">
        <v>15308591175</v>
      </c>
      <c r="G211" s="23">
        <v>22554421352</v>
      </c>
      <c r="I211" s="23">
        <v>900000</v>
      </c>
      <c r="J211" s="23">
        <v>20475401499</v>
      </c>
      <c r="L211" s="23">
        <v>400000</v>
      </c>
      <c r="M211" s="23">
        <v>11207689677</v>
      </c>
      <c r="O211" s="23">
        <v>1536013</v>
      </c>
      <c r="Q211" s="23">
        <v>27450</v>
      </c>
      <c r="S211" s="23">
        <v>28390655403</v>
      </c>
      <c r="U211" s="23">
        <v>41715701386</v>
      </c>
      <c r="W211" s="24">
        <v>7.1088638436374741E-3</v>
      </c>
    </row>
    <row r="212" spans="1:23" ht="18.75" x14ac:dyDescent="0.45">
      <c r="A212" s="21" t="s">
        <v>218</v>
      </c>
      <c r="C212" s="23">
        <v>4658472</v>
      </c>
      <c r="E212" s="23">
        <v>25832654995</v>
      </c>
      <c r="G212" s="23">
        <v>35916529829</v>
      </c>
      <c r="N212" s="22"/>
      <c r="O212" s="23">
        <v>4658472</v>
      </c>
      <c r="Q212" s="23">
        <v>7510</v>
      </c>
      <c r="S212" s="23">
        <v>22952966108</v>
      </c>
      <c r="U212" s="23">
        <v>34992037427</v>
      </c>
      <c r="W212" s="24">
        <v>5.9630695736903648E-3</v>
      </c>
    </row>
    <row r="213" spans="1:23" ht="18.75" x14ac:dyDescent="0.45">
      <c r="A213" s="21" t="s">
        <v>219</v>
      </c>
      <c r="H213" s="22"/>
      <c r="N213" s="22"/>
      <c r="O213" s="23">
        <v>733278</v>
      </c>
      <c r="Q213" s="23">
        <v>6510</v>
      </c>
      <c r="S213" s="23">
        <v>2879688887</v>
      </c>
      <c r="U213" s="23">
        <v>4780396130</v>
      </c>
      <c r="W213" s="24">
        <v>8.1463775215886546E-4</v>
      </c>
    </row>
    <row r="214" spans="1:23" ht="18.75" x14ac:dyDescent="0.45">
      <c r="A214" s="21" t="s">
        <v>220</v>
      </c>
      <c r="C214" s="23">
        <v>12702067</v>
      </c>
      <c r="E214" s="23">
        <v>33018416265</v>
      </c>
      <c r="G214" s="23">
        <v>36173135663</v>
      </c>
      <c r="I214" s="23">
        <v>3492935</v>
      </c>
      <c r="J214" s="23">
        <v>10505022957</v>
      </c>
      <c r="L214" s="23">
        <v>1600000</v>
      </c>
      <c r="M214" s="23">
        <v>4580318343</v>
      </c>
      <c r="O214" s="23">
        <v>14595002</v>
      </c>
      <c r="Q214" s="23">
        <v>3111</v>
      </c>
      <c r="S214" s="23">
        <v>39223501330</v>
      </c>
      <c r="U214" s="23">
        <v>45140963272</v>
      </c>
      <c r="W214" s="24">
        <v>7.6925702076049464E-3</v>
      </c>
    </row>
    <row r="215" spans="1:23" ht="18.75" x14ac:dyDescent="0.45">
      <c r="A215" s="21" t="s">
        <v>221</v>
      </c>
      <c r="C215" s="23">
        <v>1991872</v>
      </c>
      <c r="E215" s="23">
        <v>27162123542</v>
      </c>
      <c r="G215" s="23">
        <v>32967600155</v>
      </c>
      <c r="I215" s="23">
        <v>1165358</v>
      </c>
      <c r="J215" s="23">
        <v>19787380479</v>
      </c>
      <c r="L215" s="23">
        <v>238385</v>
      </c>
      <c r="M215" s="23">
        <v>3919556477</v>
      </c>
      <c r="O215" s="23">
        <v>2918845</v>
      </c>
      <c r="Q215" s="23">
        <v>16730</v>
      </c>
      <c r="S215" s="23">
        <v>43404606273</v>
      </c>
      <c r="U215" s="23">
        <v>48454803350</v>
      </c>
      <c r="W215" s="24">
        <v>8.2572889377566846E-3</v>
      </c>
    </row>
    <row r="216" spans="1:23" ht="37.5" x14ac:dyDescent="0.45">
      <c r="A216" s="21" t="s">
        <v>222</v>
      </c>
      <c r="C216" s="23">
        <v>450000</v>
      </c>
      <c r="E216" s="23">
        <v>2252043000</v>
      </c>
      <c r="G216" s="23">
        <v>7144344000</v>
      </c>
      <c r="N216" s="22"/>
      <c r="O216" s="23">
        <v>450000</v>
      </c>
      <c r="Q216" s="23">
        <v>14350</v>
      </c>
      <c r="S216" s="23">
        <v>2252043000</v>
      </c>
      <c r="U216" s="23">
        <v>6470096535</v>
      </c>
      <c r="W216" s="24">
        <v>1.1025832910469E-3</v>
      </c>
    </row>
    <row r="217" spans="1:23" ht="18.75" x14ac:dyDescent="0.45">
      <c r="A217" s="21" t="s">
        <v>223</v>
      </c>
      <c r="C217" s="23">
        <v>2600000</v>
      </c>
      <c r="E217" s="23">
        <v>16275489574</v>
      </c>
      <c r="G217" s="23">
        <v>21000402280</v>
      </c>
      <c r="I217" s="23">
        <v>0</v>
      </c>
      <c r="J217" s="23">
        <v>0</v>
      </c>
      <c r="L217" s="23">
        <v>1200000</v>
      </c>
      <c r="M217" s="23">
        <v>8585771882</v>
      </c>
      <c r="O217" s="23">
        <v>1400000</v>
      </c>
      <c r="Q217" s="23">
        <v>7460</v>
      </c>
      <c r="S217" s="23">
        <v>8763725155</v>
      </c>
      <c r="U217" s="23">
        <v>10363267880</v>
      </c>
      <c r="W217" s="24">
        <v>1.7660271285474768E-3</v>
      </c>
    </row>
    <row r="218" spans="1:23" ht="18.75" x14ac:dyDescent="0.45">
      <c r="A218" s="21" t="s">
        <v>224</v>
      </c>
      <c r="C218" s="23">
        <v>1405716</v>
      </c>
      <c r="E218" s="23">
        <v>7977806216</v>
      </c>
      <c r="G218" s="23">
        <v>17491416684</v>
      </c>
      <c r="N218" s="22"/>
      <c r="O218" s="23">
        <v>1405716</v>
      </c>
      <c r="Q218" s="23">
        <v>13140</v>
      </c>
      <c r="S218" s="23">
        <v>7977806216</v>
      </c>
      <c r="U218" s="23">
        <v>18467811555</v>
      </c>
      <c r="W218" s="24">
        <v>3.1471401288367122E-3</v>
      </c>
    </row>
    <row r="219" spans="1:23" ht="37.5" x14ac:dyDescent="0.45">
      <c r="A219" s="21" t="s">
        <v>225</v>
      </c>
      <c r="C219" s="23">
        <v>75470</v>
      </c>
      <c r="E219" s="23">
        <v>10314715141</v>
      </c>
      <c r="G219" s="23">
        <v>17588619711</v>
      </c>
      <c r="I219" s="23">
        <v>100000</v>
      </c>
      <c r="J219" s="23">
        <v>26528384092</v>
      </c>
      <c r="L219" s="23">
        <v>175470</v>
      </c>
      <c r="M219" s="23">
        <v>47929044604</v>
      </c>
      <c r="W219" s="24">
        <v>0</v>
      </c>
    </row>
    <row r="220" spans="1:23" ht="18.75" x14ac:dyDescent="0.45">
      <c r="A220" s="21" t="s">
        <v>226</v>
      </c>
      <c r="C220" s="23">
        <v>3267894</v>
      </c>
      <c r="E220" s="23">
        <v>10030480521</v>
      </c>
      <c r="G220" s="23">
        <v>12565203570</v>
      </c>
      <c r="I220" s="23">
        <v>5590839</v>
      </c>
      <c r="J220" s="23">
        <v>23361556870</v>
      </c>
      <c r="L220" s="23">
        <v>0</v>
      </c>
      <c r="M220" s="23">
        <v>0</v>
      </c>
      <c r="O220" s="23">
        <v>8858733</v>
      </c>
      <c r="Q220" s="23">
        <v>3839</v>
      </c>
      <c r="S220" s="23">
        <v>33392037391</v>
      </c>
      <c r="U220" s="23">
        <v>33842481727</v>
      </c>
      <c r="W220" s="24">
        <v>5.7671712744777823E-3</v>
      </c>
    </row>
    <row r="221" spans="1:23" ht="18.75" x14ac:dyDescent="0.45">
      <c r="A221" s="21" t="s">
        <v>227</v>
      </c>
      <c r="C221" s="23">
        <v>1724465</v>
      </c>
      <c r="E221" s="23">
        <v>13637699241</v>
      </c>
      <c r="G221" s="23">
        <v>17761580112</v>
      </c>
      <c r="I221" s="23">
        <v>300000</v>
      </c>
      <c r="J221" s="23">
        <v>3346414400</v>
      </c>
      <c r="L221" s="23">
        <v>0</v>
      </c>
      <c r="M221" s="23">
        <v>0</v>
      </c>
      <c r="O221" s="23">
        <v>2024465</v>
      </c>
      <c r="Q221" s="23">
        <v>9510</v>
      </c>
      <c r="S221" s="23">
        <v>16984113641</v>
      </c>
      <c r="U221" s="23">
        <v>19204279866</v>
      </c>
      <c r="W221" s="24">
        <v>3.2726433032795542E-3</v>
      </c>
    </row>
    <row r="222" spans="1:23" ht="18.75" x14ac:dyDescent="0.45">
      <c r="A222" s="21" t="s">
        <v>228</v>
      </c>
      <c r="C222" s="23">
        <v>1792838</v>
      </c>
      <c r="E222" s="23">
        <v>12418715001</v>
      </c>
      <c r="G222" s="23">
        <v>16740195799</v>
      </c>
      <c r="I222" s="23">
        <v>400000</v>
      </c>
      <c r="J222" s="23">
        <v>3929115068</v>
      </c>
      <c r="L222" s="23">
        <v>0</v>
      </c>
      <c r="M222" s="23">
        <v>0</v>
      </c>
      <c r="O222" s="23">
        <v>2192838</v>
      </c>
      <c r="Q222" s="23">
        <v>10290</v>
      </c>
      <c r="S222" s="23">
        <v>16347830069</v>
      </c>
      <c r="U222" s="23">
        <v>22455157579</v>
      </c>
      <c r="W222" s="24">
        <v>3.8266324792062098E-3</v>
      </c>
    </row>
    <row r="223" spans="1:23" ht="18.75" x14ac:dyDescent="0.45">
      <c r="A223" s="21" t="s">
        <v>229</v>
      </c>
      <c r="C223" s="23">
        <v>2031330</v>
      </c>
      <c r="E223" s="23">
        <v>6332700327</v>
      </c>
      <c r="G223" s="23">
        <v>9197309739</v>
      </c>
      <c r="I223" s="23">
        <v>2919723</v>
      </c>
      <c r="J223" s="23">
        <v>13442221356</v>
      </c>
      <c r="L223" s="23">
        <v>0</v>
      </c>
      <c r="M223" s="23">
        <v>0</v>
      </c>
      <c r="O223" s="23">
        <v>4951053</v>
      </c>
      <c r="Q223" s="23">
        <v>4386</v>
      </c>
      <c r="S223" s="23">
        <v>19774921683</v>
      </c>
      <c r="U223" s="23">
        <v>21572022953</v>
      </c>
      <c r="W223" s="24">
        <v>3.6761355774822305E-3</v>
      </c>
    </row>
    <row r="224" spans="1:23" ht="18.75" x14ac:dyDescent="0.45">
      <c r="A224" s="21" t="s">
        <v>230</v>
      </c>
      <c r="C224" s="23">
        <v>9512833</v>
      </c>
      <c r="E224" s="23">
        <v>19362539552</v>
      </c>
      <c r="G224" s="23">
        <v>29091918904</v>
      </c>
      <c r="I224" s="23">
        <v>11023214</v>
      </c>
      <c r="J224" s="23">
        <v>35934159612</v>
      </c>
      <c r="L224" s="23">
        <v>2800000</v>
      </c>
      <c r="M224" s="23">
        <v>8503637926</v>
      </c>
      <c r="O224" s="23">
        <v>17736047</v>
      </c>
      <c r="Q224" s="23">
        <v>3045</v>
      </c>
      <c r="S224" s="23">
        <v>47923700829</v>
      </c>
      <c r="U224" s="23">
        <v>53324810491</v>
      </c>
      <c r="W224" s="24">
        <v>9.0871974981466073E-3</v>
      </c>
    </row>
    <row r="225" spans="1:23" ht="37.5" x14ac:dyDescent="0.45">
      <c r="A225" s="21" t="s">
        <v>231</v>
      </c>
      <c r="C225" s="23">
        <v>9752234</v>
      </c>
      <c r="E225" s="23">
        <v>13415884464</v>
      </c>
      <c r="G225" s="23">
        <v>17815079435</v>
      </c>
      <c r="N225" s="22"/>
      <c r="O225" s="23">
        <v>9752234</v>
      </c>
      <c r="Q225" s="23">
        <v>1740</v>
      </c>
      <c r="S225" s="23">
        <v>13415884464</v>
      </c>
      <c r="U225" s="23">
        <v>16934486155</v>
      </c>
      <c r="W225" s="24">
        <v>2.8858427963112396E-3</v>
      </c>
    </row>
    <row r="226" spans="1:23" ht="37.5" x14ac:dyDescent="0.45">
      <c r="A226" s="21" t="s">
        <v>232</v>
      </c>
      <c r="C226" s="23">
        <v>21998347</v>
      </c>
      <c r="E226" s="23">
        <v>28316226661</v>
      </c>
      <c r="G226" s="23">
        <v>27503657720</v>
      </c>
      <c r="I226" s="23">
        <v>20944831</v>
      </c>
      <c r="J226" s="23">
        <v>26351301420</v>
      </c>
      <c r="L226" s="23">
        <v>11583784</v>
      </c>
      <c r="M226" s="23">
        <v>12862391777</v>
      </c>
      <c r="O226" s="23">
        <v>31359394</v>
      </c>
      <c r="Q226" s="23">
        <v>1154</v>
      </c>
      <c r="S226" s="23">
        <v>39921138396</v>
      </c>
      <c r="U226" s="23">
        <v>35971235682</v>
      </c>
      <c r="W226" s="24">
        <v>6.1299368883811003E-3</v>
      </c>
    </row>
    <row r="227" spans="1:23" ht="37.5" x14ac:dyDescent="0.45">
      <c r="A227" s="21" t="s">
        <v>233</v>
      </c>
      <c r="H227" s="22"/>
      <c r="I227" s="23">
        <v>6800000</v>
      </c>
      <c r="J227" s="23">
        <v>23275009420</v>
      </c>
      <c r="L227" s="23">
        <v>0</v>
      </c>
      <c r="M227" s="23">
        <v>0</v>
      </c>
      <c r="O227" s="23">
        <v>6800000</v>
      </c>
      <c r="Q227" s="23">
        <v>3867</v>
      </c>
      <c r="S227" s="23">
        <v>23275009420</v>
      </c>
      <c r="U227" s="23">
        <v>25835932444</v>
      </c>
      <c r="W227" s="24">
        <v>4.4027577126978515E-3</v>
      </c>
    </row>
    <row r="228" spans="1:23" ht="18.75" x14ac:dyDescent="0.45">
      <c r="A228" s="21" t="s">
        <v>234</v>
      </c>
      <c r="C228" s="23">
        <v>10259149</v>
      </c>
      <c r="E228" s="23">
        <v>19267952256</v>
      </c>
      <c r="G228" s="23">
        <v>25999326118</v>
      </c>
      <c r="I228" s="23">
        <v>8800000</v>
      </c>
      <c r="J228" s="23">
        <v>24185369207</v>
      </c>
      <c r="L228" s="23">
        <v>2800000</v>
      </c>
      <c r="M228" s="23">
        <v>6919985590</v>
      </c>
      <c r="O228" s="23">
        <v>16259149</v>
      </c>
      <c r="Q228" s="23">
        <v>2687</v>
      </c>
      <c r="S228" s="23">
        <v>37213680096</v>
      </c>
      <c r="U228" s="23">
        <v>43092487094</v>
      </c>
      <c r="W228" s="24">
        <v>7.3434849051287887E-3</v>
      </c>
    </row>
    <row r="229" spans="1:23" ht="18.75" x14ac:dyDescent="0.45">
      <c r="A229" s="21" t="s">
        <v>235</v>
      </c>
      <c r="H229" s="22"/>
      <c r="I229" s="23">
        <v>12735761</v>
      </c>
      <c r="J229" s="23">
        <v>45699887286</v>
      </c>
      <c r="L229" s="23">
        <v>4400000</v>
      </c>
      <c r="M229" s="23">
        <v>14141872413</v>
      </c>
      <c r="O229" s="23">
        <v>8335761</v>
      </c>
      <c r="Q229" s="23">
        <v>3591</v>
      </c>
      <c r="S229" s="23">
        <v>29911313360</v>
      </c>
      <c r="U229" s="23">
        <v>29768500717</v>
      </c>
      <c r="W229" s="24">
        <v>5.0729152668016354E-3</v>
      </c>
    </row>
    <row r="230" spans="1:23" ht="18.75" x14ac:dyDescent="0.45">
      <c r="A230" s="25" t="s">
        <v>236</v>
      </c>
      <c r="C230" s="25">
        <f>SUM(C11:$C$229)</f>
        <v>989818656</v>
      </c>
      <c r="E230" s="25">
        <f>SUM(E11:$E$229)</f>
        <v>3333892549071</v>
      </c>
      <c r="G230" s="25">
        <f>SUM(G11:$G$229)</f>
        <v>4174321966269</v>
      </c>
      <c r="I230" s="25">
        <f>SUM(I11:$I$229)</f>
        <v>553623590</v>
      </c>
      <c r="J230" s="25">
        <f>SUM(J11:$J$229)</f>
        <v>2127800368386</v>
      </c>
      <c r="L230" s="25">
        <f>SUM(L11:$L$229)</f>
        <v>228595824</v>
      </c>
      <c r="M230" s="25">
        <f>SUM(M11:$M$229)</f>
        <v>859014166591</v>
      </c>
      <c r="O230" s="25">
        <f>SUM(O11:$O$229)</f>
        <v>1333208775</v>
      </c>
      <c r="Q230" s="25">
        <f>SUM(Q11:$Q$229)</f>
        <v>3937115</v>
      </c>
      <c r="S230" s="25">
        <f>SUM(S11:$S$229)</f>
        <v>4666285137883</v>
      </c>
      <c r="U230" s="25">
        <f>SUM(U11:$U$229)</f>
        <v>5564968801818</v>
      </c>
      <c r="W230" s="26">
        <f>SUM(W11:$W$229)</f>
        <v>0.94833849586168728</v>
      </c>
    </row>
    <row r="231" spans="1:23" ht="18.75" x14ac:dyDescent="0.45">
      <c r="C231" s="27"/>
      <c r="E231" s="27"/>
      <c r="G231" s="27"/>
      <c r="I231" s="27"/>
      <c r="J231" s="27"/>
      <c r="L231" s="27"/>
      <c r="M231" s="27"/>
      <c r="O231" s="27"/>
      <c r="Q231" s="27"/>
      <c r="S231" s="27"/>
      <c r="U231" s="27"/>
      <c r="W231" s="27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84" zoomScaleNormal="100" zoomScaleSheetLayoutView="84" workbookViewId="0">
      <selection activeCellId="1" sqref="A1:W1 A1:XFD1048576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12.7109375" style="13" customWidth="1"/>
    <col min="4" max="4" width="1.42578125" style="13" customWidth="1"/>
    <col min="5" max="5" width="17" style="13" customWidth="1"/>
    <col min="6" max="6" width="1.42578125" style="13" customWidth="1"/>
    <col min="7" max="7" width="17" style="13" customWidth="1"/>
    <col min="8" max="8" width="1.42578125" style="13" customWidth="1"/>
    <col min="9" max="9" width="11.42578125" style="13" customWidth="1"/>
    <col min="10" max="10" width="17" style="13" customWidth="1"/>
    <col min="11" max="11" width="1.42578125" style="13" customWidth="1"/>
    <col min="12" max="12" width="11.42578125" style="13" customWidth="1"/>
    <col min="13" max="13" width="17" style="13" customWidth="1"/>
    <col min="14" max="14" width="1.42578125" style="13" customWidth="1"/>
    <col min="15" max="15" width="12.7109375" style="13" customWidth="1"/>
    <col min="16" max="16" width="1.42578125" style="13" customWidth="1"/>
    <col min="17" max="17" width="11.42578125" style="13" customWidth="1"/>
    <col min="18" max="18" width="1.42578125" style="13" customWidth="1"/>
    <col min="19" max="19" width="17" style="13" customWidth="1"/>
    <col min="20" max="20" width="1.42578125" style="13" customWidth="1"/>
    <col min="21" max="21" width="17" style="13" customWidth="1"/>
    <col min="22" max="22" width="1.42578125" style="13" customWidth="1"/>
    <col min="23" max="23" width="8.5703125" style="13" customWidth="1"/>
    <col min="24" max="16384" width="9.140625" style="13"/>
  </cols>
  <sheetData>
    <row r="1" spans="1:24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4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4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1:24" ht="21" x14ac:dyDescent="0.45">
      <c r="A5" s="14" t="s">
        <v>237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7" spans="1:24" ht="21" x14ac:dyDescent="0.45">
      <c r="A7" s="15" t="s">
        <v>238</v>
      </c>
      <c r="B7" s="16"/>
      <c r="C7" s="16"/>
      <c r="D7" s="16"/>
      <c r="E7" s="16"/>
      <c r="F7" s="16"/>
      <c r="G7" s="16"/>
      <c r="I7" s="15" t="s">
        <v>5</v>
      </c>
      <c r="J7" s="16"/>
      <c r="K7" s="16"/>
      <c r="L7" s="16"/>
      <c r="M7" s="16"/>
      <c r="O7" s="15" t="s">
        <v>7</v>
      </c>
      <c r="P7" s="16"/>
      <c r="Q7" s="16"/>
      <c r="R7" s="16"/>
      <c r="S7" s="16"/>
      <c r="T7" s="16"/>
      <c r="U7" s="16"/>
      <c r="V7" s="16"/>
      <c r="W7" s="16"/>
    </row>
    <row r="8" spans="1:24" x14ac:dyDescent="0.45">
      <c r="A8" s="17"/>
      <c r="B8" s="12"/>
      <c r="C8" s="12"/>
      <c r="D8" s="12"/>
      <c r="E8" s="12"/>
      <c r="F8" s="12"/>
      <c r="G8" s="12"/>
      <c r="I8" s="17" t="s">
        <v>239</v>
      </c>
      <c r="J8" s="17" t="s">
        <v>240</v>
      </c>
      <c r="L8" s="17" t="s">
        <v>241</v>
      </c>
      <c r="M8" s="17" t="s">
        <v>242</v>
      </c>
      <c r="O8" s="17" t="s">
        <v>239</v>
      </c>
      <c r="Q8" s="17" t="s">
        <v>240</v>
      </c>
      <c r="S8" s="18" t="s">
        <v>241</v>
      </c>
      <c r="U8" s="17" t="s">
        <v>242</v>
      </c>
    </row>
    <row r="9" spans="1:24" x14ac:dyDescent="0.45">
      <c r="A9" s="12"/>
      <c r="B9" s="12"/>
      <c r="C9" s="12"/>
      <c r="D9" s="12"/>
      <c r="E9" s="12"/>
      <c r="F9" s="12"/>
      <c r="G9" s="12"/>
      <c r="I9" s="12"/>
      <c r="J9" s="12"/>
      <c r="L9" s="12"/>
      <c r="M9" s="12"/>
      <c r="O9" s="12"/>
      <c r="Q9" s="12"/>
      <c r="S9" s="12"/>
      <c r="U9" s="12"/>
    </row>
    <row r="10" spans="1:24" x14ac:dyDescent="0.45">
      <c r="A10" s="17" t="s">
        <v>243</v>
      </c>
      <c r="B10" s="12"/>
      <c r="C10" s="12"/>
      <c r="D10" s="12"/>
      <c r="E10" s="12"/>
      <c r="F10" s="12"/>
      <c r="G10" s="12"/>
      <c r="I10" s="36">
        <v>123</v>
      </c>
      <c r="J10" s="36">
        <v>17150</v>
      </c>
      <c r="L10" s="17" t="s">
        <v>244</v>
      </c>
      <c r="M10" s="37" t="s">
        <v>415</v>
      </c>
      <c r="O10" s="36">
        <v>123</v>
      </c>
      <c r="Q10" s="36">
        <v>17150</v>
      </c>
      <c r="S10" s="17" t="s">
        <v>244</v>
      </c>
      <c r="U10" s="37" t="s">
        <v>415</v>
      </c>
    </row>
    <row r="11" spans="1:24" x14ac:dyDescent="0.45">
      <c r="A11" s="12"/>
      <c r="B11" s="12"/>
      <c r="C11" s="12"/>
      <c r="D11" s="12"/>
      <c r="E11" s="12"/>
      <c r="F11" s="12"/>
      <c r="G11" s="12"/>
      <c r="I11" s="12"/>
      <c r="J11" s="12"/>
      <c r="L11" s="12"/>
      <c r="M11" s="12"/>
      <c r="O11" s="12"/>
      <c r="Q11" s="12"/>
      <c r="S11" s="12"/>
      <c r="U11" s="12"/>
    </row>
    <row r="13" spans="1:24" ht="21" x14ac:dyDescent="0.45">
      <c r="A13" s="14" t="s">
        <v>245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5" spans="1:24" ht="21" x14ac:dyDescent="0.45">
      <c r="A15" s="15" t="s">
        <v>238</v>
      </c>
      <c r="B15" s="16"/>
      <c r="C15" s="16"/>
      <c r="D15" s="16"/>
      <c r="E15" s="16"/>
      <c r="F15" s="16"/>
      <c r="G15" s="16"/>
      <c r="I15" s="15" t="s">
        <v>5</v>
      </c>
      <c r="J15" s="16"/>
      <c r="K15" s="16"/>
      <c r="L15" s="16"/>
      <c r="M15" s="16"/>
      <c r="N15" s="16"/>
      <c r="O15" s="16"/>
      <c r="Q15" s="15" t="s">
        <v>7</v>
      </c>
      <c r="R15" s="16"/>
      <c r="S15" s="16"/>
      <c r="T15" s="16"/>
      <c r="U15" s="16"/>
      <c r="V15" s="16"/>
      <c r="W15" s="16"/>
      <c r="X15" s="16"/>
    </row>
    <row r="16" spans="1:24" x14ac:dyDescent="0.45">
      <c r="A16" s="17"/>
      <c r="B16" s="12"/>
      <c r="C16" s="12"/>
      <c r="D16" s="12"/>
      <c r="E16" s="12"/>
      <c r="F16" s="12"/>
      <c r="G16" s="12"/>
      <c r="I16" s="17" t="s">
        <v>246</v>
      </c>
      <c r="J16" s="17" t="s">
        <v>247</v>
      </c>
      <c r="L16" s="17" t="s">
        <v>248</v>
      </c>
      <c r="M16" s="17" t="s">
        <v>240</v>
      </c>
      <c r="O16" s="17" t="s">
        <v>241</v>
      </c>
      <c r="Q16" s="17" t="s">
        <v>246</v>
      </c>
      <c r="S16" s="17" t="s">
        <v>247</v>
      </c>
      <c r="U16" s="17" t="s">
        <v>248</v>
      </c>
      <c r="W16" s="17" t="s">
        <v>240</v>
      </c>
      <c r="X16" s="17" t="s">
        <v>241</v>
      </c>
    </row>
    <row r="17" spans="1:24" x14ac:dyDescent="0.45">
      <c r="A17" s="12"/>
      <c r="B17" s="12"/>
      <c r="C17" s="12"/>
      <c r="D17" s="12"/>
      <c r="E17" s="12"/>
      <c r="F17" s="12"/>
      <c r="G17" s="12"/>
      <c r="I17" s="12"/>
      <c r="J17" s="12"/>
      <c r="L17" s="12"/>
      <c r="M17" s="12"/>
      <c r="O17" s="12"/>
      <c r="Q17" s="12"/>
      <c r="S17" s="12"/>
      <c r="U17" s="12"/>
      <c r="W17" s="12"/>
      <c r="X17" s="12"/>
    </row>
    <row r="19" spans="1:24" ht="21" x14ac:dyDescent="0.45">
      <c r="A19" s="14" t="s">
        <v>249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4" ht="21" x14ac:dyDescent="0.45">
      <c r="A20" s="15" t="s">
        <v>238</v>
      </c>
      <c r="B20" s="16"/>
      <c r="C20" s="16"/>
      <c r="D20" s="16"/>
      <c r="E20" s="16"/>
      <c r="F20" s="16"/>
      <c r="G20" s="16"/>
      <c r="I20" s="15" t="s">
        <v>5</v>
      </c>
      <c r="J20" s="16"/>
      <c r="K20" s="16"/>
      <c r="L20" s="16"/>
      <c r="M20" s="16"/>
      <c r="O20" s="15" t="s">
        <v>7</v>
      </c>
      <c r="P20" s="16"/>
      <c r="Q20" s="16"/>
      <c r="R20" s="16"/>
      <c r="S20" s="16"/>
      <c r="T20" s="16"/>
      <c r="U20" s="16"/>
      <c r="V20" s="16"/>
      <c r="W20" s="16"/>
    </row>
    <row r="21" spans="1:24" x14ac:dyDescent="0.45">
      <c r="A21" s="17"/>
      <c r="B21" s="12"/>
      <c r="C21" s="12"/>
      <c r="D21" s="12"/>
      <c r="E21" s="12"/>
      <c r="F21" s="12"/>
      <c r="G21" s="12"/>
      <c r="I21" s="17" t="s">
        <v>247</v>
      </c>
      <c r="J21" s="17" t="s">
        <v>248</v>
      </c>
      <c r="L21" s="17" t="s">
        <v>240</v>
      </c>
      <c r="M21" s="17" t="s">
        <v>241</v>
      </c>
      <c r="O21" s="17" t="s">
        <v>247</v>
      </c>
      <c r="Q21" s="17" t="s">
        <v>248</v>
      </c>
      <c r="S21" s="17" t="s">
        <v>240</v>
      </c>
      <c r="U21" s="17" t="s">
        <v>241</v>
      </c>
    </row>
    <row r="22" spans="1:24" x14ac:dyDescent="0.45">
      <c r="A22" s="12"/>
      <c r="B22" s="12"/>
      <c r="C22" s="12"/>
      <c r="D22" s="12"/>
      <c r="E22" s="12"/>
      <c r="F22" s="12"/>
      <c r="G22" s="12"/>
      <c r="I22" s="12"/>
      <c r="J22" s="12"/>
      <c r="L22" s="12"/>
      <c r="M22" s="12"/>
      <c r="O22" s="12"/>
      <c r="Q22" s="12"/>
      <c r="S22" s="12"/>
      <c r="U22" s="12"/>
    </row>
  </sheetData>
  <mergeCells count="53"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L8:L9"/>
    <mergeCell ref="M8:M9"/>
    <mergeCell ref="A1:W1"/>
    <mergeCell ref="A2:W2"/>
    <mergeCell ref="A3:W3"/>
    <mergeCell ref="A5:W5"/>
    <mergeCell ref="A7:G7"/>
    <mergeCell ref="I7:M7"/>
    <mergeCell ref="O7:W7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8.5703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1.42578125" style="13" customWidth="1"/>
    <col min="10" max="10" width="1.42578125" style="13" customWidth="1"/>
    <col min="11" max="11" width="7.140625" style="13" customWidth="1"/>
    <col min="12" max="12" width="1.42578125" style="13" customWidth="1"/>
    <col min="13" max="13" width="7.140625" style="13" customWidth="1"/>
    <col min="14" max="14" width="1.42578125" style="13" customWidth="1"/>
    <col min="15" max="15" width="11.42578125" style="13" customWidth="1"/>
    <col min="16" max="16" width="1.42578125" style="13" customWidth="1"/>
    <col min="17" max="17" width="18.42578125" style="13" customWidth="1"/>
    <col min="18" max="18" width="1.42578125" style="13" customWidth="1"/>
    <col min="19" max="19" width="18.42578125" style="13" customWidth="1"/>
    <col min="20" max="20" width="1.42578125" style="13" customWidth="1"/>
    <col min="21" max="21" width="11.42578125" style="13" customWidth="1"/>
    <col min="22" max="22" width="18.42578125" style="13" customWidth="1"/>
    <col min="23" max="23" width="1.42578125" style="13" customWidth="1"/>
    <col min="24" max="24" width="11.42578125" style="13" customWidth="1"/>
    <col min="25" max="25" width="18.42578125" style="13" customWidth="1"/>
    <col min="26" max="26" width="1.42578125" style="13" customWidth="1"/>
    <col min="27" max="27" width="11.42578125" style="13" customWidth="1"/>
    <col min="28" max="28" width="1.42578125" style="13" customWidth="1"/>
    <col min="29" max="29" width="11.42578125" style="13" customWidth="1"/>
    <col min="30" max="30" width="1.42578125" style="13" customWidth="1"/>
    <col min="31" max="31" width="18.42578125" style="13" customWidth="1"/>
    <col min="32" max="32" width="1.42578125" style="13" customWidth="1"/>
    <col min="33" max="33" width="18.42578125" style="13" customWidth="1"/>
    <col min="34" max="34" width="1.42578125" style="13" customWidth="1"/>
    <col min="35" max="35" width="8.5703125" style="13" customWidth="1"/>
    <col min="36" max="16384" width="9.140625" style="13"/>
  </cols>
  <sheetData>
    <row r="1" spans="1:35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5" spans="1:35" ht="21" x14ac:dyDescent="0.45">
      <c r="A5" s="14" t="s">
        <v>250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7" spans="1:35" ht="21" x14ac:dyDescent="0.45">
      <c r="C7" s="15" t="s">
        <v>251</v>
      </c>
      <c r="D7" s="16"/>
      <c r="E7" s="16"/>
      <c r="F7" s="16"/>
      <c r="G7" s="16"/>
      <c r="H7" s="16"/>
      <c r="I7" s="16"/>
      <c r="J7" s="16"/>
      <c r="K7" s="16"/>
      <c r="L7" s="16"/>
      <c r="M7" s="16"/>
      <c r="O7" s="15" t="s">
        <v>5</v>
      </c>
      <c r="P7" s="16"/>
      <c r="Q7" s="16"/>
      <c r="R7" s="16"/>
      <c r="S7" s="16"/>
      <c r="U7" s="15" t="s">
        <v>6</v>
      </c>
      <c r="V7" s="16"/>
      <c r="W7" s="16"/>
      <c r="X7" s="16"/>
      <c r="Y7" s="16"/>
      <c r="AA7" s="15" t="s">
        <v>7</v>
      </c>
      <c r="AB7" s="16"/>
      <c r="AC7" s="16"/>
      <c r="AD7" s="16"/>
      <c r="AE7" s="16"/>
      <c r="AF7" s="16"/>
      <c r="AG7" s="16"/>
      <c r="AH7" s="16"/>
      <c r="AI7" s="16"/>
    </row>
    <row r="8" spans="1:35" ht="18.75" x14ac:dyDescent="0.45">
      <c r="A8" s="17" t="s">
        <v>252</v>
      </c>
      <c r="C8" s="18" t="s">
        <v>253</v>
      </c>
      <c r="E8" s="18" t="s">
        <v>254</v>
      </c>
      <c r="G8" s="18" t="s">
        <v>255</v>
      </c>
      <c r="I8" s="18" t="s">
        <v>256</v>
      </c>
      <c r="K8" s="18" t="s">
        <v>257</v>
      </c>
      <c r="M8" s="18" t="s">
        <v>258</v>
      </c>
      <c r="O8" s="17" t="s">
        <v>9</v>
      </c>
      <c r="Q8" s="17" t="s">
        <v>10</v>
      </c>
      <c r="S8" s="17" t="s">
        <v>11</v>
      </c>
      <c r="U8" s="17" t="s">
        <v>12</v>
      </c>
      <c r="V8" s="12"/>
      <c r="X8" s="17" t="s">
        <v>13</v>
      </c>
      <c r="Y8" s="12"/>
      <c r="AA8" s="17" t="s">
        <v>9</v>
      </c>
      <c r="AC8" s="18" t="s">
        <v>259</v>
      </c>
      <c r="AE8" s="17" t="s">
        <v>10</v>
      </c>
      <c r="AG8" s="17" t="s">
        <v>11</v>
      </c>
      <c r="AI8" s="18" t="s">
        <v>15</v>
      </c>
    </row>
    <row r="9" spans="1:35" ht="18.75" x14ac:dyDescent="0.45">
      <c r="A9" s="19"/>
      <c r="C9" s="19"/>
      <c r="E9" s="19"/>
      <c r="G9" s="19"/>
      <c r="I9" s="19"/>
      <c r="K9" s="19"/>
      <c r="M9" s="19"/>
      <c r="O9" s="19"/>
      <c r="Q9" s="19"/>
      <c r="S9" s="19"/>
      <c r="U9" s="20" t="s">
        <v>9</v>
      </c>
      <c r="V9" s="20" t="s">
        <v>10</v>
      </c>
      <c r="X9" s="20" t="s">
        <v>9</v>
      </c>
      <c r="Y9" s="20" t="s">
        <v>16</v>
      </c>
      <c r="AA9" s="19"/>
      <c r="AC9" s="19"/>
      <c r="AE9" s="19"/>
      <c r="AG9" s="19"/>
      <c r="AI9" s="19"/>
    </row>
    <row r="10" spans="1:35" ht="18.75" x14ac:dyDescent="0.45">
      <c r="A10" s="25" t="s">
        <v>236</v>
      </c>
      <c r="O10" s="25">
        <f>SUM($O$9)</f>
        <v>0</v>
      </c>
      <c r="Q10" s="25">
        <f>SUM($Q$9)</f>
        <v>0</v>
      </c>
      <c r="S10" s="25">
        <f>SUM($S$9)</f>
        <v>0</v>
      </c>
      <c r="U10" s="25">
        <f>SUM($U$9)</f>
        <v>0</v>
      </c>
      <c r="V10" s="25">
        <f>SUM($V$9)</f>
        <v>0</v>
      </c>
      <c r="X10" s="25">
        <f>SUM($X$9)</f>
        <v>0</v>
      </c>
      <c r="Y10" s="25">
        <f>SUM($Y$9)</f>
        <v>0</v>
      </c>
      <c r="AA10" s="25">
        <f>SUM($AA$9)</f>
        <v>0</v>
      </c>
      <c r="AC10" s="25">
        <f>SUM($AC$9)</f>
        <v>0</v>
      </c>
      <c r="AE10" s="25">
        <f>SUM($AE$9)</f>
        <v>0</v>
      </c>
      <c r="AG10" s="25">
        <f>SUM($AG$9)</f>
        <v>0</v>
      </c>
      <c r="AI10" s="26">
        <f>SUM($AI$9)</f>
        <v>0</v>
      </c>
    </row>
    <row r="11" spans="1:35" ht="18.75" x14ac:dyDescent="0.45">
      <c r="O11" s="27"/>
      <c r="Q11" s="27"/>
      <c r="S11" s="27"/>
      <c r="U11" s="27"/>
      <c r="V11" s="27"/>
      <c r="X11" s="27"/>
      <c r="Y11" s="27"/>
      <c r="AA11" s="27"/>
      <c r="AC11" s="27"/>
      <c r="AE11" s="27"/>
      <c r="AG11" s="27"/>
      <c r="AI11" s="27"/>
    </row>
  </sheetData>
  <mergeCells count="25">
    <mergeCell ref="AG8:AG9"/>
    <mergeCell ref="AI8:AI9"/>
    <mergeCell ref="U8:V8"/>
    <mergeCell ref="X8:Y8"/>
    <mergeCell ref="AA8:AA9"/>
    <mergeCell ref="AC8:AC9"/>
    <mergeCell ref="AE8:AE9"/>
    <mergeCell ref="K8:K9"/>
    <mergeCell ref="M8:M9"/>
    <mergeCell ref="O8:O9"/>
    <mergeCell ref="Q8:Q9"/>
    <mergeCell ref="S8:S9"/>
    <mergeCell ref="A8:A9"/>
    <mergeCell ref="C8:C9"/>
    <mergeCell ref="E8:E9"/>
    <mergeCell ref="G8:G9"/>
    <mergeCell ref="I8:I9"/>
    <mergeCell ref="A1:AI1"/>
    <mergeCell ref="A2:AI2"/>
    <mergeCell ref="A3:AI3"/>
    <mergeCell ref="A5:AI5"/>
    <mergeCell ref="C7:M7"/>
    <mergeCell ref="O7:S7"/>
    <mergeCell ref="U7:Y7"/>
    <mergeCell ref="AA7:AI7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28.42578125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4.140625" style="13" customWidth="1"/>
    <col min="8" max="8" width="1.42578125" style="13" customWidth="1"/>
    <col min="9" max="9" width="8.5703125" style="13" customWidth="1"/>
    <col min="10" max="10" width="1.42578125" style="13" customWidth="1"/>
    <col min="11" max="11" width="21.28515625" style="13" customWidth="1"/>
    <col min="12" max="12" width="1.42578125" style="13" customWidth="1"/>
    <col min="13" max="13" width="28.42578125" style="13" customWidth="1"/>
    <col min="14" max="16384" width="9.140625" style="13"/>
  </cols>
  <sheetData>
    <row r="1" spans="1:13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21" x14ac:dyDescent="0.45">
      <c r="A5" s="14" t="s">
        <v>260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1" x14ac:dyDescent="0.45">
      <c r="A6" s="14" t="s">
        <v>261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8" spans="1:13" ht="21" x14ac:dyDescent="0.45">
      <c r="C8" s="15" t="s">
        <v>7</v>
      </c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42" x14ac:dyDescent="0.45">
      <c r="A9" s="28" t="s">
        <v>262</v>
      </c>
      <c r="C9" s="28" t="s">
        <v>9</v>
      </c>
      <c r="E9" s="28" t="s">
        <v>263</v>
      </c>
      <c r="G9" s="28" t="s">
        <v>264</v>
      </c>
      <c r="I9" s="28" t="s">
        <v>265</v>
      </c>
      <c r="K9" s="29" t="s">
        <v>266</v>
      </c>
      <c r="M9" s="28" t="s">
        <v>267</v>
      </c>
    </row>
    <row r="10" spans="1:13" ht="18.75" x14ac:dyDescent="0.45">
      <c r="A10" s="25" t="s">
        <v>236</v>
      </c>
      <c r="K10" s="25">
        <f>SUM($K$9)</f>
        <v>0</v>
      </c>
    </row>
    <row r="11" spans="1:13" ht="18.75" x14ac:dyDescent="0.45">
      <c r="K11" s="27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rightToLeft="1" view="pageBreakPreview" zoomScale="91" zoomScaleNormal="100" zoomScaleSheetLayoutView="91" workbookViewId="0">
      <selection activeCellId="1" sqref="A1:W1 A1:XFD1048576"/>
    </sheetView>
  </sheetViews>
  <sheetFormatPr defaultRowHeight="18" x14ac:dyDescent="0.45"/>
  <cols>
    <col min="1" max="1" width="20.7109375" style="13" bestFit="1" customWidth="1"/>
    <col min="2" max="3" width="1.42578125" style="13" customWidth="1"/>
    <col min="4" max="4" width="16.42578125" style="13" bestFit="1" customWidth="1"/>
    <col min="5" max="5" width="1.42578125" style="13" customWidth="1"/>
    <col min="6" max="6" width="18.5703125" style="13" bestFit="1" customWidth="1"/>
    <col min="7" max="7" width="1.42578125" style="13" customWidth="1"/>
    <col min="8" max="8" width="18.42578125" style="13" customWidth="1"/>
    <col min="9" max="9" width="1.42578125" style="13" customWidth="1"/>
    <col min="10" max="10" width="15.7109375" style="13" bestFit="1" customWidth="1"/>
    <col min="11" max="11" width="1.42578125" style="13" customWidth="1"/>
    <col min="12" max="12" width="10" style="13" bestFit="1" customWidth="1"/>
    <col min="13" max="16384" width="9.140625" style="13"/>
  </cols>
  <sheetData>
    <row r="1" spans="1:15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5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5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spans="1:15" ht="20.25" customHeight="1" x14ac:dyDescent="0.45">
      <c r="A5" s="43" t="s">
        <v>423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7" spans="1:15" ht="21" x14ac:dyDescent="0.45">
      <c r="D7" s="28" t="s">
        <v>5</v>
      </c>
      <c r="F7" s="15" t="s">
        <v>6</v>
      </c>
      <c r="G7" s="16"/>
      <c r="H7" s="16"/>
      <c r="J7" s="15" t="s">
        <v>7</v>
      </c>
      <c r="K7" s="16"/>
      <c r="L7" s="16"/>
    </row>
    <row r="8" spans="1:15" ht="63" x14ac:dyDescent="0.45">
      <c r="A8" s="28" t="s">
        <v>268</v>
      </c>
      <c r="D8" s="28" t="s">
        <v>269</v>
      </c>
      <c r="F8" s="28" t="s">
        <v>270</v>
      </c>
      <c r="H8" s="28" t="s">
        <v>271</v>
      </c>
      <c r="J8" s="28" t="s">
        <v>269</v>
      </c>
      <c r="L8" s="29" t="s">
        <v>15</v>
      </c>
      <c r="O8" s="38"/>
    </row>
    <row r="9" spans="1:15" ht="18.75" x14ac:dyDescent="0.45">
      <c r="A9" s="42" t="s">
        <v>417</v>
      </c>
      <c r="D9" s="23">
        <v>98063133177</v>
      </c>
      <c r="F9" s="23">
        <v>2186101267093</v>
      </c>
      <c r="H9" s="23">
        <v>2282130876062</v>
      </c>
      <c r="J9" s="23">
        <v>2033524208</v>
      </c>
      <c r="L9" s="24">
        <v>3.4653730459064639E-4</v>
      </c>
    </row>
    <row r="10" spans="1:15" ht="18.75" x14ac:dyDescent="0.45">
      <c r="A10" s="42" t="s">
        <v>418</v>
      </c>
      <c r="D10" s="23">
        <v>18358954629</v>
      </c>
      <c r="F10" s="23">
        <v>1280676769298</v>
      </c>
      <c r="H10" s="23">
        <v>1239606952643</v>
      </c>
      <c r="J10" s="23">
        <v>59428771284</v>
      </c>
      <c r="L10" s="24">
        <v>1.0127386797202743E-2</v>
      </c>
    </row>
    <row r="11" spans="1:15" ht="18.75" x14ac:dyDescent="0.45">
      <c r="A11" s="42" t="s">
        <v>419</v>
      </c>
      <c r="D11" s="23">
        <v>1404154</v>
      </c>
      <c r="F11" s="23">
        <v>3181</v>
      </c>
      <c r="H11" s="23">
        <v>630000</v>
      </c>
      <c r="J11" s="23">
        <v>777335</v>
      </c>
      <c r="L11" s="24">
        <v>1.3246735623024858E-7</v>
      </c>
    </row>
    <row r="12" spans="1:15" ht="18.75" x14ac:dyDescent="0.45">
      <c r="A12" s="42" t="s">
        <v>420</v>
      </c>
      <c r="D12" s="23">
        <v>16387258</v>
      </c>
      <c r="F12" s="23">
        <v>64756</v>
      </c>
      <c r="H12" s="23">
        <v>630000</v>
      </c>
      <c r="J12" s="23">
        <v>15822014</v>
      </c>
      <c r="L12" s="24">
        <v>2.6962639850488916E-6</v>
      </c>
    </row>
    <row r="13" spans="1:15" ht="18.75" x14ac:dyDescent="0.45">
      <c r="A13" s="42" t="s">
        <v>421</v>
      </c>
      <c r="D13" s="23">
        <v>9182676</v>
      </c>
      <c r="F13" s="23">
        <v>37583</v>
      </c>
      <c r="H13" s="23">
        <v>666000</v>
      </c>
      <c r="J13" s="23">
        <v>8554259</v>
      </c>
      <c r="L13" s="24">
        <v>1.4577499716837785E-6</v>
      </c>
    </row>
    <row r="14" spans="1:15" ht="18.75" x14ac:dyDescent="0.45">
      <c r="A14" s="42" t="s">
        <v>422</v>
      </c>
      <c r="D14" s="23">
        <v>7618920</v>
      </c>
      <c r="F14" s="23">
        <v>28722</v>
      </c>
      <c r="H14" s="23">
        <v>630000</v>
      </c>
      <c r="J14" s="23">
        <v>7017642</v>
      </c>
      <c r="L14" s="24">
        <v>1.1958917104084521E-6</v>
      </c>
    </row>
    <row r="15" spans="1:15" s="40" customFormat="1" ht="18.75" x14ac:dyDescent="0.45">
      <c r="A15" s="42" t="s">
        <v>416</v>
      </c>
      <c r="D15" s="39">
        <v>10010865310</v>
      </c>
      <c r="F15" s="39">
        <v>4953103507</v>
      </c>
      <c r="H15" s="39">
        <v>14959804000</v>
      </c>
      <c r="J15" s="39">
        <v>4164817</v>
      </c>
      <c r="L15" s="41">
        <v>7.0973556725581021E-7</v>
      </c>
    </row>
    <row r="16" spans="1:15" ht="19.5" thickBot="1" x14ac:dyDescent="0.5">
      <c r="A16" s="25" t="s">
        <v>236</v>
      </c>
      <c r="D16" s="25">
        <f>SUM(D9:$D$15)</f>
        <v>126467546124</v>
      </c>
      <c r="F16" s="25">
        <f>SUM(F9:$F$15)</f>
        <v>3471731274140</v>
      </c>
      <c r="H16" s="25">
        <f>SUM(H9:$H$15)</f>
        <v>3536700188705</v>
      </c>
      <c r="J16" s="25">
        <f>SUM(J9:$J$15)</f>
        <v>61498631559</v>
      </c>
      <c r="L16" s="26">
        <f>SUM(L9:$L$15)</f>
        <v>1.0480116210384017E-2</v>
      </c>
    </row>
    <row r="17" spans="4:12" ht="19.5" thickTop="1" x14ac:dyDescent="0.45">
      <c r="D17" s="27"/>
      <c r="F17" s="27"/>
      <c r="H17" s="27"/>
      <c r="J17" s="27"/>
      <c r="L17" s="27"/>
    </row>
    <row r="20" spans="4:12" x14ac:dyDescent="0.45">
      <c r="J20" s="38"/>
    </row>
  </sheetData>
  <mergeCells count="6">
    <mergeCell ref="A1:L1"/>
    <mergeCell ref="A2:L2"/>
    <mergeCell ref="A3:L3"/>
    <mergeCell ref="A5:L5"/>
    <mergeCell ref="F7:H7"/>
    <mergeCell ref="J7:L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3"/>
  <sheetViews>
    <sheetView rightToLeft="1" view="pageBreakPreview" zoomScale="86" zoomScaleNormal="100" zoomScaleSheetLayoutView="86" workbookViewId="0">
      <selection activeCellId="1" sqref="A1:W1 A1:XFD1048576"/>
    </sheetView>
  </sheetViews>
  <sheetFormatPr defaultRowHeight="18" x14ac:dyDescent="0.45"/>
  <cols>
    <col min="1" max="1" width="49.7109375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21.285156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1.42578125" style="13" customWidth="1"/>
    <col min="10" max="16384" width="9.140625" style="13"/>
  </cols>
  <sheetData>
    <row r="1" spans="1:12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2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</row>
    <row r="3" spans="1:12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</row>
    <row r="5" spans="1:12" ht="21" x14ac:dyDescent="0.45">
      <c r="A5" s="14" t="s">
        <v>273</v>
      </c>
      <c r="B5" s="12"/>
      <c r="C5" s="12"/>
      <c r="D5" s="12"/>
      <c r="E5" s="12"/>
      <c r="F5" s="12"/>
      <c r="G5" s="12"/>
      <c r="H5" s="12"/>
      <c r="I5" s="12"/>
      <c r="L5" s="38"/>
    </row>
    <row r="7" spans="1:12" ht="42" x14ac:dyDescent="0.45">
      <c r="A7" s="28" t="s">
        <v>274</v>
      </c>
      <c r="C7" s="28" t="s">
        <v>275</v>
      </c>
      <c r="E7" s="28" t="s">
        <v>269</v>
      </c>
      <c r="G7" s="29" t="s">
        <v>276</v>
      </c>
      <c r="I7" s="29" t="s">
        <v>277</v>
      </c>
    </row>
    <row r="8" spans="1:12" ht="21" x14ac:dyDescent="0.45">
      <c r="A8" s="35" t="s">
        <v>278</v>
      </c>
      <c r="C8" s="22" t="s">
        <v>279</v>
      </c>
      <c r="E8" s="23">
        <v>1337420481810</v>
      </c>
      <c r="G8" s="24">
        <v>0.98968054011196216</v>
      </c>
      <c r="I8" s="24">
        <v>0.22791274726283514</v>
      </c>
    </row>
    <row r="9" spans="1:12" ht="21" x14ac:dyDescent="0.45">
      <c r="A9" s="35" t="s">
        <v>280</v>
      </c>
      <c r="C9" s="22" t="s">
        <v>281</v>
      </c>
      <c r="E9" s="23">
        <v>0</v>
      </c>
      <c r="G9" s="24">
        <v>0</v>
      </c>
      <c r="I9" s="24">
        <v>0</v>
      </c>
    </row>
    <row r="10" spans="1:12" ht="21" x14ac:dyDescent="0.45">
      <c r="A10" s="35" t="s">
        <v>282</v>
      </c>
      <c r="C10" s="22" t="s">
        <v>283</v>
      </c>
      <c r="E10" s="23">
        <v>13945365616</v>
      </c>
      <c r="G10" s="24">
        <v>1.0319459857698188E-2</v>
      </c>
      <c r="I10" s="24">
        <v>2.3764602324811463E-3</v>
      </c>
    </row>
    <row r="11" spans="1:12" ht="21" x14ac:dyDescent="0.45">
      <c r="A11" s="35" t="s">
        <v>284</v>
      </c>
      <c r="C11" s="22" t="s">
        <v>285</v>
      </c>
      <c r="E11" s="23">
        <v>41</v>
      </c>
      <c r="G11" s="24">
        <v>3.0339674542501126E-11</v>
      </c>
      <c r="I11" s="24">
        <v>6.9868996062703871E-12</v>
      </c>
    </row>
    <row r="12" spans="1:12" ht="21" x14ac:dyDescent="0.45">
      <c r="A12" s="28" t="s">
        <v>236</v>
      </c>
      <c r="E12" s="25">
        <f>SUM(E8:$E$11)</f>
        <v>1351365847467</v>
      </c>
      <c r="G12" s="26">
        <f>SUM(G8:$G$11)</f>
        <v>1</v>
      </c>
      <c r="I12" s="26">
        <f>SUM(I8:$I$11)</f>
        <v>0.23028920750230319</v>
      </c>
    </row>
    <row r="13" spans="1:12" ht="18.75" x14ac:dyDescent="0.45">
      <c r="E13" s="27"/>
      <c r="G13" s="27"/>
      <c r="I13" s="27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90"/>
  <sheetViews>
    <sheetView rightToLeft="1" view="pageBreakPreview" topLeftCell="A76" zoomScale="89" zoomScaleNormal="100" zoomScaleSheetLayoutView="89" workbookViewId="0">
      <selection activeCellId="1" sqref="A1:W1 A1:XFD1048576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12.710937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4.7109375" style="13" bestFit="1" customWidth="1"/>
    <col min="12" max="12" width="1.42578125" style="13" customWidth="1"/>
    <col min="13" max="13" width="18.42578125" style="13" customWidth="1"/>
    <col min="14" max="14" width="1.42578125" style="13" customWidth="1"/>
    <col min="15" max="15" width="18.42578125" style="13" customWidth="1"/>
    <col min="16" max="16" width="1.42578125" style="13" customWidth="1"/>
    <col min="17" max="17" width="14.140625" style="13" customWidth="1"/>
    <col min="18" max="18" width="1.42578125" style="13" customWidth="1"/>
    <col min="19" max="19" width="18.42578125" style="13" customWidth="1"/>
    <col min="20" max="16384" width="9.140625" style="13"/>
  </cols>
  <sheetData>
    <row r="1" spans="1:1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spans="1:19" ht="21" x14ac:dyDescent="0.45">
      <c r="A5" s="14" t="s">
        <v>286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7" spans="1:19" ht="21" x14ac:dyDescent="0.45">
      <c r="C7" s="15" t="s">
        <v>287</v>
      </c>
      <c r="D7" s="16"/>
      <c r="E7" s="16"/>
      <c r="F7" s="16"/>
      <c r="G7" s="16"/>
      <c r="I7" s="15" t="s">
        <v>288</v>
      </c>
      <c r="J7" s="16"/>
      <c r="K7" s="16"/>
      <c r="L7" s="16"/>
      <c r="M7" s="16"/>
      <c r="O7" s="15" t="s">
        <v>7</v>
      </c>
      <c r="P7" s="16"/>
      <c r="Q7" s="16"/>
      <c r="R7" s="16"/>
      <c r="S7" s="16"/>
    </row>
    <row r="8" spans="1:19" ht="63" x14ac:dyDescent="0.45">
      <c r="A8" s="28" t="s">
        <v>238</v>
      </c>
      <c r="C8" s="29" t="s">
        <v>289</v>
      </c>
      <c r="E8" s="29" t="s">
        <v>290</v>
      </c>
      <c r="G8" s="29" t="s">
        <v>291</v>
      </c>
      <c r="I8" s="29" t="s">
        <v>292</v>
      </c>
      <c r="K8" s="29" t="s">
        <v>293</v>
      </c>
      <c r="M8" s="29" t="s">
        <v>294</v>
      </c>
      <c r="O8" s="29" t="s">
        <v>292</v>
      </c>
      <c r="Q8" s="29" t="s">
        <v>293</v>
      </c>
      <c r="S8" s="29" t="s">
        <v>294</v>
      </c>
    </row>
    <row r="9" spans="1:19" ht="37.5" x14ac:dyDescent="0.45">
      <c r="A9" s="30" t="s">
        <v>21</v>
      </c>
      <c r="C9" s="22" t="s">
        <v>295</v>
      </c>
      <c r="E9" s="23">
        <v>50000</v>
      </c>
      <c r="G9" s="23">
        <v>3980</v>
      </c>
      <c r="N9" s="22"/>
      <c r="O9" s="23">
        <v>199000000</v>
      </c>
      <c r="Q9" s="23">
        <v>0</v>
      </c>
      <c r="S9" s="23">
        <v>199000000</v>
      </c>
    </row>
    <row r="10" spans="1:19" ht="18.75" x14ac:dyDescent="0.45">
      <c r="A10" s="30" t="s">
        <v>23</v>
      </c>
      <c r="C10" s="22" t="s">
        <v>296</v>
      </c>
      <c r="E10" s="23">
        <v>245000</v>
      </c>
      <c r="G10" s="23">
        <v>100</v>
      </c>
      <c r="N10" s="22"/>
      <c r="O10" s="23">
        <v>24500000</v>
      </c>
      <c r="Q10" s="23">
        <v>0</v>
      </c>
      <c r="S10" s="23">
        <v>24500000</v>
      </c>
    </row>
    <row r="11" spans="1:19" ht="18.75" x14ac:dyDescent="0.45">
      <c r="A11" s="30" t="s">
        <v>24</v>
      </c>
      <c r="C11" s="22" t="s">
        <v>297</v>
      </c>
      <c r="E11" s="23">
        <v>6813853</v>
      </c>
      <c r="G11" s="23">
        <v>637</v>
      </c>
      <c r="N11" s="22"/>
      <c r="O11" s="23">
        <v>4340424361</v>
      </c>
      <c r="Q11" s="23">
        <v>0</v>
      </c>
      <c r="S11" s="23">
        <v>4340424361</v>
      </c>
    </row>
    <row r="12" spans="1:19" ht="18.75" x14ac:dyDescent="0.45">
      <c r="A12" s="30" t="s">
        <v>28</v>
      </c>
      <c r="C12" s="22" t="s">
        <v>298</v>
      </c>
      <c r="E12" s="23">
        <v>19134677</v>
      </c>
      <c r="G12" s="23">
        <v>35</v>
      </c>
      <c r="N12" s="22"/>
      <c r="O12" s="23">
        <v>669713695</v>
      </c>
      <c r="Q12" s="23">
        <v>0</v>
      </c>
      <c r="S12" s="23">
        <v>669713695</v>
      </c>
    </row>
    <row r="13" spans="1:19" ht="18.75" x14ac:dyDescent="0.45">
      <c r="A13" s="30" t="s">
        <v>29</v>
      </c>
      <c r="C13" s="22" t="s">
        <v>299</v>
      </c>
      <c r="E13" s="23">
        <v>2291471</v>
      </c>
      <c r="G13" s="23">
        <v>1940</v>
      </c>
      <c r="N13" s="22"/>
      <c r="O13" s="23">
        <v>4445453740</v>
      </c>
      <c r="Q13" s="23">
        <v>0</v>
      </c>
      <c r="S13" s="23">
        <v>4445453740</v>
      </c>
    </row>
    <row r="14" spans="1:19" ht="18.75" x14ac:dyDescent="0.45">
      <c r="A14" s="30" t="s">
        <v>31</v>
      </c>
      <c r="C14" s="22" t="s">
        <v>300</v>
      </c>
      <c r="E14" s="23">
        <v>14265950</v>
      </c>
      <c r="G14" s="23">
        <v>135</v>
      </c>
      <c r="N14" s="22"/>
      <c r="O14" s="23">
        <v>1925903250</v>
      </c>
      <c r="Q14" s="23">
        <v>0</v>
      </c>
      <c r="S14" s="23">
        <v>1925903250</v>
      </c>
    </row>
    <row r="15" spans="1:19" ht="18.75" x14ac:dyDescent="0.45">
      <c r="A15" s="30" t="s">
        <v>301</v>
      </c>
      <c r="C15" s="22" t="s">
        <v>302</v>
      </c>
      <c r="E15" s="23">
        <v>500000</v>
      </c>
      <c r="G15" s="23">
        <v>1425</v>
      </c>
      <c r="N15" s="22"/>
      <c r="O15" s="23">
        <v>712500000</v>
      </c>
      <c r="Q15" s="23">
        <v>0</v>
      </c>
      <c r="S15" s="23">
        <v>712500000</v>
      </c>
    </row>
    <row r="16" spans="1:19" ht="18.75" x14ac:dyDescent="0.45">
      <c r="A16" s="30" t="s">
        <v>34</v>
      </c>
      <c r="C16" s="22" t="s">
        <v>303</v>
      </c>
      <c r="E16" s="23">
        <v>1750000</v>
      </c>
      <c r="G16" s="23">
        <v>400</v>
      </c>
      <c r="N16" s="22"/>
      <c r="O16" s="23">
        <v>700000000</v>
      </c>
      <c r="Q16" s="23">
        <v>0</v>
      </c>
      <c r="S16" s="23">
        <v>700000000</v>
      </c>
    </row>
    <row r="17" spans="1:19" ht="18.75" x14ac:dyDescent="0.45">
      <c r="A17" s="30" t="s">
        <v>35</v>
      </c>
      <c r="C17" s="22" t="s">
        <v>304</v>
      </c>
      <c r="E17" s="23">
        <v>13509504</v>
      </c>
      <c r="G17" s="23">
        <v>50</v>
      </c>
      <c r="N17" s="22"/>
      <c r="O17" s="23">
        <v>675475200</v>
      </c>
      <c r="Q17" s="23">
        <v>0</v>
      </c>
      <c r="S17" s="23">
        <v>675475200</v>
      </c>
    </row>
    <row r="18" spans="1:19" ht="18.75" x14ac:dyDescent="0.45">
      <c r="A18" s="30" t="s">
        <v>45</v>
      </c>
      <c r="C18" s="22" t="s">
        <v>305</v>
      </c>
      <c r="E18" s="23">
        <v>1562500</v>
      </c>
      <c r="G18" s="23">
        <v>440</v>
      </c>
      <c r="N18" s="22"/>
      <c r="O18" s="23">
        <v>687500000</v>
      </c>
      <c r="Q18" s="23">
        <v>0</v>
      </c>
      <c r="S18" s="23">
        <v>687500000</v>
      </c>
    </row>
    <row r="19" spans="1:19" ht="18.75" x14ac:dyDescent="0.45">
      <c r="A19" s="30" t="s">
        <v>49</v>
      </c>
      <c r="C19" s="22" t="s">
        <v>306</v>
      </c>
      <c r="E19" s="23">
        <v>8400000</v>
      </c>
      <c r="G19" s="23">
        <v>50</v>
      </c>
      <c r="N19" s="22"/>
      <c r="O19" s="23">
        <v>420000000</v>
      </c>
      <c r="Q19" s="23">
        <v>-1433447</v>
      </c>
      <c r="S19" s="23">
        <v>418566553</v>
      </c>
    </row>
    <row r="20" spans="1:19" ht="18.75" x14ac:dyDescent="0.45">
      <c r="A20" s="30" t="s">
        <v>50</v>
      </c>
      <c r="C20" s="22" t="s">
        <v>307</v>
      </c>
      <c r="E20" s="23">
        <v>18000000</v>
      </c>
      <c r="G20" s="23">
        <v>1000</v>
      </c>
      <c r="N20" s="22"/>
      <c r="O20" s="23">
        <v>18000000000</v>
      </c>
      <c r="Q20" s="23">
        <v>0</v>
      </c>
      <c r="S20" s="23">
        <v>18000000000</v>
      </c>
    </row>
    <row r="21" spans="1:19" ht="18.75" x14ac:dyDescent="0.45">
      <c r="A21" s="30" t="s">
        <v>308</v>
      </c>
      <c r="C21" s="22" t="s">
        <v>309</v>
      </c>
      <c r="E21" s="23">
        <v>4739606</v>
      </c>
      <c r="G21" s="23">
        <v>460</v>
      </c>
      <c r="N21" s="22"/>
      <c r="O21" s="23">
        <v>2180218760</v>
      </c>
      <c r="Q21" s="23">
        <v>0</v>
      </c>
      <c r="S21" s="23">
        <v>2180218760</v>
      </c>
    </row>
    <row r="22" spans="1:19" ht="18.75" x14ac:dyDescent="0.45">
      <c r="A22" s="30" t="s">
        <v>53</v>
      </c>
      <c r="C22" s="22" t="s">
        <v>302</v>
      </c>
      <c r="E22" s="23">
        <v>9127149</v>
      </c>
      <c r="G22" s="23">
        <v>167</v>
      </c>
      <c r="N22" s="22"/>
      <c r="O22" s="23">
        <v>1524233883</v>
      </c>
      <c r="Q22" s="23">
        <v>0</v>
      </c>
      <c r="S22" s="23">
        <v>1524233883</v>
      </c>
    </row>
    <row r="23" spans="1:19" ht="37.5" x14ac:dyDescent="0.45">
      <c r="A23" s="30" t="s">
        <v>55</v>
      </c>
      <c r="C23" s="22" t="s">
        <v>310</v>
      </c>
      <c r="E23" s="23">
        <v>842177</v>
      </c>
      <c r="G23" s="23">
        <v>35</v>
      </c>
      <c r="N23" s="22"/>
      <c r="O23" s="23">
        <v>29476195</v>
      </c>
      <c r="Q23" s="23">
        <v>0</v>
      </c>
      <c r="S23" s="23">
        <v>29476195</v>
      </c>
    </row>
    <row r="24" spans="1:19" ht="37.5" x14ac:dyDescent="0.45">
      <c r="A24" s="30" t="s">
        <v>62</v>
      </c>
      <c r="C24" s="22" t="s">
        <v>311</v>
      </c>
      <c r="E24" s="23">
        <v>6645110</v>
      </c>
      <c r="G24" s="23">
        <v>1600</v>
      </c>
      <c r="N24" s="22"/>
      <c r="O24" s="23">
        <v>10632176000</v>
      </c>
      <c r="Q24" s="23">
        <v>0</v>
      </c>
      <c r="S24" s="23">
        <v>10632176000</v>
      </c>
    </row>
    <row r="25" spans="1:19" ht="18.75" x14ac:dyDescent="0.45">
      <c r="A25" s="30" t="s">
        <v>63</v>
      </c>
      <c r="C25" s="22" t="s">
        <v>312</v>
      </c>
      <c r="E25" s="23">
        <v>1000000</v>
      </c>
      <c r="G25" s="23">
        <v>600</v>
      </c>
      <c r="N25" s="22"/>
      <c r="O25" s="23">
        <v>600000000</v>
      </c>
      <c r="Q25" s="23">
        <v>0</v>
      </c>
      <c r="S25" s="23">
        <v>600000000</v>
      </c>
    </row>
    <row r="26" spans="1:19" ht="18.75" x14ac:dyDescent="0.45">
      <c r="A26" s="30" t="s">
        <v>65</v>
      </c>
      <c r="C26" s="22" t="s">
        <v>313</v>
      </c>
      <c r="E26" s="23">
        <v>31806527</v>
      </c>
      <c r="G26" s="23">
        <v>120</v>
      </c>
      <c r="N26" s="22"/>
      <c r="O26" s="23">
        <v>3816783240</v>
      </c>
      <c r="Q26" s="23">
        <v>0</v>
      </c>
      <c r="S26" s="23">
        <v>3816783240</v>
      </c>
    </row>
    <row r="27" spans="1:19" ht="37.5" x14ac:dyDescent="0.45">
      <c r="A27" s="30" t="s">
        <v>67</v>
      </c>
      <c r="C27" s="22" t="s">
        <v>314</v>
      </c>
      <c r="E27" s="23">
        <v>4807801</v>
      </c>
      <c r="G27" s="23">
        <v>1055</v>
      </c>
      <c r="N27" s="22"/>
      <c r="O27" s="23">
        <v>5072230055</v>
      </c>
      <c r="Q27" s="23">
        <v>-216489256</v>
      </c>
      <c r="S27" s="23">
        <v>4855740799</v>
      </c>
    </row>
    <row r="28" spans="1:19" ht="18.75" x14ac:dyDescent="0.45">
      <c r="A28" s="30" t="s">
        <v>68</v>
      </c>
      <c r="C28" s="22" t="s">
        <v>315</v>
      </c>
      <c r="E28" s="23">
        <v>236747</v>
      </c>
      <c r="G28" s="23">
        <v>2300</v>
      </c>
      <c r="N28" s="22"/>
      <c r="O28" s="23">
        <v>544518100</v>
      </c>
      <c r="Q28" s="23">
        <v>0</v>
      </c>
      <c r="S28" s="23">
        <v>544518100</v>
      </c>
    </row>
    <row r="29" spans="1:19" ht="18.75" x14ac:dyDescent="0.45">
      <c r="A29" s="30" t="s">
        <v>72</v>
      </c>
      <c r="C29" s="22" t="s">
        <v>305</v>
      </c>
      <c r="E29" s="23">
        <v>2773715</v>
      </c>
      <c r="G29" s="23">
        <v>5375</v>
      </c>
      <c r="N29" s="22"/>
      <c r="O29" s="23">
        <v>14908718125</v>
      </c>
      <c r="Q29" s="23">
        <v>0</v>
      </c>
      <c r="S29" s="23">
        <v>14908718125</v>
      </c>
    </row>
    <row r="30" spans="1:19" ht="37.5" x14ac:dyDescent="0.45">
      <c r="A30" s="30" t="s">
        <v>75</v>
      </c>
      <c r="C30" s="22" t="s">
        <v>316</v>
      </c>
      <c r="E30" s="23">
        <v>122374</v>
      </c>
      <c r="G30" s="23">
        <v>2400</v>
      </c>
      <c r="N30" s="22"/>
      <c r="O30" s="23">
        <v>293697600</v>
      </c>
      <c r="Q30" s="23">
        <v>0</v>
      </c>
      <c r="S30" s="23">
        <v>293697600</v>
      </c>
    </row>
    <row r="31" spans="1:19" ht="18.75" x14ac:dyDescent="0.45">
      <c r="A31" s="30" t="s">
        <v>77</v>
      </c>
      <c r="C31" s="22" t="s">
        <v>317</v>
      </c>
      <c r="E31" s="23">
        <v>2672602</v>
      </c>
      <c r="G31" s="23">
        <v>1150</v>
      </c>
      <c r="N31" s="22"/>
      <c r="O31" s="23">
        <v>3073492300</v>
      </c>
      <c r="Q31" s="23">
        <v>0</v>
      </c>
      <c r="S31" s="23">
        <v>3073492300</v>
      </c>
    </row>
    <row r="32" spans="1:19" ht="18.75" x14ac:dyDescent="0.45">
      <c r="A32" s="30" t="s">
        <v>78</v>
      </c>
      <c r="C32" s="22" t="s">
        <v>318</v>
      </c>
      <c r="E32" s="23">
        <v>27844387</v>
      </c>
      <c r="G32" s="23">
        <v>40</v>
      </c>
      <c r="N32" s="22"/>
      <c r="O32" s="23">
        <v>1113775480</v>
      </c>
      <c r="Q32" s="23">
        <v>0</v>
      </c>
      <c r="S32" s="23">
        <v>1113775480</v>
      </c>
    </row>
    <row r="33" spans="1:19" ht="37.5" x14ac:dyDescent="0.45">
      <c r="A33" s="30" t="s">
        <v>79</v>
      </c>
      <c r="C33" s="22" t="s">
        <v>297</v>
      </c>
      <c r="E33" s="23">
        <v>15167887</v>
      </c>
      <c r="G33" s="23">
        <v>266</v>
      </c>
      <c r="N33" s="22"/>
      <c r="O33" s="23">
        <v>4034657942</v>
      </c>
      <c r="Q33" s="23">
        <v>0</v>
      </c>
      <c r="S33" s="23">
        <v>4034657942</v>
      </c>
    </row>
    <row r="34" spans="1:19" ht="18.75" x14ac:dyDescent="0.45">
      <c r="A34" s="30" t="s">
        <v>319</v>
      </c>
      <c r="C34" s="22" t="s">
        <v>310</v>
      </c>
      <c r="E34" s="23">
        <v>10258397</v>
      </c>
      <c r="G34" s="23">
        <v>114</v>
      </c>
      <c r="N34" s="22"/>
      <c r="O34" s="23">
        <v>1169457258</v>
      </c>
      <c r="Q34" s="23">
        <v>0</v>
      </c>
      <c r="S34" s="23">
        <v>1169457258</v>
      </c>
    </row>
    <row r="35" spans="1:19" ht="37.5" x14ac:dyDescent="0.45">
      <c r="A35" s="30" t="s">
        <v>87</v>
      </c>
      <c r="C35" s="22" t="s">
        <v>320</v>
      </c>
      <c r="E35" s="23">
        <v>17200000</v>
      </c>
      <c r="G35" s="23">
        <v>190</v>
      </c>
      <c r="N35" s="22"/>
      <c r="O35" s="23">
        <v>3268000000</v>
      </c>
      <c r="Q35" s="23">
        <v>0</v>
      </c>
      <c r="S35" s="23">
        <v>3268000000</v>
      </c>
    </row>
    <row r="36" spans="1:19" ht="37.5" x14ac:dyDescent="0.45">
      <c r="A36" s="30" t="s">
        <v>92</v>
      </c>
      <c r="C36" s="22" t="s">
        <v>321</v>
      </c>
      <c r="E36" s="23">
        <v>717391</v>
      </c>
      <c r="G36" s="23">
        <v>3870</v>
      </c>
      <c r="N36" s="22"/>
      <c r="O36" s="23">
        <v>2776303170</v>
      </c>
      <c r="Q36" s="23">
        <v>0</v>
      </c>
      <c r="S36" s="23">
        <v>2776303170</v>
      </c>
    </row>
    <row r="37" spans="1:19" ht="37.5" x14ac:dyDescent="0.45">
      <c r="A37" s="30" t="s">
        <v>94</v>
      </c>
      <c r="C37" s="22" t="s">
        <v>322</v>
      </c>
      <c r="E37" s="23">
        <v>3250000</v>
      </c>
      <c r="G37" s="23">
        <v>170</v>
      </c>
      <c r="N37" s="22"/>
      <c r="O37" s="23">
        <v>552500000</v>
      </c>
      <c r="Q37" s="23">
        <v>0</v>
      </c>
      <c r="S37" s="23">
        <v>552500000</v>
      </c>
    </row>
    <row r="38" spans="1:19" ht="18.75" x14ac:dyDescent="0.45">
      <c r="A38" s="30" t="s">
        <v>323</v>
      </c>
      <c r="C38" s="22" t="s">
        <v>324</v>
      </c>
      <c r="E38" s="23">
        <v>1186353</v>
      </c>
      <c r="G38" s="23">
        <v>6810</v>
      </c>
      <c r="N38" s="22"/>
      <c r="O38" s="23">
        <v>8079063930</v>
      </c>
      <c r="Q38" s="23">
        <v>0</v>
      </c>
      <c r="S38" s="23">
        <v>8079063930</v>
      </c>
    </row>
    <row r="39" spans="1:19" ht="18.75" x14ac:dyDescent="0.45">
      <c r="A39" s="30" t="s">
        <v>97</v>
      </c>
      <c r="C39" s="22" t="s">
        <v>325</v>
      </c>
      <c r="E39" s="23">
        <v>100000</v>
      </c>
      <c r="G39" s="23">
        <v>14500</v>
      </c>
      <c r="N39" s="22"/>
      <c r="O39" s="23">
        <v>1450000000</v>
      </c>
      <c r="Q39" s="23">
        <v>0</v>
      </c>
      <c r="S39" s="23">
        <v>1450000000</v>
      </c>
    </row>
    <row r="40" spans="1:19" ht="18.75" x14ac:dyDescent="0.45">
      <c r="A40" s="30" t="s">
        <v>100</v>
      </c>
      <c r="C40" s="22" t="s">
        <v>307</v>
      </c>
      <c r="E40" s="23">
        <v>5530564</v>
      </c>
      <c r="G40" s="23">
        <v>1050</v>
      </c>
      <c r="N40" s="22"/>
      <c r="O40" s="23">
        <v>5807092200</v>
      </c>
      <c r="Q40" s="23">
        <v>0</v>
      </c>
      <c r="S40" s="23">
        <v>5807092200</v>
      </c>
    </row>
    <row r="41" spans="1:19" ht="18.75" x14ac:dyDescent="0.45">
      <c r="A41" s="30" t="s">
        <v>103</v>
      </c>
      <c r="C41" s="22" t="s">
        <v>326</v>
      </c>
      <c r="E41" s="23">
        <v>5799792</v>
      </c>
      <c r="G41" s="23">
        <v>1076</v>
      </c>
      <c r="N41" s="22"/>
      <c r="O41" s="23">
        <v>6240576192</v>
      </c>
      <c r="Q41" s="23">
        <v>0</v>
      </c>
      <c r="S41" s="23">
        <v>6240576192</v>
      </c>
    </row>
    <row r="42" spans="1:19" ht="18.75" x14ac:dyDescent="0.45">
      <c r="A42" s="30" t="s">
        <v>104</v>
      </c>
      <c r="C42" s="22" t="s">
        <v>327</v>
      </c>
      <c r="E42" s="23">
        <v>1518421</v>
      </c>
      <c r="G42" s="23">
        <v>1740</v>
      </c>
      <c r="N42" s="22"/>
      <c r="O42" s="23">
        <v>2642052540</v>
      </c>
      <c r="Q42" s="23">
        <v>-58397678</v>
      </c>
      <c r="S42" s="23">
        <v>2583654862</v>
      </c>
    </row>
    <row r="43" spans="1:19" ht="18.75" x14ac:dyDescent="0.45">
      <c r="A43" s="30" t="s">
        <v>122</v>
      </c>
      <c r="C43" s="22" t="s">
        <v>328</v>
      </c>
      <c r="E43" s="23">
        <v>11000000</v>
      </c>
      <c r="G43" s="23">
        <v>150</v>
      </c>
      <c r="N43" s="22"/>
      <c r="O43" s="23">
        <v>1650000000</v>
      </c>
      <c r="Q43" s="23">
        <v>-31048387</v>
      </c>
      <c r="S43" s="23">
        <v>1618951613</v>
      </c>
    </row>
    <row r="44" spans="1:19" ht="18.75" x14ac:dyDescent="0.45">
      <c r="A44" s="30" t="s">
        <v>123</v>
      </c>
      <c r="C44" s="22" t="s">
        <v>329</v>
      </c>
      <c r="E44" s="23">
        <v>324775</v>
      </c>
      <c r="G44" s="23">
        <v>2720</v>
      </c>
      <c r="N44" s="22"/>
      <c r="O44" s="23">
        <v>883388000</v>
      </c>
      <c r="Q44" s="23">
        <v>0</v>
      </c>
      <c r="S44" s="23">
        <v>883388000</v>
      </c>
    </row>
    <row r="45" spans="1:19" ht="18.75" x14ac:dyDescent="0.45">
      <c r="A45" s="30" t="s">
        <v>126</v>
      </c>
      <c r="C45" s="22" t="s">
        <v>317</v>
      </c>
      <c r="E45" s="23">
        <v>9448213</v>
      </c>
      <c r="G45" s="23">
        <v>10</v>
      </c>
      <c r="N45" s="22"/>
      <c r="O45" s="23">
        <v>94482130</v>
      </c>
      <c r="Q45" s="23">
        <v>0</v>
      </c>
      <c r="S45" s="23">
        <v>94482130</v>
      </c>
    </row>
    <row r="46" spans="1:19" ht="18.75" x14ac:dyDescent="0.45">
      <c r="A46" s="30" t="s">
        <v>330</v>
      </c>
      <c r="C46" s="22" t="s">
        <v>331</v>
      </c>
      <c r="E46" s="23">
        <v>10148510</v>
      </c>
      <c r="G46" s="23">
        <v>560</v>
      </c>
      <c r="N46" s="22"/>
      <c r="O46" s="23">
        <v>5683165600</v>
      </c>
      <c r="Q46" s="23">
        <v>0</v>
      </c>
      <c r="S46" s="23">
        <v>5683165600</v>
      </c>
    </row>
    <row r="47" spans="1:19" ht="18.75" x14ac:dyDescent="0.45">
      <c r="A47" s="30" t="s">
        <v>127</v>
      </c>
      <c r="C47" s="22" t="s">
        <v>332</v>
      </c>
      <c r="E47" s="23">
        <v>249996</v>
      </c>
      <c r="G47" s="23">
        <v>118</v>
      </c>
      <c r="N47" s="22"/>
      <c r="O47" s="23">
        <v>29499528</v>
      </c>
      <c r="Q47" s="23">
        <v>0</v>
      </c>
      <c r="S47" s="23">
        <v>29499528</v>
      </c>
    </row>
    <row r="48" spans="1:19" ht="18.75" x14ac:dyDescent="0.45">
      <c r="A48" s="30" t="s">
        <v>129</v>
      </c>
      <c r="C48" s="22" t="s">
        <v>307</v>
      </c>
      <c r="E48" s="23">
        <v>3600000</v>
      </c>
      <c r="G48" s="23">
        <v>300</v>
      </c>
      <c r="N48" s="22"/>
      <c r="O48" s="23">
        <v>1080000000</v>
      </c>
      <c r="Q48" s="23">
        <v>0</v>
      </c>
      <c r="S48" s="23">
        <v>1080000000</v>
      </c>
    </row>
    <row r="49" spans="1:19" ht="18.75" x14ac:dyDescent="0.45">
      <c r="A49" s="30" t="s">
        <v>133</v>
      </c>
      <c r="C49" s="22" t="s">
        <v>332</v>
      </c>
      <c r="E49" s="23">
        <v>22264729</v>
      </c>
      <c r="G49" s="23">
        <v>310</v>
      </c>
      <c r="N49" s="22"/>
      <c r="O49" s="23">
        <v>6902065990</v>
      </c>
      <c r="Q49" s="23">
        <v>0</v>
      </c>
      <c r="S49" s="23">
        <v>6902065990</v>
      </c>
    </row>
    <row r="50" spans="1:19" ht="18.75" x14ac:dyDescent="0.45">
      <c r="A50" s="30" t="s">
        <v>134</v>
      </c>
      <c r="C50" s="22" t="s">
        <v>333</v>
      </c>
      <c r="E50" s="23">
        <v>9664654</v>
      </c>
      <c r="G50" s="23">
        <v>1430</v>
      </c>
      <c r="N50" s="22"/>
      <c r="O50" s="23">
        <v>13820455220</v>
      </c>
      <c r="Q50" s="23">
        <v>0</v>
      </c>
      <c r="S50" s="23">
        <v>13820455220</v>
      </c>
    </row>
    <row r="51" spans="1:19" ht="18.75" x14ac:dyDescent="0.45">
      <c r="A51" s="30" t="s">
        <v>137</v>
      </c>
      <c r="C51" s="22" t="s">
        <v>310</v>
      </c>
      <c r="E51" s="23">
        <v>14021442</v>
      </c>
      <c r="G51" s="23">
        <v>500</v>
      </c>
      <c r="N51" s="22"/>
      <c r="O51" s="23">
        <v>7010721000</v>
      </c>
      <c r="Q51" s="23">
        <v>0</v>
      </c>
      <c r="S51" s="23">
        <v>7010721000</v>
      </c>
    </row>
    <row r="52" spans="1:19" ht="18.75" x14ac:dyDescent="0.45">
      <c r="A52" s="30" t="s">
        <v>334</v>
      </c>
      <c r="C52" s="22" t="s">
        <v>335</v>
      </c>
      <c r="E52" s="23">
        <v>800000</v>
      </c>
      <c r="G52" s="23">
        <v>730</v>
      </c>
      <c r="N52" s="22"/>
      <c r="O52" s="23">
        <v>584000000</v>
      </c>
      <c r="Q52" s="23">
        <v>0</v>
      </c>
      <c r="S52" s="23">
        <v>584000000</v>
      </c>
    </row>
    <row r="53" spans="1:19" ht="18.75" x14ac:dyDescent="0.45">
      <c r="A53" s="30" t="s">
        <v>146</v>
      </c>
      <c r="C53" s="22" t="s">
        <v>336</v>
      </c>
      <c r="E53" s="23">
        <v>200000</v>
      </c>
      <c r="G53" s="23">
        <v>500</v>
      </c>
      <c r="N53" s="22"/>
      <c r="O53" s="23">
        <v>100000000</v>
      </c>
      <c r="Q53" s="23">
        <v>0</v>
      </c>
      <c r="S53" s="23">
        <v>100000000</v>
      </c>
    </row>
    <row r="54" spans="1:19" ht="18.75" x14ac:dyDescent="0.45">
      <c r="A54" s="30" t="s">
        <v>153</v>
      </c>
      <c r="C54" s="22" t="s">
        <v>337</v>
      </c>
      <c r="E54" s="23">
        <v>8231319</v>
      </c>
      <c r="G54" s="23">
        <v>400</v>
      </c>
      <c r="N54" s="22"/>
      <c r="O54" s="23">
        <v>3292527600</v>
      </c>
      <c r="Q54" s="23">
        <v>0</v>
      </c>
      <c r="S54" s="23">
        <v>3292527600</v>
      </c>
    </row>
    <row r="55" spans="1:19" ht="18.75" x14ac:dyDescent="0.45">
      <c r="A55" s="30" t="s">
        <v>156</v>
      </c>
      <c r="C55" s="22" t="s">
        <v>338</v>
      </c>
      <c r="E55" s="23">
        <v>1375942</v>
      </c>
      <c r="G55" s="23">
        <v>1000</v>
      </c>
      <c r="N55" s="22"/>
      <c r="O55" s="23">
        <v>1375942000</v>
      </c>
      <c r="Q55" s="23">
        <v>-38475076</v>
      </c>
      <c r="S55" s="23">
        <v>1337466924</v>
      </c>
    </row>
    <row r="56" spans="1:19" ht="18.75" x14ac:dyDescent="0.45">
      <c r="A56" s="30" t="s">
        <v>157</v>
      </c>
      <c r="C56" s="22" t="s">
        <v>307</v>
      </c>
      <c r="E56" s="23">
        <v>6256631</v>
      </c>
      <c r="G56" s="23">
        <v>700</v>
      </c>
      <c r="N56" s="22"/>
      <c r="O56" s="23">
        <v>4379641700</v>
      </c>
      <c r="Q56" s="23">
        <v>0</v>
      </c>
      <c r="S56" s="23">
        <v>4379641700</v>
      </c>
    </row>
    <row r="57" spans="1:19" ht="18.75" x14ac:dyDescent="0.45">
      <c r="A57" s="30" t="s">
        <v>158</v>
      </c>
      <c r="C57" s="22" t="s">
        <v>339</v>
      </c>
      <c r="E57" s="23">
        <v>241083</v>
      </c>
      <c r="G57" s="23">
        <v>850</v>
      </c>
      <c r="N57" s="22"/>
      <c r="O57" s="23">
        <v>204920550</v>
      </c>
      <c r="Q57" s="23">
        <v>-5862664</v>
      </c>
      <c r="S57" s="23">
        <v>199057886</v>
      </c>
    </row>
    <row r="58" spans="1:19" ht="18.75" x14ac:dyDescent="0.45">
      <c r="A58" s="30" t="s">
        <v>159</v>
      </c>
      <c r="C58" s="22" t="s">
        <v>304</v>
      </c>
      <c r="E58" s="23">
        <v>3129644</v>
      </c>
      <c r="G58" s="23">
        <v>73</v>
      </c>
      <c r="N58" s="22"/>
      <c r="O58" s="23">
        <v>228464012</v>
      </c>
      <c r="Q58" s="23">
        <v>0</v>
      </c>
      <c r="S58" s="23">
        <v>228464012</v>
      </c>
    </row>
    <row r="59" spans="1:19" ht="18.75" x14ac:dyDescent="0.45">
      <c r="A59" s="30" t="s">
        <v>161</v>
      </c>
      <c r="C59" s="22" t="s">
        <v>307</v>
      </c>
      <c r="E59" s="23">
        <v>16300000</v>
      </c>
      <c r="G59" s="23">
        <v>800</v>
      </c>
      <c r="N59" s="22"/>
      <c r="O59" s="23">
        <v>13040000000</v>
      </c>
      <c r="Q59" s="23">
        <v>-313796791</v>
      </c>
      <c r="S59" s="23">
        <v>12726203209</v>
      </c>
    </row>
    <row r="60" spans="1:19" ht="18.75" x14ac:dyDescent="0.45">
      <c r="A60" s="30" t="s">
        <v>164</v>
      </c>
      <c r="C60" s="22" t="s">
        <v>312</v>
      </c>
      <c r="E60" s="23">
        <v>44699</v>
      </c>
      <c r="G60" s="23">
        <v>1300</v>
      </c>
      <c r="N60" s="22"/>
      <c r="O60" s="23">
        <v>58108700</v>
      </c>
      <c r="Q60" s="23">
        <v>0</v>
      </c>
      <c r="S60" s="23">
        <v>58108700</v>
      </c>
    </row>
    <row r="61" spans="1:19" ht="18.75" x14ac:dyDescent="0.45">
      <c r="A61" s="30" t="s">
        <v>165</v>
      </c>
      <c r="C61" s="22" t="s">
        <v>303</v>
      </c>
      <c r="E61" s="23">
        <v>4274063</v>
      </c>
      <c r="G61" s="23">
        <v>670</v>
      </c>
      <c r="N61" s="22"/>
      <c r="O61" s="23">
        <v>2863622210</v>
      </c>
      <c r="Q61" s="23">
        <v>0</v>
      </c>
      <c r="S61" s="23">
        <v>2863622210</v>
      </c>
    </row>
    <row r="62" spans="1:19" ht="18.75" x14ac:dyDescent="0.45">
      <c r="A62" s="30" t="s">
        <v>166</v>
      </c>
      <c r="C62" s="22" t="s">
        <v>340</v>
      </c>
      <c r="E62" s="23">
        <v>250000</v>
      </c>
      <c r="G62" s="23">
        <v>1480</v>
      </c>
      <c r="N62" s="22"/>
      <c r="O62" s="23">
        <v>370000000</v>
      </c>
      <c r="Q62" s="23">
        <v>0</v>
      </c>
      <c r="S62" s="23">
        <v>370000000</v>
      </c>
    </row>
    <row r="63" spans="1:19" ht="18.75" x14ac:dyDescent="0.45">
      <c r="A63" s="30" t="s">
        <v>167</v>
      </c>
      <c r="C63" s="22" t="s">
        <v>309</v>
      </c>
      <c r="E63" s="23">
        <v>15800000</v>
      </c>
      <c r="G63" s="23">
        <v>1400</v>
      </c>
      <c r="N63" s="22"/>
      <c r="O63" s="23">
        <v>22120000000</v>
      </c>
      <c r="Q63" s="23">
        <v>0</v>
      </c>
      <c r="S63" s="23">
        <v>22120000000</v>
      </c>
    </row>
    <row r="64" spans="1:19" ht="37.5" x14ac:dyDescent="0.45">
      <c r="A64" s="30" t="s">
        <v>170</v>
      </c>
      <c r="C64" s="22" t="s">
        <v>341</v>
      </c>
      <c r="E64" s="23">
        <v>6668802</v>
      </c>
      <c r="G64" s="23">
        <v>350</v>
      </c>
      <c r="N64" s="22"/>
      <c r="O64" s="23">
        <v>2334080700</v>
      </c>
      <c r="Q64" s="23">
        <v>0</v>
      </c>
      <c r="S64" s="23">
        <v>2334080700</v>
      </c>
    </row>
    <row r="65" spans="1:19" ht="18.75" x14ac:dyDescent="0.45">
      <c r="A65" s="30" t="s">
        <v>171</v>
      </c>
      <c r="C65" s="22" t="s">
        <v>307</v>
      </c>
      <c r="E65" s="23">
        <v>5155597</v>
      </c>
      <c r="G65" s="23">
        <v>380</v>
      </c>
      <c r="N65" s="22"/>
      <c r="O65" s="23">
        <v>1959126860</v>
      </c>
      <c r="Q65" s="23">
        <v>0</v>
      </c>
      <c r="S65" s="23">
        <v>1959126860</v>
      </c>
    </row>
    <row r="66" spans="1:19" ht="18.75" x14ac:dyDescent="0.45">
      <c r="A66" s="30" t="s">
        <v>173</v>
      </c>
      <c r="C66" s="22" t="s">
        <v>342</v>
      </c>
      <c r="E66" s="23">
        <v>2851893</v>
      </c>
      <c r="G66" s="23">
        <v>1050</v>
      </c>
      <c r="N66" s="22"/>
      <c r="O66" s="23">
        <v>2994487650</v>
      </c>
      <c r="Q66" s="23">
        <v>0</v>
      </c>
      <c r="S66" s="23">
        <v>2994487650</v>
      </c>
    </row>
    <row r="67" spans="1:19" ht="18.75" x14ac:dyDescent="0.45">
      <c r="A67" s="30" t="s">
        <v>343</v>
      </c>
      <c r="C67" s="22" t="s">
        <v>344</v>
      </c>
      <c r="E67" s="23">
        <v>1207911</v>
      </c>
      <c r="G67" s="23">
        <v>2600</v>
      </c>
      <c r="N67" s="22"/>
      <c r="O67" s="23">
        <v>3140568600</v>
      </c>
      <c r="Q67" s="23">
        <v>0</v>
      </c>
      <c r="S67" s="23">
        <v>3140568600</v>
      </c>
    </row>
    <row r="68" spans="1:19" ht="18.75" x14ac:dyDescent="0.45">
      <c r="A68" s="30" t="s">
        <v>345</v>
      </c>
      <c r="C68" s="22" t="s">
        <v>346</v>
      </c>
      <c r="E68" s="23">
        <v>411</v>
      </c>
      <c r="G68" s="23">
        <v>285</v>
      </c>
      <c r="N68" s="22"/>
      <c r="O68" s="23">
        <v>117135</v>
      </c>
      <c r="Q68" s="23">
        <v>0</v>
      </c>
      <c r="S68" s="23">
        <v>117135</v>
      </c>
    </row>
    <row r="69" spans="1:19" ht="37.5" x14ac:dyDescent="0.45">
      <c r="A69" s="30" t="s">
        <v>176</v>
      </c>
      <c r="C69" s="22" t="s">
        <v>296</v>
      </c>
      <c r="E69" s="23">
        <v>8036726</v>
      </c>
      <c r="G69" s="23">
        <v>410</v>
      </c>
      <c r="N69" s="22"/>
      <c r="O69" s="23">
        <v>3295057660</v>
      </c>
      <c r="Q69" s="23">
        <v>0</v>
      </c>
      <c r="S69" s="23">
        <v>3295057660</v>
      </c>
    </row>
    <row r="70" spans="1:19" ht="37.5" x14ac:dyDescent="0.45">
      <c r="A70" s="30" t="s">
        <v>178</v>
      </c>
      <c r="C70" s="22" t="s">
        <v>347</v>
      </c>
      <c r="E70" s="23">
        <v>700000</v>
      </c>
      <c r="G70" s="23">
        <v>722</v>
      </c>
      <c r="N70" s="22"/>
      <c r="O70" s="23">
        <v>505400000</v>
      </c>
      <c r="Q70" s="23">
        <v>0</v>
      </c>
      <c r="S70" s="23">
        <v>505400000</v>
      </c>
    </row>
    <row r="71" spans="1:19" ht="18.75" x14ac:dyDescent="0.45">
      <c r="A71" s="30" t="s">
        <v>182</v>
      </c>
      <c r="C71" s="22" t="s">
        <v>332</v>
      </c>
      <c r="E71" s="23">
        <v>10319249</v>
      </c>
      <c r="G71" s="23">
        <v>1000</v>
      </c>
      <c r="N71" s="22"/>
      <c r="O71" s="23">
        <v>10319249000</v>
      </c>
      <c r="Q71" s="23">
        <v>0</v>
      </c>
      <c r="S71" s="23">
        <v>10319249000</v>
      </c>
    </row>
    <row r="72" spans="1:19" ht="18.75" x14ac:dyDescent="0.45">
      <c r="A72" s="30" t="s">
        <v>183</v>
      </c>
      <c r="C72" s="22" t="s">
        <v>348</v>
      </c>
      <c r="E72" s="23">
        <v>1999999</v>
      </c>
      <c r="G72" s="23">
        <v>50</v>
      </c>
      <c r="N72" s="22"/>
      <c r="O72" s="23">
        <v>99999950</v>
      </c>
      <c r="Q72" s="23">
        <v>0</v>
      </c>
      <c r="S72" s="23">
        <v>99999950</v>
      </c>
    </row>
    <row r="73" spans="1:19" ht="18.75" x14ac:dyDescent="0.45">
      <c r="A73" s="30" t="s">
        <v>185</v>
      </c>
      <c r="C73" s="22" t="s">
        <v>297</v>
      </c>
      <c r="E73" s="23">
        <v>18635760</v>
      </c>
      <c r="G73" s="23">
        <v>390</v>
      </c>
      <c r="N73" s="22"/>
      <c r="O73" s="23">
        <v>7267946400</v>
      </c>
      <c r="Q73" s="23">
        <v>0</v>
      </c>
      <c r="S73" s="23">
        <v>7267946400</v>
      </c>
    </row>
    <row r="74" spans="1:19" ht="18.75" x14ac:dyDescent="0.45">
      <c r="A74" s="30" t="s">
        <v>186</v>
      </c>
      <c r="C74" s="22" t="s">
        <v>349</v>
      </c>
      <c r="E74" s="23">
        <v>8601572</v>
      </c>
      <c r="G74" s="23">
        <v>290</v>
      </c>
      <c r="I74" s="23">
        <v>2494455880</v>
      </c>
      <c r="K74" s="23">
        <v>-124966235</v>
      </c>
      <c r="M74" s="23">
        <v>2369489645</v>
      </c>
      <c r="O74" s="23">
        <v>2494455880</v>
      </c>
      <c r="Q74" s="23">
        <v>-124966235</v>
      </c>
      <c r="S74" s="23">
        <v>2369489645</v>
      </c>
    </row>
    <row r="75" spans="1:19" ht="18.75" x14ac:dyDescent="0.45">
      <c r="A75" s="30" t="s">
        <v>187</v>
      </c>
      <c r="C75" s="22" t="s">
        <v>350</v>
      </c>
      <c r="E75" s="23">
        <v>845414</v>
      </c>
      <c r="G75" s="23">
        <v>620</v>
      </c>
      <c r="N75" s="22"/>
      <c r="O75" s="23">
        <v>524156680</v>
      </c>
      <c r="Q75" s="23">
        <v>-7083198</v>
      </c>
      <c r="S75" s="23">
        <v>517073482</v>
      </c>
    </row>
    <row r="76" spans="1:19" ht="18.75" x14ac:dyDescent="0.45">
      <c r="A76" s="30" t="s">
        <v>188</v>
      </c>
      <c r="C76" s="22" t="s">
        <v>341</v>
      </c>
      <c r="E76" s="23">
        <v>177678</v>
      </c>
      <c r="G76" s="23">
        <v>4100</v>
      </c>
      <c r="N76" s="22"/>
      <c r="O76" s="23">
        <v>728479800</v>
      </c>
      <c r="Q76" s="23">
        <v>0</v>
      </c>
      <c r="S76" s="23">
        <v>728479800</v>
      </c>
    </row>
    <row r="77" spans="1:19" ht="37.5" x14ac:dyDescent="0.45">
      <c r="A77" s="30" t="s">
        <v>190</v>
      </c>
      <c r="C77" s="22" t="s">
        <v>351</v>
      </c>
      <c r="E77" s="23">
        <v>123</v>
      </c>
      <c r="G77" s="23">
        <v>400</v>
      </c>
      <c r="N77" s="22"/>
      <c r="O77" s="23">
        <v>49200</v>
      </c>
      <c r="Q77" s="23">
        <v>0</v>
      </c>
      <c r="S77" s="23">
        <v>49200</v>
      </c>
    </row>
    <row r="78" spans="1:19" ht="18.75" x14ac:dyDescent="0.45">
      <c r="A78" s="30" t="s">
        <v>194</v>
      </c>
      <c r="C78" s="22" t="s">
        <v>336</v>
      </c>
      <c r="E78" s="23">
        <v>2570924</v>
      </c>
      <c r="G78" s="23">
        <v>936</v>
      </c>
      <c r="N78" s="22"/>
      <c r="O78" s="23">
        <v>2406384864</v>
      </c>
      <c r="Q78" s="23">
        <v>0</v>
      </c>
      <c r="S78" s="23">
        <v>2406384864</v>
      </c>
    </row>
    <row r="79" spans="1:19" ht="18.75" x14ac:dyDescent="0.45">
      <c r="A79" s="30" t="s">
        <v>199</v>
      </c>
      <c r="C79" s="22" t="s">
        <v>352</v>
      </c>
      <c r="E79" s="23">
        <v>162629</v>
      </c>
      <c r="G79" s="23">
        <v>8700</v>
      </c>
      <c r="I79" s="23">
        <v>1414872300</v>
      </c>
      <c r="K79" s="23">
        <v>0</v>
      </c>
      <c r="M79" s="23">
        <v>1414872300</v>
      </c>
      <c r="O79" s="23">
        <v>1414872300</v>
      </c>
      <c r="Q79" s="23">
        <v>0</v>
      </c>
      <c r="S79" s="23">
        <v>1414872300</v>
      </c>
    </row>
    <row r="80" spans="1:19" ht="18.75" x14ac:dyDescent="0.45">
      <c r="A80" s="30" t="s">
        <v>200</v>
      </c>
      <c r="C80" s="22" t="s">
        <v>353</v>
      </c>
      <c r="E80" s="23">
        <v>4613772</v>
      </c>
      <c r="G80" s="23">
        <v>220</v>
      </c>
      <c r="N80" s="22"/>
      <c r="O80" s="23">
        <v>1015029840</v>
      </c>
      <c r="Q80" s="23">
        <v>0</v>
      </c>
      <c r="S80" s="23">
        <v>1015029840</v>
      </c>
    </row>
    <row r="81" spans="1:19" ht="18.75" x14ac:dyDescent="0.45">
      <c r="A81" s="30" t="s">
        <v>204</v>
      </c>
      <c r="C81" s="22" t="s">
        <v>354</v>
      </c>
      <c r="E81" s="23">
        <v>6744759</v>
      </c>
      <c r="G81" s="23">
        <v>480</v>
      </c>
      <c r="N81" s="22"/>
      <c r="O81" s="23">
        <v>3237484320</v>
      </c>
      <c r="Q81" s="23">
        <v>0</v>
      </c>
      <c r="S81" s="23">
        <v>3237484320</v>
      </c>
    </row>
    <row r="82" spans="1:19" ht="18.75" x14ac:dyDescent="0.45">
      <c r="A82" s="30" t="s">
        <v>212</v>
      </c>
      <c r="C82" s="22" t="s">
        <v>307</v>
      </c>
      <c r="E82" s="23">
        <v>3500000</v>
      </c>
      <c r="G82" s="23">
        <v>2280</v>
      </c>
      <c r="N82" s="22"/>
      <c r="O82" s="23">
        <v>7980000000</v>
      </c>
      <c r="Q82" s="23">
        <v>0</v>
      </c>
      <c r="S82" s="23">
        <v>7980000000</v>
      </c>
    </row>
    <row r="83" spans="1:19" ht="18.75" x14ac:dyDescent="0.45">
      <c r="A83" s="30" t="s">
        <v>216</v>
      </c>
      <c r="C83" s="22" t="s">
        <v>355</v>
      </c>
      <c r="E83" s="23">
        <v>65229</v>
      </c>
      <c r="G83" s="23">
        <v>38000</v>
      </c>
      <c r="N83" s="22"/>
      <c r="O83" s="23">
        <v>3010453000</v>
      </c>
      <c r="Q83" s="23">
        <v>-7185824</v>
      </c>
      <c r="S83" s="23">
        <v>3003267176</v>
      </c>
    </row>
    <row r="84" spans="1:19" ht="18.75" x14ac:dyDescent="0.45">
      <c r="A84" s="30" t="s">
        <v>220</v>
      </c>
      <c r="C84" s="22" t="s">
        <v>356</v>
      </c>
      <c r="E84" s="23">
        <v>1947948</v>
      </c>
      <c r="G84" s="23">
        <v>5330</v>
      </c>
      <c r="N84" s="22"/>
      <c r="O84" s="23">
        <v>10382562840</v>
      </c>
      <c r="Q84" s="23">
        <v>0</v>
      </c>
      <c r="S84" s="23">
        <v>10382562840</v>
      </c>
    </row>
    <row r="85" spans="1:19" ht="37.5" x14ac:dyDescent="0.45">
      <c r="A85" s="30" t="s">
        <v>222</v>
      </c>
      <c r="C85" s="22" t="s">
        <v>332</v>
      </c>
      <c r="E85" s="23">
        <v>450000</v>
      </c>
      <c r="G85" s="23">
        <v>45</v>
      </c>
      <c r="N85" s="22"/>
      <c r="O85" s="23">
        <v>20250000</v>
      </c>
      <c r="Q85" s="23">
        <v>0</v>
      </c>
      <c r="S85" s="23">
        <v>20250000</v>
      </c>
    </row>
    <row r="86" spans="1:19" ht="18.75" x14ac:dyDescent="0.45">
      <c r="A86" s="30" t="s">
        <v>226</v>
      </c>
      <c r="C86" s="22" t="s">
        <v>320</v>
      </c>
      <c r="E86" s="23">
        <v>4067894</v>
      </c>
      <c r="G86" s="23">
        <v>200</v>
      </c>
      <c r="N86" s="22"/>
      <c r="O86" s="23">
        <v>813578800</v>
      </c>
      <c r="Q86" s="23">
        <v>-15845390</v>
      </c>
      <c r="S86" s="23">
        <v>797733410</v>
      </c>
    </row>
    <row r="87" spans="1:19" ht="18.75" x14ac:dyDescent="0.45">
      <c r="A87" s="30" t="s">
        <v>230</v>
      </c>
      <c r="C87" s="22" t="s">
        <v>357</v>
      </c>
      <c r="E87" s="23">
        <v>2800000</v>
      </c>
      <c r="G87" s="23">
        <v>380</v>
      </c>
      <c r="N87" s="22"/>
      <c r="O87" s="23">
        <v>1064000000</v>
      </c>
      <c r="Q87" s="23">
        <v>0</v>
      </c>
      <c r="S87" s="23">
        <v>1064000000</v>
      </c>
    </row>
    <row r="88" spans="1:19" ht="37.5" x14ac:dyDescent="0.45">
      <c r="A88" s="30" t="s">
        <v>233</v>
      </c>
      <c r="C88" s="22" t="s">
        <v>352</v>
      </c>
      <c r="E88" s="23">
        <v>6800000</v>
      </c>
      <c r="G88" s="23">
        <v>600</v>
      </c>
      <c r="I88" s="23">
        <v>4080000000</v>
      </c>
      <c r="K88" s="23">
        <v>-57852802</v>
      </c>
      <c r="M88" s="23">
        <v>4022147198</v>
      </c>
      <c r="O88" s="23">
        <v>4080000000</v>
      </c>
      <c r="Q88" s="23">
        <v>-57852802</v>
      </c>
      <c r="S88" s="23">
        <v>4022147198</v>
      </c>
    </row>
    <row r="89" spans="1:19" ht="18.75" x14ac:dyDescent="0.45">
      <c r="A89" s="25" t="s">
        <v>236</v>
      </c>
      <c r="I89" s="25">
        <f>SUM(I9:$I$88)</f>
        <v>7989328180</v>
      </c>
      <c r="K89" s="25">
        <f>SUM(K9:$K$88)</f>
        <v>-182819037</v>
      </c>
      <c r="M89" s="25">
        <f>SUM(M9:$M$88)</f>
        <v>7806509143</v>
      </c>
      <c r="O89" s="25">
        <f>SUM(O9:$O$88)</f>
        <v>269468288935</v>
      </c>
      <c r="Q89" s="25">
        <f>SUM(Q9:$Q$88)</f>
        <v>-878436748</v>
      </c>
      <c r="S89" s="25">
        <f>SUM(S9:$S$88)</f>
        <v>268589852187</v>
      </c>
    </row>
    <row r="90" spans="1:19" ht="18.75" x14ac:dyDescent="0.45">
      <c r="I90" s="27"/>
      <c r="K90" s="27"/>
      <c r="M90" s="27"/>
      <c r="O90" s="27"/>
      <c r="Q90" s="27"/>
      <c r="S90" s="27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zoomScale="93" zoomScaleNormal="100" zoomScaleSheetLayoutView="93" workbookViewId="0">
      <selection activeCellId="1" sqref="A1:W1 A1:XFD1048576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4.140625" style="13" customWidth="1"/>
    <col min="6" max="6" width="1.42578125" style="13" customWidth="1"/>
    <col min="7" max="7" width="18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4.140625" style="13" customWidth="1"/>
    <col min="12" max="12" width="1.42578125" style="13" customWidth="1"/>
    <col min="13" max="13" width="18.42578125" style="13" customWidth="1"/>
    <col min="14" max="16384" width="9.140625" style="13"/>
  </cols>
  <sheetData>
    <row r="1" spans="1:13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21" x14ac:dyDescent="0.45">
      <c r="A5" s="14" t="s">
        <v>358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7" spans="1:13" ht="21" x14ac:dyDescent="0.45">
      <c r="C7" s="15" t="s">
        <v>288</v>
      </c>
      <c r="D7" s="16"/>
      <c r="E7" s="16"/>
      <c r="F7" s="16"/>
      <c r="G7" s="16"/>
      <c r="I7" s="15" t="s">
        <v>7</v>
      </c>
      <c r="J7" s="16"/>
      <c r="K7" s="16"/>
      <c r="L7" s="16"/>
      <c r="M7" s="16"/>
    </row>
    <row r="8" spans="1:13" ht="21" x14ac:dyDescent="0.45">
      <c r="A8" s="31" t="s">
        <v>274</v>
      </c>
      <c r="C8" s="29" t="s">
        <v>359</v>
      </c>
      <c r="E8" s="29" t="s">
        <v>293</v>
      </c>
      <c r="G8" s="29" t="s">
        <v>360</v>
      </c>
      <c r="I8" s="29" t="s">
        <v>359</v>
      </c>
      <c r="K8" s="29" t="s">
        <v>293</v>
      </c>
      <c r="M8" s="29" t="s">
        <v>360</v>
      </c>
    </row>
    <row r="9" spans="1:13" ht="18.75" x14ac:dyDescent="0.45">
      <c r="A9" s="44" t="s">
        <v>424</v>
      </c>
      <c r="C9" s="23">
        <v>28722</v>
      </c>
      <c r="E9" s="23">
        <v>0</v>
      </c>
      <c r="G9" s="23">
        <v>28722</v>
      </c>
      <c r="I9" s="23">
        <v>328931</v>
      </c>
      <c r="K9" s="23">
        <v>0</v>
      </c>
      <c r="M9" s="23">
        <v>328931</v>
      </c>
    </row>
    <row r="10" spans="1:13" ht="18.75" x14ac:dyDescent="0.45">
      <c r="A10" s="44" t="s">
        <v>425</v>
      </c>
      <c r="C10" s="23">
        <v>1847224298</v>
      </c>
      <c r="E10" s="23">
        <v>0</v>
      </c>
      <c r="G10" s="23">
        <v>1847224298</v>
      </c>
      <c r="I10" s="23">
        <v>13925356495</v>
      </c>
      <c r="K10" s="23">
        <v>0</v>
      </c>
      <c r="M10" s="23">
        <v>13925356495</v>
      </c>
    </row>
    <row r="11" spans="1:13" ht="18.75" x14ac:dyDescent="0.45">
      <c r="A11" s="44" t="s">
        <v>426</v>
      </c>
      <c r="C11" s="23">
        <v>3181</v>
      </c>
      <c r="E11" s="23">
        <v>0</v>
      </c>
      <c r="G11" s="23">
        <v>3181</v>
      </c>
      <c r="I11" s="23">
        <v>3172514</v>
      </c>
      <c r="K11" s="23">
        <v>0</v>
      </c>
      <c r="M11" s="23">
        <v>3172514</v>
      </c>
    </row>
    <row r="12" spans="1:13" ht="18.75" x14ac:dyDescent="0.45">
      <c r="A12" s="44" t="s">
        <v>427</v>
      </c>
      <c r="C12" s="23">
        <v>3507</v>
      </c>
      <c r="E12" s="23">
        <v>0</v>
      </c>
      <c r="G12" s="23">
        <v>3507</v>
      </c>
      <c r="I12" s="23">
        <v>11368345</v>
      </c>
      <c r="K12" s="23">
        <v>0</v>
      </c>
      <c r="M12" s="23">
        <v>11368345</v>
      </c>
    </row>
    <row r="13" spans="1:13" ht="18.75" x14ac:dyDescent="0.45">
      <c r="A13" s="44" t="s">
        <v>428</v>
      </c>
      <c r="C13" s="23">
        <v>64756</v>
      </c>
      <c r="E13" s="23">
        <v>0</v>
      </c>
      <c r="G13" s="23">
        <v>64756</v>
      </c>
      <c r="I13" s="23">
        <v>669566</v>
      </c>
      <c r="K13" s="23">
        <v>0</v>
      </c>
      <c r="M13" s="23">
        <v>669566</v>
      </c>
    </row>
    <row r="14" spans="1:13" ht="18.75" x14ac:dyDescent="0.45">
      <c r="A14" s="44" t="s">
        <v>429</v>
      </c>
      <c r="C14" s="23">
        <v>44348</v>
      </c>
      <c r="E14" s="23">
        <v>0</v>
      </c>
      <c r="G14" s="23">
        <v>44348</v>
      </c>
      <c r="I14" s="23">
        <v>4111351</v>
      </c>
      <c r="K14" s="23">
        <v>0</v>
      </c>
      <c r="M14" s="23">
        <v>4111351</v>
      </c>
    </row>
    <row r="15" spans="1:13" ht="18.75" x14ac:dyDescent="0.45">
      <c r="A15" s="44" t="s">
        <v>430</v>
      </c>
      <c r="C15" s="23">
        <v>37583</v>
      </c>
      <c r="E15" s="23">
        <v>0</v>
      </c>
      <c r="G15" s="23">
        <v>37583</v>
      </c>
      <c r="I15" s="23">
        <v>358414</v>
      </c>
      <c r="K15" s="23">
        <v>0</v>
      </c>
      <c r="M15" s="23">
        <v>358414</v>
      </c>
    </row>
    <row r="16" spans="1:13" ht="19.5" thickBot="1" x14ac:dyDescent="0.5">
      <c r="A16" s="25" t="s">
        <v>236</v>
      </c>
      <c r="C16" s="25">
        <f>SUM(C9:$C$15)</f>
        <v>1847406395</v>
      </c>
      <c r="E16" s="25">
        <f>SUM(E9:$E$15)</f>
        <v>0</v>
      </c>
      <c r="G16" s="25">
        <f>SUM(G9:$G$15)</f>
        <v>1847406395</v>
      </c>
      <c r="I16" s="25">
        <f>SUM(I9:$I$15)</f>
        <v>13945365616</v>
      </c>
      <c r="K16" s="25">
        <f>SUM(K9:$K$15)</f>
        <v>0</v>
      </c>
      <c r="M16" s="25">
        <f>SUM(M9:$M$15)</f>
        <v>13945365616</v>
      </c>
    </row>
    <row r="17" spans="3:13" ht="19.5" thickTop="1" x14ac:dyDescent="0.45">
      <c r="C17" s="27"/>
      <c r="E17" s="27"/>
      <c r="G17" s="27"/>
      <c r="I17" s="27"/>
      <c r="K17" s="27"/>
      <c r="M17" s="27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87"/>
  <sheetViews>
    <sheetView rightToLeft="1" view="pageBreakPreview" topLeftCell="A160" zoomScale="84" zoomScaleNormal="100" zoomScaleSheetLayoutView="84" workbookViewId="0">
      <selection activeCellId="1" sqref="A1:W1 A1:XFD1048576"/>
    </sheetView>
  </sheetViews>
  <sheetFormatPr defaultRowHeight="18" x14ac:dyDescent="0.45"/>
  <cols>
    <col min="1" max="1" width="21.85546875" style="13" bestFit="1" customWidth="1"/>
    <col min="2" max="2" width="1.42578125" style="13" customWidth="1"/>
    <col min="3" max="3" width="14" style="13" bestFit="1" customWidth="1"/>
    <col min="4" max="4" width="1.42578125" style="13" customWidth="1"/>
    <col min="5" max="5" width="17.7109375" style="13" bestFit="1" customWidth="1"/>
    <col min="6" max="6" width="1.42578125" style="13" customWidth="1"/>
    <col min="7" max="7" width="18.28515625" style="13" bestFit="1" customWidth="1"/>
    <col min="8" max="8" width="1.42578125" style="13" customWidth="1"/>
    <col min="9" max="9" width="17" style="13" customWidth="1"/>
    <col min="10" max="10" width="1.42578125" style="13" customWidth="1"/>
    <col min="11" max="11" width="13" style="13" bestFit="1" customWidth="1"/>
    <col min="12" max="12" width="1.42578125" style="13" customWidth="1"/>
    <col min="13" max="13" width="19.140625" style="13" bestFit="1" customWidth="1"/>
    <col min="14" max="14" width="1.42578125" style="13" customWidth="1"/>
    <col min="15" max="15" width="19.42578125" style="13" bestFit="1" customWidth="1"/>
    <col min="16" max="16" width="1.42578125" style="13" customWidth="1"/>
    <col min="17" max="17" width="17.7109375" style="13" bestFit="1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361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288</v>
      </c>
      <c r="D7" s="16"/>
      <c r="E7" s="16"/>
      <c r="F7" s="16"/>
      <c r="G7" s="16"/>
      <c r="H7" s="16"/>
      <c r="I7" s="16"/>
      <c r="K7" s="15" t="s">
        <v>7</v>
      </c>
      <c r="L7" s="16"/>
      <c r="M7" s="16"/>
      <c r="N7" s="16"/>
      <c r="O7" s="16"/>
      <c r="P7" s="16"/>
      <c r="Q7" s="16"/>
    </row>
    <row r="8" spans="1:17" ht="42" x14ac:dyDescent="0.45">
      <c r="A8" s="31" t="s">
        <v>274</v>
      </c>
      <c r="C8" s="29" t="s">
        <v>9</v>
      </c>
      <c r="E8" s="29" t="s">
        <v>11</v>
      </c>
      <c r="G8" s="29" t="s">
        <v>362</v>
      </c>
      <c r="I8" s="29" t="s">
        <v>363</v>
      </c>
      <c r="K8" s="29" t="s">
        <v>9</v>
      </c>
      <c r="M8" s="29" t="s">
        <v>11</v>
      </c>
      <c r="O8" s="29" t="s">
        <v>362</v>
      </c>
      <c r="Q8" s="29" t="s">
        <v>363</v>
      </c>
    </row>
    <row r="9" spans="1:17" ht="18.75" x14ac:dyDescent="0.45">
      <c r="A9" s="30" t="s">
        <v>17</v>
      </c>
      <c r="C9" s="23">
        <v>679682</v>
      </c>
      <c r="E9" s="23">
        <v>3840727940</v>
      </c>
      <c r="G9" s="23">
        <v>4321672398</v>
      </c>
      <c r="I9" s="23">
        <v>-480944458</v>
      </c>
      <c r="K9" s="23">
        <v>679682</v>
      </c>
      <c r="M9" s="23">
        <v>3840727940</v>
      </c>
      <c r="O9" s="23">
        <v>4321672398</v>
      </c>
      <c r="Q9" s="23">
        <v>-480944458</v>
      </c>
    </row>
    <row r="10" spans="1:17" ht="18.75" x14ac:dyDescent="0.45">
      <c r="A10" s="30" t="s">
        <v>18</v>
      </c>
      <c r="C10" s="23">
        <v>46389</v>
      </c>
      <c r="E10" s="23">
        <v>523826111</v>
      </c>
      <c r="G10" s="23">
        <v>468129114</v>
      </c>
      <c r="I10" s="23">
        <v>55696997</v>
      </c>
      <c r="K10" s="23">
        <v>56789</v>
      </c>
      <c r="M10" s="23">
        <v>619763896</v>
      </c>
      <c r="O10" s="23">
        <v>555196950</v>
      </c>
      <c r="Q10" s="23">
        <v>64566946</v>
      </c>
    </row>
    <row r="11" spans="1:17" ht="18.75" x14ac:dyDescent="0.45">
      <c r="A11" s="30" t="s">
        <v>19</v>
      </c>
      <c r="C11" s="23">
        <v>50000</v>
      </c>
      <c r="E11" s="23">
        <v>6684922996</v>
      </c>
      <c r="G11" s="23">
        <v>5723481070</v>
      </c>
      <c r="I11" s="23">
        <v>961441926</v>
      </c>
      <c r="K11" s="23">
        <v>50075</v>
      </c>
      <c r="M11" s="23">
        <v>6692430562</v>
      </c>
      <c r="O11" s="23">
        <v>5728220250</v>
      </c>
      <c r="Q11" s="23">
        <v>964210312</v>
      </c>
    </row>
    <row r="12" spans="1:17" ht="18.75" x14ac:dyDescent="0.45">
      <c r="A12" s="30" t="s">
        <v>20</v>
      </c>
      <c r="C12" s="23">
        <v>337057</v>
      </c>
      <c r="E12" s="23">
        <v>2200247831</v>
      </c>
      <c r="G12" s="23">
        <v>1922449803</v>
      </c>
      <c r="I12" s="23">
        <v>277798028</v>
      </c>
      <c r="K12" s="23">
        <v>337057</v>
      </c>
      <c r="M12" s="23">
        <v>2200247831</v>
      </c>
      <c r="O12" s="23">
        <v>1922449803</v>
      </c>
      <c r="Q12" s="23">
        <v>277798028</v>
      </c>
    </row>
    <row r="13" spans="1:17" ht="18.75" x14ac:dyDescent="0.45">
      <c r="A13" s="30" t="s">
        <v>22</v>
      </c>
      <c r="J13" s="22"/>
      <c r="K13" s="23">
        <v>1871432</v>
      </c>
      <c r="M13" s="23">
        <v>8310873569</v>
      </c>
      <c r="O13" s="23">
        <v>8032213706</v>
      </c>
      <c r="Q13" s="23">
        <v>278659863</v>
      </c>
    </row>
    <row r="14" spans="1:17" ht="18.75" x14ac:dyDescent="0.45">
      <c r="A14" s="30" t="s">
        <v>24</v>
      </c>
      <c r="J14" s="22"/>
      <c r="K14" s="23">
        <v>6847087</v>
      </c>
      <c r="M14" s="23">
        <v>29901025067</v>
      </c>
      <c r="O14" s="23">
        <v>29115540893</v>
      </c>
      <c r="Q14" s="23">
        <v>785484174</v>
      </c>
    </row>
    <row r="15" spans="1:17" ht="18.75" x14ac:dyDescent="0.45">
      <c r="A15" s="30" t="s">
        <v>25</v>
      </c>
      <c r="C15" s="23">
        <v>400000</v>
      </c>
      <c r="E15" s="23">
        <v>5495936282</v>
      </c>
      <c r="G15" s="23">
        <v>3673728195</v>
      </c>
      <c r="I15" s="23">
        <v>1822208087</v>
      </c>
      <c r="K15" s="23">
        <v>1097410</v>
      </c>
      <c r="M15" s="23">
        <v>11788732522</v>
      </c>
      <c r="O15" s="23">
        <v>9417853969</v>
      </c>
      <c r="Q15" s="23">
        <v>2370878553</v>
      </c>
    </row>
    <row r="16" spans="1:17" ht="18.75" x14ac:dyDescent="0.45">
      <c r="A16" s="30" t="s">
        <v>26</v>
      </c>
      <c r="J16" s="22"/>
      <c r="K16" s="23">
        <v>3200000</v>
      </c>
      <c r="M16" s="23">
        <v>14461074647</v>
      </c>
      <c r="O16" s="23">
        <v>11978996325</v>
      </c>
      <c r="Q16" s="23">
        <v>2482078322</v>
      </c>
    </row>
    <row r="17" spans="1:17" ht="18.75" x14ac:dyDescent="0.45">
      <c r="A17" s="30" t="s">
        <v>27</v>
      </c>
      <c r="C17" s="23">
        <v>1200000</v>
      </c>
      <c r="E17" s="23">
        <v>5476139697</v>
      </c>
      <c r="G17" s="23">
        <v>5319821451</v>
      </c>
      <c r="I17" s="23">
        <v>156318246</v>
      </c>
      <c r="K17" s="23">
        <v>1200000</v>
      </c>
      <c r="M17" s="23">
        <v>5476139697</v>
      </c>
      <c r="O17" s="23">
        <v>5319821451</v>
      </c>
      <c r="Q17" s="23">
        <v>156318246</v>
      </c>
    </row>
    <row r="18" spans="1:17" ht="18.75" x14ac:dyDescent="0.45">
      <c r="A18" s="30" t="s">
        <v>28</v>
      </c>
      <c r="C18" s="23">
        <v>5816855</v>
      </c>
      <c r="E18" s="23">
        <v>15250930048</v>
      </c>
      <c r="G18" s="23">
        <v>19154327435</v>
      </c>
      <c r="I18" s="23">
        <v>-3903397387</v>
      </c>
      <c r="K18" s="23">
        <v>19134677</v>
      </c>
      <c r="M18" s="23">
        <v>44742024865</v>
      </c>
      <c r="O18" s="23">
        <v>63096887511</v>
      </c>
      <c r="Q18" s="23">
        <v>-18354862646</v>
      </c>
    </row>
    <row r="19" spans="1:17" ht="18.75" x14ac:dyDescent="0.45">
      <c r="A19" s="30" t="s">
        <v>29</v>
      </c>
      <c r="C19" s="23">
        <v>800000</v>
      </c>
      <c r="E19" s="23">
        <v>14604781690</v>
      </c>
      <c r="G19" s="23">
        <v>12973363637</v>
      </c>
      <c r="I19" s="23">
        <v>1631418053</v>
      </c>
      <c r="K19" s="23">
        <v>2725551</v>
      </c>
      <c r="M19" s="23">
        <v>42120470452</v>
      </c>
      <c r="O19" s="23">
        <v>42428640533</v>
      </c>
      <c r="Q19" s="23">
        <v>-308170081</v>
      </c>
    </row>
    <row r="20" spans="1:17" ht="18.75" x14ac:dyDescent="0.45">
      <c r="A20" s="30" t="s">
        <v>31</v>
      </c>
      <c r="C20" s="23">
        <v>800000</v>
      </c>
      <c r="E20" s="23">
        <v>1894838808</v>
      </c>
      <c r="G20" s="23">
        <v>1644057902</v>
      </c>
      <c r="I20" s="23">
        <v>250780906</v>
      </c>
      <c r="K20" s="23">
        <v>8934050</v>
      </c>
      <c r="M20" s="23">
        <v>26405688416</v>
      </c>
      <c r="O20" s="23">
        <v>21169738169</v>
      </c>
      <c r="Q20" s="23">
        <v>5235950247</v>
      </c>
    </row>
    <row r="21" spans="1:17" ht="18.75" x14ac:dyDescent="0.45">
      <c r="A21" s="30" t="s">
        <v>33</v>
      </c>
      <c r="C21" s="23">
        <v>6800000</v>
      </c>
      <c r="E21" s="23">
        <v>3907956277</v>
      </c>
      <c r="G21" s="23">
        <v>3573424079</v>
      </c>
      <c r="I21" s="23">
        <v>334532198</v>
      </c>
      <c r="K21" s="23">
        <v>14800000</v>
      </c>
      <c r="M21" s="23">
        <v>8039625892</v>
      </c>
      <c r="O21" s="23">
        <v>6807486354</v>
      </c>
      <c r="Q21" s="23">
        <v>1232139538</v>
      </c>
    </row>
    <row r="22" spans="1:17" ht="18.75" x14ac:dyDescent="0.45">
      <c r="A22" s="30" t="s">
        <v>301</v>
      </c>
      <c r="J22" s="22"/>
      <c r="K22" s="23">
        <v>500000</v>
      </c>
      <c r="M22" s="23">
        <v>6011371915</v>
      </c>
      <c r="O22" s="23">
        <v>8791182875</v>
      </c>
      <c r="Q22" s="23">
        <v>-2779810960</v>
      </c>
    </row>
    <row r="23" spans="1:17" ht="18.75" x14ac:dyDescent="0.45">
      <c r="A23" s="30" t="s">
        <v>35</v>
      </c>
      <c r="J23" s="22"/>
      <c r="K23" s="23">
        <v>14400000</v>
      </c>
      <c r="M23" s="23">
        <v>20314924338</v>
      </c>
      <c r="O23" s="23">
        <v>18332359372</v>
      </c>
      <c r="Q23" s="23">
        <v>1982564966</v>
      </c>
    </row>
    <row r="24" spans="1:17" ht="18.75" x14ac:dyDescent="0.45">
      <c r="A24" s="30" t="s">
        <v>36</v>
      </c>
      <c r="C24" s="23">
        <v>42800000</v>
      </c>
      <c r="E24" s="23">
        <v>22012078684</v>
      </c>
      <c r="G24" s="23">
        <v>22064287788</v>
      </c>
      <c r="I24" s="23">
        <v>-52209104</v>
      </c>
      <c r="K24" s="23">
        <v>42800000</v>
      </c>
      <c r="M24" s="23">
        <v>22012078684</v>
      </c>
      <c r="O24" s="23">
        <v>22064287788</v>
      </c>
      <c r="Q24" s="23">
        <v>-52209104</v>
      </c>
    </row>
    <row r="25" spans="1:17" ht="18.75" x14ac:dyDescent="0.45">
      <c r="A25" s="30" t="s">
        <v>37</v>
      </c>
      <c r="C25" s="23">
        <v>400000</v>
      </c>
      <c r="E25" s="23">
        <v>1218904474</v>
      </c>
      <c r="G25" s="23">
        <v>1120627118</v>
      </c>
      <c r="I25" s="23">
        <v>98277356</v>
      </c>
      <c r="K25" s="23">
        <v>400000</v>
      </c>
      <c r="M25" s="23">
        <v>1218904474</v>
      </c>
      <c r="O25" s="23">
        <v>1120627118</v>
      </c>
      <c r="Q25" s="23">
        <v>98277356</v>
      </c>
    </row>
    <row r="26" spans="1:17" ht="18.75" x14ac:dyDescent="0.45">
      <c r="A26" s="30" t="s">
        <v>38</v>
      </c>
      <c r="C26" s="23">
        <v>1200000</v>
      </c>
      <c r="E26" s="23">
        <v>3691967724</v>
      </c>
      <c r="G26" s="23">
        <v>4361045094</v>
      </c>
      <c r="I26" s="23">
        <v>-669077370</v>
      </c>
      <c r="K26" s="23">
        <v>1200000</v>
      </c>
      <c r="M26" s="23">
        <v>3691967724</v>
      </c>
      <c r="O26" s="23">
        <v>4361045094</v>
      </c>
      <c r="Q26" s="23">
        <v>-669077370</v>
      </c>
    </row>
    <row r="27" spans="1:17" ht="18.75" x14ac:dyDescent="0.45">
      <c r="A27" s="30" t="s">
        <v>39</v>
      </c>
      <c r="C27" s="23">
        <v>6000000</v>
      </c>
      <c r="E27" s="23">
        <v>3915100607</v>
      </c>
      <c r="G27" s="23">
        <v>3583101428</v>
      </c>
      <c r="I27" s="23">
        <v>331999179</v>
      </c>
      <c r="K27" s="23">
        <v>14000000</v>
      </c>
      <c r="M27" s="23">
        <v>8550499285</v>
      </c>
      <c r="O27" s="23">
        <v>7676387557</v>
      </c>
      <c r="Q27" s="23">
        <v>874111728</v>
      </c>
    </row>
    <row r="28" spans="1:17" ht="18.75" x14ac:dyDescent="0.45">
      <c r="A28" s="30" t="s">
        <v>40</v>
      </c>
      <c r="C28" s="23">
        <v>18800000</v>
      </c>
      <c r="E28" s="23">
        <v>28134698061</v>
      </c>
      <c r="G28" s="23">
        <v>25409387111</v>
      </c>
      <c r="I28" s="23">
        <v>2725310950</v>
      </c>
      <c r="K28" s="23">
        <v>34141220</v>
      </c>
      <c r="M28" s="23">
        <v>47225618509</v>
      </c>
      <c r="O28" s="23">
        <v>41055837143</v>
      </c>
      <c r="Q28" s="23">
        <v>6169781366</v>
      </c>
    </row>
    <row r="29" spans="1:17" ht="18.75" x14ac:dyDescent="0.45">
      <c r="A29" s="30" t="s">
        <v>41</v>
      </c>
      <c r="J29" s="22"/>
      <c r="K29" s="23">
        <v>3217029</v>
      </c>
      <c r="M29" s="23">
        <v>17822284991</v>
      </c>
      <c r="O29" s="23">
        <v>13369294223</v>
      </c>
      <c r="Q29" s="23">
        <v>4452990768</v>
      </c>
    </row>
    <row r="30" spans="1:17" ht="18.75" x14ac:dyDescent="0.45">
      <c r="A30" s="30" t="s">
        <v>42</v>
      </c>
      <c r="C30" s="23">
        <v>6400000</v>
      </c>
      <c r="E30" s="23">
        <v>11564311560</v>
      </c>
      <c r="G30" s="23">
        <v>10499537123</v>
      </c>
      <c r="I30" s="23">
        <v>1064774437</v>
      </c>
      <c r="K30" s="23">
        <v>16312413</v>
      </c>
      <c r="M30" s="23">
        <v>26517813725</v>
      </c>
      <c r="O30" s="23">
        <v>24727104631</v>
      </c>
      <c r="Q30" s="23">
        <v>1790709094</v>
      </c>
    </row>
    <row r="31" spans="1:17" ht="18.75" x14ac:dyDescent="0.45">
      <c r="A31" s="30" t="s">
        <v>43</v>
      </c>
      <c r="J31" s="22"/>
      <c r="K31" s="23">
        <v>2902774</v>
      </c>
      <c r="M31" s="23">
        <v>6006479169</v>
      </c>
      <c r="O31" s="23">
        <v>3851363545</v>
      </c>
      <c r="Q31" s="23">
        <v>2155115624</v>
      </c>
    </row>
    <row r="32" spans="1:17" ht="18.75" x14ac:dyDescent="0.45">
      <c r="A32" s="30" t="s">
        <v>44</v>
      </c>
      <c r="C32" s="23">
        <v>3600000</v>
      </c>
      <c r="E32" s="23">
        <v>8585211347</v>
      </c>
      <c r="G32" s="23">
        <v>8143964374</v>
      </c>
      <c r="I32" s="23">
        <v>441246973</v>
      </c>
      <c r="K32" s="23">
        <v>5328318</v>
      </c>
      <c r="M32" s="23">
        <v>12758386096</v>
      </c>
      <c r="O32" s="23">
        <v>11760734944</v>
      </c>
      <c r="Q32" s="23">
        <v>997651152</v>
      </c>
    </row>
    <row r="33" spans="1:17" ht="18.75" x14ac:dyDescent="0.45">
      <c r="A33" s="30" t="s">
        <v>46</v>
      </c>
      <c r="J33" s="22"/>
      <c r="K33" s="23">
        <v>202395</v>
      </c>
      <c r="M33" s="23">
        <v>307531647</v>
      </c>
      <c r="O33" s="23">
        <v>263370866</v>
      </c>
      <c r="Q33" s="23">
        <v>44160781</v>
      </c>
    </row>
    <row r="34" spans="1:17" ht="37.5" x14ac:dyDescent="0.45">
      <c r="A34" s="30" t="s">
        <v>47</v>
      </c>
      <c r="C34" s="23">
        <v>2800000</v>
      </c>
      <c r="E34" s="23">
        <v>8286757785</v>
      </c>
      <c r="G34" s="23">
        <v>6120744221</v>
      </c>
      <c r="I34" s="23">
        <v>2166013564</v>
      </c>
      <c r="K34" s="23">
        <v>4325551</v>
      </c>
      <c r="M34" s="23">
        <v>12291078464</v>
      </c>
      <c r="O34" s="23">
        <v>9459546390</v>
      </c>
      <c r="Q34" s="23">
        <v>2831532074</v>
      </c>
    </row>
    <row r="35" spans="1:17" ht="18.75" x14ac:dyDescent="0.45">
      <c r="A35" s="30" t="s">
        <v>48</v>
      </c>
      <c r="C35" s="23">
        <v>375521</v>
      </c>
      <c r="E35" s="23">
        <v>607740329</v>
      </c>
      <c r="G35" s="23">
        <v>583459734</v>
      </c>
      <c r="I35" s="23">
        <v>24280595</v>
      </c>
      <c r="K35" s="23">
        <v>375521</v>
      </c>
      <c r="M35" s="23">
        <v>607740329</v>
      </c>
      <c r="O35" s="23">
        <v>583459734</v>
      </c>
      <c r="Q35" s="23">
        <v>24280595</v>
      </c>
    </row>
    <row r="36" spans="1:17" ht="18.75" x14ac:dyDescent="0.45">
      <c r="A36" s="30" t="s">
        <v>49</v>
      </c>
      <c r="C36" s="23">
        <v>8800000</v>
      </c>
      <c r="E36" s="23">
        <v>32110254358</v>
      </c>
      <c r="G36" s="23">
        <v>32647757856</v>
      </c>
      <c r="I36" s="23">
        <v>-537503498</v>
      </c>
      <c r="K36" s="23">
        <v>26868176</v>
      </c>
      <c r="M36" s="23">
        <v>108674319279</v>
      </c>
      <c r="O36" s="23">
        <v>95734327617</v>
      </c>
      <c r="Q36" s="23">
        <v>12939991662</v>
      </c>
    </row>
    <row r="37" spans="1:17" ht="18.75" x14ac:dyDescent="0.45">
      <c r="A37" s="30" t="s">
        <v>50</v>
      </c>
      <c r="C37" s="23">
        <v>60116</v>
      </c>
      <c r="E37" s="23">
        <v>595865768</v>
      </c>
      <c r="G37" s="23">
        <v>377353554</v>
      </c>
      <c r="I37" s="23">
        <v>218512214</v>
      </c>
      <c r="K37" s="23">
        <v>19088686</v>
      </c>
      <c r="M37" s="23">
        <v>135946394020</v>
      </c>
      <c r="O37" s="23">
        <v>117788137209</v>
      </c>
      <c r="Q37" s="23">
        <v>18158256811</v>
      </c>
    </row>
    <row r="38" spans="1:17" ht="18.75" x14ac:dyDescent="0.45">
      <c r="A38" s="30" t="s">
        <v>51</v>
      </c>
      <c r="C38" s="23">
        <v>800000</v>
      </c>
      <c r="E38" s="23">
        <v>3382449988</v>
      </c>
      <c r="G38" s="23">
        <v>1500155187</v>
      </c>
      <c r="I38" s="23">
        <v>1882294801</v>
      </c>
      <c r="K38" s="23">
        <v>3444129</v>
      </c>
      <c r="M38" s="23">
        <v>10448599223</v>
      </c>
      <c r="O38" s="23">
        <v>6495543123</v>
      </c>
      <c r="Q38" s="23">
        <v>3953056100</v>
      </c>
    </row>
    <row r="39" spans="1:17" ht="18.75" x14ac:dyDescent="0.45">
      <c r="A39" s="30" t="s">
        <v>308</v>
      </c>
      <c r="J39" s="22"/>
      <c r="K39" s="23">
        <v>2838120</v>
      </c>
      <c r="M39" s="23">
        <v>11214374490</v>
      </c>
      <c r="O39" s="23">
        <v>12978257492</v>
      </c>
      <c r="Q39" s="23">
        <v>-1763883002</v>
      </c>
    </row>
    <row r="40" spans="1:17" ht="18.75" x14ac:dyDescent="0.45">
      <c r="A40" s="30" t="s">
        <v>53</v>
      </c>
      <c r="C40" s="23">
        <v>6400000</v>
      </c>
      <c r="E40" s="23">
        <v>16016078243</v>
      </c>
      <c r="G40" s="23">
        <v>14330351247</v>
      </c>
      <c r="I40" s="23">
        <v>1685726996</v>
      </c>
      <c r="K40" s="23">
        <v>12527149</v>
      </c>
      <c r="M40" s="23">
        <v>26890007087</v>
      </c>
      <c r="O40" s="23">
        <v>23289249054</v>
      </c>
      <c r="Q40" s="23">
        <v>3600758033</v>
      </c>
    </row>
    <row r="41" spans="1:17" ht="37.5" x14ac:dyDescent="0.45">
      <c r="A41" s="30" t="s">
        <v>54</v>
      </c>
      <c r="C41" s="23">
        <v>1600000</v>
      </c>
      <c r="E41" s="23">
        <v>6855223709</v>
      </c>
      <c r="G41" s="23">
        <v>6324087024</v>
      </c>
      <c r="I41" s="23">
        <v>531136685</v>
      </c>
      <c r="K41" s="23">
        <v>1600000</v>
      </c>
      <c r="M41" s="23">
        <v>6855223709</v>
      </c>
      <c r="O41" s="23">
        <v>6324087024</v>
      </c>
      <c r="Q41" s="23">
        <v>531136685</v>
      </c>
    </row>
    <row r="42" spans="1:17" ht="37.5" x14ac:dyDescent="0.45">
      <c r="A42" s="30" t="s">
        <v>56</v>
      </c>
      <c r="J42" s="22"/>
      <c r="K42" s="23">
        <v>750</v>
      </c>
      <c r="M42" s="23">
        <v>34443835</v>
      </c>
      <c r="O42" s="23">
        <v>35616912</v>
      </c>
      <c r="Q42" s="23">
        <v>-1173077</v>
      </c>
    </row>
    <row r="43" spans="1:17" ht="18.75" x14ac:dyDescent="0.45">
      <c r="A43" s="30" t="s">
        <v>57</v>
      </c>
      <c r="C43" s="23">
        <v>2577433</v>
      </c>
      <c r="E43" s="23">
        <v>5024253091</v>
      </c>
      <c r="G43" s="23">
        <v>4469730651</v>
      </c>
      <c r="I43" s="23">
        <v>554522440</v>
      </c>
      <c r="K43" s="23">
        <v>2977433</v>
      </c>
      <c r="M43" s="23">
        <v>5715705466</v>
      </c>
      <c r="O43" s="23">
        <v>5122797602</v>
      </c>
      <c r="Q43" s="23">
        <v>592907864</v>
      </c>
    </row>
    <row r="44" spans="1:17" ht="18.75" x14ac:dyDescent="0.45">
      <c r="A44" s="30" t="s">
        <v>60</v>
      </c>
      <c r="J44" s="22"/>
      <c r="K44" s="23">
        <v>800000</v>
      </c>
      <c r="M44" s="23">
        <v>4070688460</v>
      </c>
      <c r="O44" s="23">
        <v>3299346786</v>
      </c>
      <c r="Q44" s="23">
        <v>771341674</v>
      </c>
    </row>
    <row r="45" spans="1:17" ht="18.75" x14ac:dyDescent="0.45">
      <c r="A45" s="30" t="s">
        <v>61</v>
      </c>
      <c r="C45" s="23">
        <v>75000</v>
      </c>
      <c r="E45" s="23">
        <v>9976068566</v>
      </c>
      <c r="G45" s="23">
        <v>10765523740</v>
      </c>
      <c r="I45" s="23">
        <v>-789455174</v>
      </c>
      <c r="K45" s="23">
        <v>225000</v>
      </c>
      <c r="M45" s="23">
        <v>27708762805</v>
      </c>
      <c r="O45" s="23">
        <v>28999454008</v>
      </c>
      <c r="Q45" s="23">
        <v>-1290691203</v>
      </c>
    </row>
    <row r="46" spans="1:17" ht="37.5" x14ac:dyDescent="0.45">
      <c r="A46" s="30" t="s">
        <v>62</v>
      </c>
      <c r="C46" s="23">
        <v>100000</v>
      </c>
      <c r="E46" s="23">
        <v>1937903316</v>
      </c>
      <c r="G46" s="23">
        <v>1208735377</v>
      </c>
      <c r="I46" s="23">
        <v>729167939</v>
      </c>
      <c r="K46" s="23">
        <v>4216904</v>
      </c>
      <c r="M46" s="23">
        <v>46545603990</v>
      </c>
      <c r="O46" s="23">
        <v>47912096017</v>
      </c>
      <c r="Q46" s="23">
        <v>-1366492027</v>
      </c>
    </row>
    <row r="47" spans="1:17" ht="18.75" x14ac:dyDescent="0.45">
      <c r="A47" s="30" t="s">
        <v>63</v>
      </c>
      <c r="J47" s="22"/>
      <c r="K47" s="23">
        <v>1810386</v>
      </c>
      <c r="M47" s="23">
        <v>12602590809</v>
      </c>
      <c r="O47" s="23">
        <v>12534442754</v>
      </c>
      <c r="Q47" s="23">
        <v>68148055</v>
      </c>
    </row>
    <row r="48" spans="1:17" ht="18.75" x14ac:dyDescent="0.45">
      <c r="A48" s="30" t="s">
        <v>65</v>
      </c>
      <c r="C48" s="23">
        <v>3200000</v>
      </c>
      <c r="E48" s="23">
        <v>6010774829</v>
      </c>
      <c r="G48" s="23">
        <v>5663535616</v>
      </c>
      <c r="I48" s="23">
        <v>347239213</v>
      </c>
      <c r="K48" s="23">
        <v>12213645</v>
      </c>
      <c r="M48" s="23">
        <v>20991434140</v>
      </c>
      <c r="O48" s="23">
        <v>21235640501</v>
      </c>
      <c r="Q48" s="23">
        <v>-244206361</v>
      </c>
    </row>
    <row r="49" spans="1:17" ht="18.75" x14ac:dyDescent="0.45">
      <c r="A49" s="30" t="s">
        <v>66</v>
      </c>
      <c r="J49" s="22"/>
      <c r="K49" s="23">
        <v>1262547</v>
      </c>
      <c r="M49" s="23">
        <v>5729138840</v>
      </c>
      <c r="O49" s="23">
        <v>5197867431</v>
      </c>
      <c r="Q49" s="23">
        <v>531271409</v>
      </c>
    </row>
    <row r="50" spans="1:17" ht="18.75" x14ac:dyDescent="0.45">
      <c r="A50" s="30" t="s">
        <v>67</v>
      </c>
      <c r="C50" s="23">
        <v>200000</v>
      </c>
      <c r="E50" s="23">
        <v>1547833611</v>
      </c>
      <c r="G50" s="23">
        <v>1283744048</v>
      </c>
      <c r="I50" s="23">
        <v>264089563</v>
      </c>
      <c r="K50" s="23">
        <v>3029940</v>
      </c>
      <c r="M50" s="23">
        <v>16355089026</v>
      </c>
      <c r="O50" s="23">
        <v>19773097066</v>
      </c>
      <c r="Q50" s="23">
        <v>-3418008040</v>
      </c>
    </row>
    <row r="51" spans="1:17" ht="18.75" x14ac:dyDescent="0.45">
      <c r="A51" s="30" t="s">
        <v>68</v>
      </c>
      <c r="C51" s="23">
        <v>344078</v>
      </c>
      <c r="E51" s="23">
        <v>9403745755</v>
      </c>
      <c r="G51" s="23">
        <v>7297062959</v>
      </c>
      <c r="I51" s="23">
        <v>2106682796</v>
      </c>
      <c r="K51" s="23">
        <v>3633780</v>
      </c>
      <c r="M51" s="23">
        <v>91933413901</v>
      </c>
      <c r="O51" s="23">
        <v>76415847603</v>
      </c>
      <c r="Q51" s="23">
        <v>15517566298</v>
      </c>
    </row>
    <row r="52" spans="1:17" ht="18.75" x14ac:dyDescent="0.45">
      <c r="A52" s="30" t="s">
        <v>69</v>
      </c>
      <c r="C52" s="23">
        <v>528324</v>
      </c>
      <c r="E52" s="23">
        <v>2539734702</v>
      </c>
      <c r="G52" s="23">
        <v>1890216281</v>
      </c>
      <c r="I52" s="23">
        <v>649518421</v>
      </c>
      <c r="K52" s="23">
        <v>909953</v>
      </c>
      <c r="M52" s="23">
        <v>3857036667</v>
      </c>
      <c r="O52" s="23">
        <v>3070979776</v>
      </c>
      <c r="Q52" s="23">
        <v>786056891</v>
      </c>
    </row>
    <row r="53" spans="1:17" ht="18.75" x14ac:dyDescent="0.45">
      <c r="A53" s="30" t="s">
        <v>70</v>
      </c>
      <c r="C53" s="23">
        <v>100000</v>
      </c>
      <c r="E53" s="23">
        <v>3252661073</v>
      </c>
      <c r="G53" s="23">
        <v>3214579960</v>
      </c>
      <c r="I53" s="23">
        <v>38081113</v>
      </c>
      <c r="K53" s="23">
        <v>100000</v>
      </c>
      <c r="M53" s="23">
        <v>3252661073</v>
      </c>
      <c r="O53" s="23">
        <v>3214579960</v>
      </c>
      <c r="Q53" s="23">
        <v>38081113</v>
      </c>
    </row>
    <row r="54" spans="1:17" ht="18.75" x14ac:dyDescent="0.45">
      <c r="A54" s="30" t="s">
        <v>71</v>
      </c>
      <c r="C54" s="23">
        <v>405744</v>
      </c>
      <c r="E54" s="23">
        <v>3088342290</v>
      </c>
      <c r="G54" s="23">
        <v>2179274259</v>
      </c>
      <c r="I54" s="23">
        <v>909068031</v>
      </c>
      <c r="K54" s="23">
        <v>1418837</v>
      </c>
      <c r="M54" s="23">
        <v>8487001436</v>
      </c>
      <c r="O54" s="23">
        <v>6292279087</v>
      </c>
      <c r="Q54" s="23">
        <v>2194722349</v>
      </c>
    </row>
    <row r="55" spans="1:17" ht="18.75" x14ac:dyDescent="0.45">
      <c r="A55" s="30" t="s">
        <v>72</v>
      </c>
      <c r="C55" s="23">
        <v>600000</v>
      </c>
      <c r="E55" s="23">
        <v>4006847207</v>
      </c>
      <c r="G55" s="23">
        <v>2447281033</v>
      </c>
      <c r="I55" s="23">
        <v>1559566174</v>
      </c>
      <c r="K55" s="23">
        <v>10829854</v>
      </c>
      <c r="M55" s="23">
        <v>54577326783</v>
      </c>
      <c r="O55" s="23">
        <v>44388251701</v>
      </c>
      <c r="Q55" s="23">
        <v>10189075082</v>
      </c>
    </row>
    <row r="56" spans="1:17" ht="18.75" x14ac:dyDescent="0.45">
      <c r="A56" s="30" t="s">
        <v>73</v>
      </c>
      <c r="C56" s="23">
        <v>100000</v>
      </c>
      <c r="E56" s="23">
        <v>1003184983</v>
      </c>
      <c r="G56" s="23">
        <v>666653411</v>
      </c>
      <c r="I56" s="23">
        <v>336531572</v>
      </c>
      <c r="K56" s="23">
        <v>679966</v>
      </c>
      <c r="M56" s="23">
        <v>6765400317</v>
      </c>
      <c r="O56" s="23">
        <v>4163976197</v>
      </c>
      <c r="Q56" s="23">
        <v>2601424120</v>
      </c>
    </row>
    <row r="57" spans="1:17" ht="37.5" x14ac:dyDescent="0.45">
      <c r="A57" s="30" t="s">
        <v>75</v>
      </c>
      <c r="J57" s="22"/>
      <c r="K57" s="23">
        <v>150126</v>
      </c>
      <c r="M57" s="23">
        <v>4938968390</v>
      </c>
      <c r="O57" s="23">
        <v>4029568098</v>
      </c>
      <c r="Q57" s="23">
        <v>909400292</v>
      </c>
    </row>
    <row r="58" spans="1:17" ht="18.75" x14ac:dyDescent="0.45">
      <c r="A58" s="30" t="s">
        <v>76</v>
      </c>
      <c r="C58" s="23">
        <v>3060502</v>
      </c>
      <c r="E58" s="23">
        <v>4976374181</v>
      </c>
      <c r="G58" s="23">
        <v>5502540975</v>
      </c>
      <c r="I58" s="23">
        <v>-526166794</v>
      </c>
      <c r="K58" s="23">
        <v>3060502</v>
      </c>
      <c r="M58" s="23">
        <v>4976374181</v>
      </c>
      <c r="O58" s="23">
        <v>5502540975</v>
      </c>
      <c r="Q58" s="23">
        <v>-526166794</v>
      </c>
    </row>
    <row r="59" spans="1:17" ht="18.75" x14ac:dyDescent="0.45">
      <c r="A59" s="30" t="s">
        <v>77</v>
      </c>
      <c r="J59" s="22"/>
      <c r="K59" s="23">
        <v>1547356</v>
      </c>
      <c r="M59" s="23">
        <v>14217825552</v>
      </c>
      <c r="O59" s="23">
        <v>23203362482</v>
      </c>
      <c r="Q59" s="23">
        <v>-8985536930</v>
      </c>
    </row>
    <row r="60" spans="1:17" ht="18.75" x14ac:dyDescent="0.45">
      <c r="A60" s="30" t="s">
        <v>78</v>
      </c>
      <c r="C60" s="23">
        <v>1200000</v>
      </c>
      <c r="E60" s="23">
        <v>2302860236</v>
      </c>
      <c r="G60" s="23">
        <v>2702871965</v>
      </c>
      <c r="I60" s="23">
        <v>-400011729</v>
      </c>
      <c r="K60" s="23">
        <v>14745044</v>
      </c>
      <c r="M60" s="23">
        <v>25350430494</v>
      </c>
      <c r="O60" s="23">
        <v>34081165213</v>
      </c>
      <c r="Q60" s="23">
        <v>-8730734719</v>
      </c>
    </row>
    <row r="61" spans="1:17" ht="18.75" x14ac:dyDescent="0.45">
      <c r="A61" s="30" t="s">
        <v>79</v>
      </c>
      <c r="C61" s="23">
        <v>1600000</v>
      </c>
      <c r="E61" s="23">
        <v>3524543067</v>
      </c>
      <c r="G61" s="23">
        <v>4312681263</v>
      </c>
      <c r="I61" s="23">
        <v>-788138196</v>
      </c>
      <c r="K61" s="23">
        <v>9758132</v>
      </c>
      <c r="M61" s="23">
        <v>21015170026</v>
      </c>
      <c r="O61" s="23">
        <v>27832408260</v>
      </c>
      <c r="Q61" s="23">
        <v>-6817238234</v>
      </c>
    </row>
    <row r="62" spans="1:17" ht="18.75" x14ac:dyDescent="0.45">
      <c r="A62" s="30" t="s">
        <v>80</v>
      </c>
      <c r="C62" s="23">
        <v>800000</v>
      </c>
      <c r="E62" s="23">
        <v>3352284983</v>
      </c>
      <c r="G62" s="23">
        <v>2732041191</v>
      </c>
      <c r="I62" s="23">
        <v>620243792</v>
      </c>
      <c r="K62" s="23">
        <v>2265775</v>
      </c>
      <c r="M62" s="23">
        <v>8976921557</v>
      </c>
      <c r="O62" s="23">
        <v>7086604685</v>
      </c>
      <c r="Q62" s="23">
        <v>1890316872</v>
      </c>
    </row>
    <row r="63" spans="1:17" ht="18.75" x14ac:dyDescent="0.45">
      <c r="A63" s="30" t="s">
        <v>319</v>
      </c>
      <c r="J63" s="22"/>
      <c r="K63" s="23">
        <v>10258397</v>
      </c>
      <c r="M63" s="23">
        <v>17418477479</v>
      </c>
      <c r="O63" s="23">
        <v>20331248787</v>
      </c>
      <c r="Q63" s="23">
        <v>-2912771308</v>
      </c>
    </row>
    <row r="64" spans="1:17" ht="18.75" x14ac:dyDescent="0.45">
      <c r="A64" s="30" t="s">
        <v>81</v>
      </c>
      <c r="J64" s="22"/>
      <c r="K64" s="23">
        <v>562500</v>
      </c>
      <c r="M64" s="23">
        <v>5893474057</v>
      </c>
      <c r="O64" s="23">
        <v>4896698224</v>
      </c>
      <c r="Q64" s="23">
        <v>996775833</v>
      </c>
    </row>
    <row r="65" spans="1:17" ht="18.75" x14ac:dyDescent="0.45">
      <c r="A65" s="30" t="s">
        <v>83</v>
      </c>
      <c r="J65" s="22"/>
      <c r="K65" s="23">
        <v>3600000</v>
      </c>
      <c r="M65" s="23">
        <v>1829029226</v>
      </c>
      <c r="O65" s="23">
        <v>1399291156</v>
      </c>
      <c r="Q65" s="23">
        <v>429738070</v>
      </c>
    </row>
    <row r="66" spans="1:17" ht="18.75" x14ac:dyDescent="0.45">
      <c r="A66" s="30" t="s">
        <v>84</v>
      </c>
      <c r="J66" s="22"/>
      <c r="K66" s="23">
        <v>5362092</v>
      </c>
      <c r="M66" s="23">
        <v>12980888049</v>
      </c>
      <c r="O66" s="23">
        <v>12856362371</v>
      </c>
      <c r="Q66" s="23">
        <v>124525678</v>
      </c>
    </row>
    <row r="67" spans="1:17" ht="18.75" x14ac:dyDescent="0.45">
      <c r="A67" s="30" t="s">
        <v>85</v>
      </c>
      <c r="J67" s="22"/>
      <c r="K67" s="23">
        <v>324703</v>
      </c>
      <c r="M67" s="23">
        <v>4351143893</v>
      </c>
      <c r="O67" s="23">
        <v>3998814252</v>
      </c>
      <c r="Q67" s="23">
        <v>352329641</v>
      </c>
    </row>
    <row r="68" spans="1:17" ht="37.5" x14ac:dyDescent="0.45">
      <c r="A68" s="30" t="s">
        <v>87</v>
      </c>
      <c r="C68" s="23">
        <v>10400000</v>
      </c>
      <c r="E68" s="23">
        <v>19314937557</v>
      </c>
      <c r="G68" s="23">
        <v>16780251472</v>
      </c>
      <c r="I68" s="23">
        <v>2534686085</v>
      </c>
      <c r="K68" s="23">
        <v>17940929</v>
      </c>
      <c r="M68" s="23">
        <v>29012667728</v>
      </c>
      <c r="O68" s="23">
        <v>26748835747</v>
      </c>
      <c r="Q68" s="23">
        <v>2263831981</v>
      </c>
    </row>
    <row r="69" spans="1:17" ht="18.75" x14ac:dyDescent="0.45">
      <c r="A69" s="30" t="s">
        <v>88</v>
      </c>
      <c r="C69" s="23">
        <v>400000</v>
      </c>
      <c r="E69" s="23">
        <v>2452891452</v>
      </c>
      <c r="G69" s="23">
        <v>1964698913</v>
      </c>
      <c r="I69" s="23">
        <v>488192539</v>
      </c>
      <c r="K69" s="23">
        <v>1400000</v>
      </c>
      <c r="M69" s="23">
        <v>8712404671</v>
      </c>
      <c r="O69" s="23">
        <v>7757896707</v>
      </c>
      <c r="Q69" s="23">
        <v>954507964</v>
      </c>
    </row>
    <row r="70" spans="1:17" ht="18.75" x14ac:dyDescent="0.45">
      <c r="A70" s="30" t="s">
        <v>90</v>
      </c>
      <c r="C70" s="23">
        <v>600000</v>
      </c>
      <c r="E70" s="23">
        <v>9972313570</v>
      </c>
      <c r="G70" s="23">
        <v>6030903147</v>
      </c>
      <c r="I70" s="23">
        <v>3941410423</v>
      </c>
      <c r="K70" s="23">
        <v>1600000</v>
      </c>
      <c r="M70" s="23">
        <v>20508759354</v>
      </c>
      <c r="O70" s="23">
        <v>16148818809</v>
      </c>
      <c r="Q70" s="23">
        <v>4359940545</v>
      </c>
    </row>
    <row r="71" spans="1:17" ht="18.75" x14ac:dyDescent="0.45">
      <c r="A71" s="30" t="s">
        <v>91</v>
      </c>
      <c r="C71" s="23">
        <v>100000</v>
      </c>
      <c r="E71" s="23">
        <v>1686859005</v>
      </c>
      <c r="G71" s="23">
        <v>943949795</v>
      </c>
      <c r="I71" s="23">
        <v>742909210</v>
      </c>
      <c r="K71" s="23">
        <v>2256635</v>
      </c>
      <c r="M71" s="23">
        <v>25634360165</v>
      </c>
      <c r="O71" s="23">
        <v>21181526042</v>
      </c>
      <c r="Q71" s="23">
        <v>4452834123</v>
      </c>
    </row>
    <row r="72" spans="1:17" ht="37.5" x14ac:dyDescent="0.45">
      <c r="A72" s="30" t="s">
        <v>92</v>
      </c>
      <c r="C72" s="23">
        <v>100000</v>
      </c>
      <c r="E72" s="23">
        <v>4300075884</v>
      </c>
      <c r="G72" s="23">
        <v>3264765355</v>
      </c>
      <c r="I72" s="23">
        <v>1035310529</v>
      </c>
      <c r="K72" s="23">
        <v>200000</v>
      </c>
      <c r="M72" s="23">
        <v>8314800312</v>
      </c>
      <c r="O72" s="23">
        <v>6531753654</v>
      </c>
      <c r="Q72" s="23">
        <v>1783046658</v>
      </c>
    </row>
    <row r="73" spans="1:17" ht="18.75" x14ac:dyDescent="0.45">
      <c r="A73" s="30" t="s">
        <v>93</v>
      </c>
      <c r="C73" s="23">
        <v>200000</v>
      </c>
      <c r="E73" s="23">
        <v>1218507562</v>
      </c>
      <c r="G73" s="23">
        <v>775979448</v>
      </c>
      <c r="I73" s="23">
        <v>442528114</v>
      </c>
      <c r="K73" s="23">
        <v>200000</v>
      </c>
      <c r="M73" s="23">
        <v>1218507562</v>
      </c>
      <c r="O73" s="23">
        <v>775979448</v>
      </c>
      <c r="Q73" s="23">
        <v>442528114</v>
      </c>
    </row>
    <row r="74" spans="1:17" ht="37.5" x14ac:dyDescent="0.45">
      <c r="A74" s="30" t="s">
        <v>94</v>
      </c>
      <c r="J74" s="22"/>
      <c r="K74" s="23">
        <v>3250000</v>
      </c>
      <c r="M74" s="23">
        <v>4477257642</v>
      </c>
      <c r="O74" s="23">
        <v>3912524843</v>
      </c>
      <c r="Q74" s="23">
        <v>564732799</v>
      </c>
    </row>
    <row r="75" spans="1:17" ht="18.75" x14ac:dyDescent="0.45">
      <c r="A75" s="30" t="s">
        <v>95</v>
      </c>
      <c r="C75" s="23">
        <v>3040703</v>
      </c>
      <c r="E75" s="23">
        <v>14749462858</v>
      </c>
      <c r="G75" s="23">
        <v>15666998542</v>
      </c>
      <c r="I75" s="23">
        <v>-917535684</v>
      </c>
      <c r="K75" s="23">
        <v>3440703</v>
      </c>
      <c r="M75" s="23">
        <v>16669967465</v>
      </c>
      <c r="O75" s="23">
        <v>17433394966</v>
      </c>
      <c r="Q75" s="23">
        <v>-763427501</v>
      </c>
    </row>
    <row r="76" spans="1:17" ht="18.75" x14ac:dyDescent="0.45">
      <c r="A76" s="30" t="s">
        <v>96</v>
      </c>
      <c r="C76" s="23">
        <v>800000</v>
      </c>
      <c r="E76" s="23">
        <v>5778980543</v>
      </c>
      <c r="G76" s="23">
        <v>5312516181</v>
      </c>
      <c r="I76" s="23">
        <v>466464362</v>
      </c>
      <c r="K76" s="23">
        <v>2000000</v>
      </c>
      <c r="M76" s="23">
        <v>13965387709</v>
      </c>
      <c r="O76" s="23">
        <v>13019378180</v>
      </c>
      <c r="Q76" s="23">
        <v>946009529</v>
      </c>
    </row>
    <row r="77" spans="1:17" ht="18.75" x14ac:dyDescent="0.45">
      <c r="A77" s="30" t="s">
        <v>323</v>
      </c>
      <c r="J77" s="22"/>
      <c r="K77" s="23">
        <v>1186353</v>
      </c>
      <c r="M77" s="23">
        <v>60228986918</v>
      </c>
      <c r="O77" s="23">
        <v>56481474431</v>
      </c>
      <c r="Q77" s="23">
        <v>3747512487</v>
      </c>
    </row>
    <row r="78" spans="1:17" ht="18.75" x14ac:dyDescent="0.45">
      <c r="A78" s="30" t="s">
        <v>97</v>
      </c>
      <c r="J78" s="22"/>
      <c r="K78" s="23">
        <v>15118</v>
      </c>
      <c r="M78" s="23">
        <v>1570544571</v>
      </c>
      <c r="O78" s="23">
        <v>1359504255</v>
      </c>
      <c r="Q78" s="23">
        <v>211040316</v>
      </c>
    </row>
    <row r="79" spans="1:17" ht="18.75" x14ac:dyDescent="0.45">
      <c r="A79" s="30" t="s">
        <v>100</v>
      </c>
      <c r="C79" s="23">
        <v>1100000</v>
      </c>
      <c r="E79" s="23">
        <v>10235338386</v>
      </c>
      <c r="G79" s="23">
        <v>9443444243</v>
      </c>
      <c r="I79" s="23">
        <v>791894143</v>
      </c>
      <c r="K79" s="23">
        <v>5733426</v>
      </c>
      <c r="M79" s="23">
        <v>57472245392</v>
      </c>
      <c r="O79" s="23">
        <v>46750851041</v>
      </c>
      <c r="Q79" s="23">
        <v>10721394351</v>
      </c>
    </row>
    <row r="80" spans="1:17" ht="18.75" x14ac:dyDescent="0.45">
      <c r="A80" s="30" t="s">
        <v>101</v>
      </c>
      <c r="J80" s="22"/>
      <c r="K80" s="23">
        <v>1662188</v>
      </c>
      <c r="M80" s="23">
        <v>13962229195</v>
      </c>
      <c r="O80" s="23">
        <v>10868496788</v>
      </c>
      <c r="Q80" s="23">
        <v>3093732407</v>
      </c>
    </row>
    <row r="81" spans="1:17" ht="18.75" x14ac:dyDescent="0.45">
      <c r="A81" s="30" t="s">
        <v>102</v>
      </c>
      <c r="J81" s="22"/>
      <c r="K81" s="23">
        <v>400000</v>
      </c>
      <c r="M81" s="23">
        <v>1637023421</v>
      </c>
      <c r="O81" s="23">
        <v>1786016677</v>
      </c>
      <c r="Q81" s="23">
        <v>-148993256</v>
      </c>
    </row>
    <row r="82" spans="1:17" ht="18.75" x14ac:dyDescent="0.45">
      <c r="A82" s="30" t="s">
        <v>103</v>
      </c>
      <c r="C82" s="23">
        <v>700000</v>
      </c>
      <c r="E82" s="23">
        <v>5738606320</v>
      </c>
      <c r="G82" s="23">
        <v>5971214105</v>
      </c>
      <c r="I82" s="23">
        <v>-232607785</v>
      </c>
      <c r="K82" s="23">
        <v>4803951</v>
      </c>
      <c r="M82" s="23">
        <v>39460527699</v>
      </c>
      <c r="O82" s="23">
        <v>39847115091</v>
      </c>
      <c r="Q82" s="23">
        <v>-386587392</v>
      </c>
    </row>
    <row r="83" spans="1:17" ht="18.75" x14ac:dyDescent="0.45">
      <c r="A83" s="30" t="s">
        <v>104</v>
      </c>
      <c r="C83" s="23">
        <v>345008</v>
      </c>
      <c r="E83" s="23">
        <v>3492177934</v>
      </c>
      <c r="G83" s="23">
        <v>3652994842</v>
      </c>
      <c r="I83" s="23">
        <v>-160816908</v>
      </c>
      <c r="K83" s="23">
        <v>4620251</v>
      </c>
      <c r="M83" s="23">
        <v>77899985214</v>
      </c>
      <c r="O83" s="23">
        <v>55055244583</v>
      </c>
      <c r="Q83" s="23">
        <v>22844740631</v>
      </c>
    </row>
    <row r="84" spans="1:17" ht="18.75" x14ac:dyDescent="0.45">
      <c r="A84" s="30" t="s">
        <v>105</v>
      </c>
      <c r="J84" s="22"/>
      <c r="K84" s="23">
        <v>200000</v>
      </c>
      <c r="M84" s="23">
        <v>5291690299</v>
      </c>
      <c r="O84" s="23">
        <v>4664218559</v>
      </c>
      <c r="Q84" s="23">
        <v>627471740</v>
      </c>
    </row>
    <row r="85" spans="1:17" ht="18.75" x14ac:dyDescent="0.45">
      <c r="A85" s="30" t="s">
        <v>108</v>
      </c>
      <c r="C85" s="23">
        <v>600000</v>
      </c>
      <c r="E85" s="23">
        <v>4524751215</v>
      </c>
      <c r="G85" s="23">
        <v>4760044681</v>
      </c>
      <c r="I85" s="23">
        <v>-235293466</v>
      </c>
      <c r="K85" s="23">
        <v>913777</v>
      </c>
      <c r="M85" s="23">
        <v>6833429557</v>
      </c>
      <c r="O85" s="23">
        <v>7266238457</v>
      </c>
      <c r="Q85" s="23">
        <v>-432808900</v>
      </c>
    </row>
    <row r="86" spans="1:17" ht="18.75" x14ac:dyDescent="0.45">
      <c r="A86" s="30" t="s">
        <v>109</v>
      </c>
      <c r="C86" s="23">
        <v>100000</v>
      </c>
      <c r="E86" s="23">
        <v>3485060163</v>
      </c>
      <c r="G86" s="23">
        <v>3373155549</v>
      </c>
      <c r="I86" s="23">
        <v>111904614</v>
      </c>
      <c r="K86" s="23">
        <v>100000</v>
      </c>
      <c r="M86" s="23">
        <v>3485060163</v>
      </c>
      <c r="O86" s="23">
        <v>3373155549</v>
      </c>
      <c r="Q86" s="23">
        <v>111904614</v>
      </c>
    </row>
    <row r="87" spans="1:17" ht="18.75" x14ac:dyDescent="0.45">
      <c r="A87" s="30" t="s">
        <v>110</v>
      </c>
      <c r="J87" s="22"/>
      <c r="K87" s="23">
        <v>200000</v>
      </c>
      <c r="M87" s="23">
        <v>3333006138</v>
      </c>
      <c r="O87" s="23">
        <v>3292533594</v>
      </c>
      <c r="Q87" s="23">
        <v>40472544</v>
      </c>
    </row>
    <row r="88" spans="1:17" ht="18.75" x14ac:dyDescent="0.45">
      <c r="A88" s="30" t="s">
        <v>112</v>
      </c>
      <c r="C88" s="23">
        <v>502017</v>
      </c>
      <c r="E88" s="23">
        <v>20956675806</v>
      </c>
      <c r="G88" s="23">
        <v>22604791945</v>
      </c>
      <c r="I88" s="23">
        <v>-1648116139</v>
      </c>
      <c r="K88" s="23">
        <v>502017</v>
      </c>
      <c r="M88" s="23">
        <v>20956675806</v>
      </c>
      <c r="O88" s="23">
        <v>22604791945</v>
      </c>
      <c r="Q88" s="23">
        <v>-1648116139</v>
      </c>
    </row>
    <row r="89" spans="1:17" ht="18.75" x14ac:dyDescent="0.45">
      <c r="A89" s="30" t="s">
        <v>113</v>
      </c>
      <c r="C89" s="23">
        <v>100000</v>
      </c>
      <c r="E89" s="23">
        <v>12188816271</v>
      </c>
      <c r="G89" s="23">
        <v>12573431642</v>
      </c>
      <c r="I89" s="23">
        <v>-384615371</v>
      </c>
      <c r="K89" s="23">
        <v>100000</v>
      </c>
      <c r="M89" s="23">
        <v>12188816271</v>
      </c>
      <c r="O89" s="23">
        <v>12573431642</v>
      </c>
      <c r="Q89" s="23">
        <v>-384615371</v>
      </c>
    </row>
    <row r="90" spans="1:17" ht="18.75" x14ac:dyDescent="0.45">
      <c r="A90" s="30" t="s">
        <v>114</v>
      </c>
      <c r="J90" s="22"/>
      <c r="K90" s="23">
        <v>4659613</v>
      </c>
      <c r="M90" s="23">
        <v>9127032716</v>
      </c>
      <c r="O90" s="23">
        <v>7389342435</v>
      </c>
      <c r="Q90" s="23">
        <v>1737690281</v>
      </c>
    </row>
    <row r="91" spans="1:17" ht="18.75" x14ac:dyDescent="0.45">
      <c r="A91" s="30" t="s">
        <v>115</v>
      </c>
      <c r="C91" s="23">
        <v>100000</v>
      </c>
      <c r="E91" s="23">
        <v>4778772330</v>
      </c>
      <c r="G91" s="23">
        <v>3898190288</v>
      </c>
      <c r="I91" s="23">
        <v>880582042</v>
      </c>
      <c r="K91" s="23">
        <v>200000</v>
      </c>
      <c r="M91" s="23">
        <v>8771871187</v>
      </c>
      <c r="O91" s="23">
        <v>6876352280</v>
      </c>
      <c r="Q91" s="23">
        <v>1895518907</v>
      </c>
    </row>
    <row r="92" spans="1:17" ht="18.75" x14ac:dyDescent="0.45">
      <c r="A92" s="30" t="s">
        <v>116</v>
      </c>
      <c r="J92" s="22"/>
      <c r="K92" s="23">
        <v>200000</v>
      </c>
      <c r="M92" s="23">
        <v>1805931406</v>
      </c>
      <c r="O92" s="23">
        <v>1360508008</v>
      </c>
      <c r="Q92" s="23">
        <v>445423398</v>
      </c>
    </row>
    <row r="93" spans="1:17" ht="18.75" x14ac:dyDescent="0.45">
      <c r="A93" s="30" t="s">
        <v>117</v>
      </c>
      <c r="C93" s="23">
        <v>5200000</v>
      </c>
      <c r="E93" s="23">
        <v>25764534866</v>
      </c>
      <c r="G93" s="23">
        <v>28005669779</v>
      </c>
      <c r="I93" s="23">
        <v>-2241134913</v>
      </c>
      <c r="K93" s="23">
        <v>5200000</v>
      </c>
      <c r="M93" s="23">
        <v>25764534866</v>
      </c>
      <c r="O93" s="23">
        <v>28005669779</v>
      </c>
      <c r="Q93" s="23">
        <v>-2241134913</v>
      </c>
    </row>
    <row r="94" spans="1:17" ht="37.5" x14ac:dyDescent="0.45">
      <c r="A94" s="30" t="s">
        <v>118</v>
      </c>
      <c r="J94" s="22"/>
      <c r="K94" s="23">
        <v>4800000</v>
      </c>
      <c r="M94" s="23">
        <v>14629799689</v>
      </c>
      <c r="O94" s="23">
        <v>10656668281</v>
      </c>
      <c r="Q94" s="23">
        <v>3973131408</v>
      </c>
    </row>
    <row r="95" spans="1:17" ht="18.75" x14ac:dyDescent="0.45">
      <c r="A95" s="30" t="s">
        <v>119</v>
      </c>
      <c r="C95" s="23">
        <v>19621</v>
      </c>
      <c r="E95" s="23">
        <v>134338381</v>
      </c>
      <c r="G95" s="23">
        <v>116501950</v>
      </c>
      <c r="I95" s="23">
        <v>17836431</v>
      </c>
      <c r="K95" s="23">
        <v>19621</v>
      </c>
      <c r="M95" s="23">
        <v>134338381</v>
      </c>
      <c r="O95" s="23">
        <v>116501950</v>
      </c>
      <c r="Q95" s="23">
        <v>17836431</v>
      </c>
    </row>
    <row r="96" spans="1:17" ht="37.5" x14ac:dyDescent="0.45">
      <c r="A96" s="30" t="s">
        <v>120</v>
      </c>
      <c r="C96" s="23">
        <v>500000</v>
      </c>
      <c r="E96" s="23">
        <v>8820784209</v>
      </c>
      <c r="G96" s="23">
        <v>8014046651</v>
      </c>
      <c r="I96" s="23">
        <v>806737558</v>
      </c>
      <c r="K96" s="23">
        <v>500000</v>
      </c>
      <c r="M96" s="23">
        <v>8820784209</v>
      </c>
      <c r="O96" s="23">
        <v>8014046651</v>
      </c>
      <c r="Q96" s="23">
        <v>806737558</v>
      </c>
    </row>
    <row r="97" spans="1:17" ht="37.5" x14ac:dyDescent="0.45">
      <c r="A97" s="30" t="s">
        <v>121</v>
      </c>
      <c r="C97" s="23">
        <v>400000</v>
      </c>
      <c r="E97" s="23">
        <v>4577582861</v>
      </c>
      <c r="G97" s="23">
        <v>3939047265</v>
      </c>
      <c r="I97" s="23">
        <v>638535596</v>
      </c>
      <c r="K97" s="23">
        <v>901985</v>
      </c>
      <c r="M97" s="23">
        <v>10292460458</v>
      </c>
      <c r="O97" s="23">
        <v>8561205455</v>
      </c>
      <c r="Q97" s="23">
        <v>1731255003</v>
      </c>
    </row>
    <row r="98" spans="1:17" ht="18.75" x14ac:dyDescent="0.45">
      <c r="A98" s="30" t="s">
        <v>122</v>
      </c>
      <c r="C98" s="23">
        <v>2400000</v>
      </c>
      <c r="E98" s="23">
        <v>3974636804</v>
      </c>
      <c r="G98" s="23">
        <v>4270663720</v>
      </c>
      <c r="I98" s="23">
        <v>-296026916</v>
      </c>
      <c r="K98" s="23">
        <v>22951227</v>
      </c>
      <c r="M98" s="23">
        <v>37082872931</v>
      </c>
      <c r="O98" s="23">
        <v>36369532142</v>
      </c>
      <c r="Q98" s="23">
        <v>713340789</v>
      </c>
    </row>
    <row r="99" spans="1:17" ht="18.75" x14ac:dyDescent="0.45">
      <c r="A99" s="30" t="s">
        <v>123</v>
      </c>
      <c r="J99" s="22"/>
      <c r="K99" s="23">
        <v>6199</v>
      </c>
      <c r="M99" s="23">
        <v>156164327</v>
      </c>
      <c r="O99" s="23">
        <v>177766649</v>
      </c>
      <c r="Q99" s="23">
        <v>-21602322</v>
      </c>
    </row>
    <row r="100" spans="1:17" ht="18.75" x14ac:dyDescent="0.45">
      <c r="A100" s="30" t="s">
        <v>126</v>
      </c>
      <c r="C100" s="23">
        <v>8000000</v>
      </c>
      <c r="E100" s="23">
        <v>4500936780</v>
      </c>
      <c r="G100" s="23">
        <v>5506676868</v>
      </c>
      <c r="I100" s="23">
        <v>-1005740088</v>
      </c>
      <c r="K100" s="23">
        <v>8000000</v>
      </c>
      <c r="M100" s="23">
        <v>4500936780</v>
      </c>
      <c r="O100" s="23">
        <v>5506676868</v>
      </c>
      <c r="Q100" s="23">
        <v>-1005740088</v>
      </c>
    </row>
    <row r="101" spans="1:17" ht="18.75" x14ac:dyDescent="0.45">
      <c r="A101" s="30" t="s">
        <v>330</v>
      </c>
      <c r="J101" s="22"/>
      <c r="K101" s="23">
        <v>10148510</v>
      </c>
      <c r="M101" s="23">
        <v>23061457106</v>
      </c>
      <c r="O101" s="23">
        <v>37934552149</v>
      </c>
      <c r="Q101" s="23">
        <v>-14873095043</v>
      </c>
    </row>
    <row r="102" spans="1:17" ht="18.75" x14ac:dyDescent="0.45">
      <c r="A102" s="30" t="s">
        <v>129</v>
      </c>
      <c r="J102" s="22"/>
      <c r="K102" s="23">
        <v>1875000</v>
      </c>
      <c r="M102" s="23">
        <v>6181102605</v>
      </c>
      <c r="O102" s="23">
        <v>5874615480</v>
      </c>
      <c r="Q102" s="23">
        <v>306487125</v>
      </c>
    </row>
    <row r="103" spans="1:17" ht="18.75" x14ac:dyDescent="0.45">
      <c r="A103" s="30" t="s">
        <v>133</v>
      </c>
      <c r="C103" s="23">
        <v>331527</v>
      </c>
      <c r="E103" s="23">
        <v>854377805</v>
      </c>
      <c r="G103" s="23">
        <v>1009019468</v>
      </c>
      <c r="I103" s="23">
        <v>-154641663</v>
      </c>
      <c r="K103" s="23">
        <v>16869586</v>
      </c>
      <c r="M103" s="23">
        <v>53776827270</v>
      </c>
      <c r="O103" s="23">
        <v>73402052591</v>
      </c>
      <c r="Q103" s="23">
        <v>-19625225321</v>
      </c>
    </row>
    <row r="104" spans="1:17" ht="18.75" x14ac:dyDescent="0.45">
      <c r="A104" s="30" t="s">
        <v>134</v>
      </c>
      <c r="C104" s="23">
        <v>200000</v>
      </c>
      <c r="E104" s="23">
        <v>1460621449</v>
      </c>
      <c r="G104" s="23">
        <v>1495650106</v>
      </c>
      <c r="I104" s="23">
        <v>-35028657</v>
      </c>
      <c r="K104" s="23">
        <v>10810714</v>
      </c>
      <c r="M104" s="23">
        <v>75431288688</v>
      </c>
      <c r="O104" s="23">
        <v>80797962603</v>
      </c>
      <c r="Q104" s="23">
        <v>-5366673915</v>
      </c>
    </row>
    <row r="105" spans="1:17" ht="18.75" x14ac:dyDescent="0.45">
      <c r="A105" s="30" t="s">
        <v>135</v>
      </c>
      <c r="J105" s="22"/>
      <c r="K105" s="23">
        <v>1200000</v>
      </c>
      <c r="M105" s="23">
        <v>3709770534</v>
      </c>
      <c r="O105" s="23">
        <v>2336150321</v>
      </c>
      <c r="Q105" s="23">
        <v>1373620213</v>
      </c>
    </row>
    <row r="106" spans="1:17" ht="18.75" x14ac:dyDescent="0.45">
      <c r="A106" s="30" t="s">
        <v>137</v>
      </c>
      <c r="C106" s="23">
        <v>800000</v>
      </c>
      <c r="E106" s="23">
        <v>2683891913</v>
      </c>
      <c r="G106" s="23">
        <v>2933408513</v>
      </c>
      <c r="I106" s="23">
        <v>-249516600</v>
      </c>
      <c r="K106" s="23">
        <v>8955528</v>
      </c>
      <c r="M106" s="23">
        <v>22114432065</v>
      </c>
      <c r="O106" s="23">
        <v>32934620744</v>
      </c>
      <c r="Q106" s="23">
        <v>-10820188679</v>
      </c>
    </row>
    <row r="107" spans="1:17" ht="18.75" x14ac:dyDescent="0.45">
      <c r="A107" s="30" t="s">
        <v>334</v>
      </c>
      <c r="J107" s="22"/>
      <c r="K107" s="23">
        <v>800000</v>
      </c>
      <c r="M107" s="23">
        <v>5996109686</v>
      </c>
      <c r="O107" s="23">
        <v>7154632734</v>
      </c>
      <c r="Q107" s="23">
        <v>-1158523048</v>
      </c>
    </row>
    <row r="108" spans="1:17" ht="18.75" x14ac:dyDescent="0.45">
      <c r="A108" s="30" t="s">
        <v>138</v>
      </c>
      <c r="J108" s="22"/>
      <c r="K108" s="23">
        <v>600000</v>
      </c>
      <c r="M108" s="23">
        <v>1861498520</v>
      </c>
      <c r="O108" s="23">
        <v>1697273889</v>
      </c>
      <c r="Q108" s="23">
        <v>164224631</v>
      </c>
    </row>
    <row r="109" spans="1:17" ht="18.75" x14ac:dyDescent="0.45">
      <c r="A109" s="30" t="s">
        <v>139</v>
      </c>
      <c r="C109" s="23">
        <v>2000000</v>
      </c>
      <c r="E109" s="23">
        <v>8406860420</v>
      </c>
      <c r="G109" s="23">
        <v>7504056914</v>
      </c>
      <c r="I109" s="23">
        <v>902803506</v>
      </c>
      <c r="K109" s="23">
        <v>5631276</v>
      </c>
      <c r="M109" s="23">
        <v>22453358867</v>
      </c>
      <c r="O109" s="23">
        <v>20160560496</v>
      </c>
      <c r="Q109" s="23">
        <v>2292798371</v>
      </c>
    </row>
    <row r="110" spans="1:17" ht="18.75" x14ac:dyDescent="0.45">
      <c r="A110" s="30" t="s">
        <v>140</v>
      </c>
      <c r="J110" s="22"/>
      <c r="K110" s="23">
        <v>204953</v>
      </c>
      <c r="M110" s="23">
        <v>4006347223</v>
      </c>
      <c r="O110" s="23">
        <v>2976994813</v>
      </c>
      <c r="Q110" s="23">
        <v>1029352410</v>
      </c>
    </row>
    <row r="111" spans="1:17" ht="18.75" x14ac:dyDescent="0.45">
      <c r="A111" s="30" t="s">
        <v>141</v>
      </c>
      <c r="J111" s="22"/>
      <c r="K111" s="23">
        <v>539409</v>
      </c>
      <c r="M111" s="23">
        <v>1946461036</v>
      </c>
      <c r="O111" s="23">
        <v>1633707857</v>
      </c>
      <c r="Q111" s="23">
        <v>312753179</v>
      </c>
    </row>
    <row r="112" spans="1:17" ht="18.75" x14ac:dyDescent="0.45">
      <c r="A112" s="30" t="s">
        <v>142</v>
      </c>
      <c r="J112" s="22"/>
      <c r="K112" s="23">
        <v>800000</v>
      </c>
      <c r="M112" s="23">
        <v>3268436423</v>
      </c>
      <c r="O112" s="23">
        <v>2614078160</v>
      </c>
      <c r="Q112" s="23">
        <v>654358263</v>
      </c>
    </row>
    <row r="113" spans="1:17" ht="18.75" x14ac:dyDescent="0.45">
      <c r="A113" s="30" t="s">
        <v>143</v>
      </c>
      <c r="C113" s="23">
        <v>221831</v>
      </c>
      <c r="E113" s="23">
        <v>3828055094</v>
      </c>
      <c r="G113" s="23">
        <v>2964290671</v>
      </c>
      <c r="I113" s="23">
        <v>863764423</v>
      </c>
      <c r="K113" s="23">
        <v>1360879</v>
      </c>
      <c r="M113" s="23">
        <v>20260425504</v>
      </c>
      <c r="O113" s="23">
        <v>17204565344</v>
      </c>
      <c r="Q113" s="23">
        <v>3055860160</v>
      </c>
    </row>
    <row r="114" spans="1:17" ht="37.5" x14ac:dyDescent="0.45">
      <c r="A114" s="30" t="s">
        <v>144</v>
      </c>
      <c r="C114" s="23">
        <v>600000</v>
      </c>
      <c r="E114" s="23">
        <v>6358466227</v>
      </c>
      <c r="G114" s="23">
        <v>5445636962</v>
      </c>
      <c r="I114" s="23">
        <v>912829265</v>
      </c>
      <c r="K114" s="23">
        <v>600000</v>
      </c>
      <c r="M114" s="23">
        <v>6358466227</v>
      </c>
      <c r="O114" s="23">
        <v>5445636962</v>
      </c>
      <c r="Q114" s="23">
        <v>912829265</v>
      </c>
    </row>
    <row r="115" spans="1:17" ht="37.5" x14ac:dyDescent="0.45">
      <c r="A115" s="30" t="s">
        <v>145</v>
      </c>
      <c r="C115" s="23">
        <v>678839</v>
      </c>
      <c r="E115" s="23">
        <v>23529993505</v>
      </c>
      <c r="G115" s="23">
        <v>17153278289</v>
      </c>
      <c r="I115" s="23">
        <v>6376715216</v>
      </c>
      <c r="K115" s="23">
        <v>978839</v>
      </c>
      <c r="M115" s="23">
        <v>29871837159</v>
      </c>
      <c r="O115" s="23">
        <v>23585844968</v>
      </c>
      <c r="Q115" s="23">
        <v>6285992191</v>
      </c>
    </row>
    <row r="116" spans="1:17" ht="18.75" x14ac:dyDescent="0.45">
      <c r="A116" s="30" t="s">
        <v>146</v>
      </c>
      <c r="C116" s="23">
        <v>2200000</v>
      </c>
      <c r="E116" s="23">
        <v>14854536407</v>
      </c>
      <c r="G116" s="23">
        <v>11982271403</v>
      </c>
      <c r="I116" s="23">
        <v>2872265004</v>
      </c>
      <c r="K116" s="23">
        <v>4528850</v>
      </c>
      <c r="M116" s="23">
        <v>27243143245</v>
      </c>
      <c r="O116" s="23">
        <v>22417757448</v>
      </c>
      <c r="Q116" s="23">
        <v>4825385797</v>
      </c>
    </row>
    <row r="117" spans="1:17" ht="18.75" x14ac:dyDescent="0.45">
      <c r="A117" s="30" t="s">
        <v>147</v>
      </c>
      <c r="C117" s="23">
        <v>1600000</v>
      </c>
      <c r="E117" s="23">
        <v>2982545370</v>
      </c>
      <c r="G117" s="23">
        <v>3187487570</v>
      </c>
      <c r="I117" s="23">
        <v>-204942200</v>
      </c>
      <c r="K117" s="23">
        <v>1600000</v>
      </c>
      <c r="M117" s="23">
        <v>2982545370</v>
      </c>
      <c r="O117" s="23">
        <v>3187487570</v>
      </c>
      <c r="Q117" s="23">
        <v>-204942200</v>
      </c>
    </row>
    <row r="118" spans="1:17" ht="18.75" x14ac:dyDescent="0.45">
      <c r="A118" s="30" t="s">
        <v>148</v>
      </c>
      <c r="J118" s="22"/>
      <c r="K118" s="23">
        <v>1466267</v>
      </c>
      <c r="M118" s="23">
        <v>5010614684</v>
      </c>
      <c r="O118" s="23">
        <v>4846099673</v>
      </c>
      <c r="Q118" s="23">
        <v>164515011</v>
      </c>
    </row>
    <row r="119" spans="1:17" ht="18.75" x14ac:dyDescent="0.45">
      <c r="A119" s="30" t="s">
        <v>150</v>
      </c>
      <c r="J119" s="22"/>
      <c r="K119" s="23">
        <v>3600000</v>
      </c>
      <c r="M119" s="23">
        <v>5579356894</v>
      </c>
      <c r="O119" s="23">
        <v>4577258897</v>
      </c>
      <c r="Q119" s="23">
        <v>1002097997</v>
      </c>
    </row>
    <row r="120" spans="1:17" ht="18.75" x14ac:dyDescent="0.45">
      <c r="A120" s="30" t="s">
        <v>152</v>
      </c>
      <c r="J120" s="22"/>
      <c r="K120" s="23">
        <v>9856287</v>
      </c>
      <c r="M120" s="23">
        <v>28338435472</v>
      </c>
      <c r="O120" s="23">
        <v>25076043041</v>
      </c>
      <c r="Q120" s="23">
        <v>3262392431</v>
      </c>
    </row>
    <row r="121" spans="1:17" ht="18.75" x14ac:dyDescent="0.45">
      <c r="A121" s="30" t="s">
        <v>153</v>
      </c>
      <c r="J121" s="22"/>
      <c r="K121" s="23">
        <v>3296006</v>
      </c>
      <c r="M121" s="23">
        <v>13580464920</v>
      </c>
      <c r="O121" s="23">
        <v>9537904341</v>
      </c>
      <c r="Q121" s="23">
        <v>4042560579</v>
      </c>
    </row>
    <row r="122" spans="1:17" ht="18.75" x14ac:dyDescent="0.45">
      <c r="A122" s="30" t="s">
        <v>154</v>
      </c>
      <c r="J122" s="22"/>
      <c r="K122" s="23">
        <v>400000</v>
      </c>
      <c r="M122" s="23">
        <v>453286827</v>
      </c>
      <c r="O122" s="23">
        <v>398414838</v>
      </c>
      <c r="Q122" s="23">
        <v>54871989</v>
      </c>
    </row>
    <row r="123" spans="1:17" ht="18.75" x14ac:dyDescent="0.45">
      <c r="A123" s="30" t="s">
        <v>156</v>
      </c>
      <c r="C123" s="23">
        <v>112250</v>
      </c>
      <c r="E123" s="23">
        <v>1243507552</v>
      </c>
      <c r="G123" s="23">
        <v>1051642322</v>
      </c>
      <c r="I123" s="23">
        <v>191865230</v>
      </c>
      <c r="K123" s="23">
        <v>112250</v>
      </c>
      <c r="M123" s="23">
        <v>1243507552</v>
      </c>
      <c r="O123" s="23">
        <v>1051642322</v>
      </c>
      <c r="Q123" s="23">
        <v>191865230</v>
      </c>
    </row>
    <row r="124" spans="1:17" ht="18.75" x14ac:dyDescent="0.45">
      <c r="A124" s="30" t="s">
        <v>157</v>
      </c>
      <c r="C124" s="23">
        <v>200000</v>
      </c>
      <c r="E124" s="23">
        <v>1172863158</v>
      </c>
      <c r="G124" s="23">
        <v>1070714970</v>
      </c>
      <c r="I124" s="23">
        <v>102148188</v>
      </c>
      <c r="K124" s="23">
        <v>2610435</v>
      </c>
      <c r="M124" s="23">
        <v>12534747294</v>
      </c>
      <c r="O124" s="23">
        <v>13729585167</v>
      </c>
      <c r="Q124" s="23">
        <v>-1194837873</v>
      </c>
    </row>
    <row r="125" spans="1:17" ht="18.75" x14ac:dyDescent="0.45">
      <c r="A125" s="30" t="s">
        <v>159</v>
      </c>
      <c r="C125" s="23">
        <v>262500</v>
      </c>
      <c r="E125" s="23">
        <v>939257977</v>
      </c>
      <c r="G125" s="23">
        <v>861496878</v>
      </c>
      <c r="I125" s="23">
        <v>77761099</v>
      </c>
      <c r="K125" s="23">
        <v>1799522</v>
      </c>
      <c r="M125" s="23">
        <v>5404094896</v>
      </c>
      <c r="O125" s="23">
        <v>5846207927</v>
      </c>
      <c r="Q125" s="23">
        <v>-442113031</v>
      </c>
    </row>
    <row r="126" spans="1:17" ht="18.75" x14ac:dyDescent="0.45">
      <c r="A126" s="30" t="s">
        <v>161</v>
      </c>
      <c r="C126" s="23">
        <v>800000</v>
      </c>
      <c r="E126" s="23">
        <v>3034361696</v>
      </c>
      <c r="G126" s="23">
        <v>3304013968</v>
      </c>
      <c r="I126" s="23">
        <v>-269652272</v>
      </c>
      <c r="K126" s="23">
        <v>12600006</v>
      </c>
      <c r="M126" s="23">
        <v>51450018330</v>
      </c>
      <c r="O126" s="23">
        <v>54965567978</v>
      </c>
      <c r="Q126" s="23">
        <v>-3515549648</v>
      </c>
    </row>
    <row r="127" spans="1:17" ht="18.75" x14ac:dyDescent="0.45">
      <c r="A127" s="30" t="s">
        <v>162</v>
      </c>
      <c r="C127" s="23">
        <v>2706642</v>
      </c>
      <c r="E127" s="23">
        <v>4152330348</v>
      </c>
      <c r="G127" s="23">
        <v>3880153557</v>
      </c>
      <c r="I127" s="23">
        <v>272176791</v>
      </c>
      <c r="K127" s="23">
        <v>2706642</v>
      </c>
      <c r="M127" s="23">
        <v>4152330348</v>
      </c>
      <c r="O127" s="23">
        <v>3880153557</v>
      </c>
      <c r="Q127" s="23">
        <v>272176791</v>
      </c>
    </row>
    <row r="128" spans="1:17" ht="18.75" x14ac:dyDescent="0.45">
      <c r="A128" s="30" t="s">
        <v>163</v>
      </c>
      <c r="C128" s="23">
        <v>1400000</v>
      </c>
      <c r="E128" s="23">
        <v>11758568235</v>
      </c>
      <c r="G128" s="23">
        <v>11488896372</v>
      </c>
      <c r="I128" s="23">
        <v>269671863</v>
      </c>
      <c r="K128" s="23">
        <v>1400000</v>
      </c>
      <c r="M128" s="23">
        <v>11758568235</v>
      </c>
      <c r="O128" s="23">
        <v>11488896372</v>
      </c>
      <c r="Q128" s="23">
        <v>269671863</v>
      </c>
    </row>
    <row r="129" spans="1:17" ht="18.75" x14ac:dyDescent="0.45">
      <c r="A129" s="30" t="s">
        <v>164</v>
      </c>
      <c r="J129" s="22"/>
      <c r="K129" s="23">
        <v>444699</v>
      </c>
      <c r="M129" s="23">
        <v>4647411119</v>
      </c>
      <c r="O129" s="23">
        <v>5692349199</v>
      </c>
      <c r="Q129" s="23">
        <v>-1044938080</v>
      </c>
    </row>
    <row r="130" spans="1:17" ht="18.75" x14ac:dyDescent="0.45">
      <c r="A130" s="30" t="s">
        <v>165</v>
      </c>
      <c r="J130" s="22"/>
      <c r="K130" s="23">
        <v>3241607</v>
      </c>
      <c r="M130" s="23">
        <v>20012916263</v>
      </c>
      <c r="O130" s="23">
        <v>19657757277</v>
      </c>
      <c r="Q130" s="23">
        <v>355158986</v>
      </c>
    </row>
    <row r="131" spans="1:17" ht="18.75" x14ac:dyDescent="0.45">
      <c r="A131" s="30" t="s">
        <v>166</v>
      </c>
      <c r="C131" s="23">
        <v>300000</v>
      </c>
      <c r="E131" s="23">
        <v>3667456572</v>
      </c>
      <c r="G131" s="23">
        <v>3307010972</v>
      </c>
      <c r="I131" s="23">
        <v>360445600</v>
      </c>
      <c r="K131" s="23">
        <v>863829</v>
      </c>
      <c r="M131" s="23">
        <v>10585984363</v>
      </c>
      <c r="O131" s="23">
        <v>9524082458</v>
      </c>
      <c r="Q131" s="23">
        <v>1061901905</v>
      </c>
    </row>
    <row r="132" spans="1:17" ht="18.75" x14ac:dyDescent="0.45">
      <c r="A132" s="30" t="s">
        <v>167</v>
      </c>
      <c r="C132" s="23">
        <v>631157</v>
      </c>
      <c r="E132" s="23">
        <v>4649464223</v>
      </c>
      <c r="G132" s="23">
        <v>5122715732</v>
      </c>
      <c r="I132" s="23">
        <v>-473251509</v>
      </c>
      <c r="K132" s="23">
        <v>14231157</v>
      </c>
      <c r="M132" s="23">
        <v>88614205162</v>
      </c>
      <c r="O132" s="23">
        <v>128585106534</v>
      </c>
      <c r="Q132" s="23">
        <v>-39970901372</v>
      </c>
    </row>
    <row r="133" spans="1:17" ht="18.75" x14ac:dyDescent="0.45">
      <c r="A133" s="30" t="s">
        <v>169</v>
      </c>
      <c r="J133" s="22"/>
      <c r="K133" s="23">
        <v>400000</v>
      </c>
      <c r="M133" s="23">
        <v>2171154321</v>
      </c>
      <c r="O133" s="23">
        <v>1961995973</v>
      </c>
      <c r="Q133" s="23">
        <v>209158348</v>
      </c>
    </row>
    <row r="134" spans="1:17" ht="18.75" x14ac:dyDescent="0.45">
      <c r="A134" s="30" t="s">
        <v>170</v>
      </c>
      <c r="C134" s="23">
        <v>2186506</v>
      </c>
      <c r="E134" s="23">
        <v>11736349632</v>
      </c>
      <c r="G134" s="23">
        <v>9645940519</v>
      </c>
      <c r="I134" s="23">
        <v>2090409113</v>
      </c>
      <c r="K134" s="23">
        <v>5696309</v>
      </c>
      <c r="M134" s="23">
        <v>27294197870</v>
      </c>
      <c r="O134" s="23">
        <v>21692727394</v>
      </c>
      <c r="Q134" s="23">
        <v>5601470476</v>
      </c>
    </row>
    <row r="135" spans="1:17" ht="18.75" x14ac:dyDescent="0.45">
      <c r="A135" s="30" t="s">
        <v>171</v>
      </c>
      <c r="J135" s="22"/>
      <c r="K135" s="23">
        <v>3813925</v>
      </c>
      <c r="M135" s="23">
        <v>17420282417</v>
      </c>
      <c r="O135" s="23">
        <v>9642986119</v>
      </c>
      <c r="Q135" s="23">
        <v>7777296298</v>
      </c>
    </row>
    <row r="136" spans="1:17" ht="18.75" x14ac:dyDescent="0.45">
      <c r="A136" s="30" t="s">
        <v>172</v>
      </c>
      <c r="C136" s="23">
        <v>3200000</v>
      </c>
      <c r="E136" s="23">
        <v>5585289441</v>
      </c>
      <c r="G136" s="23">
        <v>4391052231</v>
      </c>
      <c r="I136" s="23">
        <v>1194237210</v>
      </c>
      <c r="K136" s="23">
        <v>3200000</v>
      </c>
      <c r="M136" s="23">
        <v>5585289441</v>
      </c>
      <c r="O136" s="23">
        <v>4391052231</v>
      </c>
      <c r="Q136" s="23">
        <v>1194237210</v>
      </c>
    </row>
    <row r="137" spans="1:17" ht="18.75" x14ac:dyDescent="0.45">
      <c r="A137" s="30" t="s">
        <v>173</v>
      </c>
      <c r="C137" s="23">
        <v>400000</v>
      </c>
      <c r="E137" s="23">
        <v>2992686332</v>
      </c>
      <c r="G137" s="23">
        <v>2394026855</v>
      </c>
      <c r="I137" s="23">
        <v>598659477</v>
      </c>
      <c r="K137" s="23">
        <v>400000</v>
      </c>
      <c r="M137" s="23">
        <v>2992686332</v>
      </c>
      <c r="O137" s="23">
        <v>2394026855</v>
      </c>
      <c r="Q137" s="23">
        <v>598659477</v>
      </c>
    </row>
    <row r="138" spans="1:17" ht="18.75" x14ac:dyDescent="0.45">
      <c r="A138" s="30" t="s">
        <v>174</v>
      </c>
      <c r="C138" s="23">
        <v>400000</v>
      </c>
      <c r="E138" s="23">
        <v>2742634315</v>
      </c>
      <c r="G138" s="23">
        <v>2234872456</v>
      </c>
      <c r="I138" s="23">
        <v>507761859</v>
      </c>
      <c r="K138" s="23">
        <v>6852019</v>
      </c>
      <c r="M138" s="23">
        <v>39989178153</v>
      </c>
      <c r="O138" s="23">
        <v>37802629886</v>
      </c>
      <c r="Q138" s="23">
        <v>2186548267</v>
      </c>
    </row>
    <row r="139" spans="1:17" ht="18.75" x14ac:dyDescent="0.45">
      <c r="A139" s="30" t="s">
        <v>343</v>
      </c>
      <c r="J139" s="22"/>
      <c r="K139" s="23">
        <v>1313770</v>
      </c>
      <c r="M139" s="23">
        <v>34590634395</v>
      </c>
      <c r="O139" s="23">
        <v>45318479673</v>
      </c>
      <c r="Q139" s="23">
        <v>-10727845278</v>
      </c>
    </row>
    <row r="140" spans="1:17" ht="18.75" x14ac:dyDescent="0.45">
      <c r="A140" s="30" t="s">
        <v>345</v>
      </c>
      <c r="J140" s="22"/>
      <c r="K140" s="23">
        <v>411</v>
      </c>
      <c r="M140" s="23">
        <v>1101466</v>
      </c>
      <c r="O140" s="23">
        <v>992650</v>
      </c>
      <c r="Q140" s="23">
        <v>108816</v>
      </c>
    </row>
    <row r="141" spans="1:17" ht="18.75" x14ac:dyDescent="0.45">
      <c r="A141" s="30" t="s">
        <v>176</v>
      </c>
      <c r="C141" s="23">
        <v>26947</v>
      </c>
      <c r="E141" s="23">
        <v>113362176</v>
      </c>
      <c r="G141" s="23">
        <v>91584465</v>
      </c>
      <c r="I141" s="23">
        <v>21777711</v>
      </c>
      <c r="K141" s="23">
        <v>4253402</v>
      </c>
      <c r="M141" s="23">
        <v>16067077867</v>
      </c>
      <c r="O141" s="23">
        <v>14489972071</v>
      </c>
      <c r="Q141" s="23">
        <v>1577105796</v>
      </c>
    </row>
    <row r="142" spans="1:17" ht="18.75" x14ac:dyDescent="0.45">
      <c r="A142" s="30" t="s">
        <v>179</v>
      </c>
      <c r="C142" s="23">
        <v>1200000</v>
      </c>
      <c r="E142" s="23">
        <v>5728392698</v>
      </c>
      <c r="G142" s="23">
        <v>5029649739</v>
      </c>
      <c r="I142" s="23">
        <v>698742959</v>
      </c>
      <c r="K142" s="23">
        <v>1771473</v>
      </c>
      <c r="M142" s="23">
        <v>8395929608</v>
      </c>
      <c r="O142" s="23">
        <v>8103998612</v>
      </c>
      <c r="Q142" s="23">
        <v>291930996</v>
      </c>
    </row>
    <row r="143" spans="1:17" ht="18.75" x14ac:dyDescent="0.45">
      <c r="A143" s="30" t="s">
        <v>180</v>
      </c>
      <c r="C143" s="23">
        <v>100000</v>
      </c>
      <c r="E143" s="23">
        <v>1629307346</v>
      </c>
      <c r="G143" s="23">
        <v>687529194</v>
      </c>
      <c r="I143" s="23">
        <v>941778152</v>
      </c>
      <c r="K143" s="23">
        <v>2200000</v>
      </c>
      <c r="M143" s="23">
        <v>18870261630</v>
      </c>
      <c r="O143" s="23">
        <v>15287092277</v>
      </c>
      <c r="Q143" s="23">
        <v>3583169353</v>
      </c>
    </row>
    <row r="144" spans="1:17" ht="18.75" x14ac:dyDescent="0.45">
      <c r="A144" s="30" t="s">
        <v>182</v>
      </c>
      <c r="J144" s="22"/>
      <c r="K144" s="23">
        <v>9590999</v>
      </c>
      <c r="M144" s="23">
        <v>98431610004</v>
      </c>
      <c r="O144" s="23">
        <v>85311562654</v>
      </c>
      <c r="Q144" s="23">
        <v>13120047350</v>
      </c>
    </row>
    <row r="145" spans="1:17" ht="18.75" x14ac:dyDescent="0.45">
      <c r="A145" s="30" t="s">
        <v>183</v>
      </c>
      <c r="J145" s="22"/>
      <c r="K145" s="23">
        <v>1000000</v>
      </c>
      <c r="M145" s="23">
        <v>4284006369</v>
      </c>
      <c r="O145" s="23">
        <v>3549955462</v>
      </c>
      <c r="Q145" s="23">
        <v>734050907</v>
      </c>
    </row>
    <row r="146" spans="1:17" ht="18.75" x14ac:dyDescent="0.45">
      <c r="A146" s="30" t="s">
        <v>184</v>
      </c>
      <c r="C146" s="23">
        <v>400000</v>
      </c>
      <c r="E146" s="23">
        <v>10168783038</v>
      </c>
      <c r="G146" s="23">
        <v>5151261126</v>
      </c>
      <c r="I146" s="23">
        <v>5017521912</v>
      </c>
      <c r="K146" s="23">
        <v>443914</v>
      </c>
      <c r="M146" s="23">
        <v>13119456544</v>
      </c>
      <c r="O146" s="23">
        <v>7382324700</v>
      </c>
      <c r="Q146" s="23">
        <v>5737131844</v>
      </c>
    </row>
    <row r="147" spans="1:17" ht="18.75" x14ac:dyDescent="0.45">
      <c r="A147" s="30" t="s">
        <v>185</v>
      </c>
      <c r="C147" s="23">
        <v>310741</v>
      </c>
      <c r="E147" s="23">
        <v>930368234</v>
      </c>
      <c r="G147" s="23">
        <v>1036420408</v>
      </c>
      <c r="I147" s="23">
        <v>-106052174</v>
      </c>
      <c r="K147" s="23">
        <v>12714185</v>
      </c>
      <c r="M147" s="23">
        <v>41609841037</v>
      </c>
      <c r="O147" s="23">
        <v>40235459448</v>
      </c>
      <c r="Q147" s="23">
        <v>1374381589</v>
      </c>
    </row>
    <row r="148" spans="1:17" ht="18.75" x14ac:dyDescent="0.45">
      <c r="A148" s="30" t="s">
        <v>186</v>
      </c>
      <c r="J148" s="22"/>
      <c r="K148" s="23">
        <v>18800000</v>
      </c>
      <c r="M148" s="23">
        <v>28091711753</v>
      </c>
      <c r="O148" s="23">
        <v>29246986666</v>
      </c>
      <c r="Q148" s="23">
        <v>-1155274913</v>
      </c>
    </row>
    <row r="149" spans="1:17" ht="18.75" x14ac:dyDescent="0.45">
      <c r="A149" s="30" t="s">
        <v>188</v>
      </c>
      <c r="J149" s="22"/>
      <c r="K149" s="23">
        <v>177678</v>
      </c>
      <c r="M149" s="23">
        <v>5989000605</v>
      </c>
      <c r="O149" s="23">
        <v>6375488122</v>
      </c>
      <c r="Q149" s="23">
        <v>-386487517</v>
      </c>
    </row>
    <row r="150" spans="1:17" ht="37.5" x14ac:dyDescent="0.45">
      <c r="A150" s="30" t="s">
        <v>189</v>
      </c>
      <c r="J150" s="22"/>
      <c r="K150" s="23">
        <v>30180</v>
      </c>
      <c r="M150" s="23">
        <v>588233810</v>
      </c>
      <c r="O150" s="23">
        <v>563225448</v>
      </c>
      <c r="Q150" s="23">
        <v>25008362</v>
      </c>
    </row>
    <row r="151" spans="1:17" ht="18.75" x14ac:dyDescent="0.45">
      <c r="A151" s="30" t="s">
        <v>190</v>
      </c>
      <c r="C151" s="23">
        <v>300000</v>
      </c>
      <c r="E151" s="23">
        <v>10366287317</v>
      </c>
      <c r="G151" s="23">
        <v>11026731904</v>
      </c>
      <c r="I151" s="23">
        <v>-660444587</v>
      </c>
      <c r="K151" s="23">
        <v>321245</v>
      </c>
      <c r="M151" s="23">
        <v>11230388337</v>
      </c>
      <c r="O151" s="23">
        <v>11705306197</v>
      </c>
      <c r="Q151" s="23">
        <v>-474917860</v>
      </c>
    </row>
    <row r="152" spans="1:17" ht="18.75" x14ac:dyDescent="0.45">
      <c r="A152" s="30" t="s">
        <v>191</v>
      </c>
      <c r="C152" s="23">
        <v>2703715</v>
      </c>
      <c r="E152" s="23">
        <v>10204282913</v>
      </c>
      <c r="G152" s="23">
        <v>9399077915</v>
      </c>
      <c r="I152" s="23">
        <v>805204998</v>
      </c>
      <c r="K152" s="23">
        <v>2703715</v>
      </c>
      <c r="M152" s="23">
        <v>10204282913</v>
      </c>
      <c r="O152" s="23">
        <v>9399077915</v>
      </c>
      <c r="Q152" s="23">
        <v>805204998</v>
      </c>
    </row>
    <row r="153" spans="1:17" ht="18.75" x14ac:dyDescent="0.45">
      <c r="A153" s="30" t="s">
        <v>192</v>
      </c>
      <c r="C153" s="23">
        <v>600000</v>
      </c>
      <c r="E153" s="23">
        <v>9792473777</v>
      </c>
      <c r="G153" s="23">
        <v>10723465606</v>
      </c>
      <c r="I153" s="23">
        <v>-930991829</v>
      </c>
      <c r="K153" s="23">
        <v>1141455</v>
      </c>
      <c r="M153" s="23">
        <v>19033059467</v>
      </c>
      <c r="O153" s="23">
        <v>20279407945</v>
      </c>
      <c r="Q153" s="23">
        <v>-1246348478</v>
      </c>
    </row>
    <row r="154" spans="1:17" ht="18.75" x14ac:dyDescent="0.45">
      <c r="A154" s="30" t="s">
        <v>193</v>
      </c>
      <c r="J154" s="22"/>
      <c r="K154" s="23">
        <v>4260000</v>
      </c>
      <c r="M154" s="23">
        <v>14770469820</v>
      </c>
      <c r="O154" s="23">
        <v>14466092181</v>
      </c>
      <c r="Q154" s="23">
        <v>304377639</v>
      </c>
    </row>
    <row r="155" spans="1:17" ht="18.75" x14ac:dyDescent="0.45">
      <c r="A155" s="30" t="s">
        <v>194</v>
      </c>
      <c r="J155" s="22"/>
      <c r="K155" s="23">
        <v>3009494</v>
      </c>
      <c r="M155" s="23">
        <v>28410190787</v>
      </c>
      <c r="O155" s="23">
        <v>26933730534</v>
      </c>
      <c r="Q155" s="23">
        <v>1476460253</v>
      </c>
    </row>
    <row r="156" spans="1:17" ht="18.75" x14ac:dyDescent="0.45">
      <c r="A156" s="30" t="s">
        <v>195</v>
      </c>
      <c r="C156" s="23">
        <v>400000</v>
      </c>
      <c r="E156" s="23">
        <v>7930221924</v>
      </c>
      <c r="G156" s="23">
        <v>6672746025</v>
      </c>
      <c r="I156" s="23">
        <v>1257475899</v>
      </c>
      <c r="K156" s="23">
        <v>400000</v>
      </c>
      <c r="M156" s="23">
        <v>7930221924</v>
      </c>
      <c r="O156" s="23">
        <v>6672746025</v>
      </c>
      <c r="Q156" s="23">
        <v>1257475899</v>
      </c>
    </row>
    <row r="157" spans="1:17" ht="18.75" x14ac:dyDescent="0.45">
      <c r="A157" s="30" t="s">
        <v>199</v>
      </c>
      <c r="J157" s="22"/>
      <c r="K157" s="23">
        <v>237371</v>
      </c>
      <c r="M157" s="23">
        <v>15624371286</v>
      </c>
      <c r="O157" s="23">
        <v>14297382485</v>
      </c>
      <c r="Q157" s="23">
        <v>1326988801</v>
      </c>
    </row>
    <row r="158" spans="1:17" ht="18.75" x14ac:dyDescent="0.45">
      <c r="A158" s="30" t="s">
        <v>200</v>
      </c>
      <c r="J158" s="22"/>
      <c r="K158" s="23">
        <v>3146214</v>
      </c>
      <c r="M158" s="23">
        <v>18223860883</v>
      </c>
      <c r="O158" s="23">
        <v>21126603614</v>
      </c>
      <c r="Q158" s="23">
        <v>-2902742731</v>
      </c>
    </row>
    <row r="159" spans="1:17" ht="18.75" x14ac:dyDescent="0.45">
      <c r="A159" s="30" t="s">
        <v>201</v>
      </c>
      <c r="C159" s="23">
        <v>600000</v>
      </c>
      <c r="E159" s="23">
        <v>4114118057</v>
      </c>
      <c r="G159" s="23">
        <v>4351921935</v>
      </c>
      <c r="I159" s="23">
        <v>-237803878</v>
      </c>
      <c r="K159" s="23">
        <v>1000000</v>
      </c>
      <c r="M159" s="23">
        <v>6844429114</v>
      </c>
      <c r="O159" s="23">
        <v>6939730812</v>
      </c>
      <c r="Q159" s="23">
        <v>-95301698</v>
      </c>
    </row>
    <row r="160" spans="1:17" ht="18.75" x14ac:dyDescent="0.45">
      <c r="A160" s="30" t="s">
        <v>202</v>
      </c>
      <c r="C160" s="23">
        <v>600000</v>
      </c>
      <c r="E160" s="23">
        <v>10997461329</v>
      </c>
      <c r="G160" s="23">
        <v>11976063149</v>
      </c>
      <c r="I160" s="23">
        <v>-978601820</v>
      </c>
      <c r="K160" s="23">
        <v>600000</v>
      </c>
      <c r="M160" s="23">
        <v>10997461329</v>
      </c>
      <c r="O160" s="23">
        <v>11976063149</v>
      </c>
      <c r="Q160" s="23">
        <v>-978601820</v>
      </c>
    </row>
    <row r="161" spans="1:17" ht="18.75" x14ac:dyDescent="0.45">
      <c r="A161" s="30" t="s">
        <v>203</v>
      </c>
      <c r="C161" s="23">
        <v>2020673</v>
      </c>
      <c r="E161" s="23">
        <v>8724314537</v>
      </c>
      <c r="G161" s="23">
        <v>7057435183</v>
      </c>
      <c r="I161" s="23">
        <v>1666879354</v>
      </c>
      <c r="K161" s="23">
        <v>2420673</v>
      </c>
      <c r="M161" s="23">
        <v>9825275039</v>
      </c>
      <c r="O161" s="23">
        <v>8098574191</v>
      </c>
      <c r="Q161" s="23">
        <v>1726700848</v>
      </c>
    </row>
    <row r="162" spans="1:17" ht="18.75" x14ac:dyDescent="0.45">
      <c r="A162" s="30" t="s">
        <v>204</v>
      </c>
      <c r="J162" s="22"/>
      <c r="K162" s="23">
        <v>4021192</v>
      </c>
      <c r="M162" s="23">
        <v>22550550705</v>
      </c>
      <c r="O162" s="23">
        <v>27924885047</v>
      </c>
      <c r="Q162" s="23">
        <v>-5374334342</v>
      </c>
    </row>
    <row r="163" spans="1:17" ht="18.75" x14ac:dyDescent="0.45">
      <c r="A163" s="30" t="s">
        <v>205</v>
      </c>
      <c r="C163" s="23">
        <v>400000</v>
      </c>
      <c r="E163" s="23">
        <v>11817690376</v>
      </c>
      <c r="G163" s="23">
        <v>11621320700</v>
      </c>
      <c r="I163" s="23">
        <v>196369676</v>
      </c>
      <c r="K163" s="23">
        <v>879631</v>
      </c>
      <c r="M163" s="23">
        <v>28404518186</v>
      </c>
      <c r="O163" s="23">
        <v>24983786772</v>
      </c>
      <c r="Q163" s="23">
        <v>3420731414</v>
      </c>
    </row>
    <row r="164" spans="1:17" ht="18.75" x14ac:dyDescent="0.45">
      <c r="A164" s="30" t="s">
        <v>208</v>
      </c>
      <c r="C164" s="23">
        <v>961072</v>
      </c>
      <c r="E164" s="23">
        <v>6513382435</v>
      </c>
      <c r="G164" s="23">
        <v>5473307031</v>
      </c>
      <c r="I164" s="23">
        <v>1040075404</v>
      </c>
      <c r="K164" s="23">
        <v>3670216</v>
      </c>
      <c r="M164" s="23">
        <v>28005729951</v>
      </c>
      <c r="O164" s="23">
        <v>19864293654</v>
      </c>
      <c r="Q164" s="23">
        <v>8141436297</v>
      </c>
    </row>
    <row r="165" spans="1:17" ht="18.75" x14ac:dyDescent="0.45">
      <c r="A165" s="30" t="s">
        <v>209</v>
      </c>
      <c r="C165" s="23">
        <v>1473767</v>
      </c>
      <c r="E165" s="23">
        <v>4458085477</v>
      </c>
      <c r="G165" s="23">
        <v>4804881175</v>
      </c>
      <c r="I165" s="23">
        <v>-346795698</v>
      </c>
      <c r="K165" s="23">
        <v>1473767</v>
      </c>
      <c r="M165" s="23">
        <v>4458085477</v>
      </c>
      <c r="O165" s="23">
        <v>4804881175</v>
      </c>
      <c r="Q165" s="23">
        <v>-346795698</v>
      </c>
    </row>
    <row r="166" spans="1:17" ht="18.75" x14ac:dyDescent="0.45">
      <c r="A166" s="30" t="s">
        <v>210</v>
      </c>
      <c r="C166" s="23">
        <v>266380</v>
      </c>
      <c r="E166" s="23">
        <v>12658907252</v>
      </c>
      <c r="G166" s="23">
        <v>11996813752</v>
      </c>
      <c r="I166" s="23">
        <v>662093500</v>
      </c>
      <c r="K166" s="23">
        <v>676777</v>
      </c>
      <c r="M166" s="23">
        <v>29019840290</v>
      </c>
      <c r="O166" s="23">
        <v>27103913335</v>
      </c>
      <c r="Q166" s="23">
        <v>1915926955</v>
      </c>
    </row>
    <row r="167" spans="1:17" ht="18.75" x14ac:dyDescent="0.45">
      <c r="A167" s="30" t="s">
        <v>211</v>
      </c>
      <c r="C167" s="23">
        <v>1200000</v>
      </c>
      <c r="E167" s="23">
        <v>6558321294</v>
      </c>
      <c r="G167" s="23">
        <v>3393627611</v>
      </c>
      <c r="I167" s="23">
        <v>3164693683</v>
      </c>
      <c r="K167" s="23">
        <v>2400000</v>
      </c>
      <c r="M167" s="23">
        <v>13582522587</v>
      </c>
      <c r="O167" s="23">
        <v>8106919558</v>
      </c>
      <c r="Q167" s="23">
        <v>5475603029</v>
      </c>
    </row>
    <row r="168" spans="1:17" ht="18.75" x14ac:dyDescent="0.45">
      <c r="A168" s="30" t="s">
        <v>212</v>
      </c>
      <c r="C168" s="23">
        <v>200000</v>
      </c>
      <c r="E168" s="23">
        <v>6403001475</v>
      </c>
      <c r="G168" s="23">
        <v>5142570023</v>
      </c>
      <c r="I168" s="23">
        <v>1260431452</v>
      </c>
      <c r="K168" s="23">
        <v>5419976</v>
      </c>
      <c r="M168" s="23">
        <v>146083352073</v>
      </c>
      <c r="O168" s="23">
        <v>101699821540</v>
      </c>
      <c r="Q168" s="23">
        <v>44383530533</v>
      </c>
    </row>
    <row r="169" spans="1:17" ht="18.75" x14ac:dyDescent="0.45">
      <c r="A169" s="30" t="s">
        <v>213</v>
      </c>
      <c r="C169" s="23">
        <v>839588</v>
      </c>
      <c r="E169" s="23">
        <v>51169615612</v>
      </c>
      <c r="G169" s="23">
        <v>48002259304</v>
      </c>
      <c r="I169" s="23">
        <v>3167356308</v>
      </c>
      <c r="K169" s="23">
        <v>1117921</v>
      </c>
      <c r="M169" s="23">
        <v>62403028244</v>
      </c>
      <c r="O169" s="23">
        <v>58111847045</v>
      </c>
      <c r="Q169" s="23">
        <v>4291181199</v>
      </c>
    </row>
    <row r="170" spans="1:17" ht="18.75" x14ac:dyDescent="0.45">
      <c r="A170" s="30" t="s">
        <v>364</v>
      </c>
      <c r="J170" s="22"/>
      <c r="K170" s="23">
        <v>204007</v>
      </c>
      <c r="M170" s="23">
        <v>5429414666</v>
      </c>
      <c r="O170" s="23">
        <v>5560341201</v>
      </c>
      <c r="Q170" s="23">
        <v>-130926535</v>
      </c>
    </row>
    <row r="171" spans="1:17" ht="18.75" x14ac:dyDescent="0.45">
      <c r="A171" s="30" t="s">
        <v>215</v>
      </c>
      <c r="J171" s="22"/>
      <c r="K171" s="23">
        <v>313138</v>
      </c>
      <c r="M171" s="23">
        <v>13117119461</v>
      </c>
      <c r="O171" s="23">
        <v>10224651314</v>
      </c>
      <c r="Q171" s="23">
        <v>2892468147</v>
      </c>
    </row>
    <row r="172" spans="1:17" ht="18.75" x14ac:dyDescent="0.45">
      <c r="A172" s="30" t="s">
        <v>216</v>
      </c>
      <c r="J172" s="22"/>
      <c r="K172" s="23">
        <v>66888</v>
      </c>
      <c r="M172" s="23">
        <v>17351055718</v>
      </c>
      <c r="O172" s="23">
        <v>17114520081</v>
      </c>
      <c r="Q172" s="23">
        <v>236535637</v>
      </c>
    </row>
    <row r="173" spans="1:17" ht="18.75" x14ac:dyDescent="0.45">
      <c r="A173" s="30" t="s">
        <v>217</v>
      </c>
      <c r="C173" s="23">
        <v>400000</v>
      </c>
      <c r="E173" s="23">
        <v>11207689677</v>
      </c>
      <c r="G173" s="23">
        <v>7306026948</v>
      </c>
      <c r="I173" s="23">
        <v>3901662729</v>
      </c>
      <c r="K173" s="23">
        <v>400000</v>
      </c>
      <c r="M173" s="23">
        <v>11207689677</v>
      </c>
      <c r="O173" s="23">
        <v>7306026948</v>
      </c>
      <c r="Q173" s="23">
        <v>3901662729</v>
      </c>
    </row>
    <row r="174" spans="1:17" ht="18.75" x14ac:dyDescent="0.45">
      <c r="A174" s="30" t="s">
        <v>220</v>
      </c>
      <c r="C174" s="23">
        <v>1600000</v>
      </c>
      <c r="E174" s="23">
        <v>4580318343</v>
      </c>
      <c r="G174" s="23">
        <v>3851696667</v>
      </c>
      <c r="I174" s="23">
        <v>728621676</v>
      </c>
      <c r="K174" s="23">
        <v>17238636</v>
      </c>
      <c r="M174" s="23">
        <v>40568951218</v>
      </c>
      <c r="O174" s="23">
        <v>39256683796</v>
      </c>
      <c r="Q174" s="23">
        <v>1312267422</v>
      </c>
    </row>
    <row r="175" spans="1:17" ht="18.75" x14ac:dyDescent="0.45">
      <c r="A175" s="30" t="s">
        <v>221</v>
      </c>
      <c r="C175" s="23">
        <v>238385</v>
      </c>
      <c r="E175" s="23">
        <v>3919556477</v>
      </c>
      <c r="G175" s="23">
        <v>3514363585</v>
      </c>
      <c r="I175" s="23">
        <v>405192892</v>
      </c>
      <c r="K175" s="23">
        <v>1808073</v>
      </c>
      <c r="M175" s="23">
        <v>24911106671</v>
      </c>
      <c r="O175" s="23">
        <v>22851672897</v>
      </c>
      <c r="Q175" s="23">
        <v>2059433774</v>
      </c>
    </row>
    <row r="176" spans="1:17" ht="18.75" x14ac:dyDescent="0.45">
      <c r="A176" s="30" t="s">
        <v>223</v>
      </c>
      <c r="C176" s="23">
        <v>1200000</v>
      </c>
      <c r="E176" s="23">
        <v>8585771882</v>
      </c>
      <c r="G176" s="23">
        <v>7444879491</v>
      </c>
      <c r="I176" s="23">
        <v>1140892391</v>
      </c>
      <c r="K176" s="23">
        <v>1600000</v>
      </c>
      <c r="M176" s="23">
        <v>11758631450</v>
      </c>
      <c r="O176" s="23">
        <v>9926948011</v>
      </c>
      <c r="Q176" s="23">
        <v>1831683439</v>
      </c>
    </row>
    <row r="177" spans="1:17" ht="18.75" x14ac:dyDescent="0.45">
      <c r="A177" s="30" t="s">
        <v>225</v>
      </c>
      <c r="C177" s="23">
        <v>175470</v>
      </c>
      <c r="E177" s="23">
        <v>47929044604</v>
      </c>
      <c r="G177" s="23">
        <v>36469721767</v>
      </c>
      <c r="I177" s="23">
        <v>11459322837</v>
      </c>
      <c r="K177" s="23">
        <v>198085</v>
      </c>
      <c r="M177" s="23">
        <v>51727620588</v>
      </c>
      <c r="O177" s="23">
        <v>39537846094</v>
      </c>
      <c r="Q177" s="23">
        <v>12189774494</v>
      </c>
    </row>
    <row r="178" spans="1:17" ht="18.75" x14ac:dyDescent="0.45">
      <c r="A178" s="30" t="s">
        <v>226</v>
      </c>
      <c r="J178" s="22"/>
      <c r="K178" s="23">
        <v>2000000</v>
      </c>
      <c r="M178" s="23">
        <v>6292250779</v>
      </c>
      <c r="O178" s="23">
        <v>5991618120</v>
      </c>
      <c r="Q178" s="23">
        <v>300632659</v>
      </c>
    </row>
    <row r="179" spans="1:17" ht="18.75" x14ac:dyDescent="0.45">
      <c r="A179" s="30" t="s">
        <v>230</v>
      </c>
      <c r="C179" s="23">
        <v>2800000</v>
      </c>
      <c r="E179" s="23">
        <v>8503637926</v>
      </c>
      <c r="G179" s="23">
        <v>7275950892</v>
      </c>
      <c r="I179" s="23">
        <v>1227687034</v>
      </c>
      <c r="K179" s="23">
        <v>6000000</v>
      </c>
      <c r="M179" s="23">
        <v>15015063217</v>
      </c>
      <c r="O179" s="23">
        <v>15413645885</v>
      </c>
      <c r="Q179" s="23">
        <v>-398582668</v>
      </c>
    </row>
    <row r="180" spans="1:17" ht="37.5" x14ac:dyDescent="0.45">
      <c r="A180" s="30" t="s">
        <v>232</v>
      </c>
      <c r="C180" s="23">
        <v>11583784</v>
      </c>
      <c r="E180" s="23">
        <v>12862391777</v>
      </c>
      <c r="G180" s="23">
        <v>14719183963</v>
      </c>
      <c r="I180" s="23">
        <v>-1856792186</v>
      </c>
      <c r="K180" s="23">
        <v>25585437</v>
      </c>
      <c r="M180" s="23">
        <v>27484399707</v>
      </c>
      <c r="O180" s="23">
        <v>33241134198</v>
      </c>
      <c r="Q180" s="23">
        <v>-5756734491</v>
      </c>
    </row>
    <row r="181" spans="1:17" ht="37.5" x14ac:dyDescent="0.45">
      <c r="A181" s="30" t="s">
        <v>365</v>
      </c>
      <c r="J181" s="22"/>
      <c r="K181" s="23">
        <v>2283</v>
      </c>
      <c r="M181" s="23">
        <v>11846355</v>
      </c>
      <c r="O181" s="23">
        <v>11510074</v>
      </c>
      <c r="Q181" s="23">
        <v>336281</v>
      </c>
    </row>
    <row r="182" spans="1:17" ht="18.75" x14ac:dyDescent="0.45">
      <c r="A182" s="30" t="s">
        <v>234</v>
      </c>
      <c r="C182" s="23">
        <v>2800000</v>
      </c>
      <c r="E182" s="23">
        <v>6919985590</v>
      </c>
      <c r="G182" s="23">
        <v>6185733255</v>
      </c>
      <c r="I182" s="23">
        <v>734252335</v>
      </c>
      <c r="K182" s="23">
        <v>6000000</v>
      </c>
      <c r="M182" s="23">
        <v>13205184897</v>
      </c>
      <c r="O182" s="23">
        <v>12158108832</v>
      </c>
      <c r="Q182" s="23">
        <v>1047076065</v>
      </c>
    </row>
    <row r="183" spans="1:17" ht="18.75" x14ac:dyDescent="0.45">
      <c r="A183" s="30" t="s">
        <v>235</v>
      </c>
      <c r="C183" s="23">
        <v>4400000</v>
      </c>
      <c r="E183" s="23">
        <v>14141872413</v>
      </c>
      <c r="G183" s="23">
        <v>15678405765</v>
      </c>
      <c r="I183" s="23">
        <v>-1536533352</v>
      </c>
      <c r="K183" s="23">
        <v>4400000</v>
      </c>
      <c r="M183" s="23">
        <v>14141872413</v>
      </c>
      <c r="O183" s="23">
        <v>15678405765</v>
      </c>
      <c r="Q183" s="23">
        <v>-1536533352</v>
      </c>
    </row>
    <row r="184" spans="1:17" ht="18.75" x14ac:dyDescent="0.45">
      <c r="A184" s="25" t="s">
        <v>236</v>
      </c>
      <c r="C184" s="25">
        <f>SUM(C9:$C$183)</f>
        <v>228595824</v>
      </c>
      <c r="E184" s="25">
        <f>SUM(E9:$E$183)</f>
        <v>859014166591</v>
      </c>
      <c r="G184" s="25">
        <f>SUM(G9:$G$183)</f>
        <v>787558988359</v>
      </c>
      <c r="I184" s="25">
        <f>SUM(I9:$I$183)</f>
        <v>71455178232</v>
      </c>
      <c r="K184" s="25">
        <f>SUM(K9:$K$183)</f>
        <v>766819616</v>
      </c>
      <c r="M184" s="25">
        <f>SUM(M9:$M$183)</f>
        <v>3353665431906</v>
      </c>
      <c r="O184" s="25">
        <f>SUM(O9:$O$183)</f>
        <v>3191997406862</v>
      </c>
      <c r="Q184" s="25">
        <f>SUM(Q9:$Q$183)</f>
        <v>161668025044</v>
      </c>
    </row>
    <row r="185" spans="1:17" ht="18.75" x14ac:dyDescent="0.45">
      <c r="C185" s="27"/>
      <c r="E185" s="27"/>
      <c r="G185" s="27"/>
      <c r="I185" s="27"/>
      <c r="K185" s="27"/>
      <c r="M185" s="27"/>
      <c r="O185" s="27"/>
      <c r="Q185" s="27"/>
    </row>
    <row r="187" spans="1:17" ht="18.75" x14ac:dyDescent="0.45">
      <c r="A187" s="32" t="s">
        <v>366</v>
      </c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4"/>
    </row>
  </sheetData>
  <mergeCells count="7">
    <mergeCell ref="A187:Q187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27"/>
  <sheetViews>
    <sheetView rightToLeft="1" view="pageBreakPreview" topLeftCell="A209" zoomScale="91" zoomScaleNormal="100" zoomScaleSheetLayoutView="91" workbookViewId="0">
      <selection activeCellId="1" sqref="A1:W1 A1:XFD1048576"/>
    </sheetView>
  </sheetViews>
  <sheetFormatPr defaultRowHeight="18" x14ac:dyDescent="0.45"/>
  <cols>
    <col min="1" max="1" width="21.85546875" style="13" bestFit="1" customWidth="1"/>
    <col min="2" max="2" width="1.42578125" style="13" customWidth="1"/>
    <col min="3" max="3" width="15.5703125" style="13" bestFit="1" customWidth="1"/>
    <col min="4" max="4" width="1.42578125" style="13" customWidth="1"/>
    <col min="5" max="5" width="19.42578125" style="13" bestFit="1" customWidth="1"/>
    <col min="6" max="6" width="1.42578125" style="13" customWidth="1"/>
    <col min="7" max="7" width="19.7109375" style="13" bestFit="1" customWidth="1"/>
    <col min="8" max="8" width="1.42578125" style="13" customWidth="1"/>
    <col min="9" max="9" width="17" style="13" customWidth="1"/>
    <col min="10" max="10" width="1.42578125" style="13" customWidth="1"/>
    <col min="11" max="11" width="15.5703125" style="13" bestFit="1" customWidth="1"/>
    <col min="12" max="12" width="1.42578125" style="13" customWidth="1"/>
    <col min="13" max="13" width="19.42578125" style="13" bestFit="1" customWidth="1"/>
    <col min="14" max="14" width="1.42578125" style="13" customWidth="1"/>
    <col min="15" max="15" width="19.140625" style="13" bestFit="1" customWidth="1"/>
    <col min="16" max="16" width="1.42578125" style="13" customWidth="1"/>
    <col min="17" max="17" width="17.7109375" style="13" bestFit="1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367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288</v>
      </c>
      <c r="D7" s="16"/>
      <c r="E7" s="16"/>
      <c r="F7" s="16"/>
      <c r="G7" s="16"/>
      <c r="H7" s="16"/>
      <c r="I7" s="16"/>
      <c r="K7" s="15" t="s">
        <v>7</v>
      </c>
      <c r="L7" s="16"/>
      <c r="M7" s="16"/>
      <c r="N7" s="16"/>
      <c r="O7" s="16"/>
      <c r="P7" s="16"/>
      <c r="Q7" s="16"/>
    </row>
    <row r="8" spans="1:17" ht="42" x14ac:dyDescent="0.45">
      <c r="A8" s="31" t="s">
        <v>274</v>
      </c>
      <c r="C8" s="29" t="s">
        <v>9</v>
      </c>
      <c r="E8" s="29" t="s">
        <v>11</v>
      </c>
      <c r="G8" s="29" t="s">
        <v>362</v>
      </c>
      <c r="I8" s="29" t="s">
        <v>368</v>
      </c>
      <c r="K8" s="29" t="s">
        <v>9</v>
      </c>
      <c r="M8" s="29" t="s">
        <v>11</v>
      </c>
      <c r="O8" s="29" t="s">
        <v>362</v>
      </c>
      <c r="Q8" s="29" t="s">
        <v>368</v>
      </c>
    </row>
    <row r="9" spans="1:17" ht="18.75" x14ac:dyDescent="0.45">
      <c r="A9" s="30" t="s">
        <v>17</v>
      </c>
      <c r="C9" s="23">
        <v>5751123</v>
      </c>
      <c r="E9" s="23">
        <v>34125867579</v>
      </c>
      <c r="G9" s="23">
        <v>36820959280</v>
      </c>
      <c r="I9" s="23">
        <v>-2695091701</v>
      </c>
      <c r="K9" s="23">
        <v>5751123</v>
      </c>
      <c r="M9" s="23">
        <v>34125867579</v>
      </c>
      <c r="O9" s="23">
        <v>36820959280</v>
      </c>
      <c r="Q9" s="23">
        <v>-2695091701</v>
      </c>
    </row>
    <row r="10" spans="1:17" ht="18.75" x14ac:dyDescent="0.45">
      <c r="A10" s="30" t="s">
        <v>18</v>
      </c>
      <c r="C10" s="23">
        <v>4522026</v>
      </c>
      <c r="E10" s="23">
        <v>49447519544</v>
      </c>
      <c r="G10" s="23">
        <v>49140466358</v>
      </c>
      <c r="I10" s="23">
        <v>307053186</v>
      </c>
      <c r="K10" s="23">
        <v>4522026</v>
      </c>
      <c r="M10" s="23">
        <v>49447519544</v>
      </c>
      <c r="O10" s="23">
        <v>46031281033</v>
      </c>
      <c r="Q10" s="23">
        <v>3416238511</v>
      </c>
    </row>
    <row r="11" spans="1:17" ht="18.75" x14ac:dyDescent="0.45">
      <c r="A11" s="30" t="s">
        <v>19</v>
      </c>
      <c r="C11" s="23">
        <v>158909</v>
      </c>
      <c r="E11" s="23">
        <v>21722084061</v>
      </c>
      <c r="G11" s="23">
        <v>23118476186</v>
      </c>
      <c r="I11" s="23">
        <v>-1396392125</v>
      </c>
      <c r="K11" s="23">
        <v>158909</v>
      </c>
      <c r="M11" s="23">
        <v>21722084061</v>
      </c>
      <c r="O11" s="23">
        <v>18355763158</v>
      </c>
      <c r="Q11" s="23">
        <v>3366320903</v>
      </c>
    </row>
    <row r="12" spans="1:17" ht="18.75" x14ac:dyDescent="0.45">
      <c r="A12" s="30" t="s">
        <v>20</v>
      </c>
      <c r="C12" s="23">
        <v>2862943</v>
      </c>
      <c r="E12" s="23">
        <v>19345932789</v>
      </c>
      <c r="G12" s="23">
        <v>16672395222</v>
      </c>
      <c r="I12" s="23">
        <v>2673537567</v>
      </c>
      <c r="K12" s="23">
        <v>2862943</v>
      </c>
      <c r="M12" s="23">
        <v>19345932789</v>
      </c>
      <c r="O12" s="23">
        <v>16474768843</v>
      </c>
      <c r="Q12" s="23">
        <v>2871163946</v>
      </c>
    </row>
    <row r="13" spans="1:17" ht="18.75" x14ac:dyDescent="0.45">
      <c r="A13" s="30" t="s">
        <v>21</v>
      </c>
      <c r="C13" s="23">
        <v>50000</v>
      </c>
      <c r="E13" s="23">
        <v>1758798575</v>
      </c>
      <c r="G13" s="23">
        <v>1590112675</v>
      </c>
      <c r="I13" s="23">
        <v>168685900</v>
      </c>
      <c r="K13" s="23">
        <v>50000</v>
      </c>
      <c r="M13" s="23">
        <v>1758798575</v>
      </c>
      <c r="O13" s="23">
        <v>1304690625</v>
      </c>
      <c r="Q13" s="23">
        <v>454107950</v>
      </c>
    </row>
    <row r="14" spans="1:17" ht="18.75" x14ac:dyDescent="0.45">
      <c r="A14" s="30" t="s">
        <v>22</v>
      </c>
      <c r="C14" s="23">
        <v>3814542</v>
      </c>
      <c r="E14" s="23">
        <v>17774621052</v>
      </c>
      <c r="G14" s="23">
        <v>19265932955</v>
      </c>
      <c r="I14" s="23">
        <v>-1491311903</v>
      </c>
      <c r="K14" s="23">
        <v>3814542</v>
      </c>
      <c r="M14" s="23">
        <v>17774621052</v>
      </c>
      <c r="O14" s="23">
        <v>16572695909</v>
      </c>
      <c r="Q14" s="23">
        <v>1201925143</v>
      </c>
    </row>
    <row r="15" spans="1:17" ht="18.75" x14ac:dyDescent="0.45">
      <c r="A15" s="30" t="s">
        <v>23</v>
      </c>
      <c r="C15" s="23">
        <v>245000</v>
      </c>
      <c r="E15" s="23">
        <v>2610960051</v>
      </c>
      <c r="G15" s="23">
        <v>2365422839</v>
      </c>
      <c r="I15" s="23">
        <v>245537212</v>
      </c>
      <c r="K15" s="23">
        <v>245000</v>
      </c>
      <c r="M15" s="23">
        <v>2610960051</v>
      </c>
      <c r="O15" s="23">
        <v>1736456242</v>
      </c>
      <c r="Q15" s="23">
        <v>874503809</v>
      </c>
    </row>
    <row r="16" spans="1:17" ht="18.75" x14ac:dyDescent="0.45">
      <c r="A16" s="30" t="s">
        <v>24</v>
      </c>
      <c r="C16" s="23">
        <v>2124125</v>
      </c>
      <c r="E16" s="23">
        <v>9821907694</v>
      </c>
      <c r="G16" s="23">
        <v>11170839223</v>
      </c>
      <c r="I16" s="23">
        <v>-1348931529</v>
      </c>
      <c r="K16" s="23">
        <v>2124125</v>
      </c>
      <c r="M16" s="23">
        <v>9821907694</v>
      </c>
      <c r="O16" s="23">
        <v>8803931592</v>
      </c>
      <c r="Q16" s="23">
        <v>1017976102</v>
      </c>
    </row>
    <row r="17" spans="1:17" ht="18.75" x14ac:dyDescent="0.45">
      <c r="A17" s="30" t="s">
        <v>25</v>
      </c>
      <c r="C17" s="23">
        <v>2498170</v>
      </c>
      <c r="E17" s="23">
        <v>36092189164</v>
      </c>
      <c r="G17" s="23">
        <v>32513021639</v>
      </c>
      <c r="I17" s="23">
        <v>3579167525</v>
      </c>
      <c r="K17" s="23">
        <v>2498170</v>
      </c>
      <c r="M17" s="23">
        <v>36092189164</v>
      </c>
      <c r="O17" s="23">
        <v>23211388650</v>
      </c>
      <c r="Q17" s="23">
        <v>12880800514</v>
      </c>
    </row>
    <row r="18" spans="1:17" ht="18.75" x14ac:dyDescent="0.45">
      <c r="A18" s="30" t="s">
        <v>26</v>
      </c>
      <c r="C18" s="23">
        <v>8948358</v>
      </c>
      <c r="E18" s="23">
        <v>19836104188</v>
      </c>
      <c r="G18" s="23">
        <v>18623121814</v>
      </c>
      <c r="I18" s="23">
        <v>1212982374</v>
      </c>
      <c r="K18" s="23">
        <v>8948358</v>
      </c>
      <c r="M18" s="23">
        <v>19836104188</v>
      </c>
      <c r="O18" s="23">
        <v>14347988206</v>
      </c>
      <c r="Q18" s="23">
        <v>5488115982</v>
      </c>
    </row>
    <row r="19" spans="1:17" ht="18.75" x14ac:dyDescent="0.45">
      <c r="A19" s="30" t="s">
        <v>27</v>
      </c>
      <c r="C19" s="23">
        <v>9421695</v>
      </c>
      <c r="E19" s="23">
        <v>46426465068</v>
      </c>
      <c r="G19" s="23">
        <v>43517496940</v>
      </c>
      <c r="I19" s="23">
        <v>2908968128</v>
      </c>
      <c r="K19" s="23">
        <v>9421695</v>
      </c>
      <c r="M19" s="23">
        <v>46426465068</v>
      </c>
      <c r="O19" s="23">
        <v>42103056270</v>
      </c>
      <c r="Q19" s="23">
        <v>4323408798</v>
      </c>
    </row>
    <row r="20" spans="1:17" ht="18.75" x14ac:dyDescent="0.45">
      <c r="A20" s="30" t="s">
        <v>29</v>
      </c>
      <c r="C20" s="23">
        <v>1905609</v>
      </c>
      <c r="E20" s="23">
        <v>37193582897</v>
      </c>
      <c r="G20" s="23">
        <v>40450470712</v>
      </c>
      <c r="I20" s="23">
        <v>-3256887815</v>
      </c>
      <c r="K20" s="23">
        <v>1905609</v>
      </c>
      <c r="M20" s="23">
        <v>37193582897</v>
      </c>
      <c r="O20" s="23">
        <v>31173709821</v>
      </c>
      <c r="Q20" s="23">
        <v>6019873076</v>
      </c>
    </row>
    <row r="21" spans="1:17" ht="18.75" x14ac:dyDescent="0.45">
      <c r="A21" s="30" t="s">
        <v>30</v>
      </c>
      <c r="C21" s="23">
        <v>10403637</v>
      </c>
      <c r="E21" s="23">
        <v>25973213685</v>
      </c>
      <c r="G21" s="23">
        <v>28533723803</v>
      </c>
      <c r="I21" s="23">
        <v>-2560510118</v>
      </c>
      <c r="K21" s="23">
        <v>10403637</v>
      </c>
      <c r="M21" s="23">
        <v>25973213685</v>
      </c>
      <c r="O21" s="23">
        <v>28533723803</v>
      </c>
      <c r="Q21" s="23">
        <v>-2560510118</v>
      </c>
    </row>
    <row r="22" spans="1:17" ht="18.75" x14ac:dyDescent="0.45">
      <c r="A22" s="30" t="s">
        <v>31</v>
      </c>
      <c r="C22" s="23">
        <v>22871939</v>
      </c>
      <c r="E22" s="23">
        <v>54354857693</v>
      </c>
      <c r="G22" s="23">
        <v>55390703454</v>
      </c>
      <c r="I22" s="23">
        <v>-1035845761</v>
      </c>
      <c r="K22" s="23">
        <v>22871939</v>
      </c>
      <c r="M22" s="23">
        <v>54354857693</v>
      </c>
      <c r="O22" s="23">
        <v>47425511402</v>
      </c>
      <c r="Q22" s="23">
        <v>6929346291</v>
      </c>
    </row>
    <row r="23" spans="1:17" ht="18.75" x14ac:dyDescent="0.45">
      <c r="A23" s="30" t="s">
        <v>33</v>
      </c>
      <c r="C23" s="23">
        <v>63507736</v>
      </c>
      <c r="E23" s="23">
        <v>38566294575</v>
      </c>
      <c r="G23" s="23">
        <v>40657281321</v>
      </c>
      <c r="I23" s="23">
        <v>-2090986746</v>
      </c>
      <c r="K23" s="23">
        <v>63507736</v>
      </c>
      <c r="M23" s="23">
        <v>38566294575</v>
      </c>
      <c r="O23" s="23">
        <v>33657865436</v>
      </c>
      <c r="Q23" s="23">
        <v>4908429139</v>
      </c>
    </row>
    <row r="24" spans="1:17" ht="18.75" x14ac:dyDescent="0.45">
      <c r="A24" s="30" t="s">
        <v>34</v>
      </c>
      <c r="C24" s="23">
        <v>1750000</v>
      </c>
      <c r="E24" s="23">
        <v>6492670677</v>
      </c>
      <c r="G24" s="23">
        <v>6529136600</v>
      </c>
      <c r="I24" s="23">
        <v>-36465923</v>
      </c>
      <c r="K24" s="23">
        <v>1750000</v>
      </c>
      <c r="M24" s="23">
        <v>6492670677</v>
      </c>
      <c r="O24" s="23">
        <v>4695146662</v>
      </c>
      <c r="Q24" s="23">
        <v>1797524015</v>
      </c>
    </row>
    <row r="25" spans="1:17" ht="18.75" x14ac:dyDescent="0.45">
      <c r="A25" s="30" t="s">
        <v>35</v>
      </c>
      <c r="C25" s="23">
        <v>9109504</v>
      </c>
      <c r="E25" s="23">
        <v>16116693073</v>
      </c>
      <c r="G25" s="23">
        <v>16523452012</v>
      </c>
      <c r="I25" s="23">
        <v>-406758939</v>
      </c>
      <c r="K25" s="23">
        <v>9109504</v>
      </c>
      <c r="M25" s="23">
        <v>16116693073</v>
      </c>
      <c r="O25" s="23">
        <v>11695704176</v>
      </c>
      <c r="Q25" s="23">
        <v>4420988897</v>
      </c>
    </row>
    <row r="26" spans="1:17" ht="18.75" x14ac:dyDescent="0.45">
      <c r="A26" s="30" t="s">
        <v>36</v>
      </c>
      <c r="C26" s="23">
        <v>33702691</v>
      </c>
      <c r="E26" s="23">
        <v>17925002690</v>
      </c>
      <c r="G26" s="23">
        <v>23306681101</v>
      </c>
      <c r="I26" s="23">
        <v>-5381678411</v>
      </c>
      <c r="K26" s="23">
        <v>33702691</v>
      </c>
      <c r="M26" s="23">
        <v>17925002690</v>
      </c>
      <c r="O26" s="23">
        <v>17509466015</v>
      </c>
      <c r="Q26" s="23">
        <v>415536675</v>
      </c>
    </row>
    <row r="27" spans="1:17" ht="18.75" x14ac:dyDescent="0.45">
      <c r="A27" s="30" t="s">
        <v>37</v>
      </c>
      <c r="C27" s="23">
        <v>5600000</v>
      </c>
      <c r="E27" s="23">
        <v>17598106904</v>
      </c>
      <c r="G27" s="23">
        <v>15779056926</v>
      </c>
      <c r="I27" s="23">
        <v>1819049978</v>
      </c>
      <c r="K27" s="23">
        <v>5600000</v>
      </c>
      <c r="M27" s="23">
        <v>17598106904</v>
      </c>
      <c r="O27" s="23">
        <v>15821717016</v>
      </c>
      <c r="Q27" s="23">
        <v>1776389888</v>
      </c>
    </row>
    <row r="28" spans="1:17" ht="18.75" x14ac:dyDescent="0.45">
      <c r="A28" s="30" t="s">
        <v>38</v>
      </c>
      <c r="C28" s="23">
        <v>6992254</v>
      </c>
      <c r="E28" s="23">
        <v>22687926676</v>
      </c>
      <c r="G28" s="23">
        <v>24926867915</v>
      </c>
      <c r="I28" s="23">
        <v>-2238941239</v>
      </c>
      <c r="K28" s="23">
        <v>6992254</v>
      </c>
      <c r="M28" s="23">
        <v>22687926676</v>
      </c>
      <c r="O28" s="23">
        <v>25578867290</v>
      </c>
      <c r="Q28" s="23">
        <v>-2890940614</v>
      </c>
    </row>
    <row r="29" spans="1:17" ht="18.75" x14ac:dyDescent="0.45">
      <c r="A29" s="30" t="s">
        <v>39</v>
      </c>
      <c r="C29" s="23">
        <v>61323085</v>
      </c>
      <c r="E29" s="23">
        <v>40951415733</v>
      </c>
      <c r="G29" s="23">
        <v>42155917116</v>
      </c>
      <c r="I29" s="23">
        <v>-1204501383</v>
      </c>
      <c r="K29" s="23">
        <v>61323085</v>
      </c>
      <c r="M29" s="23">
        <v>40951415733</v>
      </c>
      <c r="O29" s="23">
        <v>36932858391</v>
      </c>
      <c r="Q29" s="23">
        <v>4018557342</v>
      </c>
    </row>
    <row r="30" spans="1:17" ht="18.75" x14ac:dyDescent="0.45">
      <c r="A30" s="30" t="s">
        <v>40</v>
      </c>
      <c r="C30" s="23">
        <v>22708571</v>
      </c>
      <c r="E30" s="23">
        <v>33123559607</v>
      </c>
      <c r="G30" s="23">
        <v>37042171178</v>
      </c>
      <c r="I30" s="23">
        <v>-3918611571</v>
      </c>
      <c r="K30" s="23">
        <v>22708571</v>
      </c>
      <c r="M30" s="23">
        <v>33123559607</v>
      </c>
      <c r="O30" s="23">
        <v>30956809741</v>
      </c>
      <c r="Q30" s="23">
        <v>2166749866</v>
      </c>
    </row>
    <row r="31" spans="1:17" ht="18.75" x14ac:dyDescent="0.45">
      <c r="A31" s="30" t="s">
        <v>41</v>
      </c>
      <c r="C31" s="23">
        <v>6752212</v>
      </c>
      <c r="E31" s="23">
        <v>36649095185</v>
      </c>
      <c r="G31" s="23">
        <v>37146815609</v>
      </c>
      <c r="I31" s="23">
        <v>-497720424</v>
      </c>
      <c r="K31" s="23">
        <v>6752212</v>
      </c>
      <c r="M31" s="23">
        <v>36649095185</v>
      </c>
      <c r="O31" s="23">
        <v>30156093988</v>
      </c>
      <c r="Q31" s="23">
        <v>6493001197</v>
      </c>
    </row>
    <row r="32" spans="1:17" ht="18.75" x14ac:dyDescent="0.45">
      <c r="A32" s="30" t="s">
        <v>42</v>
      </c>
      <c r="C32" s="23">
        <v>24708419</v>
      </c>
      <c r="E32" s="23">
        <v>45749511171</v>
      </c>
      <c r="G32" s="23">
        <v>46233533921</v>
      </c>
      <c r="I32" s="23">
        <v>-484022750</v>
      </c>
      <c r="K32" s="23">
        <v>24708419</v>
      </c>
      <c r="M32" s="23">
        <v>45749511171</v>
      </c>
      <c r="O32" s="23">
        <v>40883266477</v>
      </c>
      <c r="Q32" s="23">
        <v>4866244694</v>
      </c>
    </row>
    <row r="33" spans="1:17" ht="18.75" x14ac:dyDescent="0.45">
      <c r="A33" s="30" t="s">
        <v>43</v>
      </c>
      <c r="C33" s="23">
        <v>9210264</v>
      </c>
      <c r="E33" s="23">
        <v>19566746000</v>
      </c>
      <c r="G33" s="23">
        <v>20035397321</v>
      </c>
      <c r="I33" s="23">
        <v>-468651321</v>
      </c>
      <c r="K33" s="23">
        <v>9210264</v>
      </c>
      <c r="M33" s="23">
        <v>19566746000</v>
      </c>
      <c r="O33" s="23">
        <v>15031859870</v>
      </c>
      <c r="Q33" s="23">
        <v>4534886130</v>
      </c>
    </row>
    <row r="34" spans="1:17" ht="18.75" x14ac:dyDescent="0.45">
      <c r="A34" s="30" t="s">
        <v>44</v>
      </c>
      <c r="C34" s="23">
        <v>7041661</v>
      </c>
      <c r="E34" s="23">
        <v>16063639380</v>
      </c>
      <c r="G34" s="23">
        <v>19856645558</v>
      </c>
      <c r="I34" s="23">
        <v>-3793006178</v>
      </c>
      <c r="K34" s="23">
        <v>7041661</v>
      </c>
      <c r="M34" s="23">
        <v>16063639380</v>
      </c>
      <c r="O34" s="23">
        <v>16060551276</v>
      </c>
      <c r="Q34" s="23">
        <v>3088104</v>
      </c>
    </row>
    <row r="35" spans="1:17" ht="18.75" x14ac:dyDescent="0.45">
      <c r="A35" s="30" t="s">
        <v>45</v>
      </c>
      <c r="C35" s="23">
        <v>2875000</v>
      </c>
      <c r="E35" s="23">
        <v>5808252445</v>
      </c>
      <c r="G35" s="23">
        <v>6475802087</v>
      </c>
      <c r="I35" s="23">
        <v>-667549642</v>
      </c>
      <c r="K35" s="23">
        <v>2875000</v>
      </c>
      <c r="M35" s="23">
        <v>5808252445</v>
      </c>
      <c r="O35" s="23">
        <v>5893653906</v>
      </c>
      <c r="Q35" s="23">
        <v>-85401461</v>
      </c>
    </row>
    <row r="36" spans="1:17" ht="18.75" x14ac:dyDescent="0.45">
      <c r="A36" s="30" t="s">
        <v>46</v>
      </c>
      <c r="C36" s="23">
        <v>10263245</v>
      </c>
      <c r="E36" s="23">
        <v>15092554792</v>
      </c>
      <c r="G36" s="23">
        <v>15914945333</v>
      </c>
      <c r="I36" s="23">
        <v>-822390541</v>
      </c>
      <c r="K36" s="23">
        <v>10263245</v>
      </c>
      <c r="M36" s="23">
        <v>15092554792</v>
      </c>
      <c r="O36" s="23">
        <v>14354875783</v>
      </c>
      <c r="Q36" s="23">
        <v>737679009</v>
      </c>
    </row>
    <row r="37" spans="1:17" ht="37.5" x14ac:dyDescent="0.45">
      <c r="A37" s="30" t="s">
        <v>47</v>
      </c>
      <c r="C37" s="23">
        <v>4465469</v>
      </c>
      <c r="E37" s="23">
        <v>12840895780</v>
      </c>
      <c r="G37" s="23">
        <v>14289132040</v>
      </c>
      <c r="I37" s="23">
        <v>-1448236260</v>
      </c>
      <c r="K37" s="23">
        <v>4465469</v>
      </c>
      <c r="M37" s="23">
        <v>12840895780</v>
      </c>
      <c r="O37" s="23">
        <v>9864379907</v>
      </c>
      <c r="Q37" s="23">
        <v>2976515873</v>
      </c>
    </row>
    <row r="38" spans="1:17" ht="18.75" x14ac:dyDescent="0.45">
      <c r="A38" s="30" t="s">
        <v>48</v>
      </c>
      <c r="C38" s="23">
        <v>15617878</v>
      </c>
      <c r="E38" s="23">
        <v>25926734967</v>
      </c>
      <c r="G38" s="23">
        <v>28383477230</v>
      </c>
      <c r="I38" s="23">
        <v>-2456742263</v>
      </c>
      <c r="K38" s="23">
        <v>15617878</v>
      </c>
      <c r="M38" s="23">
        <v>25926734967</v>
      </c>
      <c r="O38" s="23">
        <v>24462931671</v>
      </c>
      <c r="Q38" s="23">
        <v>1463803296</v>
      </c>
    </row>
    <row r="39" spans="1:17" ht="18.75" x14ac:dyDescent="0.45">
      <c r="A39" s="30" t="s">
        <v>49</v>
      </c>
      <c r="C39" s="23">
        <v>4264408</v>
      </c>
      <c r="E39" s="23">
        <v>15444771060</v>
      </c>
      <c r="G39" s="23">
        <v>17240914659</v>
      </c>
      <c r="I39" s="23">
        <v>-1796143599</v>
      </c>
      <c r="K39" s="23">
        <v>4264408</v>
      </c>
      <c r="M39" s="23">
        <v>15444771060</v>
      </c>
      <c r="O39" s="23">
        <v>15942054870</v>
      </c>
      <c r="Q39" s="23">
        <v>-497283810</v>
      </c>
    </row>
    <row r="40" spans="1:17" ht="18.75" x14ac:dyDescent="0.45">
      <c r="A40" s="30" t="s">
        <v>50</v>
      </c>
      <c r="C40" s="23">
        <v>4275356</v>
      </c>
      <c r="E40" s="23">
        <v>42083690381</v>
      </c>
      <c r="G40" s="23">
        <v>34506890414</v>
      </c>
      <c r="I40" s="23">
        <v>7576799967</v>
      </c>
      <c r="K40" s="23">
        <v>4275356</v>
      </c>
      <c r="M40" s="23">
        <v>42083690381</v>
      </c>
      <c r="O40" s="23">
        <v>27166920735</v>
      </c>
      <c r="Q40" s="23">
        <v>14916769646</v>
      </c>
    </row>
    <row r="41" spans="1:17" ht="18.75" x14ac:dyDescent="0.45">
      <c r="A41" s="30" t="s">
        <v>51</v>
      </c>
      <c r="C41" s="23">
        <v>5916183</v>
      </c>
      <c r="E41" s="23">
        <v>25759538573</v>
      </c>
      <c r="G41" s="23">
        <v>19632542226</v>
      </c>
      <c r="I41" s="23">
        <v>6126996347</v>
      </c>
      <c r="K41" s="23">
        <v>5916183</v>
      </c>
      <c r="M41" s="23">
        <v>25759538573</v>
      </c>
      <c r="O41" s="23">
        <v>11288855137</v>
      </c>
      <c r="Q41" s="23">
        <v>14470683436</v>
      </c>
    </row>
    <row r="42" spans="1:17" ht="18.75" x14ac:dyDescent="0.45">
      <c r="A42" s="30" t="s">
        <v>308</v>
      </c>
      <c r="C42" s="23">
        <v>4316567</v>
      </c>
      <c r="E42" s="23">
        <v>15483767773</v>
      </c>
      <c r="G42" s="23">
        <v>17605463764</v>
      </c>
      <c r="I42" s="23">
        <v>-2121695991</v>
      </c>
      <c r="K42" s="23">
        <v>4316567</v>
      </c>
      <c r="M42" s="23">
        <v>15483767773</v>
      </c>
      <c r="O42" s="23">
        <v>19034240181</v>
      </c>
      <c r="Q42" s="23">
        <v>-3550472408</v>
      </c>
    </row>
    <row r="43" spans="1:17" ht="18.75" x14ac:dyDescent="0.45">
      <c r="A43" s="30" t="s">
        <v>53</v>
      </c>
      <c r="C43" s="23">
        <v>13400000</v>
      </c>
      <c r="E43" s="23">
        <v>35647696658</v>
      </c>
      <c r="G43" s="23">
        <v>38252262666</v>
      </c>
      <c r="I43" s="23">
        <v>-2604566008</v>
      </c>
      <c r="K43" s="23">
        <v>13400000</v>
      </c>
      <c r="M43" s="23">
        <v>35647696658</v>
      </c>
      <c r="O43" s="23">
        <v>30265407227</v>
      </c>
      <c r="Q43" s="23">
        <v>5382289431</v>
      </c>
    </row>
    <row r="44" spans="1:17" ht="37.5" x14ac:dyDescent="0.45">
      <c r="A44" s="30" t="s">
        <v>54</v>
      </c>
      <c r="C44" s="23">
        <v>9815834</v>
      </c>
      <c r="E44" s="23">
        <v>43878509002</v>
      </c>
      <c r="G44" s="23">
        <v>39675650810</v>
      </c>
      <c r="I44" s="23">
        <v>4202858192</v>
      </c>
      <c r="K44" s="23">
        <v>9815834</v>
      </c>
      <c r="M44" s="23">
        <v>43878509002</v>
      </c>
      <c r="O44" s="23">
        <v>39125243417</v>
      </c>
      <c r="Q44" s="23">
        <v>4753265585</v>
      </c>
    </row>
    <row r="45" spans="1:17" ht="37.5" x14ac:dyDescent="0.45">
      <c r="A45" s="30" t="s">
        <v>55</v>
      </c>
      <c r="C45" s="23">
        <v>842177</v>
      </c>
      <c r="E45" s="23">
        <v>3594203646</v>
      </c>
      <c r="G45" s="23">
        <v>3975267785</v>
      </c>
      <c r="I45" s="23">
        <v>-381064139</v>
      </c>
      <c r="K45" s="23">
        <v>842177</v>
      </c>
      <c r="M45" s="23">
        <v>3594203646</v>
      </c>
      <c r="O45" s="23">
        <v>5324376058</v>
      </c>
      <c r="Q45" s="23">
        <v>-1730172412</v>
      </c>
    </row>
    <row r="46" spans="1:17" ht="37.5" x14ac:dyDescent="0.45">
      <c r="A46" s="30" t="s">
        <v>56</v>
      </c>
      <c r="C46" s="23">
        <v>285750</v>
      </c>
      <c r="E46" s="23">
        <v>19082319563</v>
      </c>
      <c r="G46" s="23">
        <v>17210947957</v>
      </c>
      <c r="I46" s="23">
        <v>1871371606</v>
      </c>
      <c r="K46" s="23">
        <v>285750</v>
      </c>
      <c r="M46" s="23">
        <v>19082319563</v>
      </c>
      <c r="O46" s="23">
        <v>13648592289</v>
      </c>
      <c r="Q46" s="23">
        <v>5433727274</v>
      </c>
    </row>
    <row r="47" spans="1:17" ht="18.75" x14ac:dyDescent="0.45">
      <c r="A47" s="30" t="s">
        <v>57</v>
      </c>
      <c r="C47" s="23">
        <v>10719313</v>
      </c>
      <c r="E47" s="23">
        <v>21379269948</v>
      </c>
      <c r="G47" s="23">
        <v>23086821530</v>
      </c>
      <c r="I47" s="23">
        <v>-1707551582</v>
      </c>
      <c r="K47" s="23">
        <v>10719313</v>
      </c>
      <c r="M47" s="23">
        <v>21379269948</v>
      </c>
      <c r="O47" s="23">
        <v>18751988996</v>
      </c>
      <c r="Q47" s="23">
        <v>2627280952</v>
      </c>
    </row>
    <row r="48" spans="1:17" ht="18.75" x14ac:dyDescent="0.45">
      <c r="A48" s="30" t="s">
        <v>58</v>
      </c>
      <c r="C48" s="23">
        <v>1648155</v>
      </c>
      <c r="E48" s="23">
        <v>14636962119</v>
      </c>
      <c r="G48" s="23">
        <v>13753838147</v>
      </c>
      <c r="I48" s="23">
        <v>883123972</v>
      </c>
      <c r="K48" s="23">
        <v>1648155</v>
      </c>
      <c r="M48" s="23">
        <v>14636962119</v>
      </c>
      <c r="O48" s="23">
        <v>11910020869</v>
      </c>
      <c r="Q48" s="23">
        <v>2726941250</v>
      </c>
    </row>
    <row r="49" spans="1:17" ht="37.5" x14ac:dyDescent="0.45">
      <c r="A49" s="30" t="s">
        <v>59</v>
      </c>
      <c r="C49" s="23">
        <v>250000</v>
      </c>
      <c r="E49" s="23">
        <v>1374293950</v>
      </c>
      <c r="G49" s="23">
        <v>1379255300</v>
      </c>
      <c r="I49" s="23">
        <v>-4961350</v>
      </c>
      <c r="K49" s="23">
        <v>250000</v>
      </c>
      <c r="M49" s="23">
        <v>1374293950</v>
      </c>
      <c r="O49" s="23">
        <v>810399262</v>
      </c>
      <c r="Q49" s="23">
        <v>563894688</v>
      </c>
    </row>
    <row r="50" spans="1:17" ht="18.75" x14ac:dyDescent="0.45">
      <c r="A50" s="30" t="s">
        <v>60</v>
      </c>
      <c r="C50" s="23">
        <v>4260139</v>
      </c>
      <c r="E50" s="23">
        <v>22192842659</v>
      </c>
      <c r="G50" s="23">
        <v>23080556365</v>
      </c>
      <c r="I50" s="23">
        <v>-887713706</v>
      </c>
      <c r="K50" s="23">
        <v>4260139</v>
      </c>
      <c r="M50" s="23">
        <v>22192842659</v>
      </c>
      <c r="O50" s="23">
        <v>17738464357</v>
      </c>
      <c r="Q50" s="23">
        <v>4454378302</v>
      </c>
    </row>
    <row r="51" spans="1:17" ht="18.75" x14ac:dyDescent="0.45">
      <c r="A51" s="30" t="s">
        <v>61</v>
      </c>
      <c r="C51" s="23">
        <v>239400</v>
      </c>
      <c r="E51" s="23">
        <v>33838917443</v>
      </c>
      <c r="G51" s="23">
        <v>37197003559</v>
      </c>
      <c r="I51" s="23">
        <v>-3358086116</v>
      </c>
      <c r="K51" s="23">
        <v>239400</v>
      </c>
      <c r="M51" s="23">
        <v>33838917443</v>
      </c>
      <c r="O51" s="23">
        <v>34611620404</v>
      </c>
      <c r="Q51" s="23">
        <v>-772702961</v>
      </c>
    </row>
    <row r="52" spans="1:17" ht="37.5" x14ac:dyDescent="0.45">
      <c r="A52" s="30" t="s">
        <v>62</v>
      </c>
      <c r="C52" s="23">
        <v>3028206</v>
      </c>
      <c r="E52" s="23">
        <v>58713752287</v>
      </c>
      <c r="G52" s="23">
        <v>46240373238</v>
      </c>
      <c r="I52" s="23">
        <v>12473379049</v>
      </c>
      <c r="K52" s="23">
        <v>3028206</v>
      </c>
      <c r="M52" s="23">
        <v>58713752287</v>
      </c>
      <c r="O52" s="23">
        <v>37060155889</v>
      </c>
      <c r="Q52" s="23">
        <v>21653596398</v>
      </c>
    </row>
    <row r="53" spans="1:17" ht="18.75" x14ac:dyDescent="0.45">
      <c r="A53" s="30" t="s">
        <v>63</v>
      </c>
      <c r="C53" s="23">
        <v>3283236</v>
      </c>
      <c r="E53" s="23">
        <v>23228517456</v>
      </c>
      <c r="G53" s="23">
        <v>24140025293</v>
      </c>
      <c r="I53" s="23">
        <v>-911507837</v>
      </c>
      <c r="K53" s="23">
        <v>3283236</v>
      </c>
      <c r="M53" s="23">
        <v>23228517456</v>
      </c>
      <c r="O53" s="23">
        <v>23088463998</v>
      </c>
      <c r="Q53" s="23">
        <v>140053458</v>
      </c>
    </row>
    <row r="54" spans="1:17" ht="18.75" x14ac:dyDescent="0.45">
      <c r="A54" s="30" t="s">
        <v>64</v>
      </c>
      <c r="C54" s="23">
        <v>9760615</v>
      </c>
      <c r="E54" s="23">
        <v>25152374663</v>
      </c>
      <c r="G54" s="23">
        <v>26253656730</v>
      </c>
      <c r="I54" s="23">
        <v>-1101282067</v>
      </c>
      <c r="K54" s="23">
        <v>9760615</v>
      </c>
      <c r="M54" s="23">
        <v>25152374663</v>
      </c>
      <c r="O54" s="23">
        <v>23853455812</v>
      </c>
      <c r="Q54" s="23">
        <v>1298918851</v>
      </c>
    </row>
    <row r="55" spans="1:17" ht="18.75" x14ac:dyDescent="0.45">
      <c r="A55" s="30" t="s">
        <v>65</v>
      </c>
      <c r="C55" s="23">
        <v>23992882</v>
      </c>
      <c r="E55" s="23">
        <v>49995575746</v>
      </c>
      <c r="G55" s="23">
        <v>45322307085</v>
      </c>
      <c r="I55" s="23">
        <v>4673268661</v>
      </c>
      <c r="K55" s="23">
        <v>23992882</v>
      </c>
      <c r="M55" s="23">
        <v>49995575746</v>
      </c>
      <c r="O55" s="23">
        <v>42815003909</v>
      </c>
      <c r="Q55" s="23">
        <v>7180571837</v>
      </c>
    </row>
    <row r="56" spans="1:17" ht="18.75" x14ac:dyDescent="0.45">
      <c r="A56" s="30" t="s">
        <v>66</v>
      </c>
      <c r="C56" s="23">
        <v>4841112</v>
      </c>
      <c r="E56" s="23">
        <v>22265104097</v>
      </c>
      <c r="G56" s="23">
        <v>25303321490</v>
      </c>
      <c r="I56" s="23">
        <v>-3038217393</v>
      </c>
      <c r="K56" s="23">
        <v>4841112</v>
      </c>
      <c r="M56" s="23">
        <v>22265104097</v>
      </c>
      <c r="O56" s="23">
        <v>22412753661</v>
      </c>
      <c r="Q56" s="23">
        <v>-147649564</v>
      </c>
    </row>
    <row r="57" spans="1:17" ht="18.75" x14ac:dyDescent="0.45">
      <c r="A57" s="30" t="s">
        <v>67</v>
      </c>
      <c r="C57" s="23">
        <v>4607801</v>
      </c>
      <c r="E57" s="23">
        <v>36623183413</v>
      </c>
      <c r="G57" s="23">
        <v>29379391973</v>
      </c>
      <c r="I57" s="23">
        <v>7243791440</v>
      </c>
      <c r="K57" s="23">
        <v>4607801</v>
      </c>
      <c r="M57" s="23">
        <v>36623183413</v>
      </c>
      <c r="O57" s="23">
        <v>29853988691</v>
      </c>
      <c r="Q57" s="23">
        <v>6769194722</v>
      </c>
    </row>
    <row r="58" spans="1:17" ht="18.75" x14ac:dyDescent="0.45">
      <c r="A58" s="30" t="s">
        <v>68</v>
      </c>
      <c r="C58" s="23">
        <v>1161939</v>
      </c>
      <c r="E58" s="23">
        <v>31544909307</v>
      </c>
      <c r="G58" s="23">
        <v>31413165360</v>
      </c>
      <c r="I58" s="23">
        <v>131743947</v>
      </c>
      <c r="K58" s="23">
        <v>1161939</v>
      </c>
      <c r="M58" s="23">
        <v>31544909307</v>
      </c>
      <c r="O58" s="23">
        <v>24889304846</v>
      </c>
      <c r="Q58" s="23">
        <v>6655604461</v>
      </c>
    </row>
    <row r="59" spans="1:17" ht="18.75" x14ac:dyDescent="0.45">
      <c r="A59" s="30" t="s">
        <v>69</v>
      </c>
      <c r="C59" s="23">
        <v>6883218</v>
      </c>
      <c r="E59" s="23">
        <v>34416424043</v>
      </c>
      <c r="G59" s="23">
        <v>32994453794</v>
      </c>
      <c r="I59" s="23">
        <v>1421970249</v>
      </c>
      <c r="K59" s="23">
        <v>6883218</v>
      </c>
      <c r="M59" s="23">
        <v>34416424043</v>
      </c>
      <c r="O59" s="23">
        <v>24884266679</v>
      </c>
      <c r="Q59" s="23">
        <v>9532157364</v>
      </c>
    </row>
    <row r="60" spans="1:17" ht="18.75" x14ac:dyDescent="0.45">
      <c r="A60" s="30" t="s">
        <v>70</v>
      </c>
      <c r="C60" s="23">
        <v>940025</v>
      </c>
      <c r="E60" s="23">
        <v>31928327109</v>
      </c>
      <c r="G60" s="23">
        <v>30976325825</v>
      </c>
      <c r="I60" s="23">
        <v>952001284</v>
      </c>
      <c r="K60" s="23">
        <v>940025</v>
      </c>
      <c r="M60" s="23">
        <v>31928327109</v>
      </c>
      <c r="O60" s="23">
        <v>30456047518</v>
      </c>
      <c r="Q60" s="23">
        <v>1472279591</v>
      </c>
    </row>
    <row r="61" spans="1:17" ht="18.75" x14ac:dyDescent="0.45">
      <c r="A61" s="30" t="s">
        <v>71</v>
      </c>
      <c r="C61" s="23">
        <v>6451998</v>
      </c>
      <c r="E61" s="23">
        <v>48848206543</v>
      </c>
      <c r="G61" s="23">
        <v>44985803331</v>
      </c>
      <c r="I61" s="23">
        <v>3862403212</v>
      </c>
      <c r="K61" s="23">
        <v>6451998</v>
      </c>
      <c r="M61" s="23">
        <v>48848206543</v>
      </c>
      <c r="O61" s="23">
        <v>35036625758</v>
      </c>
      <c r="Q61" s="23">
        <v>13811580785</v>
      </c>
    </row>
    <row r="62" spans="1:17" ht="18.75" x14ac:dyDescent="0.45">
      <c r="A62" s="30" t="s">
        <v>72</v>
      </c>
      <c r="C62" s="23">
        <v>5129408</v>
      </c>
      <c r="E62" s="23">
        <v>35628303733</v>
      </c>
      <c r="G62" s="23">
        <v>39420836787</v>
      </c>
      <c r="I62" s="23">
        <v>-3792533054</v>
      </c>
      <c r="K62" s="23">
        <v>5129408</v>
      </c>
      <c r="M62" s="23">
        <v>35628303733</v>
      </c>
      <c r="O62" s="23">
        <v>21188688737</v>
      </c>
      <c r="Q62" s="23">
        <v>14439614996</v>
      </c>
    </row>
    <row r="63" spans="1:17" ht="18.75" x14ac:dyDescent="0.45">
      <c r="A63" s="30" t="s">
        <v>73</v>
      </c>
      <c r="C63" s="23">
        <v>2628938</v>
      </c>
      <c r="E63" s="23">
        <v>27207868106</v>
      </c>
      <c r="G63" s="23">
        <v>29636750038</v>
      </c>
      <c r="I63" s="23">
        <v>-2428881932</v>
      </c>
      <c r="K63" s="23">
        <v>2628938</v>
      </c>
      <c r="M63" s="23">
        <v>27207868106</v>
      </c>
      <c r="O63" s="23">
        <v>17731356802</v>
      </c>
      <c r="Q63" s="23">
        <v>9476511304</v>
      </c>
    </row>
    <row r="64" spans="1:17" ht="18.75" x14ac:dyDescent="0.45">
      <c r="A64" s="30" t="s">
        <v>74</v>
      </c>
      <c r="C64" s="23">
        <v>4249593</v>
      </c>
      <c r="E64" s="23">
        <v>52920132759</v>
      </c>
      <c r="G64" s="23">
        <v>51999321736</v>
      </c>
      <c r="I64" s="23">
        <v>920811023</v>
      </c>
      <c r="K64" s="23">
        <v>4249593</v>
      </c>
      <c r="M64" s="23">
        <v>52920132759</v>
      </c>
      <c r="O64" s="23">
        <v>45727017812</v>
      </c>
      <c r="Q64" s="23">
        <v>7193114947</v>
      </c>
    </row>
    <row r="65" spans="1:17" ht="37.5" x14ac:dyDescent="0.45">
      <c r="A65" s="30" t="s">
        <v>75</v>
      </c>
      <c r="C65" s="23">
        <v>1233693</v>
      </c>
      <c r="E65" s="23">
        <v>12547604669</v>
      </c>
      <c r="G65" s="23">
        <v>11959383292</v>
      </c>
      <c r="I65" s="23">
        <v>588221377</v>
      </c>
      <c r="K65" s="23">
        <v>1233693</v>
      </c>
      <c r="M65" s="23">
        <v>12547604669</v>
      </c>
      <c r="O65" s="23">
        <v>7766626587</v>
      </c>
      <c r="Q65" s="23">
        <v>4780978082</v>
      </c>
    </row>
    <row r="66" spans="1:17" ht="18.75" x14ac:dyDescent="0.45">
      <c r="A66" s="30" t="s">
        <v>76</v>
      </c>
      <c r="C66" s="23">
        <v>28062046</v>
      </c>
      <c r="E66" s="23">
        <v>48868196805</v>
      </c>
      <c r="G66" s="23">
        <v>52355654682</v>
      </c>
      <c r="I66" s="23">
        <v>-3487457877</v>
      </c>
      <c r="K66" s="23">
        <v>28062046</v>
      </c>
      <c r="M66" s="23">
        <v>48868196805</v>
      </c>
      <c r="O66" s="23">
        <v>50808801334</v>
      </c>
      <c r="Q66" s="23">
        <v>-1940604529</v>
      </c>
    </row>
    <row r="67" spans="1:17" ht="18.75" x14ac:dyDescent="0.45">
      <c r="A67" s="30" t="s">
        <v>77</v>
      </c>
      <c r="C67" s="23">
        <v>1125246</v>
      </c>
      <c r="E67" s="23">
        <v>18824996724</v>
      </c>
      <c r="G67" s="23">
        <v>15575842485</v>
      </c>
      <c r="I67" s="23">
        <v>3249154239</v>
      </c>
      <c r="K67" s="23">
        <v>1125246</v>
      </c>
      <c r="M67" s="23">
        <v>18824996724</v>
      </c>
      <c r="O67" s="23">
        <v>16940751284</v>
      </c>
      <c r="Q67" s="23">
        <v>1884245440</v>
      </c>
    </row>
    <row r="68" spans="1:17" ht="18.75" x14ac:dyDescent="0.45">
      <c r="A68" s="30" t="s">
        <v>78</v>
      </c>
      <c r="C68" s="23">
        <v>20786036</v>
      </c>
      <c r="E68" s="23">
        <v>39621316448</v>
      </c>
      <c r="G68" s="23">
        <v>43862819539</v>
      </c>
      <c r="I68" s="23">
        <v>-4241503091</v>
      </c>
      <c r="K68" s="23">
        <v>20786036</v>
      </c>
      <c r="M68" s="23">
        <v>39621316448</v>
      </c>
      <c r="O68" s="23">
        <v>47129075468</v>
      </c>
      <c r="Q68" s="23">
        <v>-7507759020</v>
      </c>
    </row>
    <row r="69" spans="1:17" ht="18.75" x14ac:dyDescent="0.45">
      <c r="A69" s="30" t="s">
        <v>79</v>
      </c>
      <c r="C69" s="23">
        <v>14209755</v>
      </c>
      <c r="E69" s="23">
        <v>32190102735</v>
      </c>
      <c r="G69" s="23">
        <v>34758775597</v>
      </c>
      <c r="I69" s="23">
        <v>-2568672862</v>
      </c>
      <c r="K69" s="23">
        <v>14209755</v>
      </c>
      <c r="M69" s="23">
        <v>32190102735</v>
      </c>
      <c r="O69" s="23">
        <v>38545187769</v>
      </c>
      <c r="Q69" s="23">
        <v>-6355085034</v>
      </c>
    </row>
    <row r="70" spans="1:17" ht="18.75" x14ac:dyDescent="0.45">
      <c r="A70" s="30" t="s">
        <v>80</v>
      </c>
      <c r="C70" s="23">
        <v>12369674</v>
      </c>
      <c r="E70" s="23">
        <v>50569112450</v>
      </c>
      <c r="G70" s="23">
        <v>52978237087</v>
      </c>
      <c r="I70" s="23">
        <v>-2409124637</v>
      </c>
      <c r="K70" s="23">
        <v>12369674</v>
      </c>
      <c r="M70" s="23">
        <v>50569112450</v>
      </c>
      <c r="O70" s="23">
        <v>44980673975</v>
      </c>
      <c r="Q70" s="23">
        <v>5588438475</v>
      </c>
    </row>
    <row r="71" spans="1:17" ht="18.75" x14ac:dyDescent="0.45">
      <c r="A71" s="30" t="s">
        <v>81</v>
      </c>
      <c r="C71" s="23">
        <v>562500</v>
      </c>
      <c r="E71" s="23">
        <v>5497795969</v>
      </c>
      <c r="G71" s="23">
        <v>5542448119</v>
      </c>
      <c r="I71" s="23">
        <v>-44652150</v>
      </c>
      <c r="K71" s="23">
        <v>562500</v>
      </c>
      <c r="M71" s="23">
        <v>5497795969</v>
      </c>
      <c r="O71" s="23">
        <v>4931974167</v>
      </c>
      <c r="Q71" s="23">
        <v>565821802</v>
      </c>
    </row>
    <row r="72" spans="1:17" ht="18.75" x14ac:dyDescent="0.45">
      <c r="A72" s="30" t="s">
        <v>82</v>
      </c>
      <c r="C72" s="23">
        <v>3973870</v>
      </c>
      <c r="E72" s="23">
        <v>22081651115</v>
      </c>
      <c r="G72" s="23">
        <v>20814097840</v>
      </c>
      <c r="I72" s="23">
        <v>1267553275</v>
      </c>
      <c r="K72" s="23">
        <v>3973870</v>
      </c>
      <c r="M72" s="23">
        <v>22081651115</v>
      </c>
      <c r="O72" s="23">
        <v>21132612639</v>
      </c>
      <c r="Q72" s="23">
        <v>949038476</v>
      </c>
    </row>
    <row r="73" spans="1:17" ht="18.75" x14ac:dyDescent="0.45">
      <c r="A73" s="30" t="s">
        <v>83</v>
      </c>
      <c r="C73" s="23">
        <v>25600000</v>
      </c>
      <c r="E73" s="23">
        <v>14199780608</v>
      </c>
      <c r="G73" s="23">
        <v>14047367936</v>
      </c>
      <c r="I73" s="23">
        <v>152412672</v>
      </c>
      <c r="K73" s="23">
        <v>25600000</v>
      </c>
      <c r="M73" s="23">
        <v>14199780608</v>
      </c>
      <c r="O73" s="23">
        <v>10028365723</v>
      </c>
      <c r="Q73" s="23">
        <v>4171414885</v>
      </c>
    </row>
    <row r="74" spans="1:17" ht="18.75" x14ac:dyDescent="0.45">
      <c r="A74" s="30" t="s">
        <v>84</v>
      </c>
      <c r="C74" s="23">
        <v>11840020</v>
      </c>
      <c r="E74" s="23">
        <v>46065855347</v>
      </c>
      <c r="G74" s="23">
        <v>44451160009</v>
      </c>
      <c r="I74" s="23">
        <v>1614695338</v>
      </c>
      <c r="K74" s="23">
        <v>11840020</v>
      </c>
      <c r="M74" s="23">
        <v>46065855347</v>
      </c>
      <c r="O74" s="23">
        <v>30388998699</v>
      </c>
      <c r="Q74" s="23">
        <v>15676856648</v>
      </c>
    </row>
    <row r="75" spans="1:17" ht="18.75" x14ac:dyDescent="0.45">
      <c r="A75" s="30" t="s">
        <v>369</v>
      </c>
      <c r="J75" s="22"/>
      <c r="K75" s="23">
        <v>0</v>
      </c>
      <c r="M75" s="23">
        <v>0</v>
      </c>
      <c r="O75" s="23">
        <v>-3981368184</v>
      </c>
      <c r="Q75" s="23">
        <v>3981368184</v>
      </c>
    </row>
    <row r="76" spans="1:17" ht="18.75" x14ac:dyDescent="0.45">
      <c r="A76" s="30" t="s">
        <v>85</v>
      </c>
      <c r="C76" s="23">
        <v>3522592</v>
      </c>
      <c r="E76" s="23">
        <v>20902266936</v>
      </c>
      <c r="G76" s="23">
        <v>21042081430</v>
      </c>
      <c r="I76" s="23">
        <v>-139814494</v>
      </c>
      <c r="K76" s="23">
        <v>3522592</v>
      </c>
      <c r="M76" s="23">
        <v>20902266936</v>
      </c>
      <c r="O76" s="23">
        <v>13420102259</v>
      </c>
      <c r="Q76" s="23">
        <v>7482164677</v>
      </c>
    </row>
    <row r="77" spans="1:17" ht="18.75" x14ac:dyDescent="0.45">
      <c r="A77" s="30" t="s">
        <v>86</v>
      </c>
      <c r="C77" s="23">
        <v>4117725</v>
      </c>
      <c r="E77" s="23">
        <v>12461979707</v>
      </c>
      <c r="G77" s="23">
        <v>20511192828</v>
      </c>
      <c r="I77" s="23">
        <v>-8049213121</v>
      </c>
      <c r="K77" s="23">
        <v>4117725</v>
      </c>
      <c r="M77" s="23">
        <v>12461979707</v>
      </c>
      <c r="O77" s="23">
        <v>11569669559</v>
      </c>
      <c r="Q77" s="23">
        <v>892310148</v>
      </c>
    </row>
    <row r="78" spans="1:17" ht="37.5" x14ac:dyDescent="0.45">
      <c r="A78" s="30" t="s">
        <v>87</v>
      </c>
      <c r="C78" s="23">
        <v>23659071</v>
      </c>
      <c r="E78" s="23">
        <v>44698658870</v>
      </c>
      <c r="G78" s="23">
        <v>41713846970</v>
      </c>
      <c r="I78" s="23">
        <v>2984811900</v>
      </c>
      <c r="K78" s="23">
        <v>23659071</v>
      </c>
      <c r="M78" s="23">
        <v>44698658870</v>
      </c>
      <c r="O78" s="23">
        <v>38515872882</v>
      </c>
      <c r="Q78" s="23">
        <v>6182785988</v>
      </c>
    </row>
    <row r="79" spans="1:17" ht="18.75" x14ac:dyDescent="0.45">
      <c r="A79" s="30" t="s">
        <v>88</v>
      </c>
      <c r="C79" s="23">
        <v>3380920</v>
      </c>
      <c r="E79" s="23">
        <v>19558399397</v>
      </c>
      <c r="G79" s="23">
        <v>18127487713</v>
      </c>
      <c r="I79" s="23">
        <v>1430911684</v>
      </c>
      <c r="K79" s="23">
        <v>3380920</v>
      </c>
      <c r="M79" s="23">
        <v>19558399397</v>
      </c>
      <c r="O79" s="23">
        <v>16767735799</v>
      </c>
      <c r="Q79" s="23">
        <v>2790663598</v>
      </c>
    </row>
    <row r="80" spans="1:17" ht="18.75" x14ac:dyDescent="0.45">
      <c r="A80" s="30" t="s">
        <v>90</v>
      </c>
      <c r="C80" s="23">
        <v>1074591</v>
      </c>
      <c r="E80" s="23">
        <v>17465738662</v>
      </c>
      <c r="G80" s="23">
        <v>16406719300</v>
      </c>
      <c r="I80" s="23">
        <v>1059019362</v>
      </c>
      <c r="K80" s="23">
        <v>1074591</v>
      </c>
      <c r="M80" s="23">
        <v>17465738662</v>
      </c>
      <c r="O80" s="23">
        <v>10940392304</v>
      </c>
      <c r="Q80" s="23">
        <v>6525346358</v>
      </c>
    </row>
    <row r="81" spans="1:17" ht="18.75" x14ac:dyDescent="0.45">
      <c r="A81" s="30" t="s">
        <v>91</v>
      </c>
      <c r="C81" s="23">
        <v>1160136</v>
      </c>
      <c r="E81" s="23">
        <v>18948227728</v>
      </c>
      <c r="G81" s="23">
        <v>16798520322</v>
      </c>
      <c r="I81" s="23">
        <v>2149707406</v>
      </c>
      <c r="K81" s="23">
        <v>1160136</v>
      </c>
      <c r="M81" s="23">
        <v>18948227728</v>
      </c>
      <c r="O81" s="23">
        <v>11103554809</v>
      </c>
      <c r="Q81" s="23">
        <v>7844672919</v>
      </c>
    </row>
    <row r="82" spans="1:17" ht="37.5" x14ac:dyDescent="0.45">
      <c r="A82" s="30" t="s">
        <v>92</v>
      </c>
      <c r="C82" s="23">
        <v>517391</v>
      </c>
      <c r="E82" s="23">
        <v>22738112528</v>
      </c>
      <c r="G82" s="23">
        <v>23197489176</v>
      </c>
      <c r="I82" s="23">
        <v>-459376648</v>
      </c>
      <c r="K82" s="23">
        <v>517391</v>
      </c>
      <c r="M82" s="23">
        <v>22738112528</v>
      </c>
      <c r="O82" s="23">
        <v>17064920422</v>
      </c>
      <c r="Q82" s="23">
        <v>5673192106</v>
      </c>
    </row>
    <row r="83" spans="1:17" ht="18.75" x14ac:dyDescent="0.45">
      <c r="A83" s="30" t="s">
        <v>93</v>
      </c>
      <c r="C83" s="23">
        <v>3534630</v>
      </c>
      <c r="E83" s="23">
        <v>19886432448</v>
      </c>
      <c r="G83" s="23">
        <v>19151523962</v>
      </c>
      <c r="I83" s="23">
        <v>734908486</v>
      </c>
      <c r="K83" s="23">
        <v>3534630</v>
      </c>
      <c r="M83" s="23">
        <v>19886432448</v>
      </c>
      <c r="O83" s="23">
        <v>13881762462</v>
      </c>
      <c r="Q83" s="23">
        <v>6004669986</v>
      </c>
    </row>
    <row r="84" spans="1:17" ht="37.5" x14ac:dyDescent="0.45">
      <c r="A84" s="30" t="s">
        <v>94</v>
      </c>
      <c r="C84" s="23">
        <v>3250000</v>
      </c>
      <c r="E84" s="23">
        <v>3715058880</v>
      </c>
      <c r="G84" s="23">
        <v>3815030082</v>
      </c>
      <c r="I84" s="23">
        <v>-99971202</v>
      </c>
      <c r="K84" s="23">
        <v>3250000</v>
      </c>
      <c r="M84" s="23">
        <v>3715058880</v>
      </c>
      <c r="O84" s="23">
        <v>3939323661</v>
      </c>
      <c r="Q84" s="23">
        <v>-224264781</v>
      </c>
    </row>
    <row r="85" spans="1:17" ht="18.75" x14ac:dyDescent="0.45">
      <c r="A85" s="30" t="s">
        <v>95</v>
      </c>
      <c r="C85" s="23">
        <v>4256042</v>
      </c>
      <c r="E85" s="23">
        <v>20896110551</v>
      </c>
      <c r="G85" s="23">
        <v>26802495805</v>
      </c>
      <c r="I85" s="23">
        <v>-5906385254</v>
      </c>
      <c r="K85" s="23">
        <v>4256042</v>
      </c>
      <c r="M85" s="23">
        <v>20896110551</v>
      </c>
      <c r="O85" s="23">
        <v>22089769630</v>
      </c>
      <c r="Q85" s="23">
        <v>-1193659079</v>
      </c>
    </row>
    <row r="86" spans="1:17" ht="18.75" x14ac:dyDescent="0.45">
      <c r="A86" s="30" t="s">
        <v>96</v>
      </c>
      <c r="C86" s="23">
        <v>2874653</v>
      </c>
      <c r="E86" s="23">
        <v>24987303727</v>
      </c>
      <c r="G86" s="23">
        <v>23247698767</v>
      </c>
      <c r="I86" s="23">
        <v>1739604960</v>
      </c>
      <c r="K86" s="23">
        <v>2874653</v>
      </c>
      <c r="M86" s="23">
        <v>24987303727</v>
      </c>
      <c r="O86" s="23">
        <v>19251319867</v>
      </c>
      <c r="Q86" s="23">
        <v>5735983860</v>
      </c>
    </row>
    <row r="87" spans="1:17" ht="18.75" x14ac:dyDescent="0.45">
      <c r="A87" s="30" t="s">
        <v>97</v>
      </c>
      <c r="C87" s="23">
        <v>84882</v>
      </c>
      <c r="E87" s="23">
        <v>10621723474</v>
      </c>
      <c r="G87" s="23">
        <v>10632672837</v>
      </c>
      <c r="I87" s="23">
        <v>-10949363</v>
      </c>
      <c r="K87" s="23">
        <v>84882</v>
      </c>
      <c r="M87" s="23">
        <v>10621723474</v>
      </c>
      <c r="O87" s="23">
        <v>7685896566</v>
      </c>
      <c r="Q87" s="23">
        <v>2935826908</v>
      </c>
    </row>
    <row r="88" spans="1:17" ht="18.75" x14ac:dyDescent="0.45">
      <c r="A88" s="30" t="s">
        <v>98</v>
      </c>
      <c r="C88" s="23">
        <v>812681</v>
      </c>
      <c r="E88" s="23">
        <v>26272478634</v>
      </c>
      <c r="G88" s="23">
        <v>29897154520</v>
      </c>
      <c r="I88" s="23">
        <v>-3624675886</v>
      </c>
      <c r="K88" s="23">
        <v>812681</v>
      </c>
      <c r="M88" s="23">
        <v>26272478634</v>
      </c>
      <c r="O88" s="23">
        <v>29897154520</v>
      </c>
      <c r="Q88" s="23">
        <v>-3624675886</v>
      </c>
    </row>
    <row r="89" spans="1:17" ht="18.75" x14ac:dyDescent="0.45">
      <c r="A89" s="30" t="s">
        <v>99</v>
      </c>
      <c r="C89" s="23">
        <v>3983350</v>
      </c>
      <c r="E89" s="23">
        <v>16632367029</v>
      </c>
      <c r="G89" s="23">
        <v>18836783816</v>
      </c>
      <c r="I89" s="23">
        <v>-2204416787</v>
      </c>
      <c r="K89" s="23">
        <v>3983350</v>
      </c>
      <c r="M89" s="23">
        <v>16632367029</v>
      </c>
      <c r="O89" s="23">
        <v>16626478656</v>
      </c>
      <c r="Q89" s="23">
        <v>5888373</v>
      </c>
    </row>
    <row r="90" spans="1:17" ht="18.75" x14ac:dyDescent="0.45">
      <c r="A90" s="30" t="s">
        <v>100</v>
      </c>
      <c r="C90" s="23">
        <v>3630564</v>
      </c>
      <c r="E90" s="23">
        <v>33323122598</v>
      </c>
      <c r="G90" s="23">
        <v>40706451865</v>
      </c>
      <c r="I90" s="23">
        <v>-7383329267</v>
      </c>
      <c r="K90" s="23">
        <v>3630564</v>
      </c>
      <c r="M90" s="23">
        <v>33323122598</v>
      </c>
      <c r="O90" s="23">
        <v>31431375860</v>
      </c>
      <c r="Q90" s="23">
        <v>1891746738</v>
      </c>
    </row>
    <row r="91" spans="1:17" ht="18.75" x14ac:dyDescent="0.45">
      <c r="A91" s="30" t="s">
        <v>101</v>
      </c>
      <c r="C91" s="23">
        <v>2401235</v>
      </c>
      <c r="E91" s="23">
        <v>21872942303</v>
      </c>
      <c r="G91" s="23">
        <v>22397130462</v>
      </c>
      <c r="I91" s="23">
        <v>-524188159</v>
      </c>
      <c r="K91" s="23">
        <v>2401235</v>
      </c>
      <c r="M91" s="23">
        <v>21872942303</v>
      </c>
      <c r="O91" s="23">
        <v>15850700014</v>
      </c>
      <c r="Q91" s="23">
        <v>6022242289</v>
      </c>
    </row>
    <row r="92" spans="1:17" ht="18.75" x14ac:dyDescent="0.45">
      <c r="A92" s="30" t="s">
        <v>102</v>
      </c>
      <c r="C92" s="23">
        <v>5476907</v>
      </c>
      <c r="E92" s="23">
        <v>24678384681</v>
      </c>
      <c r="G92" s="23">
        <v>26630749486</v>
      </c>
      <c r="I92" s="23">
        <v>-1952364805</v>
      </c>
      <c r="K92" s="23">
        <v>5476907</v>
      </c>
      <c r="M92" s="23">
        <v>24678384681</v>
      </c>
      <c r="O92" s="23">
        <v>24541931735</v>
      </c>
      <c r="Q92" s="23">
        <v>136452946</v>
      </c>
    </row>
    <row r="93" spans="1:17" ht="18.75" x14ac:dyDescent="0.45">
      <c r="A93" s="30" t="s">
        <v>103</v>
      </c>
      <c r="C93" s="23">
        <v>3000000</v>
      </c>
      <c r="E93" s="23">
        <v>25570797900</v>
      </c>
      <c r="G93" s="23">
        <v>27065331329</v>
      </c>
      <c r="I93" s="23">
        <v>-1494533429</v>
      </c>
      <c r="K93" s="23">
        <v>3000000</v>
      </c>
      <c r="M93" s="23">
        <v>25570797900</v>
      </c>
      <c r="O93" s="23">
        <v>25782510322</v>
      </c>
      <c r="Q93" s="23">
        <v>-211712422</v>
      </c>
    </row>
    <row r="94" spans="1:17" ht="18.75" x14ac:dyDescent="0.45">
      <c r="A94" s="30" t="s">
        <v>104</v>
      </c>
      <c r="C94" s="23">
        <v>3907770</v>
      </c>
      <c r="E94" s="23">
        <v>40830737736</v>
      </c>
      <c r="G94" s="23">
        <v>45513966551</v>
      </c>
      <c r="I94" s="23">
        <v>-4683228815</v>
      </c>
      <c r="K94" s="23">
        <v>3907770</v>
      </c>
      <c r="M94" s="23">
        <v>40830737736</v>
      </c>
      <c r="O94" s="23">
        <v>41684174563</v>
      </c>
      <c r="Q94" s="23">
        <v>-853436827</v>
      </c>
    </row>
    <row r="95" spans="1:17" ht="18.75" x14ac:dyDescent="0.45">
      <c r="A95" s="30" t="s">
        <v>105</v>
      </c>
      <c r="C95" s="23">
        <v>1209154</v>
      </c>
      <c r="E95" s="23">
        <v>15765467128</v>
      </c>
      <c r="G95" s="23">
        <v>14979521069</v>
      </c>
      <c r="I95" s="23">
        <v>785946059</v>
      </c>
      <c r="K95" s="23">
        <v>1209154</v>
      </c>
      <c r="M95" s="23">
        <v>15765467128</v>
      </c>
      <c r="O95" s="23">
        <v>13559690174</v>
      </c>
      <c r="Q95" s="23">
        <v>2205776954</v>
      </c>
    </row>
    <row r="96" spans="1:17" ht="18.75" x14ac:dyDescent="0.45">
      <c r="A96" s="30" t="s">
        <v>106</v>
      </c>
      <c r="C96" s="23">
        <v>1813731</v>
      </c>
      <c r="E96" s="23">
        <v>21848489833</v>
      </c>
      <c r="G96" s="23">
        <v>18525804260</v>
      </c>
      <c r="I96" s="23">
        <v>3322685573</v>
      </c>
      <c r="K96" s="23">
        <v>1813731</v>
      </c>
      <c r="M96" s="23">
        <v>21848489833</v>
      </c>
      <c r="O96" s="23">
        <v>18525804260</v>
      </c>
      <c r="Q96" s="23">
        <v>3322685573</v>
      </c>
    </row>
    <row r="97" spans="1:17" ht="18.75" x14ac:dyDescent="0.45">
      <c r="A97" s="30" t="s">
        <v>107</v>
      </c>
      <c r="C97" s="23">
        <v>104452</v>
      </c>
      <c r="E97" s="23">
        <v>14264604377</v>
      </c>
      <c r="G97" s="23">
        <v>14419034810</v>
      </c>
      <c r="I97" s="23">
        <v>-154430433</v>
      </c>
      <c r="K97" s="23">
        <v>104452</v>
      </c>
      <c r="M97" s="23">
        <v>14264604377</v>
      </c>
      <c r="O97" s="23">
        <v>12026316222</v>
      </c>
      <c r="Q97" s="23">
        <v>2238288155</v>
      </c>
    </row>
    <row r="98" spans="1:17" ht="18.75" x14ac:dyDescent="0.45">
      <c r="A98" s="30" t="s">
        <v>108</v>
      </c>
      <c r="C98" s="23">
        <v>3144247</v>
      </c>
      <c r="E98" s="23">
        <v>24335547371</v>
      </c>
      <c r="G98" s="23">
        <v>26096307873</v>
      </c>
      <c r="I98" s="23">
        <v>-1760760502</v>
      </c>
      <c r="K98" s="23">
        <v>3144247</v>
      </c>
      <c r="M98" s="23">
        <v>24335547371</v>
      </c>
      <c r="O98" s="23">
        <v>25129311827</v>
      </c>
      <c r="Q98" s="23">
        <v>-793764456</v>
      </c>
    </row>
    <row r="99" spans="1:17" ht="18.75" x14ac:dyDescent="0.45">
      <c r="A99" s="30" t="s">
        <v>109</v>
      </c>
      <c r="C99" s="23">
        <v>461325</v>
      </c>
      <c r="E99" s="23">
        <v>16708201958</v>
      </c>
      <c r="G99" s="23">
        <v>18303288275</v>
      </c>
      <c r="I99" s="23">
        <v>-1595086317</v>
      </c>
      <c r="K99" s="23">
        <v>461325</v>
      </c>
      <c r="M99" s="23">
        <v>16708201958</v>
      </c>
      <c r="O99" s="23">
        <v>15686456606</v>
      </c>
      <c r="Q99" s="23">
        <v>1021745352</v>
      </c>
    </row>
    <row r="100" spans="1:17" ht="18.75" x14ac:dyDescent="0.45">
      <c r="A100" s="30" t="s">
        <v>110</v>
      </c>
      <c r="C100" s="23">
        <v>2424791</v>
      </c>
      <c r="E100" s="23">
        <v>42779522160</v>
      </c>
      <c r="G100" s="23">
        <v>47884695782</v>
      </c>
      <c r="I100" s="23">
        <v>-5105173622</v>
      </c>
      <c r="K100" s="23">
        <v>2424791</v>
      </c>
      <c r="M100" s="23">
        <v>42779522160</v>
      </c>
      <c r="O100" s="23">
        <v>45140071016</v>
      </c>
      <c r="Q100" s="23">
        <v>-2360548856</v>
      </c>
    </row>
    <row r="101" spans="1:17" ht="18.75" x14ac:dyDescent="0.45">
      <c r="A101" s="30" t="s">
        <v>111</v>
      </c>
      <c r="C101" s="23">
        <v>1504289</v>
      </c>
      <c r="E101" s="23">
        <v>16419269306</v>
      </c>
      <c r="G101" s="23">
        <v>17732810851</v>
      </c>
      <c r="I101" s="23">
        <v>-1313541545</v>
      </c>
      <c r="K101" s="23">
        <v>1504289</v>
      </c>
      <c r="M101" s="23">
        <v>16419269306</v>
      </c>
      <c r="O101" s="23">
        <v>9141298952</v>
      </c>
      <c r="Q101" s="23">
        <v>7277970354</v>
      </c>
    </row>
    <row r="102" spans="1:17" ht="18.75" x14ac:dyDescent="0.45">
      <c r="A102" s="30" t="s">
        <v>112</v>
      </c>
      <c r="C102" s="23">
        <v>612506</v>
      </c>
      <c r="E102" s="23">
        <v>26741938459</v>
      </c>
      <c r="G102" s="23">
        <v>29878743210</v>
      </c>
      <c r="I102" s="23">
        <v>-3136804751</v>
      </c>
      <c r="K102" s="23">
        <v>612506</v>
      </c>
      <c r="M102" s="23">
        <v>26741938459</v>
      </c>
      <c r="O102" s="23">
        <v>27779072266</v>
      </c>
      <c r="Q102" s="23">
        <v>-1037133807</v>
      </c>
    </row>
    <row r="103" spans="1:17" ht="18.75" x14ac:dyDescent="0.45">
      <c r="A103" s="30" t="s">
        <v>113</v>
      </c>
      <c r="C103" s="23">
        <v>21110</v>
      </c>
      <c r="E103" s="23">
        <v>2687476968</v>
      </c>
      <c r="G103" s="23">
        <v>3027517490</v>
      </c>
      <c r="I103" s="23">
        <v>-340040522</v>
      </c>
      <c r="K103" s="23">
        <v>21110</v>
      </c>
      <c r="M103" s="23">
        <v>2687476968</v>
      </c>
      <c r="O103" s="23">
        <v>2674296095</v>
      </c>
      <c r="Q103" s="23">
        <v>13180873</v>
      </c>
    </row>
    <row r="104" spans="1:17" ht="18.75" x14ac:dyDescent="0.45">
      <c r="A104" s="30" t="s">
        <v>114</v>
      </c>
      <c r="C104" s="23">
        <v>7961644</v>
      </c>
      <c r="E104" s="23">
        <v>21156469117</v>
      </c>
      <c r="G104" s="23">
        <v>17143218067</v>
      </c>
      <c r="I104" s="23">
        <v>4013251050</v>
      </c>
      <c r="K104" s="23">
        <v>7961644</v>
      </c>
      <c r="M104" s="23">
        <v>21156469117</v>
      </c>
      <c r="O104" s="23">
        <v>12738109491</v>
      </c>
      <c r="Q104" s="23">
        <v>8418359626</v>
      </c>
    </row>
    <row r="105" spans="1:17" ht="18.75" x14ac:dyDescent="0.45">
      <c r="A105" s="30" t="s">
        <v>115</v>
      </c>
      <c r="C105" s="23">
        <v>552625</v>
      </c>
      <c r="E105" s="23">
        <v>27499913419</v>
      </c>
      <c r="G105" s="23">
        <v>28024612910</v>
      </c>
      <c r="I105" s="23">
        <v>-524699491</v>
      </c>
      <c r="K105" s="23">
        <v>552625</v>
      </c>
      <c r="M105" s="23">
        <v>27499913419</v>
      </c>
      <c r="O105" s="23">
        <v>21748103488</v>
      </c>
      <c r="Q105" s="23">
        <v>5751809931</v>
      </c>
    </row>
    <row r="106" spans="1:17" ht="18.75" x14ac:dyDescent="0.45">
      <c r="A106" s="30" t="s">
        <v>116</v>
      </c>
      <c r="C106" s="23">
        <v>1155746</v>
      </c>
      <c r="E106" s="23">
        <v>16456753397</v>
      </c>
      <c r="G106" s="23">
        <v>11330503384</v>
      </c>
      <c r="I106" s="23">
        <v>5126250013</v>
      </c>
      <c r="K106" s="23">
        <v>1155746</v>
      </c>
      <c r="M106" s="23">
        <v>16456753397</v>
      </c>
      <c r="O106" s="23">
        <v>7943307049</v>
      </c>
      <c r="Q106" s="23">
        <v>8513446348</v>
      </c>
    </row>
    <row r="107" spans="1:17" ht="37.5" x14ac:dyDescent="0.45">
      <c r="A107" s="30" t="s">
        <v>118</v>
      </c>
      <c r="C107" s="23">
        <v>2664575</v>
      </c>
      <c r="E107" s="23">
        <v>12513947094</v>
      </c>
      <c r="G107" s="23">
        <v>9486592473</v>
      </c>
      <c r="I107" s="23">
        <v>3027354621</v>
      </c>
      <c r="K107" s="23">
        <v>2664575</v>
      </c>
      <c r="M107" s="23">
        <v>12513947094</v>
      </c>
      <c r="O107" s="23">
        <v>5968348429</v>
      </c>
      <c r="Q107" s="23">
        <v>6545598665</v>
      </c>
    </row>
    <row r="108" spans="1:17" ht="18.75" x14ac:dyDescent="0.45">
      <c r="A108" s="30" t="s">
        <v>119</v>
      </c>
      <c r="C108" s="23">
        <v>3863965</v>
      </c>
      <c r="E108" s="23">
        <v>25995174613</v>
      </c>
      <c r="G108" s="23">
        <v>28220061727</v>
      </c>
      <c r="I108" s="23">
        <v>-2224887114</v>
      </c>
      <c r="K108" s="23">
        <v>3863965</v>
      </c>
      <c r="M108" s="23">
        <v>25995174613</v>
      </c>
      <c r="O108" s="23">
        <v>23148828819</v>
      </c>
      <c r="Q108" s="23">
        <v>2846345794</v>
      </c>
    </row>
    <row r="109" spans="1:17" ht="37.5" x14ac:dyDescent="0.45">
      <c r="A109" s="30" t="s">
        <v>120</v>
      </c>
      <c r="C109" s="23">
        <v>1467107</v>
      </c>
      <c r="E109" s="23">
        <v>26989906514</v>
      </c>
      <c r="G109" s="23">
        <v>26483657187</v>
      </c>
      <c r="I109" s="23">
        <v>506249327</v>
      </c>
      <c r="K109" s="23">
        <v>1467107</v>
      </c>
      <c r="M109" s="23">
        <v>26989906514</v>
      </c>
      <c r="O109" s="23">
        <v>23716554717</v>
      </c>
      <c r="Q109" s="23">
        <v>3273351797</v>
      </c>
    </row>
    <row r="110" spans="1:17" ht="37.5" x14ac:dyDescent="0.45">
      <c r="A110" s="30" t="s">
        <v>121</v>
      </c>
      <c r="C110" s="23">
        <v>2298015</v>
      </c>
      <c r="E110" s="23">
        <v>27454226182</v>
      </c>
      <c r="G110" s="23">
        <v>30767503826</v>
      </c>
      <c r="I110" s="23">
        <v>-3313277644</v>
      </c>
      <c r="K110" s="23">
        <v>2298015</v>
      </c>
      <c r="M110" s="23">
        <v>27454226182</v>
      </c>
      <c r="O110" s="23">
        <v>22834844238</v>
      </c>
      <c r="Q110" s="23">
        <v>4619381944</v>
      </c>
    </row>
    <row r="111" spans="1:17" ht="18.75" x14ac:dyDescent="0.45">
      <c r="A111" s="30" t="s">
        <v>122</v>
      </c>
      <c r="C111" s="23">
        <v>24072042</v>
      </c>
      <c r="E111" s="23">
        <v>41967640708</v>
      </c>
      <c r="G111" s="23">
        <v>45712131080</v>
      </c>
      <c r="I111" s="23">
        <v>-3744490372</v>
      </c>
      <c r="K111" s="23">
        <v>24072042</v>
      </c>
      <c r="M111" s="23">
        <v>41967640708</v>
      </c>
      <c r="O111" s="23">
        <v>43145393249</v>
      </c>
      <c r="Q111" s="23">
        <v>-1177752541</v>
      </c>
    </row>
    <row r="112" spans="1:17" ht="18.75" x14ac:dyDescent="0.45">
      <c r="A112" s="30" t="s">
        <v>123</v>
      </c>
      <c r="C112" s="23">
        <v>835696</v>
      </c>
      <c r="E112" s="23">
        <v>27638438210</v>
      </c>
      <c r="G112" s="23">
        <v>29782364899</v>
      </c>
      <c r="I112" s="23">
        <v>-2143926689</v>
      </c>
      <c r="K112" s="23">
        <v>835696</v>
      </c>
      <c r="M112" s="23">
        <v>27638438210</v>
      </c>
      <c r="O112" s="23">
        <v>25344863627</v>
      </c>
      <c r="Q112" s="23">
        <v>2293574583</v>
      </c>
    </row>
    <row r="113" spans="1:17" ht="18.75" x14ac:dyDescent="0.45">
      <c r="A113" s="30" t="s">
        <v>124</v>
      </c>
      <c r="C113" s="23">
        <v>200000</v>
      </c>
      <c r="E113" s="23">
        <v>1605492860</v>
      </c>
      <c r="G113" s="23">
        <v>1501990667</v>
      </c>
      <c r="I113" s="23">
        <v>103502193</v>
      </c>
      <c r="K113" s="23">
        <v>200000</v>
      </c>
      <c r="M113" s="23">
        <v>1605492860</v>
      </c>
      <c r="O113" s="23">
        <v>1501990667</v>
      </c>
      <c r="Q113" s="23">
        <v>103502193</v>
      </c>
    </row>
    <row r="114" spans="1:17" ht="18.75" x14ac:dyDescent="0.45">
      <c r="A114" s="30" t="s">
        <v>125</v>
      </c>
      <c r="C114" s="23">
        <v>2478</v>
      </c>
      <c r="E114" s="23">
        <v>733227597</v>
      </c>
      <c r="G114" s="23">
        <v>634181829</v>
      </c>
      <c r="I114" s="23">
        <v>99045768</v>
      </c>
      <c r="K114" s="23">
        <v>2478</v>
      </c>
      <c r="M114" s="23">
        <v>733227597</v>
      </c>
      <c r="O114" s="23">
        <v>634181829</v>
      </c>
      <c r="Q114" s="23">
        <v>99045768</v>
      </c>
    </row>
    <row r="115" spans="1:17" ht="18.75" x14ac:dyDescent="0.45">
      <c r="A115" s="30" t="s">
        <v>126</v>
      </c>
      <c r="C115" s="23">
        <v>31048213</v>
      </c>
      <c r="E115" s="23">
        <v>17807145561</v>
      </c>
      <c r="G115" s="23">
        <v>20819980991</v>
      </c>
      <c r="I115" s="23">
        <v>-3012835430</v>
      </c>
      <c r="K115" s="23">
        <v>31048213</v>
      </c>
      <c r="M115" s="23">
        <v>17807145561</v>
      </c>
      <c r="O115" s="23">
        <v>21507640830</v>
      </c>
      <c r="Q115" s="23">
        <v>-3700495269</v>
      </c>
    </row>
    <row r="116" spans="1:17" ht="18.75" x14ac:dyDescent="0.45">
      <c r="A116" s="30" t="s">
        <v>127</v>
      </c>
      <c r="C116" s="23">
        <v>249996</v>
      </c>
      <c r="E116" s="23">
        <v>1892724741</v>
      </c>
      <c r="G116" s="23">
        <v>2165594625</v>
      </c>
      <c r="I116" s="23">
        <v>-272869884</v>
      </c>
      <c r="K116" s="23">
        <v>249996</v>
      </c>
      <c r="M116" s="23">
        <v>1892724741</v>
      </c>
      <c r="O116" s="23">
        <v>1732104411</v>
      </c>
      <c r="Q116" s="23">
        <v>160620330</v>
      </c>
    </row>
    <row r="117" spans="1:17" ht="18.75" x14ac:dyDescent="0.45">
      <c r="A117" s="30" t="s">
        <v>128</v>
      </c>
      <c r="C117" s="23">
        <v>14400000</v>
      </c>
      <c r="E117" s="23">
        <v>45452316528</v>
      </c>
      <c r="G117" s="23">
        <v>42442893360</v>
      </c>
      <c r="I117" s="23">
        <v>3009423168</v>
      </c>
      <c r="K117" s="23">
        <v>14400000</v>
      </c>
      <c r="M117" s="23">
        <v>45452316528</v>
      </c>
      <c r="O117" s="23">
        <v>42887147588</v>
      </c>
      <c r="Q117" s="23">
        <v>2565168940</v>
      </c>
    </row>
    <row r="118" spans="1:17" ht="18.75" x14ac:dyDescent="0.45">
      <c r="A118" s="30" t="s">
        <v>129</v>
      </c>
      <c r="C118" s="23">
        <v>1875000</v>
      </c>
      <c r="E118" s="23">
        <v>8069015606</v>
      </c>
      <c r="G118" s="23">
        <v>7871801944</v>
      </c>
      <c r="I118" s="23">
        <v>197213662</v>
      </c>
      <c r="K118" s="23">
        <v>1875000</v>
      </c>
      <c r="M118" s="23">
        <v>8069015606</v>
      </c>
      <c r="O118" s="23">
        <v>5911612875</v>
      </c>
      <c r="Q118" s="23">
        <v>2157402731</v>
      </c>
    </row>
    <row r="119" spans="1:17" ht="18.75" x14ac:dyDescent="0.45">
      <c r="A119" s="30" t="s">
        <v>130</v>
      </c>
      <c r="C119" s="23">
        <v>23792</v>
      </c>
      <c r="E119" s="23">
        <v>1826085594</v>
      </c>
      <c r="G119" s="23">
        <v>1518000048</v>
      </c>
      <c r="I119" s="23">
        <v>308085546</v>
      </c>
      <c r="K119" s="23">
        <v>23792</v>
      </c>
      <c r="M119" s="23">
        <v>1826085594</v>
      </c>
      <c r="O119" s="23">
        <v>1265552380</v>
      </c>
      <c r="Q119" s="23">
        <v>560533214</v>
      </c>
    </row>
    <row r="120" spans="1:17" ht="18.75" x14ac:dyDescent="0.45">
      <c r="A120" s="30" t="s">
        <v>131</v>
      </c>
      <c r="C120" s="23">
        <v>943421</v>
      </c>
      <c r="E120" s="23">
        <v>22654306207</v>
      </c>
      <c r="G120" s="23">
        <v>19658695469</v>
      </c>
      <c r="I120" s="23">
        <v>2995610738</v>
      </c>
      <c r="K120" s="23">
        <v>943421</v>
      </c>
      <c r="M120" s="23">
        <v>22654306207</v>
      </c>
      <c r="O120" s="23">
        <v>12470037471</v>
      </c>
      <c r="Q120" s="23">
        <v>10184268736</v>
      </c>
    </row>
    <row r="121" spans="1:17" ht="18.75" x14ac:dyDescent="0.45">
      <c r="A121" s="30" t="s">
        <v>132</v>
      </c>
      <c r="C121" s="23">
        <v>3733986</v>
      </c>
      <c r="E121" s="23">
        <v>29603927083</v>
      </c>
      <c r="G121" s="23">
        <v>21193299489</v>
      </c>
      <c r="I121" s="23">
        <v>8410627594</v>
      </c>
      <c r="K121" s="23">
        <v>3733986</v>
      </c>
      <c r="M121" s="23">
        <v>29603927083</v>
      </c>
      <c r="O121" s="23">
        <v>14066948730</v>
      </c>
      <c r="Q121" s="23">
        <v>15536978353</v>
      </c>
    </row>
    <row r="122" spans="1:17" ht="18.75" x14ac:dyDescent="0.45">
      <c r="A122" s="30" t="s">
        <v>133</v>
      </c>
      <c r="C122" s="23">
        <v>9503990</v>
      </c>
      <c r="E122" s="23">
        <v>25302096314</v>
      </c>
      <c r="G122" s="23">
        <v>26781546126</v>
      </c>
      <c r="I122" s="23">
        <v>-1479449812</v>
      </c>
      <c r="K122" s="23">
        <v>9503990</v>
      </c>
      <c r="M122" s="23">
        <v>25302096314</v>
      </c>
      <c r="O122" s="23">
        <v>29116684610</v>
      </c>
      <c r="Q122" s="23">
        <v>-3814588296</v>
      </c>
    </row>
    <row r="123" spans="1:17" ht="18.75" x14ac:dyDescent="0.45">
      <c r="A123" s="30" t="s">
        <v>134</v>
      </c>
      <c r="C123" s="23">
        <v>3429795</v>
      </c>
      <c r="E123" s="23">
        <v>24673799464</v>
      </c>
      <c r="G123" s="23">
        <v>25289892277</v>
      </c>
      <c r="I123" s="23">
        <v>-616092813</v>
      </c>
      <c r="K123" s="23">
        <v>3429795</v>
      </c>
      <c r="M123" s="23">
        <v>24673799464</v>
      </c>
      <c r="O123" s="23">
        <v>25843996755</v>
      </c>
      <c r="Q123" s="23">
        <v>-1170197291</v>
      </c>
    </row>
    <row r="124" spans="1:17" ht="18.75" x14ac:dyDescent="0.45">
      <c r="A124" s="30" t="s">
        <v>135</v>
      </c>
      <c r="C124" s="23">
        <v>6157463</v>
      </c>
      <c r="E124" s="23">
        <v>34154149884</v>
      </c>
      <c r="G124" s="23">
        <v>21964967591</v>
      </c>
      <c r="I124" s="23">
        <v>12189182293</v>
      </c>
      <c r="K124" s="23">
        <v>6157463</v>
      </c>
      <c r="M124" s="23">
        <v>34154149884</v>
      </c>
      <c r="O124" s="23">
        <v>12101239129</v>
      </c>
      <c r="Q124" s="23">
        <v>22052910755</v>
      </c>
    </row>
    <row r="125" spans="1:17" ht="18.75" x14ac:dyDescent="0.45">
      <c r="A125" s="30" t="s">
        <v>136</v>
      </c>
      <c r="C125" s="23">
        <v>15331711</v>
      </c>
      <c r="E125" s="23">
        <v>40908286394</v>
      </c>
      <c r="G125" s="23">
        <v>39056180363</v>
      </c>
      <c r="I125" s="23">
        <v>1852106031</v>
      </c>
      <c r="K125" s="23">
        <v>15331711</v>
      </c>
      <c r="M125" s="23">
        <v>40908286394</v>
      </c>
      <c r="O125" s="23">
        <v>33176446188</v>
      </c>
      <c r="Q125" s="23">
        <v>7731840206</v>
      </c>
    </row>
    <row r="126" spans="1:17" ht="18.75" x14ac:dyDescent="0.45">
      <c r="A126" s="30" t="s">
        <v>137</v>
      </c>
      <c r="C126" s="23">
        <v>5065914</v>
      </c>
      <c r="E126" s="23">
        <v>16362085848</v>
      </c>
      <c r="G126" s="23">
        <v>15002143346</v>
      </c>
      <c r="I126" s="23">
        <v>1359942502</v>
      </c>
      <c r="K126" s="23">
        <v>5065914</v>
      </c>
      <c r="M126" s="23">
        <v>16362085848</v>
      </c>
      <c r="O126" s="23">
        <v>18707892280</v>
      </c>
      <c r="Q126" s="23">
        <v>-2345806432</v>
      </c>
    </row>
    <row r="127" spans="1:17" ht="18.75" x14ac:dyDescent="0.45">
      <c r="A127" s="30" t="s">
        <v>138</v>
      </c>
      <c r="C127" s="23">
        <v>10180289</v>
      </c>
      <c r="E127" s="23">
        <v>36688994369</v>
      </c>
      <c r="G127" s="23">
        <v>34138196599</v>
      </c>
      <c r="I127" s="23">
        <v>2550797770</v>
      </c>
      <c r="K127" s="23">
        <v>10180289</v>
      </c>
      <c r="M127" s="23">
        <v>36688994369</v>
      </c>
      <c r="O127" s="23">
        <v>30291452762</v>
      </c>
      <c r="Q127" s="23">
        <v>6397541607</v>
      </c>
    </row>
    <row r="128" spans="1:17" ht="18.75" x14ac:dyDescent="0.45">
      <c r="A128" s="30" t="s">
        <v>139</v>
      </c>
      <c r="C128" s="23">
        <v>4489661</v>
      </c>
      <c r="E128" s="23">
        <v>20225499879</v>
      </c>
      <c r="G128" s="23">
        <v>22380743848</v>
      </c>
      <c r="I128" s="23">
        <v>-2155243969</v>
      </c>
      <c r="K128" s="23">
        <v>4489661</v>
      </c>
      <c r="M128" s="23">
        <v>20225499879</v>
      </c>
      <c r="O128" s="23">
        <v>16992352373</v>
      </c>
      <c r="Q128" s="23">
        <v>3233147506</v>
      </c>
    </row>
    <row r="129" spans="1:17" ht="18.75" x14ac:dyDescent="0.45">
      <c r="A129" s="30" t="s">
        <v>140</v>
      </c>
      <c r="C129" s="23">
        <v>2038313</v>
      </c>
      <c r="E129" s="23">
        <v>32704744111</v>
      </c>
      <c r="G129" s="23">
        <v>41751315839</v>
      </c>
      <c r="I129" s="23">
        <v>-9046571728</v>
      </c>
      <c r="K129" s="23">
        <v>2038313</v>
      </c>
      <c r="M129" s="23">
        <v>32704744111</v>
      </c>
      <c r="O129" s="23">
        <v>35612740710</v>
      </c>
      <c r="Q129" s="23">
        <v>-2907996599</v>
      </c>
    </row>
    <row r="130" spans="1:17" ht="18.75" x14ac:dyDescent="0.45">
      <c r="A130" s="30" t="s">
        <v>141</v>
      </c>
      <c r="C130" s="23">
        <v>6779392</v>
      </c>
      <c r="E130" s="23">
        <v>32000278585</v>
      </c>
      <c r="G130" s="23">
        <v>29336391615</v>
      </c>
      <c r="I130" s="23">
        <v>2663886970</v>
      </c>
      <c r="K130" s="23">
        <v>6779392</v>
      </c>
      <c r="M130" s="23">
        <v>32000278585</v>
      </c>
      <c r="O130" s="23">
        <v>20686911631</v>
      </c>
      <c r="Q130" s="23">
        <v>11313366954</v>
      </c>
    </row>
    <row r="131" spans="1:17" ht="18.75" x14ac:dyDescent="0.45">
      <c r="A131" s="30" t="s">
        <v>142</v>
      </c>
      <c r="C131" s="23">
        <v>2789045</v>
      </c>
      <c r="E131" s="23">
        <v>15885367816</v>
      </c>
      <c r="G131" s="23">
        <v>15285122122</v>
      </c>
      <c r="I131" s="23">
        <v>600245694</v>
      </c>
      <c r="K131" s="23">
        <v>2789045</v>
      </c>
      <c r="M131" s="23">
        <v>15885367816</v>
      </c>
      <c r="O131" s="23">
        <v>9704409400</v>
      </c>
      <c r="Q131" s="23">
        <v>6180958416</v>
      </c>
    </row>
    <row r="132" spans="1:17" ht="18.75" x14ac:dyDescent="0.45">
      <c r="A132" s="30" t="s">
        <v>143</v>
      </c>
      <c r="C132" s="23">
        <v>2055254</v>
      </c>
      <c r="E132" s="23">
        <v>33894277655</v>
      </c>
      <c r="G132" s="23">
        <v>30182325292</v>
      </c>
      <c r="I132" s="23">
        <v>3711952363</v>
      </c>
      <c r="K132" s="23">
        <v>2055254</v>
      </c>
      <c r="M132" s="23">
        <v>33894277655</v>
      </c>
      <c r="O132" s="23">
        <v>27740309965</v>
      </c>
      <c r="Q132" s="23">
        <v>6153967690</v>
      </c>
    </row>
    <row r="133" spans="1:17" ht="37.5" x14ac:dyDescent="0.45">
      <c r="A133" s="30" t="s">
        <v>144</v>
      </c>
      <c r="C133" s="23">
        <v>2116099</v>
      </c>
      <c r="E133" s="23">
        <v>24126030464</v>
      </c>
      <c r="G133" s="23">
        <v>19970818305</v>
      </c>
      <c r="I133" s="23">
        <v>4155212159</v>
      </c>
      <c r="K133" s="23">
        <v>2116099</v>
      </c>
      <c r="M133" s="23">
        <v>24126030464</v>
      </c>
      <c r="O133" s="23">
        <v>19380542164</v>
      </c>
      <c r="Q133" s="23">
        <v>4745488300</v>
      </c>
    </row>
    <row r="134" spans="1:17" ht="37.5" x14ac:dyDescent="0.45">
      <c r="A134" s="30" t="s">
        <v>145</v>
      </c>
      <c r="C134" s="23">
        <v>304021</v>
      </c>
      <c r="E134" s="23">
        <v>10024524594</v>
      </c>
      <c r="G134" s="23">
        <v>13202947978</v>
      </c>
      <c r="I134" s="23">
        <v>-3178423384</v>
      </c>
      <c r="K134" s="23">
        <v>304021</v>
      </c>
      <c r="M134" s="23">
        <v>10024524594</v>
      </c>
      <c r="O134" s="23">
        <v>7764263692</v>
      </c>
      <c r="Q134" s="23">
        <v>2260260902</v>
      </c>
    </row>
    <row r="135" spans="1:17" ht="18.75" x14ac:dyDescent="0.45">
      <c r="A135" s="30" t="s">
        <v>146</v>
      </c>
      <c r="C135" s="23">
        <v>5167900</v>
      </c>
      <c r="E135" s="23">
        <v>33998322642</v>
      </c>
      <c r="G135" s="23">
        <v>32283079982</v>
      </c>
      <c r="I135" s="23">
        <v>1715242660</v>
      </c>
      <c r="K135" s="23">
        <v>5167900</v>
      </c>
      <c r="M135" s="23">
        <v>33998322642</v>
      </c>
      <c r="O135" s="23">
        <v>28418731559</v>
      </c>
      <c r="Q135" s="23">
        <v>5579591083</v>
      </c>
    </row>
    <row r="136" spans="1:17" ht="18.75" x14ac:dyDescent="0.45">
      <c r="A136" s="30" t="s">
        <v>147</v>
      </c>
      <c r="C136" s="23">
        <v>19600000</v>
      </c>
      <c r="E136" s="23">
        <v>35668534328</v>
      </c>
      <c r="G136" s="23">
        <v>39103410911</v>
      </c>
      <c r="I136" s="23">
        <v>-3434876583</v>
      </c>
      <c r="K136" s="23">
        <v>19600000</v>
      </c>
      <c r="M136" s="23">
        <v>35668534328</v>
      </c>
      <c r="O136" s="23">
        <v>39331346955</v>
      </c>
      <c r="Q136" s="23">
        <v>-3662812627</v>
      </c>
    </row>
    <row r="137" spans="1:17" ht="18.75" x14ac:dyDescent="0.45">
      <c r="A137" s="30" t="s">
        <v>148</v>
      </c>
      <c r="C137" s="23">
        <v>3915801</v>
      </c>
      <c r="E137" s="23">
        <v>14287100643</v>
      </c>
      <c r="G137" s="23">
        <v>15992849129</v>
      </c>
      <c r="I137" s="23">
        <v>-1705748486</v>
      </c>
      <c r="K137" s="23">
        <v>3915801</v>
      </c>
      <c r="M137" s="23">
        <v>14287100643</v>
      </c>
      <c r="O137" s="23">
        <v>13026834643</v>
      </c>
      <c r="Q137" s="23">
        <v>1260266000</v>
      </c>
    </row>
    <row r="138" spans="1:17" ht="18.75" x14ac:dyDescent="0.45">
      <c r="A138" s="30" t="s">
        <v>149</v>
      </c>
      <c r="C138" s="23">
        <v>540150</v>
      </c>
      <c r="E138" s="23">
        <v>10242475380</v>
      </c>
      <c r="G138" s="23">
        <v>8580953994</v>
      </c>
      <c r="I138" s="23">
        <v>1661521386</v>
      </c>
      <c r="K138" s="23">
        <v>540150</v>
      </c>
      <c r="M138" s="23">
        <v>10242475380</v>
      </c>
      <c r="O138" s="23">
        <v>8499361036</v>
      </c>
      <c r="Q138" s="23">
        <v>1743114344</v>
      </c>
    </row>
    <row r="139" spans="1:17" ht="18.75" x14ac:dyDescent="0.45">
      <c r="A139" s="30" t="s">
        <v>150</v>
      </c>
      <c r="C139" s="23">
        <v>8858150</v>
      </c>
      <c r="E139" s="23">
        <v>20805164277</v>
      </c>
      <c r="G139" s="23">
        <v>16550960850</v>
      </c>
      <c r="I139" s="23">
        <v>4254203427</v>
      </c>
      <c r="K139" s="23">
        <v>8858150</v>
      </c>
      <c r="M139" s="23">
        <v>20805164277</v>
      </c>
      <c r="O139" s="23">
        <v>11344964033</v>
      </c>
      <c r="Q139" s="23">
        <v>9460200244</v>
      </c>
    </row>
    <row r="140" spans="1:17" ht="18.75" x14ac:dyDescent="0.45">
      <c r="A140" s="30" t="s">
        <v>151</v>
      </c>
      <c r="C140" s="23">
        <v>5800000</v>
      </c>
      <c r="E140" s="23">
        <v>31308103040</v>
      </c>
      <c r="G140" s="23">
        <v>27891327218</v>
      </c>
      <c r="I140" s="23">
        <v>3416775822</v>
      </c>
      <c r="K140" s="23">
        <v>5800000</v>
      </c>
      <c r="M140" s="23">
        <v>31308103040</v>
      </c>
      <c r="O140" s="23">
        <v>21338456733</v>
      </c>
      <c r="Q140" s="23">
        <v>9969646307</v>
      </c>
    </row>
    <row r="141" spans="1:17" ht="18.75" x14ac:dyDescent="0.45">
      <c r="A141" s="30" t="s">
        <v>152</v>
      </c>
      <c r="C141" s="23">
        <v>4441456</v>
      </c>
      <c r="E141" s="23">
        <v>17487466227</v>
      </c>
      <c r="G141" s="23">
        <v>17073196614</v>
      </c>
      <c r="I141" s="23">
        <v>414269613</v>
      </c>
      <c r="K141" s="23">
        <v>4441456</v>
      </c>
      <c r="M141" s="23">
        <v>17487466227</v>
      </c>
      <c r="O141" s="23">
        <v>11625693660</v>
      </c>
      <c r="Q141" s="23">
        <v>5861772567</v>
      </c>
    </row>
    <row r="142" spans="1:17" ht="18.75" x14ac:dyDescent="0.45">
      <c r="A142" s="30" t="s">
        <v>153</v>
      </c>
      <c r="C142" s="23">
        <v>6186321</v>
      </c>
      <c r="E142" s="23">
        <v>29857667593</v>
      </c>
      <c r="G142" s="23">
        <v>24124307903</v>
      </c>
      <c r="I142" s="23">
        <v>5733359690</v>
      </c>
      <c r="K142" s="23">
        <v>6186321</v>
      </c>
      <c r="M142" s="23">
        <v>29857667593</v>
      </c>
      <c r="O142" s="23">
        <v>15165695990</v>
      </c>
      <c r="Q142" s="23">
        <v>14691971603</v>
      </c>
    </row>
    <row r="143" spans="1:17" ht="18.75" x14ac:dyDescent="0.45">
      <c r="A143" s="30" t="s">
        <v>154</v>
      </c>
      <c r="C143" s="23">
        <v>21209541</v>
      </c>
      <c r="E143" s="23">
        <v>26391171425</v>
      </c>
      <c r="G143" s="23">
        <v>29436054613</v>
      </c>
      <c r="I143" s="23">
        <v>-3044883188</v>
      </c>
      <c r="K143" s="23">
        <v>21209541</v>
      </c>
      <c r="M143" s="23">
        <v>26391171425</v>
      </c>
      <c r="O143" s="23">
        <v>23634258383</v>
      </c>
      <c r="Q143" s="23">
        <v>2756913042</v>
      </c>
    </row>
    <row r="144" spans="1:17" ht="18.75" x14ac:dyDescent="0.45">
      <c r="A144" s="30" t="s">
        <v>155</v>
      </c>
      <c r="C144" s="23">
        <v>1447708</v>
      </c>
      <c r="E144" s="23">
        <v>11520868082</v>
      </c>
      <c r="G144" s="23">
        <v>10314193619</v>
      </c>
      <c r="I144" s="23">
        <v>1206674463</v>
      </c>
      <c r="K144" s="23">
        <v>1447708</v>
      </c>
      <c r="M144" s="23">
        <v>11520868082</v>
      </c>
      <c r="O144" s="23">
        <v>7589659743</v>
      </c>
      <c r="Q144" s="23">
        <v>3931208339</v>
      </c>
    </row>
    <row r="145" spans="1:17" ht="18.75" x14ac:dyDescent="0.45">
      <c r="A145" s="30" t="s">
        <v>156</v>
      </c>
      <c r="C145" s="23">
        <v>3418121</v>
      </c>
      <c r="E145" s="23">
        <v>38054861935</v>
      </c>
      <c r="G145" s="23">
        <v>34836536653</v>
      </c>
      <c r="I145" s="23">
        <v>3218325282</v>
      </c>
      <c r="K145" s="23">
        <v>3418121</v>
      </c>
      <c r="M145" s="23">
        <v>38054861935</v>
      </c>
      <c r="O145" s="23">
        <v>32318508832</v>
      </c>
      <c r="Q145" s="23">
        <v>5736353103</v>
      </c>
    </row>
    <row r="146" spans="1:17" ht="18.75" x14ac:dyDescent="0.45">
      <c r="A146" s="30" t="s">
        <v>157</v>
      </c>
      <c r="C146" s="23">
        <v>5709272</v>
      </c>
      <c r="E146" s="23">
        <v>33480973425</v>
      </c>
      <c r="G146" s="23">
        <v>31389555532</v>
      </c>
      <c r="I146" s="23">
        <v>2091417893</v>
      </c>
      <c r="K146" s="23">
        <v>5709272</v>
      </c>
      <c r="M146" s="23">
        <v>33480973425</v>
      </c>
      <c r="O146" s="23">
        <v>30825838587</v>
      </c>
      <c r="Q146" s="23">
        <v>2655134838</v>
      </c>
    </row>
    <row r="147" spans="1:17" ht="18.75" x14ac:dyDescent="0.45">
      <c r="A147" s="30" t="s">
        <v>158</v>
      </c>
      <c r="C147" s="23">
        <v>241083</v>
      </c>
      <c r="E147" s="23">
        <v>3143343289</v>
      </c>
      <c r="G147" s="23">
        <v>2382625507</v>
      </c>
      <c r="I147" s="23">
        <v>760717782</v>
      </c>
      <c r="K147" s="23">
        <v>241083</v>
      </c>
      <c r="M147" s="23">
        <v>3143343289</v>
      </c>
      <c r="O147" s="23">
        <v>1966102194</v>
      </c>
      <c r="Q147" s="23">
        <v>1177241095</v>
      </c>
    </row>
    <row r="148" spans="1:17" ht="18.75" x14ac:dyDescent="0.45">
      <c r="A148" s="30" t="s">
        <v>159</v>
      </c>
      <c r="C148" s="23">
        <v>5849737</v>
      </c>
      <c r="E148" s="23">
        <v>22898825613</v>
      </c>
      <c r="G148" s="23">
        <v>23130491026</v>
      </c>
      <c r="I148" s="23">
        <v>-231665413</v>
      </c>
      <c r="K148" s="23">
        <v>5849737</v>
      </c>
      <c r="M148" s="23">
        <v>22898825613</v>
      </c>
      <c r="O148" s="23">
        <v>19361267899</v>
      </c>
      <c r="Q148" s="23">
        <v>3537557714</v>
      </c>
    </row>
    <row r="149" spans="1:17" ht="18.75" x14ac:dyDescent="0.45">
      <c r="A149" s="30" t="s">
        <v>160</v>
      </c>
      <c r="C149" s="23">
        <v>13197090</v>
      </c>
      <c r="E149" s="23">
        <v>35749558829</v>
      </c>
      <c r="G149" s="23">
        <v>34720758608</v>
      </c>
      <c r="I149" s="23">
        <v>1028800221</v>
      </c>
      <c r="K149" s="23">
        <v>13197090</v>
      </c>
      <c r="M149" s="23">
        <v>35749558829</v>
      </c>
      <c r="O149" s="23">
        <v>24751126792</v>
      </c>
      <c r="Q149" s="23">
        <v>10998432037</v>
      </c>
    </row>
    <row r="150" spans="1:17" ht="18.75" x14ac:dyDescent="0.45">
      <c r="A150" s="30" t="s">
        <v>161</v>
      </c>
      <c r="C150" s="23">
        <v>15865640</v>
      </c>
      <c r="E150" s="23">
        <v>62940508414</v>
      </c>
      <c r="G150" s="23">
        <v>64742288187</v>
      </c>
      <c r="I150" s="23">
        <v>-1801779773</v>
      </c>
      <c r="K150" s="23">
        <v>15865640</v>
      </c>
      <c r="M150" s="23">
        <v>62940508414</v>
      </c>
      <c r="O150" s="23">
        <v>65994166244</v>
      </c>
      <c r="Q150" s="23">
        <v>-3053657830</v>
      </c>
    </row>
    <row r="151" spans="1:17" ht="18.75" x14ac:dyDescent="0.45">
      <c r="A151" s="30" t="s">
        <v>162</v>
      </c>
      <c r="C151" s="23">
        <v>27177400</v>
      </c>
      <c r="E151" s="23">
        <v>43444350422</v>
      </c>
      <c r="G151" s="23">
        <v>45009350797</v>
      </c>
      <c r="I151" s="23">
        <v>-1565000375</v>
      </c>
      <c r="K151" s="23">
        <v>27177400</v>
      </c>
      <c r="M151" s="23">
        <v>43444350422</v>
      </c>
      <c r="O151" s="23">
        <v>39285434378</v>
      </c>
      <c r="Q151" s="23">
        <v>4158916044</v>
      </c>
    </row>
    <row r="152" spans="1:17" ht="18.75" x14ac:dyDescent="0.45">
      <c r="A152" s="30" t="s">
        <v>163</v>
      </c>
      <c r="C152" s="23">
        <v>3740260</v>
      </c>
      <c r="E152" s="23">
        <v>32696974032</v>
      </c>
      <c r="G152" s="23">
        <v>30026803511</v>
      </c>
      <c r="I152" s="23">
        <v>2670170521</v>
      </c>
      <c r="K152" s="23">
        <v>3740260</v>
      </c>
      <c r="M152" s="23">
        <v>32696974032</v>
      </c>
      <c r="O152" s="23">
        <v>30938624257</v>
      </c>
      <c r="Q152" s="23">
        <v>1758349775</v>
      </c>
    </row>
    <row r="153" spans="1:17" ht="18.75" x14ac:dyDescent="0.45">
      <c r="A153" s="30" t="s">
        <v>164</v>
      </c>
      <c r="C153" s="23">
        <v>862852</v>
      </c>
      <c r="E153" s="23">
        <v>13467745283</v>
      </c>
      <c r="G153" s="23">
        <v>12594439486</v>
      </c>
      <c r="I153" s="23">
        <v>873305797</v>
      </c>
      <c r="K153" s="23">
        <v>862852</v>
      </c>
      <c r="M153" s="23">
        <v>13467745283</v>
      </c>
      <c r="O153" s="23">
        <v>7777212626</v>
      </c>
      <c r="Q153" s="23">
        <v>5690532657</v>
      </c>
    </row>
    <row r="154" spans="1:17" ht="18.75" x14ac:dyDescent="0.45">
      <c r="A154" s="30" t="s">
        <v>165</v>
      </c>
      <c r="C154" s="23">
        <v>4684284</v>
      </c>
      <c r="E154" s="23">
        <v>41228420679</v>
      </c>
      <c r="G154" s="23">
        <v>42356177673</v>
      </c>
      <c r="I154" s="23">
        <v>-1127756994</v>
      </c>
      <c r="K154" s="23">
        <v>4684284</v>
      </c>
      <c r="M154" s="23">
        <v>41228420679</v>
      </c>
      <c r="O154" s="23">
        <v>29241648555</v>
      </c>
      <c r="Q154" s="23">
        <v>11986772124</v>
      </c>
    </row>
    <row r="155" spans="1:17" ht="18.75" x14ac:dyDescent="0.45">
      <c r="A155" s="30" t="s">
        <v>166</v>
      </c>
      <c r="C155" s="23">
        <v>881085</v>
      </c>
      <c r="E155" s="23">
        <v>11356822026</v>
      </c>
      <c r="G155" s="23">
        <v>11642006422</v>
      </c>
      <c r="I155" s="23">
        <v>-285184396</v>
      </c>
      <c r="K155" s="23">
        <v>881085</v>
      </c>
      <c r="M155" s="23">
        <v>11356822026</v>
      </c>
      <c r="O155" s="23">
        <v>9796435207</v>
      </c>
      <c r="Q155" s="23">
        <v>1560386819</v>
      </c>
    </row>
    <row r="156" spans="1:17" ht="18.75" x14ac:dyDescent="0.45">
      <c r="A156" s="30" t="s">
        <v>167</v>
      </c>
      <c r="C156" s="23">
        <v>5868843</v>
      </c>
      <c r="E156" s="23">
        <v>43093728643</v>
      </c>
      <c r="G156" s="23">
        <v>43295427613</v>
      </c>
      <c r="I156" s="23">
        <v>-201698970</v>
      </c>
      <c r="K156" s="23">
        <v>5868843</v>
      </c>
      <c r="M156" s="23">
        <v>43093728643</v>
      </c>
      <c r="O156" s="23">
        <v>47970608804</v>
      </c>
      <c r="Q156" s="23">
        <v>-4876880161</v>
      </c>
    </row>
    <row r="157" spans="1:17" ht="37.5" x14ac:dyDescent="0.45">
      <c r="A157" s="30" t="s">
        <v>168</v>
      </c>
      <c r="C157" s="23">
        <v>1764830</v>
      </c>
      <c r="E157" s="23">
        <v>22135014602</v>
      </c>
      <c r="G157" s="23">
        <v>22014714496</v>
      </c>
      <c r="I157" s="23">
        <v>120300106</v>
      </c>
      <c r="K157" s="23">
        <v>1764830</v>
      </c>
      <c r="M157" s="23">
        <v>22135014602</v>
      </c>
      <c r="O157" s="23">
        <v>16756051992</v>
      </c>
      <c r="Q157" s="23">
        <v>5378962610</v>
      </c>
    </row>
    <row r="158" spans="1:17" ht="18.75" x14ac:dyDescent="0.45">
      <c r="A158" s="30" t="s">
        <v>169</v>
      </c>
      <c r="C158" s="23">
        <v>3600000</v>
      </c>
      <c r="E158" s="23">
        <v>26755568280</v>
      </c>
      <c r="G158" s="23">
        <v>22190047532</v>
      </c>
      <c r="I158" s="23">
        <v>4565520748</v>
      </c>
      <c r="K158" s="23">
        <v>3600000</v>
      </c>
      <c r="M158" s="23">
        <v>26755568280</v>
      </c>
      <c r="O158" s="23">
        <v>19417906724</v>
      </c>
      <c r="Q158" s="23">
        <v>7337661556</v>
      </c>
    </row>
    <row r="159" spans="1:17" ht="18.75" x14ac:dyDescent="0.45">
      <c r="A159" s="30" t="s">
        <v>170</v>
      </c>
      <c r="C159" s="23">
        <v>9347896</v>
      </c>
      <c r="E159" s="23">
        <v>56303115157</v>
      </c>
      <c r="G159" s="23">
        <v>48355153645</v>
      </c>
      <c r="I159" s="23">
        <v>7947961512</v>
      </c>
      <c r="K159" s="23">
        <v>9347896</v>
      </c>
      <c r="M159" s="23">
        <v>56303115157</v>
      </c>
      <c r="O159" s="23">
        <v>41629848882</v>
      </c>
      <c r="Q159" s="23">
        <v>14673266275</v>
      </c>
    </row>
    <row r="160" spans="1:17" ht="18.75" x14ac:dyDescent="0.45">
      <c r="A160" s="30" t="s">
        <v>171</v>
      </c>
      <c r="C160" s="23">
        <v>2141672</v>
      </c>
      <c r="E160" s="23">
        <v>12559440734</v>
      </c>
      <c r="G160" s="23">
        <v>9894544172</v>
      </c>
      <c r="I160" s="23">
        <v>2664896562</v>
      </c>
      <c r="K160" s="23">
        <v>2141672</v>
      </c>
      <c r="M160" s="23">
        <v>12559440734</v>
      </c>
      <c r="O160" s="23">
        <v>5543199042</v>
      </c>
      <c r="Q160" s="23">
        <v>7016241692</v>
      </c>
    </row>
    <row r="161" spans="1:17" ht="18.75" x14ac:dyDescent="0.45">
      <c r="A161" s="30" t="s">
        <v>172</v>
      </c>
      <c r="C161" s="23">
        <v>9904132</v>
      </c>
      <c r="E161" s="23">
        <v>18131872295</v>
      </c>
      <c r="G161" s="23">
        <v>19373631866</v>
      </c>
      <c r="I161" s="23">
        <v>-1241759571</v>
      </c>
      <c r="K161" s="23">
        <v>9904132</v>
      </c>
      <c r="M161" s="23">
        <v>18131872295</v>
      </c>
      <c r="O161" s="23">
        <v>13725154759</v>
      </c>
      <c r="Q161" s="23">
        <v>4406717536</v>
      </c>
    </row>
    <row r="162" spans="1:17" ht="18.75" x14ac:dyDescent="0.45">
      <c r="A162" s="30" t="s">
        <v>173</v>
      </c>
      <c r="C162" s="23">
        <v>2451893</v>
      </c>
      <c r="E162" s="23">
        <v>17882108023</v>
      </c>
      <c r="G162" s="23">
        <v>18919712395</v>
      </c>
      <c r="I162" s="23">
        <v>-1037604372</v>
      </c>
      <c r="K162" s="23">
        <v>2451893</v>
      </c>
      <c r="M162" s="23">
        <v>17882108023</v>
      </c>
      <c r="O162" s="23">
        <v>14817650768</v>
      </c>
      <c r="Q162" s="23">
        <v>3064457255</v>
      </c>
    </row>
    <row r="163" spans="1:17" ht="18.75" x14ac:dyDescent="0.45">
      <c r="A163" s="30" t="s">
        <v>174</v>
      </c>
      <c r="C163" s="23">
        <v>3867933</v>
      </c>
      <c r="E163" s="23">
        <v>28516591713</v>
      </c>
      <c r="G163" s="23">
        <v>27345724140</v>
      </c>
      <c r="I163" s="23">
        <v>1170867573</v>
      </c>
      <c r="K163" s="23">
        <v>3867933</v>
      </c>
      <c r="M163" s="23">
        <v>28516591713</v>
      </c>
      <c r="O163" s="23">
        <v>21817444904</v>
      </c>
      <c r="Q163" s="23">
        <v>6699146809</v>
      </c>
    </row>
    <row r="164" spans="1:17" ht="18.75" x14ac:dyDescent="0.45">
      <c r="A164" s="30" t="s">
        <v>175</v>
      </c>
      <c r="C164" s="23">
        <v>267500</v>
      </c>
      <c r="E164" s="23">
        <v>11161425061</v>
      </c>
      <c r="G164" s="23">
        <v>7883337082</v>
      </c>
      <c r="I164" s="23">
        <v>3278087979</v>
      </c>
      <c r="K164" s="23">
        <v>267500</v>
      </c>
      <c r="M164" s="23">
        <v>11161425061</v>
      </c>
      <c r="O164" s="23">
        <v>7375699925</v>
      </c>
      <c r="Q164" s="23">
        <v>3785725136</v>
      </c>
    </row>
    <row r="165" spans="1:17" ht="18.75" x14ac:dyDescent="0.45">
      <c r="A165" s="30" t="s">
        <v>176</v>
      </c>
      <c r="C165" s="23">
        <v>4718151</v>
      </c>
      <c r="E165" s="23">
        <v>21254825805</v>
      </c>
      <c r="G165" s="23">
        <v>18948376410</v>
      </c>
      <c r="I165" s="23">
        <v>2306449395</v>
      </c>
      <c r="K165" s="23">
        <v>4718151</v>
      </c>
      <c r="M165" s="23">
        <v>21254825805</v>
      </c>
      <c r="O165" s="23">
        <v>16190149261</v>
      </c>
      <c r="Q165" s="23">
        <v>5064676544</v>
      </c>
    </row>
    <row r="166" spans="1:17" ht="37.5" x14ac:dyDescent="0.45">
      <c r="A166" s="30" t="s">
        <v>177</v>
      </c>
      <c r="C166" s="23">
        <v>2513000</v>
      </c>
      <c r="E166" s="23">
        <v>18302836903</v>
      </c>
      <c r="G166" s="23">
        <v>16629652843</v>
      </c>
      <c r="I166" s="23">
        <v>1673184060</v>
      </c>
      <c r="K166" s="23">
        <v>2513000</v>
      </c>
      <c r="M166" s="23">
        <v>18302836903</v>
      </c>
      <c r="O166" s="23">
        <v>16629652843</v>
      </c>
      <c r="Q166" s="23">
        <v>1673184060</v>
      </c>
    </row>
    <row r="167" spans="1:17" ht="37.5" x14ac:dyDescent="0.45">
      <c r="A167" s="30" t="s">
        <v>178</v>
      </c>
      <c r="C167" s="23">
        <v>700000</v>
      </c>
      <c r="E167" s="23">
        <v>12988814300</v>
      </c>
      <c r="G167" s="23">
        <v>13412513590</v>
      </c>
      <c r="I167" s="23">
        <v>-423699290</v>
      </c>
      <c r="K167" s="23">
        <v>700000</v>
      </c>
      <c r="M167" s="23">
        <v>12988814300</v>
      </c>
      <c r="O167" s="23">
        <v>9581647950</v>
      </c>
      <c r="Q167" s="23">
        <v>3407166350</v>
      </c>
    </row>
    <row r="168" spans="1:17" ht="18.75" x14ac:dyDescent="0.45">
      <c r="A168" s="30" t="s">
        <v>179</v>
      </c>
      <c r="C168" s="23">
        <v>10026316</v>
      </c>
      <c r="E168" s="23">
        <v>48052764748</v>
      </c>
      <c r="G168" s="23">
        <v>44002269303</v>
      </c>
      <c r="I168" s="23">
        <v>4050495445</v>
      </c>
      <c r="K168" s="23">
        <v>10026316</v>
      </c>
      <c r="M168" s="23">
        <v>48052764748</v>
      </c>
      <c r="O168" s="23">
        <v>42396905033</v>
      </c>
      <c r="Q168" s="23">
        <v>5655859715</v>
      </c>
    </row>
    <row r="169" spans="1:17" ht="18.75" x14ac:dyDescent="0.45">
      <c r="A169" s="30" t="s">
        <v>180</v>
      </c>
      <c r="C169" s="23">
        <v>1293618</v>
      </c>
      <c r="E169" s="23">
        <v>20371022942</v>
      </c>
      <c r="G169" s="23">
        <v>15326955560</v>
      </c>
      <c r="I169" s="23">
        <v>5044067382</v>
      </c>
      <c r="K169" s="23">
        <v>1293618</v>
      </c>
      <c r="M169" s="23">
        <v>20371022942</v>
      </c>
      <c r="O169" s="23">
        <v>9058195859</v>
      </c>
      <c r="Q169" s="23">
        <v>11312827083</v>
      </c>
    </row>
    <row r="170" spans="1:17" ht="18.75" x14ac:dyDescent="0.45">
      <c r="A170" s="30" t="s">
        <v>181</v>
      </c>
      <c r="C170" s="23">
        <v>7488728</v>
      </c>
      <c r="E170" s="23">
        <v>44287807190</v>
      </c>
      <c r="G170" s="23">
        <v>41966093538</v>
      </c>
      <c r="I170" s="23">
        <v>2321713652</v>
      </c>
      <c r="K170" s="23">
        <v>7488728</v>
      </c>
      <c r="M170" s="23">
        <v>44287807190</v>
      </c>
      <c r="O170" s="23">
        <v>36841867783</v>
      </c>
      <c r="Q170" s="23">
        <v>7445939407</v>
      </c>
    </row>
    <row r="171" spans="1:17" ht="18.75" x14ac:dyDescent="0.45">
      <c r="A171" s="30" t="s">
        <v>182</v>
      </c>
      <c r="C171" s="23">
        <v>2670314</v>
      </c>
      <c r="E171" s="23">
        <v>29914802218</v>
      </c>
      <c r="G171" s="23">
        <v>24843329686</v>
      </c>
      <c r="I171" s="23">
        <v>5071472532</v>
      </c>
      <c r="K171" s="23">
        <v>2670314</v>
      </c>
      <c r="M171" s="23">
        <v>29914802218</v>
      </c>
      <c r="O171" s="23">
        <v>15306480320</v>
      </c>
      <c r="Q171" s="23">
        <v>14608321898</v>
      </c>
    </row>
    <row r="172" spans="1:17" ht="18.75" x14ac:dyDescent="0.45">
      <c r="A172" s="30" t="s">
        <v>183</v>
      </c>
      <c r="C172" s="23">
        <v>999999</v>
      </c>
      <c r="E172" s="23">
        <v>4597182313</v>
      </c>
      <c r="G172" s="23">
        <v>4651757108</v>
      </c>
      <c r="I172" s="23">
        <v>-54574795</v>
      </c>
      <c r="K172" s="23">
        <v>999999</v>
      </c>
      <c r="M172" s="23">
        <v>4597182313</v>
      </c>
      <c r="O172" s="23">
        <v>3575594274</v>
      </c>
      <c r="Q172" s="23">
        <v>1021588039</v>
      </c>
    </row>
    <row r="173" spans="1:17" ht="18.75" x14ac:dyDescent="0.45">
      <c r="A173" s="30" t="s">
        <v>184</v>
      </c>
      <c r="C173" s="23">
        <v>1386071</v>
      </c>
      <c r="E173" s="23">
        <v>36570733886</v>
      </c>
      <c r="G173" s="23">
        <v>26227219825</v>
      </c>
      <c r="I173" s="23">
        <v>10343514061</v>
      </c>
      <c r="K173" s="23">
        <v>1386071</v>
      </c>
      <c r="M173" s="23">
        <v>36570733886</v>
      </c>
      <c r="O173" s="23">
        <v>18124534985</v>
      </c>
      <c r="Q173" s="23">
        <v>18446198901</v>
      </c>
    </row>
    <row r="174" spans="1:17" ht="18.75" x14ac:dyDescent="0.45">
      <c r="A174" s="30" t="s">
        <v>185</v>
      </c>
      <c r="C174" s="23">
        <v>12155401</v>
      </c>
      <c r="E174" s="23">
        <v>36678838281</v>
      </c>
      <c r="G174" s="23">
        <v>41532263935</v>
      </c>
      <c r="I174" s="23">
        <v>-4853425654</v>
      </c>
      <c r="K174" s="23">
        <v>12155401</v>
      </c>
      <c r="M174" s="23">
        <v>36678838281</v>
      </c>
      <c r="O174" s="23">
        <v>40825655290</v>
      </c>
      <c r="Q174" s="23">
        <v>-4146817009</v>
      </c>
    </row>
    <row r="175" spans="1:17" ht="18.75" x14ac:dyDescent="0.45">
      <c r="A175" s="30" t="s">
        <v>186</v>
      </c>
      <c r="C175" s="23">
        <v>8601572</v>
      </c>
      <c r="E175" s="23">
        <v>18964951867</v>
      </c>
      <c r="G175" s="23">
        <v>20457794556</v>
      </c>
      <c r="I175" s="23">
        <v>-1492842689</v>
      </c>
      <c r="K175" s="23">
        <v>8601572</v>
      </c>
      <c r="M175" s="23">
        <v>18964951867</v>
      </c>
      <c r="O175" s="23">
        <v>13960719368</v>
      </c>
      <c r="Q175" s="23">
        <v>5004232499</v>
      </c>
    </row>
    <row r="176" spans="1:17" ht="18.75" x14ac:dyDescent="0.45">
      <c r="A176" s="30" t="s">
        <v>187</v>
      </c>
      <c r="C176" s="23">
        <v>1145414</v>
      </c>
      <c r="E176" s="23">
        <v>17025668048</v>
      </c>
      <c r="G176" s="23">
        <v>17298041267</v>
      </c>
      <c r="I176" s="23">
        <v>-272373219</v>
      </c>
      <c r="K176" s="23">
        <v>1145414</v>
      </c>
      <c r="M176" s="23">
        <v>17025668048</v>
      </c>
      <c r="O176" s="23">
        <v>14519339942</v>
      </c>
      <c r="Q176" s="23">
        <v>2506328106</v>
      </c>
    </row>
    <row r="177" spans="1:17" ht="18.75" x14ac:dyDescent="0.45">
      <c r="A177" s="30" t="s">
        <v>188</v>
      </c>
      <c r="C177" s="23">
        <v>604777</v>
      </c>
      <c r="E177" s="23">
        <v>38940623568</v>
      </c>
      <c r="G177" s="23">
        <v>37513468883</v>
      </c>
      <c r="I177" s="23">
        <v>1427154685</v>
      </c>
      <c r="K177" s="23">
        <v>604777</v>
      </c>
      <c r="M177" s="23">
        <v>38940623568</v>
      </c>
      <c r="O177" s="23">
        <v>37513468883</v>
      </c>
      <c r="Q177" s="23">
        <v>1427154685</v>
      </c>
    </row>
    <row r="178" spans="1:17" ht="37.5" x14ac:dyDescent="0.45">
      <c r="A178" s="30" t="s">
        <v>189</v>
      </c>
      <c r="C178" s="23">
        <v>995841</v>
      </c>
      <c r="E178" s="23">
        <v>20355748871</v>
      </c>
      <c r="G178" s="23">
        <v>21150558343</v>
      </c>
      <c r="I178" s="23">
        <v>-794809472</v>
      </c>
      <c r="K178" s="23">
        <v>995841</v>
      </c>
      <c r="M178" s="23">
        <v>20355748871</v>
      </c>
      <c r="O178" s="23">
        <v>19224197881</v>
      </c>
      <c r="Q178" s="23">
        <v>1131550990</v>
      </c>
    </row>
    <row r="179" spans="1:17" ht="18.75" x14ac:dyDescent="0.45">
      <c r="A179" s="30" t="s">
        <v>190</v>
      </c>
      <c r="C179" s="23">
        <v>823913</v>
      </c>
      <c r="E179" s="23">
        <v>27444957200</v>
      </c>
      <c r="G179" s="23">
        <v>33684954676</v>
      </c>
      <c r="I179" s="23">
        <v>-6239997476</v>
      </c>
      <c r="K179" s="23">
        <v>823913</v>
      </c>
      <c r="M179" s="23">
        <v>27444957200</v>
      </c>
      <c r="O179" s="23">
        <v>30505344457</v>
      </c>
      <c r="Q179" s="23">
        <v>-3060387257</v>
      </c>
    </row>
    <row r="180" spans="1:17" ht="18.75" x14ac:dyDescent="0.45">
      <c r="A180" s="30" t="s">
        <v>191</v>
      </c>
      <c r="C180" s="23">
        <v>10734418</v>
      </c>
      <c r="E180" s="23">
        <v>43734816536</v>
      </c>
      <c r="G180" s="23">
        <v>41163872982</v>
      </c>
      <c r="I180" s="23">
        <v>2570943554</v>
      </c>
      <c r="K180" s="23">
        <v>10734418</v>
      </c>
      <c r="M180" s="23">
        <v>43734816536</v>
      </c>
      <c r="O180" s="23">
        <v>37632275557</v>
      </c>
      <c r="Q180" s="23">
        <v>6102540979</v>
      </c>
    </row>
    <row r="181" spans="1:17" ht="18.75" x14ac:dyDescent="0.45">
      <c r="A181" s="30" t="s">
        <v>192</v>
      </c>
      <c r="C181" s="23">
        <v>1842980</v>
      </c>
      <c r="E181" s="23">
        <v>33136655815</v>
      </c>
      <c r="G181" s="23">
        <v>32951845579</v>
      </c>
      <c r="I181" s="23">
        <v>184810236</v>
      </c>
      <c r="K181" s="23">
        <v>1842980</v>
      </c>
      <c r="M181" s="23">
        <v>33136655815</v>
      </c>
      <c r="O181" s="23">
        <v>33172875317</v>
      </c>
      <c r="Q181" s="23">
        <v>-36219502</v>
      </c>
    </row>
    <row r="182" spans="1:17" ht="18.75" x14ac:dyDescent="0.45">
      <c r="A182" s="30" t="s">
        <v>193</v>
      </c>
      <c r="C182" s="23">
        <v>3052977</v>
      </c>
      <c r="E182" s="23">
        <v>24325901227</v>
      </c>
      <c r="G182" s="23">
        <v>18933609299</v>
      </c>
      <c r="I182" s="23">
        <v>5392291928</v>
      </c>
      <c r="K182" s="23">
        <v>3052977</v>
      </c>
      <c r="M182" s="23">
        <v>24325901227</v>
      </c>
      <c r="O182" s="23">
        <v>9377372255</v>
      </c>
      <c r="Q182" s="23">
        <v>14948528972</v>
      </c>
    </row>
    <row r="183" spans="1:17" ht="18.75" x14ac:dyDescent="0.45">
      <c r="A183" s="30" t="s">
        <v>194</v>
      </c>
      <c r="C183" s="23">
        <v>5265617</v>
      </c>
      <c r="E183" s="23">
        <v>47442217128</v>
      </c>
      <c r="G183" s="23">
        <v>33805192160</v>
      </c>
      <c r="I183" s="23">
        <v>13637024968</v>
      </c>
      <c r="K183" s="23">
        <v>5265617</v>
      </c>
      <c r="M183" s="23">
        <v>47442217128</v>
      </c>
      <c r="O183" s="23">
        <v>16236225789</v>
      </c>
      <c r="Q183" s="23">
        <v>31205991339</v>
      </c>
    </row>
    <row r="184" spans="1:17" ht="18.75" x14ac:dyDescent="0.45">
      <c r="A184" s="30" t="s">
        <v>195</v>
      </c>
      <c r="C184" s="23">
        <v>2341914</v>
      </c>
      <c r="E184" s="23">
        <v>49822507942</v>
      </c>
      <c r="G184" s="23">
        <v>50670291004</v>
      </c>
      <c r="I184" s="23">
        <v>-847783062</v>
      </c>
      <c r="K184" s="23">
        <v>2341914</v>
      </c>
      <c r="M184" s="23">
        <v>49822507942</v>
      </c>
      <c r="O184" s="23">
        <v>39772331410</v>
      </c>
      <c r="Q184" s="23">
        <v>10050176532</v>
      </c>
    </row>
    <row r="185" spans="1:17" ht="18.75" x14ac:dyDescent="0.45">
      <c r="A185" s="30" t="s">
        <v>196</v>
      </c>
      <c r="C185" s="23">
        <v>1035048</v>
      </c>
      <c r="E185" s="23">
        <v>38462913107</v>
      </c>
      <c r="G185" s="23">
        <v>27268099946</v>
      </c>
      <c r="I185" s="23">
        <v>11194813161</v>
      </c>
      <c r="K185" s="23">
        <v>1035048</v>
      </c>
      <c r="M185" s="23">
        <v>38462913107</v>
      </c>
      <c r="O185" s="23">
        <v>19458637507</v>
      </c>
      <c r="Q185" s="23">
        <v>19004275600</v>
      </c>
    </row>
    <row r="186" spans="1:17" ht="18.75" x14ac:dyDescent="0.45">
      <c r="A186" s="30" t="s">
        <v>197</v>
      </c>
      <c r="C186" s="23">
        <v>3600000</v>
      </c>
      <c r="E186" s="23">
        <v>33042591000</v>
      </c>
      <c r="G186" s="23">
        <v>32247398515</v>
      </c>
      <c r="I186" s="23">
        <v>795192485</v>
      </c>
      <c r="K186" s="23">
        <v>3600000</v>
      </c>
      <c r="M186" s="23">
        <v>33042591000</v>
      </c>
      <c r="O186" s="23">
        <v>26137086840</v>
      </c>
      <c r="Q186" s="23">
        <v>6905504160</v>
      </c>
    </row>
    <row r="187" spans="1:17" ht="18.75" x14ac:dyDescent="0.45">
      <c r="A187" s="30" t="s">
        <v>198</v>
      </c>
      <c r="C187" s="23">
        <v>1350000</v>
      </c>
      <c r="E187" s="23">
        <v>42598151100</v>
      </c>
      <c r="G187" s="23">
        <v>37823945213</v>
      </c>
      <c r="I187" s="23">
        <v>4774205887</v>
      </c>
      <c r="K187" s="23">
        <v>1350000</v>
      </c>
      <c r="M187" s="23">
        <v>42598151100</v>
      </c>
      <c r="O187" s="23">
        <v>37777127510</v>
      </c>
      <c r="Q187" s="23">
        <v>4821023590</v>
      </c>
    </row>
    <row r="188" spans="1:17" ht="18.75" x14ac:dyDescent="0.45">
      <c r="A188" s="30" t="s">
        <v>199</v>
      </c>
      <c r="C188" s="23">
        <v>487887</v>
      </c>
      <c r="E188" s="23">
        <v>12407883686</v>
      </c>
      <c r="G188" s="23">
        <v>13550396581</v>
      </c>
      <c r="I188" s="23">
        <v>-1142512895</v>
      </c>
      <c r="K188" s="23">
        <v>487887</v>
      </c>
      <c r="M188" s="23">
        <v>12407883686</v>
      </c>
      <c r="O188" s="23">
        <v>9859579712</v>
      </c>
      <c r="Q188" s="23">
        <v>2548303974</v>
      </c>
    </row>
    <row r="189" spans="1:17" ht="18.75" x14ac:dyDescent="0.45">
      <c r="A189" s="30" t="s">
        <v>200</v>
      </c>
      <c r="C189" s="23">
        <v>2067558</v>
      </c>
      <c r="E189" s="23">
        <v>19941316549</v>
      </c>
      <c r="G189" s="23">
        <v>17417878344</v>
      </c>
      <c r="I189" s="23">
        <v>2523438205</v>
      </c>
      <c r="K189" s="23">
        <v>2067558</v>
      </c>
      <c r="M189" s="23">
        <v>19941316549</v>
      </c>
      <c r="O189" s="23">
        <v>13646897589</v>
      </c>
      <c r="Q189" s="23">
        <v>6294418960</v>
      </c>
    </row>
    <row r="190" spans="1:17" ht="18.75" x14ac:dyDescent="0.45">
      <c r="A190" s="30" t="s">
        <v>201</v>
      </c>
      <c r="C190" s="23">
        <v>5276925</v>
      </c>
      <c r="E190" s="23">
        <v>34296680122</v>
      </c>
      <c r="G190" s="23">
        <v>39305565412</v>
      </c>
      <c r="I190" s="23">
        <v>-5008885290</v>
      </c>
      <c r="K190" s="23">
        <v>5276925</v>
      </c>
      <c r="M190" s="23">
        <v>34296680122</v>
      </c>
      <c r="O190" s="23">
        <v>38556483882</v>
      </c>
      <c r="Q190" s="23">
        <v>-4259803760</v>
      </c>
    </row>
    <row r="191" spans="1:17" ht="18.75" x14ac:dyDescent="0.45">
      <c r="A191" s="30" t="s">
        <v>202</v>
      </c>
      <c r="C191" s="23">
        <v>1328772</v>
      </c>
      <c r="E191" s="23">
        <v>24919661197</v>
      </c>
      <c r="G191" s="23">
        <v>28545439545</v>
      </c>
      <c r="I191" s="23">
        <v>-3625778348</v>
      </c>
      <c r="K191" s="23">
        <v>1328772</v>
      </c>
      <c r="M191" s="23">
        <v>24919661197</v>
      </c>
      <c r="O191" s="23">
        <v>26712160982</v>
      </c>
      <c r="Q191" s="23">
        <v>-1792499785</v>
      </c>
    </row>
    <row r="192" spans="1:17" ht="18.75" x14ac:dyDescent="0.45">
      <c r="A192" s="30" t="s">
        <v>203</v>
      </c>
      <c r="C192" s="23">
        <v>7233345</v>
      </c>
      <c r="E192" s="23">
        <v>28788676716</v>
      </c>
      <c r="G192" s="23">
        <v>33031375329</v>
      </c>
      <c r="I192" s="23">
        <v>-4242698613</v>
      </c>
      <c r="K192" s="23">
        <v>7233345</v>
      </c>
      <c r="M192" s="23">
        <v>28788676716</v>
      </c>
      <c r="O192" s="23">
        <v>25506587247</v>
      </c>
      <c r="Q192" s="23">
        <v>3282089469</v>
      </c>
    </row>
    <row r="193" spans="1:17" ht="18.75" x14ac:dyDescent="0.45">
      <c r="A193" s="30" t="s">
        <v>204</v>
      </c>
      <c r="C193" s="23">
        <v>2723567</v>
      </c>
      <c r="E193" s="23">
        <v>26646786335</v>
      </c>
      <c r="G193" s="23">
        <v>22809216701</v>
      </c>
      <c r="I193" s="23">
        <v>3837569634</v>
      </c>
      <c r="K193" s="23">
        <v>2723567</v>
      </c>
      <c r="M193" s="23">
        <v>26646786335</v>
      </c>
      <c r="O193" s="23">
        <v>19009668439</v>
      </c>
      <c r="Q193" s="23">
        <v>7637117896</v>
      </c>
    </row>
    <row r="194" spans="1:17" ht="18.75" x14ac:dyDescent="0.45">
      <c r="A194" s="30" t="s">
        <v>205</v>
      </c>
      <c r="C194" s="23">
        <v>120369</v>
      </c>
      <c r="E194" s="23">
        <v>3787396345</v>
      </c>
      <c r="G194" s="23">
        <v>9157458451</v>
      </c>
      <c r="I194" s="23">
        <v>-5370062106</v>
      </c>
      <c r="K194" s="23">
        <v>120369</v>
      </c>
      <c r="M194" s="23">
        <v>3787396345</v>
      </c>
      <c r="O194" s="23">
        <v>3524820500</v>
      </c>
      <c r="Q194" s="23">
        <v>262575845</v>
      </c>
    </row>
    <row r="195" spans="1:17" ht="18.75" x14ac:dyDescent="0.45">
      <c r="A195" s="30" t="s">
        <v>206</v>
      </c>
      <c r="C195" s="23">
        <v>3014987</v>
      </c>
      <c r="E195" s="23">
        <v>16274745459</v>
      </c>
      <c r="G195" s="23">
        <v>16454246328</v>
      </c>
      <c r="I195" s="23">
        <v>-179500869</v>
      </c>
      <c r="K195" s="23">
        <v>3014987</v>
      </c>
      <c r="M195" s="23">
        <v>16274745459</v>
      </c>
      <c r="O195" s="23">
        <v>14987389690</v>
      </c>
      <c r="Q195" s="23">
        <v>1287355769</v>
      </c>
    </row>
    <row r="196" spans="1:17" ht="18.75" x14ac:dyDescent="0.45">
      <c r="A196" s="30" t="s">
        <v>207</v>
      </c>
      <c r="C196" s="23">
        <v>2241424</v>
      </c>
      <c r="E196" s="23">
        <v>13010972086</v>
      </c>
      <c r="G196" s="23">
        <v>13547665702</v>
      </c>
      <c r="I196" s="23">
        <v>-536693616</v>
      </c>
      <c r="K196" s="23">
        <v>2241424</v>
      </c>
      <c r="M196" s="23">
        <v>13010972086</v>
      </c>
      <c r="O196" s="23">
        <v>11616275685</v>
      </c>
      <c r="Q196" s="23">
        <v>1394696401</v>
      </c>
    </row>
    <row r="197" spans="1:17" ht="18.75" x14ac:dyDescent="0.45">
      <c r="A197" s="30" t="s">
        <v>208</v>
      </c>
      <c r="C197" s="23">
        <v>2586957</v>
      </c>
      <c r="E197" s="23">
        <v>19431885855</v>
      </c>
      <c r="G197" s="23">
        <v>22253575606</v>
      </c>
      <c r="I197" s="23">
        <v>-2821689751</v>
      </c>
      <c r="K197" s="23">
        <v>2586957</v>
      </c>
      <c r="M197" s="23">
        <v>19431885855</v>
      </c>
      <c r="O197" s="23">
        <v>14869302601</v>
      </c>
      <c r="Q197" s="23">
        <v>4562583254</v>
      </c>
    </row>
    <row r="198" spans="1:17" ht="18.75" x14ac:dyDescent="0.45">
      <c r="A198" s="30" t="s">
        <v>209</v>
      </c>
      <c r="C198" s="23">
        <v>7969322</v>
      </c>
      <c r="E198" s="23">
        <v>23802234614</v>
      </c>
      <c r="G198" s="23">
        <v>27572267311</v>
      </c>
      <c r="I198" s="23">
        <v>-3770032697</v>
      </c>
      <c r="K198" s="23">
        <v>7969322</v>
      </c>
      <c r="M198" s="23">
        <v>23802234614</v>
      </c>
      <c r="O198" s="23">
        <v>26169954207</v>
      </c>
      <c r="Q198" s="23">
        <v>-2367719593</v>
      </c>
    </row>
    <row r="199" spans="1:17" ht="18.75" x14ac:dyDescent="0.45">
      <c r="A199" s="30" t="s">
        <v>210</v>
      </c>
      <c r="C199" s="23">
        <v>831032</v>
      </c>
      <c r="E199" s="23">
        <v>38937995551</v>
      </c>
      <c r="G199" s="23">
        <v>43405221056</v>
      </c>
      <c r="I199" s="23">
        <v>-4467225505</v>
      </c>
      <c r="K199" s="23">
        <v>831032</v>
      </c>
      <c r="M199" s="23">
        <v>38937995551</v>
      </c>
      <c r="O199" s="23">
        <v>37734397550</v>
      </c>
      <c r="Q199" s="23">
        <v>1203598001</v>
      </c>
    </row>
    <row r="200" spans="1:17" ht="18.75" x14ac:dyDescent="0.45">
      <c r="A200" s="30" t="s">
        <v>211</v>
      </c>
      <c r="C200" s="23">
        <v>3683366</v>
      </c>
      <c r="E200" s="23">
        <v>21198382769</v>
      </c>
      <c r="G200" s="23">
        <v>19877239099</v>
      </c>
      <c r="I200" s="23">
        <v>1321143670</v>
      </c>
      <c r="K200" s="23">
        <v>3683366</v>
      </c>
      <c r="M200" s="23">
        <v>21198382769</v>
      </c>
      <c r="O200" s="23">
        <v>10573465274</v>
      </c>
      <c r="Q200" s="23">
        <v>10624917495</v>
      </c>
    </row>
    <row r="201" spans="1:17" ht="18.75" x14ac:dyDescent="0.45">
      <c r="A201" s="30" t="s">
        <v>212</v>
      </c>
      <c r="C201" s="23">
        <v>1382048</v>
      </c>
      <c r="E201" s="23">
        <v>43266558461</v>
      </c>
      <c r="G201" s="23">
        <v>50595274737</v>
      </c>
      <c r="I201" s="23">
        <v>-7328716276</v>
      </c>
      <c r="K201" s="23">
        <v>1382048</v>
      </c>
      <c r="M201" s="23">
        <v>43266558461</v>
      </c>
      <c r="O201" s="23">
        <v>35881080860</v>
      </c>
      <c r="Q201" s="23">
        <v>7385477601</v>
      </c>
    </row>
    <row r="202" spans="1:17" ht="18.75" x14ac:dyDescent="0.45">
      <c r="A202" s="30" t="s">
        <v>213</v>
      </c>
      <c r="C202" s="23">
        <v>11191</v>
      </c>
      <c r="E202" s="23">
        <v>672266041</v>
      </c>
      <c r="G202" s="23">
        <v>6531455373</v>
      </c>
      <c r="I202" s="23">
        <v>-5859189332</v>
      </c>
      <c r="K202" s="23">
        <v>11191</v>
      </c>
      <c r="M202" s="23">
        <v>672266041</v>
      </c>
      <c r="O202" s="23">
        <v>645142935</v>
      </c>
      <c r="Q202" s="23">
        <v>27123106</v>
      </c>
    </row>
    <row r="203" spans="1:17" ht="18.75" x14ac:dyDescent="0.45">
      <c r="A203" s="30" t="s">
        <v>364</v>
      </c>
      <c r="C203" s="23">
        <v>795993</v>
      </c>
      <c r="E203" s="23">
        <v>34729263662</v>
      </c>
      <c r="G203" s="23">
        <v>23023835245</v>
      </c>
      <c r="I203" s="23">
        <v>11705428417</v>
      </c>
      <c r="K203" s="23">
        <v>795993</v>
      </c>
      <c r="M203" s="23">
        <v>34729263662</v>
      </c>
      <c r="O203" s="23">
        <v>21860329397</v>
      </c>
      <c r="Q203" s="23">
        <v>12868934265</v>
      </c>
    </row>
    <row r="204" spans="1:17" ht="18.75" x14ac:dyDescent="0.45">
      <c r="A204" s="30" t="s">
        <v>215</v>
      </c>
      <c r="C204" s="23">
        <v>392921</v>
      </c>
      <c r="E204" s="23">
        <v>23662043007</v>
      </c>
      <c r="G204" s="23">
        <v>20903206794</v>
      </c>
      <c r="I204" s="23">
        <v>2758836213</v>
      </c>
      <c r="K204" s="23">
        <v>392921</v>
      </c>
      <c r="M204" s="23">
        <v>23662043007</v>
      </c>
      <c r="O204" s="23">
        <v>15618857021</v>
      </c>
      <c r="Q204" s="23">
        <v>8043185986</v>
      </c>
    </row>
    <row r="205" spans="1:17" ht="18.75" x14ac:dyDescent="0.45">
      <c r="A205" s="30" t="s">
        <v>216</v>
      </c>
      <c r="C205" s="23">
        <v>48341</v>
      </c>
      <c r="E205" s="23">
        <v>29064840674</v>
      </c>
      <c r="G205" s="23">
        <v>18950450720</v>
      </c>
      <c r="I205" s="23">
        <v>10114389954</v>
      </c>
      <c r="K205" s="23">
        <v>48341</v>
      </c>
      <c r="M205" s="23">
        <v>29064840674</v>
      </c>
      <c r="O205" s="23">
        <v>13238121345</v>
      </c>
      <c r="Q205" s="23">
        <v>15826719329</v>
      </c>
    </row>
    <row r="206" spans="1:17" ht="18.75" x14ac:dyDescent="0.45">
      <c r="A206" s="30" t="s">
        <v>217</v>
      </c>
      <c r="C206" s="23">
        <v>1536013</v>
      </c>
      <c r="E206" s="23">
        <v>41715701386</v>
      </c>
      <c r="G206" s="23">
        <v>35636485580</v>
      </c>
      <c r="I206" s="23">
        <v>6079215806</v>
      </c>
      <c r="K206" s="23">
        <v>1536013</v>
      </c>
      <c r="M206" s="23">
        <v>41715701386</v>
      </c>
      <c r="O206" s="23">
        <v>28390655403</v>
      </c>
      <c r="Q206" s="23">
        <v>13325045983</v>
      </c>
    </row>
    <row r="207" spans="1:17" ht="18.75" x14ac:dyDescent="0.45">
      <c r="A207" s="30" t="s">
        <v>218</v>
      </c>
      <c r="C207" s="23">
        <v>4658472</v>
      </c>
      <c r="E207" s="23">
        <v>34992037427</v>
      </c>
      <c r="G207" s="23">
        <v>33036840942</v>
      </c>
      <c r="I207" s="23">
        <v>1955196485</v>
      </c>
      <c r="K207" s="23">
        <v>4658472</v>
      </c>
      <c r="M207" s="23">
        <v>34992037427</v>
      </c>
      <c r="O207" s="23">
        <v>22952966108</v>
      </c>
      <c r="Q207" s="23">
        <v>12039071319</v>
      </c>
    </row>
    <row r="208" spans="1:17" ht="18.75" x14ac:dyDescent="0.45">
      <c r="A208" s="30" t="s">
        <v>219</v>
      </c>
      <c r="C208" s="23">
        <v>733278</v>
      </c>
      <c r="E208" s="23">
        <v>4780396130</v>
      </c>
      <c r="G208" s="23">
        <v>2879688887</v>
      </c>
      <c r="I208" s="23">
        <v>1900707243</v>
      </c>
      <c r="K208" s="23">
        <v>733278</v>
      </c>
      <c r="M208" s="23">
        <v>4780396130</v>
      </c>
      <c r="O208" s="23">
        <v>2879688887</v>
      </c>
      <c r="Q208" s="23">
        <v>1900707243</v>
      </c>
    </row>
    <row r="209" spans="1:17" ht="18.75" x14ac:dyDescent="0.45">
      <c r="A209" s="30" t="s">
        <v>220</v>
      </c>
      <c r="C209" s="23">
        <v>14595002</v>
      </c>
      <c r="E209" s="23">
        <v>45140963272</v>
      </c>
      <c r="G209" s="23">
        <v>42790780296</v>
      </c>
      <c r="I209" s="23">
        <v>2350182976</v>
      </c>
      <c r="K209" s="23">
        <v>14595002</v>
      </c>
      <c r="M209" s="23">
        <v>45140963272</v>
      </c>
      <c r="O209" s="23">
        <v>35460184000</v>
      </c>
      <c r="Q209" s="23">
        <v>9680779272</v>
      </c>
    </row>
    <row r="210" spans="1:17" ht="18.75" x14ac:dyDescent="0.45">
      <c r="A210" s="30" t="s">
        <v>221</v>
      </c>
      <c r="C210" s="23">
        <v>2918845</v>
      </c>
      <c r="E210" s="23">
        <v>48454803350</v>
      </c>
      <c r="G210" s="23">
        <v>49210082886</v>
      </c>
      <c r="I210" s="23">
        <v>-755279536</v>
      </c>
      <c r="K210" s="23">
        <v>2918845</v>
      </c>
      <c r="M210" s="23">
        <v>48454803350</v>
      </c>
      <c r="O210" s="23">
        <v>43404606273</v>
      </c>
      <c r="Q210" s="23">
        <v>5050197077</v>
      </c>
    </row>
    <row r="211" spans="1:17" ht="18.75" x14ac:dyDescent="0.45">
      <c r="A211" s="30" t="s">
        <v>222</v>
      </c>
      <c r="C211" s="23">
        <v>450000</v>
      </c>
      <c r="E211" s="23">
        <v>6470096535</v>
      </c>
      <c r="G211" s="23">
        <v>7144344000</v>
      </c>
      <c r="I211" s="23">
        <v>-674247465</v>
      </c>
      <c r="K211" s="23">
        <v>450000</v>
      </c>
      <c r="M211" s="23">
        <v>6470096535</v>
      </c>
      <c r="O211" s="23">
        <v>8423082675</v>
      </c>
      <c r="Q211" s="23">
        <v>-1952986140</v>
      </c>
    </row>
    <row r="212" spans="1:17" ht="18.75" x14ac:dyDescent="0.45">
      <c r="A212" s="30" t="s">
        <v>223</v>
      </c>
      <c r="C212" s="23">
        <v>1400000</v>
      </c>
      <c r="E212" s="23">
        <v>10363267880</v>
      </c>
      <c r="G212" s="23">
        <v>13488637861</v>
      </c>
      <c r="I212" s="23">
        <v>-3125369981</v>
      </c>
      <c r="K212" s="23">
        <v>1400000</v>
      </c>
      <c r="M212" s="23">
        <v>10363267880</v>
      </c>
      <c r="O212" s="23">
        <v>8763725155</v>
      </c>
      <c r="Q212" s="23">
        <v>1599542725</v>
      </c>
    </row>
    <row r="213" spans="1:17" ht="18.75" x14ac:dyDescent="0.45">
      <c r="A213" s="30" t="s">
        <v>224</v>
      </c>
      <c r="C213" s="23">
        <v>1405716</v>
      </c>
      <c r="E213" s="23">
        <v>18467811555</v>
      </c>
      <c r="G213" s="23">
        <v>17491416684</v>
      </c>
      <c r="I213" s="23">
        <v>976394871</v>
      </c>
      <c r="K213" s="23">
        <v>1405716</v>
      </c>
      <c r="M213" s="23">
        <v>18467811555</v>
      </c>
      <c r="O213" s="23">
        <v>7977806216</v>
      </c>
      <c r="Q213" s="23">
        <v>10490005339</v>
      </c>
    </row>
    <row r="214" spans="1:17" ht="18.75" x14ac:dyDescent="0.45">
      <c r="A214" s="30" t="s">
        <v>226</v>
      </c>
      <c r="C214" s="23">
        <v>8858733</v>
      </c>
      <c r="E214" s="23">
        <v>33842481727</v>
      </c>
      <c r="G214" s="23">
        <v>35926760440</v>
      </c>
      <c r="I214" s="23">
        <v>-2084278713</v>
      </c>
      <c r="K214" s="23">
        <v>8858733</v>
      </c>
      <c r="M214" s="23">
        <v>33842481727</v>
      </c>
      <c r="O214" s="23">
        <v>33392037391</v>
      </c>
      <c r="Q214" s="23">
        <v>450444336</v>
      </c>
    </row>
    <row r="215" spans="1:17" ht="18.75" x14ac:dyDescent="0.45">
      <c r="A215" s="30" t="s">
        <v>227</v>
      </c>
      <c r="C215" s="23">
        <v>2024465</v>
      </c>
      <c r="E215" s="23">
        <v>19204279866</v>
      </c>
      <c r="G215" s="23">
        <v>21107994512</v>
      </c>
      <c r="I215" s="23">
        <v>-1903714646</v>
      </c>
      <c r="K215" s="23">
        <v>2024465</v>
      </c>
      <c r="M215" s="23">
        <v>19204279866</v>
      </c>
      <c r="O215" s="23">
        <v>16984113641</v>
      </c>
      <c r="Q215" s="23">
        <v>2220166225</v>
      </c>
    </row>
    <row r="216" spans="1:17" ht="18.75" x14ac:dyDescent="0.45">
      <c r="A216" s="30" t="s">
        <v>228</v>
      </c>
      <c r="C216" s="23">
        <v>2192838</v>
      </c>
      <c r="E216" s="23">
        <v>22455157579</v>
      </c>
      <c r="G216" s="23">
        <v>20669310867</v>
      </c>
      <c r="I216" s="23">
        <v>1785846712</v>
      </c>
      <c r="K216" s="23">
        <v>2192838</v>
      </c>
      <c r="M216" s="23">
        <v>22455157579</v>
      </c>
      <c r="O216" s="23">
        <v>16347830069</v>
      </c>
      <c r="Q216" s="23">
        <v>6107327510</v>
      </c>
    </row>
    <row r="217" spans="1:17" ht="18.75" x14ac:dyDescent="0.45">
      <c r="A217" s="30" t="s">
        <v>229</v>
      </c>
      <c r="C217" s="23">
        <v>4951053</v>
      </c>
      <c r="E217" s="23">
        <v>21572022953</v>
      </c>
      <c r="G217" s="23">
        <v>22639531095</v>
      </c>
      <c r="I217" s="23">
        <v>-1067508142</v>
      </c>
      <c r="K217" s="23">
        <v>4951053</v>
      </c>
      <c r="M217" s="23">
        <v>21572022953</v>
      </c>
      <c r="O217" s="23">
        <v>19774921683</v>
      </c>
      <c r="Q217" s="23">
        <v>1797101270</v>
      </c>
    </row>
    <row r="218" spans="1:17" ht="18.75" x14ac:dyDescent="0.45">
      <c r="A218" s="30" t="s">
        <v>230</v>
      </c>
      <c r="C218" s="23">
        <v>17736047</v>
      </c>
      <c r="E218" s="23">
        <v>53324810491</v>
      </c>
      <c r="G218" s="23">
        <v>57683882565</v>
      </c>
      <c r="I218" s="23">
        <v>-4359072074</v>
      </c>
      <c r="K218" s="23">
        <v>17736047</v>
      </c>
      <c r="M218" s="23">
        <v>53324810491</v>
      </c>
      <c r="O218" s="23">
        <v>47754484904</v>
      </c>
      <c r="Q218" s="23">
        <v>5570325587</v>
      </c>
    </row>
    <row r="219" spans="1:17" ht="18.75" x14ac:dyDescent="0.45">
      <c r="A219" s="30" t="s">
        <v>231</v>
      </c>
      <c r="C219" s="23">
        <v>9752234</v>
      </c>
      <c r="E219" s="23">
        <v>16934486155</v>
      </c>
      <c r="G219" s="23">
        <v>17815079435</v>
      </c>
      <c r="I219" s="23">
        <v>-880593280</v>
      </c>
      <c r="K219" s="23">
        <v>9752234</v>
      </c>
      <c r="M219" s="23">
        <v>16934486155</v>
      </c>
      <c r="O219" s="23">
        <v>13415884464</v>
      </c>
      <c r="Q219" s="23">
        <v>3518601691</v>
      </c>
    </row>
    <row r="220" spans="1:17" ht="37.5" x14ac:dyDescent="0.45">
      <c r="A220" s="30" t="s">
        <v>232</v>
      </c>
      <c r="C220" s="23">
        <v>31359394</v>
      </c>
      <c r="E220" s="23">
        <v>35971235682</v>
      </c>
      <c r="G220" s="23">
        <v>39035574752</v>
      </c>
      <c r="I220" s="23">
        <v>-3064339070</v>
      </c>
      <c r="K220" s="23">
        <v>31359394</v>
      </c>
      <c r="M220" s="23">
        <v>35971235682</v>
      </c>
      <c r="O220" s="23">
        <v>40118748237</v>
      </c>
      <c r="Q220" s="23">
        <v>-4147512555</v>
      </c>
    </row>
    <row r="221" spans="1:17" ht="37.5" x14ac:dyDescent="0.45">
      <c r="A221" s="30" t="s">
        <v>233</v>
      </c>
      <c r="C221" s="23">
        <v>6800000</v>
      </c>
      <c r="E221" s="23">
        <v>25835932444</v>
      </c>
      <c r="G221" s="23">
        <v>23275009420</v>
      </c>
      <c r="I221" s="23">
        <v>2560923024</v>
      </c>
      <c r="K221" s="23">
        <v>6800000</v>
      </c>
      <c r="M221" s="23">
        <v>25835932444</v>
      </c>
      <c r="O221" s="23">
        <v>23275009420</v>
      </c>
      <c r="Q221" s="23">
        <v>2560923024</v>
      </c>
    </row>
    <row r="222" spans="1:17" ht="18.75" x14ac:dyDescent="0.45">
      <c r="A222" s="30" t="s">
        <v>234</v>
      </c>
      <c r="C222" s="23">
        <v>16259149</v>
      </c>
      <c r="E222" s="23">
        <v>43092487094</v>
      </c>
      <c r="G222" s="23">
        <v>43945053958</v>
      </c>
      <c r="I222" s="23">
        <v>-852566864</v>
      </c>
      <c r="K222" s="23">
        <v>16259149</v>
      </c>
      <c r="M222" s="23">
        <v>43092487094</v>
      </c>
      <c r="O222" s="23">
        <v>37213680096</v>
      </c>
      <c r="Q222" s="23">
        <v>5878806998</v>
      </c>
    </row>
    <row r="223" spans="1:17" ht="18.75" x14ac:dyDescent="0.45">
      <c r="A223" s="30" t="s">
        <v>235</v>
      </c>
      <c r="C223" s="23">
        <v>8335761</v>
      </c>
      <c r="E223" s="23">
        <v>29768500717</v>
      </c>
      <c r="G223" s="23">
        <v>29911313360</v>
      </c>
      <c r="I223" s="23">
        <v>-142812643</v>
      </c>
      <c r="K223" s="23">
        <v>8335761</v>
      </c>
      <c r="M223" s="23">
        <v>29768500717</v>
      </c>
      <c r="O223" s="23">
        <v>29911313360</v>
      </c>
      <c r="Q223" s="23">
        <v>-142812643</v>
      </c>
    </row>
    <row r="224" spans="1:17" ht="19.5" thickBot="1" x14ac:dyDescent="0.5">
      <c r="A224" s="25" t="s">
        <v>236</v>
      </c>
      <c r="C224" s="25">
        <f>SUM(C9:$C$223)</f>
        <v>1333208775</v>
      </c>
      <c r="E224" s="25">
        <f>SUM(E9:$E$223)</f>
        <v>5564968801818</v>
      </c>
      <c r="G224" s="25">
        <f>SUM(G9:$G$223)</f>
        <v>5504462838204</v>
      </c>
      <c r="I224" s="25">
        <f>SUM(I9:$I$223)</f>
        <v>60505963614</v>
      </c>
      <c r="K224" s="25">
        <f>SUM(K9:$K$223)</f>
        <v>1333208775</v>
      </c>
      <c r="M224" s="25">
        <f>SUM(M9:$M$223)</f>
        <v>5564968801818</v>
      </c>
      <c r="O224" s="25">
        <f>SUM(O9:$O$223)</f>
        <v>4658684633987</v>
      </c>
      <c r="Q224" s="25">
        <f>SUM(Q9:$Q$223)</f>
        <v>906284167831</v>
      </c>
    </row>
    <row r="225" spans="1:17" ht="19.5" thickTop="1" x14ac:dyDescent="0.45">
      <c r="C225" s="27"/>
      <c r="E225" s="27"/>
      <c r="G225" s="27"/>
      <c r="I225" s="27"/>
      <c r="K225" s="27"/>
      <c r="M225" s="27"/>
      <c r="O225" s="27"/>
      <c r="Q225" s="27"/>
    </row>
    <row r="227" spans="1:17" ht="18.75" x14ac:dyDescent="0.45">
      <c r="A227" s="32" t="s">
        <v>366</v>
      </c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4"/>
    </row>
  </sheetData>
  <mergeCells count="7">
    <mergeCell ref="A227:Q227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232"/>
  <sheetViews>
    <sheetView rightToLeft="1" view="pageBreakPreview" zoomScale="95" zoomScaleNormal="100" zoomScaleSheetLayoutView="95" workbookViewId="0">
      <selection activeCellId="1" sqref="A1:W1 A1:XFD1048576"/>
    </sheetView>
  </sheetViews>
  <sheetFormatPr defaultRowHeight="18" x14ac:dyDescent="0.45"/>
  <cols>
    <col min="1" max="1" width="21.85546875" style="13" bestFit="1" customWidth="1"/>
    <col min="2" max="2" width="1.42578125" style="13" customWidth="1"/>
    <col min="3" max="3" width="15.5703125" style="13" bestFit="1" customWidth="1"/>
    <col min="4" max="4" width="1.42578125" style="13" customWidth="1"/>
    <col min="5" max="5" width="17" style="13" customWidth="1"/>
    <col min="6" max="6" width="1.42578125" style="13" customWidth="1"/>
    <col min="7" max="7" width="17" style="13" customWidth="1"/>
    <col min="8" max="8" width="1.42578125" style="13" customWidth="1"/>
    <col min="9" max="9" width="18.28515625" style="13" bestFit="1" customWidth="1"/>
    <col min="10" max="10" width="1.42578125" style="13" customWidth="1"/>
    <col min="11" max="11" width="11.5703125" style="13" bestFit="1" customWidth="1"/>
    <col min="12" max="12" width="1.42578125" style="13" customWidth="1"/>
    <col min="13" max="13" width="17.7109375" style="13" bestFit="1" customWidth="1"/>
    <col min="14" max="14" width="1.42578125" style="13" customWidth="1"/>
    <col min="15" max="15" width="17.7109375" style="13" bestFit="1" customWidth="1"/>
    <col min="16" max="16" width="1.42578125" style="13" customWidth="1"/>
    <col min="17" max="17" width="17.7109375" style="13" bestFit="1" customWidth="1"/>
    <col min="18" max="18" width="1.42578125" style="13" customWidth="1"/>
    <col min="19" max="19" width="19.85546875" style="13" bestFit="1" customWidth="1"/>
    <col min="20" max="20" width="1.42578125" style="13" customWidth="1"/>
    <col min="21" max="21" width="11.5703125" style="13" bestFit="1" customWidth="1"/>
    <col min="22" max="16384" width="9.140625" style="13"/>
  </cols>
  <sheetData>
    <row r="1" spans="1:24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4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4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4" x14ac:dyDescent="0.45">
      <c r="X4" s="38"/>
    </row>
    <row r="5" spans="1:24" ht="21" x14ac:dyDescent="0.45">
      <c r="A5" s="14" t="s">
        <v>370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7" spans="1:24" ht="21" x14ac:dyDescent="0.45">
      <c r="C7" s="15" t="s">
        <v>288</v>
      </c>
      <c r="D7" s="16"/>
      <c r="E7" s="16"/>
      <c r="F7" s="16"/>
      <c r="G7" s="16"/>
      <c r="H7" s="16"/>
      <c r="I7" s="16"/>
      <c r="J7" s="16"/>
      <c r="K7" s="16"/>
      <c r="M7" s="15" t="s">
        <v>7</v>
      </c>
      <c r="N7" s="16"/>
      <c r="O7" s="16"/>
      <c r="P7" s="16"/>
      <c r="Q7" s="16"/>
      <c r="R7" s="16"/>
      <c r="S7" s="16"/>
      <c r="T7" s="16"/>
      <c r="U7" s="16"/>
    </row>
    <row r="8" spans="1:24" ht="63" x14ac:dyDescent="0.45">
      <c r="A8" s="28" t="s">
        <v>371</v>
      </c>
      <c r="C8" s="29" t="s">
        <v>286</v>
      </c>
      <c r="E8" s="29" t="s">
        <v>372</v>
      </c>
      <c r="G8" s="29" t="s">
        <v>373</v>
      </c>
      <c r="I8" s="29" t="s">
        <v>374</v>
      </c>
      <c r="K8" s="29" t="s">
        <v>375</v>
      </c>
      <c r="M8" s="29" t="s">
        <v>286</v>
      </c>
      <c r="O8" s="29" t="s">
        <v>372</v>
      </c>
      <c r="Q8" s="29" t="s">
        <v>373</v>
      </c>
      <c r="S8" s="29" t="s">
        <v>374</v>
      </c>
      <c r="U8" s="29" t="s">
        <v>375</v>
      </c>
    </row>
    <row r="9" spans="1:24" ht="18.75" x14ac:dyDescent="0.45">
      <c r="A9" s="30" t="s">
        <v>17</v>
      </c>
      <c r="C9" s="23">
        <v>0</v>
      </c>
      <c r="E9" s="23">
        <v>-2695091701</v>
      </c>
      <c r="G9" s="23">
        <v>-480944458</v>
      </c>
      <c r="I9" s="23">
        <v>-3176036159</v>
      </c>
      <c r="K9" s="24">
        <v>-2.3476263731163093E-2</v>
      </c>
      <c r="M9" s="23">
        <v>0</v>
      </c>
      <c r="O9" s="23">
        <v>-2695091701</v>
      </c>
      <c r="Q9" s="23">
        <v>-480944458</v>
      </c>
      <c r="S9" s="23">
        <v>-3176036159</v>
      </c>
      <c r="U9" s="24">
        <v>-2.350241546323789E-3</v>
      </c>
    </row>
    <row r="10" spans="1:24" ht="18.75" x14ac:dyDescent="0.45">
      <c r="A10" s="30" t="s">
        <v>18</v>
      </c>
      <c r="C10" s="23">
        <v>0</v>
      </c>
      <c r="E10" s="23">
        <v>307053186</v>
      </c>
      <c r="G10" s="23">
        <v>55696997</v>
      </c>
      <c r="I10" s="23">
        <v>362750183</v>
      </c>
      <c r="K10" s="24">
        <v>2.6813356455352858E-3</v>
      </c>
      <c r="M10" s="23">
        <v>0</v>
      </c>
      <c r="O10" s="23">
        <v>3416238511</v>
      </c>
      <c r="Q10" s="23">
        <v>64566946</v>
      </c>
      <c r="S10" s="23">
        <v>3480805457</v>
      </c>
      <c r="U10" s="24">
        <v>2.5757684075888268E-3</v>
      </c>
    </row>
    <row r="11" spans="1:24" ht="18.75" x14ac:dyDescent="0.45">
      <c r="A11" s="30" t="s">
        <v>19</v>
      </c>
      <c r="C11" s="23">
        <v>0</v>
      </c>
      <c r="E11" s="23">
        <v>-1396392125</v>
      </c>
      <c r="G11" s="23">
        <v>961441926</v>
      </c>
      <c r="I11" s="23">
        <v>-434950199</v>
      </c>
      <c r="K11" s="24">
        <v>-3.2150155320841453E-3</v>
      </c>
      <c r="M11" s="23">
        <v>0</v>
      </c>
      <c r="O11" s="23">
        <v>3366320903</v>
      </c>
      <c r="Q11" s="23">
        <v>964210312</v>
      </c>
      <c r="S11" s="23">
        <v>4330531215</v>
      </c>
      <c r="U11" s="24">
        <v>3.2045587233961456E-3</v>
      </c>
    </row>
    <row r="12" spans="1:24" ht="18.75" x14ac:dyDescent="0.45">
      <c r="A12" s="30" t="s">
        <v>20</v>
      </c>
      <c r="C12" s="23">
        <v>0</v>
      </c>
      <c r="E12" s="23">
        <v>2673537567</v>
      </c>
      <c r="G12" s="23">
        <v>277798028</v>
      </c>
      <c r="I12" s="23">
        <v>2951335595</v>
      </c>
      <c r="K12" s="24">
        <v>2.181534759642173E-2</v>
      </c>
      <c r="M12" s="23">
        <v>0</v>
      </c>
      <c r="O12" s="23">
        <v>2871163946</v>
      </c>
      <c r="Q12" s="23">
        <v>277798028</v>
      </c>
      <c r="S12" s="23">
        <v>3148961974</v>
      </c>
      <c r="U12" s="24">
        <v>2.3302068643383388E-3</v>
      </c>
    </row>
    <row r="13" spans="1:24" ht="18.75" x14ac:dyDescent="0.45">
      <c r="A13" s="30" t="s">
        <v>21</v>
      </c>
      <c r="C13" s="23">
        <v>0</v>
      </c>
      <c r="E13" s="23">
        <v>168685900</v>
      </c>
      <c r="G13" s="23">
        <v>0</v>
      </c>
      <c r="I13" s="23">
        <v>168685900</v>
      </c>
      <c r="K13" s="24">
        <v>1.246873296737112E-3</v>
      </c>
      <c r="M13" s="23">
        <v>199000000</v>
      </c>
      <c r="O13" s="23">
        <v>454107950</v>
      </c>
      <c r="Q13" s="23">
        <v>0</v>
      </c>
      <c r="S13" s="23">
        <v>653107950</v>
      </c>
      <c r="U13" s="24">
        <v>4.832946986370756E-4</v>
      </c>
    </row>
    <row r="14" spans="1:24" ht="18.75" x14ac:dyDescent="0.45">
      <c r="A14" s="30" t="s">
        <v>22</v>
      </c>
      <c r="C14" s="23">
        <v>0</v>
      </c>
      <c r="E14" s="23">
        <v>-1491311903</v>
      </c>
      <c r="G14" s="23">
        <v>0</v>
      </c>
      <c r="I14" s="23">
        <v>-1491311903</v>
      </c>
      <c r="K14" s="24">
        <v>-1.1023310122285895E-2</v>
      </c>
      <c r="M14" s="23">
        <v>0</v>
      </c>
      <c r="O14" s="23">
        <v>1201925143</v>
      </c>
      <c r="Q14" s="23">
        <v>278659863</v>
      </c>
      <c r="S14" s="23">
        <v>1480585006</v>
      </c>
      <c r="U14" s="24">
        <v>1.095621151574319E-3</v>
      </c>
    </row>
    <row r="15" spans="1:24" ht="18.75" x14ac:dyDescent="0.45">
      <c r="A15" s="30" t="s">
        <v>23</v>
      </c>
      <c r="C15" s="23">
        <v>0</v>
      </c>
      <c r="E15" s="23">
        <v>245537212</v>
      </c>
      <c r="G15" s="23">
        <v>0</v>
      </c>
      <c r="I15" s="23">
        <v>245537212</v>
      </c>
      <c r="K15" s="24">
        <v>1.8149341053287748E-3</v>
      </c>
      <c r="M15" s="23">
        <v>24500000</v>
      </c>
      <c r="O15" s="23">
        <v>874503809</v>
      </c>
      <c r="Q15" s="23">
        <v>0</v>
      </c>
      <c r="S15" s="23">
        <v>899003809</v>
      </c>
      <c r="U15" s="24">
        <v>6.6525568237875237E-4</v>
      </c>
    </row>
    <row r="16" spans="1:24" ht="18.75" x14ac:dyDescent="0.45">
      <c r="A16" s="30" t="s">
        <v>376</v>
      </c>
      <c r="C16" s="23">
        <v>0</v>
      </c>
      <c r="E16" s="23">
        <v>-1348931529</v>
      </c>
      <c r="G16" s="23">
        <v>0</v>
      </c>
      <c r="I16" s="23">
        <v>-1348931529</v>
      </c>
      <c r="K16" s="24">
        <v>-9.9708790280448063E-3</v>
      </c>
      <c r="M16" s="23">
        <v>4340424361</v>
      </c>
      <c r="O16" s="23">
        <v>1017976102</v>
      </c>
      <c r="Q16" s="23">
        <v>785484174</v>
      </c>
      <c r="S16" s="23">
        <v>6143884637</v>
      </c>
      <c r="U16" s="24">
        <v>4.5464258612988454E-3</v>
      </c>
    </row>
    <row r="17" spans="1:21" ht="18.75" x14ac:dyDescent="0.45">
      <c r="A17" s="30" t="s">
        <v>25</v>
      </c>
      <c r="C17" s="23">
        <v>0</v>
      </c>
      <c r="E17" s="23">
        <v>3579167525</v>
      </c>
      <c r="G17" s="23">
        <v>1822208087</v>
      </c>
      <c r="I17" s="23">
        <v>5401375612</v>
      </c>
      <c r="K17" s="24">
        <v>3.9925275415727553E-2</v>
      </c>
      <c r="M17" s="23">
        <v>0</v>
      </c>
      <c r="O17" s="23">
        <v>12880800514</v>
      </c>
      <c r="Q17" s="23">
        <v>2370878553</v>
      </c>
      <c r="S17" s="23">
        <v>15251679067</v>
      </c>
      <c r="U17" s="24">
        <v>1.1286121441937981E-2</v>
      </c>
    </row>
    <row r="18" spans="1:21" ht="18.75" x14ac:dyDescent="0.45">
      <c r="A18" s="30" t="s">
        <v>26</v>
      </c>
      <c r="C18" s="23">
        <v>0</v>
      </c>
      <c r="E18" s="23">
        <v>1212982374</v>
      </c>
      <c r="G18" s="23">
        <v>0</v>
      </c>
      <c r="I18" s="23">
        <v>1212982374</v>
      </c>
      <c r="K18" s="24">
        <v>8.9659854887301701E-3</v>
      </c>
      <c r="M18" s="23">
        <v>0</v>
      </c>
      <c r="O18" s="23">
        <v>5488115982</v>
      </c>
      <c r="Q18" s="23">
        <v>2482078322</v>
      </c>
      <c r="S18" s="23">
        <v>7970194304</v>
      </c>
      <c r="U18" s="24">
        <v>5.8978805176550311E-3</v>
      </c>
    </row>
    <row r="19" spans="1:21" ht="18.75" x14ac:dyDescent="0.45">
      <c r="A19" s="30" t="s">
        <v>27</v>
      </c>
      <c r="C19" s="23">
        <v>0</v>
      </c>
      <c r="E19" s="23">
        <v>2908968128</v>
      </c>
      <c r="G19" s="23">
        <v>156318246</v>
      </c>
      <c r="I19" s="23">
        <v>3065286374</v>
      </c>
      <c r="K19" s="24">
        <v>2.2657636035926704E-2</v>
      </c>
      <c r="M19" s="23">
        <v>0</v>
      </c>
      <c r="O19" s="23">
        <v>4323408798</v>
      </c>
      <c r="Q19" s="23">
        <v>156318246</v>
      </c>
      <c r="S19" s="23">
        <v>4479727044</v>
      </c>
      <c r="U19" s="24">
        <v>3.3149624525414785E-3</v>
      </c>
    </row>
    <row r="20" spans="1:21" ht="18.75" x14ac:dyDescent="0.45">
      <c r="A20" s="30" t="s">
        <v>28</v>
      </c>
      <c r="C20" s="23">
        <v>0</v>
      </c>
      <c r="E20" s="23">
        <v>1836253571</v>
      </c>
      <c r="G20" s="23">
        <v>-3903397387</v>
      </c>
      <c r="I20" s="23">
        <v>-2067143816</v>
      </c>
      <c r="K20" s="24">
        <v>-1.5279679123659145E-2</v>
      </c>
      <c r="M20" s="23">
        <v>669713695</v>
      </c>
      <c r="O20" s="23">
        <v>0</v>
      </c>
      <c r="Q20" s="23">
        <v>-18354862646</v>
      </c>
      <c r="S20" s="23">
        <v>-17685148951</v>
      </c>
      <c r="U20" s="24">
        <v>-1.3086869839243785E-2</v>
      </c>
    </row>
    <row r="21" spans="1:21" ht="18.75" x14ac:dyDescent="0.45">
      <c r="A21" s="30" t="s">
        <v>29</v>
      </c>
      <c r="C21" s="23">
        <v>0</v>
      </c>
      <c r="E21" s="23">
        <v>-3256887815</v>
      </c>
      <c r="G21" s="23">
        <v>1631418053</v>
      </c>
      <c r="I21" s="23">
        <v>-1625469762</v>
      </c>
      <c r="K21" s="24">
        <v>-1.2014962963065845E-2</v>
      </c>
      <c r="M21" s="23">
        <v>4445453740</v>
      </c>
      <c r="O21" s="23">
        <v>6019873076</v>
      </c>
      <c r="Q21" s="23">
        <v>-308170081</v>
      </c>
      <c r="S21" s="23">
        <v>10157156735</v>
      </c>
      <c r="U21" s="24">
        <v>7.5162153565139847E-3</v>
      </c>
    </row>
    <row r="22" spans="1:21" ht="18.75" x14ac:dyDescent="0.45">
      <c r="A22" s="30" t="s">
        <v>30</v>
      </c>
      <c r="C22" s="23">
        <v>0</v>
      </c>
      <c r="E22" s="23">
        <v>-2560510118</v>
      </c>
      <c r="G22" s="23">
        <v>0</v>
      </c>
      <c r="I22" s="23">
        <v>-2560510118</v>
      </c>
      <c r="K22" s="24">
        <v>-1.8926488178083598E-2</v>
      </c>
      <c r="M22" s="23">
        <v>0</v>
      </c>
      <c r="O22" s="23">
        <v>-2560510118</v>
      </c>
      <c r="Q22" s="23">
        <v>0</v>
      </c>
      <c r="S22" s="23">
        <v>-2560510118</v>
      </c>
      <c r="U22" s="24">
        <v>-1.8947571620219793E-3</v>
      </c>
    </row>
    <row r="23" spans="1:21" ht="18.75" x14ac:dyDescent="0.45">
      <c r="A23" s="30" t="s">
        <v>31</v>
      </c>
      <c r="C23" s="23">
        <v>0</v>
      </c>
      <c r="E23" s="23">
        <v>-2473726102</v>
      </c>
      <c r="G23" s="23">
        <v>250780906</v>
      </c>
      <c r="I23" s="23">
        <v>-2222945196</v>
      </c>
      <c r="K23" s="24">
        <v>-1.6431314087321142E-2</v>
      </c>
      <c r="M23" s="23">
        <v>1925903250</v>
      </c>
      <c r="O23" s="23">
        <v>6929346291</v>
      </c>
      <c r="Q23" s="23">
        <v>5235950247</v>
      </c>
      <c r="S23" s="23">
        <v>14091199788</v>
      </c>
      <c r="U23" s="24">
        <v>1.0427375987348313E-2</v>
      </c>
    </row>
    <row r="24" spans="1:21" ht="18.75" x14ac:dyDescent="0.45">
      <c r="A24" s="30" t="s">
        <v>33</v>
      </c>
      <c r="C24" s="23">
        <v>0</v>
      </c>
      <c r="E24" s="23">
        <v>-2090986746</v>
      </c>
      <c r="G24" s="23">
        <v>334532198</v>
      </c>
      <c r="I24" s="23">
        <v>-1756454548</v>
      </c>
      <c r="K24" s="24">
        <v>-1.2983161442857133E-2</v>
      </c>
      <c r="M24" s="23">
        <v>0</v>
      </c>
      <c r="O24" s="23">
        <v>4908429139</v>
      </c>
      <c r="Q24" s="23">
        <v>1232139538</v>
      </c>
      <c r="S24" s="23">
        <v>6140568677</v>
      </c>
      <c r="U24" s="24">
        <v>4.5439720772208958E-3</v>
      </c>
    </row>
    <row r="25" spans="1:21" ht="18.75" x14ac:dyDescent="0.45">
      <c r="A25" s="30" t="s">
        <v>377</v>
      </c>
      <c r="C25" s="23">
        <v>0</v>
      </c>
      <c r="E25" s="23">
        <v>-406758939</v>
      </c>
      <c r="G25" s="23">
        <v>0</v>
      </c>
      <c r="I25" s="23">
        <v>-406758939</v>
      </c>
      <c r="K25" s="24">
        <v>-3.0066345749598508E-3</v>
      </c>
      <c r="M25" s="23">
        <v>675475200</v>
      </c>
      <c r="O25" s="23">
        <v>4420988897</v>
      </c>
      <c r="Q25" s="23">
        <v>1982564966</v>
      </c>
      <c r="S25" s="23">
        <v>7079029063</v>
      </c>
      <c r="U25" s="24">
        <v>5.2384253133738222E-3</v>
      </c>
    </row>
    <row r="26" spans="1:21" ht="18.75" x14ac:dyDescent="0.45">
      <c r="A26" s="30" t="s">
        <v>34</v>
      </c>
      <c r="C26" s="23">
        <v>0</v>
      </c>
      <c r="E26" s="23">
        <v>-36465923</v>
      </c>
      <c r="G26" s="23">
        <v>0</v>
      </c>
      <c r="I26" s="23">
        <v>-36465923</v>
      </c>
      <c r="K26" s="24">
        <v>-2.6954467225518954E-4</v>
      </c>
      <c r="M26" s="23">
        <v>700000000</v>
      </c>
      <c r="O26" s="23">
        <v>1797524015</v>
      </c>
      <c r="Q26" s="23">
        <v>0</v>
      </c>
      <c r="S26" s="23">
        <v>2497524015</v>
      </c>
      <c r="U26" s="24">
        <v>1.8481479457848951E-3</v>
      </c>
    </row>
    <row r="27" spans="1:21" ht="18.75" x14ac:dyDescent="0.45">
      <c r="A27" s="30" t="s">
        <v>36</v>
      </c>
      <c r="C27" s="23">
        <v>0</v>
      </c>
      <c r="E27" s="23">
        <v>-5381678411</v>
      </c>
      <c r="G27" s="23">
        <v>-52209104</v>
      </c>
      <c r="I27" s="23">
        <v>-5433887515</v>
      </c>
      <c r="K27" s="24">
        <v>-4.016559321156471E-2</v>
      </c>
      <c r="M27" s="23">
        <v>0</v>
      </c>
      <c r="O27" s="23">
        <v>415536675</v>
      </c>
      <c r="Q27" s="23">
        <v>-52209104</v>
      </c>
      <c r="S27" s="23">
        <v>363327571</v>
      </c>
      <c r="U27" s="24">
        <v>2.6885951845018218E-4</v>
      </c>
    </row>
    <row r="28" spans="1:21" ht="18.75" x14ac:dyDescent="0.45">
      <c r="A28" s="30" t="s">
        <v>37</v>
      </c>
      <c r="C28" s="23">
        <v>0</v>
      </c>
      <c r="E28" s="23">
        <v>1819049978</v>
      </c>
      <c r="G28" s="23">
        <v>98277356</v>
      </c>
      <c r="I28" s="23">
        <v>1917327334</v>
      </c>
      <c r="K28" s="24">
        <v>1.4172282649994801E-2</v>
      </c>
      <c r="M28" s="23">
        <v>0</v>
      </c>
      <c r="O28" s="23">
        <v>1776389888</v>
      </c>
      <c r="Q28" s="23">
        <v>98277356</v>
      </c>
      <c r="S28" s="23">
        <v>1874667244</v>
      </c>
      <c r="U28" s="24">
        <v>1.3872388794743304E-3</v>
      </c>
    </row>
    <row r="29" spans="1:21" ht="18.75" x14ac:dyDescent="0.45">
      <c r="A29" s="30" t="s">
        <v>38</v>
      </c>
      <c r="C29" s="23">
        <v>0</v>
      </c>
      <c r="E29" s="23">
        <v>-2238941239</v>
      </c>
      <c r="G29" s="23">
        <v>-669077370</v>
      </c>
      <c r="I29" s="23">
        <v>-2908018609</v>
      </c>
      <c r="K29" s="24">
        <v>-2.1495162013995841E-2</v>
      </c>
      <c r="M29" s="23">
        <v>0</v>
      </c>
      <c r="O29" s="23">
        <v>-2890940614</v>
      </c>
      <c r="Q29" s="23">
        <v>-669077370</v>
      </c>
      <c r="S29" s="23">
        <v>-3560017984</v>
      </c>
      <c r="U29" s="24">
        <v>-2.6343850487807558E-3</v>
      </c>
    </row>
    <row r="30" spans="1:21" ht="18.75" x14ac:dyDescent="0.45">
      <c r="A30" s="30" t="s">
        <v>39</v>
      </c>
      <c r="C30" s="23">
        <v>0</v>
      </c>
      <c r="E30" s="23">
        <v>-1204501383</v>
      </c>
      <c r="G30" s="23">
        <v>331999179</v>
      </c>
      <c r="I30" s="23">
        <v>-872502204</v>
      </c>
      <c r="K30" s="24">
        <v>-6.4492627985615648E-3</v>
      </c>
      <c r="M30" s="23">
        <v>0</v>
      </c>
      <c r="O30" s="23">
        <v>4018557342</v>
      </c>
      <c r="Q30" s="23">
        <v>874111728</v>
      </c>
      <c r="S30" s="23">
        <v>4892669070</v>
      </c>
      <c r="U30" s="24">
        <v>3.6205362738527236E-3</v>
      </c>
    </row>
    <row r="31" spans="1:21" ht="18.75" x14ac:dyDescent="0.45">
      <c r="A31" s="30" t="s">
        <v>40</v>
      </c>
      <c r="C31" s="23">
        <v>0</v>
      </c>
      <c r="E31" s="23">
        <v>-3918611571</v>
      </c>
      <c r="G31" s="23">
        <v>2725310950</v>
      </c>
      <c r="I31" s="23">
        <v>-1193300621</v>
      </c>
      <c r="K31" s="24">
        <v>-8.820504139970875E-3</v>
      </c>
      <c r="M31" s="23">
        <v>0</v>
      </c>
      <c r="O31" s="23">
        <v>2166749866</v>
      </c>
      <c r="Q31" s="23">
        <v>6169781366</v>
      </c>
      <c r="S31" s="23">
        <v>8336531232</v>
      </c>
      <c r="U31" s="24">
        <v>6.1689669363969744E-3</v>
      </c>
    </row>
    <row r="32" spans="1:21" ht="18.75" x14ac:dyDescent="0.45">
      <c r="A32" s="30" t="s">
        <v>378</v>
      </c>
      <c r="C32" s="23">
        <v>0</v>
      </c>
      <c r="E32" s="23">
        <v>-887713706</v>
      </c>
      <c r="G32" s="23">
        <v>0</v>
      </c>
      <c r="I32" s="23">
        <v>-887713706</v>
      </c>
      <c r="K32" s="24">
        <v>-6.5617014531679256E-3</v>
      </c>
      <c r="M32" s="23">
        <v>0</v>
      </c>
      <c r="O32" s="23">
        <v>4454378302</v>
      </c>
      <c r="Q32" s="23">
        <v>771341674</v>
      </c>
      <c r="S32" s="23">
        <v>5225719976</v>
      </c>
      <c r="U32" s="24">
        <v>3.8669913005387022E-3</v>
      </c>
    </row>
    <row r="33" spans="1:21" ht="18.75" x14ac:dyDescent="0.45">
      <c r="A33" s="30" t="s">
        <v>41</v>
      </c>
      <c r="C33" s="23">
        <v>0</v>
      </c>
      <c r="E33" s="23">
        <v>-497720424</v>
      </c>
      <c r="G33" s="23">
        <v>0</v>
      </c>
      <c r="I33" s="23">
        <v>-497720424</v>
      </c>
      <c r="K33" s="24">
        <v>-3.6789933594110311E-3</v>
      </c>
      <c r="M33" s="23">
        <v>0</v>
      </c>
      <c r="O33" s="23">
        <v>6493001197</v>
      </c>
      <c r="Q33" s="23">
        <v>4452990768</v>
      </c>
      <c r="S33" s="23">
        <v>10945991965</v>
      </c>
      <c r="U33" s="24">
        <v>8.0999471649495711E-3</v>
      </c>
    </row>
    <row r="34" spans="1:21" ht="18.75" x14ac:dyDescent="0.45">
      <c r="A34" s="30" t="s">
        <v>379</v>
      </c>
      <c r="C34" s="23">
        <v>0</v>
      </c>
      <c r="E34" s="23">
        <v>-484022750</v>
      </c>
      <c r="G34" s="23">
        <v>1064774437</v>
      </c>
      <c r="I34" s="23">
        <v>580751687</v>
      </c>
      <c r="K34" s="24">
        <v>4.2927344286352882E-3</v>
      </c>
      <c r="M34" s="23">
        <v>0</v>
      </c>
      <c r="O34" s="23">
        <v>4866244694</v>
      </c>
      <c r="Q34" s="23">
        <v>1790709094</v>
      </c>
      <c r="S34" s="23">
        <v>6656953788</v>
      </c>
      <c r="U34" s="24">
        <v>4.9260929603021962E-3</v>
      </c>
    </row>
    <row r="35" spans="1:21" ht="18.75" x14ac:dyDescent="0.45">
      <c r="A35" s="30" t="s">
        <v>43</v>
      </c>
      <c r="C35" s="23">
        <v>0</v>
      </c>
      <c r="E35" s="23">
        <v>-468651321</v>
      </c>
      <c r="G35" s="23">
        <v>0</v>
      </c>
      <c r="I35" s="23">
        <v>-468651321</v>
      </c>
      <c r="K35" s="24">
        <v>-3.4641236619982617E-3</v>
      </c>
      <c r="M35" s="23">
        <v>0</v>
      </c>
      <c r="O35" s="23">
        <v>4534886130</v>
      </c>
      <c r="Q35" s="23">
        <v>2155115624</v>
      </c>
      <c r="S35" s="23">
        <v>6690001754</v>
      </c>
      <c r="U35" s="24">
        <v>4.950548192807846E-3</v>
      </c>
    </row>
    <row r="36" spans="1:21" ht="18.75" x14ac:dyDescent="0.45">
      <c r="A36" s="30" t="s">
        <v>380</v>
      </c>
      <c r="C36" s="23">
        <v>0</v>
      </c>
      <c r="E36" s="23">
        <v>-667549642</v>
      </c>
      <c r="G36" s="23">
        <v>0</v>
      </c>
      <c r="I36" s="23">
        <v>-667549642</v>
      </c>
      <c r="K36" s="24">
        <v>-4.9343177044211695E-3</v>
      </c>
      <c r="M36" s="23">
        <v>687500000</v>
      </c>
      <c r="O36" s="23">
        <v>-85401461</v>
      </c>
      <c r="Q36" s="23">
        <v>0</v>
      </c>
      <c r="S36" s="23">
        <v>602098539</v>
      </c>
      <c r="U36" s="24">
        <v>4.4554813940915662E-4</v>
      </c>
    </row>
    <row r="37" spans="1:21" ht="18.75" x14ac:dyDescent="0.45">
      <c r="A37" s="30" t="s">
        <v>44</v>
      </c>
      <c r="C37" s="23">
        <v>0</v>
      </c>
      <c r="E37" s="23">
        <v>-3793006178</v>
      </c>
      <c r="G37" s="23">
        <v>441246973</v>
      </c>
      <c r="I37" s="23">
        <v>-3351759205</v>
      </c>
      <c r="K37" s="24">
        <v>-2.477515340527757E-2</v>
      </c>
      <c r="M37" s="23">
        <v>0</v>
      </c>
      <c r="O37" s="23">
        <v>3088104</v>
      </c>
      <c r="Q37" s="23">
        <v>997651152</v>
      </c>
      <c r="S37" s="23">
        <v>1000739256</v>
      </c>
      <c r="U37" s="24">
        <v>7.4053910558401746E-4</v>
      </c>
    </row>
    <row r="38" spans="1:21" ht="18.75" x14ac:dyDescent="0.45">
      <c r="A38" s="30" t="s">
        <v>46</v>
      </c>
      <c r="C38" s="23">
        <v>0</v>
      </c>
      <c r="E38" s="23">
        <v>-822390541</v>
      </c>
      <c r="G38" s="23">
        <v>0</v>
      </c>
      <c r="I38" s="23">
        <v>-822390541</v>
      </c>
      <c r="K38" s="24">
        <v>-6.0788530936022938E-3</v>
      </c>
      <c r="M38" s="23">
        <v>0</v>
      </c>
      <c r="O38" s="23">
        <v>737679009</v>
      </c>
      <c r="Q38" s="23">
        <v>44160781</v>
      </c>
      <c r="S38" s="23">
        <v>781839790</v>
      </c>
      <c r="U38" s="24">
        <v>5.785552383653031E-4</v>
      </c>
    </row>
    <row r="39" spans="1:21" ht="37.5" x14ac:dyDescent="0.45">
      <c r="A39" s="30" t="s">
        <v>47</v>
      </c>
      <c r="C39" s="23">
        <v>0</v>
      </c>
      <c r="E39" s="23">
        <v>-1448236260</v>
      </c>
      <c r="G39" s="23">
        <v>2166013564</v>
      </c>
      <c r="I39" s="23">
        <v>717777304</v>
      </c>
      <c r="K39" s="24">
        <v>5.3055848376275449E-3</v>
      </c>
      <c r="M39" s="23">
        <v>0</v>
      </c>
      <c r="O39" s="23">
        <v>2976515873</v>
      </c>
      <c r="Q39" s="23">
        <v>2831532074</v>
      </c>
      <c r="S39" s="23">
        <v>5808047947</v>
      </c>
      <c r="U39" s="24">
        <v>4.2979093765663865E-3</v>
      </c>
    </row>
    <row r="40" spans="1:21" ht="18.75" x14ac:dyDescent="0.45">
      <c r="A40" s="30" t="s">
        <v>48</v>
      </c>
      <c r="C40" s="23">
        <v>0</v>
      </c>
      <c r="E40" s="23">
        <v>-2456742263</v>
      </c>
      <c r="G40" s="23">
        <v>24280595</v>
      </c>
      <c r="I40" s="23">
        <v>-2432461668</v>
      </c>
      <c r="K40" s="24">
        <v>-1.7979994173584243E-2</v>
      </c>
      <c r="M40" s="23">
        <v>0</v>
      </c>
      <c r="O40" s="23">
        <v>1463803296</v>
      </c>
      <c r="Q40" s="23">
        <v>24280595</v>
      </c>
      <c r="S40" s="23">
        <v>1488083891</v>
      </c>
      <c r="U40" s="24">
        <v>1.1011702669482615E-3</v>
      </c>
    </row>
    <row r="41" spans="1:21" ht="18.75" x14ac:dyDescent="0.45">
      <c r="A41" s="30" t="s">
        <v>49</v>
      </c>
      <c r="C41" s="23">
        <v>0</v>
      </c>
      <c r="E41" s="23">
        <v>-1796143599</v>
      </c>
      <c r="G41" s="23">
        <v>-537503498</v>
      </c>
      <c r="I41" s="23">
        <v>-2333647097</v>
      </c>
      <c r="K41" s="24">
        <v>-1.7249587839039193E-2</v>
      </c>
      <c r="M41" s="23">
        <v>420000000</v>
      </c>
      <c r="O41" s="23">
        <v>-497283810</v>
      </c>
      <c r="Q41" s="23">
        <v>12939991662</v>
      </c>
      <c r="S41" s="23">
        <v>12862707852</v>
      </c>
      <c r="U41" s="24">
        <v>9.5183017064622861E-3</v>
      </c>
    </row>
    <row r="42" spans="1:21" ht="18.75" x14ac:dyDescent="0.45">
      <c r="A42" s="30" t="s">
        <v>50</v>
      </c>
      <c r="C42" s="23">
        <v>0</v>
      </c>
      <c r="E42" s="23">
        <v>7576799967</v>
      </c>
      <c r="G42" s="23">
        <v>218512214</v>
      </c>
      <c r="I42" s="23">
        <v>7795312181</v>
      </c>
      <c r="K42" s="24">
        <v>5.7620504133531238E-2</v>
      </c>
      <c r="M42" s="23">
        <v>18000000000</v>
      </c>
      <c r="O42" s="23">
        <v>14916769646</v>
      </c>
      <c r="Q42" s="23">
        <v>18158256811</v>
      </c>
      <c r="S42" s="23">
        <v>51075026457</v>
      </c>
      <c r="U42" s="24">
        <v>3.7795114145244252E-2</v>
      </c>
    </row>
    <row r="43" spans="1:21" ht="18.75" x14ac:dyDescent="0.45">
      <c r="A43" s="30" t="s">
        <v>381</v>
      </c>
      <c r="C43" s="23">
        <v>0</v>
      </c>
      <c r="E43" s="23">
        <v>6126996347</v>
      </c>
      <c r="G43" s="23">
        <v>1882294801</v>
      </c>
      <c r="I43" s="23">
        <v>8009291148</v>
      </c>
      <c r="K43" s="24">
        <v>5.9202169584026458E-2</v>
      </c>
      <c r="M43" s="23">
        <v>0</v>
      </c>
      <c r="O43" s="23">
        <v>14470683436</v>
      </c>
      <c r="Q43" s="23">
        <v>3953056100</v>
      </c>
      <c r="S43" s="23">
        <v>18423739536</v>
      </c>
      <c r="U43" s="24">
        <v>1.3633421009220749E-2</v>
      </c>
    </row>
    <row r="44" spans="1:21" ht="18.75" x14ac:dyDescent="0.45">
      <c r="A44" s="30" t="s">
        <v>308</v>
      </c>
      <c r="C44" s="23">
        <v>0</v>
      </c>
      <c r="E44" s="23">
        <v>-2121695991</v>
      </c>
      <c r="G44" s="23">
        <v>0</v>
      </c>
      <c r="I44" s="23">
        <v>-2121695991</v>
      </c>
      <c r="K44" s="24">
        <v>-1.5682911701405299E-2</v>
      </c>
      <c r="M44" s="23">
        <v>2180218760</v>
      </c>
      <c r="O44" s="23">
        <v>-3550472408</v>
      </c>
      <c r="Q44" s="23">
        <v>-1763883002</v>
      </c>
      <c r="S44" s="23">
        <v>-3134136650</v>
      </c>
      <c r="U44" s="24">
        <v>-2.3192362422615794E-3</v>
      </c>
    </row>
    <row r="45" spans="1:21" ht="18.75" x14ac:dyDescent="0.45">
      <c r="A45" s="30" t="s">
        <v>53</v>
      </c>
      <c r="C45" s="23">
        <v>0</v>
      </c>
      <c r="E45" s="23">
        <v>-2604566008</v>
      </c>
      <c r="G45" s="23">
        <v>1685726996</v>
      </c>
      <c r="I45" s="23">
        <v>-918839012</v>
      </c>
      <c r="K45" s="24">
        <v>-6.7917699586219765E-3</v>
      </c>
      <c r="M45" s="23">
        <v>1524233883</v>
      </c>
      <c r="O45" s="23">
        <v>5382289431</v>
      </c>
      <c r="Q45" s="23">
        <v>3600758033</v>
      </c>
      <c r="S45" s="23">
        <v>10507281347</v>
      </c>
      <c r="U45" s="24">
        <v>7.7753047901090938E-3</v>
      </c>
    </row>
    <row r="46" spans="1:21" ht="37.5" x14ac:dyDescent="0.45">
      <c r="A46" s="30" t="s">
        <v>54</v>
      </c>
      <c r="C46" s="23">
        <v>0</v>
      </c>
      <c r="E46" s="23">
        <v>4202858192</v>
      </c>
      <c r="G46" s="23">
        <v>531136685</v>
      </c>
      <c r="I46" s="23">
        <v>4733994877</v>
      </c>
      <c r="K46" s="24">
        <v>3.499220621890501E-2</v>
      </c>
      <c r="M46" s="23">
        <v>0</v>
      </c>
      <c r="O46" s="23">
        <v>4753265585</v>
      </c>
      <c r="Q46" s="23">
        <v>531136685</v>
      </c>
      <c r="S46" s="23">
        <v>5284402270</v>
      </c>
      <c r="U46" s="24">
        <v>3.9104157322793695E-3</v>
      </c>
    </row>
    <row r="47" spans="1:21" ht="37.5" x14ac:dyDescent="0.45">
      <c r="A47" s="30" t="s">
        <v>55</v>
      </c>
      <c r="C47" s="23">
        <v>0</v>
      </c>
      <c r="E47" s="23">
        <v>-381064139</v>
      </c>
      <c r="G47" s="23">
        <v>0</v>
      </c>
      <c r="I47" s="23">
        <v>-381064139</v>
      </c>
      <c r="K47" s="24">
        <v>-2.8167066676184501E-3</v>
      </c>
      <c r="M47" s="23">
        <v>29476195</v>
      </c>
      <c r="O47" s="23">
        <v>-1730172412</v>
      </c>
      <c r="Q47" s="23">
        <v>0</v>
      </c>
      <c r="S47" s="23">
        <v>-1700696217</v>
      </c>
      <c r="U47" s="24">
        <v>-1.2585017004742164E-3</v>
      </c>
    </row>
    <row r="48" spans="1:21" ht="37.5" x14ac:dyDescent="0.45">
      <c r="A48" s="30" t="s">
        <v>56</v>
      </c>
      <c r="C48" s="23">
        <v>0</v>
      </c>
      <c r="E48" s="23">
        <v>1871371606</v>
      </c>
      <c r="G48" s="23">
        <v>0</v>
      </c>
      <c r="I48" s="23">
        <v>1871371606</v>
      </c>
      <c r="K48" s="24">
        <v>1.3832592313841548E-2</v>
      </c>
      <c r="M48" s="23">
        <v>0</v>
      </c>
      <c r="O48" s="23">
        <v>5433727274</v>
      </c>
      <c r="Q48" s="23">
        <v>-1173077</v>
      </c>
      <c r="S48" s="23">
        <v>5432554197</v>
      </c>
      <c r="U48" s="24">
        <v>4.0200469822311838E-3</v>
      </c>
    </row>
    <row r="49" spans="1:21" ht="18.75" x14ac:dyDescent="0.45">
      <c r="A49" s="30" t="s">
        <v>57</v>
      </c>
      <c r="C49" s="23">
        <v>0</v>
      </c>
      <c r="E49" s="23">
        <v>-1707551582</v>
      </c>
      <c r="G49" s="23">
        <v>554522440</v>
      </c>
      <c r="I49" s="23">
        <v>-1153029142</v>
      </c>
      <c r="K49" s="24">
        <v>-8.5228299906483212E-3</v>
      </c>
      <c r="M49" s="23">
        <v>0</v>
      </c>
      <c r="O49" s="23">
        <v>2627280952</v>
      </c>
      <c r="Q49" s="23">
        <v>592907864</v>
      </c>
      <c r="S49" s="23">
        <v>3220188816</v>
      </c>
      <c r="U49" s="24">
        <v>2.3829141620205375E-3</v>
      </c>
    </row>
    <row r="50" spans="1:21" ht="18.75" x14ac:dyDescent="0.45">
      <c r="A50" s="30" t="s">
        <v>58</v>
      </c>
      <c r="C50" s="23">
        <v>0</v>
      </c>
      <c r="E50" s="23">
        <v>883123972</v>
      </c>
      <c r="G50" s="23">
        <v>0</v>
      </c>
      <c r="I50" s="23">
        <v>883123972</v>
      </c>
      <c r="K50" s="24">
        <v>6.5277755781319776E-3</v>
      </c>
      <c r="M50" s="23">
        <v>0</v>
      </c>
      <c r="O50" s="23">
        <v>2726941250</v>
      </c>
      <c r="Q50" s="23">
        <v>0</v>
      </c>
      <c r="S50" s="23">
        <v>2726941250</v>
      </c>
      <c r="U50" s="24">
        <v>2.0179148785736878E-3</v>
      </c>
    </row>
    <row r="51" spans="1:21" ht="37.5" x14ac:dyDescent="0.45">
      <c r="A51" s="30" t="s">
        <v>59</v>
      </c>
      <c r="C51" s="23">
        <v>0</v>
      </c>
      <c r="E51" s="23">
        <v>-4961350</v>
      </c>
      <c r="G51" s="23">
        <v>0</v>
      </c>
      <c r="I51" s="23">
        <v>-4961350</v>
      </c>
      <c r="K51" s="24">
        <v>-3.6672744021679767E-5</v>
      </c>
      <c r="M51" s="23">
        <v>0</v>
      </c>
      <c r="O51" s="23">
        <v>563894688</v>
      </c>
      <c r="Q51" s="23">
        <v>0</v>
      </c>
      <c r="S51" s="23">
        <v>563894688</v>
      </c>
      <c r="U51" s="24">
        <v>4.1727759293085889E-4</v>
      </c>
    </row>
    <row r="52" spans="1:21" ht="18.75" x14ac:dyDescent="0.45">
      <c r="A52" s="30" t="s">
        <v>382</v>
      </c>
      <c r="C52" s="23">
        <v>0</v>
      </c>
      <c r="E52" s="23">
        <v>10343514061</v>
      </c>
      <c r="G52" s="23">
        <v>5017521912</v>
      </c>
      <c r="I52" s="23">
        <v>15361035973</v>
      </c>
      <c r="K52" s="24">
        <v>0.11354396286205239</v>
      </c>
      <c r="M52" s="23">
        <v>0</v>
      </c>
      <c r="O52" s="23">
        <v>18446198901</v>
      </c>
      <c r="Q52" s="23">
        <v>5737131844</v>
      </c>
      <c r="S52" s="23">
        <v>24183330745</v>
      </c>
      <c r="U52" s="24">
        <v>1.7895472784316128E-2</v>
      </c>
    </row>
    <row r="53" spans="1:21" ht="18.75" x14ac:dyDescent="0.45">
      <c r="A53" s="30" t="s">
        <v>61</v>
      </c>
      <c r="C53" s="23">
        <v>0</v>
      </c>
      <c r="E53" s="23">
        <v>-3358086116</v>
      </c>
      <c r="G53" s="23">
        <v>-789455174</v>
      </c>
      <c r="I53" s="23">
        <v>-4147541290</v>
      </c>
      <c r="K53" s="24">
        <v>-3.0657325132779887E-2</v>
      </c>
      <c r="M53" s="23">
        <v>0</v>
      </c>
      <c r="O53" s="23">
        <v>-772702961</v>
      </c>
      <c r="Q53" s="23">
        <v>-1290691203</v>
      </c>
      <c r="S53" s="23">
        <v>-2063394164</v>
      </c>
      <c r="U53" s="24">
        <v>-1.5268953021623463E-3</v>
      </c>
    </row>
    <row r="54" spans="1:21" ht="37.5" x14ac:dyDescent="0.45">
      <c r="A54" s="30" t="s">
        <v>62</v>
      </c>
      <c r="C54" s="23">
        <v>0</v>
      </c>
      <c r="E54" s="23">
        <v>12473379049</v>
      </c>
      <c r="G54" s="23">
        <v>729167939</v>
      </c>
      <c r="I54" s="23">
        <v>13202546988</v>
      </c>
      <c r="K54" s="24">
        <v>9.7589088882083147E-2</v>
      </c>
      <c r="M54" s="23">
        <v>10632176000</v>
      </c>
      <c r="O54" s="23">
        <v>21653596398</v>
      </c>
      <c r="Q54" s="23">
        <v>-1366492027</v>
      </c>
      <c r="S54" s="23">
        <v>30919280371</v>
      </c>
      <c r="U54" s="24">
        <v>2.2880022037670329E-2</v>
      </c>
    </row>
    <row r="55" spans="1:21" ht="18.75" x14ac:dyDescent="0.45">
      <c r="A55" s="30" t="s">
        <v>63</v>
      </c>
      <c r="C55" s="23">
        <v>0</v>
      </c>
      <c r="E55" s="23">
        <v>-911507837</v>
      </c>
      <c r="G55" s="23">
        <v>0</v>
      </c>
      <c r="I55" s="23">
        <v>-911507837</v>
      </c>
      <c r="K55" s="24">
        <v>-6.7375802110425601E-3</v>
      </c>
      <c r="M55" s="23">
        <v>600000000</v>
      </c>
      <c r="O55" s="23">
        <v>140053458</v>
      </c>
      <c r="Q55" s="23">
        <v>68148055</v>
      </c>
      <c r="S55" s="23">
        <v>808201513</v>
      </c>
      <c r="U55" s="24">
        <v>5.9806270412626815E-4</v>
      </c>
    </row>
    <row r="56" spans="1:21" ht="18.75" x14ac:dyDescent="0.45">
      <c r="A56" s="30" t="s">
        <v>64</v>
      </c>
      <c r="C56" s="23">
        <v>0</v>
      </c>
      <c r="E56" s="23">
        <v>-1101282067</v>
      </c>
      <c r="G56" s="23">
        <v>0</v>
      </c>
      <c r="I56" s="23">
        <v>-1101282067</v>
      </c>
      <c r="K56" s="24">
        <v>-8.1403318328191684E-3</v>
      </c>
      <c r="M56" s="23">
        <v>0</v>
      </c>
      <c r="O56" s="23">
        <v>1298918851</v>
      </c>
      <c r="Q56" s="23">
        <v>0</v>
      </c>
      <c r="S56" s="23">
        <v>1298918851</v>
      </c>
      <c r="U56" s="24">
        <v>9.6118963893803691E-4</v>
      </c>
    </row>
    <row r="57" spans="1:21" ht="18.75" x14ac:dyDescent="0.45">
      <c r="A57" s="30" t="s">
        <v>65</v>
      </c>
      <c r="C57" s="23">
        <v>0</v>
      </c>
      <c r="E57" s="23">
        <v>4673268661</v>
      </c>
      <c r="G57" s="23">
        <v>347239213</v>
      </c>
      <c r="I57" s="23">
        <v>5020507874</v>
      </c>
      <c r="K57" s="24">
        <v>3.7110020482737496E-2</v>
      </c>
      <c r="M57" s="23">
        <v>3816783240</v>
      </c>
      <c r="O57" s="23">
        <v>7180571837</v>
      </c>
      <c r="Q57" s="23">
        <v>-244206361</v>
      </c>
      <c r="S57" s="23">
        <v>10753148716</v>
      </c>
      <c r="U57" s="24">
        <v>7.9572446914769231E-3</v>
      </c>
    </row>
    <row r="58" spans="1:21" ht="18.75" x14ac:dyDescent="0.45">
      <c r="A58" s="30" t="s">
        <v>66</v>
      </c>
      <c r="C58" s="23">
        <v>0</v>
      </c>
      <c r="E58" s="23">
        <v>-3038217393</v>
      </c>
      <c r="G58" s="23">
        <v>0</v>
      </c>
      <c r="I58" s="23">
        <v>-3038217393</v>
      </c>
      <c r="K58" s="24">
        <v>-2.2457550613382293E-2</v>
      </c>
      <c r="M58" s="23">
        <v>0</v>
      </c>
      <c r="O58" s="23">
        <v>-147649564</v>
      </c>
      <c r="Q58" s="23">
        <v>531271409</v>
      </c>
      <c r="S58" s="23">
        <v>383621845</v>
      </c>
      <c r="U58" s="24">
        <v>2.8387712011448323E-4</v>
      </c>
    </row>
    <row r="59" spans="1:21" ht="18.75" x14ac:dyDescent="0.45">
      <c r="A59" s="30" t="s">
        <v>67</v>
      </c>
      <c r="C59" s="23">
        <v>0</v>
      </c>
      <c r="E59" s="23">
        <v>7243791440</v>
      </c>
      <c r="G59" s="23">
        <v>264089563</v>
      </c>
      <c r="I59" s="23">
        <v>7507881003</v>
      </c>
      <c r="K59" s="24">
        <v>5.5495902963558573E-2</v>
      </c>
      <c r="M59" s="23">
        <v>5072230055</v>
      </c>
      <c r="O59" s="23">
        <v>6769194722</v>
      </c>
      <c r="Q59" s="23">
        <v>-3418008040</v>
      </c>
      <c r="S59" s="23">
        <v>8423416737</v>
      </c>
      <c r="U59" s="24">
        <v>6.2332615204008981E-3</v>
      </c>
    </row>
    <row r="60" spans="1:21" ht="18.75" x14ac:dyDescent="0.45">
      <c r="A60" s="30" t="s">
        <v>68</v>
      </c>
      <c r="C60" s="23">
        <v>0</v>
      </c>
      <c r="E60" s="23">
        <v>131743947</v>
      </c>
      <c r="G60" s="23">
        <v>2106682796</v>
      </c>
      <c r="I60" s="23">
        <v>2238426743</v>
      </c>
      <c r="K60" s="24">
        <v>1.6545748829919549E-2</v>
      </c>
      <c r="M60" s="23">
        <v>544518100</v>
      </c>
      <c r="O60" s="23">
        <v>6655604461</v>
      </c>
      <c r="Q60" s="23">
        <v>15517566298</v>
      </c>
      <c r="S60" s="23">
        <v>22717688859</v>
      </c>
      <c r="U60" s="24">
        <v>1.6810909422923508E-2</v>
      </c>
    </row>
    <row r="61" spans="1:21" ht="18.75" x14ac:dyDescent="0.45">
      <c r="A61" s="30" t="s">
        <v>69</v>
      </c>
      <c r="C61" s="23">
        <v>0</v>
      </c>
      <c r="E61" s="23">
        <v>1421970249</v>
      </c>
      <c r="G61" s="23">
        <v>649518421</v>
      </c>
      <c r="I61" s="23">
        <v>2071488670</v>
      </c>
      <c r="K61" s="24">
        <v>1.5311794922494858E-2</v>
      </c>
      <c r="M61" s="23">
        <v>0</v>
      </c>
      <c r="O61" s="23">
        <v>9532157364</v>
      </c>
      <c r="Q61" s="23">
        <v>786056891</v>
      </c>
      <c r="S61" s="23">
        <v>10318214255</v>
      </c>
      <c r="U61" s="24">
        <v>7.6353966428413592E-3</v>
      </c>
    </row>
    <row r="62" spans="1:21" ht="18.75" x14ac:dyDescent="0.45">
      <c r="A62" s="30" t="s">
        <v>70</v>
      </c>
      <c r="C62" s="23">
        <v>0</v>
      </c>
      <c r="E62" s="23">
        <v>952001284</v>
      </c>
      <c r="G62" s="23">
        <v>38081113</v>
      </c>
      <c r="I62" s="23">
        <v>990082397</v>
      </c>
      <c r="K62" s="24">
        <v>7.3183787286831455E-3</v>
      </c>
      <c r="M62" s="23">
        <v>0</v>
      </c>
      <c r="O62" s="23">
        <v>1472279591</v>
      </c>
      <c r="Q62" s="23">
        <v>38081113</v>
      </c>
      <c r="S62" s="23">
        <v>1510360704</v>
      </c>
      <c r="U62" s="24">
        <v>1.1176549317351921E-3</v>
      </c>
    </row>
    <row r="63" spans="1:21" ht="18.75" x14ac:dyDescent="0.45">
      <c r="A63" s="30" t="s">
        <v>383</v>
      </c>
      <c r="C63" s="23">
        <v>0</v>
      </c>
      <c r="E63" s="23">
        <v>-2428881932</v>
      </c>
      <c r="G63" s="23">
        <v>336531572</v>
      </c>
      <c r="I63" s="23">
        <v>-2092350360</v>
      </c>
      <c r="K63" s="24">
        <v>-1.5465997995696637E-2</v>
      </c>
      <c r="M63" s="23">
        <v>0</v>
      </c>
      <c r="O63" s="23">
        <v>9476511304</v>
      </c>
      <c r="Q63" s="23">
        <v>2601424120</v>
      </c>
      <c r="S63" s="23">
        <v>12077935424</v>
      </c>
      <c r="U63" s="24">
        <v>8.9375763392562282E-3</v>
      </c>
    </row>
    <row r="64" spans="1:21" ht="18.75" x14ac:dyDescent="0.45">
      <c r="A64" s="30" t="s">
        <v>71</v>
      </c>
      <c r="C64" s="23">
        <v>0</v>
      </c>
      <c r="E64" s="23">
        <v>3862403212</v>
      </c>
      <c r="G64" s="23">
        <v>909068031</v>
      </c>
      <c r="I64" s="23">
        <v>4771471243</v>
      </c>
      <c r="K64" s="24">
        <v>3.5269219769084051E-2</v>
      </c>
      <c r="M64" s="23">
        <v>0</v>
      </c>
      <c r="O64" s="23">
        <v>13811580785</v>
      </c>
      <c r="Q64" s="23">
        <v>2194722349</v>
      </c>
      <c r="S64" s="23">
        <v>16006303134</v>
      </c>
      <c r="U64" s="24">
        <v>1.1844537261321361E-2</v>
      </c>
    </row>
    <row r="65" spans="1:21" ht="18.75" x14ac:dyDescent="0.45">
      <c r="A65" s="30" t="s">
        <v>72</v>
      </c>
      <c r="C65" s="23">
        <v>0</v>
      </c>
      <c r="E65" s="23">
        <v>-3792533054</v>
      </c>
      <c r="G65" s="23">
        <v>1559566174</v>
      </c>
      <c r="I65" s="23">
        <v>-2232966880</v>
      </c>
      <c r="K65" s="24">
        <v>-1.6505391234065109E-2</v>
      </c>
      <c r="M65" s="23">
        <v>14908718125</v>
      </c>
      <c r="O65" s="23">
        <v>14439614996</v>
      </c>
      <c r="Q65" s="23">
        <v>10189075082</v>
      </c>
      <c r="S65" s="23">
        <v>39537408203</v>
      </c>
      <c r="U65" s="24">
        <v>2.9257368222756933E-2</v>
      </c>
    </row>
    <row r="66" spans="1:21" ht="18.75" x14ac:dyDescent="0.45">
      <c r="A66" s="30" t="s">
        <v>74</v>
      </c>
      <c r="C66" s="23">
        <v>0</v>
      </c>
      <c r="E66" s="23">
        <v>920811023</v>
      </c>
      <c r="G66" s="23">
        <v>0</v>
      </c>
      <c r="I66" s="23">
        <v>920811023</v>
      </c>
      <c r="K66" s="24">
        <v>6.8063464457899722E-3</v>
      </c>
      <c r="M66" s="23">
        <v>0</v>
      </c>
      <c r="O66" s="23">
        <v>7193114947</v>
      </c>
      <c r="Q66" s="23">
        <v>0</v>
      </c>
      <c r="S66" s="23">
        <v>7193114947</v>
      </c>
      <c r="U66" s="24">
        <v>5.322847961921469E-3</v>
      </c>
    </row>
    <row r="67" spans="1:21" ht="37.5" x14ac:dyDescent="0.45">
      <c r="A67" s="30" t="s">
        <v>75</v>
      </c>
      <c r="C67" s="23">
        <v>0</v>
      </c>
      <c r="E67" s="23">
        <v>588221377</v>
      </c>
      <c r="G67" s="23">
        <v>0</v>
      </c>
      <c r="I67" s="23">
        <v>588221377</v>
      </c>
      <c r="K67" s="24">
        <v>4.3479480356759734E-3</v>
      </c>
      <c r="M67" s="23">
        <v>293697600</v>
      </c>
      <c r="O67" s="23">
        <v>4780978082</v>
      </c>
      <c r="Q67" s="23">
        <v>909400292</v>
      </c>
      <c r="S67" s="23">
        <v>5984075974</v>
      </c>
      <c r="U67" s="24">
        <v>4.4281687192380594E-3</v>
      </c>
    </row>
    <row r="68" spans="1:21" ht="18.75" x14ac:dyDescent="0.45">
      <c r="A68" s="30" t="s">
        <v>76</v>
      </c>
      <c r="C68" s="23">
        <v>0</v>
      </c>
      <c r="E68" s="23">
        <v>-3487457877</v>
      </c>
      <c r="G68" s="23">
        <v>-526166794</v>
      </c>
      <c r="I68" s="23">
        <v>-4013624671</v>
      </c>
      <c r="K68" s="24">
        <v>-2.9667455462461158E-2</v>
      </c>
      <c r="M68" s="23">
        <v>0</v>
      </c>
      <c r="O68" s="23">
        <v>-1940604529</v>
      </c>
      <c r="Q68" s="23">
        <v>-526166794</v>
      </c>
      <c r="S68" s="23">
        <v>-2466771323</v>
      </c>
      <c r="U68" s="24">
        <v>-1.8253911978193885E-3</v>
      </c>
    </row>
    <row r="69" spans="1:21" ht="18.75" x14ac:dyDescent="0.45">
      <c r="A69" s="30" t="s">
        <v>77</v>
      </c>
      <c r="C69" s="23">
        <v>0</v>
      </c>
      <c r="E69" s="23">
        <v>3249154239</v>
      </c>
      <c r="G69" s="23">
        <v>0</v>
      </c>
      <c r="I69" s="23">
        <v>3249154239</v>
      </c>
      <c r="K69" s="24">
        <v>2.4016729659024804E-2</v>
      </c>
      <c r="M69" s="23">
        <v>3073492300</v>
      </c>
      <c r="O69" s="23">
        <v>1884245440</v>
      </c>
      <c r="Q69" s="23">
        <v>-8985536930</v>
      </c>
      <c r="S69" s="23">
        <v>-4027799190</v>
      </c>
      <c r="U69" s="24">
        <v>-2.98053942797926E-3</v>
      </c>
    </row>
    <row r="70" spans="1:21" ht="18.75" x14ac:dyDescent="0.45">
      <c r="A70" s="30" t="s">
        <v>78</v>
      </c>
      <c r="C70" s="23">
        <v>0</v>
      </c>
      <c r="E70" s="23">
        <v>-4241503091</v>
      </c>
      <c r="G70" s="23">
        <v>-400011729</v>
      </c>
      <c r="I70" s="23">
        <v>-4641514820</v>
      </c>
      <c r="K70" s="24">
        <v>-3.4308622626239439E-2</v>
      </c>
      <c r="M70" s="23">
        <v>1113775480</v>
      </c>
      <c r="O70" s="23">
        <v>-7507759020</v>
      </c>
      <c r="Q70" s="23">
        <v>-8730734719</v>
      </c>
      <c r="S70" s="23">
        <v>-15124718259</v>
      </c>
      <c r="U70" s="24">
        <v>-1.1192171451831323E-2</v>
      </c>
    </row>
    <row r="71" spans="1:21" ht="18.75" x14ac:dyDescent="0.45">
      <c r="A71" s="30" t="s">
        <v>79</v>
      </c>
      <c r="C71" s="23">
        <v>0</v>
      </c>
      <c r="E71" s="23">
        <v>-2568672862</v>
      </c>
      <c r="G71" s="23">
        <v>-788138196</v>
      </c>
      <c r="I71" s="23">
        <v>-3356811058</v>
      </c>
      <c r="K71" s="24">
        <v>-2.4812495119106298E-2</v>
      </c>
      <c r="M71" s="23">
        <v>4034657942</v>
      </c>
      <c r="O71" s="23">
        <v>-6355085034</v>
      </c>
      <c r="Q71" s="23">
        <v>-6817238234</v>
      </c>
      <c r="S71" s="23">
        <v>-9137665326</v>
      </c>
      <c r="U71" s="24">
        <v>-6.7617998065643281E-3</v>
      </c>
    </row>
    <row r="72" spans="1:21" ht="18.75" x14ac:dyDescent="0.45">
      <c r="A72" s="30" t="s">
        <v>80</v>
      </c>
      <c r="C72" s="23">
        <v>0</v>
      </c>
      <c r="E72" s="23">
        <v>-2409124637</v>
      </c>
      <c r="G72" s="23">
        <v>620243792</v>
      </c>
      <c r="I72" s="23">
        <v>-1788880845</v>
      </c>
      <c r="K72" s="24">
        <v>-1.3222846465976237E-2</v>
      </c>
      <c r="M72" s="23">
        <v>0</v>
      </c>
      <c r="O72" s="23">
        <v>5588438475</v>
      </c>
      <c r="Q72" s="23">
        <v>1890316872</v>
      </c>
      <c r="S72" s="23">
        <v>7478755347</v>
      </c>
      <c r="U72" s="24">
        <v>5.5342195905114652E-3</v>
      </c>
    </row>
    <row r="73" spans="1:21" ht="18.75" x14ac:dyDescent="0.45">
      <c r="A73" s="30" t="s">
        <v>81</v>
      </c>
      <c r="C73" s="23">
        <v>0</v>
      </c>
      <c r="E73" s="23">
        <v>-44652150</v>
      </c>
      <c r="G73" s="23">
        <v>0</v>
      </c>
      <c r="I73" s="23">
        <v>-44652150</v>
      </c>
      <c r="K73" s="24">
        <v>-3.3005469619511787E-4</v>
      </c>
      <c r="M73" s="23">
        <v>0</v>
      </c>
      <c r="O73" s="23">
        <v>565821802</v>
      </c>
      <c r="Q73" s="23">
        <v>996775833</v>
      </c>
      <c r="S73" s="23">
        <v>1562597635</v>
      </c>
      <c r="U73" s="24">
        <v>1.1563098460190724E-3</v>
      </c>
    </row>
    <row r="74" spans="1:21" ht="18.75" x14ac:dyDescent="0.45">
      <c r="A74" s="30" t="s">
        <v>82</v>
      </c>
      <c r="C74" s="23">
        <v>0</v>
      </c>
      <c r="E74" s="23">
        <v>1267553275</v>
      </c>
      <c r="G74" s="23">
        <v>0</v>
      </c>
      <c r="I74" s="23">
        <v>1267553275</v>
      </c>
      <c r="K74" s="24">
        <v>9.3693564831984957E-3</v>
      </c>
      <c r="M74" s="23">
        <v>0</v>
      </c>
      <c r="O74" s="23">
        <v>949038476</v>
      </c>
      <c r="Q74" s="23">
        <v>0</v>
      </c>
      <c r="S74" s="23">
        <v>949038476</v>
      </c>
      <c r="U74" s="24">
        <v>7.0228093878417725E-4</v>
      </c>
    </row>
    <row r="75" spans="1:21" ht="18.75" x14ac:dyDescent="0.45">
      <c r="A75" s="30" t="s">
        <v>83</v>
      </c>
      <c r="C75" s="23">
        <v>0</v>
      </c>
      <c r="E75" s="23">
        <v>152412672</v>
      </c>
      <c r="G75" s="23">
        <v>0</v>
      </c>
      <c r="I75" s="23">
        <v>152412672</v>
      </c>
      <c r="K75" s="24">
        <v>1.1265866963460025E-3</v>
      </c>
      <c r="M75" s="23">
        <v>0</v>
      </c>
      <c r="O75" s="23">
        <v>4171414885</v>
      </c>
      <c r="Q75" s="23">
        <v>429738070</v>
      </c>
      <c r="S75" s="23">
        <v>4601152955</v>
      </c>
      <c r="U75" s="24">
        <v>3.4048166628040813E-3</v>
      </c>
    </row>
    <row r="76" spans="1:21" ht="18.75" x14ac:dyDescent="0.45">
      <c r="A76" s="30" t="s">
        <v>84</v>
      </c>
      <c r="C76" s="23">
        <v>0</v>
      </c>
      <c r="E76" s="23">
        <v>1614695338</v>
      </c>
      <c r="G76" s="23">
        <v>0</v>
      </c>
      <c r="I76" s="23">
        <v>1614695338</v>
      </c>
      <c r="K76" s="24">
        <v>1.1935321798194783E-2</v>
      </c>
      <c r="M76" s="23">
        <v>0</v>
      </c>
      <c r="O76" s="23">
        <v>19658224832</v>
      </c>
      <c r="Q76" s="23">
        <v>124525678</v>
      </c>
      <c r="S76" s="23">
        <v>19782750510</v>
      </c>
      <c r="U76" s="24">
        <v>1.4639078342168248E-2</v>
      </c>
    </row>
    <row r="77" spans="1:21" ht="18.75" x14ac:dyDescent="0.45">
      <c r="A77" s="30" t="s">
        <v>85</v>
      </c>
      <c r="C77" s="23">
        <v>0</v>
      </c>
      <c r="E77" s="23">
        <v>-8189027615</v>
      </c>
      <c r="G77" s="23">
        <v>0</v>
      </c>
      <c r="I77" s="23">
        <v>-8189027615</v>
      </c>
      <c r="K77" s="24">
        <v>-6.0530725208131207E-2</v>
      </c>
      <c r="M77" s="23">
        <v>0</v>
      </c>
      <c r="O77" s="23">
        <v>8374474825</v>
      </c>
      <c r="Q77" s="23">
        <v>352329641</v>
      </c>
      <c r="S77" s="23">
        <v>8726804466</v>
      </c>
      <c r="U77" s="24">
        <v>6.4577660315728131E-3</v>
      </c>
    </row>
    <row r="78" spans="1:21" ht="37.5" x14ac:dyDescent="0.45">
      <c r="A78" s="30" t="s">
        <v>87</v>
      </c>
      <c r="C78" s="23">
        <v>0</v>
      </c>
      <c r="E78" s="23">
        <v>2984811900</v>
      </c>
      <c r="G78" s="23">
        <v>2534686085</v>
      </c>
      <c r="I78" s="23">
        <v>5519497985</v>
      </c>
      <c r="K78" s="24">
        <v>4.0798398970458095E-2</v>
      </c>
      <c r="M78" s="23">
        <v>3268000000</v>
      </c>
      <c r="O78" s="23">
        <v>6182785988</v>
      </c>
      <c r="Q78" s="23">
        <v>2263831981</v>
      </c>
      <c r="S78" s="23">
        <v>11714617969</v>
      </c>
      <c r="U78" s="24">
        <v>8.6687243065657459E-3</v>
      </c>
    </row>
    <row r="79" spans="1:21" ht="18.75" x14ac:dyDescent="0.45">
      <c r="A79" s="30" t="s">
        <v>88</v>
      </c>
      <c r="C79" s="23">
        <v>0</v>
      </c>
      <c r="E79" s="23">
        <v>1795688752</v>
      </c>
      <c r="G79" s="23">
        <v>488192539</v>
      </c>
      <c r="I79" s="23">
        <v>2283881291</v>
      </c>
      <c r="K79" s="24">
        <v>1.6881734600612035E-2</v>
      </c>
      <c r="M79" s="23">
        <v>0</v>
      </c>
      <c r="O79" s="23">
        <v>2790663598</v>
      </c>
      <c r="Q79" s="23">
        <v>954507964</v>
      </c>
      <c r="S79" s="23">
        <v>3745171562</v>
      </c>
      <c r="U79" s="24">
        <v>2.7713972267539165E-3</v>
      </c>
    </row>
    <row r="80" spans="1:21" ht="18.75" x14ac:dyDescent="0.45">
      <c r="A80" s="30" t="s">
        <v>90</v>
      </c>
      <c r="C80" s="23">
        <v>0</v>
      </c>
      <c r="E80" s="23">
        <v>1059019362</v>
      </c>
      <c r="G80" s="23">
        <v>3941410423</v>
      </c>
      <c r="I80" s="23">
        <v>5000429785</v>
      </c>
      <c r="K80" s="24">
        <v>3.6961609542501168E-2</v>
      </c>
      <c r="M80" s="23">
        <v>0</v>
      </c>
      <c r="O80" s="23">
        <v>6525346358</v>
      </c>
      <c r="Q80" s="23">
        <v>4359940545</v>
      </c>
      <c r="S80" s="23">
        <v>10885286903</v>
      </c>
      <c r="U80" s="24">
        <v>8.0550259009456102E-3</v>
      </c>
    </row>
    <row r="81" spans="1:21" ht="18.75" x14ac:dyDescent="0.45">
      <c r="A81" s="30" t="s">
        <v>91</v>
      </c>
      <c r="C81" s="23">
        <v>0</v>
      </c>
      <c r="E81" s="23">
        <v>2149707406</v>
      </c>
      <c r="G81" s="23">
        <v>742909210</v>
      </c>
      <c r="I81" s="23">
        <v>2892616616</v>
      </c>
      <c r="K81" s="24">
        <v>2.138131530962854E-2</v>
      </c>
      <c r="M81" s="23">
        <v>0</v>
      </c>
      <c r="O81" s="23">
        <v>7844672919</v>
      </c>
      <c r="Q81" s="23">
        <v>4452834123</v>
      </c>
      <c r="S81" s="23">
        <v>12297507042</v>
      </c>
      <c r="U81" s="24">
        <v>9.1000575936194088E-3</v>
      </c>
    </row>
    <row r="82" spans="1:21" ht="37.5" x14ac:dyDescent="0.45">
      <c r="A82" s="30" t="s">
        <v>92</v>
      </c>
      <c r="C82" s="23">
        <v>0</v>
      </c>
      <c r="E82" s="23">
        <v>-459376648</v>
      </c>
      <c r="G82" s="23">
        <v>1035310529</v>
      </c>
      <c r="I82" s="23">
        <v>575933881</v>
      </c>
      <c r="K82" s="24">
        <v>4.2571227168664927E-3</v>
      </c>
      <c r="M82" s="23">
        <v>2776303170</v>
      </c>
      <c r="O82" s="23">
        <v>5673192106</v>
      </c>
      <c r="Q82" s="23">
        <v>1783046658</v>
      </c>
      <c r="S82" s="23">
        <v>10232541934</v>
      </c>
      <c r="U82" s="24">
        <v>7.5719998053671959E-3</v>
      </c>
    </row>
    <row r="83" spans="1:21" ht="18.75" x14ac:dyDescent="0.45">
      <c r="A83" s="30" t="s">
        <v>93</v>
      </c>
      <c r="C83" s="23">
        <v>0</v>
      </c>
      <c r="E83" s="23">
        <v>734908486</v>
      </c>
      <c r="G83" s="23">
        <v>442528114</v>
      </c>
      <c r="I83" s="23">
        <v>1177436600</v>
      </c>
      <c r="K83" s="24">
        <v>8.7032422694542713E-3</v>
      </c>
      <c r="M83" s="23">
        <v>0</v>
      </c>
      <c r="O83" s="23">
        <v>6004669986</v>
      </c>
      <c r="Q83" s="23">
        <v>442528114</v>
      </c>
      <c r="S83" s="23">
        <v>6447198100</v>
      </c>
      <c r="U83" s="24">
        <v>4.7708754162202839E-3</v>
      </c>
    </row>
    <row r="84" spans="1:21" ht="37.5" x14ac:dyDescent="0.45">
      <c r="A84" s="30" t="s">
        <v>94</v>
      </c>
      <c r="C84" s="23">
        <v>0</v>
      </c>
      <c r="E84" s="23">
        <v>-99971202</v>
      </c>
      <c r="G84" s="23">
        <v>0</v>
      </c>
      <c r="I84" s="23">
        <v>-99971202</v>
      </c>
      <c r="K84" s="24">
        <v>-7.3895578834100404E-4</v>
      </c>
      <c r="M84" s="23">
        <v>552500000</v>
      </c>
      <c r="O84" s="23">
        <v>-224264781</v>
      </c>
      <c r="Q84" s="23">
        <v>564732799</v>
      </c>
      <c r="S84" s="23">
        <v>892968018</v>
      </c>
      <c r="U84" s="24">
        <v>6.6078924495078747E-4</v>
      </c>
    </row>
    <row r="85" spans="1:21" ht="18.75" x14ac:dyDescent="0.45">
      <c r="A85" s="30" t="s">
        <v>96</v>
      </c>
      <c r="C85" s="23">
        <v>0</v>
      </c>
      <c r="E85" s="23">
        <v>1739604960</v>
      </c>
      <c r="G85" s="23">
        <v>466464362</v>
      </c>
      <c r="I85" s="23">
        <v>2206069322</v>
      </c>
      <c r="K85" s="24">
        <v>1.6306572916602667E-2</v>
      </c>
      <c r="M85" s="23">
        <v>0</v>
      </c>
      <c r="O85" s="23">
        <v>5735983860</v>
      </c>
      <c r="Q85" s="23">
        <v>946009529</v>
      </c>
      <c r="S85" s="23">
        <v>6681993389</v>
      </c>
      <c r="U85" s="24">
        <v>4.9446220662781497E-3</v>
      </c>
    </row>
    <row r="86" spans="1:21" ht="18.75" x14ac:dyDescent="0.45">
      <c r="A86" s="30" t="s">
        <v>97</v>
      </c>
      <c r="C86" s="23">
        <v>0</v>
      </c>
      <c r="E86" s="23">
        <v>-10949363</v>
      </c>
      <c r="G86" s="23">
        <v>0</v>
      </c>
      <c r="I86" s="23">
        <v>-10949363</v>
      </c>
      <c r="K86" s="24">
        <v>-8.093425912291042E-5</v>
      </c>
      <c r="M86" s="23">
        <v>1450000000</v>
      </c>
      <c r="O86" s="23">
        <v>2935826908</v>
      </c>
      <c r="Q86" s="23">
        <v>211040316</v>
      </c>
      <c r="S86" s="23">
        <v>4596867224</v>
      </c>
      <c r="U86" s="24">
        <v>3.4016452558841615E-3</v>
      </c>
    </row>
    <row r="87" spans="1:21" ht="18.75" x14ac:dyDescent="0.45">
      <c r="A87" s="30" t="s">
        <v>98</v>
      </c>
      <c r="C87" s="23">
        <v>0</v>
      </c>
      <c r="E87" s="23">
        <v>-3624675886</v>
      </c>
      <c r="G87" s="23">
        <v>0</v>
      </c>
      <c r="I87" s="23">
        <v>-3624675886</v>
      </c>
      <c r="K87" s="24">
        <v>-2.6792467963121593E-2</v>
      </c>
      <c r="M87" s="23">
        <v>0</v>
      </c>
      <c r="O87" s="23">
        <v>-3624675886</v>
      </c>
      <c r="Q87" s="23">
        <v>0</v>
      </c>
      <c r="S87" s="23">
        <v>-3624675886</v>
      </c>
      <c r="U87" s="24">
        <v>-2.6822313830071197E-3</v>
      </c>
    </row>
    <row r="88" spans="1:21" ht="18.75" x14ac:dyDescent="0.45">
      <c r="A88" s="30" t="s">
        <v>99</v>
      </c>
      <c r="C88" s="23">
        <v>0</v>
      </c>
      <c r="E88" s="23">
        <v>-2204416787</v>
      </c>
      <c r="G88" s="23">
        <v>0</v>
      </c>
      <c r="I88" s="23">
        <v>-2204416787</v>
      </c>
      <c r="K88" s="24">
        <v>-1.6294357895884137E-2</v>
      </c>
      <c r="M88" s="23">
        <v>0</v>
      </c>
      <c r="O88" s="23">
        <v>5888373</v>
      </c>
      <c r="Q88" s="23">
        <v>0</v>
      </c>
      <c r="S88" s="23">
        <v>5888373</v>
      </c>
      <c r="U88" s="24">
        <v>4.3573492781670976E-6</v>
      </c>
    </row>
    <row r="89" spans="1:21" ht="18.75" x14ac:dyDescent="0.45">
      <c r="A89" s="30" t="s">
        <v>100</v>
      </c>
      <c r="C89" s="23">
        <v>0</v>
      </c>
      <c r="E89" s="23">
        <v>-7383329267</v>
      </c>
      <c r="G89" s="23">
        <v>791894143</v>
      </c>
      <c r="I89" s="23">
        <v>-6591435124</v>
      </c>
      <c r="K89" s="24">
        <v>-4.8721822293924237E-2</v>
      </c>
      <c r="M89" s="23">
        <v>5807092200</v>
      </c>
      <c r="O89" s="23">
        <v>1891746738</v>
      </c>
      <c r="Q89" s="23">
        <v>10721394351</v>
      </c>
      <c r="S89" s="23">
        <v>18420233289</v>
      </c>
      <c r="U89" s="24">
        <v>1.3630826414273295E-2</v>
      </c>
    </row>
    <row r="90" spans="1:21" ht="18.75" x14ac:dyDescent="0.45">
      <c r="A90" s="30" t="s">
        <v>101</v>
      </c>
      <c r="C90" s="23">
        <v>0</v>
      </c>
      <c r="E90" s="23">
        <v>-524188159</v>
      </c>
      <c r="G90" s="23">
        <v>0</v>
      </c>
      <c r="I90" s="23">
        <v>-524188159</v>
      </c>
      <c r="K90" s="24">
        <v>-3.8746345599892313E-3</v>
      </c>
      <c r="M90" s="23">
        <v>0</v>
      </c>
      <c r="O90" s="23">
        <v>6022242289</v>
      </c>
      <c r="Q90" s="23">
        <v>3093732407</v>
      </c>
      <c r="S90" s="23">
        <v>9115974696</v>
      </c>
      <c r="U90" s="24">
        <v>6.7457489125442843E-3</v>
      </c>
    </row>
    <row r="91" spans="1:21" ht="18.75" x14ac:dyDescent="0.45">
      <c r="A91" s="30" t="s">
        <v>102</v>
      </c>
      <c r="C91" s="23">
        <v>0</v>
      </c>
      <c r="E91" s="23">
        <v>-1952364805</v>
      </c>
      <c r="G91" s="23">
        <v>0</v>
      </c>
      <c r="I91" s="23">
        <v>-1952364805</v>
      </c>
      <c r="K91" s="24">
        <v>-1.4431268652826696E-2</v>
      </c>
      <c r="M91" s="23">
        <v>0</v>
      </c>
      <c r="O91" s="23">
        <v>136452946</v>
      </c>
      <c r="Q91" s="23">
        <v>-148993256</v>
      </c>
      <c r="S91" s="23">
        <v>-12540310</v>
      </c>
      <c r="U91" s="24">
        <v>-9.2797298551724947E-6</v>
      </c>
    </row>
    <row r="92" spans="1:21" ht="18.75" x14ac:dyDescent="0.45">
      <c r="A92" s="30" t="s">
        <v>103</v>
      </c>
      <c r="C92" s="23">
        <v>0</v>
      </c>
      <c r="E92" s="23">
        <v>-1494533429</v>
      </c>
      <c r="G92" s="23">
        <v>-232607785</v>
      </c>
      <c r="I92" s="23">
        <v>-1727141214</v>
      </c>
      <c r="K92" s="24">
        <v>-1.2766486466448694E-2</v>
      </c>
      <c r="M92" s="23">
        <v>6240576192</v>
      </c>
      <c r="O92" s="23">
        <v>-211712422</v>
      </c>
      <c r="Q92" s="23">
        <v>-386587392</v>
      </c>
      <c r="S92" s="23">
        <v>5642276378</v>
      </c>
      <c r="U92" s="24">
        <v>4.1752397313990748E-3</v>
      </c>
    </row>
    <row r="93" spans="1:21" ht="18.75" x14ac:dyDescent="0.45">
      <c r="A93" s="30" t="s">
        <v>384</v>
      </c>
      <c r="C93" s="23">
        <v>0</v>
      </c>
      <c r="E93" s="23">
        <v>0</v>
      </c>
      <c r="G93" s="23">
        <v>-2241134913</v>
      </c>
      <c r="I93" s="23">
        <v>-2241134913</v>
      </c>
      <c r="K93" s="24">
        <v>-1.6565766773660104E-2</v>
      </c>
      <c r="M93" s="23">
        <v>0</v>
      </c>
      <c r="O93" s="23">
        <v>0</v>
      </c>
      <c r="Q93" s="23">
        <v>-2241134913</v>
      </c>
      <c r="S93" s="23">
        <v>-2241134913</v>
      </c>
      <c r="U93" s="24">
        <v>-1.658422045518453E-3</v>
      </c>
    </row>
    <row r="94" spans="1:21" ht="18.75" x14ac:dyDescent="0.45">
      <c r="A94" s="30" t="s">
        <v>104</v>
      </c>
      <c r="C94" s="23">
        <v>0</v>
      </c>
      <c r="E94" s="23">
        <v>-4683228815</v>
      </c>
      <c r="G94" s="23">
        <v>-160816908</v>
      </c>
      <c r="I94" s="23">
        <v>-4844045723</v>
      </c>
      <c r="K94" s="24">
        <v>-3.5805667576141918E-2</v>
      </c>
      <c r="M94" s="23">
        <v>2642052540</v>
      </c>
      <c r="O94" s="23">
        <v>-853436827</v>
      </c>
      <c r="Q94" s="23">
        <v>22844740631</v>
      </c>
      <c r="S94" s="23">
        <v>24633356344</v>
      </c>
      <c r="U94" s="24">
        <v>1.8228488155278423E-2</v>
      </c>
    </row>
    <row r="95" spans="1:21" ht="18.75" x14ac:dyDescent="0.45">
      <c r="A95" s="30" t="s">
        <v>105</v>
      </c>
      <c r="C95" s="23">
        <v>0</v>
      </c>
      <c r="E95" s="23">
        <v>4108631632</v>
      </c>
      <c r="G95" s="23">
        <v>0</v>
      </c>
      <c r="I95" s="23">
        <v>4108631632</v>
      </c>
      <c r="K95" s="24">
        <v>3.0369717137414692E-2</v>
      </c>
      <c r="M95" s="23">
        <v>0</v>
      </c>
      <c r="O95" s="23">
        <v>5528462527</v>
      </c>
      <c r="Q95" s="23">
        <v>627471740</v>
      </c>
      <c r="S95" s="23">
        <v>6155934267</v>
      </c>
      <c r="U95" s="24">
        <v>4.5553424918490298E-3</v>
      </c>
    </row>
    <row r="96" spans="1:21" ht="18.75" x14ac:dyDescent="0.45">
      <c r="A96" s="30" t="s">
        <v>107</v>
      </c>
      <c r="C96" s="23">
        <v>0</v>
      </c>
      <c r="E96" s="23">
        <v>-154430433</v>
      </c>
      <c r="G96" s="23">
        <v>0</v>
      </c>
      <c r="I96" s="23">
        <v>-154430433</v>
      </c>
      <c r="K96" s="24">
        <v>-1.1415013531732628E-3</v>
      </c>
      <c r="M96" s="23">
        <v>0</v>
      </c>
      <c r="O96" s="23">
        <v>2238288155</v>
      </c>
      <c r="Q96" s="23">
        <v>0</v>
      </c>
      <c r="S96" s="23">
        <v>2238288155</v>
      </c>
      <c r="U96" s="24">
        <v>1.6563154671959833E-3</v>
      </c>
    </row>
    <row r="97" spans="1:21" ht="18.75" x14ac:dyDescent="0.45">
      <c r="A97" s="30" t="s">
        <v>108</v>
      </c>
      <c r="C97" s="23">
        <v>0</v>
      </c>
      <c r="E97" s="23">
        <v>-1760760502</v>
      </c>
      <c r="G97" s="23">
        <v>-235293466</v>
      </c>
      <c r="I97" s="23">
        <v>-1996053968</v>
      </c>
      <c r="K97" s="24">
        <v>-1.4754205250974468E-2</v>
      </c>
      <c r="M97" s="23">
        <v>0</v>
      </c>
      <c r="O97" s="23">
        <v>-793764456</v>
      </c>
      <c r="Q97" s="23">
        <v>-432808900</v>
      </c>
      <c r="S97" s="23">
        <v>-1226573356</v>
      </c>
      <c r="U97" s="24">
        <v>-9.0765454691569202E-4</v>
      </c>
    </row>
    <row r="98" spans="1:21" ht="18.75" x14ac:dyDescent="0.45">
      <c r="A98" s="30" t="s">
        <v>109</v>
      </c>
      <c r="C98" s="23">
        <v>0</v>
      </c>
      <c r="E98" s="23">
        <v>-1595086317</v>
      </c>
      <c r="G98" s="23">
        <v>111904614</v>
      </c>
      <c r="I98" s="23">
        <v>-1483181703</v>
      </c>
      <c r="K98" s="24">
        <v>-1.0963214232367817E-2</v>
      </c>
      <c r="M98" s="23">
        <v>0</v>
      </c>
      <c r="O98" s="23">
        <v>1021745352</v>
      </c>
      <c r="Q98" s="23">
        <v>111904614</v>
      </c>
      <c r="S98" s="23">
        <v>1133649966</v>
      </c>
      <c r="U98" s="24">
        <v>8.3889197594042605E-4</v>
      </c>
    </row>
    <row r="99" spans="1:21" ht="18.75" x14ac:dyDescent="0.45">
      <c r="A99" s="30" t="s">
        <v>110</v>
      </c>
      <c r="C99" s="23">
        <v>0</v>
      </c>
      <c r="E99" s="23">
        <v>-5105173622</v>
      </c>
      <c r="G99" s="23">
        <v>0</v>
      </c>
      <c r="I99" s="23">
        <v>-5105173622</v>
      </c>
      <c r="K99" s="24">
        <v>-3.7735843152738216E-2</v>
      </c>
      <c r="M99" s="23">
        <v>0</v>
      </c>
      <c r="O99" s="23">
        <v>-2360548856</v>
      </c>
      <c r="Q99" s="23">
        <v>40472544</v>
      </c>
      <c r="S99" s="23">
        <v>-2320076312</v>
      </c>
      <c r="U99" s="24">
        <v>-1.7168380541425928E-3</v>
      </c>
    </row>
    <row r="100" spans="1:21" ht="18.75" x14ac:dyDescent="0.45">
      <c r="A100" s="30" t="s">
        <v>111</v>
      </c>
      <c r="C100" s="23">
        <v>0</v>
      </c>
      <c r="E100" s="23">
        <v>-1313541545</v>
      </c>
      <c r="G100" s="23">
        <v>0</v>
      </c>
      <c r="I100" s="23">
        <v>-1313541545</v>
      </c>
      <c r="K100" s="24">
        <v>-9.7092873596151767E-3</v>
      </c>
      <c r="M100" s="23">
        <v>0</v>
      </c>
      <c r="O100" s="23">
        <v>7277970354</v>
      </c>
      <c r="Q100" s="23">
        <v>0</v>
      </c>
      <c r="S100" s="23">
        <v>7277970354</v>
      </c>
      <c r="U100" s="24">
        <v>5.3856402895202859E-3</v>
      </c>
    </row>
    <row r="101" spans="1:21" ht="18.75" x14ac:dyDescent="0.45">
      <c r="A101" s="30" t="s">
        <v>112</v>
      </c>
      <c r="C101" s="23">
        <v>0</v>
      </c>
      <c r="E101" s="23">
        <v>-3136804751</v>
      </c>
      <c r="G101" s="23">
        <v>-1648116139</v>
      </c>
      <c r="I101" s="23">
        <v>-4784920890</v>
      </c>
      <c r="K101" s="24">
        <v>-3.5368635343799193E-2</v>
      </c>
      <c r="M101" s="23">
        <v>0</v>
      </c>
      <c r="O101" s="23">
        <v>-1037133807</v>
      </c>
      <c r="Q101" s="23">
        <v>-1648116139</v>
      </c>
      <c r="S101" s="23">
        <v>-2685249946</v>
      </c>
      <c r="U101" s="24">
        <v>-1.9870636445587495E-3</v>
      </c>
    </row>
    <row r="102" spans="1:21" ht="18.75" x14ac:dyDescent="0.45">
      <c r="A102" s="30" t="s">
        <v>113</v>
      </c>
      <c r="C102" s="23">
        <v>0</v>
      </c>
      <c r="E102" s="23">
        <v>-340040522</v>
      </c>
      <c r="G102" s="23">
        <v>-384615371</v>
      </c>
      <c r="I102" s="23">
        <v>-724655893</v>
      </c>
      <c r="K102" s="24">
        <v>-5.3564292113619802E-3</v>
      </c>
      <c r="M102" s="23">
        <v>0</v>
      </c>
      <c r="O102" s="23">
        <v>13180873</v>
      </c>
      <c r="Q102" s="23">
        <v>-384615371</v>
      </c>
      <c r="S102" s="23">
        <v>-371434498</v>
      </c>
      <c r="U102" s="24">
        <v>-2.7485858007749478E-4</v>
      </c>
    </row>
    <row r="103" spans="1:21" ht="18.75" x14ac:dyDescent="0.45">
      <c r="A103" s="30" t="s">
        <v>114</v>
      </c>
      <c r="C103" s="23">
        <v>0</v>
      </c>
      <c r="E103" s="23">
        <v>4013251050</v>
      </c>
      <c r="G103" s="23">
        <v>0</v>
      </c>
      <c r="I103" s="23">
        <v>4013251050</v>
      </c>
      <c r="K103" s="24">
        <v>2.9664693773143912E-2</v>
      </c>
      <c r="M103" s="23">
        <v>0</v>
      </c>
      <c r="O103" s="23">
        <v>8418359626</v>
      </c>
      <c r="Q103" s="23">
        <v>1737690281</v>
      </c>
      <c r="S103" s="23">
        <v>10156049907</v>
      </c>
      <c r="U103" s="24">
        <v>7.5153963125799712E-3</v>
      </c>
    </row>
    <row r="104" spans="1:21" ht="18.75" x14ac:dyDescent="0.45">
      <c r="A104" s="30" t="s">
        <v>115</v>
      </c>
      <c r="C104" s="23">
        <v>0</v>
      </c>
      <c r="E104" s="23">
        <v>-524699491</v>
      </c>
      <c r="G104" s="23">
        <v>880582042</v>
      </c>
      <c r="I104" s="23">
        <v>355882551</v>
      </c>
      <c r="K104" s="24">
        <v>2.6305722625102833E-3</v>
      </c>
      <c r="M104" s="23">
        <v>0</v>
      </c>
      <c r="O104" s="23">
        <v>5751809931</v>
      </c>
      <c r="Q104" s="23">
        <v>1895518907</v>
      </c>
      <c r="S104" s="23">
        <v>7647328838</v>
      </c>
      <c r="U104" s="24">
        <v>5.6589626357171543E-3</v>
      </c>
    </row>
    <row r="105" spans="1:21" ht="18.75" x14ac:dyDescent="0.45">
      <c r="A105" s="30" t="s">
        <v>116</v>
      </c>
      <c r="C105" s="23">
        <v>0</v>
      </c>
      <c r="E105" s="23">
        <v>5126250013</v>
      </c>
      <c r="G105" s="23">
        <v>0</v>
      </c>
      <c r="I105" s="23">
        <v>5126250013</v>
      </c>
      <c r="K105" s="24">
        <v>3.7891633228432094E-2</v>
      </c>
      <c r="M105" s="23">
        <v>0</v>
      </c>
      <c r="O105" s="23">
        <v>8513446348</v>
      </c>
      <c r="Q105" s="23">
        <v>445423398</v>
      </c>
      <c r="S105" s="23">
        <v>8958869746</v>
      </c>
      <c r="U105" s="24">
        <v>6.629492496641457E-3</v>
      </c>
    </row>
    <row r="106" spans="1:21" ht="37.5" x14ac:dyDescent="0.45">
      <c r="A106" s="30" t="s">
        <v>385</v>
      </c>
      <c r="C106" s="23">
        <v>0</v>
      </c>
      <c r="E106" s="23">
        <v>3027354621</v>
      </c>
      <c r="G106" s="23">
        <v>0</v>
      </c>
      <c r="I106" s="23">
        <v>3027354621</v>
      </c>
      <c r="K106" s="24">
        <v>2.2377256407788679E-2</v>
      </c>
      <c r="M106" s="23">
        <v>0</v>
      </c>
      <c r="O106" s="23">
        <v>6545598665</v>
      </c>
      <c r="Q106" s="23">
        <v>3973131408</v>
      </c>
      <c r="S106" s="23">
        <v>10518730073</v>
      </c>
      <c r="U106" s="24">
        <v>7.7837767564692467E-3</v>
      </c>
    </row>
    <row r="107" spans="1:21" ht="37.5" x14ac:dyDescent="0.45">
      <c r="A107" s="30" t="s">
        <v>386</v>
      </c>
      <c r="C107" s="23">
        <v>0</v>
      </c>
      <c r="E107" s="23">
        <v>-5906385254</v>
      </c>
      <c r="G107" s="23">
        <v>-917535684</v>
      </c>
      <c r="I107" s="23">
        <v>-6823920938</v>
      </c>
      <c r="K107" s="24">
        <v>-5.0440284556311263E-2</v>
      </c>
      <c r="M107" s="23">
        <v>0</v>
      </c>
      <c r="O107" s="23">
        <v>-1193659079</v>
      </c>
      <c r="Q107" s="23">
        <v>-763427501</v>
      </c>
      <c r="S107" s="23">
        <v>-1957086580</v>
      </c>
      <c r="U107" s="24">
        <v>-1.4482285338706486E-3</v>
      </c>
    </row>
    <row r="108" spans="1:21" ht="18.75" x14ac:dyDescent="0.45">
      <c r="A108" s="30" t="s">
        <v>387</v>
      </c>
      <c r="C108" s="23">
        <v>0</v>
      </c>
      <c r="E108" s="23">
        <v>99045768</v>
      </c>
      <c r="G108" s="23">
        <v>0</v>
      </c>
      <c r="I108" s="23">
        <v>99045768</v>
      </c>
      <c r="K108" s="24">
        <v>7.3211527029834239E-4</v>
      </c>
      <c r="M108" s="23">
        <v>0</v>
      </c>
      <c r="O108" s="23">
        <v>99045768</v>
      </c>
      <c r="Q108" s="23">
        <v>0</v>
      </c>
      <c r="S108" s="23">
        <v>99045768</v>
      </c>
      <c r="U108" s="24">
        <v>7.3293082095904217E-5</v>
      </c>
    </row>
    <row r="109" spans="1:21" ht="18.75" x14ac:dyDescent="0.45">
      <c r="A109" s="30" t="s">
        <v>388</v>
      </c>
      <c r="C109" s="23">
        <v>0</v>
      </c>
      <c r="E109" s="23">
        <v>4774205887</v>
      </c>
      <c r="G109" s="23">
        <v>0</v>
      </c>
      <c r="I109" s="23">
        <v>4774205887</v>
      </c>
      <c r="K109" s="24">
        <v>3.5289433400334101E-2</v>
      </c>
      <c r="M109" s="23">
        <v>0</v>
      </c>
      <c r="O109" s="23">
        <v>4821023590</v>
      </c>
      <c r="Q109" s="23">
        <v>0</v>
      </c>
      <c r="S109" s="23">
        <v>4821023590</v>
      </c>
      <c r="U109" s="24">
        <v>3.5675191873736681E-3</v>
      </c>
    </row>
    <row r="110" spans="1:21" ht="18.75" x14ac:dyDescent="0.45">
      <c r="A110" s="30" t="s">
        <v>389</v>
      </c>
      <c r="C110" s="23">
        <v>0</v>
      </c>
      <c r="E110" s="23">
        <v>3855903728</v>
      </c>
      <c r="G110" s="23">
        <v>0</v>
      </c>
      <c r="I110" s="23">
        <v>3855903728</v>
      </c>
      <c r="K110" s="24">
        <v>2.850163169080688E-2</v>
      </c>
      <c r="M110" s="23">
        <v>0</v>
      </c>
      <c r="O110" s="23">
        <v>13939778562</v>
      </c>
      <c r="Q110" s="23">
        <v>0</v>
      </c>
      <c r="S110" s="23">
        <v>13939778562</v>
      </c>
      <c r="U110" s="24">
        <v>1.0315325482088154E-2</v>
      </c>
    </row>
    <row r="111" spans="1:21" ht="18.75" x14ac:dyDescent="0.45">
      <c r="A111" s="30" t="s">
        <v>119</v>
      </c>
      <c r="C111" s="23">
        <v>0</v>
      </c>
      <c r="E111" s="23">
        <v>-2224887114</v>
      </c>
      <c r="G111" s="23">
        <v>17836431</v>
      </c>
      <c r="I111" s="23">
        <v>-2207050683</v>
      </c>
      <c r="K111" s="24">
        <v>-1.6313826829498522E-2</v>
      </c>
      <c r="M111" s="23">
        <v>0</v>
      </c>
      <c r="O111" s="23">
        <v>2846345794</v>
      </c>
      <c r="Q111" s="23">
        <v>17836431</v>
      </c>
      <c r="S111" s="23">
        <v>2864182225</v>
      </c>
      <c r="U111" s="24">
        <v>2.1194721106565055E-3</v>
      </c>
    </row>
    <row r="112" spans="1:21" ht="37.5" x14ac:dyDescent="0.45">
      <c r="A112" s="30" t="s">
        <v>120</v>
      </c>
      <c r="C112" s="23">
        <v>0</v>
      </c>
      <c r="E112" s="23">
        <v>506249327</v>
      </c>
      <c r="G112" s="23">
        <v>806737558</v>
      </c>
      <c r="I112" s="23">
        <v>1312986885</v>
      </c>
      <c r="K112" s="24">
        <v>9.7051874867581777E-3</v>
      </c>
      <c r="M112" s="23">
        <v>0</v>
      </c>
      <c r="O112" s="23">
        <v>3273351797</v>
      </c>
      <c r="Q112" s="23">
        <v>806737558</v>
      </c>
      <c r="S112" s="23">
        <v>4080089355</v>
      </c>
      <c r="U112" s="24">
        <v>3.0192337350005692E-3</v>
      </c>
    </row>
    <row r="113" spans="1:21" ht="37.5" x14ac:dyDescent="0.45">
      <c r="A113" s="30" t="s">
        <v>121</v>
      </c>
      <c r="C113" s="23">
        <v>0</v>
      </c>
      <c r="E113" s="23">
        <v>-3313277644</v>
      </c>
      <c r="G113" s="23">
        <v>638535596</v>
      </c>
      <c r="I113" s="23">
        <v>-2674742048</v>
      </c>
      <c r="K113" s="24">
        <v>-1.9770854797651345E-2</v>
      </c>
      <c r="M113" s="23">
        <v>0</v>
      </c>
      <c r="O113" s="23">
        <v>4619381944</v>
      </c>
      <c r="Q113" s="23">
        <v>1731255003</v>
      </c>
      <c r="S113" s="23">
        <v>6350636947</v>
      </c>
      <c r="U113" s="24">
        <v>4.6994209295015358E-3</v>
      </c>
    </row>
    <row r="114" spans="1:21" ht="18.75" x14ac:dyDescent="0.45">
      <c r="A114" s="30" t="s">
        <v>390</v>
      </c>
      <c r="C114" s="23">
        <v>0</v>
      </c>
      <c r="E114" s="23">
        <v>-3012835430</v>
      </c>
      <c r="G114" s="23">
        <v>-1005740088</v>
      </c>
      <c r="I114" s="23">
        <v>-4018575518</v>
      </c>
      <c r="K114" s="24">
        <v>-2.9704050571599094E-2</v>
      </c>
      <c r="M114" s="23">
        <v>94482130</v>
      </c>
      <c r="O114" s="23">
        <v>-3700495269</v>
      </c>
      <c r="Q114" s="23">
        <v>-1005740088</v>
      </c>
      <c r="S114" s="23">
        <v>-4611753227</v>
      </c>
      <c r="U114" s="24">
        <v>-3.4126607799392517E-3</v>
      </c>
    </row>
    <row r="115" spans="1:21" ht="18.75" x14ac:dyDescent="0.45">
      <c r="A115" s="30" t="s">
        <v>122</v>
      </c>
      <c r="C115" s="23">
        <v>0</v>
      </c>
      <c r="E115" s="23">
        <v>-3744490372</v>
      </c>
      <c r="G115" s="23">
        <v>-296026916</v>
      </c>
      <c r="I115" s="23">
        <v>-4040517288</v>
      </c>
      <c r="K115" s="24">
        <v>-2.98662372576004E-2</v>
      </c>
      <c r="M115" s="23">
        <v>1650000000</v>
      </c>
      <c r="O115" s="23">
        <v>-1177752541</v>
      </c>
      <c r="Q115" s="23">
        <v>713340789</v>
      </c>
      <c r="S115" s="23">
        <v>1185588248</v>
      </c>
      <c r="U115" s="24">
        <v>8.7732589233497835E-4</v>
      </c>
    </row>
    <row r="116" spans="1:21" ht="18.75" x14ac:dyDescent="0.45">
      <c r="A116" s="30" t="s">
        <v>123</v>
      </c>
      <c r="C116" s="23">
        <v>0</v>
      </c>
      <c r="E116" s="23">
        <v>-2143926689</v>
      </c>
      <c r="G116" s="23">
        <v>0</v>
      </c>
      <c r="I116" s="23">
        <v>-2143926689</v>
      </c>
      <c r="K116" s="24">
        <v>-1.5847234052615608E-2</v>
      </c>
      <c r="M116" s="23">
        <v>883388000</v>
      </c>
      <c r="O116" s="23">
        <v>2293574583</v>
      </c>
      <c r="Q116" s="23">
        <v>-21602322</v>
      </c>
      <c r="S116" s="23">
        <v>3155360261</v>
      </c>
      <c r="U116" s="24">
        <v>2.3349415459288148E-3</v>
      </c>
    </row>
    <row r="117" spans="1:21" ht="18.75" x14ac:dyDescent="0.45">
      <c r="A117" s="30" t="s">
        <v>124</v>
      </c>
      <c r="C117" s="23">
        <v>0</v>
      </c>
      <c r="E117" s="23">
        <v>103502193</v>
      </c>
      <c r="G117" s="23">
        <v>0</v>
      </c>
      <c r="I117" s="23">
        <v>103502193</v>
      </c>
      <c r="K117" s="24">
        <v>7.6505576699315622E-4</v>
      </c>
      <c r="M117" s="23">
        <v>0</v>
      </c>
      <c r="O117" s="23">
        <v>103502193</v>
      </c>
      <c r="Q117" s="23">
        <v>0</v>
      </c>
      <c r="S117" s="23">
        <v>103502193</v>
      </c>
      <c r="U117" s="24">
        <v>7.6590801220857032E-5</v>
      </c>
    </row>
    <row r="118" spans="1:21" ht="18.75" x14ac:dyDescent="0.45">
      <c r="A118" s="30" t="s">
        <v>127</v>
      </c>
      <c r="C118" s="23">
        <v>0</v>
      </c>
      <c r="E118" s="23">
        <v>-272869884</v>
      </c>
      <c r="G118" s="23">
        <v>0</v>
      </c>
      <c r="I118" s="23">
        <v>-272869884</v>
      </c>
      <c r="K118" s="24">
        <v>-2.016968649088948E-3</v>
      </c>
      <c r="M118" s="23">
        <v>29499528</v>
      </c>
      <c r="O118" s="23">
        <v>160620330</v>
      </c>
      <c r="Q118" s="23">
        <v>0</v>
      </c>
      <c r="S118" s="23">
        <v>190119858</v>
      </c>
      <c r="U118" s="24">
        <v>1.4068718575089095E-4</v>
      </c>
    </row>
    <row r="119" spans="1:21" ht="18.75" x14ac:dyDescent="0.45">
      <c r="A119" s="30" t="s">
        <v>128</v>
      </c>
      <c r="C119" s="23">
        <v>0</v>
      </c>
      <c r="E119" s="23">
        <v>3009423168</v>
      </c>
      <c r="G119" s="23">
        <v>0</v>
      </c>
      <c r="I119" s="23">
        <v>3009423168</v>
      </c>
      <c r="K119" s="24">
        <v>2.2244712727982622E-2</v>
      </c>
      <c r="M119" s="23">
        <v>0</v>
      </c>
      <c r="O119" s="23">
        <v>2565168940</v>
      </c>
      <c r="Q119" s="23">
        <v>0</v>
      </c>
      <c r="S119" s="23">
        <v>2565168940</v>
      </c>
      <c r="U119" s="24">
        <v>1.8982046533203073E-3</v>
      </c>
    </row>
    <row r="120" spans="1:21" ht="18.75" x14ac:dyDescent="0.45">
      <c r="A120" s="30" t="s">
        <v>129</v>
      </c>
      <c r="C120" s="23">
        <v>0</v>
      </c>
      <c r="E120" s="23">
        <v>197213662</v>
      </c>
      <c r="G120" s="23">
        <v>0</v>
      </c>
      <c r="I120" s="23">
        <v>197213662</v>
      </c>
      <c r="K120" s="24">
        <v>1.4577415711659275E-3</v>
      </c>
      <c r="M120" s="23">
        <v>1080000000</v>
      </c>
      <c r="O120" s="23">
        <v>2157402731</v>
      </c>
      <c r="Q120" s="23">
        <v>306487125</v>
      </c>
      <c r="S120" s="23">
        <v>3543889856</v>
      </c>
      <c r="U120" s="24">
        <v>2.6224503620856385E-3</v>
      </c>
    </row>
    <row r="121" spans="1:21" ht="18.75" x14ac:dyDescent="0.45">
      <c r="A121" s="30" t="s">
        <v>130</v>
      </c>
      <c r="C121" s="23">
        <v>0</v>
      </c>
      <c r="E121" s="23">
        <v>308085546</v>
      </c>
      <c r="G121" s="23">
        <v>0</v>
      </c>
      <c r="I121" s="23">
        <v>308085546</v>
      </c>
      <c r="K121" s="24">
        <v>2.2772717839373248E-3</v>
      </c>
      <c r="M121" s="23">
        <v>0</v>
      </c>
      <c r="O121" s="23">
        <v>560533214</v>
      </c>
      <c r="Q121" s="23">
        <v>0</v>
      </c>
      <c r="S121" s="23">
        <v>560533214</v>
      </c>
      <c r="U121" s="24">
        <v>4.1479012885419842E-4</v>
      </c>
    </row>
    <row r="122" spans="1:21" ht="18.75" x14ac:dyDescent="0.45">
      <c r="A122" s="30" t="s">
        <v>131</v>
      </c>
      <c r="C122" s="23">
        <v>0</v>
      </c>
      <c r="E122" s="23">
        <v>2995610738</v>
      </c>
      <c r="G122" s="23">
        <v>0</v>
      </c>
      <c r="I122" s="23">
        <v>2995610738</v>
      </c>
      <c r="K122" s="24">
        <v>2.2142615575048971E-2</v>
      </c>
      <c r="M122" s="23">
        <v>0</v>
      </c>
      <c r="O122" s="23">
        <v>10184268736</v>
      </c>
      <c r="Q122" s="23">
        <v>0</v>
      </c>
      <c r="S122" s="23">
        <v>10184268736</v>
      </c>
      <c r="U122" s="24">
        <v>7.5362780220392519E-3</v>
      </c>
    </row>
    <row r="123" spans="1:21" ht="18.75" x14ac:dyDescent="0.45">
      <c r="A123" s="30" t="s">
        <v>132</v>
      </c>
      <c r="C123" s="23">
        <v>0</v>
      </c>
      <c r="E123" s="23">
        <v>8410627594</v>
      </c>
      <c r="G123" s="23">
        <v>0</v>
      </c>
      <c r="I123" s="23">
        <v>8410627594</v>
      </c>
      <c r="K123" s="24">
        <v>6.2168722790457917E-2</v>
      </c>
      <c r="M123" s="23">
        <v>0</v>
      </c>
      <c r="O123" s="23">
        <v>15536978353</v>
      </c>
      <c r="Q123" s="23">
        <v>0</v>
      </c>
      <c r="S123" s="23">
        <v>15536978353</v>
      </c>
      <c r="U123" s="24">
        <v>1.1497240648875737E-2</v>
      </c>
    </row>
    <row r="124" spans="1:21" ht="18.75" x14ac:dyDescent="0.45">
      <c r="A124" s="30" t="s">
        <v>133</v>
      </c>
      <c r="C124" s="23">
        <v>0</v>
      </c>
      <c r="E124" s="23">
        <v>-1479449812</v>
      </c>
      <c r="G124" s="23">
        <v>-154641663</v>
      </c>
      <c r="I124" s="23">
        <v>-1634091475</v>
      </c>
      <c r="K124" s="24">
        <v>-1.2078691963010899E-2</v>
      </c>
      <c r="M124" s="23">
        <v>6902065990</v>
      </c>
      <c r="O124" s="23">
        <v>-3814588296</v>
      </c>
      <c r="Q124" s="23">
        <v>-19625225321</v>
      </c>
      <c r="S124" s="23">
        <v>-16537747627</v>
      </c>
      <c r="U124" s="24">
        <v>-1.2237801967541472E-2</v>
      </c>
    </row>
    <row r="125" spans="1:21" ht="18.75" x14ac:dyDescent="0.45">
      <c r="A125" s="30" t="s">
        <v>134</v>
      </c>
      <c r="C125" s="23">
        <v>0</v>
      </c>
      <c r="E125" s="23">
        <v>-616092813</v>
      </c>
      <c r="G125" s="23">
        <v>-35028657</v>
      </c>
      <c r="I125" s="23">
        <v>-651121470</v>
      </c>
      <c r="K125" s="24">
        <v>-4.8128858065506043E-3</v>
      </c>
      <c r="M125" s="23">
        <v>13820455220</v>
      </c>
      <c r="O125" s="23">
        <v>-1170197291</v>
      </c>
      <c r="Q125" s="23">
        <v>-5366673915</v>
      </c>
      <c r="S125" s="23">
        <v>7283584014</v>
      </c>
      <c r="U125" s="24">
        <v>5.3897943533591213E-3</v>
      </c>
    </row>
    <row r="126" spans="1:21" ht="18.75" x14ac:dyDescent="0.45">
      <c r="A126" s="30" t="s">
        <v>135</v>
      </c>
      <c r="C126" s="23">
        <v>0</v>
      </c>
      <c r="E126" s="23">
        <v>12189182293</v>
      </c>
      <c r="G126" s="23">
        <v>0</v>
      </c>
      <c r="I126" s="23">
        <v>12189182293</v>
      </c>
      <c r="K126" s="24">
        <v>9.0098614704622854E-2</v>
      </c>
      <c r="M126" s="23">
        <v>0</v>
      </c>
      <c r="O126" s="23">
        <v>22052910755</v>
      </c>
      <c r="Q126" s="23">
        <v>1373620213</v>
      </c>
      <c r="S126" s="23">
        <v>23426530968</v>
      </c>
      <c r="U126" s="24">
        <v>1.7335446956803509E-2</v>
      </c>
    </row>
    <row r="127" spans="1:21" ht="18.75" x14ac:dyDescent="0.45">
      <c r="A127" s="30" t="s">
        <v>136</v>
      </c>
      <c r="C127" s="23">
        <v>0</v>
      </c>
      <c r="E127" s="23">
        <v>1852106031</v>
      </c>
      <c r="G127" s="23">
        <v>0</v>
      </c>
      <c r="I127" s="23">
        <v>1852106031</v>
      </c>
      <c r="K127" s="24">
        <v>1.3690187222403638E-2</v>
      </c>
      <c r="M127" s="23">
        <v>0</v>
      </c>
      <c r="O127" s="23">
        <v>7731840206</v>
      </c>
      <c r="Q127" s="23">
        <v>0</v>
      </c>
      <c r="S127" s="23">
        <v>7731840206</v>
      </c>
      <c r="U127" s="24">
        <v>5.7215003771869475E-3</v>
      </c>
    </row>
    <row r="128" spans="1:21" ht="18.75" x14ac:dyDescent="0.45">
      <c r="A128" s="30" t="s">
        <v>137</v>
      </c>
      <c r="C128" s="23">
        <v>0</v>
      </c>
      <c r="E128" s="23">
        <v>1359942502</v>
      </c>
      <c r="G128" s="23">
        <v>-249516600</v>
      </c>
      <c r="I128" s="23">
        <v>1110425902</v>
      </c>
      <c r="K128" s="24">
        <v>8.2079201949245388E-3</v>
      </c>
      <c r="M128" s="23">
        <v>7010721000</v>
      </c>
      <c r="O128" s="23">
        <v>-2345806432</v>
      </c>
      <c r="Q128" s="23">
        <v>-10820188679</v>
      </c>
      <c r="S128" s="23">
        <v>-6155274111</v>
      </c>
      <c r="U128" s="24">
        <v>-4.5548539816493401E-3</v>
      </c>
    </row>
    <row r="129" spans="1:21" ht="18.75" x14ac:dyDescent="0.45">
      <c r="A129" s="30" t="s">
        <v>391</v>
      </c>
      <c r="C129" s="23">
        <v>0</v>
      </c>
      <c r="E129" s="23">
        <v>2550797770</v>
      </c>
      <c r="G129" s="23">
        <v>0</v>
      </c>
      <c r="I129" s="23">
        <v>2550797770</v>
      </c>
      <c r="K129" s="24">
        <v>1.8854697546087571E-2</v>
      </c>
      <c r="M129" s="23">
        <v>0</v>
      </c>
      <c r="O129" s="23">
        <v>6397541607</v>
      </c>
      <c r="Q129" s="23">
        <v>164224631</v>
      </c>
      <c r="S129" s="23">
        <v>6561766238</v>
      </c>
      <c r="U129" s="24">
        <v>4.8556549288998043E-3</v>
      </c>
    </row>
    <row r="130" spans="1:21" ht="18.75" x14ac:dyDescent="0.45">
      <c r="A130" s="30" t="s">
        <v>392</v>
      </c>
      <c r="C130" s="23">
        <v>0</v>
      </c>
      <c r="E130" s="23">
        <v>-179500869</v>
      </c>
      <c r="G130" s="23">
        <v>0</v>
      </c>
      <c r="I130" s="23">
        <v>-179500869</v>
      </c>
      <c r="K130" s="24">
        <v>-1.3268141575389909E-3</v>
      </c>
      <c r="M130" s="23">
        <v>0</v>
      </c>
      <c r="O130" s="23">
        <v>1287355769</v>
      </c>
      <c r="Q130" s="23">
        <v>0</v>
      </c>
      <c r="S130" s="23">
        <v>1287355769</v>
      </c>
      <c r="U130" s="24">
        <v>9.5263305004564052E-4</v>
      </c>
    </row>
    <row r="131" spans="1:21" ht="18.75" x14ac:dyDescent="0.45">
      <c r="A131" s="30" t="s">
        <v>139</v>
      </c>
      <c r="C131" s="23">
        <v>0</v>
      </c>
      <c r="E131" s="23">
        <v>-2155243969</v>
      </c>
      <c r="G131" s="23">
        <v>902803506</v>
      </c>
      <c r="I131" s="23">
        <v>-1252440463</v>
      </c>
      <c r="K131" s="24">
        <v>-9.2576473141368961E-3</v>
      </c>
      <c r="M131" s="23">
        <v>0</v>
      </c>
      <c r="O131" s="23">
        <v>3233147506</v>
      </c>
      <c r="Q131" s="23">
        <v>2292798371</v>
      </c>
      <c r="S131" s="23">
        <v>5525945877</v>
      </c>
      <c r="U131" s="24">
        <v>4.0891560840891697E-3</v>
      </c>
    </row>
    <row r="132" spans="1:21" ht="18.75" x14ac:dyDescent="0.45">
      <c r="A132" s="30" t="s">
        <v>140</v>
      </c>
      <c r="C132" s="23">
        <v>0</v>
      </c>
      <c r="E132" s="23">
        <v>-9046571728</v>
      </c>
      <c r="G132" s="23">
        <v>0</v>
      </c>
      <c r="I132" s="23">
        <v>-9046571728</v>
      </c>
      <c r="K132" s="24">
        <v>-6.6869422486764529E-2</v>
      </c>
      <c r="M132" s="23">
        <v>0</v>
      </c>
      <c r="O132" s="23">
        <v>-2907996599</v>
      </c>
      <c r="Q132" s="23">
        <v>1029352410</v>
      </c>
      <c r="S132" s="23">
        <v>-1878644189</v>
      </c>
      <c r="U132" s="24">
        <v>-1.3901817872053895E-3</v>
      </c>
    </row>
    <row r="133" spans="1:21" ht="18.75" x14ac:dyDescent="0.45">
      <c r="A133" s="30" t="s">
        <v>141</v>
      </c>
      <c r="C133" s="23">
        <v>0</v>
      </c>
      <c r="E133" s="23">
        <v>2663886970</v>
      </c>
      <c r="G133" s="23">
        <v>0</v>
      </c>
      <c r="I133" s="23">
        <v>2663886970</v>
      </c>
      <c r="K133" s="24">
        <v>1.969061746369398E-2</v>
      </c>
      <c r="M133" s="23">
        <v>0</v>
      </c>
      <c r="O133" s="23">
        <v>11313366954</v>
      </c>
      <c r="Q133" s="23">
        <v>312753179</v>
      </c>
      <c r="S133" s="23">
        <v>11626120133</v>
      </c>
      <c r="U133" s="24">
        <v>8.6032366104204852E-3</v>
      </c>
    </row>
    <row r="134" spans="1:21" ht="18.75" x14ac:dyDescent="0.45">
      <c r="A134" s="30" t="s">
        <v>142</v>
      </c>
      <c r="C134" s="23">
        <v>0</v>
      </c>
      <c r="E134" s="23">
        <v>600245694</v>
      </c>
      <c r="G134" s="23">
        <v>0</v>
      </c>
      <c r="I134" s="23">
        <v>600245694</v>
      </c>
      <c r="K134" s="24">
        <v>4.4368280178132009E-3</v>
      </c>
      <c r="M134" s="23">
        <v>0</v>
      </c>
      <c r="O134" s="23">
        <v>6180958416</v>
      </c>
      <c r="Q134" s="23">
        <v>654358263</v>
      </c>
      <c r="S134" s="23">
        <v>6835316679</v>
      </c>
      <c r="U134" s="24">
        <v>5.058080083799747E-3</v>
      </c>
    </row>
    <row r="135" spans="1:21" ht="37.5" x14ac:dyDescent="0.45">
      <c r="A135" s="30" t="s">
        <v>144</v>
      </c>
      <c r="C135" s="23">
        <v>0</v>
      </c>
      <c r="E135" s="23">
        <v>4155212159</v>
      </c>
      <c r="G135" s="23">
        <v>912829265</v>
      </c>
      <c r="I135" s="23">
        <v>5068041424</v>
      </c>
      <c r="K135" s="24">
        <v>3.746137358453272E-2</v>
      </c>
      <c r="M135" s="23">
        <v>0</v>
      </c>
      <c r="O135" s="23">
        <v>4745488300</v>
      </c>
      <c r="Q135" s="23">
        <v>912829265</v>
      </c>
      <c r="S135" s="23">
        <v>5658317565</v>
      </c>
      <c r="U135" s="24">
        <v>4.1871100824443282E-3</v>
      </c>
    </row>
    <row r="136" spans="1:21" ht="37.5" x14ac:dyDescent="0.45">
      <c r="A136" s="30" t="s">
        <v>145</v>
      </c>
      <c r="C136" s="23">
        <v>0</v>
      </c>
      <c r="E136" s="23">
        <v>-3178423384</v>
      </c>
      <c r="G136" s="23">
        <v>6376715216</v>
      </c>
      <c r="I136" s="23">
        <v>3198291832</v>
      </c>
      <c r="K136" s="24">
        <v>2.3640770689744774E-2</v>
      </c>
      <c r="M136" s="23">
        <v>0</v>
      </c>
      <c r="O136" s="23">
        <v>2260260902</v>
      </c>
      <c r="Q136" s="23">
        <v>6285992191</v>
      </c>
      <c r="S136" s="23">
        <v>8546253093</v>
      </c>
      <c r="U136" s="24">
        <v>6.3241594487674054E-3</v>
      </c>
    </row>
    <row r="137" spans="1:21" ht="18.75" x14ac:dyDescent="0.45">
      <c r="A137" s="30" t="s">
        <v>146</v>
      </c>
      <c r="C137" s="23">
        <v>0</v>
      </c>
      <c r="E137" s="23">
        <v>1715242660</v>
      </c>
      <c r="G137" s="23">
        <v>2872265004</v>
      </c>
      <c r="I137" s="23">
        <v>4587507664</v>
      </c>
      <c r="K137" s="24">
        <v>3.3909418658100335E-2</v>
      </c>
      <c r="M137" s="23">
        <v>100000000</v>
      </c>
      <c r="O137" s="23">
        <v>5579591083</v>
      </c>
      <c r="Q137" s="23">
        <v>4825385797</v>
      </c>
      <c r="S137" s="23">
        <v>10504976880</v>
      </c>
      <c r="U137" s="24">
        <v>7.7735995028219247E-3</v>
      </c>
    </row>
    <row r="138" spans="1:21" ht="18.75" x14ac:dyDescent="0.45">
      <c r="A138" s="30" t="s">
        <v>147</v>
      </c>
      <c r="C138" s="23">
        <v>0</v>
      </c>
      <c r="E138" s="23">
        <v>-3434876583</v>
      </c>
      <c r="G138" s="23">
        <v>-204942200</v>
      </c>
      <c r="I138" s="23">
        <v>-3639818783</v>
      </c>
      <c r="K138" s="24">
        <v>-2.6904399511072787E-2</v>
      </c>
      <c r="M138" s="23">
        <v>0</v>
      </c>
      <c r="O138" s="23">
        <v>-3662812627</v>
      </c>
      <c r="Q138" s="23">
        <v>-204942200</v>
      </c>
      <c r="S138" s="23">
        <v>-3867754827</v>
      </c>
      <c r="U138" s="24">
        <v>-2.8621078697894571E-3</v>
      </c>
    </row>
    <row r="139" spans="1:21" ht="18.75" x14ac:dyDescent="0.45">
      <c r="A139" s="30" t="s">
        <v>148</v>
      </c>
      <c r="C139" s="23">
        <v>0</v>
      </c>
      <c r="E139" s="23">
        <v>-1705748486</v>
      </c>
      <c r="G139" s="23">
        <v>0</v>
      </c>
      <c r="I139" s="23">
        <v>-1705748486</v>
      </c>
      <c r="K139" s="24">
        <v>-1.26083581268094E-2</v>
      </c>
      <c r="M139" s="23">
        <v>0</v>
      </c>
      <c r="O139" s="23">
        <v>1260266000</v>
      </c>
      <c r="Q139" s="23">
        <v>164515011</v>
      </c>
      <c r="S139" s="23">
        <v>1424781011</v>
      </c>
      <c r="U139" s="24">
        <v>1.0543266382457492E-3</v>
      </c>
    </row>
    <row r="140" spans="1:21" ht="18.75" x14ac:dyDescent="0.45">
      <c r="A140" s="30" t="s">
        <v>149</v>
      </c>
      <c r="C140" s="23">
        <v>0</v>
      </c>
      <c r="E140" s="23">
        <v>1661521386</v>
      </c>
      <c r="G140" s="23">
        <v>0</v>
      </c>
      <c r="I140" s="23">
        <v>1661521386</v>
      </c>
      <c r="K140" s="24">
        <v>1.2281445266978662E-2</v>
      </c>
      <c r="M140" s="23">
        <v>0</v>
      </c>
      <c r="O140" s="23">
        <v>1743114344</v>
      </c>
      <c r="Q140" s="23">
        <v>0</v>
      </c>
      <c r="S140" s="23">
        <v>1743114344</v>
      </c>
      <c r="U140" s="24">
        <v>1.2898907777396428E-3</v>
      </c>
    </row>
    <row r="141" spans="1:21" ht="18.75" x14ac:dyDescent="0.45">
      <c r="A141" s="30" t="s">
        <v>150</v>
      </c>
      <c r="C141" s="23">
        <v>0</v>
      </c>
      <c r="E141" s="23">
        <v>4254203427</v>
      </c>
      <c r="G141" s="23">
        <v>0</v>
      </c>
      <c r="I141" s="23">
        <v>4254203427</v>
      </c>
      <c r="K141" s="24">
        <v>3.1445738215309105E-2</v>
      </c>
      <c r="M141" s="23">
        <v>0</v>
      </c>
      <c r="O141" s="23">
        <v>9460200244</v>
      </c>
      <c r="Q141" s="23">
        <v>1002097997</v>
      </c>
      <c r="S141" s="23">
        <v>10462298241</v>
      </c>
      <c r="U141" s="24">
        <v>7.7420176487444396E-3</v>
      </c>
    </row>
    <row r="142" spans="1:21" ht="18.75" x14ac:dyDescent="0.45">
      <c r="A142" s="30" t="s">
        <v>151</v>
      </c>
      <c r="C142" s="23">
        <v>0</v>
      </c>
      <c r="E142" s="23">
        <v>3416775822</v>
      </c>
      <c r="G142" s="23">
        <v>0</v>
      </c>
      <c r="I142" s="23">
        <v>3416775822</v>
      </c>
      <c r="K142" s="24">
        <v>2.5255735858117339E-2</v>
      </c>
      <c r="M142" s="23">
        <v>0</v>
      </c>
      <c r="O142" s="23">
        <v>9969646307</v>
      </c>
      <c r="Q142" s="23">
        <v>0</v>
      </c>
      <c r="S142" s="23">
        <v>9969646307</v>
      </c>
      <c r="U142" s="24">
        <v>7.3774591282494703E-3</v>
      </c>
    </row>
    <row r="143" spans="1:21" ht="18.75" x14ac:dyDescent="0.45">
      <c r="A143" s="30" t="s">
        <v>152</v>
      </c>
      <c r="C143" s="23">
        <v>0</v>
      </c>
      <c r="E143" s="23">
        <v>414269613</v>
      </c>
      <c r="G143" s="23">
        <v>0</v>
      </c>
      <c r="I143" s="23">
        <v>414269613</v>
      </c>
      <c r="K143" s="24">
        <v>3.0621511228817438E-3</v>
      </c>
      <c r="M143" s="23">
        <v>0</v>
      </c>
      <c r="O143" s="23">
        <v>5861772567</v>
      </c>
      <c r="Q143" s="23">
        <v>3262392431</v>
      </c>
      <c r="S143" s="23">
        <v>9124164998</v>
      </c>
      <c r="U143" s="24">
        <v>6.751809671009767E-3</v>
      </c>
    </row>
    <row r="144" spans="1:21" ht="18.75" x14ac:dyDescent="0.45">
      <c r="A144" s="30" t="s">
        <v>153</v>
      </c>
      <c r="C144" s="23">
        <v>0</v>
      </c>
      <c r="E144" s="23">
        <v>5733359690</v>
      </c>
      <c r="G144" s="23">
        <v>0</v>
      </c>
      <c r="I144" s="23">
        <v>5733359690</v>
      </c>
      <c r="K144" s="24">
        <v>4.237919765700611E-2</v>
      </c>
      <c r="M144" s="23">
        <v>3292527600</v>
      </c>
      <c r="O144" s="23">
        <v>14691971603</v>
      </c>
      <c r="Q144" s="23">
        <v>4042560579</v>
      </c>
      <c r="S144" s="23">
        <v>22027059782</v>
      </c>
      <c r="U144" s="24">
        <v>1.6299849388148678E-2</v>
      </c>
    </row>
    <row r="145" spans="1:21" ht="18.75" x14ac:dyDescent="0.45">
      <c r="A145" s="30" t="s">
        <v>154</v>
      </c>
      <c r="C145" s="23">
        <v>0</v>
      </c>
      <c r="E145" s="23">
        <v>-3044883188</v>
      </c>
      <c r="G145" s="23">
        <v>0</v>
      </c>
      <c r="I145" s="23">
        <v>-3044883188</v>
      </c>
      <c r="K145" s="24">
        <v>-2.2506822080570858E-2</v>
      </c>
      <c r="M145" s="23">
        <v>0</v>
      </c>
      <c r="O145" s="23">
        <v>2756913042</v>
      </c>
      <c r="Q145" s="23">
        <v>54871989</v>
      </c>
      <c r="S145" s="23">
        <v>2811785031</v>
      </c>
      <c r="U145" s="24">
        <v>2.0806986030247913E-3</v>
      </c>
    </row>
    <row r="146" spans="1:21" ht="18.75" x14ac:dyDescent="0.45">
      <c r="A146" s="30" t="s">
        <v>155</v>
      </c>
      <c r="C146" s="23">
        <v>0</v>
      </c>
      <c r="E146" s="23">
        <v>1206674463</v>
      </c>
      <c r="G146" s="23">
        <v>0</v>
      </c>
      <c r="I146" s="23">
        <v>1206674463</v>
      </c>
      <c r="K146" s="24">
        <v>8.9193593878877514E-3</v>
      </c>
      <c r="M146" s="23">
        <v>0</v>
      </c>
      <c r="O146" s="23">
        <v>3931208339</v>
      </c>
      <c r="Q146" s="23">
        <v>0</v>
      </c>
      <c r="S146" s="23">
        <v>3931208339</v>
      </c>
      <c r="U146" s="24">
        <v>2.9090629649762547E-3</v>
      </c>
    </row>
    <row r="147" spans="1:21" ht="18.75" x14ac:dyDescent="0.45">
      <c r="A147" s="30" t="s">
        <v>156</v>
      </c>
      <c r="C147" s="23">
        <v>0</v>
      </c>
      <c r="E147" s="23">
        <v>3218325282</v>
      </c>
      <c r="G147" s="23">
        <v>191865230</v>
      </c>
      <c r="I147" s="23">
        <v>3410190512</v>
      </c>
      <c r="K147" s="24">
        <v>2.5207059310820051E-2</v>
      </c>
      <c r="M147" s="23">
        <v>1375942000</v>
      </c>
      <c r="O147" s="23">
        <v>5736353103</v>
      </c>
      <c r="Q147" s="23">
        <v>191865230</v>
      </c>
      <c r="S147" s="23">
        <v>7304160333</v>
      </c>
      <c r="U147" s="24">
        <v>5.4050206660845521E-3</v>
      </c>
    </row>
    <row r="148" spans="1:21" ht="18.75" x14ac:dyDescent="0.45">
      <c r="A148" s="30" t="s">
        <v>157</v>
      </c>
      <c r="C148" s="23">
        <v>0</v>
      </c>
      <c r="E148" s="23">
        <v>2091417893</v>
      </c>
      <c r="G148" s="23">
        <v>102148188</v>
      </c>
      <c r="I148" s="23">
        <v>2193566081</v>
      </c>
      <c r="K148" s="24">
        <v>1.6214152878380333E-2</v>
      </c>
      <c r="M148" s="23">
        <v>4379641700</v>
      </c>
      <c r="O148" s="23">
        <v>2655134838</v>
      </c>
      <c r="Q148" s="23">
        <v>-1194837873</v>
      </c>
      <c r="S148" s="23">
        <v>5839938665</v>
      </c>
      <c r="U148" s="24">
        <v>4.3215082547382565E-3</v>
      </c>
    </row>
    <row r="149" spans="1:21" ht="18.75" x14ac:dyDescent="0.45">
      <c r="A149" s="30" t="s">
        <v>158</v>
      </c>
      <c r="C149" s="23">
        <v>0</v>
      </c>
      <c r="E149" s="23">
        <v>760717782</v>
      </c>
      <c r="G149" s="23">
        <v>0</v>
      </c>
      <c r="I149" s="23">
        <v>760717782</v>
      </c>
      <c r="K149" s="24">
        <v>5.6229873909371423E-3</v>
      </c>
      <c r="M149" s="23">
        <v>204920550</v>
      </c>
      <c r="O149" s="23">
        <v>1177241095</v>
      </c>
      <c r="Q149" s="23">
        <v>0</v>
      </c>
      <c r="S149" s="23">
        <v>1382161645</v>
      </c>
      <c r="U149" s="24">
        <v>1.0227886457177557E-3</v>
      </c>
    </row>
    <row r="150" spans="1:21" ht="18.75" x14ac:dyDescent="0.45">
      <c r="A150" s="30" t="s">
        <v>159</v>
      </c>
      <c r="C150" s="23">
        <v>0</v>
      </c>
      <c r="E150" s="23">
        <v>-231665413</v>
      </c>
      <c r="G150" s="23">
        <v>77761099</v>
      </c>
      <c r="I150" s="23">
        <v>-153904314</v>
      </c>
      <c r="K150" s="24">
        <v>-1.1376124464418406E-3</v>
      </c>
      <c r="M150" s="23">
        <v>228464012</v>
      </c>
      <c r="O150" s="23">
        <v>3537557714</v>
      </c>
      <c r="Q150" s="23">
        <v>-442113031</v>
      </c>
      <c r="S150" s="23">
        <v>3323908695</v>
      </c>
      <c r="U150" s="24">
        <v>2.4596660491534058E-3</v>
      </c>
    </row>
    <row r="151" spans="1:21" ht="18.75" x14ac:dyDescent="0.45">
      <c r="A151" s="30" t="s">
        <v>393</v>
      </c>
      <c r="C151" s="23">
        <v>0</v>
      </c>
      <c r="E151" s="23">
        <v>-880593280</v>
      </c>
      <c r="G151" s="23">
        <v>0</v>
      </c>
      <c r="I151" s="23">
        <v>-880593280</v>
      </c>
      <c r="K151" s="24">
        <v>-6.509069496135402E-3</v>
      </c>
      <c r="M151" s="23">
        <v>0</v>
      </c>
      <c r="O151" s="23">
        <v>3518601691</v>
      </c>
      <c r="Q151" s="23">
        <v>0</v>
      </c>
      <c r="S151" s="23">
        <v>3518601691</v>
      </c>
      <c r="U151" s="24">
        <v>2.6037373207227835E-3</v>
      </c>
    </row>
    <row r="152" spans="1:21" ht="18.75" x14ac:dyDescent="0.45">
      <c r="A152" s="30" t="s">
        <v>160</v>
      </c>
      <c r="C152" s="23">
        <v>0</v>
      </c>
      <c r="E152" s="23">
        <v>1028800221</v>
      </c>
      <c r="G152" s="23">
        <v>0</v>
      </c>
      <c r="I152" s="23">
        <v>1028800221</v>
      </c>
      <c r="K152" s="24">
        <v>7.6045687472523753E-3</v>
      </c>
      <c r="M152" s="23">
        <v>0</v>
      </c>
      <c r="O152" s="23">
        <v>10998432037</v>
      </c>
      <c r="Q152" s="23">
        <v>0</v>
      </c>
      <c r="S152" s="23">
        <v>10998432037</v>
      </c>
      <c r="U152" s="24">
        <v>8.1387524019609202E-3</v>
      </c>
    </row>
    <row r="153" spans="1:21" ht="18.75" x14ac:dyDescent="0.45">
      <c r="A153" s="30" t="s">
        <v>161</v>
      </c>
      <c r="C153" s="23">
        <v>0</v>
      </c>
      <c r="E153" s="23">
        <v>-1801779773</v>
      </c>
      <c r="G153" s="23">
        <v>-269652272</v>
      </c>
      <c r="I153" s="23">
        <v>-2071432045</v>
      </c>
      <c r="K153" s="24">
        <v>-1.5311376368244457E-2</v>
      </c>
      <c r="M153" s="23">
        <v>13040000000</v>
      </c>
      <c r="O153" s="23">
        <v>-3053657830</v>
      </c>
      <c r="Q153" s="23">
        <v>-3515549648</v>
      </c>
      <c r="S153" s="23">
        <v>6470792522</v>
      </c>
      <c r="U153" s="24">
        <v>4.7883351012080501E-3</v>
      </c>
    </row>
    <row r="154" spans="1:21" ht="18.75" x14ac:dyDescent="0.45">
      <c r="A154" s="30" t="s">
        <v>162</v>
      </c>
      <c r="C154" s="23">
        <v>0</v>
      </c>
      <c r="E154" s="23">
        <v>-1565000375</v>
      </c>
      <c r="G154" s="23">
        <v>272176791</v>
      </c>
      <c r="I154" s="23">
        <v>-1292823584</v>
      </c>
      <c r="K154" s="24">
        <v>-9.5561466861282928E-3</v>
      </c>
      <c r="M154" s="23">
        <v>0</v>
      </c>
      <c r="O154" s="23">
        <v>4158916044</v>
      </c>
      <c r="Q154" s="23">
        <v>272176791</v>
      </c>
      <c r="S154" s="23">
        <v>4431092835</v>
      </c>
      <c r="U154" s="24">
        <v>3.278973523939235E-3</v>
      </c>
    </row>
    <row r="155" spans="1:21" ht="18.75" x14ac:dyDescent="0.45">
      <c r="A155" s="30" t="s">
        <v>394</v>
      </c>
      <c r="C155" s="23">
        <v>0</v>
      </c>
      <c r="E155" s="23">
        <v>2670170521</v>
      </c>
      <c r="G155" s="23">
        <v>269671863</v>
      </c>
      <c r="I155" s="23">
        <v>2939842384</v>
      </c>
      <c r="K155" s="24">
        <v>2.1730393383356705E-2</v>
      </c>
      <c r="M155" s="23">
        <v>0</v>
      </c>
      <c r="O155" s="23">
        <v>1758349775</v>
      </c>
      <c r="Q155" s="23">
        <v>269671863</v>
      </c>
      <c r="S155" s="23">
        <v>2028021638</v>
      </c>
      <c r="U155" s="24">
        <v>1.5007199137090253E-3</v>
      </c>
    </row>
    <row r="156" spans="1:21" ht="18.75" x14ac:dyDescent="0.45">
      <c r="A156" s="30" t="s">
        <v>164</v>
      </c>
      <c r="C156" s="23">
        <v>0</v>
      </c>
      <c r="E156" s="23">
        <v>873305797</v>
      </c>
      <c r="G156" s="23">
        <v>0</v>
      </c>
      <c r="I156" s="23">
        <v>873305797</v>
      </c>
      <c r="K156" s="24">
        <v>6.4552027061243475E-3</v>
      </c>
      <c r="M156" s="23">
        <v>58108700</v>
      </c>
      <c r="O156" s="23">
        <v>5690532657</v>
      </c>
      <c r="Q156" s="23">
        <v>-1044938080</v>
      </c>
      <c r="S156" s="23">
        <v>4703703277</v>
      </c>
      <c r="U156" s="24">
        <v>3.4807030870408788E-3</v>
      </c>
    </row>
    <row r="157" spans="1:21" ht="18.75" x14ac:dyDescent="0.45">
      <c r="A157" s="30" t="s">
        <v>165</v>
      </c>
      <c r="C157" s="23">
        <v>0</v>
      </c>
      <c r="E157" s="23">
        <v>-1127756994</v>
      </c>
      <c r="G157" s="23">
        <v>0</v>
      </c>
      <c r="I157" s="23">
        <v>-1127756994</v>
      </c>
      <c r="K157" s="24">
        <v>-8.3360261944069747E-3</v>
      </c>
      <c r="M157" s="23">
        <v>2863622210</v>
      </c>
      <c r="O157" s="23">
        <v>11986772124</v>
      </c>
      <c r="Q157" s="23">
        <v>355158986</v>
      </c>
      <c r="S157" s="23">
        <v>15205553320</v>
      </c>
      <c r="U157" s="24">
        <v>1.1251988755303597E-2</v>
      </c>
    </row>
    <row r="158" spans="1:21" ht="18.75" x14ac:dyDescent="0.45">
      <c r="A158" s="30" t="s">
        <v>166</v>
      </c>
      <c r="C158" s="23">
        <v>0</v>
      </c>
      <c r="E158" s="23">
        <v>-285184396</v>
      </c>
      <c r="G158" s="23">
        <v>360445600</v>
      </c>
      <c r="I158" s="23">
        <v>75261204</v>
      </c>
      <c r="K158" s="24">
        <v>5.5630722868884902E-4</v>
      </c>
      <c r="M158" s="23">
        <v>370000000</v>
      </c>
      <c r="O158" s="23">
        <v>1560386819</v>
      </c>
      <c r="Q158" s="23">
        <v>1061901905</v>
      </c>
      <c r="S158" s="23">
        <v>2992288724</v>
      </c>
      <c r="U158" s="24">
        <v>2.2142699030086822E-3</v>
      </c>
    </row>
    <row r="159" spans="1:21" ht="18.75" x14ac:dyDescent="0.45">
      <c r="A159" s="30" t="s">
        <v>167</v>
      </c>
      <c r="C159" s="23">
        <v>0</v>
      </c>
      <c r="E159" s="23">
        <v>-201698970</v>
      </c>
      <c r="G159" s="23">
        <v>-473251509</v>
      </c>
      <c r="I159" s="23">
        <v>-674950479</v>
      </c>
      <c r="K159" s="24">
        <v>-4.9890223716684261E-3</v>
      </c>
      <c r="M159" s="23">
        <v>22120000000</v>
      </c>
      <c r="O159" s="23">
        <v>-4876880161</v>
      </c>
      <c r="Q159" s="23">
        <v>-39970901372</v>
      </c>
      <c r="S159" s="23">
        <v>-22727781533</v>
      </c>
      <c r="U159" s="24">
        <v>-1.6818377921567984E-2</v>
      </c>
    </row>
    <row r="160" spans="1:21" ht="37.5" x14ac:dyDescent="0.45">
      <c r="A160" s="30" t="s">
        <v>168</v>
      </c>
      <c r="C160" s="23">
        <v>0</v>
      </c>
      <c r="E160" s="23">
        <v>120300106</v>
      </c>
      <c r="G160" s="23">
        <v>0</v>
      </c>
      <c r="I160" s="23">
        <v>120300106</v>
      </c>
      <c r="K160" s="24">
        <v>8.8922067443718787E-4</v>
      </c>
      <c r="M160" s="23">
        <v>0</v>
      </c>
      <c r="O160" s="23">
        <v>5378962610</v>
      </c>
      <c r="Q160" s="23">
        <v>0</v>
      </c>
      <c r="S160" s="23">
        <v>5378962610</v>
      </c>
      <c r="U160" s="24">
        <v>3.9803896332605464E-3</v>
      </c>
    </row>
    <row r="161" spans="1:21" ht="18.75" x14ac:dyDescent="0.45">
      <c r="A161" s="30" t="s">
        <v>169</v>
      </c>
      <c r="C161" s="23">
        <v>0</v>
      </c>
      <c r="E161" s="23">
        <v>4565520748</v>
      </c>
      <c r="G161" s="23">
        <v>0</v>
      </c>
      <c r="I161" s="23">
        <v>4565520748</v>
      </c>
      <c r="K161" s="24">
        <v>3.3746898267018439E-2</v>
      </c>
      <c r="M161" s="23">
        <v>0</v>
      </c>
      <c r="O161" s="23">
        <v>7337661556</v>
      </c>
      <c r="Q161" s="23">
        <v>209158348</v>
      </c>
      <c r="S161" s="23">
        <v>7546819904</v>
      </c>
      <c r="U161" s="24">
        <v>5.584586822395844E-3</v>
      </c>
    </row>
    <row r="162" spans="1:21" ht="18.75" x14ac:dyDescent="0.45">
      <c r="A162" s="30" t="s">
        <v>170</v>
      </c>
      <c r="C162" s="23">
        <v>0</v>
      </c>
      <c r="E162" s="23">
        <v>7947961512</v>
      </c>
      <c r="G162" s="23">
        <v>2090409113</v>
      </c>
      <c r="I162" s="23">
        <v>10038370625</v>
      </c>
      <c r="K162" s="24">
        <v>7.420048904539582E-2</v>
      </c>
      <c r="M162" s="23">
        <v>2334080700</v>
      </c>
      <c r="O162" s="23">
        <v>14673266275</v>
      </c>
      <c r="Q162" s="23">
        <v>5601470476</v>
      </c>
      <c r="S162" s="23">
        <v>22608817451</v>
      </c>
      <c r="U162" s="24">
        <v>1.6730345445223411E-2</v>
      </c>
    </row>
    <row r="163" spans="1:21" ht="18.75" x14ac:dyDescent="0.45">
      <c r="A163" s="30" t="s">
        <v>171</v>
      </c>
      <c r="C163" s="23">
        <v>0</v>
      </c>
      <c r="E163" s="23">
        <v>2664896562</v>
      </c>
      <c r="G163" s="23">
        <v>0</v>
      </c>
      <c r="I163" s="23">
        <v>2664896562</v>
      </c>
      <c r="K163" s="24">
        <v>1.9698080051292585E-2</v>
      </c>
      <c r="M163" s="23">
        <v>1959126860</v>
      </c>
      <c r="O163" s="23">
        <v>7016241692</v>
      </c>
      <c r="Q163" s="23">
        <v>7777296298</v>
      </c>
      <c r="S163" s="23">
        <v>16752664850</v>
      </c>
      <c r="U163" s="24">
        <v>1.2396839006551181E-2</v>
      </c>
    </row>
    <row r="164" spans="1:21" ht="18.75" x14ac:dyDescent="0.45">
      <c r="A164" s="30" t="s">
        <v>172</v>
      </c>
      <c r="C164" s="23">
        <v>0</v>
      </c>
      <c r="E164" s="23">
        <v>-1241759571</v>
      </c>
      <c r="G164" s="23">
        <v>1194237210</v>
      </c>
      <c r="I164" s="23">
        <v>-47522361</v>
      </c>
      <c r="K164" s="24">
        <v>-3.512703962145097E-4</v>
      </c>
      <c r="M164" s="23">
        <v>0</v>
      </c>
      <c r="O164" s="23">
        <v>4406717536</v>
      </c>
      <c r="Q164" s="23">
        <v>1194237210</v>
      </c>
      <c r="S164" s="23">
        <v>5600954746</v>
      </c>
      <c r="U164" s="24">
        <v>4.1446620517296843E-3</v>
      </c>
    </row>
    <row r="165" spans="1:21" ht="18.75" x14ac:dyDescent="0.45">
      <c r="A165" s="30" t="s">
        <v>173</v>
      </c>
      <c r="C165" s="23">
        <v>0</v>
      </c>
      <c r="E165" s="23">
        <v>-1037604372</v>
      </c>
      <c r="G165" s="23">
        <v>598659477</v>
      </c>
      <c r="I165" s="23">
        <v>-438944895</v>
      </c>
      <c r="K165" s="24">
        <v>-3.244543072743931E-3</v>
      </c>
      <c r="M165" s="23">
        <v>2994487650</v>
      </c>
      <c r="O165" s="23">
        <v>3064457255</v>
      </c>
      <c r="Q165" s="23">
        <v>598659477</v>
      </c>
      <c r="S165" s="23">
        <v>6657604382</v>
      </c>
      <c r="U165" s="24">
        <v>4.9265743946977887E-3</v>
      </c>
    </row>
    <row r="166" spans="1:21" ht="18.75" x14ac:dyDescent="0.45">
      <c r="A166" s="30" t="s">
        <v>174</v>
      </c>
      <c r="C166" s="23">
        <v>0</v>
      </c>
      <c r="E166" s="23">
        <v>1170867573</v>
      </c>
      <c r="G166" s="23">
        <v>507761859</v>
      </c>
      <c r="I166" s="23">
        <v>1678629432</v>
      </c>
      <c r="K166" s="24">
        <v>1.2407902580344805E-2</v>
      </c>
      <c r="M166" s="23">
        <v>0</v>
      </c>
      <c r="O166" s="23">
        <v>6699146809</v>
      </c>
      <c r="Q166" s="23">
        <v>2186548267</v>
      </c>
      <c r="S166" s="23">
        <v>8885695076</v>
      </c>
      <c r="U166" s="24">
        <v>6.5753438217010926E-3</v>
      </c>
    </row>
    <row r="167" spans="1:21" ht="18.75" x14ac:dyDescent="0.45">
      <c r="A167" s="30" t="s">
        <v>175</v>
      </c>
      <c r="C167" s="23">
        <v>0</v>
      </c>
      <c r="E167" s="23">
        <v>3278087979</v>
      </c>
      <c r="G167" s="23">
        <v>0</v>
      </c>
      <c r="I167" s="23">
        <v>3278087979</v>
      </c>
      <c r="K167" s="24">
        <v>2.4230598795572284E-2</v>
      </c>
      <c r="M167" s="23">
        <v>0</v>
      </c>
      <c r="O167" s="23">
        <v>3785725136</v>
      </c>
      <c r="Q167" s="23">
        <v>0</v>
      </c>
      <c r="S167" s="23">
        <v>3785725136</v>
      </c>
      <c r="U167" s="24">
        <v>2.8014065496001416E-3</v>
      </c>
    </row>
    <row r="168" spans="1:21" ht="18.75" x14ac:dyDescent="0.45">
      <c r="A168" s="30" t="s">
        <v>395</v>
      </c>
      <c r="C168" s="23">
        <v>0</v>
      </c>
      <c r="E168" s="23">
        <v>-2821689751</v>
      </c>
      <c r="G168" s="23">
        <v>1040075404</v>
      </c>
      <c r="I168" s="23">
        <v>-1781614347</v>
      </c>
      <c r="K168" s="24">
        <v>-1.3169134790507251E-2</v>
      </c>
      <c r="M168" s="23">
        <v>0</v>
      </c>
      <c r="O168" s="23">
        <v>4562583254</v>
      </c>
      <c r="Q168" s="23">
        <v>8141436297</v>
      </c>
      <c r="S168" s="23">
        <v>12704019551</v>
      </c>
      <c r="U168" s="24">
        <v>9.4008736233880796E-3</v>
      </c>
    </row>
    <row r="169" spans="1:21" ht="18.75" x14ac:dyDescent="0.45">
      <c r="A169" s="30" t="s">
        <v>176</v>
      </c>
      <c r="C169" s="23">
        <v>0</v>
      </c>
      <c r="E169" s="23">
        <v>2306449395</v>
      </c>
      <c r="G169" s="23">
        <v>21777711</v>
      </c>
      <c r="I169" s="23">
        <v>2328227106</v>
      </c>
      <c r="K169" s="24">
        <v>1.7209524964510524E-2</v>
      </c>
      <c r="M169" s="23">
        <v>3295057660</v>
      </c>
      <c r="O169" s="23">
        <v>5064676544</v>
      </c>
      <c r="Q169" s="23">
        <v>1577105796</v>
      </c>
      <c r="S169" s="23">
        <v>9936840000</v>
      </c>
      <c r="U169" s="24">
        <v>7.3531827214855343E-3</v>
      </c>
    </row>
    <row r="170" spans="1:21" ht="37.5" x14ac:dyDescent="0.45">
      <c r="A170" s="30" t="s">
        <v>177</v>
      </c>
      <c r="C170" s="23">
        <v>0</v>
      </c>
      <c r="E170" s="23">
        <v>1673184060</v>
      </c>
      <c r="G170" s="23">
        <v>0</v>
      </c>
      <c r="I170" s="23">
        <v>1673184060</v>
      </c>
      <c r="K170" s="24">
        <v>1.2367652097420032E-2</v>
      </c>
      <c r="M170" s="23">
        <v>0</v>
      </c>
      <c r="O170" s="23">
        <v>1673184060</v>
      </c>
      <c r="Q170" s="23">
        <v>0</v>
      </c>
      <c r="S170" s="23">
        <v>1673184060</v>
      </c>
      <c r="U170" s="24">
        <v>1.2381429226853823E-3</v>
      </c>
    </row>
    <row r="171" spans="1:21" ht="37.5" x14ac:dyDescent="0.45">
      <c r="A171" s="30" t="s">
        <v>178</v>
      </c>
      <c r="C171" s="23">
        <v>0</v>
      </c>
      <c r="E171" s="23">
        <v>-423699290</v>
      </c>
      <c r="G171" s="23">
        <v>0</v>
      </c>
      <c r="I171" s="23">
        <v>-423699290</v>
      </c>
      <c r="K171" s="24">
        <v>-3.1318523394514518E-3</v>
      </c>
      <c r="M171" s="23">
        <v>505400000</v>
      </c>
      <c r="O171" s="23">
        <v>3407166350</v>
      </c>
      <c r="Q171" s="23">
        <v>0</v>
      </c>
      <c r="S171" s="23">
        <v>3912566350</v>
      </c>
      <c r="U171" s="24">
        <v>2.8952680410961355E-3</v>
      </c>
    </row>
    <row r="172" spans="1:21" ht="18.75" x14ac:dyDescent="0.45">
      <c r="A172" s="30" t="s">
        <v>396</v>
      </c>
      <c r="C172" s="23">
        <v>0</v>
      </c>
      <c r="E172" s="23">
        <v>2321713652</v>
      </c>
      <c r="G172" s="23">
        <v>0</v>
      </c>
      <c r="I172" s="23">
        <v>2321713652</v>
      </c>
      <c r="K172" s="24">
        <v>1.7161379554241345E-2</v>
      </c>
      <c r="M172" s="23">
        <v>0</v>
      </c>
      <c r="O172" s="23">
        <v>7445939407</v>
      </c>
      <c r="Q172" s="23">
        <v>0</v>
      </c>
      <c r="S172" s="23">
        <v>7445939407</v>
      </c>
      <c r="U172" s="24">
        <v>5.5099360554039956E-3</v>
      </c>
    </row>
    <row r="173" spans="1:21" ht="18.75" x14ac:dyDescent="0.45">
      <c r="A173" s="30" t="s">
        <v>179</v>
      </c>
      <c r="C173" s="23">
        <v>0</v>
      </c>
      <c r="E173" s="23">
        <v>4050495445</v>
      </c>
      <c r="G173" s="23">
        <v>698742959</v>
      </c>
      <c r="I173" s="23">
        <v>4749238404</v>
      </c>
      <c r="K173" s="24">
        <v>3.510488159227286E-2</v>
      </c>
      <c r="M173" s="23">
        <v>0</v>
      </c>
      <c r="O173" s="23">
        <v>5655859715</v>
      </c>
      <c r="Q173" s="23">
        <v>291930996</v>
      </c>
      <c r="S173" s="23">
        <v>5947790711</v>
      </c>
      <c r="U173" s="24">
        <v>4.4013179126500337E-3</v>
      </c>
    </row>
    <row r="174" spans="1:21" ht="18.75" x14ac:dyDescent="0.45">
      <c r="A174" s="30" t="s">
        <v>180</v>
      </c>
      <c r="C174" s="23">
        <v>0</v>
      </c>
      <c r="E174" s="23">
        <v>5044067382</v>
      </c>
      <c r="G174" s="23">
        <v>941778152</v>
      </c>
      <c r="I174" s="23">
        <v>5985845534</v>
      </c>
      <c r="K174" s="24">
        <v>4.4245493871969729E-2</v>
      </c>
      <c r="M174" s="23">
        <v>0</v>
      </c>
      <c r="O174" s="23">
        <v>11312827083</v>
      </c>
      <c r="Q174" s="23">
        <v>3583169353</v>
      </c>
      <c r="S174" s="23">
        <v>14895996436</v>
      </c>
      <c r="U174" s="24">
        <v>1.1022919118402358E-2</v>
      </c>
    </row>
    <row r="175" spans="1:21" ht="18.75" x14ac:dyDescent="0.45">
      <c r="A175" s="30" t="s">
        <v>182</v>
      </c>
      <c r="C175" s="23">
        <v>0</v>
      </c>
      <c r="E175" s="23">
        <v>5071472532</v>
      </c>
      <c r="G175" s="23">
        <v>0</v>
      </c>
      <c r="I175" s="23">
        <v>5071472532</v>
      </c>
      <c r="K175" s="24">
        <v>3.748673525935807E-2</v>
      </c>
      <c r="M175" s="23">
        <v>10319249000</v>
      </c>
      <c r="O175" s="23">
        <v>14608321898</v>
      </c>
      <c r="Q175" s="23">
        <v>13120047350</v>
      </c>
      <c r="S175" s="23">
        <v>38047618248</v>
      </c>
      <c r="U175" s="24">
        <v>2.8154935481991387E-2</v>
      </c>
    </row>
    <row r="176" spans="1:21" ht="18.75" x14ac:dyDescent="0.45">
      <c r="A176" s="30" t="s">
        <v>183</v>
      </c>
      <c r="C176" s="23">
        <v>0</v>
      </c>
      <c r="E176" s="23">
        <v>-54574795</v>
      </c>
      <c r="G176" s="23">
        <v>0</v>
      </c>
      <c r="I176" s="23">
        <v>-54574795</v>
      </c>
      <c r="K176" s="24">
        <v>-4.0339977769571764E-4</v>
      </c>
      <c r="M176" s="23">
        <v>99999950</v>
      </c>
      <c r="O176" s="23">
        <v>1021588039</v>
      </c>
      <c r="Q176" s="23">
        <v>734050907</v>
      </c>
      <c r="S176" s="23">
        <v>1855638896</v>
      </c>
      <c r="U176" s="24">
        <v>1.3731580530011243E-3</v>
      </c>
    </row>
    <row r="177" spans="1:21" ht="18.75" x14ac:dyDescent="0.45">
      <c r="A177" s="30" t="s">
        <v>185</v>
      </c>
      <c r="C177" s="23">
        <v>0</v>
      </c>
      <c r="E177" s="23">
        <v>-4853425654</v>
      </c>
      <c r="G177" s="23">
        <v>-106052174</v>
      </c>
      <c r="I177" s="23">
        <v>-4959477828</v>
      </c>
      <c r="K177" s="24">
        <v>-3.665890551310437E-2</v>
      </c>
      <c r="M177" s="23">
        <v>7267946400</v>
      </c>
      <c r="O177" s="23">
        <v>-4146817009</v>
      </c>
      <c r="Q177" s="23">
        <v>1374381589</v>
      </c>
      <c r="S177" s="23">
        <v>4495510980</v>
      </c>
      <c r="U177" s="24">
        <v>3.3266424398887876E-3</v>
      </c>
    </row>
    <row r="178" spans="1:21" ht="18.75" x14ac:dyDescent="0.45">
      <c r="A178" s="30" t="s">
        <v>186</v>
      </c>
      <c r="C178" s="23">
        <v>2494455880</v>
      </c>
      <c r="E178" s="23">
        <v>-1492842689</v>
      </c>
      <c r="G178" s="23">
        <v>0</v>
      </c>
      <c r="I178" s="23">
        <v>1001613191</v>
      </c>
      <c r="K178" s="24">
        <v>7.4036107435034504E-3</v>
      </c>
      <c r="M178" s="23">
        <v>2494455880</v>
      </c>
      <c r="O178" s="23">
        <v>5004232499</v>
      </c>
      <c r="Q178" s="23">
        <v>-1155274913</v>
      </c>
      <c r="S178" s="23">
        <v>6343413466</v>
      </c>
      <c r="U178" s="24">
        <v>4.6940756109014395E-3</v>
      </c>
    </row>
    <row r="179" spans="1:21" ht="18.75" x14ac:dyDescent="0.45">
      <c r="A179" s="30" t="s">
        <v>187</v>
      </c>
      <c r="C179" s="23">
        <v>0</v>
      </c>
      <c r="E179" s="23">
        <v>-272373219</v>
      </c>
      <c r="G179" s="23">
        <v>0</v>
      </c>
      <c r="I179" s="23">
        <v>-272373219</v>
      </c>
      <c r="K179" s="24">
        <v>-2.0132974570929128E-3</v>
      </c>
      <c r="M179" s="23">
        <v>524156680</v>
      </c>
      <c r="O179" s="23">
        <v>2506328106</v>
      </c>
      <c r="Q179" s="23">
        <v>0</v>
      </c>
      <c r="S179" s="23">
        <v>3030484786</v>
      </c>
      <c r="U179" s="24">
        <v>2.2425346856888091E-3</v>
      </c>
    </row>
    <row r="180" spans="1:21" ht="18.75" x14ac:dyDescent="0.45">
      <c r="A180" s="30" t="s">
        <v>188</v>
      </c>
      <c r="C180" s="23">
        <v>0</v>
      </c>
      <c r="E180" s="23">
        <v>1427154685</v>
      </c>
      <c r="G180" s="23">
        <v>0</v>
      </c>
      <c r="I180" s="23">
        <v>1427154685</v>
      </c>
      <c r="K180" s="24">
        <v>1.0549080077468033E-2</v>
      </c>
      <c r="M180" s="23">
        <v>728479800</v>
      </c>
      <c r="O180" s="23">
        <v>1427154685</v>
      </c>
      <c r="Q180" s="23">
        <v>-386487517</v>
      </c>
      <c r="S180" s="23">
        <v>1769146968</v>
      </c>
      <c r="U180" s="24">
        <v>1.3091547128529916E-3</v>
      </c>
    </row>
    <row r="181" spans="1:21" ht="37.5" x14ac:dyDescent="0.45">
      <c r="A181" s="30" t="s">
        <v>189</v>
      </c>
      <c r="C181" s="23">
        <v>0</v>
      </c>
      <c r="E181" s="23">
        <v>-794809472</v>
      </c>
      <c r="G181" s="23">
        <v>0</v>
      </c>
      <c r="I181" s="23">
        <v>-794809472</v>
      </c>
      <c r="K181" s="24">
        <v>-5.8749824770803214E-3</v>
      </c>
      <c r="M181" s="23">
        <v>0</v>
      </c>
      <c r="O181" s="23">
        <v>1131550990</v>
      </c>
      <c r="Q181" s="23">
        <v>25008362</v>
      </c>
      <c r="S181" s="23">
        <v>1156559352</v>
      </c>
      <c r="U181" s="24">
        <v>8.5584473972599999E-4</v>
      </c>
    </row>
    <row r="182" spans="1:21" ht="18.75" x14ac:dyDescent="0.45">
      <c r="A182" s="30" t="s">
        <v>190</v>
      </c>
      <c r="C182" s="23">
        <v>0</v>
      </c>
      <c r="E182" s="23">
        <v>-6239997476</v>
      </c>
      <c r="G182" s="23">
        <v>-660444587</v>
      </c>
      <c r="I182" s="23">
        <v>-6900442063</v>
      </c>
      <c r="K182" s="24">
        <v>-5.1005904726098915E-2</v>
      </c>
      <c r="M182" s="23">
        <v>49200</v>
      </c>
      <c r="O182" s="23">
        <v>-3060387257</v>
      </c>
      <c r="Q182" s="23">
        <v>-474917860</v>
      </c>
      <c r="S182" s="23">
        <v>-3535255917</v>
      </c>
      <c r="U182" s="24">
        <v>-2.6160613157617408E-3</v>
      </c>
    </row>
    <row r="183" spans="1:21" ht="18.75" x14ac:dyDescent="0.45">
      <c r="A183" s="30" t="s">
        <v>191</v>
      </c>
      <c r="C183" s="23">
        <v>0</v>
      </c>
      <c r="E183" s="23">
        <v>2570943554</v>
      </c>
      <c r="G183" s="23">
        <v>805204998</v>
      </c>
      <c r="I183" s="23">
        <v>3376148552</v>
      </c>
      <c r="K183" s="24">
        <v>2.4955431813248573E-2</v>
      </c>
      <c r="M183" s="23">
        <v>0</v>
      </c>
      <c r="O183" s="23">
        <v>6102540979</v>
      </c>
      <c r="Q183" s="23">
        <v>805204998</v>
      </c>
      <c r="S183" s="23">
        <v>6907745977</v>
      </c>
      <c r="U183" s="24">
        <v>5.1116771893768651E-3</v>
      </c>
    </row>
    <row r="184" spans="1:21" ht="18.75" x14ac:dyDescent="0.45">
      <c r="A184" s="30" t="s">
        <v>192</v>
      </c>
      <c r="C184" s="23">
        <v>0</v>
      </c>
      <c r="E184" s="23">
        <v>184810236</v>
      </c>
      <c r="G184" s="23">
        <v>-930991829</v>
      </c>
      <c r="I184" s="23">
        <v>-746181593</v>
      </c>
      <c r="K184" s="24">
        <v>-5.5155404383440462E-3</v>
      </c>
      <c r="M184" s="23">
        <v>0</v>
      </c>
      <c r="O184" s="23">
        <v>-36219502</v>
      </c>
      <c r="Q184" s="23">
        <v>-1246348478</v>
      </c>
      <c r="S184" s="23">
        <v>-1282567980</v>
      </c>
      <c r="U184" s="24">
        <v>-9.4909012419105109E-4</v>
      </c>
    </row>
    <row r="185" spans="1:21" ht="18.75" x14ac:dyDescent="0.45">
      <c r="A185" s="30" t="s">
        <v>193</v>
      </c>
      <c r="C185" s="23">
        <v>0</v>
      </c>
      <c r="E185" s="23">
        <v>5392291928</v>
      </c>
      <c r="G185" s="23">
        <v>0</v>
      </c>
      <c r="I185" s="23">
        <v>5392291928</v>
      </c>
      <c r="K185" s="24">
        <v>3.9858131670959328E-2</v>
      </c>
      <c r="M185" s="23">
        <v>0</v>
      </c>
      <c r="O185" s="23">
        <v>14948528972</v>
      </c>
      <c r="Q185" s="23">
        <v>304377639</v>
      </c>
      <c r="S185" s="23">
        <v>15252906611</v>
      </c>
      <c r="U185" s="24">
        <v>1.1287029814753751E-2</v>
      </c>
    </row>
    <row r="186" spans="1:21" ht="18.75" x14ac:dyDescent="0.45">
      <c r="A186" s="30" t="s">
        <v>194</v>
      </c>
      <c r="C186" s="23">
        <v>0</v>
      </c>
      <c r="E186" s="23">
        <v>13637024968</v>
      </c>
      <c r="G186" s="23">
        <v>0</v>
      </c>
      <c r="I186" s="23">
        <v>13637024968</v>
      </c>
      <c r="K186" s="24">
        <v>0.10080061391934045</v>
      </c>
      <c r="M186" s="23">
        <v>2406384864</v>
      </c>
      <c r="O186" s="23">
        <v>31205991339</v>
      </c>
      <c r="Q186" s="23">
        <v>1476460253</v>
      </c>
      <c r="S186" s="23">
        <v>35088836456</v>
      </c>
      <c r="U186" s="24">
        <v>2.5965460442685089E-2</v>
      </c>
    </row>
    <row r="187" spans="1:21" ht="18.75" x14ac:dyDescent="0.45">
      <c r="A187" s="30" t="s">
        <v>195</v>
      </c>
      <c r="C187" s="23">
        <v>0</v>
      </c>
      <c r="E187" s="23">
        <v>-847783062</v>
      </c>
      <c r="G187" s="23">
        <v>1257475899</v>
      </c>
      <c r="I187" s="23">
        <v>409692837</v>
      </c>
      <c r="K187" s="24">
        <v>3.0283210293199983E-3</v>
      </c>
      <c r="M187" s="23">
        <v>0</v>
      </c>
      <c r="O187" s="23">
        <v>10050176532</v>
      </c>
      <c r="Q187" s="23">
        <v>1257475899</v>
      </c>
      <c r="S187" s="23">
        <v>11307652431</v>
      </c>
      <c r="U187" s="24">
        <v>8.3675730389332122E-3</v>
      </c>
    </row>
    <row r="188" spans="1:21" ht="18.75" x14ac:dyDescent="0.45">
      <c r="A188" s="30" t="s">
        <v>196</v>
      </c>
      <c r="C188" s="23">
        <v>0</v>
      </c>
      <c r="E188" s="23">
        <v>11194813161</v>
      </c>
      <c r="G188" s="23">
        <v>0</v>
      </c>
      <c r="I188" s="23">
        <v>11194813161</v>
      </c>
      <c r="K188" s="24">
        <v>8.2748549774534094E-2</v>
      </c>
      <c r="M188" s="23">
        <v>0</v>
      </c>
      <c r="O188" s="23">
        <v>19004275600</v>
      </c>
      <c r="Q188" s="23">
        <v>0</v>
      </c>
      <c r="S188" s="23">
        <v>19004275600</v>
      </c>
      <c r="U188" s="24">
        <v>1.4063013088292569E-2</v>
      </c>
    </row>
    <row r="189" spans="1:21" ht="18.75" x14ac:dyDescent="0.45">
      <c r="A189" s="30" t="s">
        <v>197</v>
      </c>
      <c r="C189" s="23">
        <v>0</v>
      </c>
      <c r="E189" s="23">
        <v>795192485</v>
      </c>
      <c r="G189" s="23">
        <v>0</v>
      </c>
      <c r="I189" s="23">
        <v>795192485</v>
      </c>
      <c r="K189" s="24">
        <v>5.8778135891175646E-3</v>
      </c>
      <c r="M189" s="23">
        <v>0</v>
      </c>
      <c r="O189" s="23">
        <v>6905504160</v>
      </c>
      <c r="Q189" s="23">
        <v>0</v>
      </c>
      <c r="S189" s="23">
        <v>6905504160</v>
      </c>
      <c r="U189" s="24">
        <v>5.110018262592381E-3</v>
      </c>
    </row>
    <row r="190" spans="1:21" ht="18.75" x14ac:dyDescent="0.45">
      <c r="A190" s="30" t="s">
        <v>397</v>
      </c>
      <c r="C190" s="23">
        <v>1414872300</v>
      </c>
      <c r="E190" s="23">
        <v>-1142512895</v>
      </c>
      <c r="G190" s="23">
        <v>0</v>
      </c>
      <c r="I190" s="23">
        <v>272359405</v>
      </c>
      <c r="K190" s="24">
        <v>2.0131953483350316E-3</v>
      </c>
      <c r="M190" s="23">
        <v>1414872300</v>
      </c>
      <c r="O190" s="23">
        <v>2548303974</v>
      </c>
      <c r="Q190" s="23">
        <v>1326988801</v>
      </c>
      <c r="S190" s="23">
        <v>5290165075</v>
      </c>
      <c r="U190" s="24">
        <v>3.914680162234294E-3</v>
      </c>
    </row>
    <row r="191" spans="1:21" ht="18.75" x14ac:dyDescent="0.45">
      <c r="A191" s="30" t="s">
        <v>200</v>
      </c>
      <c r="C191" s="23">
        <v>0</v>
      </c>
      <c r="E191" s="23">
        <v>2523438205</v>
      </c>
      <c r="G191" s="23">
        <v>0</v>
      </c>
      <c r="I191" s="23">
        <v>2523438205</v>
      </c>
      <c r="K191" s="24">
        <v>1.8652464217701243E-2</v>
      </c>
      <c r="M191" s="23">
        <v>1015029840</v>
      </c>
      <c r="O191" s="23">
        <v>6294418960</v>
      </c>
      <c r="Q191" s="23">
        <v>-2902742731</v>
      </c>
      <c r="S191" s="23">
        <v>4406706069</v>
      </c>
      <c r="U191" s="24">
        <v>3.2609275106810858E-3</v>
      </c>
    </row>
    <row r="192" spans="1:21" ht="18.75" x14ac:dyDescent="0.45">
      <c r="A192" s="30" t="s">
        <v>201</v>
      </c>
      <c r="C192" s="23">
        <v>0</v>
      </c>
      <c r="E192" s="23">
        <v>-5008885290</v>
      </c>
      <c r="G192" s="23">
        <v>-237803878</v>
      </c>
      <c r="I192" s="23">
        <v>-5246689168</v>
      </c>
      <c r="K192" s="24">
        <v>-3.8781881709491164E-2</v>
      </c>
      <c r="M192" s="23">
        <v>0</v>
      </c>
      <c r="O192" s="23">
        <v>-4259803760</v>
      </c>
      <c r="Q192" s="23">
        <v>-95301698</v>
      </c>
      <c r="S192" s="23">
        <v>-4355105458</v>
      </c>
      <c r="U192" s="24">
        <v>-3.2227434681461049E-3</v>
      </c>
    </row>
    <row r="193" spans="1:21" ht="18.75" x14ac:dyDescent="0.45">
      <c r="A193" s="30" t="s">
        <v>202</v>
      </c>
      <c r="C193" s="23">
        <v>0</v>
      </c>
      <c r="E193" s="23">
        <v>-3625778348</v>
      </c>
      <c r="G193" s="23">
        <v>-978601820</v>
      </c>
      <c r="I193" s="23">
        <v>-4604380168</v>
      </c>
      <c r="K193" s="24">
        <v>-3.4034134918835168E-2</v>
      </c>
      <c r="M193" s="23">
        <v>0</v>
      </c>
      <c r="O193" s="23">
        <v>-1792499785</v>
      </c>
      <c r="Q193" s="23">
        <v>-978601820</v>
      </c>
      <c r="S193" s="23">
        <v>-2771101605</v>
      </c>
      <c r="U193" s="24">
        <v>-2.0505931907293298E-3</v>
      </c>
    </row>
    <row r="194" spans="1:21" ht="18.75" x14ac:dyDescent="0.45">
      <c r="A194" s="30" t="s">
        <v>203</v>
      </c>
      <c r="C194" s="23">
        <v>0</v>
      </c>
      <c r="E194" s="23">
        <v>-4242698613</v>
      </c>
      <c r="G194" s="23">
        <v>1666879354</v>
      </c>
      <c r="I194" s="23">
        <v>-2575819259</v>
      </c>
      <c r="K194" s="24">
        <v>-1.9039648549572165E-2</v>
      </c>
      <c r="M194" s="23">
        <v>0</v>
      </c>
      <c r="O194" s="23">
        <v>3282089469</v>
      </c>
      <c r="Q194" s="23">
        <v>1726700848</v>
      </c>
      <c r="S194" s="23">
        <v>5008790317</v>
      </c>
      <c r="U194" s="24">
        <v>3.7064650748636842E-3</v>
      </c>
    </row>
    <row r="195" spans="1:21" ht="18.75" x14ac:dyDescent="0.45">
      <c r="A195" s="30" t="s">
        <v>204</v>
      </c>
      <c r="C195" s="23">
        <v>0</v>
      </c>
      <c r="E195" s="23">
        <v>3837569634</v>
      </c>
      <c r="G195" s="23">
        <v>0</v>
      </c>
      <c r="I195" s="23">
        <v>3837569634</v>
      </c>
      <c r="K195" s="24">
        <v>2.8366111814940149E-2</v>
      </c>
      <c r="M195" s="23">
        <v>3237484320</v>
      </c>
      <c r="O195" s="23">
        <v>7637117896</v>
      </c>
      <c r="Q195" s="23">
        <v>-5374334342</v>
      </c>
      <c r="S195" s="23">
        <v>5500267874</v>
      </c>
      <c r="U195" s="24">
        <v>4.0701545657008441E-3</v>
      </c>
    </row>
    <row r="196" spans="1:21" ht="18.75" x14ac:dyDescent="0.45">
      <c r="A196" s="30" t="s">
        <v>205</v>
      </c>
      <c r="C196" s="23">
        <v>0</v>
      </c>
      <c r="E196" s="23">
        <v>-5370062106</v>
      </c>
      <c r="G196" s="23">
        <v>196369676</v>
      </c>
      <c r="I196" s="23">
        <v>-5173692430</v>
      </c>
      <c r="K196" s="24">
        <v>-3.8242312703657744E-2</v>
      </c>
      <c r="M196" s="23">
        <v>0</v>
      </c>
      <c r="O196" s="23">
        <v>262575845</v>
      </c>
      <c r="Q196" s="23">
        <v>3420731414</v>
      </c>
      <c r="S196" s="23">
        <v>3683307259</v>
      </c>
      <c r="U196" s="24">
        <v>2.7256181336119977E-3</v>
      </c>
    </row>
    <row r="197" spans="1:21" ht="18.75" x14ac:dyDescent="0.45">
      <c r="A197" s="30" t="s">
        <v>207</v>
      </c>
      <c r="C197" s="23">
        <v>0</v>
      </c>
      <c r="E197" s="23">
        <v>-536693616</v>
      </c>
      <c r="G197" s="23">
        <v>0</v>
      </c>
      <c r="I197" s="23">
        <v>-536693616</v>
      </c>
      <c r="K197" s="24">
        <v>-3.9670709781889401E-3</v>
      </c>
      <c r="M197" s="23">
        <v>0</v>
      </c>
      <c r="O197" s="23">
        <v>1394696401</v>
      </c>
      <c r="Q197" s="23">
        <v>0</v>
      </c>
      <c r="S197" s="23">
        <v>1394696401</v>
      </c>
      <c r="U197" s="24">
        <v>1.0320642656570158E-3</v>
      </c>
    </row>
    <row r="198" spans="1:21" ht="18.75" x14ac:dyDescent="0.45">
      <c r="A198" s="30" t="s">
        <v>209</v>
      </c>
      <c r="C198" s="23">
        <v>0</v>
      </c>
      <c r="E198" s="23">
        <v>-3770032697</v>
      </c>
      <c r="G198" s="23">
        <v>-346795698</v>
      </c>
      <c r="I198" s="23">
        <v>-4116828395</v>
      </c>
      <c r="K198" s="24">
        <v>-3.0430305040164019E-2</v>
      </c>
      <c r="M198" s="23">
        <v>0</v>
      </c>
      <c r="O198" s="23">
        <v>-2367719593</v>
      </c>
      <c r="Q198" s="23">
        <v>-346795698</v>
      </c>
      <c r="S198" s="23">
        <v>-2714515291</v>
      </c>
      <c r="U198" s="24">
        <v>-2.0087197675507985E-3</v>
      </c>
    </row>
    <row r="199" spans="1:21" ht="18.75" x14ac:dyDescent="0.45">
      <c r="A199" s="30" t="s">
        <v>210</v>
      </c>
      <c r="C199" s="23">
        <v>0</v>
      </c>
      <c r="E199" s="23">
        <v>-4467225505</v>
      </c>
      <c r="G199" s="23">
        <v>662093500</v>
      </c>
      <c r="I199" s="23">
        <v>-3805132005</v>
      </c>
      <c r="K199" s="24">
        <v>-2.8126343029229159E-2</v>
      </c>
      <c r="M199" s="23">
        <v>0</v>
      </c>
      <c r="O199" s="23">
        <v>1203598001</v>
      </c>
      <c r="Q199" s="23">
        <v>1915926955</v>
      </c>
      <c r="S199" s="23">
        <v>3119524956</v>
      </c>
      <c r="U199" s="24">
        <v>2.308423704689028E-3</v>
      </c>
    </row>
    <row r="200" spans="1:21" ht="18.75" x14ac:dyDescent="0.45">
      <c r="A200" s="30" t="s">
        <v>211</v>
      </c>
      <c r="C200" s="23">
        <v>0</v>
      </c>
      <c r="E200" s="23">
        <v>1321143670</v>
      </c>
      <c r="G200" s="23">
        <v>3164693683</v>
      </c>
      <c r="I200" s="23">
        <v>4485837353</v>
      </c>
      <c r="K200" s="24">
        <v>3.3157903588631833E-2</v>
      </c>
      <c r="M200" s="23">
        <v>0</v>
      </c>
      <c r="O200" s="23">
        <v>10624917495</v>
      </c>
      <c r="Q200" s="23">
        <v>5475603029</v>
      </c>
      <c r="S200" s="23">
        <v>16100520524</v>
      </c>
      <c r="U200" s="24">
        <v>1.1914257382024871E-2</v>
      </c>
    </row>
    <row r="201" spans="1:21" ht="18.75" x14ac:dyDescent="0.45">
      <c r="A201" s="30" t="s">
        <v>398</v>
      </c>
      <c r="C201" s="23">
        <v>0</v>
      </c>
      <c r="E201" s="23">
        <v>-7328716276</v>
      </c>
      <c r="G201" s="23">
        <v>1260431452</v>
      </c>
      <c r="I201" s="23">
        <v>-6068284824</v>
      </c>
      <c r="K201" s="24">
        <v>-4.4854859262337073E-2</v>
      </c>
      <c r="M201" s="23">
        <v>7980000000</v>
      </c>
      <c r="O201" s="23">
        <v>7385477601</v>
      </c>
      <c r="Q201" s="23">
        <v>44383530533</v>
      </c>
      <c r="S201" s="23">
        <v>59749008134</v>
      </c>
      <c r="U201" s="24">
        <v>4.4213791732263717E-2</v>
      </c>
    </row>
    <row r="202" spans="1:21" ht="18.75" x14ac:dyDescent="0.45">
      <c r="A202" s="30" t="s">
        <v>399</v>
      </c>
      <c r="C202" s="23">
        <v>0</v>
      </c>
      <c r="E202" s="23">
        <v>6079215806</v>
      </c>
      <c r="G202" s="23">
        <v>3901662729</v>
      </c>
      <c r="I202" s="23">
        <v>9980878535</v>
      </c>
      <c r="K202" s="24">
        <v>7.3775525537511599E-2</v>
      </c>
      <c r="M202" s="23">
        <v>0</v>
      </c>
      <c r="O202" s="23">
        <v>13325045983</v>
      </c>
      <c r="Q202" s="23">
        <v>3901662729</v>
      </c>
      <c r="S202" s="23">
        <v>17226708712</v>
      </c>
      <c r="U202" s="24">
        <v>1.2747627701476799E-2</v>
      </c>
    </row>
    <row r="203" spans="1:21" ht="18.75" x14ac:dyDescent="0.45">
      <c r="A203" s="30" t="s">
        <v>213</v>
      </c>
      <c r="C203" s="23">
        <v>0</v>
      </c>
      <c r="E203" s="23">
        <v>-5859189332</v>
      </c>
      <c r="G203" s="23">
        <v>3167356308</v>
      </c>
      <c r="I203" s="23">
        <v>-2691833024</v>
      </c>
      <c r="K203" s="24">
        <v>-1.989718593492823E-2</v>
      </c>
      <c r="M203" s="23">
        <v>0</v>
      </c>
      <c r="O203" s="23">
        <v>27123106</v>
      </c>
      <c r="Q203" s="23">
        <v>4291181199</v>
      </c>
      <c r="S203" s="23">
        <v>4318304305</v>
      </c>
      <c r="U203" s="24">
        <v>3.1955109070532076E-3</v>
      </c>
    </row>
    <row r="204" spans="1:21" ht="18.75" x14ac:dyDescent="0.45">
      <c r="A204" s="30" t="s">
        <v>400</v>
      </c>
      <c r="C204" s="23">
        <v>0</v>
      </c>
      <c r="E204" s="23">
        <v>3711952363</v>
      </c>
      <c r="G204" s="23">
        <v>863764423</v>
      </c>
      <c r="I204" s="23">
        <v>4575716786</v>
      </c>
      <c r="K204" s="24">
        <v>3.3822264183877626E-2</v>
      </c>
      <c r="M204" s="23">
        <v>0</v>
      </c>
      <c r="O204" s="23">
        <v>6153967690</v>
      </c>
      <c r="Q204" s="23">
        <v>3055860160</v>
      </c>
      <c r="S204" s="23">
        <v>9209827850</v>
      </c>
      <c r="U204" s="24">
        <v>6.8151995014990949E-3</v>
      </c>
    </row>
    <row r="205" spans="1:21" ht="18.75" x14ac:dyDescent="0.45">
      <c r="A205" s="30" t="s">
        <v>364</v>
      </c>
      <c r="C205" s="23">
        <v>0</v>
      </c>
      <c r="E205" s="23">
        <v>11705428417</v>
      </c>
      <c r="G205" s="23">
        <v>0</v>
      </c>
      <c r="I205" s="23">
        <v>11705428417</v>
      </c>
      <c r="K205" s="24">
        <v>8.6522857690091853E-2</v>
      </c>
      <c r="M205" s="23">
        <v>0</v>
      </c>
      <c r="O205" s="23">
        <v>12868934265</v>
      </c>
      <c r="Q205" s="23">
        <v>-130926535</v>
      </c>
      <c r="S205" s="23">
        <v>12738007730</v>
      </c>
      <c r="U205" s="24">
        <v>9.4260246060503313E-3</v>
      </c>
    </row>
    <row r="206" spans="1:21" ht="18.75" x14ac:dyDescent="0.45">
      <c r="A206" s="30" t="s">
        <v>215</v>
      </c>
      <c r="C206" s="23">
        <v>0</v>
      </c>
      <c r="E206" s="23">
        <v>2758836213</v>
      </c>
      <c r="G206" s="23">
        <v>0</v>
      </c>
      <c r="I206" s="23">
        <v>2758836213</v>
      </c>
      <c r="K206" s="24">
        <v>2.0392452505283723E-2</v>
      </c>
      <c r="M206" s="23">
        <v>0</v>
      </c>
      <c r="O206" s="23">
        <v>8043185986</v>
      </c>
      <c r="Q206" s="23">
        <v>2892468147</v>
      </c>
      <c r="S206" s="23">
        <v>10935654133</v>
      </c>
      <c r="U206" s="24">
        <v>8.0922972513311538E-3</v>
      </c>
    </row>
    <row r="207" spans="1:21" ht="18.75" x14ac:dyDescent="0.45">
      <c r="A207" s="30" t="s">
        <v>401</v>
      </c>
      <c r="C207" s="23">
        <v>0</v>
      </c>
      <c r="E207" s="23">
        <v>10114389954</v>
      </c>
      <c r="G207" s="23">
        <v>0</v>
      </c>
      <c r="I207" s="23">
        <v>10114389954</v>
      </c>
      <c r="K207" s="24">
        <v>7.476240009644379E-2</v>
      </c>
      <c r="M207" s="23">
        <v>3010453000</v>
      </c>
      <c r="O207" s="23">
        <v>15826719329</v>
      </c>
      <c r="Q207" s="23">
        <v>236535637</v>
      </c>
      <c r="S207" s="23">
        <v>19073707966</v>
      </c>
      <c r="U207" s="24">
        <v>1.4114392487979296E-2</v>
      </c>
    </row>
    <row r="208" spans="1:21" ht="18.75" x14ac:dyDescent="0.45">
      <c r="A208" s="30" t="s">
        <v>220</v>
      </c>
      <c r="C208" s="23">
        <v>0</v>
      </c>
      <c r="E208" s="23">
        <v>2350182976</v>
      </c>
      <c r="G208" s="23">
        <v>728621676</v>
      </c>
      <c r="I208" s="23">
        <v>3078804652</v>
      </c>
      <c r="K208" s="24">
        <v>2.2757558909480856E-2</v>
      </c>
      <c r="M208" s="23">
        <v>10382562840</v>
      </c>
      <c r="O208" s="23">
        <v>9680779272</v>
      </c>
      <c r="Q208" s="23">
        <v>1312267422</v>
      </c>
      <c r="S208" s="23">
        <v>21375609534</v>
      </c>
      <c r="U208" s="24">
        <v>1.5817781375832785E-2</v>
      </c>
    </row>
    <row r="209" spans="1:21" ht="18.75" x14ac:dyDescent="0.45">
      <c r="A209" s="30" t="s">
        <v>221</v>
      </c>
      <c r="C209" s="23">
        <v>0</v>
      </c>
      <c r="E209" s="23">
        <v>-755279536</v>
      </c>
      <c r="G209" s="23">
        <v>405192892</v>
      </c>
      <c r="I209" s="23">
        <v>-350086644</v>
      </c>
      <c r="K209" s="24">
        <v>-2.5877307347437557E-3</v>
      </c>
      <c r="M209" s="23">
        <v>0</v>
      </c>
      <c r="O209" s="23">
        <v>5050197077</v>
      </c>
      <c r="Q209" s="23">
        <v>2059433774</v>
      </c>
      <c r="S209" s="23">
        <v>7109630851</v>
      </c>
      <c r="U209" s="24">
        <v>5.2610703935772026E-3</v>
      </c>
    </row>
    <row r="210" spans="1:21" ht="18.75" x14ac:dyDescent="0.45">
      <c r="A210" s="30" t="s">
        <v>222</v>
      </c>
      <c r="C210" s="23">
        <v>0</v>
      </c>
      <c r="E210" s="23">
        <v>-674247465</v>
      </c>
      <c r="G210" s="23">
        <v>0</v>
      </c>
      <c r="I210" s="23">
        <v>-674247465</v>
      </c>
      <c r="K210" s="24">
        <v>-4.9838259125462806E-3</v>
      </c>
      <c r="M210" s="23">
        <v>20250000</v>
      </c>
      <c r="O210" s="23">
        <v>-1952986140</v>
      </c>
      <c r="Q210" s="23">
        <v>0</v>
      </c>
      <c r="S210" s="23">
        <v>-1932736140</v>
      </c>
      <c r="U210" s="24">
        <v>-1.4302094015641437E-3</v>
      </c>
    </row>
    <row r="211" spans="1:21" ht="18.75" x14ac:dyDescent="0.45">
      <c r="A211" s="30" t="s">
        <v>223</v>
      </c>
      <c r="C211" s="23">
        <v>0</v>
      </c>
      <c r="E211" s="23">
        <v>-3125369981</v>
      </c>
      <c r="G211" s="23">
        <v>1140892391</v>
      </c>
      <c r="I211" s="23">
        <v>-1984477590</v>
      </c>
      <c r="K211" s="24">
        <v>-1.4668636293514864E-2</v>
      </c>
      <c r="M211" s="23">
        <v>0</v>
      </c>
      <c r="O211" s="23">
        <v>1599542725</v>
      </c>
      <c r="Q211" s="23">
        <v>1831683439</v>
      </c>
      <c r="S211" s="23">
        <v>3431226164</v>
      </c>
      <c r="U211" s="24">
        <v>2.5390801243286485E-3</v>
      </c>
    </row>
    <row r="212" spans="1:21" ht="18.75" x14ac:dyDescent="0.45">
      <c r="A212" s="30" t="s">
        <v>224</v>
      </c>
      <c r="C212" s="23">
        <v>0</v>
      </c>
      <c r="E212" s="23">
        <v>976394871</v>
      </c>
      <c r="G212" s="23">
        <v>0</v>
      </c>
      <c r="I212" s="23">
        <v>976394871</v>
      </c>
      <c r="K212" s="24">
        <v>7.2172048269652485E-3</v>
      </c>
      <c r="M212" s="23">
        <v>0</v>
      </c>
      <c r="O212" s="23">
        <v>10490005339</v>
      </c>
      <c r="Q212" s="23">
        <v>0</v>
      </c>
      <c r="S212" s="23">
        <v>10490005339</v>
      </c>
      <c r="U212" s="24">
        <v>7.7625206813258345E-3</v>
      </c>
    </row>
    <row r="213" spans="1:21" ht="18.75" x14ac:dyDescent="0.45">
      <c r="A213" s="30" t="s">
        <v>225</v>
      </c>
      <c r="C213" s="23">
        <v>0</v>
      </c>
      <c r="E213" s="23">
        <v>-7273904570</v>
      </c>
      <c r="G213" s="23">
        <v>11459322837</v>
      </c>
      <c r="I213" s="23">
        <v>4185418267</v>
      </c>
      <c r="K213" s="24">
        <v>3.0937299873895922E-2</v>
      </c>
      <c r="M213" s="23">
        <v>0</v>
      </c>
      <c r="O213" s="23">
        <v>0</v>
      </c>
      <c r="Q213" s="23">
        <v>12189774494</v>
      </c>
      <c r="S213" s="23">
        <v>12189774494</v>
      </c>
      <c r="U213" s="24">
        <v>9.0203363632790565E-3</v>
      </c>
    </row>
    <row r="214" spans="1:21" ht="18.75" x14ac:dyDescent="0.45">
      <c r="A214" s="30" t="s">
        <v>402</v>
      </c>
      <c r="C214" s="23">
        <v>0</v>
      </c>
      <c r="E214" s="23">
        <v>-2084278713</v>
      </c>
      <c r="G214" s="23">
        <v>0</v>
      </c>
      <c r="I214" s="23">
        <v>-2084278713</v>
      </c>
      <c r="K214" s="24">
        <v>-1.540633491120061E-2</v>
      </c>
      <c r="M214" s="23">
        <v>813578800</v>
      </c>
      <c r="O214" s="23">
        <v>450444336</v>
      </c>
      <c r="Q214" s="23">
        <v>300632659</v>
      </c>
      <c r="S214" s="23">
        <v>1564655795</v>
      </c>
      <c r="U214" s="24">
        <v>1.1578328680814235E-3</v>
      </c>
    </row>
    <row r="215" spans="1:21" ht="18.75" x14ac:dyDescent="0.45">
      <c r="A215" s="30" t="s">
        <v>227</v>
      </c>
      <c r="C215" s="23">
        <v>0</v>
      </c>
      <c r="E215" s="23">
        <v>-1903714646</v>
      </c>
      <c r="G215" s="23">
        <v>0</v>
      </c>
      <c r="I215" s="23">
        <v>-1903714646</v>
      </c>
      <c r="K215" s="24">
        <v>-1.4071661927314282E-2</v>
      </c>
      <c r="M215" s="23">
        <v>0</v>
      </c>
      <c r="O215" s="23">
        <v>2220166225</v>
      </c>
      <c r="Q215" s="23">
        <v>0</v>
      </c>
      <c r="S215" s="23">
        <v>2220166225</v>
      </c>
      <c r="U215" s="24">
        <v>1.6429053828476421E-3</v>
      </c>
    </row>
    <row r="216" spans="1:21" ht="18.75" x14ac:dyDescent="0.45">
      <c r="A216" s="30" t="s">
        <v>228</v>
      </c>
      <c r="C216" s="23">
        <v>0</v>
      </c>
      <c r="E216" s="23">
        <v>1785846712</v>
      </c>
      <c r="G216" s="23">
        <v>0</v>
      </c>
      <c r="I216" s="23">
        <v>1785846712</v>
      </c>
      <c r="K216" s="24">
        <v>1.3200419105915621E-2</v>
      </c>
      <c r="M216" s="23">
        <v>0</v>
      </c>
      <c r="O216" s="23">
        <v>6107327510</v>
      </c>
      <c r="Q216" s="23">
        <v>0</v>
      </c>
      <c r="S216" s="23">
        <v>6107327510</v>
      </c>
      <c r="U216" s="24">
        <v>4.519373877508873E-3</v>
      </c>
    </row>
    <row r="217" spans="1:21" ht="18.75" x14ac:dyDescent="0.45">
      <c r="A217" s="30" t="s">
        <v>229</v>
      </c>
      <c r="C217" s="23">
        <v>0</v>
      </c>
      <c r="E217" s="23">
        <v>-1067508142</v>
      </c>
      <c r="G217" s="23">
        <v>0</v>
      </c>
      <c r="I217" s="23">
        <v>-1067508142</v>
      </c>
      <c r="K217" s="24">
        <v>-7.8906855659497867E-3</v>
      </c>
      <c r="M217" s="23">
        <v>0</v>
      </c>
      <c r="O217" s="23">
        <v>1797101270</v>
      </c>
      <c r="Q217" s="23">
        <v>0</v>
      </c>
      <c r="S217" s="23">
        <v>1797101270</v>
      </c>
      <c r="U217" s="24">
        <v>1.3298406744320841E-3</v>
      </c>
    </row>
    <row r="218" spans="1:21" ht="18.75" x14ac:dyDescent="0.45">
      <c r="A218" s="30" t="s">
        <v>230</v>
      </c>
      <c r="C218" s="23">
        <v>0</v>
      </c>
      <c r="E218" s="23">
        <v>-4359072074</v>
      </c>
      <c r="G218" s="23">
        <v>1227687034</v>
      </c>
      <c r="I218" s="23">
        <v>-3131385040</v>
      </c>
      <c r="K218" s="24">
        <v>-2.31462166557968E-2</v>
      </c>
      <c r="M218" s="23">
        <v>1064000000</v>
      </c>
      <c r="O218" s="23">
        <v>5570325587</v>
      </c>
      <c r="Q218" s="23">
        <v>-398582668</v>
      </c>
      <c r="S218" s="23">
        <v>6235742919</v>
      </c>
      <c r="U218" s="24">
        <v>4.6144002608089259E-3</v>
      </c>
    </row>
    <row r="219" spans="1:21" ht="37.5" x14ac:dyDescent="0.45">
      <c r="A219" s="30" t="s">
        <v>232</v>
      </c>
      <c r="C219" s="23">
        <v>0</v>
      </c>
      <c r="E219" s="23">
        <v>-3064339070</v>
      </c>
      <c r="G219" s="23">
        <v>-1856792186</v>
      </c>
      <c r="I219" s="23">
        <v>-4921131256</v>
      </c>
      <c r="K219" s="24">
        <v>-3.6375459672946968E-2</v>
      </c>
      <c r="M219" s="23">
        <v>0</v>
      </c>
      <c r="O219" s="23">
        <v>-4147512555</v>
      </c>
      <c r="Q219" s="23">
        <v>-5756734491</v>
      </c>
      <c r="S219" s="23">
        <v>-9904247046</v>
      </c>
      <c r="U219" s="24">
        <v>-7.3290641942480046E-3</v>
      </c>
    </row>
    <row r="220" spans="1:21" ht="37.5" x14ac:dyDescent="0.45">
      <c r="A220" s="30" t="s">
        <v>233</v>
      </c>
      <c r="C220" s="23">
        <v>4080000000</v>
      </c>
      <c r="E220" s="23">
        <v>2560923024</v>
      </c>
      <c r="G220" s="23">
        <v>0</v>
      </c>
      <c r="I220" s="23">
        <v>6640923024</v>
      </c>
      <c r="K220" s="24">
        <v>4.9087621338311453E-2</v>
      </c>
      <c r="M220" s="23">
        <v>4080000000</v>
      </c>
      <c r="O220" s="23">
        <v>2560923024</v>
      </c>
      <c r="Q220" s="23">
        <v>0</v>
      </c>
      <c r="S220" s="23">
        <v>6640923024</v>
      </c>
      <c r="U220" s="24">
        <v>4.9142303221942048E-3</v>
      </c>
    </row>
    <row r="221" spans="1:21" ht="18.75" x14ac:dyDescent="0.45">
      <c r="A221" s="30" t="s">
        <v>234</v>
      </c>
      <c r="C221" s="23">
        <v>0</v>
      </c>
      <c r="E221" s="23">
        <v>-852566864</v>
      </c>
      <c r="G221" s="23">
        <v>734252335</v>
      </c>
      <c r="I221" s="23">
        <v>-118314529</v>
      </c>
      <c r="K221" s="24">
        <v>-8.7454391164957265E-4</v>
      </c>
      <c r="M221" s="23">
        <v>0</v>
      </c>
      <c r="O221" s="23">
        <v>5878806998</v>
      </c>
      <c r="Q221" s="23">
        <v>1047076065</v>
      </c>
      <c r="S221" s="23">
        <v>6925883063</v>
      </c>
      <c r="U221" s="24">
        <v>5.1250984890448981E-3</v>
      </c>
    </row>
    <row r="222" spans="1:21" ht="18.75" x14ac:dyDescent="0.45">
      <c r="A222" s="30" t="s">
        <v>235</v>
      </c>
      <c r="C222" s="23">
        <v>0</v>
      </c>
      <c r="E222" s="23">
        <v>-142812643</v>
      </c>
      <c r="G222" s="23">
        <v>-1536533352</v>
      </c>
      <c r="I222" s="23">
        <v>-1679345995</v>
      </c>
      <c r="K222" s="24">
        <v>-1.2413199189427898E-2</v>
      </c>
      <c r="M222" s="23">
        <v>0</v>
      </c>
      <c r="O222" s="23">
        <v>-142812643</v>
      </c>
      <c r="Q222" s="23">
        <v>-1536533352</v>
      </c>
      <c r="S222" s="23">
        <v>-1679345995</v>
      </c>
      <c r="U222" s="24">
        <v>-1.2427027056720176E-3</v>
      </c>
    </row>
    <row r="223" spans="1:21" ht="18.75" x14ac:dyDescent="0.45">
      <c r="A223" s="30" t="s">
        <v>301</v>
      </c>
      <c r="L223" s="22"/>
      <c r="M223" s="23">
        <v>712500000</v>
      </c>
      <c r="O223" s="23">
        <v>0</v>
      </c>
      <c r="Q223" s="23">
        <v>-2779810960</v>
      </c>
      <c r="S223" s="23">
        <v>-2067310960</v>
      </c>
      <c r="U223" s="24">
        <v>-1.5297937001108675E-3</v>
      </c>
    </row>
    <row r="224" spans="1:21" ht="18.75" x14ac:dyDescent="0.45">
      <c r="A224" s="30" t="s">
        <v>319</v>
      </c>
      <c r="L224" s="22"/>
      <c r="M224" s="23">
        <v>1169457258</v>
      </c>
      <c r="O224" s="23">
        <v>0</v>
      </c>
      <c r="Q224" s="23">
        <v>-2912771308</v>
      </c>
      <c r="S224" s="23">
        <v>-1743314050</v>
      </c>
      <c r="U224" s="24">
        <v>-1.2900385585943789E-3</v>
      </c>
    </row>
    <row r="225" spans="1:21" ht="18.75" x14ac:dyDescent="0.45">
      <c r="A225" s="30" t="s">
        <v>323</v>
      </c>
      <c r="L225" s="22"/>
      <c r="M225" s="23">
        <v>8079063930</v>
      </c>
      <c r="O225" s="23">
        <v>0</v>
      </c>
      <c r="Q225" s="23">
        <v>3747512487</v>
      </c>
      <c r="S225" s="23">
        <v>11826576417</v>
      </c>
      <c r="U225" s="24">
        <v>8.7515726693609529E-3</v>
      </c>
    </row>
    <row r="226" spans="1:21" ht="18.75" x14ac:dyDescent="0.45">
      <c r="A226" s="30" t="s">
        <v>330</v>
      </c>
      <c r="L226" s="22"/>
      <c r="M226" s="23">
        <v>5683165600</v>
      </c>
      <c r="O226" s="23">
        <v>0</v>
      </c>
      <c r="Q226" s="23">
        <v>-14873095043</v>
      </c>
      <c r="S226" s="23">
        <v>-9189929443</v>
      </c>
      <c r="U226" s="24">
        <v>-6.8004748382724063E-3</v>
      </c>
    </row>
    <row r="227" spans="1:21" ht="18.75" x14ac:dyDescent="0.45">
      <c r="A227" s="30" t="s">
        <v>334</v>
      </c>
      <c r="L227" s="22"/>
      <c r="M227" s="23">
        <v>584000000</v>
      </c>
      <c r="O227" s="23">
        <v>0</v>
      </c>
      <c r="Q227" s="23">
        <v>-1158523048</v>
      </c>
      <c r="S227" s="23">
        <v>-574523048</v>
      </c>
      <c r="U227" s="24">
        <v>-4.2514249496306716E-4</v>
      </c>
    </row>
    <row r="228" spans="1:21" ht="18.75" x14ac:dyDescent="0.45">
      <c r="A228" s="30" t="s">
        <v>343</v>
      </c>
      <c r="L228" s="22"/>
      <c r="M228" s="23">
        <v>3140568600</v>
      </c>
      <c r="O228" s="23">
        <v>0</v>
      </c>
      <c r="Q228" s="23">
        <v>-10727845278</v>
      </c>
      <c r="S228" s="23">
        <v>-7587276678</v>
      </c>
      <c r="U228" s="24">
        <v>-5.6145245140104662E-3</v>
      </c>
    </row>
    <row r="229" spans="1:21" ht="18.75" x14ac:dyDescent="0.45">
      <c r="A229" s="30" t="s">
        <v>345</v>
      </c>
      <c r="L229" s="22"/>
      <c r="M229" s="23">
        <v>117135</v>
      </c>
      <c r="O229" s="23">
        <v>0</v>
      </c>
      <c r="Q229" s="23">
        <v>108816</v>
      </c>
      <c r="S229" s="23">
        <v>225951</v>
      </c>
      <c r="U229" s="24">
        <v>1.672019464037237E-7</v>
      </c>
    </row>
    <row r="230" spans="1:21" ht="37.5" x14ac:dyDescent="0.45">
      <c r="A230" s="30" t="s">
        <v>365</v>
      </c>
      <c r="L230" s="22"/>
      <c r="M230" s="23">
        <v>0</v>
      </c>
      <c r="O230" s="23">
        <v>0</v>
      </c>
      <c r="Q230" s="23">
        <v>336281</v>
      </c>
      <c r="S230" s="23">
        <v>336281</v>
      </c>
      <c r="U230" s="24">
        <v>2.4884527060553221E-7</v>
      </c>
    </row>
    <row r="231" spans="1:21" ht="18.75" x14ac:dyDescent="0.45">
      <c r="A231" s="25" t="s">
        <v>236</v>
      </c>
      <c r="C231" s="25">
        <f>SUM(C9:$C$230)</f>
        <v>7989328180</v>
      </c>
      <c r="E231" s="25">
        <f>SUM(E9:$E$230)</f>
        <v>53995209342</v>
      </c>
      <c r="G231" s="25">
        <f>SUM(G9:$G$230)</f>
        <v>71455178232</v>
      </c>
      <c r="I231" s="25">
        <f>SUM(I9:$I$230)</f>
        <v>133439715754</v>
      </c>
      <c r="K231" s="26">
        <f>SUM(K9:$K$230)</f>
        <v>0.98634455101376717</v>
      </c>
      <c r="M231" s="25">
        <f>SUM(M9:$M$230)</f>
        <v>269468288935</v>
      </c>
      <c r="O231" s="25">
        <f>SUM(O9:$O$230)</f>
        <v>906284167831</v>
      </c>
      <c r="Q231" s="25">
        <f>SUM(Q9:$Q$230)</f>
        <v>161668025044</v>
      </c>
      <c r="S231" s="25">
        <f>SUM(S9:$S$230)</f>
        <v>1337420481810</v>
      </c>
      <c r="U231" s="26">
        <f>SUM(U9:$U$230)</f>
        <v>0.98968054011196249</v>
      </c>
    </row>
    <row r="232" spans="1:21" ht="18.75" x14ac:dyDescent="0.45">
      <c r="C232" s="27"/>
      <c r="E232" s="27"/>
      <c r="G232" s="27"/>
      <c r="I232" s="27"/>
      <c r="K232" s="27"/>
      <c r="M232" s="27"/>
      <c r="O232" s="27"/>
      <c r="Q232" s="27"/>
      <c r="S232" s="27"/>
      <c r="U232" s="27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7" style="13" customWidth="1"/>
    <col min="4" max="4" width="1.42578125" style="13" customWidth="1"/>
    <col min="5" max="5" width="17" style="13" customWidth="1"/>
    <col min="6" max="6" width="1.42578125" style="13" customWidth="1"/>
    <col min="7" max="7" width="17" style="13" customWidth="1"/>
    <col min="8" max="8" width="1.42578125" style="13" customWidth="1"/>
    <col min="9" max="9" width="17" style="13" customWidth="1"/>
    <col min="10" max="10" width="1.42578125" style="13" customWidth="1"/>
    <col min="11" max="11" width="17" style="13" customWidth="1"/>
    <col min="12" max="12" width="1.42578125" style="13" customWidth="1"/>
    <col min="13" max="13" width="17" style="13" customWidth="1"/>
    <col min="14" max="14" width="1.42578125" style="13" customWidth="1"/>
    <col min="15" max="15" width="17" style="13" customWidth="1"/>
    <col min="16" max="16" width="1.42578125" style="13" customWidth="1"/>
    <col min="17" max="17" width="17" style="13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403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288</v>
      </c>
      <c r="D7" s="16"/>
      <c r="E7" s="16"/>
      <c r="F7" s="16"/>
      <c r="G7" s="16"/>
      <c r="H7" s="16"/>
      <c r="I7" s="16"/>
      <c r="J7" s="16"/>
      <c r="K7" s="16"/>
      <c r="M7" s="15" t="s">
        <v>7</v>
      </c>
      <c r="N7" s="16"/>
      <c r="O7" s="16"/>
      <c r="P7" s="16"/>
      <c r="Q7" s="16"/>
    </row>
    <row r="8" spans="1:17" ht="21" x14ac:dyDescent="0.45">
      <c r="C8" s="29" t="s">
        <v>404</v>
      </c>
      <c r="E8" s="29" t="s">
        <v>372</v>
      </c>
      <c r="G8" s="29" t="s">
        <v>373</v>
      </c>
      <c r="I8" s="29" t="s">
        <v>236</v>
      </c>
      <c r="K8" s="29" t="s">
        <v>404</v>
      </c>
      <c r="M8" s="29" t="s">
        <v>372</v>
      </c>
      <c r="O8" s="29" t="s">
        <v>373</v>
      </c>
      <c r="Q8" s="29" t="s">
        <v>236</v>
      </c>
    </row>
    <row r="9" spans="1:17" ht="18.75" x14ac:dyDescent="0.45">
      <c r="A9" s="25" t="s">
        <v>236</v>
      </c>
      <c r="C9" s="25">
        <f>SUM($C$8)</f>
        <v>0</v>
      </c>
      <c r="E9" s="25">
        <f>SUM($E$8)</f>
        <v>0</v>
      </c>
      <c r="G9" s="25">
        <f>SUM($G$8)</f>
        <v>0</v>
      </c>
      <c r="I9" s="25">
        <f>SUM($I$8)</f>
        <v>0</v>
      </c>
      <c r="K9" s="25">
        <f>SUM($K$8)</f>
        <v>0</v>
      </c>
      <c r="M9" s="25">
        <f>SUM($M$8)</f>
        <v>0</v>
      </c>
      <c r="O9" s="25">
        <f>SUM($O$8)</f>
        <v>0</v>
      </c>
      <c r="Q9" s="25">
        <f>SUM($Q$8)</f>
        <v>0</v>
      </c>
    </row>
    <row r="10" spans="1:17" ht="18.75" x14ac:dyDescent="0.45">
      <c r="C10" s="27"/>
      <c r="E10" s="27"/>
      <c r="G10" s="27"/>
      <c r="I10" s="27"/>
      <c r="K10" s="27"/>
      <c r="M10" s="27"/>
      <c r="O10" s="27"/>
      <c r="Q10" s="27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89" zoomScaleNormal="100" zoomScaleSheetLayoutView="89" workbookViewId="0">
      <selection activeCellId="1" sqref="A1:W1 A1:XFD1048576"/>
    </sheetView>
  </sheetViews>
  <sheetFormatPr defaultRowHeight="18" x14ac:dyDescent="0.45"/>
  <cols>
    <col min="1" max="1" width="25.5703125" style="13" customWidth="1"/>
    <col min="2" max="2" width="1.42578125" style="13" customWidth="1"/>
    <col min="3" max="3" width="17" style="13" customWidth="1"/>
    <col min="4" max="4" width="1.42578125" style="13" customWidth="1"/>
    <col min="5" max="5" width="14.140625" style="13" customWidth="1"/>
    <col min="6" max="6" width="1.42578125" style="13" customWidth="1"/>
    <col min="7" max="7" width="17" style="13" customWidth="1"/>
    <col min="8" max="8" width="1.42578125" style="13" customWidth="1"/>
    <col min="9" max="9" width="14.140625" style="13" customWidth="1"/>
    <col min="10" max="16384" width="9.140625" style="13"/>
  </cols>
  <sheetData>
    <row r="1" spans="1: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0.100000000000001" customHeight="1" x14ac:dyDescent="0.45">
      <c r="A2" s="11" t="s">
        <v>272</v>
      </c>
      <c r="B2" s="12"/>
      <c r="C2" s="12"/>
      <c r="D2" s="12"/>
      <c r="E2" s="12"/>
      <c r="F2" s="12"/>
      <c r="G2" s="12"/>
      <c r="H2" s="12"/>
      <c r="I2" s="12"/>
    </row>
    <row r="3" spans="1: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</row>
    <row r="5" spans="1:9" ht="21" x14ac:dyDescent="0.45">
      <c r="A5" s="14" t="s">
        <v>405</v>
      </c>
      <c r="B5" s="12"/>
      <c r="C5" s="12"/>
      <c r="D5" s="12"/>
      <c r="E5" s="12"/>
      <c r="F5" s="12"/>
      <c r="G5" s="12"/>
      <c r="H5" s="12"/>
      <c r="I5" s="12"/>
    </row>
    <row r="7" spans="1:9" ht="21" x14ac:dyDescent="0.45">
      <c r="A7" s="15" t="s">
        <v>406</v>
      </c>
      <c r="B7" s="16"/>
      <c r="C7" s="15" t="s">
        <v>288</v>
      </c>
      <c r="D7" s="16"/>
      <c r="E7" s="16"/>
      <c r="G7" s="15" t="s">
        <v>7</v>
      </c>
      <c r="H7" s="16"/>
      <c r="I7" s="16"/>
    </row>
    <row r="8" spans="1:9" ht="42" x14ac:dyDescent="0.45">
      <c r="A8" s="29" t="s">
        <v>407</v>
      </c>
      <c r="C8" s="29" t="s">
        <v>408</v>
      </c>
      <c r="E8" s="29" t="s">
        <v>409</v>
      </c>
      <c r="G8" s="29" t="s">
        <v>408</v>
      </c>
      <c r="I8" s="29" t="s">
        <v>409</v>
      </c>
    </row>
    <row r="9" spans="1:9" ht="18.75" x14ac:dyDescent="0.45">
      <c r="A9" s="44" t="s">
        <v>429</v>
      </c>
      <c r="C9" s="23">
        <v>44348</v>
      </c>
      <c r="E9" s="24">
        <f>C9/C16</f>
        <v>2.4005546435276901E-5</v>
      </c>
      <c r="G9" s="23">
        <v>4111351</v>
      </c>
      <c r="I9" s="24">
        <f>G9/G16</f>
        <v>2.9481844457938808E-4</v>
      </c>
    </row>
    <row r="10" spans="1:9" ht="18.75" x14ac:dyDescent="0.45">
      <c r="A10" s="44" t="s">
        <v>425</v>
      </c>
      <c r="C10" s="23">
        <v>1847224298</v>
      </c>
      <c r="E10" s="24">
        <f>C10/C16</f>
        <v>0.99990143100051354</v>
      </c>
      <c r="G10" s="23">
        <v>13925356495</v>
      </c>
      <c r="I10" s="24">
        <f>G10/G16</f>
        <v>0.99856517774069375</v>
      </c>
    </row>
    <row r="11" spans="1:9" ht="18.75" x14ac:dyDescent="0.45">
      <c r="A11" s="44" t="s">
        <v>426</v>
      </c>
      <c r="C11" s="23">
        <v>3181</v>
      </c>
      <c r="E11" s="24">
        <f>C11/C16</f>
        <v>1.7218734375984445E-6</v>
      </c>
      <c r="G11" s="23">
        <v>3172514</v>
      </c>
      <c r="I11" s="24">
        <f>G11/G16</f>
        <v>2.2749593573653351E-4</v>
      </c>
    </row>
    <row r="12" spans="1:9" ht="18.75" x14ac:dyDescent="0.45">
      <c r="A12" s="44" t="s">
        <v>428</v>
      </c>
      <c r="C12" s="23">
        <v>64756</v>
      </c>
      <c r="E12" s="24">
        <f>C12/C16</f>
        <v>3.50523848868673E-5</v>
      </c>
      <c r="G12" s="23">
        <v>669566</v>
      </c>
      <c r="I12" s="24">
        <f>G12/G16</f>
        <v>4.8013513480907509E-5</v>
      </c>
    </row>
    <row r="13" spans="1:9" ht="18.75" x14ac:dyDescent="0.45">
      <c r="A13" s="44" t="s">
        <v>430</v>
      </c>
      <c r="C13" s="23">
        <v>37583</v>
      </c>
      <c r="E13" s="24">
        <f>C13/C16</f>
        <v>2.0343655896027142E-5</v>
      </c>
      <c r="G13" s="23">
        <v>358414</v>
      </c>
      <c r="I13" s="24">
        <f>G13/G16</f>
        <v>2.5701298185311055E-5</v>
      </c>
    </row>
    <row r="14" spans="1:9" ht="18.75" x14ac:dyDescent="0.45">
      <c r="A14" s="44" t="s">
        <v>424</v>
      </c>
      <c r="C14" s="23">
        <v>28722</v>
      </c>
      <c r="E14" s="24">
        <f>C14/C16</f>
        <v>1.5547201783936662E-5</v>
      </c>
      <c r="G14" s="23">
        <v>328931</v>
      </c>
      <c r="I14" s="24">
        <f>G14/G16</f>
        <v>2.3587119123116149E-5</v>
      </c>
    </row>
    <row r="15" spans="1:9" ht="18.75" x14ac:dyDescent="0.45">
      <c r="A15" s="44" t="s">
        <v>427</v>
      </c>
      <c r="C15" s="23">
        <v>3507</v>
      </c>
      <c r="E15" s="24">
        <f>C15/C16</f>
        <v>1.8983370467330228E-6</v>
      </c>
      <c r="G15" s="23">
        <v>11368345</v>
      </c>
      <c r="I15" s="24">
        <f>G15/G16</f>
        <v>8.1520594820093525E-4</v>
      </c>
    </row>
    <row r="16" spans="1:9" ht="19.5" thickBot="1" x14ac:dyDescent="0.5">
      <c r="A16" s="25" t="s">
        <v>236</v>
      </c>
      <c r="C16" s="25">
        <f>SUM(C9:$C$15)</f>
        <v>1847406395</v>
      </c>
      <c r="E16" s="26">
        <f>SUM(E9:$E$15)</f>
        <v>1</v>
      </c>
      <c r="G16" s="25">
        <f>SUM(G9:$G$15)</f>
        <v>13945365616</v>
      </c>
      <c r="I16" s="26">
        <f>SUM(I9:$I$15)</f>
        <v>1</v>
      </c>
    </row>
    <row r="17" spans="3:9" ht="19.5" thickTop="1" x14ac:dyDescent="0.45">
      <c r="C17" s="27"/>
      <c r="E17" s="27"/>
      <c r="G17" s="27"/>
      <c r="I17" s="27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activeCellId="1" sqref="A1:W1 A1:XFD1048576"/>
    </sheetView>
  </sheetViews>
  <sheetFormatPr defaultRowHeight="18" x14ac:dyDescent="0.45"/>
  <cols>
    <col min="1" max="1" width="25.57031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8.42578125" style="13" customWidth="1"/>
    <col min="6" max="16384" width="9.140625" style="13"/>
  </cols>
  <sheetData>
    <row r="1" spans="1:5" ht="20.100000000000001" customHeight="1" x14ac:dyDescent="0.45">
      <c r="A1" s="11" t="s">
        <v>0</v>
      </c>
      <c r="B1" s="12"/>
      <c r="C1" s="12"/>
      <c r="D1" s="12"/>
      <c r="E1" s="12"/>
    </row>
    <row r="2" spans="1:5" ht="20.100000000000001" customHeight="1" x14ac:dyDescent="0.45">
      <c r="A2" s="11" t="s">
        <v>272</v>
      </c>
      <c r="B2" s="12"/>
      <c r="C2" s="12"/>
      <c r="D2" s="12"/>
      <c r="E2" s="12"/>
    </row>
    <row r="3" spans="1:5" ht="20.100000000000001" customHeight="1" x14ac:dyDescent="0.45">
      <c r="A3" s="11" t="s">
        <v>2</v>
      </c>
      <c r="B3" s="12"/>
      <c r="C3" s="12"/>
      <c r="D3" s="12"/>
      <c r="E3" s="12"/>
    </row>
    <row r="5" spans="1:5" ht="21" x14ac:dyDescent="0.45">
      <c r="A5" s="14" t="s">
        <v>410</v>
      </c>
      <c r="B5" s="12"/>
      <c r="C5" s="12"/>
      <c r="D5" s="12"/>
      <c r="E5" s="12"/>
    </row>
    <row r="7" spans="1:5" ht="21" x14ac:dyDescent="0.45">
      <c r="C7" s="28" t="s">
        <v>288</v>
      </c>
      <c r="E7" s="28" t="s">
        <v>7</v>
      </c>
    </row>
    <row r="8" spans="1:5" ht="21" x14ac:dyDescent="0.45">
      <c r="A8" s="29" t="s">
        <v>284</v>
      </c>
      <c r="C8" s="29" t="s">
        <v>269</v>
      </c>
      <c r="E8" s="29" t="s">
        <v>269</v>
      </c>
    </row>
    <row r="9" spans="1:5" ht="18.75" x14ac:dyDescent="0.45">
      <c r="A9" s="30" t="s">
        <v>411</v>
      </c>
      <c r="D9" s="22"/>
      <c r="E9" s="23">
        <v>41</v>
      </c>
    </row>
    <row r="10" spans="1:5" ht="18.75" x14ac:dyDescent="0.45">
      <c r="A10" s="25" t="s">
        <v>236</v>
      </c>
      <c r="C10" s="25">
        <f>SUM(C9:$C$9)</f>
        <v>0</v>
      </c>
      <c r="E10" s="25">
        <f>SUM(E9:$E$9)</f>
        <v>41</v>
      </c>
    </row>
    <row r="11" spans="1:5" ht="18.75" x14ac:dyDescent="0.45">
      <c r="C11" s="27"/>
      <c r="E11" s="27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'1'!Print_Titles</vt:lpstr>
      <vt:lpstr>'10'!Print_Titles</vt:lpstr>
      <vt:lpstr>'11'!Print_Titles</vt:lpstr>
      <vt:lpstr>'12'!Print_Titles</vt:lpstr>
      <vt:lpstr>'8'!Print_Titles</vt:lpstr>
      <vt:lpstr>'9'!Print_Titles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2026-01-21T05:55:25Z</cp:lastPrinted>
  <dcterms:created xsi:type="dcterms:W3CDTF">2026-01-21T05:30:46Z</dcterms:created>
  <dcterms:modified xsi:type="dcterms:W3CDTF">2026-01-21T05:56:36Z</dcterms:modified>
</cp:coreProperties>
</file>