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zaei\پرتفو\پرتفوی1404.03.31\پرتفوی مشترک 1404.03.31\"/>
    </mc:Choice>
  </mc:AlternateContent>
  <xr:revisionPtr revIDLastSave="0" documentId="13_ncr:1_{6C51CBFA-1FB8-4805-8E21-4EB41380B7D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7" sheetId="8" r:id="rId7"/>
    <sheet name="8" sheetId="9" r:id="rId8"/>
    <sheet name="9" sheetId="10" r:id="rId9"/>
    <sheet name="10" sheetId="11" r:id="rId10"/>
    <sheet name="11" sheetId="12" r:id="rId11"/>
    <sheet name="12" sheetId="13" r:id="rId12"/>
    <sheet name="13" sheetId="14" r:id="rId13"/>
    <sheet name="14" sheetId="15" r:id="rId14"/>
    <sheet name="15" sheetId="16" r:id="rId15"/>
  </sheets>
  <definedNames>
    <definedName name="_xlnm._FilterDatabase" localSheetId="10" hidden="1">'11'!$A$8:$Q$95</definedName>
    <definedName name="_xlnm.Print_Titles" localSheetId="1">'1'!$1:$10</definedName>
    <definedName name="_xlnm.Print_Titles" localSheetId="10">'11'!$1:$8</definedName>
  </definedNames>
  <calcPr calcId="191029"/>
</workbook>
</file>

<file path=xl/calcChain.xml><?xml version="1.0" encoding="utf-8"?>
<calcChain xmlns="http://schemas.openxmlformats.org/spreadsheetml/2006/main">
  <c r="W97" i="2" l="1"/>
  <c r="E9" i="16" l="1"/>
  <c r="C9" i="16"/>
  <c r="G16" i="15"/>
  <c r="I13" i="15" s="1"/>
  <c r="C16" i="15"/>
  <c r="E13" i="15" s="1"/>
  <c r="Q9" i="14"/>
  <c r="O9" i="14"/>
  <c r="M9" i="14"/>
  <c r="K9" i="14"/>
  <c r="I9" i="14"/>
  <c r="G9" i="14"/>
  <c r="E9" i="14"/>
  <c r="C9" i="14"/>
  <c r="U93" i="13"/>
  <c r="S93" i="13"/>
  <c r="Q93" i="13"/>
  <c r="O93" i="13"/>
  <c r="M93" i="13"/>
  <c r="K93" i="13"/>
  <c r="I93" i="13"/>
  <c r="G93" i="13"/>
  <c r="E93" i="13"/>
  <c r="C93" i="13"/>
  <c r="Q95" i="12"/>
  <c r="O95" i="12"/>
  <c r="M95" i="12"/>
  <c r="K95" i="12"/>
  <c r="I95" i="12"/>
  <c r="G95" i="12"/>
  <c r="E95" i="12"/>
  <c r="C95" i="12"/>
  <c r="Q30" i="11"/>
  <c r="O30" i="11"/>
  <c r="M30" i="11"/>
  <c r="K30" i="11"/>
  <c r="I30" i="11"/>
  <c r="G30" i="11"/>
  <c r="E30" i="11"/>
  <c r="C30" i="11"/>
  <c r="M16" i="10"/>
  <c r="K16" i="10"/>
  <c r="I16" i="10"/>
  <c r="G16" i="10"/>
  <c r="E16" i="10"/>
  <c r="C16" i="10"/>
  <c r="S27" i="9"/>
  <c r="Q27" i="9"/>
  <c r="O27" i="9"/>
  <c r="M27" i="9"/>
  <c r="K27" i="9"/>
  <c r="I27" i="9"/>
  <c r="E13" i="8"/>
  <c r="K16" i="6"/>
  <c r="I16" i="6"/>
  <c r="G16" i="6"/>
  <c r="E16" i="6"/>
  <c r="C16" i="6"/>
  <c r="K10" i="5"/>
  <c r="AI10" i="4"/>
  <c r="AG10" i="4"/>
  <c r="AE10" i="4"/>
  <c r="AC10" i="4"/>
  <c r="AA10" i="4"/>
  <c r="Y10" i="4"/>
  <c r="X10" i="4"/>
  <c r="V10" i="4"/>
  <c r="U10" i="4"/>
  <c r="S10" i="4"/>
  <c r="Q10" i="4"/>
  <c r="O10" i="4"/>
  <c r="U97" i="2"/>
  <c r="S97" i="2"/>
  <c r="Q97" i="2"/>
  <c r="O97" i="2"/>
  <c r="M97" i="2"/>
  <c r="L97" i="2"/>
  <c r="J97" i="2"/>
  <c r="I97" i="2"/>
  <c r="G97" i="2"/>
  <c r="E97" i="2"/>
  <c r="C97" i="2"/>
  <c r="I15" i="15" l="1"/>
  <c r="E11" i="15"/>
  <c r="I11" i="15"/>
  <c r="I12" i="15"/>
  <c r="I9" i="15"/>
  <c r="I10" i="15"/>
  <c r="G13" i="8"/>
  <c r="I13" i="8"/>
  <c r="E10" i="15"/>
  <c r="I14" i="15"/>
  <c r="E12" i="15"/>
  <c r="E9" i="15"/>
  <c r="I16" i="15" l="1"/>
  <c r="E16" i="15"/>
</calcChain>
</file>

<file path=xl/sharedStrings.xml><?xml version="1.0" encoding="utf-8"?>
<sst xmlns="http://schemas.openxmlformats.org/spreadsheetml/2006/main" count="607" uniqueCount="228">
  <si>
    <t>‫شاخصی هم ‏وزن تراز</t>
  </si>
  <si>
    <t>‫صورت وضعیت پورتفوی</t>
  </si>
  <si>
    <t>‫برای ماه منتهی به 1404/03/31</t>
  </si>
  <si>
    <t>‫1- سرمایه گذاری ها</t>
  </si>
  <si>
    <t>‫1-1- سرمایه گذاری در سهام و حق تقدم سهام</t>
  </si>
  <si>
    <t>‫1404/02/31</t>
  </si>
  <si>
    <t>‫تغییرات طی دوره</t>
  </si>
  <si>
    <t>‫1404/03/31</t>
  </si>
  <si>
    <t>‫شرکت</t>
  </si>
  <si>
    <t>‫تعداد</t>
  </si>
  <si>
    <t>‫بهای تمام شده</t>
  </si>
  <si>
    <t>‫خالص ارزش فروش</t>
  </si>
  <si>
    <t>‫خرید طی دوره</t>
  </si>
  <si>
    <t>‫فروش طی دوره</t>
  </si>
  <si>
    <t>‫قیمت بازار هر سهم</t>
  </si>
  <si>
    <t>‫درصد به کل دارایی ها</t>
  </si>
  <si>
    <t>‫مبلغ فروش</t>
  </si>
  <si>
    <t>‫آلوميناي ايران</t>
  </si>
  <si>
    <t>‫آنتي بيوتيك سازي ايران</t>
  </si>
  <si>
    <t>‫اخشان خراسان</t>
  </si>
  <si>
    <t>‫ارتباطات سیار</t>
  </si>
  <si>
    <t>‫افست</t>
  </si>
  <si>
    <t>‫الكتريك خودرو</t>
  </si>
  <si>
    <t>‫املاح ايران</t>
  </si>
  <si>
    <t>‫ايران ترانسفو</t>
  </si>
  <si>
    <t>‫ايران ياسا</t>
  </si>
  <si>
    <t>‫ايمن خودرو شرق</t>
  </si>
  <si>
    <t>‫ایرکا پارت صنعت</t>
  </si>
  <si>
    <t>‫بيمه ايران - معين</t>
  </si>
  <si>
    <t>‫بيمه ايران - معين (تقدم)</t>
  </si>
  <si>
    <t>‫تامين ماسه</t>
  </si>
  <si>
    <t>‫تايدواتر</t>
  </si>
  <si>
    <t xml:space="preserve">‫تراكتور سازي </t>
  </si>
  <si>
    <t>‫توزيع دارو پخش</t>
  </si>
  <si>
    <t>‫توسعه معادن كروميت كاوندگان</t>
  </si>
  <si>
    <t>‫توسعه نيشكر و صنايع جانبي</t>
  </si>
  <si>
    <t>‫توليد انرژي برق شمس پاسارگاد</t>
  </si>
  <si>
    <t>‫توليد ژلاتين كپسول ايران</t>
  </si>
  <si>
    <t>‫توليدات پتروشيمي قائد بصير</t>
  </si>
  <si>
    <t>‫توليدي برنا باطري</t>
  </si>
  <si>
    <t>‫توليدي چدن سازان</t>
  </si>
  <si>
    <t>‫حمل و نقل ريلي پارسيان</t>
  </si>
  <si>
    <t>‫خاك چيني</t>
  </si>
  <si>
    <t>‫داروسازي فارابي</t>
  </si>
  <si>
    <t>‫دارويي و نهاده هاي زاگرس دارو</t>
  </si>
  <si>
    <t>‫دريايي سينا</t>
  </si>
  <si>
    <t>‫رادياتور</t>
  </si>
  <si>
    <t>‫ريخته گري تراكتورسازي</t>
  </si>
  <si>
    <t>‫زامياد</t>
  </si>
  <si>
    <t>‫سبحان_دارو</t>
  </si>
  <si>
    <t>‫سرمايه گذاري پايا تدبيرپارسا</t>
  </si>
  <si>
    <t>‫سيمان آبيك</t>
  </si>
  <si>
    <t>‫سيمان اروميه</t>
  </si>
  <si>
    <t>‫سيمان تهران</t>
  </si>
  <si>
    <t>‫سيمان ساوه</t>
  </si>
  <si>
    <t>‫سيمان سپاهان</t>
  </si>
  <si>
    <t>‫سيمان شمال</t>
  </si>
  <si>
    <t>‫شيشه همدان</t>
  </si>
  <si>
    <t>‫شيشه و گاز</t>
  </si>
  <si>
    <t>‫شیشه قزوین</t>
  </si>
  <si>
    <t>‫صبا فولاد خليج فارس</t>
  </si>
  <si>
    <t>‫صنايع ارتباطي آوا</t>
  </si>
  <si>
    <t>‫صنايع غذايي رضوي</t>
  </si>
  <si>
    <t>‫صنعتي آما</t>
  </si>
  <si>
    <t>‫صنعتي بارز</t>
  </si>
  <si>
    <t>‫صنعتي بارز (تقدم)</t>
  </si>
  <si>
    <t>‫صنعتي سپاهان</t>
  </si>
  <si>
    <t>‫صنعتي مينو</t>
  </si>
  <si>
    <t>‫فن آوران</t>
  </si>
  <si>
    <t>‫قاسم ايران</t>
  </si>
  <si>
    <t>‫قند هكمتان</t>
  </si>
  <si>
    <t>‫قند چهار محال</t>
  </si>
  <si>
    <t>‫كاشي الوند</t>
  </si>
  <si>
    <t>‫كاشي وسراميك سينا</t>
  </si>
  <si>
    <t>‫كاشي پارس</t>
  </si>
  <si>
    <t>‫كاني كربن طبس</t>
  </si>
  <si>
    <t>‫كربن</t>
  </si>
  <si>
    <t>‫كشت و دام قيام اصفهان</t>
  </si>
  <si>
    <t>‫كشت و دامداري فكا</t>
  </si>
  <si>
    <t>‫كوير تاير</t>
  </si>
  <si>
    <t>‫لاستيك سهند</t>
  </si>
  <si>
    <t>‫ليزينگ اقتصاد نوين</t>
  </si>
  <si>
    <t>‫مجتمع صنايع لاستيك يزد</t>
  </si>
  <si>
    <t>‫مديريت نيروگاهي ايرانيان مپنا</t>
  </si>
  <si>
    <t>‫ملي شيمي كشاورز</t>
  </si>
  <si>
    <t>‫مهرام</t>
  </si>
  <si>
    <t>‫مهرمام ميهن</t>
  </si>
  <si>
    <t>‫موتورسازان</t>
  </si>
  <si>
    <t>‫موتوژن</t>
  </si>
  <si>
    <t>‫مگسال</t>
  </si>
  <si>
    <t>‫نساجي هديه البرز مشهد</t>
  </si>
  <si>
    <t>‫نفت اصفهان</t>
  </si>
  <si>
    <t>‫نفت بندر عباس</t>
  </si>
  <si>
    <t>‫نورد قطعات</t>
  </si>
  <si>
    <t>‫نيروترانس</t>
  </si>
  <si>
    <t>‫نگين طبس</t>
  </si>
  <si>
    <t>‫پارس فولاد سبزوار</t>
  </si>
  <si>
    <t>‫پاکدیس</t>
  </si>
  <si>
    <t>‫پتروشيمی پردیس</t>
  </si>
  <si>
    <t>‫پخش هجرت</t>
  </si>
  <si>
    <t>‫پرتو بار فرابر خليج فارس</t>
  </si>
  <si>
    <t>‫چادرملو</t>
  </si>
  <si>
    <t>‫گروه انتخاب الكترونيك آرمان</t>
  </si>
  <si>
    <t>‫جمع</t>
  </si>
  <si>
    <t>‫اطلاعات آماری مرتبط با اوراق اختیار فروش تبعی خریداری شده توسط صندوق سرمایه گذاری:</t>
  </si>
  <si>
    <t>‫نام سهام</t>
  </si>
  <si>
    <t>‫تعداد اوراق تبعی</t>
  </si>
  <si>
    <t>‫قیمت اعمال</t>
  </si>
  <si>
    <t>‫تاریخ اعمال</t>
  </si>
  <si>
    <t>‫نرخ سود موثر</t>
  </si>
  <si>
    <t>‫اختيارف ت محتشم-17550-4/11/08</t>
  </si>
  <si>
    <t>‫1404/11/08</t>
  </si>
  <si>
    <t>‫اطلاعات آماری مرتبط با موقعیت‌های اخذ شده در اوراق اختیار معامله توسط صندوق سرمایه گذاری:</t>
  </si>
  <si>
    <t>‫نوع اختیار</t>
  </si>
  <si>
    <t>‫نوع موقعیت</t>
  </si>
  <si>
    <t>‫تعداد اوراق</t>
  </si>
  <si>
    <t>‫اطلاعات آماری مرتبط با قراردادهای آتی توسط صندوق سرمایه گذاری:</t>
  </si>
  <si>
    <t>‫2-1- سرمایه گذاری در اوراق بهادار با درآمد ثابت یا علی الحساب</t>
  </si>
  <si>
    <t>‫اطلاعات اوراق بهادار با درآمد ثابت</t>
  </si>
  <si>
    <t>‫نام اوراق</t>
  </si>
  <si>
    <t>‫دارای مجوز از سازمان</t>
  </si>
  <si>
    <t>‫پذیرفته شده در بورس یا فرابورس</t>
  </si>
  <si>
    <t>‫تاریخ انتشار اوراق</t>
  </si>
  <si>
    <t>‫تاریخ سررسید</t>
  </si>
  <si>
    <t>‫نرخ سود اسمی</t>
  </si>
  <si>
    <t>‫نرخ سود مؤثر</t>
  </si>
  <si>
    <t>‫قیمت بازار هر ورقه</t>
  </si>
  <si>
    <t>‫اوراق بهاداری که ارزش آن‌ها در تاریخ گزارش تعدیل شده</t>
  </si>
  <si>
    <t>‫(بر اساس دستورالعمل نحوه تعیین قیمت خرید و فروش اوراق بهادار در صندوق‌های سرمایه گذاری)</t>
  </si>
  <si>
    <t>‫نام اوراق بهادار</t>
  </si>
  <si>
    <t>‫قیمت پایانی</t>
  </si>
  <si>
    <t>‫قیمت تعدیل شده</t>
  </si>
  <si>
    <t>‫درصد تعدیل</t>
  </si>
  <si>
    <t>‫خالص ارزش فروش تعدیل شده</t>
  </si>
  <si>
    <t>‫دلیل تعدیل</t>
  </si>
  <si>
    <t>‫سپرده‌های بانکی</t>
  </si>
  <si>
    <t>‫مبلغ</t>
  </si>
  <si>
    <t>‫افزایش</t>
  </si>
  <si>
    <t>‫کاهش</t>
  </si>
  <si>
    <t>‫صورت وضعیت درآمدها</t>
  </si>
  <si>
    <t>‫2- درآمد حاصل از سرمایه گذاری ها</t>
  </si>
  <si>
    <t>‫شرح</t>
  </si>
  <si>
    <t>‫یادداشت</t>
  </si>
  <si>
    <t>‫درصد از کل درآمدها</t>
  </si>
  <si>
    <t>‫درصد از کل دارایی ها</t>
  </si>
  <si>
    <t>‫درآمد حاصل از سرمایه گذاری در سهام و حق تقدم سهام</t>
  </si>
  <si>
    <t>‫درآمد حاصل از سرمایه گذاری در اوراق بهادار با درآمد ثابت</t>
  </si>
  <si>
    <t>‫درآمد حاصل از سرمایه گذاری در سپرده بانکی و گواهی سپرده</t>
  </si>
  <si>
    <t>‫سایر درآمدها</t>
  </si>
  <si>
    <t>‫درآمد سود سهام</t>
  </si>
  <si>
    <t>‫اطلاعات مجمع</t>
  </si>
  <si>
    <t>‫طی دوره</t>
  </si>
  <si>
    <t>‫تاریخ تشکیل مجمع</t>
  </si>
  <si>
    <t>‫تعداد سهام متعلقه در زمان مجمع</t>
  </si>
  <si>
    <t>‫سود متعلق به هر سهم</t>
  </si>
  <si>
    <t>‫جمع درآمد سود سهام</t>
  </si>
  <si>
    <t>‫هزینه تنزیل</t>
  </si>
  <si>
    <t>‫خالص درآمد سود سهام</t>
  </si>
  <si>
    <t>‫1404/02/23</t>
  </si>
  <si>
    <t>‫1404/03/12</t>
  </si>
  <si>
    <t>‫1404/03/13</t>
  </si>
  <si>
    <t>‫1404/03/06</t>
  </si>
  <si>
    <t>‫1404/03/01</t>
  </si>
  <si>
    <t>‫1404/03/17</t>
  </si>
  <si>
    <t>‫1404/02/13</t>
  </si>
  <si>
    <t>‫1404/02/30</t>
  </si>
  <si>
    <t>‫1404/01/31</t>
  </si>
  <si>
    <t>‫1404/03/03</t>
  </si>
  <si>
    <t>‫1404/02/20</t>
  </si>
  <si>
    <t>‫1404/03/11</t>
  </si>
  <si>
    <t>‫1404/03/10</t>
  </si>
  <si>
    <t>‫1404/02/15</t>
  </si>
  <si>
    <t>‫سود اوراق بهادار با درآمد ثابت و سپرده بانکی</t>
  </si>
  <si>
    <t>‫درآمد سود</t>
  </si>
  <si>
    <t>‫خالص درآمد</t>
  </si>
  <si>
    <t>‫سود(زیان) حاصل از فروش اوراق بهادار</t>
  </si>
  <si>
    <t>‫ارزش دفتری</t>
  </si>
  <si>
    <t>‫سود و زیان ناشی از فروش</t>
  </si>
  <si>
    <t>‫ارزش دفتری برابر است با میانگین موزون خالص ارزش فروش هر سهم/ورقه در ابتدای دوره با خرید طی دوره ضربدر تعداد در پایان دوره</t>
  </si>
  <si>
    <t>‫درآمد ناشی از تغییر قیمت اوراق بهادار</t>
  </si>
  <si>
    <t>‫سود و زیان ناشی از تغییر قیمت</t>
  </si>
  <si>
    <t>‫تراكتور سازي</t>
  </si>
  <si>
    <t>‫سبحان_دارو (تقدم)</t>
  </si>
  <si>
    <t>‫1-2- درآمد حاصل از سرمایه گذاری در سهام و حق تقدم سهام:</t>
  </si>
  <si>
    <t>‫سهام</t>
  </si>
  <si>
    <t>‫درآمد تغییر ارزش</t>
  </si>
  <si>
    <t>‫درآمد فروش</t>
  </si>
  <si>
    <t>‫جمع مبلغ</t>
  </si>
  <si>
    <t>‫درصد از کل درآمد ها</t>
  </si>
  <si>
    <t>‫ارتباطات سيار</t>
  </si>
  <si>
    <t>‫ايركا پارت صنعت</t>
  </si>
  <si>
    <t>‫بيمه اتكايي ايران معين</t>
  </si>
  <si>
    <t>‫شيشه قزوين</t>
  </si>
  <si>
    <t>‫پاكديس</t>
  </si>
  <si>
    <t>‫پتروشيمي پرديس</t>
  </si>
  <si>
    <t>‫2-2- درآمد حاصل از سرمایه گذاری در اوراق بهادار با درآمد ثابت:</t>
  </si>
  <si>
    <t>‫درآمد سود اوراق</t>
  </si>
  <si>
    <t>‫3-2- درآمد حاصل از سرمایه گذاری در سپرده بانکی و گواهی سپرده:</t>
  </si>
  <si>
    <t>‫نام سپرده بانکی</t>
  </si>
  <si>
    <t>‫نام سپرده</t>
  </si>
  <si>
    <t>‫سود سپرده بانکی و گواهی سپرده</t>
  </si>
  <si>
    <t>‫درصد سود به میانگین سپرده</t>
  </si>
  <si>
    <t>‫4-2- سایر درآمدها:</t>
  </si>
  <si>
    <t>در راستای اجرای ابلاغیه 12020093 مورخ 1396/09/05 و ابلاغیه 12020268 مورخ 1402/12/01 سازمان بورس و اوراق بهادار</t>
  </si>
  <si>
    <t>گزارش افشای پرتفوی ماهانه
برای دوره منتهی به 31 خرداد 1404</t>
  </si>
  <si>
    <t>‫%22</t>
  </si>
  <si>
    <t>‫ بانک آينده</t>
  </si>
  <si>
    <t>‫ بانک خاورميانه</t>
  </si>
  <si>
    <t>‫ بانک دي</t>
  </si>
  <si>
    <t>‫ بانک سامان</t>
  </si>
  <si>
    <t>‫ بانک سپه</t>
  </si>
  <si>
    <t>‫ بانک ملت</t>
  </si>
  <si>
    <t>‫ بانک پاسارگاد</t>
  </si>
  <si>
    <t>‫3-1- سرمایه گذاری در  سپرده بانکی و گواهی سپرده بانکی</t>
  </si>
  <si>
    <t>1-2</t>
  </si>
  <si>
    <t>درآمد حاصل از سرمایه گذاری در واحدهای صندوق های سرمایه گذاری</t>
  </si>
  <si>
    <t>2-2</t>
  </si>
  <si>
    <t>3-2</t>
  </si>
  <si>
    <t>4-2</t>
  </si>
  <si>
    <t>5-2</t>
  </si>
  <si>
    <t>‫بانک آينده</t>
  </si>
  <si>
    <t>‫بانک دي</t>
  </si>
  <si>
    <t>‫بانک سامان</t>
  </si>
  <si>
    <t>‫بانک خاورميانه</t>
  </si>
  <si>
    <t>‫بانک ملت</t>
  </si>
  <si>
    <t>‫بانک پاسارگاد</t>
  </si>
  <si>
    <t>‫بانک سپه</t>
  </si>
  <si>
    <t>صندوق سرمایه گذاری  شاخصی هم ‏وزن تراز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</si>
</sst>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indexed="8"/>
      <name val="Calibri"/>
      <family val="2"/>
      <scheme val="minor"/>
    </font>
    <font>
      <sz val="11"/>
      <name val="Calibri"/>
      <family val="2"/>
    </font>
    <font>
      <sz val="11"/>
      <name val="B Nazanin"/>
      <charset val="178"/>
    </font>
    <font>
      <b/>
      <sz val="48"/>
      <color rgb="FFFF0000"/>
      <name val="B Nazanin"/>
      <charset val="178"/>
    </font>
    <font>
      <b/>
      <sz val="24"/>
      <color rgb="FFFF0000"/>
      <name val="B Nazanin"/>
      <charset val="178"/>
    </font>
    <font>
      <b/>
      <sz val="24"/>
      <name val="B Nazanin"/>
      <charset val="178"/>
    </font>
    <font>
      <b/>
      <sz val="18"/>
      <name val="B Nazanin"/>
      <charset val="178"/>
    </font>
    <font>
      <b/>
      <sz val="15"/>
      <name val="B Nazanin"/>
      <charset val="178"/>
    </font>
    <font>
      <sz val="22"/>
      <color rgb="FFFF0000"/>
      <name val="B Nazanin"/>
      <charset val="178"/>
    </font>
    <font>
      <b/>
      <sz val="14"/>
      <name val="B Nazanin"/>
      <charset val="178"/>
    </font>
    <font>
      <b/>
      <u/>
      <sz val="16"/>
      <name val="B Nazanin"/>
      <charset val="178"/>
    </font>
    <font>
      <sz val="11"/>
      <color indexed="8"/>
      <name val="B Nazanin"/>
      <charset val="178"/>
    </font>
    <font>
      <b/>
      <sz val="12"/>
      <name val="B Nazanin"/>
      <charset val="178"/>
    </font>
    <font>
      <sz val="12"/>
      <name val="B Nazanin"/>
      <charset val="178"/>
    </font>
    <font>
      <b/>
      <sz val="11"/>
      <color indexed="8"/>
      <name val="B Nazanin"/>
      <charset val="178"/>
    </font>
  </fonts>
  <fills count="4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theme="8" tint="-0.49998474074526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2" borderId="6"/>
  </cellStyleXfs>
  <cellXfs count="42">
    <xf numFmtId="0" fontId="0" fillId="0" borderId="0" xfId="0"/>
    <xf numFmtId="0" fontId="2" fillId="3" borderId="6" xfId="1" applyFont="1" applyFill="1"/>
    <xf numFmtId="0" fontId="7" fillId="3" borderId="6" xfId="1" applyFont="1" applyFill="1" applyAlignment="1">
      <alignment horizontal="center"/>
    </xf>
    <xf numFmtId="0" fontId="7" fillId="3" borderId="6" xfId="1" applyFont="1" applyFill="1"/>
    <xf numFmtId="0" fontId="11" fillId="0" borderId="0" xfId="0" applyFont="1"/>
    <xf numFmtId="37" fontId="12" fillId="0" borderId="0" xfId="0" applyNumberFormat="1" applyFont="1" applyAlignment="1">
      <alignment horizontal="right" vertical="center"/>
    </xf>
    <xf numFmtId="37" fontId="12" fillId="0" borderId="1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37" fontId="13" fillId="0" borderId="0" xfId="0" applyNumberFormat="1" applyFont="1" applyAlignment="1">
      <alignment horizontal="center" vertical="center" wrapText="1"/>
    </xf>
    <xf numFmtId="37" fontId="13" fillId="0" borderId="1" xfId="0" applyNumberFormat="1" applyFont="1" applyBorder="1" applyAlignment="1">
      <alignment horizontal="center" vertical="center"/>
    </xf>
    <xf numFmtId="37" fontId="13" fillId="0" borderId="0" xfId="0" applyNumberFormat="1" applyFont="1" applyAlignment="1">
      <alignment horizontal="right" vertical="center" wrapText="1"/>
    </xf>
    <xf numFmtId="37" fontId="13" fillId="0" borderId="0" xfId="0" applyNumberFormat="1" applyFont="1" applyAlignment="1">
      <alignment horizontal="center" vertical="center"/>
    </xf>
    <xf numFmtId="10" fontId="13" fillId="0" borderId="0" xfId="0" applyNumberFormat="1" applyFont="1" applyAlignment="1">
      <alignment horizontal="center" vertical="center"/>
    </xf>
    <xf numFmtId="37" fontId="13" fillId="0" borderId="3" xfId="0" applyNumberFormat="1" applyFont="1" applyBorder="1" applyAlignment="1">
      <alignment horizontal="center" vertical="center"/>
    </xf>
    <xf numFmtId="10" fontId="13" fillId="0" borderId="3" xfId="0" applyNumberFormat="1" applyFont="1" applyBorder="1" applyAlignment="1">
      <alignment horizontal="center" vertical="center"/>
    </xf>
    <xf numFmtId="37" fontId="13" fillId="0" borderId="4" xfId="0" applyNumberFormat="1" applyFont="1" applyBorder="1" applyAlignment="1">
      <alignment horizontal="center" vertical="center"/>
    </xf>
    <xf numFmtId="37" fontId="12" fillId="0" borderId="1" xfId="0" applyNumberFormat="1" applyFont="1" applyBorder="1" applyAlignment="1">
      <alignment horizontal="center" vertical="center" wrapText="1"/>
    </xf>
    <xf numFmtId="37" fontId="12" fillId="0" borderId="0" xfId="0" applyNumberFormat="1" applyFont="1" applyAlignment="1">
      <alignment horizontal="center" vertical="center"/>
    </xf>
    <xf numFmtId="3" fontId="11" fillId="0" borderId="0" xfId="0" applyNumberFormat="1" applyFont="1"/>
    <xf numFmtId="37" fontId="11" fillId="0" borderId="0" xfId="0" applyNumberFormat="1" applyFont="1" applyAlignment="1">
      <alignment horizontal="right" vertical="center" wrapText="1"/>
    </xf>
    <xf numFmtId="37" fontId="11" fillId="0" borderId="0" xfId="0" applyNumberFormat="1" applyFont="1" applyAlignment="1">
      <alignment horizontal="center" vertical="center" wrapText="1"/>
    </xf>
    <xf numFmtId="0" fontId="8" fillId="3" borderId="6" xfId="1" applyFont="1" applyFill="1" applyAlignment="1">
      <alignment horizontal="center" vertical="center" wrapText="1"/>
    </xf>
    <xf numFmtId="0" fontId="3" fillId="3" borderId="6" xfId="1" applyFont="1" applyFill="1" applyAlignment="1">
      <alignment horizontal="center" vertical="center" wrapText="1"/>
    </xf>
    <xf numFmtId="0" fontId="4" fillId="3" borderId="6" xfId="1" applyFont="1" applyFill="1" applyAlignment="1">
      <alignment horizontal="center" vertical="center" wrapText="1"/>
    </xf>
    <xf numFmtId="0" fontId="5" fillId="3" borderId="6" xfId="1" applyFont="1" applyFill="1" applyAlignment="1">
      <alignment horizontal="center" vertical="center" wrapText="1"/>
    </xf>
    <xf numFmtId="0" fontId="6" fillId="3" borderId="6" xfId="1" applyFont="1" applyFill="1" applyAlignment="1">
      <alignment horizontal="center"/>
    </xf>
    <xf numFmtId="0" fontId="9" fillId="3" borderId="6" xfId="1" applyFont="1" applyFill="1" applyAlignment="1">
      <alignment horizontal="center"/>
    </xf>
    <xf numFmtId="37" fontId="12" fillId="0" borderId="1" xfId="0" applyNumberFormat="1" applyFont="1" applyBorder="1" applyAlignment="1">
      <alignment horizontal="center" vertical="center"/>
    </xf>
    <xf numFmtId="0" fontId="11" fillId="2" borderId="2" xfId="0" applyFont="1" applyFill="1" applyBorder="1"/>
    <xf numFmtId="0" fontId="13" fillId="0" borderId="0" xfId="0" applyFont="1" applyAlignment="1">
      <alignment horizontal="center" vertical="center"/>
    </xf>
    <xf numFmtId="37" fontId="13" fillId="0" borderId="1" xfId="0" applyNumberFormat="1" applyFont="1" applyBorder="1" applyAlignment="1">
      <alignment horizontal="center" vertical="center"/>
    </xf>
    <xf numFmtId="0" fontId="11" fillId="0" borderId="0" xfId="0" applyFont="1"/>
    <xf numFmtId="37" fontId="13" fillId="0" borderId="0" xfId="0" applyNumberFormat="1" applyFont="1" applyAlignment="1">
      <alignment horizontal="center" vertical="center" wrapText="1"/>
    </xf>
    <xf numFmtId="37" fontId="10" fillId="0" borderId="0" xfId="0" applyNumberFormat="1" applyFont="1" applyAlignment="1">
      <alignment horizontal="center" vertical="center"/>
    </xf>
    <xf numFmtId="37" fontId="12" fillId="0" borderId="0" xfId="0" applyNumberFormat="1" applyFont="1" applyAlignment="1">
      <alignment horizontal="right" vertical="center"/>
    </xf>
    <xf numFmtId="37" fontId="13" fillId="0" borderId="0" xfId="0" applyNumberFormat="1" applyFont="1" applyAlignment="1">
      <alignment horizontal="center" vertical="center"/>
    </xf>
    <xf numFmtId="37" fontId="11" fillId="0" borderId="4" xfId="0" applyNumberFormat="1" applyFont="1" applyBorder="1" applyAlignment="1">
      <alignment horizontal="center" vertical="center"/>
    </xf>
    <xf numFmtId="37" fontId="14" fillId="0" borderId="0" xfId="0" applyNumberFormat="1" applyFont="1" applyAlignment="1">
      <alignment horizontal="right" vertical="center"/>
    </xf>
    <xf numFmtId="0" fontId="14" fillId="0" borderId="0" xfId="0" applyFont="1"/>
    <xf numFmtId="37" fontId="13" fillId="0" borderId="5" xfId="0" applyNumberFormat="1" applyFont="1" applyBorder="1" applyAlignment="1">
      <alignment horizontal="center" vertical="center"/>
    </xf>
    <xf numFmtId="0" fontId="11" fillId="2" borderId="7" xfId="0" applyFont="1" applyFill="1" applyBorder="1"/>
    <xf numFmtId="0" fontId="11" fillId="2" borderId="8" xfId="0" applyFont="1" applyFill="1" applyBorder="1"/>
  </cellXfs>
  <cellStyles count="2">
    <cellStyle name="Normal" xfId="0" builtinId="0"/>
    <cellStyle name="Normal 2" xfId="1" xr:uid="{B9FA52C5-9D69-43C2-8D2E-787DCF930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2"/>
  <sheetViews>
    <sheetView rightToLeft="1" tabSelected="1" view="pageBreakPreview" zoomScale="60" zoomScaleNormal="100" workbookViewId="0">
      <selection activeCell="R13" sqref="R13"/>
    </sheetView>
  </sheetViews>
  <sheetFormatPr defaultRowHeight="15" x14ac:dyDescent="0.25"/>
  <sheetData>
    <row r="1" spans="1:11" ht="18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8" x14ac:dyDescent="0.4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8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5" customHeight="1" x14ac:dyDescent="0.25">
      <c r="A4" s="22" t="s">
        <v>227</v>
      </c>
      <c r="B4" s="22"/>
      <c r="C4" s="22"/>
      <c r="D4" s="22"/>
      <c r="E4" s="22"/>
      <c r="F4" s="22"/>
      <c r="G4" s="22"/>
      <c r="H4" s="22"/>
      <c r="I4" s="22"/>
      <c r="J4" s="22"/>
      <c r="K4" s="22"/>
    </row>
    <row r="5" spans="1:11" ht="15" customHeight="1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</row>
    <row r="6" spans="1:11" ht="15" customHeight="1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</row>
    <row r="7" spans="1:11" ht="15" customHeight="1" x14ac:dyDescent="0.25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</row>
    <row r="8" spans="1:11" ht="15" customHeight="1" x14ac:dyDescent="0.25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</row>
    <row r="9" spans="1:11" ht="54.75" customHeight="1" x14ac:dyDescent="0.25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</row>
    <row r="10" spans="1:11" ht="15" customHeight="1" x14ac:dyDescent="0.25">
      <c r="A10" s="23"/>
      <c r="B10" s="24"/>
      <c r="C10" s="24"/>
      <c r="D10" s="24"/>
      <c r="E10" s="24"/>
      <c r="F10" s="24"/>
      <c r="G10" s="24"/>
      <c r="H10" s="24"/>
      <c r="I10" s="24"/>
      <c r="J10" s="24"/>
      <c r="K10" s="23"/>
    </row>
    <row r="11" spans="1:11" ht="15" customHeight="1" x14ac:dyDescent="0.25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</row>
    <row r="12" spans="1:11" ht="15" customHeight="1" x14ac:dyDescent="0.25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</row>
    <row r="13" spans="1:11" ht="30" x14ac:dyDescent="0.75">
      <c r="A13" s="1"/>
      <c r="B13" s="25"/>
      <c r="C13" s="25"/>
      <c r="D13" s="25"/>
      <c r="E13" s="25"/>
      <c r="F13" s="25"/>
      <c r="G13" s="25"/>
      <c r="H13" s="25"/>
      <c r="I13" s="25"/>
      <c r="J13" s="25"/>
      <c r="K13" s="25"/>
    </row>
    <row r="14" spans="1:11" ht="25.5" x14ac:dyDescent="0.65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ht="15" customHeight="1" x14ac:dyDescent="0.25">
      <c r="A15" s="21" t="s">
        <v>204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5" customHeight="1" x14ac:dyDescent="0.25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5" customHeight="1" x14ac:dyDescent="0.25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5" customHeight="1" x14ac:dyDescent="0.25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5" customHeight="1" x14ac:dyDescent="0.25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5" customHeight="1" x14ac:dyDescent="0.25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8" x14ac:dyDescent="0.4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39.950000000000003" customHeight="1" x14ac:dyDescent="0.65">
      <c r="A22" s="1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ht="39.950000000000003" customHeight="1" x14ac:dyDescent="0.6">
      <c r="A23" s="1"/>
      <c r="B23" s="26"/>
      <c r="C23" s="26"/>
      <c r="D23" s="26"/>
      <c r="E23" s="26"/>
      <c r="F23" s="26"/>
      <c r="G23" s="26"/>
      <c r="H23" s="26"/>
      <c r="I23" s="26"/>
      <c r="J23" s="26"/>
      <c r="K23" s="26"/>
    </row>
    <row r="24" spans="1:11" ht="39.950000000000003" customHeight="1" x14ac:dyDescent="0.65">
      <c r="A24" s="1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 ht="15" customHeight="1" x14ac:dyDescent="0.25">
      <c r="A25" s="21" t="s">
        <v>203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15" customHeight="1" x14ac:dyDescent="0.25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5" customHeight="1" x14ac:dyDescent="0.25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5" customHeight="1" x14ac:dyDescent="0.25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5" customHeight="1" x14ac:dyDescent="0.25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5" customHeight="1" x14ac:dyDescent="0.25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5" customHeight="1" x14ac:dyDescent="0.25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8" x14ac:dyDescent="0.4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</sheetData>
  <mergeCells count="7">
    <mergeCell ref="A25:K31"/>
    <mergeCell ref="A4:K9"/>
    <mergeCell ref="A10:J12"/>
    <mergeCell ref="K10:K12"/>
    <mergeCell ref="B13:K13"/>
    <mergeCell ref="A15:K20"/>
    <mergeCell ref="B23:K23"/>
  </mergeCells>
  <pageMargins left="0.7" right="0.7" top="0.75" bottom="0.75" header="0.3" footer="0.3"/>
  <pageSetup paperSize="9" scale="86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Y98"/>
  <sheetViews>
    <sheetView rightToLeft="1" view="pageBreakPreview" zoomScale="87" zoomScaleNormal="100" zoomScaleSheetLayoutView="87" workbookViewId="0">
      <selection activeCell="R13" sqref="R13"/>
    </sheetView>
  </sheetViews>
  <sheetFormatPr defaultRowHeight="18" x14ac:dyDescent="0.45"/>
  <cols>
    <col min="1" max="1" width="17.5703125" style="4" bestFit="1" customWidth="1"/>
    <col min="2" max="2" width="1.42578125" style="4" customWidth="1"/>
    <col min="3" max="3" width="13.7109375" style="4" bestFit="1" customWidth="1"/>
    <col min="4" max="4" width="1.42578125" style="4" customWidth="1"/>
    <col min="5" max="5" width="19.140625" style="4" bestFit="1" customWidth="1"/>
    <col min="6" max="6" width="1.42578125" style="4" customWidth="1"/>
    <col min="7" max="7" width="19.7109375" style="4" bestFit="1" customWidth="1"/>
    <col min="8" max="8" width="1.42578125" style="4" customWidth="1"/>
    <col min="9" max="9" width="12.7109375" style="4" bestFit="1" customWidth="1"/>
    <col min="10" max="10" width="17" style="4" customWidth="1"/>
    <col min="11" max="11" width="1.42578125" style="4" customWidth="1"/>
    <col min="12" max="12" width="11.5703125" style="4" bestFit="1" customWidth="1"/>
    <col min="13" max="13" width="17" style="4" customWidth="1"/>
    <col min="14" max="14" width="1.42578125" style="4" customWidth="1"/>
    <col min="15" max="15" width="14" style="4" bestFit="1" customWidth="1"/>
    <col min="16" max="16" width="1.42578125" style="4" customWidth="1"/>
    <col min="17" max="17" width="14.85546875" style="4" bestFit="1" customWidth="1"/>
    <col min="18" max="18" width="1.42578125" style="4" customWidth="1"/>
    <col min="19" max="19" width="19.42578125" style="4" bestFit="1" customWidth="1"/>
    <col min="20" max="20" width="1.42578125" style="4" customWidth="1"/>
    <col min="21" max="21" width="19.42578125" style="4" bestFit="1" customWidth="1"/>
    <col min="22" max="22" width="1.42578125" style="4" customWidth="1"/>
    <col min="23" max="23" width="13.28515625" style="4" customWidth="1"/>
    <col min="24" max="16384" width="9.140625" style="4"/>
  </cols>
  <sheetData>
    <row r="1" spans="1:25" ht="20.100000000000001" customHeight="1" x14ac:dyDescent="0.45">
      <c r="A1" s="33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</row>
    <row r="2" spans="1:25" ht="20.100000000000001" customHeight="1" x14ac:dyDescent="0.45">
      <c r="A2" s="33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</row>
    <row r="3" spans="1:25" ht="20.100000000000001" customHeight="1" x14ac:dyDescent="0.45">
      <c r="A3" s="33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</row>
    <row r="5" spans="1:25" ht="21" x14ac:dyDescent="0.45">
      <c r="A5" s="34" t="s">
        <v>3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</row>
    <row r="6" spans="1:25" ht="21" x14ac:dyDescent="0.45">
      <c r="A6" s="34" t="s">
        <v>4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</row>
    <row r="8" spans="1:25" ht="21" x14ac:dyDescent="0.45">
      <c r="C8" s="27" t="s">
        <v>5</v>
      </c>
      <c r="D8" s="28"/>
      <c r="E8" s="28"/>
      <c r="F8" s="28"/>
      <c r="G8" s="28"/>
      <c r="I8" s="27" t="s">
        <v>6</v>
      </c>
      <c r="J8" s="28"/>
      <c r="K8" s="28"/>
      <c r="L8" s="28"/>
      <c r="M8" s="28"/>
      <c r="O8" s="27" t="s">
        <v>7</v>
      </c>
      <c r="P8" s="28"/>
      <c r="Q8" s="28"/>
      <c r="R8" s="28"/>
      <c r="S8" s="28"/>
      <c r="T8" s="28"/>
      <c r="U8" s="28"/>
      <c r="V8" s="28"/>
      <c r="W8" s="28"/>
    </row>
    <row r="9" spans="1:25" ht="18.75" x14ac:dyDescent="0.45">
      <c r="A9" s="29" t="s">
        <v>8</v>
      </c>
      <c r="C9" s="29" t="s">
        <v>9</v>
      </c>
      <c r="E9" s="29" t="s">
        <v>10</v>
      </c>
      <c r="G9" s="29" t="s">
        <v>11</v>
      </c>
      <c r="I9" s="29" t="s">
        <v>12</v>
      </c>
      <c r="J9" s="31"/>
      <c r="L9" s="29" t="s">
        <v>13</v>
      </c>
      <c r="M9" s="31"/>
      <c r="O9" s="29" t="s">
        <v>9</v>
      </c>
      <c r="Q9" s="32" t="s">
        <v>14</v>
      </c>
      <c r="S9" s="29" t="s">
        <v>10</v>
      </c>
      <c r="U9" s="29" t="s">
        <v>11</v>
      </c>
      <c r="W9" s="32" t="s">
        <v>15</v>
      </c>
      <c r="Y9" s="18"/>
    </row>
    <row r="10" spans="1:25" ht="18.75" x14ac:dyDescent="0.45">
      <c r="A10" s="30"/>
      <c r="C10" s="30"/>
      <c r="E10" s="30"/>
      <c r="G10" s="30"/>
      <c r="I10" s="9" t="s">
        <v>9</v>
      </c>
      <c r="J10" s="9" t="s">
        <v>10</v>
      </c>
      <c r="L10" s="9" t="s">
        <v>9</v>
      </c>
      <c r="M10" s="9" t="s">
        <v>16</v>
      </c>
      <c r="O10" s="30"/>
      <c r="Q10" s="30"/>
      <c r="S10" s="30"/>
      <c r="U10" s="30"/>
      <c r="W10" s="30"/>
    </row>
    <row r="11" spans="1:25" ht="18.75" x14ac:dyDescent="0.45">
      <c r="A11" s="10" t="s">
        <v>17</v>
      </c>
      <c r="C11" s="11">
        <v>75</v>
      </c>
      <c r="E11" s="11">
        <v>4112010</v>
      </c>
      <c r="G11" s="11">
        <v>6340051</v>
      </c>
      <c r="N11" s="7"/>
      <c r="O11" s="11">
        <v>75</v>
      </c>
      <c r="Q11" s="11">
        <v>114490</v>
      </c>
      <c r="S11" s="11">
        <v>4112010</v>
      </c>
      <c r="U11" s="11">
        <v>8535659</v>
      </c>
      <c r="W11" s="12">
        <v>2.6172783041423058E-6</v>
      </c>
    </row>
    <row r="12" spans="1:25" ht="37.5" x14ac:dyDescent="0.45">
      <c r="A12" s="10" t="s">
        <v>18</v>
      </c>
      <c r="C12" s="11">
        <v>50000</v>
      </c>
      <c r="E12" s="11">
        <v>1000908000</v>
      </c>
      <c r="G12" s="11">
        <v>1401610500</v>
      </c>
      <c r="N12" s="7"/>
      <c r="O12" s="11">
        <v>50000</v>
      </c>
      <c r="Q12" s="11">
        <v>28300</v>
      </c>
      <c r="S12" s="11">
        <v>1000908000</v>
      </c>
      <c r="U12" s="11">
        <v>1406580750</v>
      </c>
      <c r="W12" s="12">
        <v>4.3129807317738591E-4</v>
      </c>
    </row>
    <row r="13" spans="1:25" ht="18.75" x14ac:dyDescent="0.45">
      <c r="A13" s="10" t="s">
        <v>19</v>
      </c>
      <c r="C13" s="11">
        <v>245000</v>
      </c>
      <c r="E13" s="11">
        <v>1829159370</v>
      </c>
      <c r="G13" s="11">
        <v>2177267715</v>
      </c>
      <c r="N13" s="7"/>
      <c r="O13" s="11">
        <v>245000</v>
      </c>
      <c r="Q13" s="11">
        <v>8190</v>
      </c>
      <c r="S13" s="11">
        <v>1829159370</v>
      </c>
      <c r="U13" s="11">
        <v>1994611027</v>
      </c>
      <c r="W13" s="12">
        <v>6.1160505195557871E-4</v>
      </c>
    </row>
    <row r="14" spans="1:25" ht="18.75" x14ac:dyDescent="0.45">
      <c r="A14" s="10" t="s">
        <v>20</v>
      </c>
      <c r="C14" s="11">
        <v>6813853</v>
      </c>
      <c r="E14" s="11">
        <v>25439191217</v>
      </c>
      <c r="G14" s="11">
        <v>36237211574</v>
      </c>
      <c r="N14" s="7"/>
      <c r="O14" s="11">
        <v>6813853</v>
      </c>
      <c r="Q14" s="11">
        <v>5270</v>
      </c>
      <c r="S14" s="11">
        <v>25439191217</v>
      </c>
      <c r="U14" s="11">
        <v>35695346728</v>
      </c>
      <c r="W14" s="12">
        <v>1.0945218939748114E-2</v>
      </c>
    </row>
    <row r="15" spans="1:25" ht="18.75" x14ac:dyDescent="0.45">
      <c r="A15" s="10" t="s">
        <v>21</v>
      </c>
      <c r="C15" s="11">
        <v>1895580</v>
      </c>
      <c r="E15" s="11">
        <v>18383781995</v>
      </c>
      <c r="G15" s="11">
        <v>19483675432</v>
      </c>
      <c r="N15" s="7"/>
      <c r="O15" s="11">
        <v>1895580</v>
      </c>
      <c r="Q15" s="11">
        <v>10450</v>
      </c>
      <c r="S15" s="11">
        <v>18383781995</v>
      </c>
      <c r="U15" s="11">
        <v>19690948575</v>
      </c>
      <c r="W15" s="12">
        <v>6.0378106123181998E-3</v>
      </c>
    </row>
    <row r="16" spans="1:25" ht="18.75" x14ac:dyDescent="0.45">
      <c r="A16" s="10" t="s">
        <v>22</v>
      </c>
      <c r="C16" s="11">
        <v>19134677</v>
      </c>
      <c r="E16" s="11">
        <v>75470102718</v>
      </c>
      <c r="G16" s="11">
        <v>74846949019</v>
      </c>
      <c r="N16" s="7"/>
      <c r="O16" s="11">
        <v>19134677</v>
      </c>
      <c r="Q16" s="11">
        <v>3296</v>
      </c>
      <c r="S16" s="11">
        <v>75470102718</v>
      </c>
      <c r="U16" s="11">
        <v>62692641414</v>
      </c>
      <c r="W16" s="12">
        <v>1.9223365202644064E-2</v>
      </c>
    </row>
    <row r="17" spans="1:23" ht="18.75" x14ac:dyDescent="0.45">
      <c r="A17" s="10" t="s">
        <v>23</v>
      </c>
      <c r="C17" s="11">
        <v>2291471</v>
      </c>
      <c r="E17" s="11">
        <v>31767128264</v>
      </c>
      <c r="G17" s="11">
        <v>40021591654</v>
      </c>
      <c r="N17" s="7"/>
      <c r="O17" s="11">
        <v>2291471</v>
      </c>
      <c r="Q17" s="11">
        <v>14250</v>
      </c>
      <c r="S17" s="11">
        <v>31767128264</v>
      </c>
      <c r="U17" s="11">
        <v>32459173653</v>
      </c>
      <c r="W17" s="12">
        <v>9.9529152901239905E-3</v>
      </c>
    </row>
    <row r="18" spans="1:23" ht="18.75" x14ac:dyDescent="0.45">
      <c r="A18" s="10" t="s">
        <v>24</v>
      </c>
      <c r="C18" s="11">
        <v>14265950</v>
      </c>
      <c r="E18" s="11">
        <v>25988123619</v>
      </c>
      <c r="G18" s="11">
        <v>48073819156</v>
      </c>
      <c r="N18" s="7"/>
      <c r="O18" s="11">
        <v>14265950</v>
      </c>
      <c r="Q18" s="11">
        <v>3262</v>
      </c>
      <c r="S18" s="11">
        <v>25988123619</v>
      </c>
      <c r="U18" s="11">
        <v>46258642503</v>
      </c>
      <c r="W18" s="12">
        <v>1.4184228939110271E-2</v>
      </c>
    </row>
    <row r="19" spans="1:23" ht="18.75" x14ac:dyDescent="0.45">
      <c r="A19" s="10" t="s">
        <v>25</v>
      </c>
      <c r="C19" s="11">
        <v>500000</v>
      </c>
      <c r="E19" s="11">
        <v>7186663004</v>
      </c>
      <c r="G19" s="11">
        <v>8971301250</v>
      </c>
      <c r="N19" s="7"/>
      <c r="O19" s="11">
        <v>500000</v>
      </c>
      <c r="Q19" s="11">
        <v>16530</v>
      </c>
      <c r="S19" s="11">
        <v>7186663004</v>
      </c>
      <c r="U19" s="11">
        <v>8215823250</v>
      </c>
      <c r="W19" s="12">
        <v>2.5192074733647314E-3</v>
      </c>
    </row>
    <row r="20" spans="1:23" ht="18.75" x14ac:dyDescent="0.45">
      <c r="A20" s="10" t="s">
        <v>26</v>
      </c>
      <c r="C20" s="11">
        <v>1750000</v>
      </c>
      <c r="E20" s="11">
        <v>4291393050</v>
      </c>
      <c r="G20" s="11">
        <v>6773953725</v>
      </c>
      <c r="N20" s="7"/>
      <c r="O20" s="11">
        <v>1750000</v>
      </c>
      <c r="Q20" s="11">
        <v>3800</v>
      </c>
      <c r="S20" s="11">
        <v>4291393050</v>
      </c>
      <c r="U20" s="11">
        <v>6610432500</v>
      </c>
      <c r="W20" s="12">
        <v>2.0269485417877147E-3</v>
      </c>
    </row>
    <row r="21" spans="1:23" ht="18.75" x14ac:dyDescent="0.45">
      <c r="A21" s="10" t="s">
        <v>27</v>
      </c>
      <c r="C21" s="11">
        <v>23109504</v>
      </c>
      <c r="E21" s="11">
        <v>47166686292</v>
      </c>
      <c r="G21" s="11">
        <v>38661880125</v>
      </c>
      <c r="N21" s="7"/>
      <c r="O21" s="11">
        <v>23109504</v>
      </c>
      <c r="Q21" s="11">
        <v>1669</v>
      </c>
      <c r="S21" s="11">
        <v>47166686292</v>
      </c>
      <c r="U21" s="11">
        <v>38340272091</v>
      </c>
      <c r="W21" s="12">
        <v>1.1756229052576615E-2</v>
      </c>
    </row>
    <row r="22" spans="1:23" ht="18.75" x14ac:dyDescent="0.45">
      <c r="A22" s="10" t="s">
        <v>28</v>
      </c>
      <c r="C22" s="11">
        <v>1905000</v>
      </c>
      <c r="E22" s="11">
        <v>3251634127</v>
      </c>
      <c r="G22" s="11">
        <v>4747418782</v>
      </c>
      <c r="N22" s="7"/>
      <c r="O22" s="11">
        <v>1905000</v>
      </c>
      <c r="Q22" s="11">
        <v>2122</v>
      </c>
      <c r="S22" s="11">
        <v>3251634127</v>
      </c>
      <c r="U22" s="11">
        <v>4018357660</v>
      </c>
      <c r="W22" s="12">
        <v>1.2321439178629378E-3</v>
      </c>
    </row>
    <row r="23" spans="1:23" ht="37.5" x14ac:dyDescent="0.45">
      <c r="A23" s="10" t="s">
        <v>29</v>
      </c>
      <c r="C23" s="11">
        <v>970000</v>
      </c>
      <c r="E23" s="11">
        <v>685687718</v>
      </c>
      <c r="G23" s="11">
        <v>1453092349</v>
      </c>
      <c r="N23" s="7"/>
      <c r="O23" s="11">
        <v>970000</v>
      </c>
      <c r="Q23" s="11">
        <v>883</v>
      </c>
      <c r="S23" s="11">
        <v>685687718</v>
      </c>
      <c r="U23" s="11">
        <v>851413765</v>
      </c>
      <c r="W23" s="12">
        <v>2.610679239860233E-4</v>
      </c>
    </row>
    <row r="24" spans="1:23" ht="18.75" x14ac:dyDescent="0.45">
      <c r="A24" s="10" t="s">
        <v>30</v>
      </c>
      <c r="C24" s="11">
        <v>17600000</v>
      </c>
      <c r="E24" s="11">
        <v>61773901614</v>
      </c>
      <c r="G24" s="11">
        <v>99373190400</v>
      </c>
      <c r="I24" s="11">
        <v>0</v>
      </c>
      <c r="J24" s="11">
        <v>0</v>
      </c>
      <c r="L24" s="11">
        <v>2600000</v>
      </c>
      <c r="M24" s="11">
        <v>15093655278</v>
      </c>
      <c r="O24" s="11">
        <v>15000000</v>
      </c>
      <c r="Q24" s="11">
        <v>5510</v>
      </c>
      <c r="S24" s="11">
        <v>52648211603</v>
      </c>
      <c r="U24" s="11">
        <v>82158232500</v>
      </c>
      <c r="W24" s="12">
        <v>2.5192074733647311E-2</v>
      </c>
    </row>
    <row r="25" spans="1:23" ht="18.75" x14ac:dyDescent="0.45">
      <c r="A25" s="10" t="s">
        <v>31</v>
      </c>
      <c r="C25" s="11">
        <v>20425056</v>
      </c>
      <c r="E25" s="11">
        <v>77722008134</v>
      </c>
      <c r="G25" s="11">
        <v>179889248483</v>
      </c>
      <c r="N25" s="7"/>
      <c r="O25" s="11">
        <v>20425056</v>
      </c>
      <c r="Q25" s="11">
        <v>8750</v>
      </c>
      <c r="S25" s="11">
        <v>77722008134</v>
      </c>
      <c r="U25" s="11">
        <v>177655860522</v>
      </c>
      <c r="W25" s="12">
        <v>5.4474391414647917E-2</v>
      </c>
    </row>
    <row r="26" spans="1:23" ht="18.75" x14ac:dyDescent="0.45">
      <c r="A26" s="10" t="s">
        <v>32</v>
      </c>
      <c r="C26" s="11">
        <v>4754687</v>
      </c>
      <c r="E26" s="11">
        <v>17193606879</v>
      </c>
      <c r="G26" s="11">
        <v>27176780521</v>
      </c>
      <c r="N26" s="7"/>
      <c r="O26" s="11">
        <v>4754687</v>
      </c>
      <c r="Q26" s="11">
        <v>5220</v>
      </c>
      <c r="S26" s="11">
        <v>17193606879</v>
      </c>
      <c r="U26" s="11">
        <v>24671790316</v>
      </c>
      <c r="W26" s="12">
        <v>7.5650798044316261E-3</v>
      </c>
    </row>
    <row r="27" spans="1:23" ht="18.75" x14ac:dyDescent="0.45">
      <c r="A27" s="10" t="s">
        <v>33</v>
      </c>
      <c r="C27" s="11">
        <v>9127149</v>
      </c>
      <c r="E27" s="11">
        <v>20800950175</v>
      </c>
      <c r="G27" s="11">
        <v>15641580407</v>
      </c>
      <c r="N27" s="7"/>
      <c r="O27" s="11">
        <v>9127149</v>
      </c>
      <c r="Q27" s="11">
        <v>1653</v>
      </c>
      <c r="S27" s="11">
        <v>20800950175</v>
      </c>
      <c r="U27" s="11">
        <v>14997408592</v>
      </c>
      <c r="W27" s="12">
        <v>4.5986363942372823E-3</v>
      </c>
    </row>
    <row r="28" spans="1:23" ht="37.5" x14ac:dyDescent="0.45">
      <c r="A28" s="10" t="s">
        <v>34</v>
      </c>
      <c r="C28" s="11">
        <v>842177</v>
      </c>
      <c r="E28" s="11">
        <v>2001916090</v>
      </c>
      <c r="G28" s="11">
        <v>5592269193</v>
      </c>
      <c r="N28" s="7"/>
      <c r="O28" s="11">
        <v>842177</v>
      </c>
      <c r="Q28" s="11">
        <v>5900</v>
      </c>
      <c r="S28" s="11">
        <v>2001916090</v>
      </c>
      <c r="U28" s="11">
        <v>4939279676</v>
      </c>
      <c r="W28" s="12">
        <v>1.5145250687833053E-3</v>
      </c>
    </row>
    <row r="29" spans="1:23" ht="37.5" x14ac:dyDescent="0.45">
      <c r="A29" s="10" t="s">
        <v>35</v>
      </c>
      <c r="C29" s="11">
        <v>286500</v>
      </c>
      <c r="E29" s="11">
        <v>12155017291</v>
      </c>
      <c r="G29" s="11">
        <v>15777661005</v>
      </c>
      <c r="N29" s="7"/>
      <c r="O29" s="11">
        <v>286500</v>
      </c>
      <c r="Q29" s="11">
        <v>51850</v>
      </c>
      <c r="S29" s="11">
        <v>12155017291</v>
      </c>
      <c r="U29" s="11">
        <v>14766637601</v>
      </c>
      <c r="W29" s="12">
        <v>4.5278753776632E-3</v>
      </c>
    </row>
    <row r="30" spans="1:23" ht="37.5" x14ac:dyDescent="0.45">
      <c r="A30" s="10" t="s">
        <v>36</v>
      </c>
      <c r="C30" s="11">
        <v>250000</v>
      </c>
      <c r="E30" s="11">
        <v>800726400</v>
      </c>
      <c r="G30" s="11">
        <v>961246350</v>
      </c>
      <c r="N30" s="7"/>
      <c r="O30" s="11">
        <v>250000</v>
      </c>
      <c r="Q30" s="11">
        <v>4283</v>
      </c>
      <c r="S30" s="11">
        <v>800726400</v>
      </c>
      <c r="U30" s="11">
        <v>1064379037</v>
      </c>
      <c r="W30" s="12">
        <v>3.2636919550370753E-4</v>
      </c>
    </row>
    <row r="31" spans="1:23" ht="37.5" x14ac:dyDescent="0.45">
      <c r="A31" s="10" t="s">
        <v>37</v>
      </c>
      <c r="H31" s="7"/>
      <c r="I31" s="11">
        <v>100000</v>
      </c>
      <c r="J31" s="11">
        <v>12596427117</v>
      </c>
      <c r="L31" s="11">
        <v>0</v>
      </c>
      <c r="M31" s="11">
        <v>0</v>
      </c>
      <c r="O31" s="11">
        <v>100000</v>
      </c>
      <c r="Q31" s="11">
        <v>125300</v>
      </c>
      <c r="S31" s="11">
        <v>12596427117</v>
      </c>
      <c r="U31" s="11">
        <v>12455446500</v>
      </c>
      <c r="W31" s="12">
        <v>3.8191977787368522E-3</v>
      </c>
    </row>
    <row r="32" spans="1:23" ht="37.5" x14ac:dyDescent="0.45">
      <c r="A32" s="10" t="s">
        <v>38</v>
      </c>
      <c r="C32" s="11">
        <v>6645110</v>
      </c>
      <c r="E32" s="11">
        <v>67281885372</v>
      </c>
      <c r="G32" s="11">
        <v>101923969719</v>
      </c>
      <c r="N32" s="7"/>
      <c r="O32" s="11">
        <v>6645110</v>
      </c>
      <c r="Q32" s="11">
        <v>13410</v>
      </c>
      <c r="S32" s="11">
        <v>67281885372</v>
      </c>
      <c r="U32" s="11">
        <v>88580715096</v>
      </c>
      <c r="W32" s="12">
        <v>2.7161392434511693E-2</v>
      </c>
    </row>
    <row r="33" spans="1:23" ht="18.75" x14ac:dyDescent="0.45">
      <c r="A33" s="10" t="s">
        <v>39</v>
      </c>
      <c r="C33" s="11">
        <v>1000000</v>
      </c>
      <c r="E33" s="11">
        <v>6555947400</v>
      </c>
      <c r="G33" s="11">
        <v>7385791500</v>
      </c>
      <c r="N33" s="7"/>
      <c r="O33" s="11">
        <v>1000000</v>
      </c>
      <c r="Q33" s="11">
        <v>7220</v>
      </c>
      <c r="S33" s="11">
        <v>6555947400</v>
      </c>
      <c r="U33" s="11">
        <v>7177041000</v>
      </c>
      <c r="W33" s="12">
        <v>2.2006869882266618E-3</v>
      </c>
    </row>
    <row r="34" spans="1:23" ht="18.75" x14ac:dyDescent="0.45">
      <c r="A34" s="10" t="s">
        <v>40</v>
      </c>
      <c r="C34" s="11">
        <v>31806527</v>
      </c>
      <c r="E34" s="11">
        <v>59228648705</v>
      </c>
      <c r="G34" s="11">
        <v>63866901892</v>
      </c>
      <c r="N34" s="7"/>
      <c r="O34" s="11">
        <v>31806527</v>
      </c>
      <c r="Q34" s="11">
        <v>1781</v>
      </c>
      <c r="S34" s="11">
        <v>59228648705</v>
      </c>
      <c r="U34" s="11">
        <v>56310372411</v>
      </c>
      <c r="W34" s="12">
        <v>1.726637814484901E-2</v>
      </c>
    </row>
    <row r="35" spans="1:23" ht="37.5" x14ac:dyDescent="0.45">
      <c r="A35" s="10" t="s">
        <v>41</v>
      </c>
      <c r="C35" s="11">
        <v>7329302</v>
      </c>
      <c r="E35" s="11">
        <v>54397299345</v>
      </c>
      <c r="G35" s="11">
        <v>57921256592</v>
      </c>
      <c r="N35" s="7"/>
      <c r="O35" s="11">
        <v>7329302</v>
      </c>
      <c r="Q35" s="11">
        <v>7030</v>
      </c>
      <c r="S35" s="11">
        <v>54397299345</v>
      </c>
      <c r="U35" s="11">
        <v>51218419351</v>
      </c>
      <c r="W35" s="12">
        <v>1.5705039029773184E-2</v>
      </c>
    </row>
    <row r="36" spans="1:23" ht="18.75" x14ac:dyDescent="0.45">
      <c r="A36" s="10" t="s">
        <v>42</v>
      </c>
      <c r="C36" s="11">
        <v>236747</v>
      </c>
      <c r="E36" s="11">
        <v>3932532505</v>
      </c>
      <c r="G36" s="11">
        <v>6057609267</v>
      </c>
      <c r="N36" s="7"/>
      <c r="O36" s="11">
        <v>236747</v>
      </c>
      <c r="Q36" s="11">
        <v>24620</v>
      </c>
      <c r="S36" s="11">
        <v>3932532505</v>
      </c>
      <c r="U36" s="11">
        <v>5794030309</v>
      </c>
      <c r="W36" s="12">
        <v>1.7766161723762209E-3</v>
      </c>
    </row>
    <row r="37" spans="1:23" ht="18.75" x14ac:dyDescent="0.45">
      <c r="A37" s="10" t="s">
        <v>43</v>
      </c>
      <c r="C37" s="11">
        <v>2773715</v>
      </c>
      <c r="E37" s="11">
        <v>77701541135</v>
      </c>
      <c r="G37" s="11">
        <v>92476870213</v>
      </c>
      <c r="N37" s="7"/>
      <c r="O37" s="11">
        <v>2773715</v>
      </c>
      <c r="Q37" s="11">
        <v>30890</v>
      </c>
      <c r="S37" s="11">
        <v>77701541135</v>
      </c>
      <c r="U37" s="11">
        <v>85170260015</v>
      </c>
      <c r="W37" s="12">
        <v>2.6115648914210192E-2</v>
      </c>
    </row>
    <row r="38" spans="1:23" ht="37.5" x14ac:dyDescent="0.45">
      <c r="A38" s="10" t="s">
        <v>44</v>
      </c>
      <c r="C38" s="11">
        <v>272500</v>
      </c>
      <c r="E38" s="11">
        <v>5103379665</v>
      </c>
      <c r="G38" s="11">
        <v>10063140919</v>
      </c>
      <c r="N38" s="7"/>
      <c r="O38" s="11">
        <v>272500</v>
      </c>
      <c r="Q38" s="11">
        <v>39050</v>
      </c>
      <c r="S38" s="11">
        <v>5103379665</v>
      </c>
      <c r="U38" s="11">
        <v>10577810306</v>
      </c>
      <c r="W38" s="12">
        <v>3.2434605716121843E-3</v>
      </c>
    </row>
    <row r="39" spans="1:23" ht="18.75" x14ac:dyDescent="0.45">
      <c r="A39" s="10" t="s">
        <v>45</v>
      </c>
      <c r="C39" s="11">
        <v>2672602</v>
      </c>
      <c r="E39" s="11">
        <v>35385653732</v>
      </c>
      <c r="G39" s="11">
        <v>43941818299</v>
      </c>
      <c r="N39" s="7"/>
      <c r="O39" s="11">
        <v>2672602</v>
      </c>
      <c r="Q39" s="11">
        <v>16060</v>
      </c>
      <c r="S39" s="11">
        <v>35385653732</v>
      </c>
      <c r="U39" s="11">
        <v>42666602291</v>
      </c>
      <c r="W39" s="12">
        <v>1.3082806200165999E-2</v>
      </c>
    </row>
    <row r="40" spans="1:23" ht="18.75" x14ac:dyDescent="0.45">
      <c r="A40" s="10" t="s">
        <v>46</v>
      </c>
      <c r="C40" s="11">
        <v>27844387</v>
      </c>
      <c r="E40" s="11">
        <v>73147788635</v>
      </c>
      <c r="G40" s="11">
        <v>78303078787</v>
      </c>
      <c r="N40" s="7"/>
      <c r="O40" s="11">
        <v>27844387</v>
      </c>
      <c r="Q40" s="11">
        <v>2561</v>
      </c>
      <c r="S40" s="11">
        <v>73147788635</v>
      </c>
      <c r="U40" s="11">
        <v>70885183730</v>
      </c>
      <c r="W40" s="12">
        <v>2.1735434072714267E-2</v>
      </c>
    </row>
    <row r="41" spans="1:23" ht="37.5" x14ac:dyDescent="0.45">
      <c r="A41" s="10" t="s">
        <v>47</v>
      </c>
      <c r="C41" s="11">
        <v>15167887</v>
      </c>
      <c r="E41" s="11">
        <v>44183747576</v>
      </c>
      <c r="G41" s="11">
        <v>58244915873</v>
      </c>
      <c r="N41" s="7"/>
      <c r="O41" s="11">
        <v>15167887</v>
      </c>
      <c r="Q41" s="11">
        <v>3153</v>
      </c>
      <c r="S41" s="11">
        <v>44183747576</v>
      </c>
      <c r="U41" s="11">
        <v>47539792842</v>
      </c>
      <c r="W41" s="12">
        <v>1.4577066444288167E-2</v>
      </c>
    </row>
    <row r="42" spans="1:23" ht="18.75" x14ac:dyDescent="0.45">
      <c r="A42" s="10" t="s">
        <v>48</v>
      </c>
      <c r="C42" s="11">
        <v>10258397</v>
      </c>
      <c r="E42" s="11">
        <v>27693957457</v>
      </c>
      <c r="G42" s="11">
        <v>27369713000</v>
      </c>
      <c r="N42" s="7"/>
      <c r="O42" s="11">
        <v>10258397</v>
      </c>
      <c r="Q42" s="11">
        <v>2356</v>
      </c>
      <c r="S42" s="11">
        <v>27693957457</v>
      </c>
      <c r="U42" s="11">
        <v>24024979071</v>
      </c>
      <c r="W42" s="12">
        <v>7.3667488919134739E-3</v>
      </c>
    </row>
    <row r="43" spans="1:23" ht="18.75" x14ac:dyDescent="0.45">
      <c r="A43" s="10" t="s">
        <v>49</v>
      </c>
      <c r="C43" s="11">
        <v>5958319</v>
      </c>
      <c r="E43" s="11">
        <v>19798281699</v>
      </c>
      <c r="G43" s="11">
        <v>16933476759</v>
      </c>
      <c r="N43" s="7"/>
      <c r="O43" s="11">
        <v>5958319</v>
      </c>
      <c r="Q43" s="11">
        <v>2979</v>
      </c>
      <c r="S43" s="11">
        <v>19798281699</v>
      </c>
      <c r="U43" s="11">
        <v>17644220799</v>
      </c>
      <c r="W43" s="12">
        <v>5.4102250676507958E-3</v>
      </c>
    </row>
    <row r="44" spans="1:23" ht="37.5" x14ac:dyDescent="0.45">
      <c r="A44" s="10" t="s">
        <v>50</v>
      </c>
      <c r="C44" s="11">
        <v>3250000</v>
      </c>
      <c r="E44" s="11">
        <v>3939323661</v>
      </c>
      <c r="G44" s="11">
        <v>4387239675</v>
      </c>
      <c r="N44" s="7"/>
      <c r="O44" s="11">
        <v>3250000</v>
      </c>
      <c r="Q44" s="11">
        <v>1341</v>
      </c>
      <c r="S44" s="11">
        <v>3939323661</v>
      </c>
      <c r="U44" s="11">
        <v>4332318412</v>
      </c>
      <c r="W44" s="12">
        <v>1.3284133054476343E-3</v>
      </c>
    </row>
    <row r="45" spans="1:23" ht="18.75" x14ac:dyDescent="0.45">
      <c r="A45" s="10" t="s">
        <v>51</v>
      </c>
      <c r="C45" s="11">
        <v>1186353</v>
      </c>
      <c r="E45" s="11">
        <v>26013113139</v>
      </c>
      <c r="G45" s="11">
        <v>86064890690</v>
      </c>
      <c r="N45" s="7"/>
      <c r="O45" s="11">
        <v>1186353</v>
      </c>
      <c r="Q45" s="11">
        <v>62010</v>
      </c>
      <c r="S45" s="11">
        <v>26013113139</v>
      </c>
      <c r="U45" s="11">
        <v>73128033320</v>
      </c>
      <c r="W45" s="12">
        <v>2.242315620071416E-2</v>
      </c>
    </row>
    <row r="46" spans="1:23" ht="18.75" x14ac:dyDescent="0.45">
      <c r="A46" s="10" t="s">
        <v>52</v>
      </c>
      <c r="C46" s="11">
        <v>100000</v>
      </c>
      <c r="E46" s="11">
        <v>9771059100</v>
      </c>
      <c r="G46" s="11">
        <v>11833171200</v>
      </c>
      <c r="N46" s="7"/>
      <c r="O46" s="11">
        <v>100000</v>
      </c>
      <c r="Q46" s="11">
        <v>119470</v>
      </c>
      <c r="S46" s="11">
        <v>9771059100</v>
      </c>
      <c r="U46" s="11">
        <v>11875915350</v>
      </c>
      <c r="W46" s="12">
        <v>3.6414968765019289E-3</v>
      </c>
    </row>
    <row r="47" spans="1:23" ht="18.75" x14ac:dyDescent="0.45">
      <c r="A47" s="10" t="s">
        <v>53</v>
      </c>
      <c r="C47" s="11">
        <v>5530564</v>
      </c>
      <c r="E47" s="11">
        <v>34692272898</v>
      </c>
      <c r="G47" s="11">
        <v>68500808017</v>
      </c>
      <c r="N47" s="7"/>
      <c r="O47" s="11">
        <v>5530564</v>
      </c>
      <c r="Q47" s="11">
        <v>11480</v>
      </c>
      <c r="S47" s="11">
        <v>34692272898</v>
      </c>
      <c r="U47" s="11">
        <v>63113104015</v>
      </c>
      <c r="W47" s="12">
        <v>1.9352291117245447E-2</v>
      </c>
    </row>
    <row r="48" spans="1:23" ht="18.75" x14ac:dyDescent="0.45">
      <c r="A48" s="10" t="s">
        <v>54</v>
      </c>
      <c r="C48" s="11">
        <v>5799792</v>
      </c>
      <c r="E48" s="11">
        <v>31811320316</v>
      </c>
      <c r="G48" s="11">
        <v>60962104954</v>
      </c>
      <c r="N48" s="7"/>
      <c r="O48" s="11">
        <v>5799792</v>
      </c>
      <c r="Q48" s="11">
        <v>9670</v>
      </c>
      <c r="S48" s="11">
        <v>31811320316</v>
      </c>
      <c r="U48" s="11">
        <v>55750288908</v>
      </c>
      <c r="W48" s="12">
        <v>1.7094640449972737E-2</v>
      </c>
    </row>
    <row r="49" spans="1:23" ht="18.75" x14ac:dyDescent="0.45">
      <c r="A49" s="10" t="s">
        <v>55</v>
      </c>
      <c r="C49" s="11">
        <v>3700000</v>
      </c>
      <c r="E49" s="11">
        <v>32261144892</v>
      </c>
      <c r="G49" s="11">
        <v>70359853050</v>
      </c>
      <c r="N49" s="7"/>
      <c r="O49" s="11">
        <v>3700000</v>
      </c>
      <c r="Q49" s="11">
        <v>18620</v>
      </c>
      <c r="S49" s="11">
        <v>32261144892</v>
      </c>
      <c r="U49" s="11">
        <v>68484080700</v>
      </c>
      <c r="W49" s="12">
        <v>2.0999186892920726E-2</v>
      </c>
    </row>
    <row r="50" spans="1:23" ht="18.75" x14ac:dyDescent="0.45">
      <c r="A50" s="10" t="s">
        <v>56</v>
      </c>
      <c r="C50" s="11">
        <v>200000</v>
      </c>
      <c r="E50" s="11">
        <v>5506104881</v>
      </c>
      <c r="G50" s="11">
        <v>6234681600</v>
      </c>
      <c r="N50" s="7"/>
      <c r="O50" s="11">
        <v>200000</v>
      </c>
      <c r="Q50" s="11">
        <v>30210</v>
      </c>
      <c r="S50" s="11">
        <v>5506104881</v>
      </c>
      <c r="U50" s="11">
        <v>6006050100</v>
      </c>
      <c r="W50" s="12">
        <v>1.8416275322528379E-3</v>
      </c>
    </row>
    <row r="51" spans="1:23" ht="18.75" x14ac:dyDescent="0.45">
      <c r="A51" s="10" t="s">
        <v>57</v>
      </c>
      <c r="C51" s="11">
        <v>21884415</v>
      </c>
      <c r="E51" s="11">
        <v>53366079438</v>
      </c>
      <c r="G51" s="11">
        <v>40897901134</v>
      </c>
      <c r="N51" s="7"/>
      <c r="O51" s="11">
        <v>21884415</v>
      </c>
      <c r="Q51" s="11">
        <v>1688</v>
      </c>
      <c r="S51" s="11">
        <v>53366079438</v>
      </c>
      <c r="U51" s="11">
        <v>36721094210</v>
      </c>
      <c r="W51" s="12">
        <v>1.1259742590489926E-2</v>
      </c>
    </row>
    <row r="52" spans="1:23" ht="18.75" x14ac:dyDescent="0.45">
      <c r="A52" s="10" t="s">
        <v>58</v>
      </c>
      <c r="C52" s="11">
        <v>330974</v>
      </c>
      <c r="E52" s="11">
        <v>10705350134</v>
      </c>
      <c r="G52" s="11">
        <v>11409883159</v>
      </c>
      <c r="N52" s="7"/>
      <c r="O52" s="11">
        <v>330974</v>
      </c>
      <c r="Q52" s="11">
        <v>29800</v>
      </c>
      <c r="S52" s="11">
        <v>10705350134</v>
      </c>
      <c r="U52" s="11">
        <v>9804340200</v>
      </c>
      <c r="W52" s="12">
        <v>3.0062924130275395E-3</v>
      </c>
    </row>
    <row r="53" spans="1:23" ht="18.75" x14ac:dyDescent="0.45">
      <c r="A53" s="10" t="s">
        <v>59</v>
      </c>
      <c r="C53" s="11">
        <v>9448213</v>
      </c>
      <c r="E53" s="11">
        <v>15392047456</v>
      </c>
      <c r="G53" s="11">
        <v>8227388612</v>
      </c>
      <c r="N53" s="7"/>
      <c r="O53" s="11">
        <v>9448213</v>
      </c>
      <c r="Q53" s="11">
        <v>776</v>
      </c>
      <c r="S53" s="11">
        <v>15392047456</v>
      </c>
      <c r="U53" s="11">
        <v>7288188999</v>
      </c>
      <c r="W53" s="12">
        <v>2.2347681583309888E-3</v>
      </c>
    </row>
    <row r="54" spans="1:23" ht="18.75" x14ac:dyDescent="0.45">
      <c r="A54" s="10" t="s">
        <v>60</v>
      </c>
      <c r="C54" s="11">
        <v>10148510</v>
      </c>
      <c r="E54" s="11">
        <v>49005994690</v>
      </c>
      <c r="G54" s="11">
        <v>31313544239</v>
      </c>
      <c r="N54" s="7"/>
      <c r="O54" s="11">
        <v>10148510</v>
      </c>
      <c r="Q54" s="11">
        <v>2937</v>
      </c>
      <c r="S54" s="11">
        <v>49005994690</v>
      </c>
      <c r="U54" s="11">
        <v>29628827135</v>
      </c>
      <c r="W54" s="12">
        <v>9.0850497234739973E-3</v>
      </c>
    </row>
    <row r="55" spans="1:23" ht="18.75" x14ac:dyDescent="0.45">
      <c r="A55" s="10" t="s">
        <v>61</v>
      </c>
      <c r="C55" s="11">
        <v>249996</v>
      </c>
      <c r="E55" s="11">
        <v>1764072098</v>
      </c>
      <c r="G55" s="11">
        <v>2276338078</v>
      </c>
      <c r="N55" s="7"/>
      <c r="O55" s="11">
        <v>249996</v>
      </c>
      <c r="Q55" s="11">
        <v>7800</v>
      </c>
      <c r="S55" s="11">
        <v>1764072098</v>
      </c>
      <c r="U55" s="11">
        <v>1938366486</v>
      </c>
      <c r="W55" s="12">
        <v>5.9435885961287352E-4</v>
      </c>
    </row>
    <row r="56" spans="1:23" ht="18.75" x14ac:dyDescent="0.45">
      <c r="A56" s="10" t="s">
        <v>62</v>
      </c>
      <c r="H56" s="7"/>
      <c r="I56" s="11">
        <v>3750000</v>
      </c>
      <c r="J56" s="11">
        <v>11823225750</v>
      </c>
      <c r="L56" s="11">
        <v>0</v>
      </c>
      <c r="M56" s="11">
        <v>0</v>
      </c>
      <c r="O56" s="11">
        <v>3750000</v>
      </c>
      <c r="Q56" s="11">
        <v>3471</v>
      </c>
      <c r="S56" s="11">
        <v>11823225750</v>
      </c>
      <c r="U56" s="11">
        <v>12938803312</v>
      </c>
      <c r="W56" s="12">
        <v>3.9674088655676397E-3</v>
      </c>
    </row>
    <row r="57" spans="1:23" ht="18.75" x14ac:dyDescent="0.45">
      <c r="A57" s="10" t="s">
        <v>63</v>
      </c>
      <c r="C57" s="11">
        <v>22264729</v>
      </c>
      <c r="E57" s="11">
        <v>114019137431</v>
      </c>
      <c r="G57" s="11">
        <v>106699595871</v>
      </c>
      <c r="N57" s="7"/>
      <c r="O57" s="11">
        <v>22264729</v>
      </c>
      <c r="Q57" s="11">
        <v>4447</v>
      </c>
      <c r="S57" s="11">
        <v>114019137431</v>
      </c>
      <c r="U57" s="11">
        <v>98422132926</v>
      </c>
      <c r="W57" s="12">
        <v>3.0179053914247266E-2</v>
      </c>
    </row>
    <row r="58" spans="1:23" ht="18.75" x14ac:dyDescent="0.45">
      <c r="A58" s="10" t="s">
        <v>64</v>
      </c>
      <c r="C58" s="11">
        <v>9664654</v>
      </c>
      <c r="E58" s="11">
        <v>62868241940</v>
      </c>
      <c r="G58" s="11">
        <v>89250417078</v>
      </c>
      <c r="N58" s="7"/>
      <c r="O58" s="11">
        <v>13640509</v>
      </c>
      <c r="Q58" s="11">
        <v>10500</v>
      </c>
      <c r="S58" s="11">
        <v>88731042001</v>
      </c>
      <c r="U58" s="11">
        <v>142373153700</v>
      </c>
      <c r="W58" s="12">
        <v>4.3655699726445008E-2</v>
      </c>
    </row>
    <row r="59" spans="1:23" ht="18.75" x14ac:dyDescent="0.45">
      <c r="A59" s="10" t="s">
        <v>65</v>
      </c>
      <c r="C59" s="11">
        <v>3975855</v>
      </c>
      <c r="E59" s="11">
        <v>21886945061</v>
      </c>
      <c r="G59" s="11">
        <v>27507302693</v>
      </c>
      <c r="N59" s="7"/>
      <c r="W59" s="12">
        <v>0</v>
      </c>
    </row>
    <row r="60" spans="1:23" ht="18.75" x14ac:dyDescent="0.45">
      <c r="A60" s="10" t="s">
        <v>66</v>
      </c>
      <c r="C60" s="11">
        <v>14021442</v>
      </c>
      <c r="E60" s="11">
        <v>48395249821</v>
      </c>
      <c r="G60" s="11">
        <v>50915566677</v>
      </c>
      <c r="N60" s="7"/>
      <c r="O60" s="11">
        <v>14021442</v>
      </c>
      <c r="Q60" s="11">
        <v>3398</v>
      </c>
      <c r="S60" s="11">
        <v>48395249821</v>
      </c>
      <c r="U60" s="11">
        <v>47361372999</v>
      </c>
      <c r="W60" s="12">
        <v>1.4522357793894287E-2</v>
      </c>
    </row>
    <row r="61" spans="1:23" ht="18.75" x14ac:dyDescent="0.45">
      <c r="A61" s="10" t="s">
        <v>67</v>
      </c>
      <c r="H61" s="7"/>
      <c r="I61" s="11">
        <v>800000</v>
      </c>
      <c r="J61" s="11">
        <v>7190523048</v>
      </c>
      <c r="L61" s="11">
        <v>0</v>
      </c>
      <c r="M61" s="11">
        <v>0</v>
      </c>
      <c r="O61" s="11">
        <v>800000</v>
      </c>
      <c r="Q61" s="11">
        <v>9580</v>
      </c>
      <c r="S61" s="11">
        <v>7190523048</v>
      </c>
      <c r="U61" s="11">
        <v>7618399200</v>
      </c>
      <c r="W61" s="12">
        <v>2.3360200938738417E-3</v>
      </c>
    </row>
    <row r="62" spans="1:23" ht="18.75" x14ac:dyDescent="0.45">
      <c r="A62" s="10" t="s">
        <v>68</v>
      </c>
      <c r="C62" s="11">
        <v>200000</v>
      </c>
      <c r="E62" s="11">
        <v>1227137722</v>
      </c>
      <c r="G62" s="11">
        <v>1286300700</v>
      </c>
      <c r="N62" s="7"/>
      <c r="O62" s="11">
        <v>200000</v>
      </c>
      <c r="Q62" s="11">
        <v>5750</v>
      </c>
      <c r="S62" s="11">
        <v>1227137722</v>
      </c>
      <c r="U62" s="11">
        <v>1143157500</v>
      </c>
      <c r="W62" s="12">
        <v>3.505249357978755E-4</v>
      </c>
    </row>
    <row r="63" spans="1:23" ht="18.75" x14ac:dyDescent="0.45">
      <c r="A63" s="10" t="s">
        <v>69</v>
      </c>
      <c r="C63" s="11">
        <v>8231319</v>
      </c>
      <c r="E63" s="11">
        <v>42556668634</v>
      </c>
      <c r="G63" s="11">
        <v>34136733544</v>
      </c>
      <c r="N63" s="7"/>
      <c r="O63" s="11">
        <v>8231319</v>
      </c>
      <c r="Q63" s="11">
        <v>4255</v>
      </c>
      <c r="S63" s="11">
        <v>42556668634</v>
      </c>
      <c r="U63" s="11">
        <v>34815867984</v>
      </c>
      <c r="W63" s="12">
        <v>1.0675545486810793E-2</v>
      </c>
    </row>
    <row r="64" spans="1:23" ht="18.75" x14ac:dyDescent="0.45">
      <c r="A64" s="10" t="s">
        <v>70</v>
      </c>
      <c r="C64" s="11">
        <v>6256631</v>
      </c>
      <c r="E64" s="11">
        <v>27157213151</v>
      </c>
      <c r="G64" s="11">
        <v>39741991851</v>
      </c>
      <c r="N64" s="7"/>
      <c r="O64" s="11">
        <v>6256631</v>
      </c>
      <c r="Q64" s="11">
        <v>5970</v>
      </c>
      <c r="S64" s="11">
        <v>27157213151</v>
      </c>
      <c r="U64" s="11">
        <v>37129842152</v>
      </c>
      <c r="W64" s="12">
        <v>1.1385076454045091E-2</v>
      </c>
    </row>
    <row r="65" spans="1:23" ht="18.75" x14ac:dyDescent="0.45">
      <c r="A65" s="10" t="s">
        <v>71</v>
      </c>
      <c r="C65" s="11">
        <v>4666666</v>
      </c>
      <c r="E65" s="11">
        <v>19031233707</v>
      </c>
      <c r="G65" s="11">
        <v>18908153699</v>
      </c>
      <c r="N65" s="7"/>
      <c r="O65" s="11">
        <v>4666666</v>
      </c>
      <c r="Q65" s="11">
        <v>3821</v>
      </c>
      <c r="S65" s="11">
        <v>19031233707</v>
      </c>
      <c r="U65" s="11">
        <v>17725234368</v>
      </c>
      <c r="W65" s="12">
        <v>5.4350661556657734E-3</v>
      </c>
    </row>
    <row r="66" spans="1:23" ht="18.75" x14ac:dyDescent="0.45">
      <c r="A66" s="10" t="s">
        <v>72</v>
      </c>
      <c r="C66" s="11">
        <v>16300000</v>
      </c>
      <c r="E66" s="11">
        <v>82353315729</v>
      </c>
      <c r="G66" s="11">
        <v>118768099950</v>
      </c>
      <c r="N66" s="7"/>
      <c r="O66" s="11">
        <v>16300000</v>
      </c>
      <c r="Q66" s="11">
        <v>7550</v>
      </c>
      <c r="S66" s="11">
        <v>82353315729</v>
      </c>
      <c r="U66" s="11">
        <v>122332763250</v>
      </c>
      <c r="W66" s="12">
        <v>3.7510740194752652E-2</v>
      </c>
    </row>
    <row r="67" spans="1:23" ht="18.75" x14ac:dyDescent="0.45">
      <c r="A67" s="10" t="s">
        <v>73</v>
      </c>
      <c r="C67" s="11">
        <v>444699</v>
      </c>
      <c r="E67" s="11">
        <v>5768075770</v>
      </c>
      <c r="G67" s="11">
        <v>5950033931</v>
      </c>
      <c r="N67" s="7"/>
      <c r="O67" s="11">
        <v>444699</v>
      </c>
      <c r="Q67" s="11">
        <v>12060</v>
      </c>
      <c r="S67" s="11">
        <v>5768075770</v>
      </c>
      <c r="U67" s="11">
        <v>5331159674</v>
      </c>
      <c r="W67" s="12">
        <v>1.6346867360421226E-3</v>
      </c>
    </row>
    <row r="68" spans="1:23" ht="18.75" x14ac:dyDescent="0.45">
      <c r="A68" s="10" t="s">
        <v>74</v>
      </c>
      <c r="C68" s="11">
        <v>4274063</v>
      </c>
      <c r="E68" s="11">
        <v>51969895261</v>
      </c>
      <c r="G68" s="11">
        <v>39512280624</v>
      </c>
      <c r="N68" s="7"/>
      <c r="O68" s="11">
        <v>4274063</v>
      </c>
      <c r="Q68" s="11">
        <v>8430</v>
      </c>
      <c r="S68" s="11">
        <v>51969895261</v>
      </c>
      <c r="U68" s="11">
        <v>35815970501</v>
      </c>
      <c r="W68" s="12">
        <v>1.098220565442787E-2</v>
      </c>
    </row>
    <row r="69" spans="1:23" ht="18.75" x14ac:dyDescent="0.45">
      <c r="A69" s="10" t="s">
        <v>75</v>
      </c>
      <c r="C69" s="11">
        <v>250000</v>
      </c>
      <c r="E69" s="11">
        <v>3403087200</v>
      </c>
      <c r="G69" s="11">
        <v>3670529625</v>
      </c>
      <c r="N69" s="7"/>
      <c r="O69" s="11">
        <v>250000</v>
      </c>
      <c r="Q69" s="11">
        <v>14680</v>
      </c>
      <c r="S69" s="11">
        <v>3403087200</v>
      </c>
      <c r="U69" s="11">
        <v>3648163500</v>
      </c>
      <c r="W69" s="12">
        <v>1.11863175163322E-3</v>
      </c>
    </row>
    <row r="70" spans="1:23" ht="18.75" x14ac:dyDescent="0.45">
      <c r="A70" s="10" t="s">
        <v>76</v>
      </c>
      <c r="C70" s="11">
        <v>15800000</v>
      </c>
      <c r="E70" s="11">
        <v>81495578765</v>
      </c>
      <c r="G70" s="11">
        <v>159572858400</v>
      </c>
      <c r="N70" s="7"/>
      <c r="O70" s="11">
        <v>15800000</v>
      </c>
      <c r="Q70" s="11">
        <v>10840</v>
      </c>
      <c r="S70" s="11">
        <v>81495578765</v>
      </c>
      <c r="U70" s="11">
        <v>170252931600</v>
      </c>
      <c r="W70" s="12">
        <v>5.2204440699107589E-2</v>
      </c>
    </row>
    <row r="71" spans="1:23" ht="37.5" x14ac:dyDescent="0.45">
      <c r="A71" s="10" t="s">
        <v>77</v>
      </c>
      <c r="C71" s="11">
        <v>6668802</v>
      </c>
      <c r="E71" s="11">
        <v>22427520435</v>
      </c>
      <c r="G71" s="11">
        <v>30759128994</v>
      </c>
      <c r="N71" s="7"/>
      <c r="O71" s="11">
        <v>6668802</v>
      </c>
      <c r="Q71" s="11">
        <v>4565</v>
      </c>
      <c r="S71" s="11">
        <v>22427520435</v>
      </c>
      <c r="U71" s="11">
        <v>30261944797</v>
      </c>
      <c r="W71" s="12">
        <v>9.279181789987186E-3</v>
      </c>
    </row>
    <row r="72" spans="1:23" ht="18.75" x14ac:dyDescent="0.45">
      <c r="A72" s="10" t="s">
        <v>78</v>
      </c>
      <c r="C72" s="11">
        <v>5155597</v>
      </c>
      <c r="E72" s="11">
        <v>8882657062</v>
      </c>
      <c r="G72" s="11">
        <v>18383092337</v>
      </c>
      <c r="N72" s="7"/>
      <c r="O72" s="11">
        <v>5155597</v>
      </c>
      <c r="Q72" s="11">
        <v>3684</v>
      </c>
      <c r="S72" s="11">
        <v>8882657062</v>
      </c>
      <c r="U72" s="11">
        <v>18880209693</v>
      </c>
      <c r="W72" s="12">
        <v>5.7892147761697326E-3</v>
      </c>
    </row>
    <row r="73" spans="1:23" ht="18.75" x14ac:dyDescent="0.45">
      <c r="A73" s="10" t="s">
        <v>79</v>
      </c>
      <c r="C73" s="11">
        <v>10319951</v>
      </c>
      <c r="E73" s="11">
        <v>46097666842</v>
      </c>
      <c r="G73" s="11">
        <v>74784809755</v>
      </c>
      <c r="N73" s="7"/>
      <c r="O73" s="11">
        <v>10319951</v>
      </c>
      <c r="Q73" s="11">
        <v>7310</v>
      </c>
      <c r="S73" s="11">
        <v>46097666842</v>
      </c>
      <c r="U73" s="11">
        <v>74989980701</v>
      </c>
      <c r="W73" s="12">
        <v>2.2994082766987004E-2</v>
      </c>
    </row>
    <row r="74" spans="1:23" ht="18.75" x14ac:dyDescent="0.45">
      <c r="A74" s="10" t="s">
        <v>80</v>
      </c>
      <c r="C74" s="11">
        <v>1207911</v>
      </c>
      <c r="E74" s="11">
        <v>24921591237</v>
      </c>
      <c r="G74" s="11">
        <v>43934488582</v>
      </c>
      <c r="N74" s="7"/>
      <c r="O74" s="11">
        <v>1207911</v>
      </c>
      <c r="Q74" s="11">
        <v>36750</v>
      </c>
      <c r="S74" s="11">
        <v>24921591237</v>
      </c>
      <c r="U74" s="11">
        <v>44126604411</v>
      </c>
      <c r="W74" s="12">
        <v>1.3530484800339432E-2</v>
      </c>
    </row>
    <row r="75" spans="1:23" ht="18.75" x14ac:dyDescent="0.45">
      <c r="A75" s="10" t="s">
        <v>81</v>
      </c>
      <c r="C75" s="11">
        <v>411</v>
      </c>
      <c r="E75" s="11">
        <v>999240</v>
      </c>
      <c r="G75" s="11">
        <v>992379</v>
      </c>
      <c r="N75" s="7"/>
      <c r="O75" s="11">
        <v>411</v>
      </c>
      <c r="Q75" s="11">
        <v>3136</v>
      </c>
      <c r="S75" s="11">
        <v>999240</v>
      </c>
      <c r="U75" s="11">
        <v>1281227</v>
      </c>
      <c r="W75" s="12">
        <v>3.9286101164319405E-7</v>
      </c>
    </row>
    <row r="76" spans="1:23" ht="37.5" x14ac:dyDescent="0.45">
      <c r="A76" s="10" t="s">
        <v>82</v>
      </c>
      <c r="C76" s="11">
        <v>8971553</v>
      </c>
      <c r="E76" s="11">
        <v>30227577878</v>
      </c>
      <c r="G76" s="11">
        <v>35547834627</v>
      </c>
      <c r="N76" s="7"/>
      <c r="O76" s="11">
        <v>8971553</v>
      </c>
      <c r="Q76" s="11">
        <v>4791</v>
      </c>
      <c r="S76" s="11">
        <v>30227577878</v>
      </c>
      <c r="U76" s="11">
        <v>42726963296</v>
      </c>
      <c r="W76" s="12">
        <v>1.3101314618649296E-2</v>
      </c>
    </row>
    <row r="77" spans="1:23" ht="37.5" x14ac:dyDescent="0.45">
      <c r="A77" s="10" t="s">
        <v>83</v>
      </c>
      <c r="C77" s="11">
        <v>700000</v>
      </c>
      <c r="E77" s="11">
        <v>9143294580</v>
      </c>
      <c r="G77" s="11">
        <v>12337154550</v>
      </c>
      <c r="N77" s="7"/>
      <c r="O77" s="11">
        <v>700000</v>
      </c>
      <c r="Q77" s="11">
        <v>19500</v>
      </c>
      <c r="S77" s="11">
        <v>9143294580</v>
      </c>
      <c r="U77" s="11">
        <v>13568782500</v>
      </c>
      <c r="W77" s="12">
        <v>4.1605785857747827E-3</v>
      </c>
    </row>
    <row r="78" spans="1:23" ht="18.75" x14ac:dyDescent="0.45">
      <c r="A78" s="10" t="s">
        <v>84</v>
      </c>
      <c r="C78" s="11">
        <v>7700000</v>
      </c>
      <c r="E78" s="11">
        <v>48162624616</v>
      </c>
      <c r="G78" s="11">
        <v>46767070350</v>
      </c>
      <c r="N78" s="7"/>
      <c r="O78" s="11">
        <v>7700000</v>
      </c>
      <c r="Q78" s="11">
        <v>5690</v>
      </c>
      <c r="S78" s="11">
        <v>48162624616</v>
      </c>
      <c r="U78" s="11">
        <v>43552312650</v>
      </c>
      <c r="W78" s="12">
        <v>1.335439044531506E-2</v>
      </c>
    </row>
    <row r="79" spans="1:23" ht="18.75" x14ac:dyDescent="0.45">
      <c r="A79" s="10" t="s">
        <v>85</v>
      </c>
      <c r="C79" s="11">
        <v>10500000</v>
      </c>
      <c r="E79" s="11">
        <v>80016783313</v>
      </c>
      <c r="G79" s="11">
        <v>120344663250</v>
      </c>
      <c r="N79" s="7"/>
      <c r="O79" s="11">
        <v>10500000</v>
      </c>
      <c r="Q79" s="11">
        <v>11160</v>
      </c>
      <c r="S79" s="11">
        <v>80016783313</v>
      </c>
      <c r="U79" s="11">
        <v>116482779000</v>
      </c>
      <c r="W79" s="12">
        <v>3.5716966936343519E-2</v>
      </c>
    </row>
    <row r="80" spans="1:23" ht="18.75" x14ac:dyDescent="0.45">
      <c r="A80" s="10" t="s">
        <v>86</v>
      </c>
      <c r="C80" s="11">
        <v>1999999</v>
      </c>
      <c r="E80" s="11">
        <v>6177984518</v>
      </c>
      <c r="G80" s="11">
        <v>11829189085</v>
      </c>
      <c r="N80" s="7"/>
      <c r="O80" s="11">
        <v>1999999</v>
      </c>
      <c r="Q80" s="11">
        <v>5830</v>
      </c>
      <c r="S80" s="11">
        <v>6177984518</v>
      </c>
      <c r="U80" s="11">
        <v>11590617205</v>
      </c>
      <c r="W80" s="12">
        <v>3.5540162677849519E-3</v>
      </c>
    </row>
    <row r="81" spans="1:23" ht="18.75" x14ac:dyDescent="0.45">
      <c r="A81" s="10" t="s">
        <v>87</v>
      </c>
      <c r="C81" s="11">
        <v>18635760</v>
      </c>
      <c r="E81" s="11">
        <v>50117025665</v>
      </c>
      <c r="G81" s="11">
        <v>87641194166</v>
      </c>
      <c r="N81" s="7"/>
      <c r="O81" s="11">
        <v>18635760</v>
      </c>
      <c r="Q81" s="11">
        <v>4720</v>
      </c>
      <c r="S81" s="11">
        <v>50117025665</v>
      </c>
      <c r="U81" s="11">
        <v>87437420516</v>
      </c>
      <c r="W81" s="12">
        <v>2.6810825466047104E-2</v>
      </c>
    </row>
    <row r="82" spans="1:23" ht="18.75" x14ac:dyDescent="0.45">
      <c r="A82" s="10" t="s">
        <v>88</v>
      </c>
      <c r="C82" s="11">
        <v>25703048</v>
      </c>
      <c r="E82" s="11">
        <v>50829222952</v>
      </c>
      <c r="G82" s="11">
        <v>47855365141</v>
      </c>
      <c r="N82" s="7"/>
      <c r="O82" s="11">
        <v>25703048</v>
      </c>
      <c r="Q82" s="11">
        <v>1737</v>
      </c>
      <c r="S82" s="11">
        <v>50829222952</v>
      </c>
      <c r="U82" s="11">
        <v>44380549519</v>
      </c>
      <c r="W82" s="12">
        <v>1.3608351667046674E-2</v>
      </c>
    </row>
    <row r="83" spans="1:23" ht="18.75" x14ac:dyDescent="0.45">
      <c r="A83" s="10" t="s">
        <v>89</v>
      </c>
      <c r="C83" s="11">
        <v>177678</v>
      </c>
      <c r="E83" s="11">
        <v>6687778985</v>
      </c>
      <c r="G83" s="11">
        <v>8841638044</v>
      </c>
      <c r="N83" s="7"/>
      <c r="O83" s="11">
        <v>177678</v>
      </c>
      <c r="Q83" s="11">
        <v>43570</v>
      </c>
      <c r="S83" s="11">
        <v>6687778985</v>
      </c>
      <c r="U83" s="11">
        <v>7695368949</v>
      </c>
      <c r="W83" s="12">
        <v>2.3596212304859039E-3</v>
      </c>
    </row>
    <row r="84" spans="1:23" ht="37.5" x14ac:dyDescent="0.45">
      <c r="A84" s="10" t="s">
        <v>90</v>
      </c>
      <c r="C84" s="11">
        <v>123</v>
      </c>
      <c r="E84" s="11">
        <v>1662161</v>
      </c>
      <c r="G84" s="11">
        <v>4706101</v>
      </c>
      <c r="N84" s="7"/>
      <c r="O84" s="11">
        <v>123</v>
      </c>
      <c r="Q84" s="11">
        <v>41690</v>
      </c>
      <c r="S84" s="11">
        <v>1662161</v>
      </c>
      <c r="U84" s="11">
        <v>5097359</v>
      </c>
      <c r="W84" s="12">
        <v>1.5629967316084816E-6</v>
      </c>
    </row>
    <row r="85" spans="1:23" ht="18.75" x14ac:dyDescent="0.45">
      <c r="A85" s="10" t="s">
        <v>91</v>
      </c>
      <c r="C85" s="11">
        <v>4260000</v>
      </c>
      <c r="E85" s="11">
        <v>15356237176</v>
      </c>
      <c r="G85" s="11">
        <v>17794011906</v>
      </c>
      <c r="N85" s="7"/>
      <c r="O85" s="11">
        <v>4260000</v>
      </c>
      <c r="Q85" s="11">
        <v>4023</v>
      </c>
      <c r="S85" s="11">
        <v>15356237176</v>
      </c>
      <c r="U85" s="11">
        <v>17036009019</v>
      </c>
      <c r="W85" s="12">
        <v>5.2237298601784995E-3</v>
      </c>
    </row>
    <row r="86" spans="1:23" ht="18.75" x14ac:dyDescent="0.45">
      <c r="A86" s="10" t="s">
        <v>92</v>
      </c>
      <c r="C86" s="11">
        <v>3009494</v>
      </c>
      <c r="E86" s="11">
        <v>29761393564</v>
      </c>
      <c r="G86" s="11">
        <v>31411668862</v>
      </c>
      <c r="N86" s="7"/>
      <c r="O86" s="11">
        <v>3009494</v>
      </c>
      <c r="Q86" s="11">
        <v>10710</v>
      </c>
      <c r="S86" s="11">
        <v>29761393564</v>
      </c>
      <c r="U86" s="11">
        <v>32039902240</v>
      </c>
      <c r="W86" s="12">
        <v>9.824354627989763E-3</v>
      </c>
    </row>
    <row r="87" spans="1:23" ht="18.75" x14ac:dyDescent="0.45">
      <c r="A87" s="10" t="s">
        <v>93</v>
      </c>
      <c r="C87" s="11">
        <v>4613772</v>
      </c>
      <c r="E87" s="11">
        <v>43269803786</v>
      </c>
      <c r="G87" s="11">
        <v>38112319670</v>
      </c>
      <c r="N87" s="7"/>
      <c r="O87" s="11">
        <v>4613772</v>
      </c>
      <c r="Q87" s="11">
        <v>7140</v>
      </c>
      <c r="S87" s="11">
        <v>43269803786</v>
      </c>
      <c r="U87" s="11">
        <v>32746325204</v>
      </c>
      <c r="W87" s="12">
        <v>1.0040964206374408E-2</v>
      </c>
    </row>
    <row r="88" spans="1:23" ht="18.75" x14ac:dyDescent="0.45">
      <c r="A88" s="10" t="s">
        <v>94</v>
      </c>
      <c r="C88" s="11">
        <v>400000</v>
      </c>
      <c r="E88" s="11">
        <v>1251159994</v>
      </c>
      <c r="G88" s="11">
        <v>1283119740</v>
      </c>
      <c r="N88" s="7"/>
      <c r="O88" s="11">
        <v>400000</v>
      </c>
      <c r="Q88" s="11">
        <v>3072</v>
      </c>
      <c r="S88" s="11">
        <v>1251159994</v>
      </c>
      <c r="U88" s="11">
        <v>1221488640</v>
      </c>
      <c r="W88" s="12">
        <v>3.7454351400732994E-4</v>
      </c>
    </row>
    <row r="89" spans="1:23" ht="18.75" x14ac:dyDescent="0.45">
      <c r="A89" s="10" t="s">
        <v>95</v>
      </c>
      <c r="H89" s="7"/>
      <c r="I89" s="11">
        <v>6744759</v>
      </c>
      <c r="J89" s="11">
        <v>47076364301</v>
      </c>
      <c r="L89" s="11">
        <v>0</v>
      </c>
      <c r="M89" s="11">
        <v>0</v>
      </c>
      <c r="O89" s="11">
        <v>6744759</v>
      </c>
      <c r="Q89" s="11">
        <v>6570</v>
      </c>
      <c r="S89" s="11">
        <v>47076364301</v>
      </c>
      <c r="U89" s="11">
        <v>44049403884</v>
      </c>
      <c r="W89" s="12">
        <v>1.3506812900561636E-2</v>
      </c>
    </row>
    <row r="90" spans="1:23" ht="18.75" x14ac:dyDescent="0.45">
      <c r="A90" s="10" t="s">
        <v>96</v>
      </c>
      <c r="C90" s="11">
        <v>407809</v>
      </c>
      <c r="E90" s="11">
        <v>15540146852</v>
      </c>
      <c r="G90" s="11">
        <v>13697875907</v>
      </c>
      <c r="N90" s="7"/>
      <c r="O90" s="11">
        <v>407809</v>
      </c>
      <c r="Q90" s="11">
        <v>33600</v>
      </c>
      <c r="S90" s="11">
        <v>15540146852</v>
      </c>
      <c r="U90" s="11">
        <v>13620853225</v>
      </c>
      <c r="W90" s="12">
        <v>4.1765449662058028E-3</v>
      </c>
    </row>
    <row r="91" spans="1:23" ht="18.75" x14ac:dyDescent="0.45">
      <c r="A91" s="10" t="s">
        <v>97</v>
      </c>
      <c r="C91" s="11">
        <v>5000000</v>
      </c>
      <c r="E91" s="11">
        <v>77116487411</v>
      </c>
      <c r="G91" s="11">
        <v>137675925000</v>
      </c>
      <c r="I91" s="11">
        <v>0</v>
      </c>
      <c r="J91" s="11">
        <v>0</v>
      </c>
      <c r="L91" s="11">
        <v>1500000</v>
      </c>
      <c r="M91" s="11">
        <v>43835120151</v>
      </c>
      <c r="O91" s="11">
        <v>3500000</v>
      </c>
      <c r="Q91" s="11">
        <v>31150</v>
      </c>
      <c r="S91" s="11">
        <v>53981541187</v>
      </c>
      <c r="U91" s="11">
        <v>108376301250</v>
      </c>
      <c r="W91" s="12">
        <v>3.3231287935098587E-2</v>
      </c>
    </row>
    <row r="92" spans="1:23" ht="18.75" x14ac:dyDescent="0.45">
      <c r="A92" s="10" t="s">
        <v>98</v>
      </c>
      <c r="C92" s="11">
        <v>50000</v>
      </c>
      <c r="E92" s="11">
        <v>10968169018</v>
      </c>
      <c r="G92" s="11">
        <v>13971869775</v>
      </c>
      <c r="N92" s="7"/>
      <c r="O92" s="11">
        <v>50000</v>
      </c>
      <c r="Q92" s="11">
        <v>267740</v>
      </c>
      <c r="S92" s="11">
        <v>10968169018</v>
      </c>
      <c r="U92" s="11">
        <v>13307347350</v>
      </c>
      <c r="W92" s="12">
        <v>4.080415056979269E-3</v>
      </c>
    </row>
    <row r="93" spans="1:23" ht="18.75" x14ac:dyDescent="0.45">
      <c r="A93" s="10" t="s">
        <v>99</v>
      </c>
      <c r="C93" s="11">
        <v>1947948</v>
      </c>
      <c r="E93" s="11">
        <v>67434598284</v>
      </c>
      <c r="G93" s="11">
        <v>61866628815</v>
      </c>
      <c r="N93" s="7"/>
      <c r="O93" s="11">
        <v>25140703</v>
      </c>
      <c r="Q93" s="11">
        <v>2541</v>
      </c>
      <c r="S93" s="11">
        <v>67434598284</v>
      </c>
      <c r="U93" s="11">
        <v>63502425291</v>
      </c>
      <c r="W93" s="12">
        <v>1.947166820681941E-2</v>
      </c>
    </row>
    <row r="94" spans="1:23" ht="37.5" x14ac:dyDescent="0.45">
      <c r="A94" s="10" t="s">
        <v>100</v>
      </c>
      <c r="C94" s="11">
        <v>450000</v>
      </c>
      <c r="E94" s="11">
        <v>2252043000</v>
      </c>
      <c r="G94" s="11">
        <v>8713842300</v>
      </c>
      <c r="N94" s="7"/>
      <c r="O94" s="11">
        <v>450000</v>
      </c>
      <c r="Q94" s="11">
        <v>19850</v>
      </c>
      <c r="S94" s="11">
        <v>2252043000</v>
      </c>
      <c r="U94" s="11">
        <v>8879351625</v>
      </c>
      <c r="W94" s="12">
        <v>2.7226643382734983E-3</v>
      </c>
    </row>
    <row r="95" spans="1:23" ht="18.75" x14ac:dyDescent="0.45">
      <c r="A95" s="10" t="s">
        <v>101</v>
      </c>
      <c r="C95" s="11">
        <v>3553700</v>
      </c>
      <c r="E95" s="11">
        <v>10398641645</v>
      </c>
      <c r="G95" s="11">
        <v>9802841471</v>
      </c>
      <c r="N95" s="7"/>
      <c r="O95" s="11">
        <v>3553700</v>
      </c>
      <c r="Q95" s="11">
        <v>2713</v>
      </c>
      <c r="S95" s="11">
        <v>10398641645</v>
      </c>
      <c r="U95" s="11">
        <v>9583823031</v>
      </c>
      <c r="W95" s="12">
        <v>2.9386755129013065E-3</v>
      </c>
    </row>
    <row r="96" spans="1:23" ht="37.5" x14ac:dyDescent="0.45">
      <c r="A96" s="10" t="s">
        <v>102</v>
      </c>
      <c r="C96" s="11">
        <v>21600000</v>
      </c>
      <c r="E96" s="11">
        <v>27959586333</v>
      </c>
      <c r="G96" s="11">
        <v>29544756480</v>
      </c>
      <c r="N96" s="7"/>
      <c r="O96" s="11">
        <v>21600000</v>
      </c>
      <c r="Q96" s="11">
        <v>1278</v>
      </c>
      <c r="S96" s="11">
        <v>27959586333</v>
      </c>
      <c r="U96" s="11">
        <v>27440551440</v>
      </c>
      <c r="W96" s="12">
        <v>8.4140615197506024E-3</v>
      </c>
    </row>
    <row r="97" spans="1:23" ht="18.75" x14ac:dyDescent="0.45">
      <c r="A97" s="13" t="s">
        <v>103</v>
      </c>
      <c r="C97" s="13">
        <f>SUM(C11:$C$96)</f>
        <v>549394603</v>
      </c>
      <c r="E97" s="13">
        <f>SUM(E11:$E$96)</f>
        <v>2430685680635</v>
      </c>
      <c r="G97" s="13">
        <f>SUM(G11:$G$96)</f>
        <v>3193050486849</v>
      </c>
      <c r="I97" s="13">
        <f>SUM(I11:$I$96)</f>
        <v>11394759</v>
      </c>
      <c r="J97" s="13">
        <f>SUM(J11:$J$96)</f>
        <v>78686540216</v>
      </c>
      <c r="L97" s="13">
        <f>SUM(L11:$L$96)</f>
        <v>4100000</v>
      </c>
      <c r="M97" s="13">
        <f>SUM(M11:$M$96)</f>
        <v>58928775429</v>
      </c>
      <c r="O97" s="13">
        <f>SUM(O11:$O$96)</f>
        <v>579882117</v>
      </c>
      <c r="Q97" s="13">
        <f>SUM(Q11:$Q$96)</f>
        <v>1557162</v>
      </c>
      <c r="S97" s="13">
        <f>SUM(S11:$S$96)</f>
        <v>2481087439616</v>
      </c>
      <c r="U97" s="13">
        <f>SUM(U11:$U$96)</f>
        <v>3111024496063</v>
      </c>
      <c r="W97" s="14">
        <f>SUM(W11:W96)</f>
        <v>0.95392949943301897</v>
      </c>
    </row>
    <row r="98" spans="1:23" ht="18.75" x14ac:dyDescent="0.45">
      <c r="C98" s="15"/>
      <c r="E98" s="15"/>
      <c r="G98" s="15"/>
      <c r="I98" s="15"/>
      <c r="J98" s="15"/>
      <c r="L98" s="15"/>
      <c r="M98" s="15"/>
      <c r="O98" s="15"/>
      <c r="Q98" s="15"/>
      <c r="S98" s="15"/>
      <c r="U98" s="15"/>
      <c r="W98" s="15"/>
    </row>
  </sheetData>
  <mergeCells count="19">
    <mergeCell ref="A1:W1"/>
    <mergeCell ref="A2:W2"/>
    <mergeCell ref="A3:W3"/>
    <mergeCell ref="A5:W5"/>
    <mergeCell ref="A6:W6"/>
    <mergeCell ref="C8:G8"/>
    <mergeCell ref="I8:M8"/>
    <mergeCell ref="O8:W8"/>
    <mergeCell ref="A9:A10"/>
    <mergeCell ref="C9:C10"/>
    <mergeCell ref="E9:E10"/>
    <mergeCell ref="G9:G10"/>
    <mergeCell ref="I9:J9"/>
    <mergeCell ref="L9:M9"/>
    <mergeCell ref="O9:O10"/>
    <mergeCell ref="Q9:Q10"/>
    <mergeCell ref="S9:S10"/>
    <mergeCell ref="U9:U10"/>
    <mergeCell ref="W9:W10"/>
  </mergeCells>
  <pageMargins left="0.7" right="0.7" top="0.75" bottom="0.75" header="0.3" footer="0.3"/>
  <pageSetup paperSize="9" scale="58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22"/>
  <sheetViews>
    <sheetView rightToLeft="1" view="pageBreakPreview" zoomScale="89" zoomScaleNormal="100" zoomScaleSheetLayoutView="89" workbookViewId="0">
      <selection activeCell="R13" sqref="R13"/>
    </sheetView>
  </sheetViews>
  <sheetFormatPr defaultRowHeight="18" x14ac:dyDescent="0.45"/>
  <cols>
    <col min="1" max="1" width="17" style="4" customWidth="1"/>
    <col min="2" max="2" width="1.42578125" style="4" customWidth="1"/>
    <col min="3" max="3" width="12.7109375" style="4" customWidth="1"/>
    <col min="4" max="4" width="1.42578125" style="4" customWidth="1"/>
    <col min="5" max="5" width="17" style="4" customWidth="1"/>
    <col min="6" max="6" width="1.42578125" style="4" customWidth="1"/>
    <col min="7" max="7" width="17" style="4" customWidth="1"/>
    <col min="8" max="8" width="1.42578125" style="4" customWidth="1"/>
    <col min="9" max="9" width="11.42578125" style="4" customWidth="1"/>
    <col min="10" max="10" width="17" style="4" customWidth="1"/>
    <col min="11" max="11" width="1.42578125" style="4" customWidth="1"/>
    <col min="12" max="12" width="11.42578125" style="4" customWidth="1"/>
    <col min="13" max="13" width="17" style="4" customWidth="1"/>
    <col min="14" max="14" width="1.42578125" style="4" customWidth="1"/>
    <col min="15" max="15" width="12.7109375" style="4" customWidth="1"/>
    <col min="16" max="16" width="1.42578125" style="4" customWidth="1"/>
    <col min="17" max="17" width="11.42578125" style="4" customWidth="1"/>
    <col min="18" max="18" width="1.42578125" style="4" customWidth="1"/>
    <col min="19" max="19" width="17" style="4" customWidth="1"/>
    <col min="20" max="20" width="1.42578125" style="4" customWidth="1"/>
    <col min="21" max="21" width="17" style="4" customWidth="1"/>
    <col min="22" max="22" width="1.42578125" style="4" customWidth="1"/>
    <col min="23" max="23" width="8.5703125" style="4" customWidth="1"/>
    <col min="24" max="16384" width="9.140625" style="4"/>
  </cols>
  <sheetData>
    <row r="1" spans="1:24" ht="20.100000000000001" customHeight="1" x14ac:dyDescent="0.45">
      <c r="A1" s="33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</row>
    <row r="2" spans="1:24" ht="20.100000000000001" customHeight="1" x14ac:dyDescent="0.45">
      <c r="A2" s="33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</row>
    <row r="3" spans="1:24" ht="20.100000000000001" customHeight="1" x14ac:dyDescent="0.45">
      <c r="A3" s="33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</row>
    <row r="5" spans="1:24" ht="21" x14ac:dyDescent="0.45">
      <c r="A5" s="34" t="s">
        <v>104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</row>
    <row r="7" spans="1:24" ht="21" x14ac:dyDescent="0.45">
      <c r="A7" s="27" t="s">
        <v>105</v>
      </c>
      <c r="B7" s="28"/>
      <c r="C7" s="28"/>
      <c r="D7" s="28"/>
      <c r="E7" s="28"/>
      <c r="F7" s="28"/>
      <c r="G7" s="28"/>
      <c r="I7" s="27" t="s">
        <v>5</v>
      </c>
      <c r="J7" s="28"/>
      <c r="K7" s="28"/>
      <c r="L7" s="28"/>
      <c r="M7" s="28"/>
      <c r="O7" s="27" t="s">
        <v>7</v>
      </c>
      <c r="P7" s="28"/>
      <c r="Q7" s="28"/>
      <c r="R7" s="28"/>
      <c r="S7" s="28"/>
      <c r="T7" s="28"/>
      <c r="U7" s="28"/>
      <c r="V7" s="28"/>
      <c r="W7" s="28"/>
    </row>
    <row r="8" spans="1:24" x14ac:dyDescent="0.45">
      <c r="A8" s="29"/>
      <c r="B8" s="31"/>
      <c r="C8" s="31"/>
      <c r="D8" s="31"/>
      <c r="E8" s="31"/>
      <c r="F8" s="31"/>
      <c r="G8" s="31"/>
      <c r="I8" s="29" t="s">
        <v>106</v>
      </c>
      <c r="J8" s="29" t="s">
        <v>107</v>
      </c>
      <c r="L8" s="29" t="s">
        <v>108</v>
      </c>
      <c r="M8" s="29" t="s">
        <v>109</v>
      </c>
      <c r="O8" s="29" t="s">
        <v>106</v>
      </c>
      <c r="Q8" s="29" t="s">
        <v>107</v>
      </c>
      <c r="S8" s="32" t="s">
        <v>108</v>
      </c>
      <c r="U8" s="29" t="s">
        <v>109</v>
      </c>
    </row>
    <row r="9" spans="1:24" x14ac:dyDescent="0.45">
      <c r="A9" s="31"/>
      <c r="B9" s="31"/>
      <c r="C9" s="31"/>
      <c r="D9" s="31"/>
      <c r="E9" s="31"/>
      <c r="F9" s="31"/>
      <c r="G9" s="31"/>
      <c r="I9" s="31"/>
      <c r="J9" s="31"/>
      <c r="L9" s="31"/>
      <c r="M9" s="31"/>
      <c r="O9" s="31"/>
      <c r="Q9" s="31"/>
      <c r="S9" s="31"/>
      <c r="U9" s="31"/>
    </row>
    <row r="10" spans="1:24" x14ac:dyDescent="0.45">
      <c r="A10" s="29" t="s">
        <v>110</v>
      </c>
      <c r="B10" s="31"/>
      <c r="C10" s="31"/>
      <c r="D10" s="31"/>
      <c r="E10" s="31"/>
      <c r="F10" s="31"/>
      <c r="G10" s="31"/>
      <c r="I10" s="35">
        <v>123</v>
      </c>
      <c r="J10" s="35">
        <v>17550</v>
      </c>
      <c r="L10" s="29" t="s">
        <v>111</v>
      </c>
      <c r="M10" s="36" t="s">
        <v>205</v>
      </c>
      <c r="O10" s="35">
        <v>123</v>
      </c>
      <c r="Q10" s="35">
        <v>17550</v>
      </c>
      <c r="S10" s="29" t="s">
        <v>111</v>
      </c>
      <c r="U10" s="36" t="s">
        <v>205</v>
      </c>
    </row>
    <row r="11" spans="1:24" x14ac:dyDescent="0.45">
      <c r="A11" s="31"/>
      <c r="B11" s="31"/>
      <c r="C11" s="31"/>
      <c r="D11" s="31"/>
      <c r="E11" s="31"/>
      <c r="F11" s="31"/>
      <c r="G11" s="31"/>
      <c r="I11" s="31"/>
      <c r="J11" s="31"/>
      <c r="L11" s="31"/>
      <c r="M11" s="31"/>
      <c r="O11" s="31"/>
      <c r="Q11" s="31"/>
      <c r="S11" s="31"/>
      <c r="U11" s="31"/>
    </row>
    <row r="13" spans="1:24" ht="21" x14ac:dyDescent="0.45">
      <c r="A13" s="34" t="s">
        <v>112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</row>
    <row r="15" spans="1:24" ht="21" x14ac:dyDescent="0.45">
      <c r="A15" s="27" t="s">
        <v>105</v>
      </c>
      <c r="B15" s="28"/>
      <c r="C15" s="28"/>
      <c r="D15" s="28"/>
      <c r="E15" s="28"/>
      <c r="F15" s="28"/>
      <c r="G15" s="28"/>
      <c r="I15" s="27" t="s">
        <v>5</v>
      </c>
      <c r="J15" s="28"/>
      <c r="K15" s="28"/>
      <c r="L15" s="28"/>
      <c r="M15" s="28"/>
      <c r="N15" s="28"/>
      <c r="O15" s="28"/>
      <c r="Q15" s="27" t="s">
        <v>7</v>
      </c>
      <c r="R15" s="28"/>
      <c r="S15" s="28"/>
      <c r="T15" s="28"/>
      <c r="U15" s="28"/>
      <c r="V15" s="28"/>
      <c r="W15" s="28"/>
      <c r="X15" s="28"/>
    </row>
    <row r="16" spans="1:24" x14ac:dyDescent="0.45">
      <c r="A16" s="29"/>
      <c r="B16" s="31"/>
      <c r="C16" s="31"/>
      <c r="D16" s="31"/>
      <c r="E16" s="31"/>
      <c r="F16" s="31"/>
      <c r="G16" s="31"/>
      <c r="I16" s="29" t="s">
        <v>113</v>
      </c>
      <c r="J16" s="29" t="s">
        <v>114</v>
      </c>
      <c r="L16" s="29" t="s">
        <v>115</v>
      </c>
      <c r="M16" s="29" t="s">
        <v>107</v>
      </c>
      <c r="O16" s="29" t="s">
        <v>108</v>
      </c>
      <c r="Q16" s="29" t="s">
        <v>113</v>
      </c>
      <c r="S16" s="29" t="s">
        <v>114</v>
      </c>
      <c r="U16" s="29" t="s">
        <v>115</v>
      </c>
      <c r="W16" s="29" t="s">
        <v>107</v>
      </c>
      <c r="X16" s="29" t="s">
        <v>108</v>
      </c>
    </row>
    <row r="17" spans="1:24" x14ac:dyDescent="0.45">
      <c r="A17" s="31"/>
      <c r="B17" s="31"/>
      <c r="C17" s="31"/>
      <c r="D17" s="31"/>
      <c r="E17" s="31"/>
      <c r="F17" s="31"/>
      <c r="G17" s="31"/>
      <c r="I17" s="31"/>
      <c r="J17" s="31"/>
      <c r="L17" s="31"/>
      <c r="M17" s="31"/>
      <c r="O17" s="31"/>
      <c r="Q17" s="31"/>
      <c r="S17" s="31"/>
      <c r="U17" s="31"/>
      <c r="W17" s="31"/>
      <c r="X17" s="31"/>
    </row>
    <row r="19" spans="1:24" ht="21" x14ac:dyDescent="0.45">
      <c r="A19" s="34" t="s">
        <v>116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</row>
    <row r="20" spans="1:24" ht="21" x14ac:dyDescent="0.45">
      <c r="A20" s="27" t="s">
        <v>105</v>
      </c>
      <c r="B20" s="28"/>
      <c r="C20" s="28"/>
      <c r="D20" s="28"/>
      <c r="E20" s="28"/>
      <c r="F20" s="28"/>
      <c r="G20" s="28"/>
      <c r="I20" s="27" t="s">
        <v>5</v>
      </c>
      <c r="J20" s="28"/>
      <c r="K20" s="28"/>
      <c r="L20" s="28"/>
      <c r="M20" s="28"/>
      <c r="O20" s="27" t="s">
        <v>7</v>
      </c>
      <c r="P20" s="28"/>
      <c r="Q20" s="28"/>
      <c r="R20" s="28"/>
      <c r="S20" s="28"/>
      <c r="T20" s="28"/>
      <c r="U20" s="28"/>
      <c r="V20" s="28"/>
      <c r="W20" s="28"/>
    </row>
    <row r="21" spans="1:24" x14ac:dyDescent="0.45">
      <c r="A21" s="29"/>
      <c r="B21" s="31"/>
      <c r="C21" s="31"/>
      <c r="D21" s="31"/>
      <c r="E21" s="31"/>
      <c r="F21" s="31"/>
      <c r="G21" s="31"/>
      <c r="I21" s="29" t="s">
        <v>114</v>
      </c>
      <c r="J21" s="29" t="s">
        <v>115</v>
      </c>
      <c r="L21" s="29" t="s">
        <v>107</v>
      </c>
      <c r="M21" s="29" t="s">
        <v>108</v>
      </c>
      <c r="O21" s="29" t="s">
        <v>114</v>
      </c>
      <c r="Q21" s="29" t="s">
        <v>115</v>
      </c>
      <c r="S21" s="29" t="s">
        <v>107</v>
      </c>
      <c r="U21" s="29" t="s">
        <v>108</v>
      </c>
    </row>
    <row r="22" spans="1:24" x14ac:dyDescent="0.45">
      <c r="A22" s="31"/>
      <c r="B22" s="31"/>
      <c r="C22" s="31"/>
      <c r="D22" s="31"/>
      <c r="E22" s="31"/>
      <c r="F22" s="31"/>
      <c r="G22" s="31"/>
      <c r="I22" s="31"/>
      <c r="J22" s="31"/>
      <c r="L22" s="31"/>
      <c r="M22" s="31"/>
      <c r="O22" s="31"/>
      <c r="Q22" s="31"/>
      <c r="S22" s="31"/>
      <c r="U22" s="31"/>
    </row>
  </sheetData>
  <mergeCells count="53">
    <mergeCell ref="L8:L9"/>
    <mergeCell ref="M8:M9"/>
    <mergeCell ref="A1:W1"/>
    <mergeCell ref="A2:W2"/>
    <mergeCell ref="A3:W3"/>
    <mergeCell ref="A5:W5"/>
    <mergeCell ref="A7:G7"/>
    <mergeCell ref="I7:M7"/>
    <mergeCell ref="O7:W7"/>
    <mergeCell ref="O8:O9"/>
    <mergeCell ref="Q8:Q9"/>
    <mergeCell ref="S8:S9"/>
    <mergeCell ref="U8:U9"/>
    <mergeCell ref="A10:G11"/>
    <mergeCell ref="I10:I11"/>
    <mergeCell ref="J10:J11"/>
    <mergeCell ref="L10:L11"/>
    <mergeCell ref="M10:M11"/>
    <mergeCell ref="O10:O11"/>
    <mergeCell ref="Q10:Q11"/>
    <mergeCell ref="S10:S11"/>
    <mergeCell ref="U10:U11"/>
    <mergeCell ref="A8:G9"/>
    <mergeCell ref="I8:I9"/>
    <mergeCell ref="J8:J9"/>
    <mergeCell ref="A13:W13"/>
    <mergeCell ref="A15:G15"/>
    <mergeCell ref="I15:O15"/>
    <mergeCell ref="Q15:X15"/>
    <mergeCell ref="A16:G17"/>
    <mergeCell ref="I16:I17"/>
    <mergeCell ref="J16:J17"/>
    <mergeCell ref="L16:L17"/>
    <mergeCell ref="M16:M17"/>
    <mergeCell ref="O16:O17"/>
    <mergeCell ref="Q16:Q17"/>
    <mergeCell ref="S16:S17"/>
    <mergeCell ref="U16:U17"/>
    <mergeCell ref="W16:W17"/>
    <mergeCell ref="X16:X17"/>
    <mergeCell ref="A19:W19"/>
    <mergeCell ref="A20:G20"/>
    <mergeCell ref="I20:M20"/>
    <mergeCell ref="O20:W20"/>
    <mergeCell ref="A21:G22"/>
    <mergeCell ref="I21:I22"/>
    <mergeCell ref="J21:J22"/>
    <mergeCell ref="L21:L22"/>
    <mergeCell ref="M21:M22"/>
    <mergeCell ref="O21:O22"/>
    <mergeCell ref="Q21:Q22"/>
    <mergeCell ref="S21:S22"/>
    <mergeCell ref="U21:U22"/>
  </mergeCells>
  <pageMargins left="0.7" right="0.7" top="0.75" bottom="0.75" header="0.3" footer="0.3"/>
  <pageSetup paperSize="9" scale="62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I11"/>
  <sheetViews>
    <sheetView rightToLeft="1" view="pageBreakPreview" zoomScale="60" zoomScaleNormal="100" workbookViewId="0">
      <selection activeCell="R13" sqref="R13"/>
    </sheetView>
  </sheetViews>
  <sheetFormatPr defaultRowHeight="18" x14ac:dyDescent="0.45"/>
  <cols>
    <col min="1" max="1" width="17" style="4" customWidth="1"/>
    <col min="2" max="2" width="1.42578125" style="4" customWidth="1"/>
    <col min="3" max="3" width="8.5703125" style="4" customWidth="1"/>
    <col min="4" max="4" width="1.42578125" style="4" customWidth="1"/>
    <col min="5" max="5" width="11.42578125" style="4" customWidth="1"/>
    <col min="6" max="6" width="1.42578125" style="4" customWidth="1"/>
    <col min="7" max="7" width="11.42578125" style="4" customWidth="1"/>
    <col min="8" max="8" width="1.42578125" style="4" customWidth="1"/>
    <col min="9" max="9" width="11.42578125" style="4" customWidth="1"/>
    <col min="10" max="10" width="1.42578125" style="4" customWidth="1"/>
    <col min="11" max="11" width="7.140625" style="4" customWidth="1"/>
    <col min="12" max="12" width="1.42578125" style="4" customWidth="1"/>
    <col min="13" max="13" width="7.140625" style="4" customWidth="1"/>
    <col min="14" max="14" width="1.42578125" style="4" customWidth="1"/>
    <col min="15" max="15" width="11.42578125" style="4" customWidth="1"/>
    <col min="16" max="16" width="1.42578125" style="4" customWidth="1"/>
    <col min="17" max="17" width="18.42578125" style="4" customWidth="1"/>
    <col min="18" max="18" width="1.42578125" style="4" customWidth="1"/>
    <col min="19" max="19" width="18.42578125" style="4" customWidth="1"/>
    <col min="20" max="20" width="1.42578125" style="4" customWidth="1"/>
    <col min="21" max="21" width="11.42578125" style="4" customWidth="1"/>
    <col min="22" max="22" width="18.42578125" style="4" customWidth="1"/>
    <col min="23" max="23" width="1.42578125" style="4" customWidth="1"/>
    <col min="24" max="24" width="11.42578125" style="4" customWidth="1"/>
    <col min="25" max="25" width="18.42578125" style="4" customWidth="1"/>
    <col min="26" max="26" width="1.42578125" style="4" customWidth="1"/>
    <col min="27" max="27" width="11.42578125" style="4" customWidth="1"/>
    <col min="28" max="28" width="1.42578125" style="4" customWidth="1"/>
    <col min="29" max="29" width="11.42578125" style="4" customWidth="1"/>
    <col min="30" max="30" width="1.42578125" style="4" customWidth="1"/>
    <col min="31" max="31" width="18.42578125" style="4" customWidth="1"/>
    <col min="32" max="32" width="1.42578125" style="4" customWidth="1"/>
    <col min="33" max="33" width="18.42578125" style="4" customWidth="1"/>
    <col min="34" max="34" width="1.42578125" style="4" customWidth="1"/>
    <col min="35" max="35" width="8.5703125" style="4" customWidth="1"/>
    <col min="36" max="16384" width="9.140625" style="4"/>
  </cols>
  <sheetData>
    <row r="1" spans="1:35" ht="20.100000000000001" customHeight="1" x14ac:dyDescent="0.45">
      <c r="A1" s="33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</row>
    <row r="2" spans="1:35" ht="20.100000000000001" customHeight="1" x14ac:dyDescent="0.45">
      <c r="A2" s="33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</row>
    <row r="3" spans="1:35" ht="20.100000000000001" customHeight="1" x14ac:dyDescent="0.45">
      <c r="A3" s="33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</row>
    <row r="5" spans="1:35" ht="21" x14ac:dyDescent="0.45">
      <c r="A5" s="34" t="s">
        <v>117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7" spans="1:35" ht="21" x14ac:dyDescent="0.45">
      <c r="C7" s="27" t="s">
        <v>118</v>
      </c>
      <c r="D7" s="28"/>
      <c r="E7" s="28"/>
      <c r="F7" s="28"/>
      <c r="G7" s="28"/>
      <c r="H7" s="28"/>
      <c r="I7" s="28"/>
      <c r="J7" s="28"/>
      <c r="K7" s="28"/>
      <c r="L7" s="28"/>
      <c r="M7" s="28"/>
      <c r="O7" s="27" t="s">
        <v>5</v>
      </c>
      <c r="P7" s="28"/>
      <c r="Q7" s="28"/>
      <c r="R7" s="28"/>
      <c r="S7" s="28"/>
      <c r="U7" s="27" t="s">
        <v>6</v>
      </c>
      <c r="V7" s="28"/>
      <c r="W7" s="28"/>
      <c r="X7" s="28"/>
      <c r="Y7" s="28"/>
      <c r="AA7" s="27" t="s">
        <v>7</v>
      </c>
      <c r="AB7" s="28"/>
      <c r="AC7" s="28"/>
      <c r="AD7" s="28"/>
      <c r="AE7" s="28"/>
      <c r="AF7" s="28"/>
      <c r="AG7" s="28"/>
      <c r="AH7" s="28"/>
      <c r="AI7" s="28"/>
    </row>
    <row r="8" spans="1:35" ht="18.75" x14ac:dyDescent="0.45">
      <c r="A8" s="29" t="s">
        <v>119</v>
      </c>
      <c r="C8" s="32" t="s">
        <v>120</v>
      </c>
      <c r="E8" s="32" t="s">
        <v>121</v>
      </c>
      <c r="G8" s="32" t="s">
        <v>122</v>
      </c>
      <c r="I8" s="32" t="s">
        <v>123</v>
      </c>
      <c r="K8" s="32" t="s">
        <v>124</v>
      </c>
      <c r="M8" s="32" t="s">
        <v>125</v>
      </c>
      <c r="O8" s="29" t="s">
        <v>9</v>
      </c>
      <c r="Q8" s="29" t="s">
        <v>10</v>
      </c>
      <c r="S8" s="29" t="s">
        <v>11</v>
      </c>
      <c r="U8" s="29" t="s">
        <v>12</v>
      </c>
      <c r="V8" s="31"/>
      <c r="X8" s="29" t="s">
        <v>13</v>
      </c>
      <c r="Y8" s="31"/>
      <c r="AA8" s="29" t="s">
        <v>9</v>
      </c>
      <c r="AC8" s="32" t="s">
        <v>126</v>
      </c>
      <c r="AE8" s="29" t="s">
        <v>10</v>
      </c>
      <c r="AG8" s="29" t="s">
        <v>11</v>
      </c>
      <c r="AI8" s="32" t="s">
        <v>15</v>
      </c>
    </row>
    <row r="9" spans="1:35" ht="18.75" x14ac:dyDescent="0.45">
      <c r="A9" s="30"/>
      <c r="C9" s="30"/>
      <c r="E9" s="30"/>
      <c r="G9" s="30"/>
      <c r="I9" s="30"/>
      <c r="K9" s="30"/>
      <c r="M9" s="30"/>
      <c r="O9" s="30"/>
      <c r="Q9" s="30"/>
      <c r="S9" s="30"/>
      <c r="U9" s="9" t="s">
        <v>9</v>
      </c>
      <c r="V9" s="9" t="s">
        <v>10</v>
      </c>
      <c r="X9" s="9" t="s">
        <v>9</v>
      </c>
      <c r="Y9" s="9" t="s">
        <v>16</v>
      </c>
      <c r="AA9" s="30"/>
      <c r="AC9" s="30"/>
      <c r="AE9" s="30"/>
      <c r="AG9" s="30"/>
      <c r="AI9" s="30"/>
    </row>
    <row r="10" spans="1:35" ht="18.75" x14ac:dyDescent="0.45">
      <c r="A10" s="13" t="s">
        <v>103</v>
      </c>
      <c r="O10" s="13">
        <f>SUM($O$9)</f>
        <v>0</v>
      </c>
      <c r="Q10" s="13">
        <f>SUM($Q$9)</f>
        <v>0</v>
      </c>
      <c r="S10" s="13">
        <f>SUM($S$9)</f>
        <v>0</v>
      </c>
      <c r="U10" s="13">
        <f>SUM($U$9)</f>
        <v>0</v>
      </c>
      <c r="V10" s="13">
        <f>SUM($V$9)</f>
        <v>0</v>
      </c>
      <c r="X10" s="13">
        <f>SUM($X$9)</f>
        <v>0</v>
      </c>
      <c r="Y10" s="13">
        <f>SUM($Y$9)</f>
        <v>0</v>
      </c>
      <c r="AA10" s="13">
        <f>SUM($AA$9)</f>
        <v>0</v>
      </c>
      <c r="AC10" s="13">
        <f>SUM($AC$9)</f>
        <v>0</v>
      </c>
      <c r="AE10" s="13">
        <f>SUM($AE$9)</f>
        <v>0</v>
      </c>
      <c r="AG10" s="13">
        <f>SUM($AG$9)</f>
        <v>0</v>
      </c>
      <c r="AI10" s="14">
        <f>SUM($AI$9)</f>
        <v>0</v>
      </c>
    </row>
    <row r="11" spans="1:35" ht="18.75" x14ac:dyDescent="0.45">
      <c r="O11" s="15"/>
      <c r="Q11" s="15"/>
      <c r="S11" s="15"/>
      <c r="U11" s="15"/>
      <c r="V11" s="15"/>
      <c r="X11" s="15"/>
      <c r="Y11" s="15"/>
      <c r="AA11" s="15"/>
      <c r="AC11" s="15"/>
      <c r="AE11" s="15"/>
      <c r="AG11" s="15"/>
      <c r="AI11" s="15"/>
    </row>
  </sheetData>
  <mergeCells count="25">
    <mergeCell ref="A1:AI1"/>
    <mergeCell ref="A2:AI2"/>
    <mergeCell ref="A3:AI3"/>
    <mergeCell ref="A5:AI5"/>
    <mergeCell ref="C7:M7"/>
    <mergeCell ref="O7:S7"/>
    <mergeCell ref="U7:Y7"/>
    <mergeCell ref="AA7:AI7"/>
    <mergeCell ref="A8:A9"/>
    <mergeCell ref="C8:C9"/>
    <mergeCell ref="E8:E9"/>
    <mergeCell ref="G8:G9"/>
    <mergeCell ref="I8:I9"/>
    <mergeCell ref="K8:K9"/>
    <mergeCell ref="M8:M9"/>
    <mergeCell ref="O8:O9"/>
    <mergeCell ref="Q8:Q9"/>
    <mergeCell ref="S8:S9"/>
    <mergeCell ref="AG8:AG9"/>
    <mergeCell ref="AI8:AI9"/>
    <mergeCell ref="U8:V8"/>
    <mergeCell ref="X8:Y8"/>
    <mergeCell ref="AA8:AA9"/>
    <mergeCell ref="AC8:AC9"/>
    <mergeCell ref="AE8:AE9"/>
  </mergeCells>
  <pageMargins left="0.7" right="0.7" top="0.75" bottom="0.75" header="0.3" footer="0.3"/>
  <pageSetup paperSize="9" scale="48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11"/>
  <sheetViews>
    <sheetView rightToLeft="1" view="pageBreakPreview" zoomScale="60" zoomScaleNormal="100" workbookViewId="0">
      <selection activeCell="R13" sqref="R13"/>
    </sheetView>
  </sheetViews>
  <sheetFormatPr defaultRowHeight="18" x14ac:dyDescent="0.45"/>
  <cols>
    <col min="1" max="1" width="28.42578125" style="4" customWidth="1"/>
    <col min="2" max="2" width="1.42578125" style="4" customWidth="1"/>
    <col min="3" max="3" width="11.42578125" style="4" customWidth="1"/>
    <col min="4" max="4" width="1.42578125" style="4" customWidth="1"/>
    <col min="5" max="5" width="11.42578125" style="4" customWidth="1"/>
    <col min="6" max="6" width="1.42578125" style="4" customWidth="1"/>
    <col min="7" max="7" width="14.140625" style="4" customWidth="1"/>
    <col min="8" max="8" width="1.42578125" style="4" customWidth="1"/>
    <col min="9" max="9" width="8.5703125" style="4" customWidth="1"/>
    <col min="10" max="10" width="1.42578125" style="4" customWidth="1"/>
    <col min="11" max="11" width="21.28515625" style="4" customWidth="1"/>
    <col min="12" max="12" width="1.42578125" style="4" customWidth="1"/>
    <col min="13" max="13" width="28.42578125" style="4" customWidth="1"/>
    <col min="14" max="16384" width="9.140625" style="4"/>
  </cols>
  <sheetData>
    <row r="1" spans="1:13" ht="20.100000000000001" customHeight="1" x14ac:dyDescent="0.45">
      <c r="A1" s="33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ht="20.100000000000001" customHeight="1" x14ac:dyDescent="0.45">
      <c r="A2" s="33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</row>
    <row r="3" spans="1:13" ht="20.100000000000001" customHeight="1" x14ac:dyDescent="0.45">
      <c r="A3" s="33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</row>
    <row r="5" spans="1:13" ht="21" x14ac:dyDescent="0.45">
      <c r="A5" s="34" t="s">
        <v>127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</row>
    <row r="6" spans="1:13" ht="21" x14ac:dyDescent="0.45">
      <c r="A6" s="34" t="s">
        <v>128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</row>
    <row r="8" spans="1:13" ht="21" x14ac:dyDescent="0.45">
      <c r="C8" s="27" t="s">
        <v>7</v>
      </c>
      <c r="D8" s="28"/>
      <c r="E8" s="28"/>
      <c r="F8" s="28"/>
      <c r="G8" s="28"/>
      <c r="H8" s="28"/>
      <c r="I8" s="28"/>
      <c r="J8" s="28"/>
      <c r="K8" s="28"/>
      <c r="L8" s="28"/>
      <c r="M8" s="28"/>
    </row>
    <row r="9" spans="1:13" ht="42" x14ac:dyDescent="0.45">
      <c r="A9" s="6" t="s">
        <v>129</v>
      </c>
      <c r="C9" s="6" t="s">
        <v>9</v>
      </c>
      <c r="E9" s="6" t="s">
        <v>130</v>
      </c>
      <c r="G9" s="6" t="s">
        <v>131</v>
      </c>
      <c r="I9" s="6" t="s">
        <v>132</v>
      </c>
      <c r="K9" s="16" t="s">
        <v>133</v>
      </c>
      <c r="M9" s="6" t="s">
        <v>134</v>
      </c>
    </row>
    <row r="10" spans="1:13" ht="18.75" x14ac:dyDescent="0.45">
      <c r="A10" s="13" t="s">
        <v>103</v>
      </c>
      <c r="K10" s="13">
        <f>SUM($K$9)</f>
        <v>0</v>
      </c>
    </row>
    <row r="11" spans="1:13" ht="18.75" x14ac:dyDescent="0.45">
      <c r="K11" s="15"/>
    </row>
  </sheetData>
  <mergeCells count="6">
    <mergeCell ref="C8:M8"/>
    <mergeCell ref="A1:M1"/>
    <mergeCell ref="A2:M2"/>
    <mergeCell ref="A3:M3"/>
    <mergeCell ref="A5:M5"/>
    <mergeCell ref="A6:M6"/>
  </mergeCells>
  <pageMargins left="0.7" right="0.7" top="0.75" bottom="0.75" header="0.3" footer="0.3"/>
  <pageSetup paperSize="9" scale="9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17"/>
  <sheetViews>
    <sheetView rightToLeft="1" view="pageBreakPreview" zoomScale="87" zoomScaleNormal="100" zoomScaleSheetLayoutView="87" workbookViewId="0">
      <selection activeCell="R13" sqref="R13"/>
    </sheetView>
  </sheetViews>
  <sheetFormatPr defaultRowHeight="18" x14ac:dyDescent="0.45"/>
  <cols>
    <col min="1" max="1" width="21.28515625" style="4" customWidth="1"/>
    <col min="2" max="2" width="1.42578125" style="4" customWidth="1"/>
    <col min="3" max="3" width="18.42578125" style="4" customWidth="1"/>
    <col min="4" max="4" width="1.42578125" style="4" customWidth="1"/>
    <col min="5" max="5" width="18.42578125" style="4" customWidth="1"/>
    <col min="6" max="6" width="1.42578125" style="4" customWidth="1"/>
    <col min="7" max="7" width="18.42578125" style="4" customWidth="1"/>
    <col min="8" max="8" width="1.42578125" style="4" customWidth="1"/>
    <col min="9" max="9" width="18.42578125" style="4" customWidth="1"/>
    <col min="10" max="10" width="1.42578125" style="4" customWidth="1"/>
    <col min="11" max="11" width="10.7109375" style="4" customWidth="1"/>
    <col min="12" max="16384" width="9.140625" style="4"/>
  </cols>
  <sheetData>
    <row r="1" spans="1:15" ht="20.100000000000001" customHeight="1" x14ac:dyDescent="0.45">
      <c r="A1" s="33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5" ht="20.100000000000001" customHeight="1" x14ac:dyDescent="0.45">
      <c r="A2" s="33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spans="1:15" ht="20.100000000000001" customHeight="1" x14ac:dyDescent="0.45">
      <c r="A3" s="33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</row>
    <row r="5" spans="1:15" ht="19.5" x14ac:dyDescent="0.5">
      <c r="A5" s="37" t="s">
        <v>213</v>
      </c>
      <c r="B5" s="38"/>
      <c r="C5" s="38"/>
      <c r="D5" s="38"/>
      <c r="E5" s="38"/>
      <c r="F5" s="38"/>
      <c r="G5" s="38"/>
      <c r="H5" s="38"/>
      <c r="I5" s="38"/>
      <c r="J5" s="38"/>
      <c r="K5" s="38"/>
    </row>
    <row r="7" spans="1:15" ht="21" x14ac:dyDescent="0.45">
      <c r="C7" s="6" t="s">
        <v>5</v>
      </c>
      <c r="E7" s="27" t="s">
        <v>6</v>
      </c>
      <c r="F7" s="28"/>
      <c r="G7" s="28"/>
      <c r="I7" s="27" t="s">
        <v>7</v>
      </c>
      <c r="J7" s="28"/>
      <c r="K7" s="28"/>
      <c r="O7" s="18"/>
    </row>
    <row r="8" spans="1:15" ht="63" x14ac:dyDescent="0.45">
      <c r="A8" s="6" t="s">
        <v>135</v>
      </c>
      <c r="C8" s="6" t="s">
        <v>136</v>
      </c>
      <c r="E8" s="6" t="s">
        <v>137</v>
      </c>
      <c r="G8" s="6" t="s">
        <v>138</v>
      </c>
      <c r="I8" s="6" t="s">
        <v>136</v>
      </c>
      <c r="K8" s="16" t="s">
        <v>15</v>
      </c>
    </row>
    <row r="9" spans="1:15" ht="18.75" x14ac:dyDescent="0.45">
      <c r="A9" s="19" t="s">
        <v>206</v>
      </c>
      <c r="C9" s="11">
        <v>8035441</v>
      </c>
      <c r="E9" s="11">
        <v>34123</v>
      </c>
      <c r="G9" s="11">
        <v>0</v>
      </c>
      <c r="I9" s="11">
        <v>8069564</v>
      </c>
      <c r="K9" s="12">
        <v>2.4743601848536597E-6</v>
      </c>
    </row>
    <row r="10" spans="1:15" ht="18.75" x14ac:dyDescent="0.45">
      <c r="A10" s="19" t="s">
        <v>207</v>
      </c>
      <c r="C10" s="11">
        <v>1355672634</v>
      </c>
      <c r="E10" s="11">
        <v>75314630311</v>
      </c>
      <c r="G10" s="11">
        <v>76080774069</v>
      </c>
      <c r="I10" s="11">
        <v>589528876</v>
      </c>
      <c r="K10" s="12">
        <v>1.8076649229077681E-4</v>
      </c>
    </row>
    <row r="11" spans="1:15" ht="18.75" x14ac:dyDescent="0.45">
      <c r="A11" s="19" t="s">
        <v>208</v>
      </c>
      <c r="C11" s="11">
        <v>132672765405</v>
      </c>
      <c r="E11" s="11">
        <v>59473225352</v>
      </c>
      <c r="G11" s="11">
        <v>137903470000</v>
      </c>
      <c r="I11" s="11">
        <v>54242520757</v>
      </c>
      <c r="K11" s="12">
        <v>1.6632315412235282E-2</v>
      </c>
    </row>
    <row r="12" spans="1:15" ht="18.75" x14ac:dyDescent="0.45">
      <c r="A12" s="19" t="s">
        <v>209</v>
      </c>
      <c r="C12" s="11">
        <v>771889158</v>
      </c>
      <c r="E12" s="11">
        <v>3057974</v>
      </c>
      <c r="G12" s="11">
        <v>770030000</v>
      </c>
      <c r="I12" s="11">
        <v>4917132</v>
      </c>
      <c r="K12" s="12">
        <v>1.5077339549534331E-6</v>
      </c>
    </row>
    <row r="13" spans="1:15" ht="18.75" x14ac:dyDescent="0.45">
      <c r="A13" s="19" t="s">
        <v>210</v>
      </c>
      <c r="C13" s="11">
        <v>15914316</v>
      </c>
      <c r="H13" s="7"/>
      <c r="I13" s="11">
        <v>15914316</v>
      </c>
      <c r="K13" s="12">
        <v>4.8797865509932816E-6</v>
      </c>
    </row>
    <row r="14" spans="1:15" ht="18.75" x14ac:dyDescent="0.45">
      <c r="A14" s="19" t="s">
        <v>211</v>
      </c>
      <c r="C14" s="11">
        <v>9692229</v>
      </c>
      <c r="E14" s="11">
        <v>40984</v>
      </c>
      <c r="G14" s="11">
        <v>0</v>
      </c>
      <c r="I14" s="11">
        <v>9733213</v>
      </c>
      <c r="K14" s="12">
        <v>2.9844827698125998E-6</v>
      </c>
    </row>
    <row r="15" spans="1:15" ht="18.75" x14ac:dyDescent="0.45">
      <c r="A15" s="19" t="s">
        <v>212</v>
      </c>
      <c r="C15" s="11">
        <v>2795197282</v>
      </c>
      <c r="E15" s="11">
        <v>152565905300</v>
      </c>
      <c r="G15" s="11">
        <v>153232888838</v>
      </c>
      <c r="I15" s="11">
        <v>2128213744</v>
      </c>
      <c r="K15" s="12">
        <v>6.5257148378920337E-4</v>
      </c>
    </row>
    <row r="16" spans="1:15" ht="19.5" thickBot="1" x14ac:dyDescent="0.5">
      <c r="A16" s="13" t="s">
        <v>103</v>
      </c>
      <c r="C16" s="13">
        <f>SUM(C9:$C$15)</f>
        <v>137629166465</v>
      </c>
      <c r="E16" s="13">
        <f>SUM(E9:$E$15)</f>
        <v>287356894044</v>
      </c>
      <c r="G16" s="13">
        <f>SUM(G9:$G$15)</f>
        <v>367987162907</v>
      </c>
      <c r="I16" s="13">
        <f>SUM(I9:$I$15)</f>
        <v>56998897602</v>
      </c>
      <c r="K16" s="14">
        <f>SUM(K9:$K$15)</f>
        <v>1.7477499751775875E-2</v>
      </c>
    </row>
    <row r="17" spans="3:11" ht="19.5" thickTop="1" x14ac:dyDescent="0.45">
      <c r="C17" s="15"/>
      <c r="E17" s="15"/>
      <c r="G17" s="15"/>
      <c r="I17" s="15"/>
      <c r="K17" s="15"/>
    </row>
  </sheetData>
  <mergeCells count="6">
    <mergeCell ref="A1:K1"/>
    <mergeCell ref="A2:K2"/>
    <mergeCell ref="A3:K3"/>
    <mergeCell ref="A5:K5"/>
    <mergeCell ref="E7:G7"/>
    <mergeCell ref="I7:K7"/>
  </mergeCells>
  <pageMargins left="0.7" right="0.7" top="0.75" bottom="0.75" header="0.3" footer="0.3"/>
  <pageSetup paperSize="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L14"/>
  <sheetViews>
    <sheetView rightToLeft="1" view="pageBreakPreview" zoomScale="112" zoomScaleNormal="100" zoomScaleSheetLayoutView="112" workbookViewId="0">
      <selection activeCell="R13" sqref="R13"/>
    </sheetView>
  </sheetViews>
  <sheetFormatPr defaultRowHeight="18" x14ac:dyDescent="0.45"/>
  <cols>
    <col min="1" max="1" width="57.5703125" style="4" bestFit="1" customWidth="1"/>
    <col min="2" max="2" width="1.42578125" style="4" customWidth="1"/>
    <col min="3" max="3" width="11.42578125" style="4" customWidth="1"/>
    <col min="4" max="4" width="1.42578125" style="4" customWidth="1"/>
    <col min="5" max="5" width="21.28515625" style="4" customWidth="1"/>
    <col min="6" max="6" width="1.42578125" style="4" customWidth="1"/>
    <col min="7" max="7" width="11.42578125" style="4" customWidth="1"/>
    <col min="8" max="8" width="1.42578125" style="4" customWidth="1"/>
    <col min="9" max="9" width="11.42578125" style="4" customWidth="1"/>
    <col min="10" max="16384" width="9.140625" style="4"/>
  </cols>
  <sheetData>
    <row r="1" spans="1:12" ht="20.100000000000001" customHeight="1" x14ac:dyDescent="0.45">
      <c r="A1" s="33" t="s">
        <v>0</v>
      </c>
      <c r="B1" s="31"/>
      <c r="C1" s="31"/>
      <c r="D1" s="31"/>
      <c r="E1" s="31"/>
      <c r="F1" s="31"/>
      <c r="G1" s="31"/>
      <c r="H1" s="31"/>
      <c r="I1" s="31"/>
    </row>
    <row r="2" spans="1:12" ht="20.100000000000001" customHeight="1" x14ac:dyDescent="0.45">
      <c r="A2" s="33" t="s">
        <v>139</v>
      </c>
      <c r="B2" s="31"/>
      <c r="C2" s="31"/>
      <c r="D2" s="31"/>
      <c r="E2" s="31"/>
      <c r="F2" s="31"/>
      <c r="G2" s="31"/>
      <c r="H2" s="31"/>
      <c r="I2" s="31"/>
    </row>
    <row r="3" spans="1:12" ht="20.100000000000001" customHeight="1" x14ac:dyDescent="0.45">
      <c r="A3" s="33" t="s">
        <v>2</v>
      </c>
      <c r="B3" s="31"/>
      <c r="C3" s="31"/>
      <c r="D3" s="31"/>
      <c r="E3" s="31"/>
      <c r="F3" s="31"/>
      <c r="G3" s="31"/>
      <c r="H3" s="31"/>
      <c r="I3" s="31"/>
    </row>
    <row r="5" spans="1:12" ht="21" x14ac:dyDescent="0.45">
      <c r="A5" s="34" t="s">
        <v>140</v>
      </c>
      <c r="B5" s="31"/>
      <c r="C5" s="31"/>
      <c r="D5" s="31"/>
      <c r="E5" s="31"/>
      <c r="F5" s="31"/>
      <c r="G5" s="31"/>
      <c r="H5" s="31"/>
      <c r="I5" s="31"/>
    </row>
    <row r="6" spans="1:12" x14ac:dyDescent="0.45">
      <c r="L6" s="18"/>
    </row>
    <row r="7" spans="1:12" ht="42" x14ac:dyDescent="0.45">
      <c r="A7" s="6" t="s">
        <v>141</v>
      </c>
      <c r="C7" s="6" t="s">
        <v>142</v>
      </c>
      <c r="E7" s="6" t="s">
        <v>136</v>
      </c>
      <c r="G7" s="16" t="s">
        <v>143</v>
      </c>
      <c r="I7" s="16" t="s">
        <v>144</v>
      </c>
    </row>
    <row r="8" spans="1:12" ht="21" x14ac:dyDescent="0.45">
      <c r="A8" s="5" t="s">
        <v>145</v>
      </c>
      <c r="C8" s="7" t="s">
        <v>214</v>
      </c>
      <c r="E8" s="11">
        <v>691604120057</v>
      </c>
      <c r="G8" s="12">
        <v>0.99694029092914638</v>
      </c>
      <c r="I8" s="12">
        <v>0.21206569504248199</v>
      </c>
    </row>
    <row r="9" spans="1:12" ht="21" x14ac:dyDescent="0.45">
      <c r="A9" s="5" t="s">
        <v>215</v>
      </c>
      <c r="C9" s="7" t="s">
        <v>216</v>
      </c>
      <c r="E9" s="11">
        <v>0</v>
      </c>
      <c r="G9" s="12">
        <v>0</v>
      </c>
      <c r="I9" s="12">
        <v>0</v>
      </c>
    </row>
    <row r="10" spans="1:12" ht="21" x14ac:dyDescent="0.45">
      <c r="A10" s="5" t="s">
        <v>146</v>
      </c>
      <c r="C10" s="7" t="s">
        <v>217</v>
      </c>
      <c r="E10" s="11">
        <v>0</v>
      </c>
      <c r="G10" s="12">
        <v>0</v>
      </c>
      <c r="I10" s="12">
        <v>0</v>
      </c>
    </row>
    <row r="11" spans="1:12" ht="21" x14ac:dyDescent="0.45">
      <c r="A11" s="5" t="s">
        <v>147</v>
      </c>
      <c r="C11" s="7" t="s">
        <v>218</v>
      </c>
      <c r="E11" s="11">
        <v>2122601944</v>
      </c>
      <c r="G11" s="12">
        <v>3.0597090708536097E-3</v>
      </c>
      <c r="I11" s="12">
        <v>6.5085074466558258E-4</v>
      </c>
    </row>
    <row r="12" spans="1:12" ht="21" x14ac:dyDescent="0.45">
      <c r="A12" s="5" t="s">
        <v>148</v>
      </c>
      <c r="C12" s="7" t="s">
        <v>219</v>
      </c>
      <c r="E12" s="11">
        <v>0</v>
      </c>
      <c r="G12" s="12">
        <v>0</v>
      </c>
      <c r="I12" s="12">
        <v>0</v>
      </c>
    </row>
    <row r="13" spans="1:12" ht="21" x14ac:dyDescent="0.45">
      <c r="A13" s="6" t="s">
        <v>103</v>
      </c>
      <c r="E13" s="13">
        <f>SUM(E8:$E$12)</f>
        <v>693726722001</v>
      </c>
      <c r="G13" s="14">
        <f>SUM(G8:$G$12)</f>
        <v>1</v>
      </c>
      <c r="I13" s="14">
        <f>SUM(I8:$I$12)</f>
        <v>0.21271654578714758</v>
      </c>
    </row>
    <row r="14" spans="1:12" ht="18.75" x14ac:dyDescent="0.45">
      <c r="E14" s="15"/>
      <c r="G14" s="15"/>
      <c r="I14" s="15"/>
    </row>
  </sheetData>
  <mergeCells count="4">
    <mergeCell ref="A1:I1"/>
    <mergeCell ref="A2:I2"/>
    <mergeCell ref="A3:I3"/>
    <mergeCell ref="A5:I5"/>
  </mergeCells>
  <pageMargins left="0.7" right="0.7" top="0.75" bottom="0.75" header="0.3" footer="0.3"/>
  <pageSetup paperSize="9" scale="73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S28"/>
  <sheetViews>
    <sheetView rightToLeft="1" view="pageBreakPreview" zoomScale="84" zoomScaleNormal="100" zoomScaleSheetLayoutView="84" workbookViewId="0">
      <selection activeCell="R13" sqref="R13"/>
    </sheetView>
  </sheetViews>
  <sheetFormatPr defaultRowHeight="18" x14ac:dyDescent="0.45"/>
  <cols>
    <col min="1" max="1" width="16.42578125" style="4" bestFit="1" customWidth="1"/>
    <col min="2" max="2" width="1.42578125" style="4" customWidth="1"/>
    <col min="3" max="3" width="11.7109375" style="4" bestFit="1" customWidth="1"/>
    <col min="4" max="4" width="1.42578125" style="4" customWidth="1"/>
    <col min="5" max="5" width="16" style="4" bestFit="1" customWidth="1"/>
    <col min="6" max="6" width="1.42578125" style="4" customWidth="1"/>
    <col min="7" max="7" width="10.42578125" style="4" bestFit="1" customWidth="1"/>
    <col min="8" max="8" width="1.42578125" style="4" customWidth="1"/>
    <col min="9" max="9" width="15.7109375" style="4" bestFit="1" customWidth="1"/>
    <col min="10" max="10" width="1.42578125" style="4" customWidth="1"/>
    <col min="11" max="11" width="15.140625" style="4" bestFit="1" customWidth="1"/>
    <col min="12" max="12" width="1.42578125" style="4" customWidth="1"/>
    <col min="13" max="13" width="15.7109375" style="4" bestFit="1" customWidth="1"/>
    <col min="14" max="14" width="1.42578125" style="4" customWidth="1"/>
    <col min="15" max="15" width="15.7109375" style="4" bestFit="1" customWidth="1"/>
    <col min="16" max="16" width="1.42578125" style="4" customWidth="1"/>
    <col min="17" max="17" width="15.140625" style="4" bestFit="1" customWidth="1"/>
    <col min="18" max="18" width="1.42578125" style="4" customWidth="1"/>
    <col min="19" max="19" width="15.7109375" style="4" bestFit="1" customWidth="1"/>
    <col min="20" max="16384" width="9.140625" style="4"/>
  </cols>
  <sheetData>
    <row r="1" spans="1:19" ht="20.100000000000001" customHeight="1" x14ac:dyDescent="0.45">
      <c r="A1" s="33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</row>
    <row r="2" spans="1:19" ht="20.100000000000001" customHeight="1" x14ac:dyDescent="0.45">
      <c r="A2" s="33" t="s">
        <v>139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</row>
    <row r="3" spans="1:19" ht="20.100000000000001" customHeight="1" x14ac:dyDescent="0.45">
      <c r="A3" s="33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</row>
    <row r="5" spans="1:19" ht="21" x14ac:dyDescent="0.45">
      <c r="A5" s="34" t="s">
        <v>149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</row>
    <row r="7" spans="1:19" ht="21" x14ac:dyDescent="0.45">
      <c r="C7" s="27" t="s">
        <v>150</v>
      </c>
      <c r="D7" s="28"/>
      <c r="E7" s="28"/>
      <c r="F7" s="28"/>
      <c r="G7" s="28"/>
      <c r="I7" s="27" t="s">
        <v>151</v>
      </c>
      <c r="J7" s="28"/>
      <c r="K7" s="28"/>
      <c r="L7" s="28"/>
      <c r="M7" s="28"/>
      <c r="O7" s="27" t="s">
        <v>7</v>
      </c>
      <c r="P7" s="28"/>
      <c r="Q7" s="28"/>
      <c r="R7" s="28"/>
      <c r="S7" s="28"/>
    </row>
    <row r="8" spans="1:19" ht="63" x14ac:dyDescent="0.45">
      <c r="A8" s="6" t="s">
        <v>105</v>
      </c>
      <c r="C8" s="16" t="s">
        <v>152</v>
      </c>
      <c r="E8" s="16" t="s">
        <v>153</v>
      </c>
      <c r="G8" s="16" t="s">
        <v>154</v>
      </c>
      <c r="I8" s="16" t="s">
        <v>155</v>
      </c>
      <c r="K8" s="16" t="s">
        <v>156</v>
      </c>
      <c r="M8" s="16" t="s">
        <v>157</v>
      </c>
      <c r="O8" s="16" t="s">
        <v>155</v>
      </c>
      <c r="Q8" s="16" t="s">
        <v>156</v>
      </c>
      <c r="S8" s="16" t="s">
        <v>157</v>
      </c>
    </row>
    <row r="9" spans="1:19" ht="37.5" x14ac:dyDescent="0.45">
      <c r="A9" s="8" t="s">
        <v>18</v>
      </c>
      <c r="C9" s="7" t="s">
        <v>158</v>
      </c>
      <c r="E9" s="11">
        <v>50000</v>
      </c>
      <c r="G9" s="11">
        <v>3980</v>
      </c>
      <c r="N9" s="7"/>
      <c r="O9" s="11">
        <v>199000000</v>
      </c>
      <c r="Q9" s="11">
        <v>-15578283</v>
      </c>
      <c r="S9" s="11">
        <v>183421717</v>
      </c>
    </row>
    <row r="10" spans="1:19" ht="18.75" x14ac:dyDescent="0.45">
      <c r="A10" s="8" t="s">
        <v>23</v>
      </c>
      <c r="C10" s="7" t="s">
        <v>159</v>
      </c>
      <c r="E10" s="11">
        <v>2291471</v>
      </c>
      <c r="G10" s="11">
        <v>1940</v>
      </c>
      <c r="I10" s="11">
        <v>4445453740</v>
      </c>
      <c r="K10" s="11">
        <v>-290292114</v>
      </c>
      <c r="M10" s="11">
        <v>4155161626</v>
      </c>
      <c r="O10" s="11">
        <v>4445453740</v>
      </c>
      <c r="Q10" s="11">
        <v>-290292114</v>
      </c>
      <c r="S10" s="11">
        <v>4155161626</v>
      </c>
    </row>
    <row r="11" spans="1:19" ht="18.75" x14ac:dyDescent="0.45">
      <c r="A11" s="8" t="s">
        <v>25</v>
      </c>
      <c r="C11" s="7" t="s">
        <v>160</v>
      </c>
      <c r="E11" s="11">
        <v>500000</v>
      </c>
      <c r="G11" s="11">
        <v>1425</v>
      </c>
      <c r="I11" s="11">
        <v>712500000</v>
      </c>
      <c r="K11" s="11">
        <v>-42667418</v>
      </c>
      <c r="M11" s="11">
        <v>669832582</v>
      </c>
      <c r="O11" s="11">
        <v>712500000</v>
      </c>
      <c r="Q11" s="11">
        <v>-42667418</v>
      </c>
      <c r="S11" s="11">
        <v>669832582</v>
      </c>
    </row>
    <row r="12" spans="1:19" ht="18.75" x14ac:dyDescent="0.45">
      <c r="A12" s="8" t="s">
        <v>26</v>
      </c>
      <c r="C12" s="7" t="s">
        <v>5</v>
      </c>
      <c r="E12" s="11">
        <v>1750000</v>
      </c>
      <c r="G12" s="11">
        <v>400</v>
      </c>
      <c r="I12" s="11">
        <v>700000000</v>
      </c>
      <c r="K12" s="11">
        <v>-41918867</v>
      </c>
      <c r="M12" s="11">
        <v>658081133</v>
      </c>
      <c r="O12" s="11">
        <v>700000000</v>
      </c>
      <c r="Q12" s="11">
        <v>-41918867</v>
      </c>
      <c r="S12" s="11">
        <v>658081133</v>
      </c>
    </row>
    <row r="13" spans="1:19" ht="18.75" x14ac:dyDescent="0.45">
      <c r="A13" s="8" t="s">
        <v>28</v>
      </c>
      <c r="C13" s="7" t="s">
        <v>161</v>
      </c>
      <c r="E13" s="11">
        <v>1562500</v>
      </c>
      <c r="G13" s="11">
        <v>440</v>
      </c>
      <c r="I13" s="11">
        <v>687500000</v>
      </c>
      <c r="K13" s="11">
        <v>0</v>
      </c>
      <c r="M13" s="11">
        <v>687500000</v>
      </c>
      <c r="O13" s="11">
        <v>687500000</v>
      </c>
      <c r="Q13" s="11">
        <v>0</v>
      </c>
      <c r="S13" s="11">
        <v>687500000</v>
      </c>
    </row>
    <row r="14" spans="1:19" ht="18.75" x14ac:dyDescent="0.45">
      <c r="A14" s="8" t="s">
        <v>33</v>
      </c>
      <c r="C14" s="7" t="s">
        <v>160</v>
      </c>
      <c r="E14" s="11">
        <v>9127149</v>
      </c>
      <c r="G14" s="11">
        <v>167</v>
      </c>
      <c r="I14" s="11">
        <v>1524233883</v>
      </c>
      <c r="K14" s="11">
        <v>-118433839</v>
      </c>
      <c r="M14" s="11">
        <v>1405800044</v>
      </c>
      <c r="O14" s="11">
        <v>1524233883</v>
      </c>
      <c r="Q14" s="11">
        <v>-118433839</v>
      </c>
      <c r="S14" s="11">
        <v>1405800044</v>
      </c>
    </row>
    <row r="15" spans="1:19" ht="37.5" x14ac:dyDescent="0.45">
      <c r="A15" s="8" t="s">
        <v>38</v>
      </c>
      <c r="C15" s="7" t="s">
        <v>162</v>
      </c>
      <c r="E15" s="11">
        <v>6645110</v>
      </c>
      <c r="G15" s="11">
        <v>1600</v>
      </c>
      <c r="I15" s="11">
        <v>10632176000</v>
      </c>
      <c r="K15" s="11">
        <v>0</v>
      </c>
      <c r="M15" s="11">
        <v>10632176000</v>
      </c>
      <c r="O15" s="11">
        <v>10632176000</v>
      </c>
      <c r="Q15" s="11">
        <v>0</v>
      </c>
      <c r="S15" s="11">
        <v>10632176000</v>
      </c>
    </row>
    <row r="16" spans="1:19" ht="18.75" x14ac:dyDescent="0.45">
      <c r="A16" s="8" t="s">
        <v>43</v>
      </c>
      <c r="C16" s="7" t="s">
        <v>161</v>
      </c>
      <c r="E16" s="11">
        <v>2773715</v>
      </c>
      <c r="G16" s="11">
        <v>5375</v>
      </c>
      <c r="I16" s="11">
        <v>14908718125</v>
      </c>
      <c r="K16" s="11">
        <v>-700670826</v>
      </c>
      <c r="M16" s="11">
        <v>14208047299</v>
      </c>
      <c r="O16" s="11">
        <v>14908718125</v>
      </c>
      <c r="Q16" s="11">
        <v>-700670826</v>
      </c>
      <c r="S16" s="11">
        <v>14208047299</v>
      </c>
    </row>
    <row r="17" spans="1:19" ht="18.75" x14ac:dyDescent="0.45">
      <c r="A17" s="8" t="s">
        <v>51</v>
      </c>
      <c r="C17" s="7" t="s">
        <v>163</v>
      </c>
      <c r="E17" s="11">
        <v>1186353</v>
      </c>
      <c r="G17" s="11">
        <v>6810</v>
      </c>
      <c r="I17" s="11">
        <v>8079063930</v>
      </c>
      <c r="K17" s="11">
        <v>-551665501</v>
      </c>
      <c r="M17" s="11">
        <v>7527398429</v>
      </c>
      <c r="O17" s="11">
        <v>8079063930</v>
      </c>
      <c r="Q17" s="11">
        <v>-551665501</v>
      </c>
      <c r="S17" s="11">
        <v>7527398429</v>
      </c>
    </row>
    <row r="18" spans="1:19" ht="18.75" x14ac:dyDescent="0.45">
      <c r="A18" s="8" t="s">
        <v>52</v>
      </c>
      <c r="C18" s="7" t="s">
        <v>164</v>
      </c>
      <c r="E18" s="11">
        <v>100000</v>
      </c>
      <c r="G18" s="11">
        <v>14500</v>
      </c>
      <c r="N18" s="7"/>
      <c r="O18" s="11">
        <v>1450000000</v>
      </c>
      <c r="Q18" s="11">
        <v>-69947849</v>
      </c>
      <c r="S18" s="11">
        <v>1380052151</v>
      </c>
    </row>
    <row r="19" spans="1:19" ht="18.75" x14ac:dyDescent="0.45">
      <c r="A19" s="8" t="s">
        <v>54</v>
      </c>
      <c r="C19" s="7" t="s">
        <v>165</v>
      </c>
      <c r="E19" s="11">
        <v>5799792</v>
      </c>
      <c r="G19" s="11">
        <v>1076</v>
      </c>
      <c r="N19" s="7"/>
      <c r="O19" s="11">
        <v>6240576192</v>
      </c>
      <c r="Q19" s="11">
        <v>-373711259</v>
      </c>
      <c r="S19" s="11">
        <v>5866864933</v>
      </c>
    </row>
    <row r="20" spans="1:19" ht="37.5" x14ac:dyDescent="0.45">
      <c r="A20" s="8" t="s">
        <v>60</v>
      </c>
      <c r="C20" s="7" t="s">
        <v>166</v>
      </c>
      <c r="E20" s="11">
        <v>10148510</v>
      </c>
      <c r="G20" s="11">
        <v>560</v>
      </c>
      <c r="N20" s="7"/>
      <c r="O20" s="11">
        <v>5683165600</v>
      </c>
      <c r="Q20" s="11">
        <v>0</v>
      </c>
      <c r="S20" s="11">
        <v>5683165600</v>
      </c>
    </row>
    <row r="21" spans="1:19" ht="18.75" x14ac:dyDescent="0.45">
      <c r="A21" s="8" t="s">
        <v>69</v>
      </c>
      <c r="C21" s="7" t="s">
        <v>167</v>
      </c>
      <c r="E21" s="11">
        <v>8231319</v>
      </c>
      <c r="G21" s="11">
        <v>400</v>
      </c>
      <c r="I21" s="11">
        <v>3292527600</v>
      </c>
      <c r="K21" s="11">
        <v>-201151204</v>
      </c>
      <c r="M21" s="11">
        <v>3091376396</v>
      </c>
      <c r="O21" s="11">
        <v>3292527600</v>
      </c>
      <c r="Q21" s="11">
        <v>-201151204</v>
      </c>
      <c r="S21" s="11">
        <v>3091376396</v>
      </c>
    </row>
    <row r="22" spans="1:19" ht="18.75" x14ac:dyDescent="0.45">
      <c r="A22" s="8" t="s">
        <v>74</v>
      </c>
      <c r="C22" s="7" t="s">
        <v>5</v>
      </c>
      <c r="E22" s="11">
        <v>4274063</v>
      </c>
      <c r="G22" s="11">
        <v>670</v>
      </c>
      <c r="I22" s="11">
        <v>2863622210</v>
      </c>
      <c r="K22" s="11">
        <v>-146995552</v>
      </c>
      <c r="M22" s="11">
        <v>2716626658</v>
      </c>
      <c r="O22" s="11">
        <v>2863622210</v>
      </c>
      <c r="Q22" s="11">
        <v>-146995552</v>
      </c>
      <c r="S22" s="11">
        <v>2716626658</v>
      </c>
    </row>
    <row r="23" spans="1:19" ht="18.75" x14ac:dyDescent="0.45">
      <c r="A23" s="8" t="s">
        <v>80</v>
      </c>
      <c r="C23" s="7" t="s">
        <v>168</v>
      </c>
      <c r="E23" s="11">
        <v>1207911</v>
      </c>
      <c r="G23" s="11">
        <v>2600</v>
      </c>
      <c r="N23" s="7"/>
      <c r="O23" s="11">
        <v>3140568600</v>
      </c>
      <c r="Q23" s="11">
        <v>-163146421</v>
      </c>
      <c r="S23" s="11">
        <v>2977422179</v>
      </c>
    </row>
    <row r="24" spans="1:19" ht="18.75" x14ac:dyDescent="0.45">
      <c r="A24" s="8" t="s">
        <v>81</v>
      </c>
      <c r="C24" s="7" t="s">
        <v>169</v>
      </c>
      <c r="E24" s="11">
        <v>411</v>
      </c>
      <c r="G24" s="11">
        <v>285</v>
      </c>
      <c r="I24" s="11">
        <v>117135</v>
      </c>
      <c r="K24" s="11">
        <v>-9509</v>
      </c>
      <c r="M24" s="11">
        <v>107626</v>
      </c>
      <c r="O24" s="11">
        <v>117135</v>
      </c>
      <c r="Q24" s="11">
        <v>-9509</v>
      </c>
      <c r="S24" s="11">
        <v>107626</v>
      </c>
    </row>
    <row r="25" spans="1:19" ht="18.75" x14ac:dyDescent="0.45">
      <c r="A25" s="8" t="s">
        <v>93</v>
      </c>
      <c r="C25" s="7" t="s">
        <v>170</v>
      </c>
      <c r="E25" s="11">
        <v>4613772</v>
      </c>
      <c r="G25" s="11">
        <v>220</v>
      </c>
      <c r="I25" s="11">
        <v>1015029840</v>
      </c>
      <c r="K25" s="11">
        <v>-66282358</v>
      </c>
      <c r="M25" s="11">
        <v>948747482</v>
      </c>
      <c r="O25" s="11">
        <v>1015029840</v>
      </c>
      <c r="Q25" s="11">
        <v>-66282358</v>
      </c>
      <c r="S25" s="11">
        <v>948747482</v>
      </c>
    </row>
    <row r="26" spans="1:19" ht="18.75" x14ac:dyDescent="0.45">
      <c r="A26" s="8" t="s">
        <v>99</v>
      </c>
      <c r="C26" s="7" t="s">
        <v>171</v>
      </c>
      <c r="E26" s="11">
        <v>1947948</v>
      </c>
      <c r="G26" s="11">
        <v>5330</v>
      </c>
      <c r="N26" s="7"/>
      <c r="O26" s="11">
        <v>10382562840</v>
      </c>
      <c r="Q26" s="11">
        <v>-1156426658</v>
      </c>
      <c r="S26" s="11">
        <v>9226136182</v>
      </c>
    </row>
    <row r="27" spans="1:19" ht="18.75" x14ac:dyDescent="0.45">
      <c r="A27" s="13" t="s">
        <v>103</v>
      </c>
      <c r="I27" s="13">
        <f>SUM(I9:$I$26)</f>
        <v>48860942463</v>
      </c>
      <c r="K27" s="13">
        <f>SUM(K9:$K$26)</f>
        <v>-2160087188</v>
      </c>
      <c r="M27" s="13">
        <f>SUM(M9:$M$26)</f>
        <v>46700855275</v>
      </c>
      <c r="O27" s="13">
        <f>SUM(O9:$O$26)</f>
        <v>75956815695</v>
      </c>
      <c r="Q27" s="13">
        <f>SUM(Q9:$Q$26)</f>
        <v>-3938897658</v>
      </c>
      <c r="S27" s="13">
        <f>SUM(S9:$S$26)</f>
        <v>72017918037</v>
      </c>
    </row>
    <row r="28" spans="1:19" ht="18.75" x14ac:dyDescent="0.45">
      <c r="I28" s="15"/>
      <c r="K28" s="15"/>
      <c r="M28" s="15"/>
      <c r="O28" s="15"/>
      <c r="Q28" s="15"/>
      <c r="S28" s="15"/>
    </row>
  </sheetData>
  <mergeCells count="7">
    <mergeCell ref="A1:S1"/>
    <mergeCell ref="A2:S2"/>
    <mergeCell ref="A3:S3"/>
    <mergeCell ref="A5:S5"/>
    <mergeCell ref="C7:G7"/>
    <mergeCell ref="I7:M7"/>
    <mergeCell ref="O7:S7"/>
  </mergeCells>
  <pageMargins left="0.7" right="0.7" top="0.75" bottom="0.75" header="0.3" footer="0.3"/>
  <pageSetup paperSize="9" scale="81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M16"/>
  <sheetViews>
    <sheetView rightToLeft="1" view="pageBreakPreview" zoomScale="96" zoomScaleNormal="100" zoomScaleSheetLayoutView="96" workbookViewId="0">
      <selection activeCell="R13" sqref="R13"/>
    </sheetView>
  </sheetViews>
  <sheetFormatPr defaultRowHeight="18" x14ac:dyDescent="0.45"/>
  <cols>
    <col min="1" max="1" width="21.28515625" style="4" customWidth="1"/>
    <col min="2" max="2" width="1.42578125" style="4" customWidth="1"/>
    <col min="3" max="3" width="18.42578125" style="4" customWidth="1"/>
    <col min="4" max="4" width="1.42578125" style="4" customWidth="1"/>
    <col min="5" max="5" width="14.140625" style="4" customWidth="1"/>
    <col min="6" max="6" width="1.42578125" style="4" customWidth="1"/>
    <col min="7" max="7" width="18.42578125" style="4" customWidth="1"/>
    <col min="8" max="8" width="1.42578125" style="4" customWidth="1"/>
    <col min="9" max="9" width="18.42578125" style="4" customWidth="1"/>
    <col min="10" max="10" width="1.42578125" style="4" customWidth="1"/>
    <col min="11" max="11" width="14.140625" style="4" customWidth="1"/>
    <col min="12" max="12" width="1.42578125" style="4" customWidth="1"/>
    <col min="13" max="13" width="18.42578125" style="4" customWidth="1"/>
    <col min="14" max="16384" width="9.140625" style="4"/>
  </cols>
  <sheetData>
    <row r="1" spans="1:13" ht="20.100000000000001" customHeight="1" x14ac:dyDescent="0.45">
      <c r="A1" s="33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ht="20.100000000000001" customHeight="1" x14ac:dyDescent="0.45">
      <c r="A2" s="33" t="s">
        <v>139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</row>
    <row r="3" spans="1:13" ht="20.100000000000001" customHeight="1" x14ac:dyDescent="0.45">
      <c r="A3" s="33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</row>
    <row r="5" spans="1:13" ht="21" x14ac:dyDescent="0.45">
      <c r="A5" s="34" t="s">
        <v>172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</row>
    <row r="7" spans="1:13" ht="21" x14ac:dyDescent="0.45">
      <c r="C7" s="27" t="s">
        <v>151</v>
      </c>
      <c r="D7" s="28"/>
      <c r="E7" s="28"/>
      <c r="F7" s="28"/>
      <c r="G7" s="28"/>
      <c r="I7" s="27" t="s">
        <v>7</v>
      </c>
      <c r="J7" s="28"/>
      <c r="K7" s="28"/>
      <c r="L7" s="28"/>
      <c r="M7" s="28"/>
    </row>
    <row r="8" spans="1:13" ht="21" x14ac:dyDescent="0.45">
      <c r="A8" s="17" t="s">
        <v>141</v>
      </c>
      <c r="C8" s="16" t="s">
        <v>173</v>
      </c>
      <c r="E8" s="16" t="s">
        <v>156</v>
      </c>
      <c r="G8" s="16" t="s">
        <v>174</v>
      </c>
      <c r="I8" s="16" t="s">
        <v>173</v>
      </c>
      <c r="K8" s="16" t="s">
        <v>156</v>
      </c>
      <c r="M8" s="16" t="s">
        <v>174</v>
      </c>
    </row>
    <row r="9" spans="1:13" ht="18.75" x14ac:dyDescent="0.45">
      <c r="A9" s="20" t="s">
        <v>220</v>
      </c>
      <c r="C9" s="11">
        <v>34123</v>
      </c>
      <c r="E9" s="11">
        <v>0</v>
      </c>
      <c r="G9" s="11">
        <v>34123</v>
      </c>
      <c r="I9" s="11">
        <v>102853</v>
      </c>
      <c r="K9" s="11">
        <v>0</v>
      </c>
      <c r="M9" s="11">
        <v>102853</v>
      </c>
    </row>
    <row r="10" spans="1:13" ht="18.75" x14ac:dyDescent="0.45">
      <c r="A10" s="20" t="s">
        <v>221</v>
      </c>
      <c r="C10" s="11">
        <v>1028780910</v>
      </c>
      <c r="E10" s="11">
        <v>0</v>
      </c>
      <c r="G10" s="11">
        <v>1028780910</v>
      </c>
      <c r="I10" s="11">
        <v>2110110475</v>
      </c>
      <c r="K10" s="11">
        <v>0</v>
      </c>
      <c r="M10" s="11">
        <v>2110110475</v>
      </c>
    </row>
    <row r="11" spans="1:13" ht="18.75" x14ac:dyDescent="0.45">
      <c r="A11" s="20" t="s">
        <v>222</v>
      </c>
      <c r="C11" s="11">
        <v>3057974</v>
      </c>
      <c r="E11" s="11">
        <v>0</v>
      </c>
      <c r="G11" s="11">
        <v>3057974</v>
      </c>
      <c r="I11" s="11">
        <v>3134298</v>
      </c>
      <c r="K11" s="11">
        <v>0</v>
      </c>
      <c r="M11" s="11">
        <v>3134298</v>
      </c>
    </row>
    <row r="12" spans="1:13" ht="18.75" x14ac:dyDescent="0.45">
      <c r="A12" s="20" t="s">
        <v>223</v>
      </c>
      <c r="C12" s="11">
        <v>271799</v>
      </c>
      <c r="E12" s="11">
        <v>0</v>
      </c>
      <c r="G12" s="11">
        <v>271799</v>
      </c>
      <c r="I12" s="11">
        <v>3092054</v>
      </c>
      <c r="K12" s="11">
        <v>0</v>
      </c>
      <c r="M12" s="11">
        <v>3092054</v>
      </c>
    </row>
    <row r="13" spans="1:13" ht="18.75" x14ac:dyDescent="0.45">
      <c r="A13" s="20" t="s">
        <v>224</v>
      </c>
      <c r="C13" s="11">
        <v>40984</v>
      </c>
      <c r="E13" s="11">
        <v>0</v>
      </c>
      <c r="G13" s="11">
        <v>40984</v>
      </c>
      <c r="I13" s="11">
        <v>81968</v>
      </c>
      <c r="K13" s="11">
        <v>0</v>
      </c>
      <c r="M13" s="11">
        <v>81968</v>
      </c>
    </row>
    <row r="14" spans="1:13" ht="18.75" x14ac:dyDescent="0.45">
      <c r="A14" s="20" t="s">
        <v>225</v>
      </c>
      <c r="H14" s="7"/>
      <c r="I14" s="11">
        <v>5948428</v>
      </c>
      <c r="K14" s="11">
        <v>0</v>
      </c>
      <c r="M14" s="11">
        <v>5948428</v>
      </c>
    </row>
    <row r="15" spans="1:13" ht="18.75" x14ac:dyDescent="0.45">
      <c r="A15" s="20" t="s">
        <v>226</v>
      </c>
      <c r="H15" s="7"/>
      <c r="I15" s="11">
        <v>131868</v>
      </c>
      <c r="K15" s="11">
        <v>0</v>
      </c>
      <c r="M15" s="11">
        <v>131868</v>
      </c>
    </row>
    <row r="16" spans="1:13" ht="18.75" x14ac:dyDescent="0.45">
      <c r="A16" s="13" t="s">
        <v>103</v>
      </c>
      <c r="C16" s="13">
        <f>SUM(C9:$C$15)</f>
        <v>1032185790</v>
      </c>
      <c r="E16" s="13">
        <f>SUM(E9:$E$15)</f>
        <v>0</v>
      </c>
      <c r="G16" s="13">
        <f>SUM(G9:$G$15)</f>
        <v>1032185790</v>
      </c>
      <c r="I16" s="13">
        <f>SUM(I9:$I$15)</f>
        <v>2122601944</v>
      </c>
      <c r="K16" s="13">
        <f>SUM(K9:$K$15)</f>
        <v>0</v>
      </c>
      <c r="M16" s="13">
        <f>SUM(M9:$M$15)</f>
        <v>2122601944</v>
      </c>
    </row>
  </sheetData>
  <mergeCells count="6">
    <mergeCell ref="A1:M1"/>
    <mergeCell ref="A2:M2"/>
    <mergeCell ref="A3:M3"/>
    <mergeCell ref="A5:M5"/>
    <mergeCell ref="C7:G7"/>
    <mergeCell ref="I7:M7"/>
  </mergeCells>
  <pageMargins left="0.7" right="0.7" top="0.75" bottom="0.75" header="0.3" footer="0.3"/>
  <pageSetup paperSize="9" scale="99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Q31"/>
  <sheetViews>
    <sheetView rightToLeft="1" view="pageBreakPreview" zoomScale="86" zoomScaleNormal="100" zoomScaleSheetLayoutView="86" workbookViewId="0">
      <selection activeCell="R13" sqref="R13"/>
    </sheetView>
  </sheetViews>
  <sheetFormatPr defaultRowHeight="18" x14ac:dyDescent="0.45"/>
  <cols>
    <col min="1" max="1" width="21.28515625" style="4" customWidth="1"/>
    <col min="2" max="2" width="1.42578125" style="4" customWidth="1"/>
    <col min="3" max="3" width="12.7109375" style="4" customWidth="1"/>
    <col min="4" max="4" width="1.42578125" style="4" customWidth="1"/>
    <col min="5" max="5" width="17" style="4" customWidth="1"/>
    <col min="6" max="6" width="1.42578125" style="4" customWidth="1"/>
    <col min="7" max="7" width="17" style="4" customWidth="1"/>
    <col min="8" max="8" width="1.42578125" style="4" customWidth="1"/>
    <col min="9" max="9" width="17" style="4" customWidth="1"/>
    <col min="10" max="10" width="1.42578125" style="4" customWidth="1"/>
    <col min="11" max="11" width="12.7109375" style="4" customWidth="1"/>
    <col min="12" max="12" width="1.42578125" style="4" customWidth="1"/>
    <col min="13" max="13" width="17" style="4" customWidth="1"/>
    <col min="14" max="14" width="1.42578125" style="4" customWidth="1"/>
    <col min="15" max="15" width="17" style="4" customWidth="1"/>
    <col min="16" max="16" width="1.42578125" style="4" customWidth="1"/>
    <col min="17" max="17" width="17" style="4" customWidth="1"/>
    <col min="18" max="16384" width="9.140625" style="4"/>
  </cols>
  <sheetData>
    <row r="1" spans="1:17" ht="20.100000000000001" customHeight="1" x14ac:dyDescent="0.45">
      <c r="A1" s="33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</row>
    <row r="2" spans="1:17" ht="20.100000000000001" customHeight="1" x14ac:dyDescent="0.45">
      <c r="A2" s="33" t="s">
        <v>139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</row>
    <row r="3" spans="1:17" ht="20.100000000000001" customHeight="1" x14ac:dyDescent="0.45">
      <c r="A3" s="33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</row>
    <row r="4" spans="1:17" ht="6.75" customHeight="1" x14ac:dyDescent="0.45"/>
    <row r="5" spans="1:17" ht="21" x14ac:dyDescent="0.45">
      <c r="A5" s="34" t="s">
        <v>175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</row>
    <row r="7" spans="1:17" ht="21" x14ac:dyDescent="0.45">
      <c r="C7" s="27" t="s">
        <v>151</v>
      </c>
      <c r="D7" s="28"/>
      <c r="E7" s="28"/>
      <c r="F7" s="28"/>
      <c r="G7" s="28"/>
      <c r="H7" s="28"/>
      <c r="I7" s="28"/>
      <c r="K7" s="27" t="s">
        <v>7</v>
      </c>
      <c r="L7" s="28"/>
      <c r="M7" s="28"/>
      <c r="N7" s="28"/>
      <c r="O7" s="28"/>
      <c r="P7" s="28"/>
      <c r="Q7" s="28"/>
    </row>
    <row r="8" spans="1:17" ht="42" x14ac:dyDescent="0.45">
      <c r="A8" s="17" t="s">
        <v>141</v>
      </c>
      <c r="C8" s="16" t="s">
        <v>9</v>
      </c>
      <c r="E8" s="16" t="s">
        <v>11</v>
      </c>
      <c r="G8" s="16" t="s">
        <v>176</v>
      </c>
      <c r="I8" s="16" t="s">
        <v>177</v>
      </c>
      <c r="K8" s="16" t="s">
        <v>9</v>
      </c>
      <c r="M8" s="16" t="s">
        <v>11</v>
      </c>
      <c r="O8" s="16" t="s">
        <v>176</v>
      </c>
      <c r="Q8" s="16" t="s">
        <v>177</v>
      </c>
    </row>
    <row r="9" spans="1:17" ht="18.75" x14ac:dyDescent="0.45">
      <c r="A9" s="8" t="s">
        <v>20</v>
      </c>
      <c r="J9" s="7"/>
      <c r="K9" s="11">
        <v>33234</v>
      </c>
      <c r="M9" s="11">
        <v>166191521</v>
      </c>
      <c r="O9" s="11">
        <v>141193304</v>
      </c>
      <c r="Q9" s="11">
        <v>24998217</v>
      </c>
    </row>
    <row r="10" spans="1:17" ht="18.75" x14ac:dyDescent="0.45">
      <c r="A10" s="8" t="s">
        <v>23</v>
      </c>
      <c r="J10" s="7"/>
      <c r="K10" s="11">
        <v>100000</v>
      </c>
      <c r="M10" s="11">
        <v>1700169265</v>
      </c>
      <c r="O10" s="11">
        <v>1559428505</v>
      </c>
      <c r="Q10" s="11">
        <v>140740760</v>
      </c>
    </row>
    <row r="11" spans="1:17" ht="18.75" x14ac:dyDescent="0.45">
      <c r="A11" s="8" t="s">
        <v>24</v>
      </c>
      <c r="J11" s="7"/>
      <c r="K11" s="11">
        <v>534050</v>
      </c>
      <c r="M11" s="11">
        <v>1851190504</v>
      </c>
      <c r="O11" s="11">
        <v>1280532076</v>
      </c>
      <c r="Q11" s="11">
        <v>570658428</v>
      </c>
    </row>
    <row r="12" spans="1:17" ht="18.75" x14ac:dyDescent="0.45">
      <c r="A12" s="8" t="s">
        <v>30</v>
      </c>
      <c r="C12" s="11">
        <v>2600000</v>
      </c>
      <c r="E12" s="11">
        <v>15093655278</v>
      </c>
      <c r="G12" s="11">
        <v>9053722418</v>
      </c>
      <c r="I12" s="11">
        <v>6039932860</v>
      </c>
      <c r="K12" s="11">
        <v>7718165</v>
      </c>
      <c r="M12" s="11">
        <v>41216030217</v>
      </c>
      <c r="O12" s="11">
        <v>26897688874</v>
      </c>
      <c r="Q12" s="11">
        <v>14318341343</v>
      </c>
    </row>
    <row r="13" spans="1:17" ht="18.75" x14ac:dyDescent="0.45">
      <c r="A13" s="8" t="s">
        <v>31</v>
      </c>
      <c r="J13" s="7"/>
      <c r="K13" s="11">
        <v>2116008</v>
      </c>
      <c r="M13" s="11">
        <v>17612833425</v>
      </c>
      <c r="O13" s="11">
        <v>13040937447</v>
      </c>
      <c r="Q13" s="11">
        <v>4571895978</v>
      </c>
    </row>
    <row r="14" spans="1:17" ht="18.75" x14ac:dyDescent="0.45">
      <c r="A14" s="8" t="s">
        <v>33</v>
      </c>
      <c r="J14" s="7"/>
      <c r="K14" s="11">
        <v>3200000</v>
      </c>
      <c r="M14" s="11">
        <v>5608032552</v>
      </c>
      <c r="O14" s="11">
        <v>4651987012</v>
      </c>
      <c r="Q14" s="11">
        <v>956045540</v>
      </c>
    </row>
    <row r="15" spans="1:17" ht="18.75" x14ac:dyDescent="0.45">
      <c r="A15" s="8" t="s">
        <v>42</v>
      </c>
      <c r="J15" s="7"/>
      <c r="K15" s="11">
        <v>2799492</v>
      </c>
      <c r="M15" s="11">
        <v>73132075910</v>
      </c>
      <c r="O15" s="11">
        <v>59727153098</v>
      </c>
      <c r="Q15" s="11">
        <v>13404922812</v>
      </c>
    </row>
    <row r="16" spans="1:17" ht="18.75" x14ac:dyDescent="0.45">
      <c r="A16" s="8" t="s">
        <v>49</v>
      </c>
      <c r="J16" s="7"/>
      <c r="K16" s="11">
        <v>2000000</v>
      </c>
      <c r="M16" s="11">
        <v>5608430157</v>
      </c>
      <c r="O16" s="11">
        <v>4790689146</v>
      </c>
      <c r="Q16" s="11">
        <v>817741011</v>
      </c>
    </row>
    <row r="17" spans="1:17" ht="37.5" x14ac:dyDescent="0.45">
      <c r="A17" s="8" t="s">
        <v>50</v>
      </c>
      <c r="J17" s="7"/>
      <c r="K17" s="11">
        <v>3250000</v>
      </c>
      <c r="M17" s="11">
        <v>4477257642</v>
      </c>
      <c r="O17" s="11">
        <v>3912524843</v>
      </c>
      <c r="Q17" s="11">
        <v>564732799</v>
      </c>
    </row>
    <row r="18" spans="1:17" ht="18.75" x14ac:dyDescent="0.45">
      <c r="A18" s="8" t="s">
        <v>53</v>
      </c>
      <c r="J18" s="7"/>
      <c r="K18" s="11">
        <v>2633426</v>
      </c>
      <c r="M18" s="11">
        <v>30559895055</v>
      </c>
      <c r="O18" s="11">
        <v>21151800984</v>
      </c>
      <c r="Q18" s="11">
        <v>9408094071</v>
      </c>
    </row>
    <row r="19" spans="1:17" ht="18.75" x14ac:dyDescent="0.45">
      <c r="A19" s="8" t="s">
        <v>54</v>
      </c>
      <c r="J19" s="7"/>
      <c r="K19" s="11">
        <v>204159</v>
      </c>
      <c r="M19" s="11">
        <v>2365633293</v>
      </c>
      <c r="O19" s="11">
        <v>1680424874</v>
      </c>
      <c r="Q19" s="11">
        <v>685208419</v>
      </c>
    </row>
    <row r="20" spans="1:17" ht="18.75" x14ac:dyDescent="0.45">
      <c r="A20" s="8" t="s">
        <v>55</v>
      </c>
      <c r="J20" s="7"/>
      <c r="K20" s="11">
        <v>1700000</v>
      </c>
      <c r="M20" s="11">
        <v>31505506561</v>
      </c>
      <c r="O20" s="11">
        <v>20428018251</v>
      </c>
      <c r="Q20" s="11">
        <v>11077488310</v>
      </c>
    </row>
    <row r="21" spans="1:17" ht="18.75" x14ac:dyDescent="0.45">
      <c r="A21" s="8" t="s">
        <v>57</v>
      </c>
      <c r="J21" s="7"/>
      <c r="K21" s="11">
        <v>9304630</v>
      </c>
      <c r="M21" s="11">
        <v>17440630260</v>
      </c>
      <c r="O21" s="11">
        <v>14518699221</v>
      </c>
      <c r="Q21" s="11">
        <v>2921931039</v>
      </c>
    </row>
    <row r="22" spans="1:17" ht="18.75" x14ac:dyDescent="0.45">
      <c r="A22" s="8" t="s">
        <v>63</v>
      </c>
      <c r="J22" s="7"/>
      <c r="K22" s="11">
        <v>131650</v>
      </c>
      <c r="M22" s="11">
        <v>622663681</v>
      </c>
      <c r="O22" s="11">
        <v>580461851</v>
      </c>
      <c r="Q22" s="11">
        <v>42201830</v>
      </c>
    </row>
    <row r="23" spans="1:17" ht="18.75" x14ac:dyDescent="0.45">
      <c r="A23" s="8" t="s">
        <v>72</v>
      </c>
      <c r="J23" s="7"/>
      <c r="K23" s="11">
        <v>1404932</v>
      </c>
      <c r="M23" s="11">
        <v>11340170007</v>
      </c>
      <c r="O23" s="11">
        <v>7627237494</v>
      </c>
      <c r="Q23" s="11">
        <v>3712932513</v>
      </c>
    </row>
    <row r="24" spans="1:17" ht="18.75" x14ac:dyDescent="0.45">
      <c r="A24" s="8" t="s">
        <v>76</v>
      </c>
      <c r="J24" s="7"/>
      <c r="K24" s="11">
        <v>500000</v>
      </c>
      <c r="M24" s="11">
        <v>5188941039</v>
      </c>
      <c r="O24" s="11">
        <v>4531630539</v>
      </c>
      <c r="Q24" s="11">
        <v>657310500</v>
      </c>
    </row>
    <row r="25" spans="1:17" ht="18.75" x14ac:dyDescent="0.45">
      <c r="A25" s="8" t="s">
        <v>77</v>
      </c>
      <c r="J25" s="7"/>
      <c r="K25" s="11">
        <v>1200000</v>
      </c>
      <c r="M25" s="11">
        <v>6002598298</v>
      </c>
      <c r="O25" s="11">
        <v>4086594998</v>
      </c>
      <c r="Q25" s="11">
        <v>1916003300</v>
      </c>
    </row>
    <row r="26" spans="1:17" ht="18.75" x14ac:dyDescent="0.45">
      <c r="A26" s="8" t="s">
        <v>79</v>
      </c>
      <c r="J26" s="7"/>
      <c r="K26" s="11">
        <v>200001</v>
      </c>
      <c r="M26" s="11">
        <v>1461253531</v>
      </c>
      <c r="O26" s="11">
        <v>1100700481</v>
      </c>
      <c r="Q26" s="11">
        <v>360553050</v>
      </c>
    </row>
    <row r="27" spans="1:17" ht="18.75" x14ac:dyDescent="0.45">
      <c r="A27" s="8" t="s">
        <v>80</v>
      </c>
      <c r="J27" s="7"/>
      <c r="K27" s="11">
        <v>105859</v>
      </c>
      <c r="M27" s="11">
        <v>4608373962</v>
      </c>
      <c r="O27" s="11">
        <v>3640703866</v>
      </c>
      <c r="Q27" s="11">
        <v>967670096</v>
      </c>
    </row>
    <row r="28" spans="1:17" ht="18.75" x14ac:dyDescent="0.45">
      <c r="A28" s="8" t="s">
        <v>85</v>
      </c>
      <c r="J28" s="7"/>
      <c r="K28" s="11">
        <v>800000</v>
      </c>
      <c r="M28" s="11">
        <v>8803306872</v>
      </c>
      <c r="O28" s="11">
        <v>7112419272</v>
      </c>
      <c r="Q28" s="11">
        <v>1690887600</v>
      </c>
    </row>
    <row r="29" spans="1:17" ht="18.75" x14ac:dyDescent="0.45">
      <c r="A29" s="8" t="s">
        <v>97</v>
      </c>
      <c r="C29" s="11">
        <v>1500000</v>
      </c>
      <c r="E29" s="11">
        <v>43835120151</v>
      </c>
      <c r="G29" s="11">
        <v>27725097901</v>
      </c>
      <c r="I29" s="11">
        <v>16110022250</v>
      </c>
      <c r="K29" s="11">
        <v>2632725</v>
      </c>
      <c r="M29" s="11">
        <v>74912314196</v>
      </c>
      <c r="O29" s="11">
        <v>48673825769</v>
      </c>
      <c r="Q29" s="11">
        <v>26238488427</v>
      </c>
    </row>
    <row r="30" spans="1:17" ht="18.75" x14ac:dyDescent="0.45">
      <c r="A30" s="13" t="s">
        <v>103</v>
      </c>
      <c r="C30" s="13">
        <f>SUM(C9:$C$29)</f>
        <v>4100000</v>
      </c>
      <c r="E30" s="13">
        <f>SUM(E9:$E$29)</f>
        <v>58928775429</v>
      </c>
      <c r="G30" s="13">
        <f>SUM(G9:$G$29)</f>
        <v>36778820319</v>
      </c>
      <c r="I30" s="13">
        <f>SUM(I9:$I$29)</f>
        <v>22149955110</v>
      </c>
      <c r="K30" s="13">
        <f>SUM(K9:$K$29)</f>
        <v>42568331</v>
      </c>
      <c r="M30" s="13">
        <f>SUM(M9:$M$29)</f>
        <v>346183497948</v>
      </c>
      <c r="O30" s="13">
        <f>SUM(O9:$O$29)</f>
        <v>251134651905</v>
      </c>
      <c r="Q30" s="13">
        <f>SUM(Q9:$Q$29)</f>
        <v>95048846043</v>
      </c>
    </row>
    <row r="31" spans="1:17" ht="18.75" x14ac:dyDescent="0.45">
      <c r="A31" s="39" t="s">
        <v>178</v>
      </c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1"/>
    </row>
  </sheetData>
  <mergeCells count="7">
    <mergeCell ref="A31:Q31"/>
    <mergeCell ref="A1:Q1"/>
    <mergeCell ref="A2:Q2"/>
    <mergeCell ref="A3:Q3"/>
    <mergeCell ref="A5:Q5"/>
    <mergeCell ref="C7:I7"/>
    <mergeCell ref="K7:Q7"/>
  </mergeCells>
  <pageMargins left="0.7" right="0.7" top="0.75" bottom="0.75" header="0.3" footer="0.3"/>
  <pageSetup paperSize="9" scale="81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Q98"/>
  <sheetViews>
    <sheetView rightToLeft="1" view="pageBreakPreview" zoomScale="55" zoomScaleNormal="100" zoomScaleSheetLayoutView="55" workbookViewId="0">
      <selection activeCell="R13" sqref="R13"/>
    </sheetView>
  </sheetViews>
  <sheetFormatPr defaultRowHeight="18" x14ac:dyDescent="0.45"/>
  <cols>
    <col min="1" max="1" width="21.140625" style="4" bestFit="1" customWidth="1"/>
    <col min="2" max="2" width="1.42578125" style="4" customWidth="1"/>
    <col min="3" max="3" width="14" style="4" bestFit="1" customWidth="1"/>
    <col min="4" max="4" width="1.42578125" style="4" customWidth="1"/>
    <col min="5" max="5" width="20.5703125" style="4" bestFit="1" customWidth="1"/>
    <col min="6" max="6" width="1.42578125" style="4" customWidth="1"/>
    <col min="7" max="7" width="19.7109375" style="4" bestFit="1" customWidth="1"/>
    <col min="8" max="8" width="1.42578125" style="4" customWidth="1"/>
    <col min="9" max="9" width="23.7109375" style="4" bestFit="1" customWidth="1"/>
    <col min="10" max="10" width="1.42578125" style="4" customWidth="1"/>
    <col min="11" max="11" width="14" style="4" bestFit="1" customWidth="1"/>
    <col min="12" max="12" width="1.42578125" style="4" customWidth="1"/>
    <col min="13" max="13" width="20.5703125" style="4" bestFit="1" customWidth="1"/>
    <col min="14" max="14" width="1.42578125" style="4" customWidth="1"/>
    <col min="15" max="15" width="19.7109375" style="4" bestFit="1" customWidth="1"/>
    <col min="16" max="16" width="1.42578125" style="4" customWidth="1"/>
    <col min="17" max="17" width="20.28515625" style="4" customWidth="1"/>
    <col min="18" max="16384" width="9.140625" style="4"/>
  </cols>
  <sheetData>
    <row r="1" spans="1:17" ht="20.100000000000001" customHeight="1" x14ac:dyDescent="0.45">
      <c r="A1" s="33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</row>
    <row r="2" spans="1:17" ht="20.100000000000001" customHeight="1" x14ac:dyDescent="0.45">
      <c r="A2" s="33" t="s">
        <v>139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</row>
    <row r="3" spans="1:17" ht="20.100000000000001" customHeight="1" x14ac:dyDescent="0.45">
      <c r="A3" s="33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</row>
    <row r="5" spans="1:17" ht="21" x14ac:dyDescent="0.45">
      <c r="A5" s="34" t="s">
        <v>179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</row>
    <row r="7" spans="1:17" ht="21" x14ac:dyDescent="0.45">
      <c r="C7" s="27" t="s">
        <v>151</v>
      </c>
      <c r="D7" s="28"/>
      <c r="E7" s="28"/>
      <c r="F7" s="28"/>
      <c r="G7" s="28"/>
      <c r="H7" s="28"/>
      <c r="I7" s="28"/>
      <c r="K7" s="27" t="s">
        <v>7</v>
      </c>
      <c r="L7" s="28"/>
      <c r="M7" s="28"/>
      <c r="N7" s="28"/>
      <c r="O7" s="28"/>
      <c r="P7" s="28"/>
      <c r="Q7" s="28"/>
    </row>
    <row r="8" spans="1:17" ht="42" x14ac:dyDescent="0.45">
      <c r="A8" s="17" t="s">
        <v>141</v>
      </c>
      <c r="C8" s="16" t="s">
        <v>9</v>
      </c>
      <c r="E8" s="16" t="s">
        <v>11</v>
      </c>
      <c r="G8" s="16" t="s">
        <v>176</v>
      </c>
      <c r="I8" s="16" t="s">
        <v>180</v>
      </c>
      <c r="K8" s="16" t="s">
        <v>9</v>
      </c>
      <c r="M8" s="16" t="s">
        <v>11</v>
      </c>
      <c r="O8" s="16" t="s">
        <v>176</v>
      </c>
      <c r="Q8" s="16" t="s">
        <v>180</v>
      </c>
    </row>
    <row r="9" spans="1:17" ht="18.75" x14ac:dyDescent="0.45">
      <c r="A9" s="8" t="s">
        <v>17</v>
      </c>
      <c r="C9" s="11">
        <v>75</v>
      </c>
      <c r="E9" s="11">
        <v>8535659</v>
      </c>
      <c r="G9" s="11">
        <v>6340051</v>
      </c>
      <c r="I9" s="11">
        <v>2195608</v>
      </c>
      <c r="K9" s="11">
        <v>75</v>
      </c>
      <c r="M9" s="11">
        <v>8535659</v>
      </c>
      <c r="O9" s="11">
        <v>4784114</v>
      </c>
      <c r="Q9" s="11">
        <v>3751545</v>
      </c>
    </row>
    <row r="10" spans="1:17" ht="18.75" x14ac:dyDescent="0.45">
      <c r="A10" s="8" t="s">
        <v>18</v>
      </c>
      <c r="C10" s="11">
        <v>50000</v>
      </c>
      <c r="E10" s="11">
        <v>1406580750</v>
      </c>
      <c r="G10" s="11">
        <v>1401610500</v>
      </c>
      <c r="I10" s="11">
        <v>4970250</v>
      </c>
      <c r="K10" s="11">
        <v>50000</v>
      </c>
      <c r="M10" s="11">
        <v>1406580750</v>
      </c>
      <c r="O10" s="11">
        <v>1304690625</v>
      </c>
      <c r="Q10" s="11">
        <v>101890125</v>
      </c>
    </row>
    <row r="11" spans="1:17" ht="18.75" x14ac:dyDescent="0.45">
      <c r="A11" s="8" t="s">
        <v>19</v>
      </c>
      <c r="C11" s="11">
        <v>245000</v>
      </c>
      <c r="E11" s="11">
        <v>1994611027</v>
      </c>
      <c r="G11" s="11">
        <v>2177267715</v>
      </c>
      <c r="I11" s="11">
        <v>-182656688</v>
      </c>
      <c r="K11" s="11">
        <v>245000</v>
      </c>
      <c r="M11" s="11">
        <v>1994611027</v>
      </c>
      <c r="O11" s="11">
        <v>1736456242</v>
      </c>
      <c r="Q11" s="11">
        <v>258154785</v>
      </c>
    </row>
    <row r="12" spans="1:17" ht="18.75" x14ac:dyDescent="0.45">
      <c r="A12" s="8" t="s">
        <v>20</v>
      </c>
      <c r="C12" s="11">
        <v>6813853</v>
      </c>
      <c r="E12" s="11">
        <v>35695346728</v>
      </c>
      <c r="G12" s="11">
        <v>36237211574</v>
      </c>
      <c r="I12" s="11">
        <v>-541864846</v>
      </c>
      <c r="K12" s="11">
        <v>6813853</v>
      </c>
      <c r="M12" s="11">
        <v>35695346728</v>
      </c>
      <c r="O12" s="11">
        <v>29152328713</v>
      </c>
      <c r="Q12" s="11">
        <v>6543018015</v>
      </c>
    </row>
    <row r="13" spans="1:17" ht="18.75" x14ac:dyDescent="0.45">
      <c r="A13" s="8" t="s">
        <v>21</v>
      </c>
      <c r="C13" s="11">
        <v>1895580</v>
      </c>
      <c r="E13" s="11">
        <v>19690948575</v>
      </c>
      <c r="G13" s="11">
        <v>19483675432</v>
      </c>
      <c r="I13" s="11">
        <v>207273143</v>
      </c>
      <c r="K13" s="11">
        <v>1895580</v>
      </c>
      <c r="M13" s="11">
        <v>19690948575</v>
      </c>
      <c r="O13" s="11">
        <v>15715072834</v>
      </c>
      <c r="Q13" s="11">
        <v>3975875741</v>
      </c>
    </row>
    <row r="14" spans="1:17" ht="18.75" x14ac:dyDescent="0.45">
      <c r="A14" s="8" t="s">
        <v>22</v>
      </c>
      <c r="C14" s="11">
        <v>19134677</v>
      </c>
      <c r="E14" s="11">
        <v>62692641414</v>
      </c>
      <c r="G14" s="11">
        <v>74846949019</v>
      </c>
      <c r="I14" s="11">
        <v>-12154307605</v>
      </c>
      <c r="K14" s="11">
        <v>19134677</v>
      </c>
      <c r="M14" s="11">
        <v>62692641414</v>
      </c>
      <c r="O14" s="11">
        <v>63399417867</v>
      </c>
      <c r="Q14" s="11">
        <v>-706776453</v>
      </c>
    </row>
    <row r="15" spans="1:17" ht="18.75" x14ac:dyDescent="0.45">
      <c r="A15" s="8" t="s">
        <v>23</v>
      </c>
      <c r="C15" s="11">
        <v>2291471</v>
      </c>
      <c r="E15" s="11">
        <v>32459173653</v>
      </c>
      <c r="G15" s="11">
        <v>40021591654</v>
      </c>
      <c r="I15" s="11">
        <v>-7562418001</v>
      </c>
      <c r="K15" s="11">
        <v>2291471</v>
      </c>
      <c r="M15" s="11">
        <v>32459173653</v>
      </c>
      <c r="O15" s="11">
        <v>35967042244</v>
      </c>
      <c r="Q15" s="11">
        <v>-3507868591</v>
      </c>
    </row>
    <row r="16" spans="1:17" ht="18.75" x14ac:dyDescent="0.45">
      <c r="A16" s="8" t="s">
        <v>24</v>
      </c>
      <c r="C16" s="11">
        <v>14265950</v>
      </c>
      <c r="E16" s="11">
        <v>46258642503</v>
      </c>
      <c r="G16" s="11">
        <v>48073819156</v>
      </c>
      <c r="I16" s="11">
        <v>-1815176653</v>
      </c>
      <c r="K16" s="11">
        <v>14265950</v>
      </c>
      <c r="M16" s="11">
        <v>46258642503</v>
      </c>
      <c r="O16" s="11">
        <v>34502537465</v>
      </c>
      <c r="Q16" s="11">
        <v>11756105038</v>
      </c>
    </row>
    <row r="17" spans="1:17" ht="18.75" x14ac:dyDescent="0.45">
      <c r="A17" s="8" t="s">
        <v>25</v>
      </c>
      <c r="C17" s="11">
        <v>500000</v>
      </c>
      <c r="E17" s="11">
        <v>8215823250</v>
      </c>
      <c r="G17" s="11">
        <v>8971301250</v>
      </c>
      <c r="I17" s="11">
        <v>-755478000</v>
      </c>
      <c r="K17" s="11">
        <v>500000</v>
      </c>
      <c r="M17" s="11">
        <v>8215823250</v>
      </c>
      <c r="O17" s="11">
        <v>8827164000</v>
      </c>
      <c r="Q17" s="11">
        <v>-611340750</v>
      </c>
    </row>
    <row r="18" spans="1:17" ht="18.75" x14ac:dyDescent="0.45">
      <c r="A18" s="8" t="s">
        <v>26</v>
      </c>
      <c r="C18" s="11">
        <v>1750000</v>
      </c>
      <c r="E18" s="11">
        <v>6610432500</v>
      </c>
      <c r="G18" s="11">
        <v>6773953725</v>
      </c>
      <c r="I18" s="11">
        <v>-163521225</v>
      </c>
      <c r="K18" s="11">
        <v>1750000</v>
      </c>
      <c r="M18" s="11">
        <v>6610432500</v>
      </c>
      <c r="O18" s="11">
        <v>4695146662</v>
      </c>
      <c r="Q18" s="11">
        <v>1915285838</v>
      </c>
    </row>
    <row r="19" spans="1:17" ht="18.75" x14ac:dyDescent="0.45">
      <c r="A19" s="8" t="s">
        <v>27</v>
      </c>
      <c r="C19" s="11">
        <v>23109504</v>
      </c>
      <c r="E19" s="11">
        <v>38340272091</v>
      </c>
      <c r="G19" s="11">
        <v>38661880125</v>
      </c>
      <c r="I19" s="11">
        <v>-321608034</v>
      </c>
      <c r="K19" s="11">
        <v>23109504</v>
      </c>
      <c r="M19" s="11">
        <v>38340272091</v>
      </c>
      <c r="O19" s="11">
        <v>29587939157</v>
      </c>
      <c r="Q19" s="11">
        <v>8752332934</v>
      </c>
    </row>
    <row r="20" spans="1:17" ht="18.75" x14ac:dyDescent="0.45">
      <c r="A20" s="8" t="s">
        <v>28</v>
      </c>
      <c r="C20" s="11">
        <v>1905000</v>
      </c>
      <c r="E20" s="11">
        <v>4018357660</v>
      </c>
      <c r="G20" s="11">
        <v>4747418782</v>
      </c>
      <c r="I20" s="11">
        <v>-729061122</v>
      </c>
      <c r="K20" s="11">
        <v>1905000</v>
      </c>
      <c r="M20" s="11">
        <v>4018357660</v>
      </c>
      <c r="O20" s="11">
        <v>4237966188</v>
      </c>
      <c r="Q20" s="11">
        <v>-219608528</v>
      </c>
    </row>
    <row r="21" spans="1:17" ht="18.75" x14ac:dyDescent="0.45">
      <c r="A21" s="8" t="s">
        <v>29</v>
      </c>
      <c r="C21" s="11">
        <v>970000</v>
      </c>
      <c r="E21" s="11">
        <v>851413765</v>
      </c>
      <c r="G21" s="11">
        <v>1453092349</v>
      </c>
      <c r="I21" s="11">
        <v>-601678584</v>
      </c>
      <c r="K21" s="11">
        <v>970000</v>
      </c>
      <c r="M21" s="11">
        <v>851413765</v>
      </c>
      <c r="O21" s="11">
        <v>685687718</v>
      </c>
      <c r="Q21" s="11">
        <v>165726047</v>
      </c>
    </row>
    <row r="22" spans="1:17" ht="18.75" x14ac:dyDescent="0.45">
      <c r="A22" s="8" t="s">
        <v>30</v>
      </c>
      <c r="C22" s="11">
        <v>15000000</v>
      </c>
      <c r="E22" s="11">
        <v>82158232500</v>
      </c>
      <c r="G22" s="11">
        <v>90229123260</v>
      </c>
      <c r="I22" s="11">
        <v>-8070890760</v>
      </c>
      <c r="K22" s="11">
        <v>15000000</v>
      </c>
      <c r="M22" s="11">
        <v>82158232500</v>
      </c>
      <c r="O22" s="11">
        <v>52754233500</v>
      </c>
      <c r="Q22" s="11">
        <v>29403999000</v>
      </c>
    </row>
    <row r="23" spans="1:17" ht="18.75" x14ac:dyDescent="0.45">
      <c r="A23" s="8" t="s">
        <v>31</v>
      </c>
      <c r="C23" s="11">
        <v>20425056</v>
      </c>
      <c r="E23" s="11">
        <v>177655860522</v>
      </c>
      <c r="G23" s="11">
        <v>179889248483</v>
      </c>
      <c r="I23" s="11">
        <v>-2233387961</v>
      </c>
      <c r="K23" s="11">
        <v>20425056</v>
      </c>
      <c r="M23" s="11">
        <v>177655860522</v>
      </c>
      <c r="O23" s="11">
        <v>126897043230</v>
      </c>
      <c r="Q23" s="11">
        <v>50758817292</v>
      </c>
    </row>
    <row r="24" spans="1:17" ht="18.75" x14ac:dyDescent="0.45">
      <c r="A24" s="8" t="s">
        <v>181</v>
      </c>
      <c r="C24" s="11">
        <v>4754687</v>
      </c>
      <c r="E24" s="11">
        <v>24671790316</v>
      </c>
      <c r="G24" s="11">
        <v>27176780521</v>
      </c>
      <c r="I24" s="11">
        <v>-2504990205</v>
      </c>
      <c r="K24" s="11">
        <v>4754687</v>
      </c>
      <c r="M24" s="11">
        <v>24671790316</v>
      </c>
      <c r="O24" s="11">
        <v>21854857936</v>
      </c>
      <c r="Q24" s="11">
        <v>2816932380</v>
      </c>
    </row>
    <row r="25" spans="1:17" ht="18.75" x14ac:dyDescent="0.45">
      <c r="A25" s="8" t="s">
        <v>33</v>
      </c>
      <c r="C25" s="11">
        <v>9127149</v>
      </c>
      <c r="E25" s="11">
        <v>14997408592</v>
      </c>
      <c r="G25" s="11">
        <v>15641580407</v>
      </c>
      <c r="I25" s="11">
        <v>-644171815</v>
      </c>
      <c r="K25" s="11">
        <v>9127149</v>
      </c>
      <c r="M25" s="11">
        <v>14997408592</v>
      </c>
      <c r="O25" s="11">
        <v>13364298033</v>
      </c>
      <c r="Q25" s="11">
        <v>1633110559</v>
      </c>
    </row>
    <row r="26" spans="1:17" ht="37.5" x14ac:dyDescent="0.45">
      <c r="A26" s="8" t="s">
        <v>34</v>
      </c>
      <c r="C26" s="11">
        <v>842177</v>
      </c>
      <c r="E26" s="11">
        <v>4939279676</v>
      </c>
      <c r="G26" s="11">
        <v>5592269193</v>
      </c>
      <c r="I26" s="11">
        <v>-652989517</v>
      </c>
      <c r="K26" s="11">
        <v>842177</v>
      </c>
      <c r="M26" s="11">
        <v>4939279676</v>
      </c>
      <c r="O26" s="11">
        <v>5324376058</v>
      </c>
      <c r="Q26" s="11">
        <v>-385096382</v>
      </c>
    </row>
    <row r="27" spans="1:17" ht="37.5" x14ac:dyDescent="0.45">
      <c r="A27" s="8" t="s">
        <v>35</v>
      </c>
      <c r="C27" s="11">
        <v>286500</v>
      </c>
      <c r="E27" s="11">
        <v>14766637601</v>
      </c>
      <c r="G27" s="11">
        <v>15777661005</v>
      </c>
      <c r="I27" s="11">
        <v>-1011023404</v>
      </c>
      <c r="K27" s="11">
        <v>286500</v>
      </c>
      <c r="M27" s="11">
        <v>14766637601</v>
      </c>
      <c r="O27" s="11">
        <v>13684415366</v>
      </c>
      <c r="Q27" s="11">
        <v>1082222235</v>
      </c>
    </row>
    <row r="28" spans="1:17" ht="37.5" x14ac:dyDescent="0.45">
      <c r="A28" s="8" t="s">
        <v>36</v>
      </c>
      <c r="C28" s="11">
        <v>250000</v>
      </c>
      <c r="E28" s="11">
        <v>1064379037</v>
      </c>
      <c r="G28" s="11">
        <v>961246350</v>
      </c>
      <c r="I28" s="11">
        <v>103132687</v>
      </c>
      <c r="K28" s="11">
        <v>250000</v>
      </c>
      <c r="M28" s="11">
        <v>1064379037</v>
      </c>
      <c r="O28" s="11">
        <v>810399262</v>
      </c>
      <c r="Q28" s="11">
        <v>253979775</v>
      </c>
    </row>
    <row r="29" spans="1:17" ht="18.75" x14ac:dyDescent="0.45">
      <c r="A29" s="8" t="s">
        <v>37</v>
      </c>
      <c r="C29" s="11">
        <v>100000</v>
      </c>
      <c r="E29" s="11">
        <v>12455446500</v>
      </c>
      <c r="G29" s="11">
        <v>12596427117</v>
      </c>
      <c r="I29" s="11">
        <v>-140980617</v>
      </c>
      <c r="K29" s="11">
        <v>100000</v>
      </c>
      <c r="M29" s="11">
        <v>12455446500</v>
      </c>
      <c r="O29" s="11">
        <v>12596427117</v>
      </c>
      <c r="Q29" s="11">
        <v>-140980617</v>
      </c>
    </row>
    <row r="30" spans="1:17" ht="37.5" x14ac:dyDescent="0.45">
      <c r="A30" s="8" t="s">
        <v>38</v>
      </c>
      <c r="C30" s="11">
        <v>6645110</v>
      </c>
      <c r="E30" s="11">
        <v>88580715096</v>
      </c>
      <c r="G30" s="11">
        <v>101923969719</v>
      </c>
      <c r="I30" s="11">
        <v>-13343254623</v>
      </c>
      <c r="K30" s="11">
        <v>6645110</v>
      </c>
      <c r="M30" s="11">
        <v>88580715096</v>
      </c>
      <c r="O30" s="11">
        <v>75831961916</v>
      </c>
      <c r="Q30" s="11">
        <v>12748753180</v>
      </c>
    </row>
    <row r="31" spans="1:17" ht="18.75" x14ac:dyDescent="0.45">
      <c r="A31" s="8" t="s">
        <v>39</v>
      </c>
      <c r="C31" s="11">
        <v>1000000</v>
      </c>
      <c r="E31" s="11">
        <v>7177041000</v>
      </c>
      <c r="G31" s="11">
        <v>7385791500</v>
      </c>
      <c r="I31" s="11">
        <v>-208750500</v>
      </c>
      <c r="K31" s="11">
        <v>1000000</v>
      </c>
      <c r="M31" s="11">
        <v>7177041000</v>
      </c>
      <c r="O31" s="11">
        <v>6391741500</v>
      </c>
      <c r="Q31" s="11">
        <v>785299500</v>
      </c>
    </row>
    <row r="32" spans="1:17" ht="18.75" x14ac:dyDescent="0.45">
      <c r="A32" s="8" t="s">
        <v>40</v>
      </c>
      <c r="C32" s="11">
        <v>31806527</v>
      </c>
      <c r="E32" s="11">
        <v>56310372411</v>
      </c>
      <c r="G32" s="11">
        <v>63866901892</v>
      </c>
      <c r="I32" s="11">
        <v>-7556529481</v>
      </c>
      <c r="K32" s="11">
        <v>31806527</v>
      </c>
      <c r="M32" s="11">
        <v>56310372411</v>
      </c>
      <c r="O32" s="11">
        <v>55330236788</v>
      </c>
      <c r="Q32" s="11">
        <v>980135623</v>
      </c>
    </row>
    <row r="33" spans="1:17" ht="18.75" x14ac:dyDescent="0.45">
      <c r="A33" s="8" t="s">
        <v>41</v>
      </c>
      <c r="C33" s="11">
        <v>7329302</v>
      </c>
      <c r="E33" s="11">
        <v>51218419351</v>
      </c>
      <c r="G33" s="11">
        <v>57921256592</v>
      </c>
      <c r="I33" s="11">
        <v>-6702837241</v>
      </c>
      <c r="K33" s="11">
        <v>7329302</v>
      </c>
      <c r="M33" s="11">
        <v>51218419351</v>
      </c>
      <c r="O33" s="11">
        <v>48231285364</v>
      </c>
      <c r="Q33" s="11">
        <v>2987133987</v>
      </c>
    </row>
    <row r="34" spans="1:17" ht="18.75" x14ac:dyDescent="0.45">
      <c r="A34" s="8" t="s">
        <v>42</v>
      </c>
      <c r="C34" s="11">
        <v>236747</v>
      </c>
      <c r="E34" s="11">
        <v>5794030309</v>
      </c>
      <c r="G34" s="11">
        <v>6057609267</v>
      </c>
      <c r="I34" s="11">
        <v>-263578958</v>
      </c>
      <c r="K34" s="11">
        <v>236747</v>
      </c>
      <c r="M34" s="11">
        <v>5794030309</v>
      </c>
      <c r="O34" s="11">
        <v>5088015243</v>
      </c>
      <c r="Q34" s="11">
        <v>706015066</v>
      </c>
    </row>
    <row r="35" spans="1:17" ht="18.75" x14ac:dyDescent="0.45">
      <c r="A35" s="8" t="s">
        <v>43</v>
      </c>
      <c r="C35" s="11">
        <v>2773715</v>
      </c>
      <c r="E35" s="11">
        <v>85170260015</v>
      </c>
      <c r="G35" s="11">
        <v>92476870213</v>
      </c>
      <c r="I35" s="11">
        <v>-7306610198</v>
      </c>
      <c r="K35" s="11">
        <v>2773715</v>
      </c>
      <c r="M35" s="11">
        <v>85170260015</v>
      </c>
      <c r="O35" s="11">
        <v>65924924472</v>
      </c>
      <c r="Q35" s="11">
        <v>19245335543</v>
      </c>
    </row>
    <row r="36" spans="1:17" ht="37.5" x14ac:dyDescent="0.45">
      <c r="A36" s="8" t="s">
        <v>44</v>
      </c>
      <c r="C36" s="11">
        <v>272500</v>
      </c>
      <c r="E36" s="11">
        <v>10577810306</v>
      </c>
      <c r="G36" s="11">
        <v>10063140919</v>
      </c>
      <c r="I36" s="11">
        <v>514669387</v>
      </c>
      <c r="K36" s="11">
        <v>272500</v>
      </c>
      <c r="M36" s="11">
        <v>10577810306</v>
      </c>
      <c r="O36" s="11">
        <v>7367898600</v>
      </c>
      <c r="Q36" s="11">
        <v>3209911706</v>
      </c>
    </row>
    <row r="37" spans="1:17" ht="18.75" x14ac:dyDescent="0.45">
      <c r="A37" s="8" t="s">
        <v>45</v>
      </c>
      <c r="C37" s="11">
        <v>2672602</v>
      </c>
      <c r="E37" s="11">
        <v>42666602291</v>
      </c>
      <c r="G37" s="11">
        <v>43941818299</v>
      </c>
      <c r="I37" s="11">
        <v>-1275216008</v>
      </c>
      <c r="K37" s="11">
        <v>2672602</v>
      </c>
      <c r="M37" s="11">
        <v>42666602291</v>
      </c>
      <c r="O37" s="11">
        <v>40236433424</v>
      </c>
      <c r="Q37" s="11">
        <v>2430168867</v>
      </c>
    </row>
    <row r="38" spans="1:17" ht="18.75" x14ac:dyDescent="0.45">
      <c r="A38" s="8" t="s">
        <v>46</v>
      </c>
      <c r="C38" s="11">
        <v>27844387</v>
      </c>
      <c r="E38" s="11">
        <v>70885183730</v>
      </c>
      <c r="G38" s="11">
        <v>78303078787</v>
      </c>
      <c r="I38" s="11">
        <v>-7417895057</v>
      </c>
      <c r="K38" s="11">
        <v>27844387</v>
      </c>
      <c r="M38" s="11">
        <v>70885183730</v>
      </c>
      <c r="O38" s="11">
        <v>64795866893</v>
      </c>
      <c r="Q38" s="11">
        <v>6089316837</v>
      </c>
    </row>
    <row r="39" spans="1:17" ht="18.75" x14ac:dyDescent="0.45">
      <c r="A39" s="8" t="s">
        <v>47</v>
      </c>
      <c r="C39" s="11">
        <v>15167887</v>
      </c>
      <c r="E39" s="11">
        <v>47539792842</v>
      </c>
      <c r="G39" s="11">
        <v>58244915873</v>
      </c>
      <c r="I39" s="11">
        <v>-10705123031</v>
      </c>
      <c r="K39" s="11">
        <v>15167887</v>
      </c>
      <c r="M39" s="11">
        <v>47539792842</v>
      </c>
      <c r="O39" s="11">
        <v>43923352960</v>
      </c>
      <c r="Q39" s="11">
        <v>3616439882</v>
      </c>
    </row>
    <row r="40" spans="1:17" ht="18.75" x14ac:dyDescent="0.45">
      <c r="A40" s="8" t="s">
        <v>48</v>
      </c>
      <c r="C40" s="11">
        <v>10258397</v>
      </c>
      <c r="E40" s="11">
        <v>24024979071</v>
      </c>
      <c r="G40" s="11">
        <v>27369713000</v>
      </c>
      <c r="I40" s="11">
        <v>-3344733929</v>
      </c>
      <c r="K40" s="11">
        <v>10258397</v>
      </c>
      <c r="M40" s="11">
        <v>24024979071</v>
      </c>
      <c r="O40" s="11">
        <v>20435508514</v>
      </c>
      <c r="Q40" s="11">
        <v>3589470557</v>
      </c>
    </row>
    <row r="41" spans="1:17" ht="18.75" x14ac:dyDescent="0.45">
      <c r="A41" s="8" t="s">
        <v>49</v>
      </c>
      <c r="C41" s="11">
        <v>5958319</v>
      </c>
      <c r="E41" s="11">
        <v>17644220799</v>
      </c>
      <c r="G41" s="11">
        <v>16933476759</v>
      </c>
      <c r="I41" s="11">
        <v>710744040</v>
      </c>
      <c r="K41" s="11">
        <v>5958319</v>
      </c>
      <c r="M41" s="11">
        <v>17644220799</v>
      </c>
      <c r="O41" s="11">
        <v>14372236995</v>
      </c>
      <c r="Q41" s="11">
        <v>3271983804</v>
      </c>
    </row>
    <row r="42" spans="1:17" ht="18.75" x14ac:dyDescent="0.45">
      <c r="A42" s="8" t="s">
        <v>182</v>
      </c>
      <c r="J42" s="7"/>
      <c r="K42" s="11">
        <v>0</v>
      </c>
      <c r="M42" s="11">
        <v>0</v>
      </c>
      <c r="O42" s="11">
        <v>-3981368184</v>
      </c>
      <c r="Q42" s="11">
        <v>3981368184</v>
      </c>
    </row>
    <row r="43" spans="1:17" ht="37.5" x14ac:dyDescent="0.45">
      <c r="A43" s="8" t="s">
        <v>50</v>
      </c>
      <c r="C43" s="11">
        <v>3250000</v>
      </c>
      <c r="E43" s="11">
        <v>4332318412</v>
      </c>
      <c r="G43" s="11">
        <v>4387239675</v>
      </c>
      <c r="I43" s="11">
        <v>-54921263</v>
      </c>
      <c r="K43" s="11">
        <v>3250000</v>
      </c>
      <c r="M43" s="11">
        <v>4332318412</v>
      </c>
      <c r="O43" s="11">
        <v>3939323661</v>
      </c>
      <c r="Q43" s="11">
        <v>392994751</v>
      </c>
    </row>
    <row r="44" spans="1:17" ht="18.75" x14ac:dyDescent="0.45">
      <c r="A44" s="8" t="s">
        <v>51</v>
      </c>
      <c r="C44" s="11">
        <v>1186353</v>
      </c>
      <c r="E44" s="11">
        <v>73128033320</v>
      </c>
      <c r="G44" s="11">
        <v>86064890690</v>
      </c>
      <c r="I44" s="11">
        <v>-12936857370</v>
      </c>
      <c r="K44" s="11">
        <v>1186353</v>
      </c>
      <c r="M44" s="11">
        <v>73128033320</v>
      </c>
      <c r="O44" s="11">
        <v>56841980423</v>
      </c>
      <c r="Q44" s="11">
        <v>16286052897</v>
      </c>
    </row>
    <row r="45" spans="1:17" ht="18.75" x14ac:dyDescent="0.45">
      <c r="A45" s="8" t="s">
        <v>52</v>
      </c>
      <c r="C45" s="11">
        <v>100000</v>
      </c>
      <c r="E45" s="11">
        <v>11875915350</v>
      </c>
      <c r="G45" s="11">
        <v>11833171200</v>
      </c>
      <c r="I45" s="11">
        <v>42744150</v>
      </c>
      <c r="K45" s="11">
        <v>100000</v>
      </c>
      <c r="M45" s="11">
        <v>11875915350</v>
      </c>
      <c r="O45" s="11">
        <v>9054801450</v>
      </c>
      <c r="Q45" s="11">
        <v>2821113900</v>
      </c>
    </row>
    <row r="46" spans="1:17" ht="18.75" x14ac:dyDescent="0.45">
      <c r="A46" s="8" t="s">
        <v>53</v>
      </c>
      <c r="C46" s="11">
        <v>5530564</v>
      </c>
      <c r="E46" s="11">
        <v>63113104015</v>
      </c>
      <c r="G46" s="11">
        <v>68500808017</v>
      </c>
      <c r="I46" s="11">
        <v>-5387704002</v>
      </c>
      <c r="K46" s="11">
        <v>5530564</v>
      </c>
      <c r="M46" s="11">
        <v>63113104015</v>
      </c>
      <c r="O46" s="11">
        <v>44805905726</v>
      </c>
      <c r="Q46" s="11">
        <v>18307198289</v>
      </c>
    </row>
    <row r="47" spans="1:17" ht="18.75" x14ac:dyDescent="0.45">
      <c r="A47" s="8" t="s">
        <v>54</v>
      </c>
      <c r="C47" s="11">
        <v>5799792</v>
      </c>
      <c r="E47" s="11">
        <v>55750288908</v>
      </c>
      <c r="G47" s="11">
        <v>60962104954</v>
      </c>
      <c r="I47" s="11">
        <v>-5211816046</v>
      </c>
      <c r="K47" s="11">
        <v>5799792</v>
      </c>
      <c r="M47" s="11">
        <v>55750288908</v>
      </c>
      <c r="O47" s="11">
        <v>48140115033</v>
      </c>
      <c r="Q47" s="11">
        <v>7610173875</v>
      </c>
    </row>
    <row r="48" spans="1:17" ht="18.75" x14ac:dyDescent="0.45">
      <c r="A48" s="8" t="s">
        <v>55</v>
      </c>
      <c r="C48" s="11">
        <v>3700000</v>
      </c>
      <c r="E48" s="11">
        <v>68484080700</v>
      </c>
      <c r="G48" s="11">
        <v>70359853050</v>
      </c>
      <c r="I48" s="11">
        <v>-1875772350</v>
      </c>
      <c r="K48" s="11">
        <v>3700000</v>
      </c>
      <c r="M48" s="11">
        <v>68484080700</v>
      </c>
      <c r="O48" s="11">
        <v>44871417000</v>
      </c>
      <c r="Q48" s="11">
        <v>23612663700</v>
      </c>
    </row>
    <row r="49" spans="1:17" ht="18.75" x14ac:dyDescent="0.45">
      <c r="A49" s="8" t="s">
        <v>56</v>
      </c>
      <c r="C49" s="11">
        <v>200000</v>
      </c>
      <c r="E49" s="11">
        <v>6006050100</v>
      </c>
      <c r="G49" s="11">
        <v>6234681600</v>
      </c>
      <c r="I49" s="11">
        <v>-228631500</v>
      </c>
      <c r="K49" s="11">
        <v>200000</v>
      </c>
      <c r="M49" s="11">
        <v>6006050100</v>
      </c>
      <c r="O49" s="11">
        <v>4695892200</v>
      </c>
      <c r="Q49" s="11">
        <v>1310157900</v>
      </c>
    </row>
    <row r="50" spans="1:17" ht="18.75" x14ac:dyDescent="0.45">
      <c r="A50" s="8" t="s">
        <v>57</v>
      </c>
      <c r="C50" s="11">
        <v>21884415</v>
      </c>
      <c r="E50" s="11">
        <v>36721094210</v>
      </c>
      <c r="G50" s="11">
        <v>40897901134</v>
      </c>
      <c r="I50" s="11">
        <v>-4176806924</v>
      </c>
      <c r="K50" s="11">
        <v>21884415</v>
      </c>
      <c r="M50" s="11">
        <v>36721094210</v>
      </c>
      <c r="O50" s="11">
        <v>34393394517</v>
      </c>
      <c r="Q50" s="11">
        <v>2327699693</v>
      </c>
    </row>
    <row r="51" spans="1:17" ht="18.75" x14ac:dyDescent="0.45">
      <c r="A51" s="8" t="s">
        <v>58</v>
      </c>
      <c r="C51" s="11">
        <v>330974</v>
      </c>
      <c r="E51" s="11">
        <v>9804340200</v>
      </c>
      <c r="G51" s="11">
        <v>11409883159</v>
      </c>
      <c r="I51" s="11">
        <v>-1605542959</v>
      </c>
      <c r="K51" s="11">
        <v>330974</v>
      </c>
      <c r="M51" s="11">
        <v>9804340200</v>
      </c>
      <c r="O51" s="11">
        <v>9541136436</v>
      </c>
      <c r="Q51" s="11">
        <v>263203764</v>
      </c>
    </row>
    <row r="52" spans="1:17" ht="18.75" x14ac:dyDescent="0.45">
      <c r="A52" s="8" t="s">
        <v>59</v>
      </c>
      <c r="C52" s="11">
        <v>9448213</v>
      </c>
      <c r="E52" s="11">
        <v>7288188999</v>
      </c>
      <c r="G52" s="11">
        <v>8227388612</v>
      </c>
      <c r="I52" s="11">
        <v>-939199613</v>
      </c>
      <c r="K52" s="11">
        <v>9448213</v>
      </c>
      <c r="M52" s="11">
        <v>7288188999</v>
      </c>
      <c r="O52" s="11">
        <v>7062781092</v>
      </c>
      <c r="Q52" s="11">
        <v>225407907</v>
      </c>
    </row>
    <row r="53" spans="1:17" ht="18.75" x14ac:dyDescent="0.45">
      <c r="A53" s="8" t="s">
        <v>60</v>
      </c>
      <c r="C53" s="11">
        <v>10148510</v>
      </c>
      <c r="E53" s="11">
        <v>29628827135</v>
      </c>
      <c r="G53" s="11">
        <v>31313544239</v>
      </c>
      <c r="I53" s="11">
        <v>-1684717104</v>
      </c>
      <c r="K53" s="11">
        <v>10148510</v>
      </c>
      <c r="M53" s="11">
        <v>29628827135</v>
      </c>
      <c r="O53" s="11">
        <v>38072588903</v>
      </c>
      <c r="Q53" s="11">
        <v>-8443761768</v>
      </c>
    </row>
    <row r="54" spans="1:17" ht="18.75" x14ac:dyDescent="0.45">
      <c r="A54" s="8" t="s">
        <v>61</v>
      </c>
      <c r="C54" s="11">
        <v>249996</v>
      </c>
      <c r="E54" s="11">
        <v>1938366486</v>
      </c>
      <c r="G54" s="11">
        <v>2276338078</v>
      </c>
      <c r="I54" s="11">
        <v>-337971592</v>
      </c>
      <c r="K54" s="11">
        <v>249996</v>
      </c>
      <c r="M54" s="11">
        <v>1938366486</v>
      </c>
      <c r="O54" s="11">
        <v>1732104411</v>
      </c>
      <c r="Q54" s="11">
        <v>206262075</v>
      </c>
    </row>
    <row r="55" spans="1:17" ht="18.75" x14ac:dyDescent="0.45">
      <c r="A55" s="8" t="s">
        <v>62</v>
      </c>
      <c r="C55" s="11">
        <v>3750000</v>
      </c>
      <c r="E55" s="11">
        <v>12938803312</v>
      </c>
      <c r="G55" s="11">
        <v>11823225750</v>
      </c>
      <c r="I55" s="11">
        <v>1115577562</v>
      </c>
      <c r="K55" s="11">
        <v>3750000</v>
      </c>
      <c r="M55" s="11">
        <v>12938803312</v>
      </c>
      <c r="O55" s="11">
        <v>11823225750</v>
      </c>
      <c r="Q55" s="11">
        <v>1115577562</v>
      </c>
    </row>
    <row r="56" spans="1:17" ht="18.75" x14ac:dyDescent="0.45">
      <c r="A56" s="8" t="s">
        <v>63</v>
      </c>
      <c r="C56" s="11">
        <v>22264729</v>
      </c>
      <c r="E56" s="11">
        <v>98422132926</v>
      </c>
      <c r="G56" s="11">
        <v>106699595871</v>
      </c>
      <c r="I56" s="11">
        <v>-8277462945</v>
      </c>
      <c r="K56" s="11">
        <v>22264729</v>
      </c>
      <c r="M56" s="11">
        <v>98422132926</v>
      </c>
      <c r="O56" s="11">
        <v>98798381243</v>
      </c>
      <c r="Q56" s="11">
        <v>-376248317</v>
      </c>
    </row>
    <row r="57" spans="1:17" ht="18.75" x14ac:dyDescent="0.45">
      <c r="A57" s="8" t="s">
        <v>64</v>
      </c>
      <c r="C57" s="11">
        <v>13640509</v>
      </c>
      <c r="E57" s="11">
        <v>142373153700</v>
      </c>
      <c r="G57" s="11">
        <v>115113217139</v>
      </c>
      <c r="I57" s="11">
        <v>27259936561</v>
      </c>
      <c r="K57" s="11">
        <v>13640509</v>
      </c>
      <c r="M57" s="11">
        <v>142373153700</v>
      </c>
      <c r="O57" s="11">
        <v>102449135414</v>
      </c>
      <c r="Q57" s="11">
        <v>39924018286</v>
      </c>
    </row>
    <row r="58" spans="1:17" ht="18.75" x14ac:dyDescent="0.45">
      <c r="A58" s="8" t="s">
        <v>66</v>
      </c>
      <c r="C58" s="11">
        <v>14021442</v>
      </c>
      <c r="E58" s="11">
        <v>47361372999</v>
      </c>
      <c r="G58" s="11">
        <v>50915566677</v>
      </c>
      <c r="I58" s="11">
        <v>-3554193678</v>
      </c>
      <c r="K58" s="11">
        <v>14021442</v>
      </c>
      <c r="M58" s="11">
        <v>47361372999</v>
      </c>
      <c r="O58" s="11">
        <v>51779723571</v>
      </c>
      <c r="Q58" s="11">
        <v>-4418350572</v>
      </c>
    </row>
    <row r="59" spans="1:17" ht="18.75" x14ac:dyDescent="0.45">
      <c r="A59" s="8" t="s">
        <v>67</v>
      </c>
      <c r="C59" s="11">
        <v>800000</v>
      </c>
      <c r="E59" s="11">
        <v>7618399200</v>
      </c>
      <c r="G59" s="11">
        <v>7190523048</v>
      </c>
      <c r="I59" s="11">
        <v>427876152</v>
      </c>
      <c r="K59" s="11">
        <v>800000</v>
      </c>
      <c r="M59" s="11">
        <v>7618399200</v>
      </c>
      <c r="O59" s="11">
        <v>7190523048</v>
      </c>
      <c r="Q59" s="11">
        <v>427876152</v>
      </c>
    </row>
    <row r="60" spans="1:17" ht="18.75" x14ac:dyDescent="0.45">
      <c r="A60" s="8" t="s">
        <v>68</v>
      </c>
      <c r="C60" s="11">
        <v>200000</v>
      </c>
      <c r="E60" s="11">
        <v>1143157500</v>
      </c>
      <c r="G60" s="11">
        <v>1286300700</v>
      </c>
      <c r="I60" s="11">
        <v>-143143200</v>
      </c>
      <c r="K60" s="11">
        <v>200000</v>
      </c>
      <c r="M60" s="11">
        <v>1143157500</v>
      </c>
      <c r="O60" s="11">
        <v>1059657300</v>
      </c>
      <c r="Q60" s="11">
        <v>83500200</v>
      </c>
    </row>
    <row r="61" spans="1:17" ht="18.75" x14ac:dyDescent="0.45">
      <c r="A61" s="8" t="s">
        <v>69</v>
      </c>
      <c r="C61" s="11">
        <v>8231319</v>
      </c>
      <c r="E61" s="11">
        <v>34815867984</v>
      </c>
      <c r="G61" s="11">
        <v>34136733544</v>
      </c>
      <c r="I61" s="11">
        <v>679134440</v>
      </c>
      <c r="K61" s="11">
        <v>8231319</v>
      </c>
      <c r="M61" s="11">
        <v>34815867984</v>
      </c>
      <c r="O61" s="11">
        <v>23663334949</v>
      </c>
      <c r="Q61" s="11">
        <v>11152533035</v>
      </c>
    </row>
    <row r="62" spans="1:17" ht="18.75" x14ac:dyDescent="0.45">
      <c r="A62" s="8" t="s">
        <v>70</v>
      </c>
      <c r="C62" s="11">
        <v>6256631</v>
      </c>
      <c r="E62" s="11">
        <v>37129842152</v>
      </c>
      <c r="G62" s="11">
        <v>39741991851</v>
      </c>
      <c r="I62" s="11">
        <v>-2612149699</v>
      </c>
      <c r="K62" s="11">
        <v>6256631</v>
      </c>
      <c r="M62" s="11">
        <v>37129842152</v>
      </c>
      <c r="O62" s="11">
        <v>33025035482</v>
      </c>
      <c r="Q62" s="11">
        <v>4104806670</v>
      </c>
    </row>
    <row r="63" spans="1:17" ht="18.75" x14ac:dyDescent="0.45">
      <c r="A63" s="8" t="s">
        <v>71</v>
      </c>
      <c r="C63" s="11">
        <v>4666666</v>
      </c>
      <c r="E63" s="11">
        <v>17725234368</v>
      </c>
      <c r="G63" s="11">
        <v>18908153699</v>
      </c>
      <c r="I63" s="11">
        <v>-1182919331</v>
      </c>
      <c r="K63" s="11">
        <v>4666666</v>
      </c>
      <c r="M63" s="11">
        <v>17725234368</v>
      </c>
      <c r="O63" s="11">
        <v>15215589826</v>
      </c>
      <c r="Q63" s="11">
        <v>2509644542</v>
      </c>
    </row>
    <row r="64" spans="1:17" ht="18.75" x14ac:dyDescent="0.45">
      <c r="A64" s="8" t="s">
        <v>72</v>
      </c>
      <c r="C64" s="11">
        <v>16300000</v>
      </c>
      <c r="E64" s="11">
        <v>122332763250</v>
      </c>
      <c r="G64" s="11">
        <v>118768099950</v>
      </c>
      <c r="I64" s="11">
        <v>3564663300</v>
      </c>
      <c r="K64" s="11">
        <v>16300000</v>
      </c>
      <c r="M64" s="11">
        <v>122332763250</v>
      </c>
      <c r="O64" s="11">
        <v>89278612650</v>
      </c>
      <c r="Q64" s="11">
        <v>33054150600</v>
      </c>
    </row>
    <row r="65" spans="1:17" ht="18.75" x14ac:dyDescent="0.45">
      <c r="A65" s="8" t="s">
        <v>73</v>
      </c>
      <c r="C65" s="11">
        <v>444699</v>
      </c>
      <c r="E65" s="11">
        <v>5331159674</v>
      </c>
      <c r="G65" s="11">
        <v>5950033931</v>
      </c>
      <c r="I65" s="11">
        <v>-618874257</v>
      </c>
      <c r="K65" s="11">
        <v>444699</v>
      </c>
      <c r="M65" s="11">
        <v>5331159674</v>
      </c>
      <c r="O65" s="11">
        <v>5720166350</v>
      </c>
      <c r="Q65" s="11">
        <v>-389006676</v>
      </c>
    </row>
    <row r="66" spans="1:17" ht="18.75" x14ac:dyDescent="0.45">
      <c r="A66" s="8" t="s">
        <v>74</v>
      </c>
      <c r="C66" s="11">
        <v>4274063</v>
      </c>
      <c r="E66" s="11">
        <v>35815970501</v>
      </c>
      <c r="G66" s="11">
        <v>39512280624</v>
      </c>
      <c r="I66" s="11">
        <v>-3696310123</v>
      </c>
      <c r="K66" s="11">
        <v>4274063</v>
      </c>
      <c r="M66" s="11">
        <v>35815970501</v>
      </c>
      <c r="O66" s="11">
        <v>37171715918</v>
      </c>
      <c r="Q66" s="11">
        <v>-1355745417</v>
      </c>
    </row>
    <row r="67" spans="1:17" ht="18.75" x14ac:dyDescent="0.45">
      <c r="A67" s="8" t="s">
        <v>75</v>
      </c>
      <c r="C67" s="11">
        <v>250000</v>
      </c>
      <c r="E67" s="11">
        <v>3648163500</v>
      </c>
      <c r="G67" s="11">
        <v>3670529625</v>
      </c>
      <c r="I67" s="11">
        <v>-22366125</v>
      </c>
      <c r="K67" s="11">
        <v>250000</v>
      </c>
      <c r="M67" s="11">
        <v>3648163500</v>
      </c>
      <c r="O67" s="11">
        <v>3484145250</v>
      </c>
      <c r="Q67" s="11">
        <v>164018250</v>
      </c>
    </row>
    <row r="68" spans="1:17" ht="18.75" x14ac:dyDescent="0.45">
      <c r="A68" s="8" t="s">
        <v>76</v>
      </c>
      <c r="C68" s="11">
        <v>15800000</v>
      </c>
      <c r="E68" s="11">
        <v>170252931600</v>
      </c>
      <c r="G68" s="11">
        <v>159572858400</v>
      </c>
      <c r="I68" s="11">
        <v>10680073200</v>
      </c>
      <c r="K68" s="11">
        <v>15800000</v>
      </c>
      <c r="M68" s="11">
        <v>170252931600</v>
      </c>
      <c r="O68" s="11">
        <v>144180988200</v>
      </c>
      <c r="Q68" s="11">
        <v>26071943400</v>
      </c>
    </row>
    <row r="69" spans="1:17" ht="18.75" x14ac:dyDescent="0.45">
      <c r="A69" s="8" t="s">
        <v>77</v>
      </c>
      <c r="C69" s="11">
        <v>6668802</v>
      </c>
      <c r="E69" s="11">
        <v>30261944797</v>
      </c>
      <c r="G69" s="11">
        <v>30759128994</v>
      </c>
      <c r="I69" s="11">
        <v>-497184197</v>
      </c>
      <c r="K69" s="11">
        <v>6668802</v>
      </c>
      <c r="M69" s="11">
        <v>30261944797</v>
      </c>
      <c r="O69" s="11">
        <v>22910247803</v>
      </c>
      <c r="Q69" s="11">
        <v>7351696994</v>
      </c>
    </row>
    <row r="70" spans="1:17" ht="18.75" x14ac:dyDescent="0.45">
      <c r="A70" s="8" t="s">
        <v>78</v>
      </c>
      <c r="C70" s="11">
        <v>5155597</v>
      </c>
      <c r="E70" s="11">
        <v>18880209693</v>
      </c>
      <c r="G70" s="11">
        <v>18383092337</v>
      </c>
      <c r="I70" s="11">
        <v>497117356</v>
      </c>
      <c r="K70" s="11">
        <v>5155597</v>
      </c>
      <c r="M70" s="11">
        <v>18880209693</v>
      </c>
      <c r="O70" s="11">
        <v>12371559772</v>
      </c>
      <c r="Q70" s="11">
        <v>6508649921</v>
      </c>
    </row>
    <row r="71" spans="1:17" ht="18.75" x14ac:dyDescent="0.45">
      <c r="A71" s="8" t="s">
        <v>79</v>
      </c>
      <c r="C71" s="11">
        <v>10319951</v>
      </c>
      <c r="E71" s="11">
        <v>74989980701</v>
      </c>
      <c r="G71" s="11">
        <v>74784809755</v>
      </c>
      <c r="I71" s="11">
        <v>205170946</v>
      </c>
      <c r="K71" s="11">
        <v>10319951</v>
      </c>
      <c r="M71" s="11">
        <v>74989980701</v>
      </c>
      <c r="O71" s="11">
        <v>57246929746</v>
      </c>
      <c r="Q71" s="11">
        <v>17743050955</v>
      </c>
    </row>
    <row r="72" spans="1:17" ht="18.75" x14ac:dyDescent="0.45">
      <c r="A72" s="8" t="s">
        <v>80</v>
      </c>
      <c r="C72" s="11">
        <v>1207911</v>
      </c>
      <c r="E72" s="11">
        <v>44126604411</v>
      </c>
      <c r="G72" s="11">
        <v>43934488582</v>
      </c>
      <c r="I72" s="11">
        <v>192115829</v>
      </c>
      <c r="K72" s="11">
        <v>1207911</v>
      </c>
      <c r="M72" s="11">
        <v>44126604411</v>
      </c>
      <c r="O72" s="11">
        <v>41857236184</v>
      </c>
      <c r="Q72" s="11">
        <v>2269368227</v>
      </c>
    </row>
    <row r="73" spans="1:17" ht="18.75" x14ac:dyDescent="0.45">
      <c r="A73" s="8" t="s">
        <v>81</v>
      </c>
      <c r="C73" s="11">
        <v>411</v>
      </c>
      <c r="E73" s="11">
        <v>1281227</v>
      </c>
      <c r="G73" s="11">
        <v>992379</v>
      </c>
      <c r="I73" s="11">
        <v>288848</v>
      </c>
      <c r="K73" s="11">
        <v>411</v>
      </c>
      <c r="M73" s="11">
        <v>1281227</v>
      </c>
      <c r="O73" s="11">
        <v>999240</v>
      </c>
      <c r="Q73" s="11">
        <v>281987</v>
      </c>
    </row>
    <row r="74" spans="1:17" ht="18.75" x14ac:dyDescent="0.45">
      <c r="A74" s="8" t="s">
        <v>82</v>
      </c>
      <c r="C74" s="11">
        <v>8971553</v>
      </c>
      <c r="E74" s="11">
        <v>42726963296</v>
      </c>
      <c r="G74" s="11">
        <v>35547834627</v>
      </c>
      <c r="I74" s="11">
        <v>7179128669</v>
      </c>
      <c r="K74" s="11">
        <v>8971553</v>
      </c>
      <c r="M74" s="11">
        <v>42726963296</v>
      </c>
      <c r="O74" s="11">
        <v>30785530640</v>
      </c>
      <c r="Q74" s="11">
        <v>11941432656</v>
      </c>
    </row>
    <row r="75" spans="1:17" ht="37.5" x14ac:dyDescent="0.45">
      <c r="A75" s="8" t="s">
        <v>83</v>
      </c>
      <c r="C75" s="11">
        <v>700000</v>
      </c>
      <c r="E75" s="11">
        <v>13568782500</v>
      </c>
      <c r="G75" s="11">
        <v>12337154550</v>
      </c>
      <c r="I75" s="11">
        <v>1231627950</v>
      </c>
      <c r="K75" s="11">
        <v>700000</v>
      </c>
      <c r="M75" s="11">
        <v>13568782500</v>
      </c>
      <c r="O75" s="11">
        <v>9581647950</v>
      </c>
      <c r="Q75" s="11">
        <v>3987134550</v>
      </c>
    </row>
    <row r="76" spans="1:17" ht="18.75" x14ac:dyDescent="0.45">
      <c r="A76" s="8" t="s">
        <v>84</v>
      </c>
      <c r="C76" s="11">
        <v>7700000</v>
      </c>
      <c r="E76" s="11">
        <v>43552312650</v>
      </c>
      <c r="G76" s="11">
        <v>46767070350</v>
      </c>
      <c r="I76" s="11">
        <v>-3214757700</v>
      </c>
      <c r="K76" s="11">
        <v>7700000</v>
      </c>
      <c r="M76" s="11">
        <v>43552312650</v>
      </c>
      <c r="O76" s="11">
        <v>41638766400</v>
      </c>
      <c r="Q76" s="11">
        <v>1913546250</v>
      </c>
    </row>
    <row r="77" spans="1:17" ht="18.75" x14ac:dyDescent="0.45">
      <c r="A77" s="8" t="s">
        <v>85</v>
      </c>
      <c r="C77" s="11">
        <v>10500000</v>
      </c>
      <c r="E77" s="11">
        <v>116482779000</v>
      </c>
      <c r="G77" s="11">
        <v>120344663250</v>
      </c>
      <c r="I77" s="11">
        <v>-3861884250</v>
      </c>
      <c r="K77" s="11">
        <v>10500000</v>
      </c>
      <c r="M77" s="11">
        <v>116482779000</v>
      </c>
      <c r="O77" s="11">
        <v>94042100250</v>
      </c>
      <c r="Q77" s="11">
        <v>22440678750</v>
      </c>
    </row>
    <row r="78" spans="1:17" ht="18.75" x14ac:dyDescent="0.45">
      <c r="A78" s="8" t="s">
        <v>86</v>
      </c>
      <c r="C78" s="11">
        <v>1999999</v>
      </c>
      <c r="E78" s="11">
        <v>11590617205</v>
      </c>
      <c r="G78" s="11">
        <v>11829189085</v>
      </c>
      <c r="I78" s="11">
        <v>-238571880</v>
      </c>
      <c r="K78" s="11">
        <v>1999999</v>
      </c>
      <c r="M78" s="11">
        <v>11590617205</v>
      </c>
      <c r="O78" s="11">
        <v>7151192124</v>
      </c>
      <c r="Q78" s="11">
        <v>4439425081</v>
      </c>
    </row>
    <row r="79" spans="1:17" ht="18.75" x14ac:dyDescent="0.45">
      <c r="A79" s="8" t="s">
        <v>87</v>
      </c>
      <c r="C79" s="11">
        <v>18635760</v>
      </c>
      <c r="E79" s="11">
        <v>87437420516</v>
      </c>
      <c r="G79" s="11">
        <v>87641194166</v>
      </c>
      <c r="I79" s="11">
        <v>-203773650</v>
      </c>
      <c r="K79" s="11">
        <v>18635760</v>
      </c>
      <c r="M79" s="11">
        <v>87437420516</v>
      </c>
      <c r="O79" s="11">
        <v>59261082252</v>
      </c>
      <c r="Q79" s="11">
        <v>28176338264</v>
      </c>
    </row>
    <row r="80" spans="1:17" ht="18.75" x14ac:dyDescent="0.45">
      <c r="A80" s="8" t="s">
        <v>88</v>
      </c>
      <c r="C80" s="11">
        <v>25703048</v>
      </c>
      <c r="E80" s="11">
        <v>44380549519</v>
      </c>
      <c r="G80" s="11">
        <v>47855365141</v>
      </c>
      <c r="I80" s="11">
        <v>-3474815622</v>
      </c>
      <c r="K80" s="11">
        <v>25703048</v>
      </c>
      <c r="M80" s="11">
        <v>44380549519</v>
      </c>
      <c r="O80" s="11">
        <v>40215880797</v>
      </c>
      <c r="Q80" s="11">
        <v>4164668722</v>
      </c>
    </row>
    <row r="81" spans="1:17" ht="18.75" x14ac:dyDescent="0.45">
      <c r="A81" s="8" t="s">
        <v>89</v>
      </c>
      <c r="C81" s="11">
        <v>177678</v>
      </c>
      <c r="E81" s="11">
        <v>7695368949</v>
      </c>
      <c r="G81" s="11">
        <v>8841638044</v>
      </c>
      <c r="I81" s="11">
        <v>-1146269095</v>
      </c>
      <c r="K81" s="11">
        <v>177678</v>
      </c>
      <c r="M81" s="11">
        <v>7695368949</v>
      </c>
      <c r="O81" s="11">
        <v>6411335617</v>
      </c>
      <c r="Q81" s="11">
        <v>1284033332</v>
      </c>
    </row>
    <row r="82" spans="1:17" ht="18.75" x14ac:dyDescent="0.45">
      <c r="A82" s="8" t="s">
        <v>90</v>
      </c>
      <c r="C82" s="11">
        <v>123</v>
      </c>
      <c r="E82" s="11">
        <v>5097359</v>
      </c>
      <c r="G82" s="11">
        <v>4706101</v>
      </c>
      <c r="I82" s="11">
        <v>391258</v>
      </c>
      <c r="K82" s="11">
        <v>123</v>
      </c>
      <c r="M82" s="11">
        <v>5097359</v>
      </c>
      <c r="O82" s="11">
        <v>2749811</v>
      </c>
      <c r="Q82" s="11">
        <v>2347548</v>
      </c>
    </row>
    <row r="83" spans="1:17" ht="18.75" x14ac:dyDescent="0.45">
      <c r="A83" s="8" t="s">
        <v>91</v>
      </c>
      <c r="C83" s="11">
        <v>4260000</v>
      </c>
      <c r="E83" s="11">
        <v>17036009019</v>
      </c>
      <c r="G83" s="11">
        <v>17794011906</v>
      </c>
      <c r="I83" s="11">
        <v>-758002887</v>
      </c>
      <c r="K83" s="11">
        <v>4260000</v>
      </c>
      <c r="M83" s="11">
        <v>17036009019</v>
      </c>
      <c r="O83" s="11">
        <v>14554502361</v>
      </c>
      <c r="Q83" s="11">
        <v>2481506658</v>
      </c>
    </row>
    <row r="84" spans="1:17" ht="18.75" x14ac:dyDescent="0.45">
      <c r="A84" s="8" t="s">
        <v>92</v>
      </c>
      <c r="C84" s="11">
        <v>3009494</v>
      </c>
      <c r="E84" s="11">
        <v>32039902240</v>
      </c>
      <c r="G84" s="11">
        <v>31411668862</v>
      </c>
      <c r="I84" s="11">
        <v>628233378</v>
      </c>
      <c r="K84" s="11">
        <v>3009494</v>
      </c>
      <c r="M84" s="11">
        <v>32039902240</v>
      </c>
      <c r="O84" s="11">
        <v>27103782847</v>
      </c>
      <c r="Q84" s="11">
        <v>4936119393</v>
      </c>
    </row>
    <row r="85" spans="1:17" ht="18.75" x14ac:dyDescent="0.45">
      <c r="A85" s="8" t="s">
        <v>93</v>
      </c>
      <c r="C85" s="11">
        <v>4613772</v>
      </c>
      <c r="E85" s="11">
        <v>32746325204</v>
      </c>
      <c r="G85" s="11">
        <v>38112319670</v>
      </c>
      <c r="I85" s="11">
        <v>-5365994466</v>
      </c>
      <c r="K85" s="11">
        <v>4613772</v>
      </c>
      <c r="M85" s="11">
        <v>32746325204</v>
      </c>
      <c r="O85" s="11">
        <v>31141113184</v>
      </c>
      <c r="Q85" s="11">
        <v>1605212020</v>
      </c>
    </row>
    <row r="86" spans="1:17" ht="18.75" x14ac:dyDescent="0.45">
      <c r="A86" s="8" t="s">
        <v>94</v>
      </c>
      <c r="C86" s="11">
        <v>400000</v>
      </c>
      <c r="E86" s="11">
        <v>1221488640</v>
      </c>
      <c r="G86" s="11">
        <v>1283119740</v>
      </c>
      <c r="I86" s="11">
        <v>-61631100</v>
      </c>
      <c r="K86" s="11">
        <v>400000</v>
      </c>
      <c r="M86" s="11">
        <v>1221488640</v>
      </c>
      <c r="O86" s="11">
        <v>1047728700</v>
      </c>
      <c r="Q86" s="11">
        <v>173759940</v>
      </c>
    </row>
    <row r="87" spans="1:17" ht="18.75" x14ac:dyDescent="0.45">
      <c r="A87" s="8" t="s">
        <v>95</v>
      </c>
      <c r="C87" s="11">
        <v>6744759</v>
      </c>
      <c r="E87" s="11">
        <v>44049403884</v>
      </c>
      <c r="G87" s="11">
        <v>47076364301</v>
      </c>
      <c r="I87" s="11">
        <v>-3026960417</v>
      </c>
      <c r="K87" s="11">
        <v>6744759</v>
      </c>
      <c r="M87" s="11">
        <v>44049403884</v>
      </c>
      <c r="O87" s="11">
        <v>47076364301</v>
      </c>
      <c r="Q87" s="11">
        <v>-3026960417</v>
      </c>
    </row>
    <row r="88" spans="1:17" ht="18.75" x14ac:dyDescent="0.45">
      <c r="A88" s="8" t="s">
        <v>96</v>
      </c>
      <c r="C88" s="11">
        <v>407809</v>
      </c>
      <c r="E88" s="11">
        <v>13620853225</v>
      </c>
      <c r="G88" s="11">
        <v>13697875907</v>
      </c>
      <c r="I88" s="11">
        <v>-77022682</v>
      </c>
      <c r="K88" s="11">
        <v>407809</v>
      </c>
      <c r="M88" s="11">
        <v>13620853225</v>
      </c>
      <c r="O88" s="11">
        <v>14630255740</v>
      </c>
      <c r="Q88" s="11">
        <v>-1009402515</v>
      </c>
    </row>
    <row r="89" spans="1:17" ht="18.75" x14ac:dyDescent="0.45">
      <c r="A89" s="8" t="s">
        <v>97</v>
      </c>
      <c r="C89" s="11">
        <v>3500000</v>
      </c>
      <c r="E89" s="11">
        <v>108376301250</v>
      </c>
      <c r="G89" s="11">
        <v>109688447250</v>
      </c>
      <c r="I89" s="11">
        <v>-1312146000</v>
      </c>
      <c r="K89" s="11">
        <v>3500000</v>
      </c>
      <c r="M89" s="11">
        <v>108376301250</v>
      </c>
      <c r="O89" s="11">
        <v>65304114750</v>
      </c>
      <c r="Q89" s="11">
        <v>43072186500</v>
      </c>
    </row>
    <row r="90" spans="1:17" ht="18.75" x14ac:dyDescent="0.45">
      <c r="A90" s="8" t="s">
        <v>98</v>
      </c>
      <c r="C90" s="11">
        <v>50000</v>
      </c>
      <c r="E90" s="11">
        <v>13307347350</v>
      </c>
      <c r="G90" s="11">
        <v>13971869775</v>
      </c>
      <c r="I90" s="11">
        <v>-664522425</v>
      </c>
      <c r="K90" s="11">
        <v>50000</v>
      </c>
      <c r="M90" s="11">
        <v>13307347350</v>
      </c>
      <c r="O90" s="11">
        <v>12593619450</v>
      </c>
      <c r="Q90" s="11">
        <v>713727900</v>
      </c>
    </row>
    <row r="91" spans="1:17" ht="18.75" x14ac:dyDescent="0.45">
      <c r="A91" s="8" t="s">
        <v>99</v>
      </c>
      <c r="C91" s="11">
        <v>25140703</v>
      </c>
      <c r="E91" s="11">
        <v>63502425291</v>
      </c>
      <c r="G91" s="11">
        <v>61866628815</v>
      </c>
      <c r="I91" s="11">
        <v>1635796476</v>
      </c>
      <c r="K91" s="11">
        <v>25140703</v>
      </c>
      <c r="M91" s="11">
        <v>63502425291</v>
      </c>
      <c r="O91" s="11">
        <v>57897095511</v>
      </c>
      <c r="Q91" s="11">
        <v>5605329780</v>
      </c>
    </row>
    <row r="92" spans="1:17" ht="18.75" x14ac:dyDescent="0.45">
      <c r="A92" s="8" t="s">
        <v>100</v>
      </c>
      <c r="C92" s="11">
        <v>450000</v>
      </c>
      <c r="E92" s="11">
        <v>8879351625</v>
      </c>
      <c r="G92" s="11">
        <v>8713842300</v>
      </c>
      <c r="I92" s="11">
        <v>165509325</v>
      </c>
      <c r="K92" s="11">
        <v>450000</v>
      </c>
      <c r="M92" s="11">
        <v>8879351625</v>
      </c>
      <c r="O92" s="11">
        <v>8423082675</v>
      </c>
      <c r="Q92" s="11">
        <v>456268950</v>
      </c>
    </row>
    <row r="93" spans="1:17" ht="18.75" x14ac:dyDescent="0.45">
      <c r="A93" s="8" t="s">
        <v>101</v>
      </c>
      <c r="C93" s="11">
        <v>3553700</v>
      </c>
      <c r="E93" s="11">
        <v>9583823031</v>
      </c>
      <c r="G93" s="11">
        <v>9802841471</v>
      </c>
      <c r="I93" s="11">
        <v>-219018440</v>
      </c>
      <c r="K93" s="11">
        <v>3553700</v>
      </c>
      <c r="M93" s="11">
        <v>9583823031</v>
      </c>
      <c r="O93" s="11">
        <v>9406224780</v>
      </c>
      <c r="Q93" s="11">
        <v>177598251</v>
      </c>
    </row>
    <row r="94" spans="1:17" ht="37.5" x14ac:dyDescent="0.45">
      <c r="A94" s="8" t="s">
        <v>102</v>
      </c>
      <c r="C94" s="11">
        <v>21600000</v>
      </c>
      <c r="E94" s="11">
        <v>27440551440</v>
      </c>
      <c r="G94" s="11">
        <v>29544756480</v>
      </c>
      <c r="I94" s="11">
        <v>-2104205040</v>
      </c>
      <c r="K94" s="11">
        <v>21600000</v>
      </c>
      <c r="M94" s="11">
        <v>27440551440</v>
      </c>
      <c r="O94" s="11">
        <v>28728840240</v>
      </c>
      <c r="Q94" s="11">
        <v>-1288288800</v>
      </c>
    </row>
    <row r="95" spans="1:17" ht="19.5" thickBot="1" x14ac:dyDescent="0.5">
      <c r="A95" s="13" t="s">
        <v>103</v>
      </c>
      <c r="C95" s="13">
        <f>SUM(C9:$C$94)</f>
        <v>579882117</v>
      </c>
      <c r="E95" s="13">
        <f>SUM(E9:$E$94)</f>
        <v>3111024496063</v>
      </c>
      <c r="G95" s="13">
        <f>SUM(G9:$G$94)</f>
        <v>3232960979543</v>
      </c>
      <c r="I95" s="13">
        <f>SUM(I9:$I$94)</f>
        <v>-121936483480</v>
      </c>
      <c r="K95" s="13">
        <f>SUM(K9:$K$94)</f>
        <v>579882117</v>
      </c>
      <c r="M95" s="13">
        <f>SUM(M9:$M$94)</f>
        <v>3111024496063</v>
      </c>
      <c r="O95" s="13">
        <f>SUM(O9:$O$94)</f>
        <v>2590426037744</v>
      </c>
      <c r="Q95" s="13">
        <f>SUM(Q9:$Q$94)</f>
        <v>520598458319</v>
      </c>
    </row>
    <row r="96" spans="1:17" ht="19.5" thickTop="1" x14ac:dyDescent="0.45">
      <c r="C96" s="15"/>
      <c r="E96" s="15"/>
      <c r="G96" s="15"/>
      <c r="I96" s="15"/>
      <c r="K96" s="15"/>
      <c r="M96" s="15"/>
      <c r="O96" s="15"/>
      <c r="Q96" s="15"/>
    </row>
    <row r="98" spans="1:17" ht="18.75" x14ac:dyDescent="0.45">
      <c r="A98" s="39" t="s">
        <v>178</v>
      </c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1"/>
    </row>
  </sheetData>
  <mergeCells count="7">
    <mergeCell ref="A98:Q98"/>
    <mergeCell ref="A1:Q1"/>
    <mergeCell ref="A2:Q2"/>
    <mergeCell ref="A3:Q3"/>
    <mergeCell ref="A5:Q5"/>
    <mergeCell ref="C7:I7"/>
    <mergeCell ref="K7:Q7"/>
  </mergeCells>
  <pageMargins left="0.7" right="0.7" top="0.75" bottom="0.75" header="0.3" footer="0.3"/>
  <pageSetup paperSize="9" scale="70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C94"/>
  <sheetViews>
    <sheetView rightToLeft="1" view="pageBreakPreview" zoomScale="60" zoomScaleNormal="100" workbookViewId="0">
      <selection activeCell="R13" sqref="R13"/>
    </sheetView>
  </sheetViews>
  <sheetFormatPr defaultRowHeight="18" x14ac:dyDescent="0.45"/>
  <cols>
    <col min="1" max="1" width="21.140625" style="4" bestFit="1" customWidth="1"/>
    <col min="2" max="2" width="1.42578125" style="4" customWidth="1"/>
    <col min="3" max="3" width="17" style="4" customWidth="1"/>
    <col min="4" max="4" width="1.42578125" style="4" customWidth="1"/>
    <col min="5" max="5" width="18.7109375" style="4" bestFit="1" customWidth="1"/>
    <col min="6" max="6" width="1.42578125" style="4" customWidth="1"/>
    <col min="7" max="7" width="17" style="4" customWidth="1"/>
    <col min="8" max="8" width="1.42578125" style="4" customWidth="1"/>
    <col min="9" max="9" width="17.7109375" style="4" bestFit="1" customWidth="1"/>
    <col min="10" max="10" width="1.42578125" style="4" customWidth="1"/>
    <col min="11" max="11" width="11.5703125" style="4" bestFit="1" customWidth="1"/>
    <col min="12" max="12" width="1.42578125" style="4" customWidth="1"/>
    <col min="13" max="13" width="17" style="4" customWidth="1"/>
    <col min="14" max="14" width="1.42578125" style="4" customWidth="1"/>
    <col min="15" max="15" width="18.28515625" style="4" bestFit="1" customWidth="1"/>
    <col min="16" max="16" width="1.42578125" style="4" customWidth="1"/>
    <col min="17" max="17" width="17" style="4" customWidth="1"/>
    <col min="18" max="18" width="1.42578125" style="4" customWidth="1"/>
    <col min="19" max="19" width="17.7109375" style="4" bestFit="1" customWidth="1"/>
    <col min="20" max="20" width="1.42578125" style="4" customWidth="1"/>
    <col min="21" max="21" width="11.5703125" style="4" bestFit="1" customWidth="1"/>
    <col min="22" max="16384" width="9.140625" style="4"/>
  </cols>
  <sheetData>
    <row r="1" spans="1:29" ht="20.100000000000001" customHeight="1" x14ac:dyDescent="0.45">
      <c r="A1" s="33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</row>
    <row r="2" spans="1:29" ht="20.100000000000001" customHeight="1" x14ac:dyDescent="0.45">
      <c r="A2" s="33" t="s">
        <v>139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</row>
    <row r="3" spans="1:29" ht="20.100000000000001" customHeight="1" x14ac:dyDescent="0.45">
      <c r="A3" s="33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</row>
    <row r="5" spans="1:29" ht="21" x14ac:dyDescent="0.45">
      <c r="A5" s="34" t="s">
        <v>183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</row>
    <row r="7" spans="1:29" ht="21" x14ac:dyDescent="0.45">
      <c r="C7" s="27" t="s">
        <v>151</v>
      </c>
      <c r="D7" s="28"/>
      <c r="E7" s="28"/>
      <c r="F7" s="28"/>
      <c r="G7" s="28"/>
      <c r="H7" s="28"/>
      <c r="I7" s="28"/>
      <c r="J7" s="28"/>
      <c r="K7" s="28"/>
      <c r="M7" s="27" t="s">
        <v>7</v>
      </c>
      <c r="N7" s="28"/>
      <c r="O7" s="28"/>
      <c r="P7" s="28"/>
      <c r="Q7" s="28"/>
      <c r="R7" s="28"/>
      <c r="S7" s="28"/>
      <c r="T7" s="28"/>
      <c r="U7" s="28"/>
      <c r="AC7" s="18"/>
    </row>
    <row r="8" spans="1:29" ht="42" x14ac:dyDescent="0.45">
      <c r="A8" s="6" t="s">
        <v>184</v>
      </c>
      <c r="C8" s="16" t="s">
        <v>149</v>
      </c>
      <c r="E8" s="16" t="s">
        <v>185</v>
      </c>
      <c r="G8" s="16" t="s">
        <v>186</v>
      </c>
      <c r="I8" s="16" t="s">
        <v>187</v>
      </c>
      <c r="K8" s="16" t="s">
        <v>188</v>
      </c>
      <c r="M8" s="16" t="s">
        <v>149</v>
      </c>
      <c r="O8" s="16" t="s">
        <v>185</v>
      </c>
      <c r="Q8" s="16" t="s">
        <v>186</v>
      </c>
      <c r="S8" s="16" t="s">
        <v>187</v>
      </c>
      <c r="U8" s="16" t="s">
        <v>188</v>
      </c>
    </row>
    <row r="9" spans="1:29" ht="18.75" x14ac:dyDescent="0.45">
      <c r="A9" s="8" t="s">
        <v>17</v>
      </c>
      <c r="C9" s="11">
        <v>0</v>
      </c>
      <c r="E9" s="11">
        <v>2195608</v>
      </c>
      <c r="G9" s="11">
        <v>0</v>
      </c>
      <c r="I9" s="11">
        <v>2195608</v>
      </c>
      <c r="K9" s="12">
        <v>-3.9550700385429245E-5</v>
      </c>
      <c r="M9" s="11">
        <v>0</v>
      </c>
      <c r="O9" s="11">
        <v>3751545</v>
      </c>
      <c r="Q9" s="11">
        <v>0</v>
      </c>
      <c r="S9" s="11">
        <v>3751545</v>
      </c>
      <c r="U9" s="12">
        <v>5.4078138855296857E-6</v>
      </c>
    </row>
    <row r="10" spans="1:29" ht="18.75" x14ac:dyDescent="0.45">
      <c r="A10" s="8" t="s">
        <v>18</v>
      </c>
      <c r="C10" s="11">
        <v>0</v>
      </c>
      <c r="E10" s="11">
        <v>4970250</v>
      </c>
      <c r="G10" s="11">
        <v>0</v>
      </c>
      <c r="I10" s="11">
        <v>4970250</v>
      </c>
      <c r="K10" s="12">
        <v>-8.9531860236745221E-5</v>
      </c>
      <c r="M10" s="11">
        <v>199000000</v>
      </c>
      <c r="O10" s="11">
        <v>101890125</v>
      </c>
      <c r="Q10" s="11">
        <v>0</v>
      </c>
      <c r="S10" s="11">
        <v>300890125</v>
      </c>
      <c r="U10" s="12">
        <v>4.3373004881822367E-4</v>
      </c>
    </row>
    <row r="11" spans="1:29" ht="18.75" x14ac:dyDescent="0.45">
      <c r="A11" s="8" t="s">
        <v>19</v>
      </c>
      <c r="C11" s="11">
        <v>0</v>
      </c>
      <c r="E11" s="11">
        <v>-182656688</v>
      </c>
      <c r="G11" s="11">
        <v>0</v>
      </c>
      <c r="I11" s="11">
        <v>-182656688</v>
      </c>
      <c r="K11" s="12">
        <v>3.2902958727071634E-3</v>
      </c>
      <c r="M11" s="11">
        <v>0</v>
      </c>
      <c r="O11" s="11">
        <v>258154785</v>
      </c>
      <c r="Q11" s="11">
        <v>0</v>
      </c>
      <c r="S11" s="11">
        <v>258154785</v>
      </c>
      <c r="U11" s="12">
        <v>3.7212749172379133E-4</v>
      </c>
    </row>
    <row r="12" spans="1:29" ht="18.75" x14ac:dyDescent="0.45">
      <c r="A12" s="8" t="s">
        <v>189</v>
      </c>
      <c r="C12" s="11">
        <v>0</v>
      </c>
      <c r="E12" s="11">
        <v>-541864846</v>
      </c>
      <c r="G12" s="11">
        <v>0</v>
      </c>
      <c r="I12" s="11">
        <v>-541864846</v>
      </c>
      <c r="K12" s="12">
        <v>9.7609109520200143E-3</v>
      </c>
      <c r="M12" s="11">
        <v>0</v>
      </c>
      <c r="O12" s="11">
        <v>6543018015</v>
      </c>
      <c r="Q12" s="11">
        <v>24998217</v>
      </c>
      <c r="S12" s="11">
        <v>6568016232</v>
      </c>
      <c r="U12" s="12">
        <v>9.4677284638179648E-3</v>
      </c>
    </row>
    <row r="13" spans="1:29" ht="18.75" x14ac:dyDescent="0.45">
      <c r="A13" s="8" t="s">
        <v>21</v>
      </c>
      <c r="C13" s="11">
        <v>0</v>
      </c>
      <c r="E13" s="11">
        <v>207273143</v>
      </c>
      <c r="G13" s="11">
        <v>0</v>
      </c>
      <c r="I13" s="11">
        <v>207273143</v>
      </c>
      <c r="K13" s="12">
        <v>-3.7337256817880199E-3</v>
      </c>
      <c r="M13" s="11">
        <v>0</v>
      </c>
      <c r="O13" s="11">
        <v>3975875741</v>
      </c>
      <c r="Q13" s="11">
        <v>0</v>
      </c>
      <c r="S13" s="11">
        <v>3975875741</v>
      </c>
      <c r="U13" s="12">
        <v>5.731184362528086E-3</v>
      </c>
    </row>
    <row r="14" spans="1:29" ht="18.75" x14ac:dyDescent="0.45">
      <c r="A14" s="8" t="s">
        <v>22</v>
      </c>
      <c r="C14" s="11">
        <v>0</v>
      </c>
      <c r="E14" s="11">
        <v>-12154307605</v>
      </c>
      <c r="G14" s="11">
        <v>0</v>
      </c>
      <c r="I14" s="11">
        <v>-12154307605</v>
      </c>
      <c r="K14" s="12">
        <v>0.21894226040244849</v>
      </c>
      <c r="M14" s="11">
        <v>0</v>
      </c>
      <c r="O14" s="11">
        <v>-706776453</v>
      </c>
      <c r="Q14" s="11">
        <v>0</v>
      </c>
      <c r="S14" s="11">
        <v>-706776453</v>
      </c>
      <c r="U14" s="12">
        <v>-1.0188110542453362E-3</v>
      </c>
    </row>
    <row r="15" spans="1:29" ht="18.75" x14ac:dyDescent="0.45">
      <c r="A15" s="8" t="s">
        <v>23</v>
      </c>
      <c r="C15" s="11">
        <v>4445453740</v>
      </c>
      <c r="E15" s="11">
        <v>-7562418001</v>
      </c>
      <c r="G15" s="11">
        <v>0</v>
      </c>
      <c r="I15" s="11">
        <v>-3116964261</v>
      </c>
      <c r="K15" s="12">
        <v>5.6147599935371835E-2</v>
      </c>
      <c r="M15" s="11">
        <v>4445453740</v>
      </c>
      <c r="O15" s="11">
        <v>-3507868591</v>
      </c>
      <c r="Q15" s="11">
        <v>140740760</v>
      </c>
      <c r="S15" s="11">
        <v>1078325909</v>
      </c>
      <c r="U15" s="12">
        <v>1.5543958086112843E-3</v>
      </c>
    </row>
    <row r="16" spans="1:29" ht="18.75" x14ac:dyDescent="0.45">
      <c r="A16" s="8" t="s">
        <v>24</v>
      </c>
      <c r="C16" s="11">
        <v>0</v>
      </c>
      <c r="E16" s="11">
        <v>-1815176653</v>
      </c>
      <c r="G16" s="11">
        <v>0</v>
      </c>
      <c r="I16" s="11">
        <v>-1815176653</v>
      </c>
      <c r="K16" s="12">
        <v>3.269778027290357E-2</v>
      </c>
      <c r="M16" s="11">
        <v>0</v>
      </c>
      <c r="O16" s="11">
        <v>11756105038</v>
      </c>
      <c r="Q16" s="11">
        <v>570658428</v>
      </c>
      <c r="S16" s="11">
        <v>12326763466</v>
      </c>
      <c r="U16" s="12">
        <v>1.7768903914273944E-2</v>
      </c>
    </row>
    <row r="17" spans="1:21" ht="18.75" x14ac:dyDescent="0.45">
      <c r="A17" s="8" t="s">
        <v>25</v>
      </c>
      <c r="C17" s="11">
        <v>712500000</v>
      </c>
      <c r="E17" s="11">
        <v>-755478000</v>
      </c>
      <c r="G17" s="11">
        <v>0</v>
      </c>
      <c r="I17" s="11">
        <v>-42978000</v>
      </c>
      <c r="K17" s="12">
        <v>7.7418646733159015E-4</v>
      </c>
      <c r="M17" s="11">
        <v>712500000</v>
      </c>
      <c r="O17" s="11">
        <v>-611340750</v>
      </c>
      <c r="Q17" s="11">
        <v>0</v>
      </c>
      <c r="S17" s="11">
        <v>101159250</v>
      </c>
      <c r="U17" s="12">
        <v>1.4582002796175147E-4</v>
      </c>
    </row>
    <row r="18" spans="1:21" ht="18.75" x14ac:dyDescent="0.45">
      <c r="A18" s="8" t="s">
        <v>190</v>
      </c>
      <c r="C18" s="11">
        <v>0</v>
      </c>
      <c r="E18" s="11">
        <v>-321608034</v>
      </c>
      <c r="G18" s="11">
        <v>0</v>
      </c>
      <c r="I18" s="11">
        <v>-321608034</v>
      </c>
      <c r="K18" s="12">
        <v>5.7933032646451197E-3</v>
      </c>
      <c r="M18" s="11">
        <v>0</v>
      </c>
      <c r="O18" s="11">
        <v>8752332934</v>
      </c>
      <c r="Q18" s="11">
        <v>0</v>
      </c>
      <c r="S18" s="11">
        <v>8752332934</v>
      </c>
      <c r="U18" s="12">
        <v>1.2616398729393883E-2</v>
      </c>
    </row>
    <row r="19" spans="1:21" ht="18.75" x14ac:dyDescent="0.45">
      <c r="A19" s="8" t="s">
        <v>26</v>
      </c>
      <c r="C19" s="11">
        <v>700000000</v>
      </c>
      <c r="E19" s="11">
        <v>-163521225</v>
      </c>
      <c r="G19" s="11">
        <v>0</v>
      </c>
      <c r="I19" s="11">
        <v>536478775</v>
      </c>
      <c r="K19" s="12">
        <v>-9.6638886782918938E-3</v>
      </c>
      <c r="M19" s="11">
        <v>700000000</v>
      </c>
      <c r="O19" s="11">
        <v>1915285838</v>
      </c>
      <c r="Q19" s="11">
        <v>0</v>
      </c>
      <c r="S19" s="11">
        <v>2615285838</v>
      </c>
      <c r="U19" s="12">
        <v>3.7699078831163E-3</v>
      </c>
    </row>
    <row r="20" spans="1:21" ht="18.75" x14ac:dyDescent="0.45">
      <c r="A20" s="8" t="s">
        <v>191</v>
      </c>
      <c r="C20" s="11">
        <v>687500000</v>
      </c>
      <c r="E20" s="11">
        <v>-1330739706</v>
      </c>
      <c r="G20" s="11">
        <v>0</v>
      </c>
      <c r="I20" s="11">
        <v>-643239706</v>
      </c>
      <c r="K20" s="12">
        <v>1.1587032333648627E-2</v>
      </c>
      <c r="M20" s="11">
        <v>687500000</v>
      </c>
      <c r="O20" s="11">
        <v>-53882481</v>
      </c>
      <c r="Q20" s="11">
        <v>0</v>
      </c>
      <c r="S20" s="11">
        <v>633617519</v>
      </c>
      <c r="U20" s="12">
        <v>9.1335319644654924E-4</v>
      </c>
    </row>
    <row r="21" spans="1:21" ht="18.75" x14ac:dyDescent="0.45">
      <c r="A21" s="8" t="s">
        <v>30</v>
      </c>
      <c r="C21" s="11">
        <v>0</v>
      </c>
      <c r="E21" s="11">
        <v>-8070890760</v>
      </c>
      <c r="G21" s="11">
        <v>6039932860</v>
      </c>
      <c r="I21" s="11">
        <v>-2030957900</v>
      </c>
      <c r="K21" s="12">
        <v>3.658476713435211E-2</v>
      </c>
      <c r="M21" s="11">
        <v>0</v>
      </c>
      <c r="O21" s="11">
        <v>29403999000</v>
      </c>
      <c r="Q21" s="11">
        <v>14318341343</v>
      </c>
      <c r="S21" s="11">
        <v>43722340343</v>
      </c>
      <c r="U21" s="12">
        <v>6.3025308030352875E-2</v>
      </c>
    </row>
    <row r="22" spans="1:21" ht="18.75" x14ac:dyDescent="0.45">
      <c r="A22" s="8" t="s">
        <v>31</v>
      </c>
      <c r="C22" s="11">
        <v>0</v>
      </c>
      <c r="E22" s="11">
        <v>-2233387961</v>
      </c>
      <c r="G22" s="11">
        <v>0</v>
      </c>
      <c r="I22" s="11">
        <v>-2233387961</v>
      </c>
      <c r="K22" s="12">
        <v>4.0231251703371336E-2</v>
      </c>
      <c r="M22" s="11">
        <v>0</v>
      </c>
      <c r="O22" s="11">
        <v>50758817292</v>
      </c>
      <c r="Q22" s="11">
        <v>4571895978</v>
      </c>
      <c r="S22" s="11">
        <v>55330713270</v>
      </c>
      <c r="U22" s="12">
        <v>7.9758659303771559E-2</v>
      </c>
    </row>
    <row r="23" spans="1:21" ht="18.75" x14ac:dyDescent="0.45">
      <c r="A23" s="8" t="s">
        <v>181</v>
      </c>
      <c r="C23" s="11">
        <v>0</v>
      </c>
      <c r="E23" s="11">
        <v>-2504990205</v>
      </c>
      <c r="G23" s="11">
        <v>0</v>
      </c>
      <c r="I23" s="11">
        <v>-2504990205</v>
      </c>
      <c r="K23" s="12">
        <v>4.5123773035254916E-2</v>
      </c>
      <c r="M23" s="11">
        <v>0</v>
      </c>
      <c r="O23" s="11">
        <v>2816932380</v>
      </c>
      <c r="Q23" s="11">
        <v>0</v>
      </c>
      <c r="S23" s="11">
        <v>2816932380</v>
      </c>
      <c r="U23" s="12">
        <v>4.0605793184307227E-3</v>
      </c>
    </row>
    <row r="24" spans="1:21" ht="18.75" x14ac:dyDescent="0.45">
      <c r="A24" s="8" t="s">
        <v>33</v>
      </c>
      <c r="C24" s="11">
        <v>1524233883</v>
      </c>
      <c r="E24" s="11">
        <v>-644171815</v>
      </c>
      <c r="G24" s="11">
        <v>0</v>
      </c>
      <c r="I24" s="11">
        <v>880062068</v>
      </c>
      <c r="K24" s="12">
        <v>-1.5853044428718266E-2</v>
      </c>
      <c r="M24" s="11">
        <v>1524233883</v>
      </c>
      <c r="O24" s="11">
        <v>1633110559</v>
      </c>
      <c r="Q24" s="11">
        <v>956045540</v>
      </c>
      <c r="S24" s="11">
        <v>4113389982</v>
      </c>
      <c r="U24" s="12">
        <v>5.929409739522864E-3</v>
      </c>
    </row>
    <row r="25" spans="1:21" ht="37.5" x14ac:dyDescent="0.45">
      <c r="A25" s="8" t="s">
        <v>34</v>
      </c>
      <c r="C25" s="11">
        <v>0</v>
      </c>
      <c r="E25" s="11">
        <v>-652989517</v>
      </c>
      <c r="G25" s="11">
        <v>0</v>
      </c>
      <c r="I25" s="11">
        <v>-652989517</v>
      </c>
      <c r="K25" s="12">
        <v>1.1762661067774009E-2</v>
      </c>
      <c r="M25" s="11">
        <v>0</v>
      </c>
      <c r="O25" s="11">
        <v>-385096382</v>
      </c>
      <c r="Q25" s="11">
        <v>0</v>
      </c>
      <c r="S25" s="11">
        <v>-385096382</v>
      </c>
      <c r="U25" s="12">
        <v>-5.551125101383148E-4</v>
      </c>
    </row>
    <row r="26" spans="1:21" ht="37.5" x14ac:dyDescent="0.45">
      <c r="A26" s="8" t="s">
        <v>35</v>
      </c>
      <c r="C26" s="11">
        <v>0</v>
      </c>
      <c r="E26" s="11">
        <v>-1011023404</v>
      </c>
      <c r="G26" s="11">
        <v>0</v>
      </c>
      <c r="I26" s="11">
        <v>-1011023404</v>
      </c>
      <c r="K26" s="12">
        <v>1.8212123354560919E-2</v>
      </c>
      <c r="M26" s="11">
        <v>0</v>
      </c>
      <c r="O26" s="11">
        <v>1082222235</v>
      </c>
      <c r="Q26" s="11">
        <v>0</v>
      </c>
      <c r="S26" s="11">
        <v>1082222235</v>
      </c>
      <c r="U26" s="12">
        <v>1.5600123228328518E-3</v>
      </c>
    </row>
    <row r="27" spans="1:21" ht="37.5" x14ac:dyDescent="0.45">
      <c r="A27" s="8" t="s">
        <v>36</v>
      </c>
      <c r="C27" s="11">
        <v>0</v>
      </c>
      <c r="E27" s="11">
        <v>103132687</v>
      </c>
      <c r="G27" s="11">
        <v>0</v>
      </c>
      <c r="I27" s="11">
        <v>103132687</v>
      </c>
      <c r="K27" s="12">
        <v>-1.857786090905687E-3</v>
      </c>
      <c r="M27" s="11">
        <v>0</v>
      </c>
      <c r="O27" s="11">
        <v>253979775</v>
      </c>
      <c r="Q27" s="11">
        <v>0</v>
      </c>
      <c r="S27" s="11">
        <v>253979775</v>
      </c>
      <c r="U27" s="12">
        <v>3.6610925735629062E-4</v>
      </c>
    </row>
    <row r="28" spans="1:21" ht="18.75" x14ac:dyDescent="0.45">
      <c r="A28" s="8" t="s">
        <v>37</v>
      </c>
      <c r="C28" s="11">
        <v>0</v>
      </c>
      <c r="E28" s="11">
        <v>-140980617</v>
      </c>
      <c r="G28" s="11">
        <v>0</v>
      </c>
      <c r="I28" s="11">
        <v>-140980617</v>
      </c>
      <c r="K28" s="12">
        <v>2.5395617720102826E-3</v>
      </c>
      <c r="M28" s="11">
        <v>0</v>
      </c>
      <c r="O28" s="11">
        <v>-140980617</v>
      </c>
      <c r="Q28" s="11">
        <v>0</v>
      </c>
      <c r="S28" s="11">
        <v>-140980617</v>
      </c>
      <c r="U28" s="12">
        <v>-2.0322212267296339E-4</v>
      </c>
    </row>
    <row r="29" spans="1:21" ht="37.5" x14ac:dyDescent="0.45">
      <c r="A29" s="8" t="s">
        <v>38</v>
      </c>
      <c r="C29" s="11">
        <v>10632176000</v>
      </c>
      <c r="E29" s="11">
        <v>-13343254623</v>
      </c>
      <c r="G29" s="11">
        <v>0</v>
      </c>
      <c r="I29" s="11">
        <v>-2711078623</v>
      </c>
      <c r="K29" s="12">
        <v>4.8836157610837219E-2</v>
      </c>
      <c r="M29" s="11">
        <v>10632176000</v>
      </c>
      <c r="O29" s="11">
        <v>12748753180</v>
      </c>
      <c r="Q29" s="11">
        <v>0</v>
      </c>
      <c r="S29" s="11">
        <v>23380929180</v>
      </c>
      <c r="U29" s="12">
        <v>3.3703371138075172E-2</v>
      </c>
    </row>
    <row r="30" spans="1:21" ht="18.75" x14ac:dyDescent="0.45">
      <c r="A30" s="8" t="s">
        <v>39</v>
      </c>
      <c r="C30" s="11">
        <v>0</v>
      </c>
      <c r="E30" s="11">
        <v>-208750500</v>
      </c>
      <c r="G30" s="11">
        <v>0</v>
      </c>
      <c r="I30" s="11">
        <v>-208750500</v>
      </c>
      <c r="K30" s="12">
        <v>3.7603381299432994E-3</v>
      </c>
      <c r="M30" s="11">
        <v>0</v>
      </c>
      <c r="O30" s="11">
        <v>785299500</v>
      </c>
      <c r="Q30" s="11">
        <v>0</v>
      </c>
      <c r="S30" s="11">
        <v>785299500</v>
      </c>
      <c r="U30" s="12">
        <v>1.1320012262679827E-3</v>
      </c>
    </row>
    <row r="31" spans="1:21" ht="18.75" x14ac:dyDescent="0.45">
      <c r="A31" s="8" t="s">
        <v>40</v>
      </c>
      <c r="C31" s="11">
        <v>0</v>
      </c>
      <c r="E31" s="11">
        <v>-7556529481</v>
      </c>
      <c r="G31" s="11">
        <v>0</v>
      </c>
      <c r="I31" s="11">
        <v>-7556529481</v>
      </c>
      <c r="K31" s="12">
        <v>0.1361199419280191</v>
      </c>
      <c r="M31" s="11">
        <v>0</v>
      </c>
      <c r="O31" s="11">
        <v>980135623</v>
      </c>
      <c r="Q31" s="11">
        <v>0</v>
      </c>
      <c r="S31" s="11">
        <v>980135623</v>
      </c>
      <c r="U31" s="12">
        <v>1.4128555119988402E-3</v>
      </c>
    </row>
    <row r="32" spans="1:21" ht="18.75" x14ac:dyDescent="0.45">
      <c r="A32" s="8" t="s">
        <v>41</v>
      </c>
      <c r="C32" s="11">
        <v>0</v>
      </c>
      <c r="E32" s="11">
        <v>-6702837241</v>
      </c>
      <c r="G32" s="11">
        <v>0</v>
      </c>
      <c r="I32" s="11">
        <v>-6702837241</v>
      </c>
      <c r="K32" s="12">
        <v>0.1207419117852951</v>
      </c>
      <c r="M32" s="11">
        <v>0</v>
      </c>
      <c r="O32" s="11">
        <v>2987133987</v>
      </c>
      <c r="Q32" s="11">
        <v>0</v>
      </c>
      <c r="S32" s="11">
        <v>2987133987</v>
      </c>
      <c r="U32" s="12">
        <v>4.3059232003977701E-3</v>
      </c>
    </row>
    <row r="33" spans="1:21" ht="18.75" x14ac:dyDescent="0.45">
      <c r="A33" s="8" t="s">
        <v>42</v>
      </c>
      <c r="C33" s="11">
        <v>0</v>
      </c>
      <c r="E33" s="11">
        <v>-263578958</v>
      </c>
      <c r="G33" s="11">
        <v>0</v>
      </c>
      <c r="I33" s="11">
        <v>-263578958</v>
      </c>
      <c r="K33" s="12">
        <v>4.7479934468091017E-3</v>
      </c>
      <c r="M33" s="11">
        <v>0</v>
      </c>
      <c r="O33" s="11">
        <v>706015066</v>
      </c>
      <c r="Q33" s="11">
        <v>13404922812</v>
      </c>
      <c r="S33" s="11">
        <v>14110937878</v>
      </c>
      <c r="U33" s="12">
        <v>2.0340773146662296E-2</v>
      </c>
    </row>
    <row r="34" spans="1:21" ht="18.75" x14ac:dyDescent="0.45">
      <c r="A34" s="8" t="s">
        <v>43</v>
      </c>
      <c r="C34" s="11">
        <v>14908718125</v>
      </c>
      <c r="E34" s="11">
        <v>-7306610198</v>
      </c>
      <c r="G34" s="11">
        <v>0</v>
      </c>
      <c r="I34" s="11">
        <v>7602107927</v>
      </c>
      <c r="K34" s="12">
        <v>-0.13694097166637834</v>
      </c>
      <c r="M34" s="11">
        <v>14908718125</v>
      </c>
      <c r="O34" s="11">
        <v>19245335543</v>
      </c>
      <c r="Q34" s="11">
        <v>0</v>
      </c>
      <c r="S34" s="11">
        <v>34154053668</v>
      </c>
      <c r="U34" s="12">
        <v>4.9232720298686673E-2</v>
      </c>
    </row>
    <row r="35" spans="1:21" ht="37.5" x14ac:dyDescent="0.45">
      <c r="A35" s="8" t="s">
        <v>44</v>
      </c>
      <c r="C35" s="11">
        <v>0</v>
      </c>
      <c r="E35" s="11">
        <v>514669387</v>
      </c>
      <c r="G35" s="11">
        <v>0</v>
      </c>
      <c r="I35" s="11">
        <v>514669387</v>
      </c>
      <c r="K35" s="12">
        <v>-9.2710241185081921E-3</v>
      </c>
      <c r="M35" s="11">
        <v>0</v>
      </c>
      <c r="O35" s="11">
        <v>3209911706</v>
      </c>
      <c r="Q35" s="11">
        <v>0</v>
      </c>
      <c r="S35" s="11">
        <v>3209911706</v>
      </c>
      <c r="U35" s="12">
        <v>4.6270550120100073E-3</v>
      </c>
    </row>
    <row r="36" spans="1:21" ht="18.75" x14ac:dyDescent="0.45">
      <c r="A36" s="8" t="s">
        <v>45</v>
      </c>
      <c r="C36" s="11">
        <v>0</v>
      </c>
      <c r="E36" s="11">
        <v>-1275216008</v>
      </c>
      <c r="G36" s="11">
        <v>0</v>
      </c>
      <c r="I36" s="11">
        <v>-1275216008</v>
      </c>
      <c r="K36" s="12">
        <v>2.297117074592147E-2</v>
      </c>
      <c r="M36" s="11">
        <v>0</v>
      </c>
      <c r="O36" s="11">
        <v>2430168867</v>
      </c>
      <c r="Q36" s="11">
        <v>0</v>
      </c>
      <c r="S36" s="11">
        <v>2430168867</v>
      </c>
      <c r="U36" s="12">
        <v>3.5030636559456288E-3</v>
      </c>
    </row>
    <row r="37" spans="1:21" ht="18.75" x14ac:dyDescent="0.45">
      <c r="A37" s="8" t="s">
        <v>46</v>
      </c>
      <c r="C37" s="11">
        <v>0</v>
      </c>
      <c r="E37" s="11">
        <v>-7417895057</v>
      </c>
      <c r="G37" s="11">
        <v>0</v>
      </c>
      <c r="I37" s="11">
        <v>-7417895057</v>
      </c>
      <c r="K37" s="12">
        <v>0.13362264342722543</v>
      </c>
      <c r="M37" s="11">
        <v>0</v>
      </c>
      <c r="O37" s="11">
        <v>6089316837</v>
      </c>
      <c r="Q37" s="11">
        <v>0</v>
      </c>
      <c r="S37" s="11">
        <v>6089316837</v>
      </c>
      <c r="U37" s="12">
        <v>8.7776881643478379E-3</v>
      </c>
    </row>
    <row r="38" spans="1:21" ht="18.75" x14ac:dyDescent="0.45">
      <c r="A38" s="8" t="s">
        <v>47</v>
      </c>
      <c r="C38" s="11">
        <v>0</v>
      </c>
      <c r="E38" s="11">
        <v>-10705123031</v>
      </c>
      <c r="G38" s="11">
        <v>0</v>
      </c>
      <c r="I38" s="11">
        <v>-10705123031</v>
      </c>
      <c r="K38" s="12">
        <v>0.19283729772720776</v>
      </c>
      <c r="M38" s="11">
        <v>0</v>
      </c>
      <c r="O38" s="11">
        <v>3616439882</v>
      </c>
      <c r="Q38" s="11">
        <v>0</v>
      </c>
      <c r="S38" s="11">
        <v>3616439882</v>
      </c>
      <c r="U38" s="12">
        <v>5.2130612347880507E-3</v>
      </c>
    </row>
    <row r="39" spans="1:21" ht="18.75" x14ac:dyDescent="0.45">
      <c r="A39" s="8" t="s">
        <v>48</v>
      </c>
      <c r="C39" s="11">
        <v>0</v>
      </c>
      <c r="E39" s="11">
        <v>-3344733929</v>
      </c>
      <c r="G39" s="11">
        <v>0</v>
      </c>
      <c r="I39" s="11">
        <v>-3344733929</v>
      </c>
      <c r="K39" s="12">
        <v>6.0250540850123782E-2</v>
      </c>
      <c r="M39" s="11">
        <v>0</v>
      </c>
      <c r="O39" s="11">
        <v>3589470557</v>
      </c>
      <c r="Q39" s="11">
        <v>0</v>
      </c>
      <c r="S39" s="11">
        <v>3589470557</v>
      </c>
      <c r="U39" s="12">
        <v>5.1741852276447637E-3</v>
      </c>
    </row>
    <row r="40" spans="1:21" ht="18.75" x14ac:dyDescent="0.45">
      <c r="A40" s="8" t="s">
        <v>49</v>
      </c>
      <c r="C40" s="11">
        <v>0</v>
      </c>
      <c r="E40" s="11">
        <v>710744040</v>
      </c>
      <c r="G40" s="11">
        <v>0</v>
      </c>
      <c r="I40" s="11">
        <v>710744040</v>
      </c>
      <c r="K40" s="12">
        <v>-1.2803025210679475E-2</v>
      </c>
      <c r="M40" s="11">
        <v>0</v>
      </c>
      <c r="O40" s="11">
        <v>7253351988</v>
      </c>
      <c r="Q40" s="11">
        <v>817741011</v>
      </c>
      <c r="S40" s="11">
        <v>8071092999</v>
      </c>
      <c r="U40" s="12">
        <v>1.1634398305603061E-2</v>
      </c>
    </row>
    <row r="41" spans="1:21" ht="37.5" x14ac:dyDescent="0.45">
      <c r="A41" s="8" t="s">
        <v>50</v>
      </c>
      <c r="C41" s="11">
        <v>0</v>
      </c>
      <c r="E41" s="11">
        <v>-54921263</v>
      </c>
      <c r="G41" s="11">
        <v>0</v>
      </c>
      <c r="I41" s="11">
        <v>-54921263</v>
      </c>
      <c r="K41" s="12">
        <v>9.8932706462281114E-4</v>
      </c>
      <c r="M41" s="11">
        <v>0</v>
      </c>
      <c r="O41" s="11">
        <v>392994751</v>
      </c>
      <c r="Q41" s="11">
        <v>564732799</v>
      </c>
      <c r="S41" s="11">
        <v>957727550</v>
      </c>
      <c r="U41" s="12">
        <v>1.3805545031298641E-3</v>
      </c>
    </row>
    <row r="42" spans="1:21" ht="18.75" x14ac:dyDescent="0.45">
      <c r="A42" s="8" t="s">
        <v>51</v>
      </c>
      <c r="C42" s="11">
        <v>8079063930</v>
      </c>
      <c r="E42" s="11">
        <v>-12936857370</v>
      </c>
      <c r="G42" s="11">
        <v>0</v>
      </c>
      <c r="I42" s="11">
        <v>-4857793440</v>
      </c>
      <c r="K42" s="12">
        <v>8.7506118068318053E-2</v>
      </c>
      <c r="M42" s="11">
        <v>8079063930</v>
      </c>
      <c r="O42" s="11">
        <v>16286052897</v>
      </c>
      <c r="Q42" s="11">
        <v>0</v>
      </c>
      <c r="S42" s="11">
        <v>24365116827</v>
      </c>
      <c r="U42" s="12">
        <v>3.5122067601375859E-2</v>
      </c>
    </row>
    <row r="43" spans="1:21" ht="18.75" x14ac:dyDescent="0.45">
      <c r="A43" s="8" t="s">
        <v>52</v>
      </c>
      <c r="C43" s="11">
        <v>0</v>
      </c>
      <c r="E43" s="11">
        <v>42744150</v>
      </c>
      <c r="G43" s="11">
        <v>0</v>
      </c>
      <c r="I43" s="11">
        <v>42744150</v>
      </c>
      <c r="K43" s="12">
        <v>-7.6997399803600895E-4</v>
      </c>
      <c r="M43" s="11">
        <v>1450000000</v>
      </c>
      <c r="O43" s="11">
        <v>2821113900</v>
      </c>
      <c r="Q43" s="11">
        <v>0</v>
      </c>
      <c r="S43" s="11">
        <v>4271113900</v>
      </c>
      <c r="U43" s="12">
        <v>6.1567671599564583E-3</v>
      </c>
    </row>
    <row r="44" spans="1:21" ht="18.75" x14ac:dyDescent="0.45">
      <c r="A44" s="8" t="s">
        <v>53</v>
      </c>
      <c r="C44" s="11">
        <v>0</v>
      </c>
      <c r="E44" s="11">
        <v>-5387704002</v>
      </c>
      <c r="G44" s="11">
        <v>0</v>
      </c>
      <c r="I44" s="11">
        <v>-5387704002</v>
      </c>
      <c r="K44" s="12">
        <v>9.7051689895682691E-2</v>
      </c>
      <c r="M44" s="11">
        <v>0</v>
      </c>
      <c r="O44" s="11">
        <v>18307198289</v>
      </c>
      <c r="Q44" s="11">
        <v>9408094071</v>
      </c>
      <c r="S44" s="11">
        <v>27715292360</v>
      </c>
      <c r="U44" s="12">
        <v>3.995131149057863E-2</v>
      </c>
    </row>
    <row r="45" spans="1:21" ht="18.75" x14ac:dyDescent="0.45">
      <c r="A45" s="8" t="s">
        <v>54</v>
      </c>
      <c r="C45" s="11">
        <v>0</v>
      </c>
      <c r="E45" s="11">
        <v>-5211816046</v>
      </c>
      <c r="G45" s="11">
        <v>0</v>
      </c>
      <c r="I45" s="11">
        <v>-5211816046</v>
      </c>
      <c r="K45" s="12">
        <v>9.388332293347379E-2</v>
      </c>
      <c r="M45" s="11">
        <v>6240576192</v>
      </c>
      <c r="O45" s="11">
        <v>7610173875</v>
      </c>
      <c r="Q45" s="11">
        <v>685208419</v>
      </c>
      <c r="S45" s="11">
        <v>14535958486</v>
      </c>
      <c r="U45" s="12">
        <v>2.0953436021712086E-2</v>
      </c>
    </row>
    <row r="46" spans="1:21" ht="18.75" x14ac:dyDescent="0.45">
      <c r="A46" s="8" t="s">
        <v>55</v>
      </c>
      <c r="C46" s="11">
        <v>0</v>
      </c>
      <c r="E46" s="11">
        <v>-1875772350</v>
      </c>
      <c r="G46" s="11">
        <v>0</v>
      </c>
      <c r="I46" s="11">
        <v>-1875772350</v>
      </c>
      <c r="K46" s="12">
        <v>3.3789324053347648E-2</v>
      </c>
      <c r="M46" s="11">
        <v>0</v>
      </c>
      <c r="O46" s="11">
        <v>23612663700</v>
      </c>
      <c r="Q46" s="11">
        <v>11077488310</v>
      </c>
      <c r="S46" s="11">
        <v>34690152010</v>
      </c>
      <c r="U46" s="12">
        <v>5.0005500595305015E-2</v>
      </c>
    </row>
    <row r="47" spans="1:21" ht="18.75" x14ac:dyDescent="0.45">
      <c r="A47" s="8" t="s">
        <v>56</v>
      </c>
      <c r="C47" s="11">
        <v>0</v>
      </c>
      <c r="E47" s="11">
        <v>-228631500</v>
      </c>
      <c r="G47" s="11">
        <v>0</v>
      </c>
      <c r="I47" s="11">
        <v>-228631500</v>
      </c>
      <c r="K47" s="12">
        <v>4.1184655708902803E-3</v>
      </c>
      <c r="M47" s="11">
        <v>0</v>
      </c>
      <c r="O47" s="11">
        <v>1310157900</v>
      </c>
      <c r="Q47" s="11">
        <v>0</v>
      </c>
      <c r="S47" s="11">
        <v>1310157900</v>
      </c>
      <c r="U47" s="12">
        <v>1.8885792610394954E-3</v>
      </c>
    </row>
    <row r="48" spans="1:21" ht="18.75" x14ac:dyDescent="0.45">
      <c r="A48" s="8" t="s">
        <v>192</v>
      </c>
      <c r="C48" s="11">
        <v>0</v>
      </c>
      <c r="E48" s="11">
        <v>-939199613</v>
      </c>
      <c r="G48" s="11">
        <v>0</v>
      </c>
      <c r="I48" s="11">
        <v>-939199613</v>
      </c>
      <c r="K48" s="12">
        <v>1.6918321711286394E-2</v>
      </c>
      <c r="M48" s="11">
        <v>0</v>
      </c>
      <c r="O48" s="11">
        <v>225407907</v>
      </c>
      <c r="Q48" s="11">
        <v>0</v>
      </c>
      <c r="S48" s="11">
        <v>225407907</v>
      </c>
      <c r="U48" s="12">
        <v>3.2492320081000867E-4</v>
      </c>
    </row>
    <row r="49" spans="1:21" ht="18.75" x14ac:dyDescent="0.45">
      <c r="A49" s="8" t="s">
        <v>57</v>
      </c>
      <c r="C49" s="11">
        <v>0</v>
      </c>
      <c r="E49" s="11">
        <v>-4176806924</v>
      </c>
      <c r="G49" s="11">
        <v>0</v>
      </c>
      <c r="I49" s="11">
        <v>-4176806924</v>
      </c>
      <c r="K49" s="12">
        <v>7.5239131584012423E-2</v>
      </c>
      <c r="M49" s="11">
        <v>0</v>
      </c>
      <c r="O49" s="11">
        <v>2327699693</v>
      </c>
      <c r="Q49" s="11">
        <v>2921931039</v>
      </c>
      <c r="S49" s="11">
        <v>5249630732</v>
      </c>
      <c r="U49" s="12">
        <v>7.5672892012258863E-3</v>
      </c>
    </row>
    <row r="50" spans="1:21" ht="18.75" x14ac:dyDescent="0.45">
      <c r="A50" s="8" t="s">
        <v>58</v>
      </c>
      <c r="C50" s="11">
        <v>0</v>
      </c>
      <c r="E50" s="11">
        <v>-1605542959</v>
      </c>
      <c r="G50" s="11">
        <v>0</v>
      </c>
      <c r="I50" s="11">
        <v>-1605542959</v>
      </c>
      <c r="K50" s="12">
        <v>2.8921532681309464E-2</v>
      </c>
      <c r="M50" s="11">
        <v>0</v>
      </c>
      <c r="O50" s="11">
        <v>263203764</v>
      </c>
      <c r="Q50" s="11">
        <v>0</v>
      </c>
      <c r="S50" s="11">
        <v>263203764</v>
      </c>
      <c r="U50" s="12">
        <v>3.7940554349817965E-4</v>
      </c>
    </row>
    <row r="51" spans="1:21" ht="18.75" x14ac:dyDescent="0.45">
      <c r="A51" s="8" t="s">
        <v>60</v>
      </c>
      <c r="C51" s="11">
        <v>0</v>
      </c>
      <c r="E51" s="11">
        <v>-1684717104</v>
      </c>
      <c r="G51" s="11">
        <v>0</v>
      </c>
      <c r="I51" s="11">
        <v>-1684717104</v>
      </c>
      <c r="K51" s="12">
        <v>3.0347740313622487E-2</v>
      </c>
      <c r="M51" s="11">
        <v>5683165600</v>
      </c>
      <c r="O51" s="11">
        <v>-8443761768</v>
      </c>
      <c r="Q51" s="11">
        <v>0</v>
      </c>
      <c r="S51" s="11">
        <v>-2760596168</v>
      </c>
      <c r="U51" s="12">
        <v>-3.9793712429546874E-3</v>
      </c>
    </row>
    <row r="52" spans="1:21" ht="18.75" x14ac:dyDescent="0.45">
      <c r="A52" s="8" t="s">
        <v>61</v>
      </c>
      <c r="C52" s="11">
        <v>0</v>
      </c>
      <c r="E52" s="11">
        <v>-337971592</v>
      </c>
      <c r="G52" s="11">
        <v>0</v>
      </c>
      <c r="I52" s="11">
        <v>-337971592</v>
      </c>
      <c r="K52" s="12">
        <v>6.0880690788057499E-3</v>
      </c>
      <c r="M52" s="11">
        <v>0</v>
      </c>
      <c r="O52" s="11">
        <v>206262075</v>
      </c>
      <c r="Q52" s="11">
        <v>0</v>
      </c>
      <c r="S52" s="11">
        <v>206262075</v>
      </c>
      <c r="U52" s="12">
        <v>2.9732467909705616E-4</v>
      </c>
    </row>
    <row r="53" spans="1:21" ht="18.75" x14ac:dyDescent="0.45">
      <c r="A53" s="8" t="s">
        <v>62</v>
      </c>
      <c r="C53" s="11">
        <v>0</v>
      </c>
      <c r="E53" s="11">
        <v>1115577562</v>
      </c>
      <c r="G53" s="11">
        <v>0</v>
      </c>
      <c r="I53" s="11">
        <v>1115577562</v>
      </c>
      <c r="K53" s="12">
        <v>-2.0095515188216482E-2</v>
      </c>
      <c r="M53" s="11">
        <v>0</v>
      </c>
      <c r="O53" s="11">
        <v>1115577562</v>
      </c>
      <c r="Q53" s="11">
        <v>0</v>
      </c>
      <c r="S53" s="11">
        <v>1115577562</v>
      </c>
      <c r="U53" s="12">
        <v>1.6080936867794346E-3</v>
      </c>
    </row>
    <row r="54" spans="1:21" ht="18.75" x14ac:dyDescent="0.45">
      <c r="A54" s="8" t="s">
        <v>63</v>
      </c>
      <c r="C54" s="11">
        <v>0</v>
      </c>
      <c r="E54" s="11">
        <v>-8277462945</v>
      </c>
      <c r="G54" s="11">
        <v>0</v>
      </c>
      <c r="I54" s="11">
        <v>-8277462945</v>
      </c>
      <c r="K54" s="12">
        <v>0.14910651486476081</v>
      </c>
      <c r="M54" s="11">
        <v>0</v>
      </c>
      <c r="O54" s="11">
        <v>-376248317</v>
      </c>
      <c r="Q54" s="11">
        <v>42201830</v>
      </c>
      <c r="S54" s="11">
        <v>-334046487</v>
      </c>
      <c r="U54" s="12">
        <v>-4.8152460674495755E-4</v>
      </c>
    </row>
    <row r="55" spans="1:21" ht="18.75" x14ac:dyDescent="0.45">
      <c r="A55" s="8" t="s">
        <v>64</v>
      </c>
      <c r="C55" s="11">
        <v>0</v>
      </c>
      <c r="E55" s="11">
        <v>21639578929</v>
      </c>
      <c r="G55" s="11">
        <v>0</v>
      </c>
      <c r="I55" s="11">
        <v>21639578929</v>
      </c>
      <c r="K55" s="12">
        <v>-0.38980569513671243</v>
      </c>
      <c r="M55" s="11">
        <v>0</v>
      </c>
      <c r="O55" s="11">
        <v>39924018286</v>
      </c>
      <c r="Q55" s="11">
        <v>0</v>
      </c>
      <c r="S55" s="11">
        <v>39924018286</v>
      </c>
      <c r="U55" s="12">
        <v>5.7550065493862365E-2</v>
      </c>
    </row>
    <row r="56" spans="1:21" ht="18.75" x14ac:dyDescent="0.45">
      <c r="A56" s="8" t="s">
        <v>66</v>
      </c>
      <c r="C56" s="11">
        <v>0</v>
      </c>
      <c r="E56" s="11">
        <v>-3554193678</v>
      </c>
      <c r="G56" s="11">
        <v>0</v>
      </c>
      <c r="I56" s="11">
        <v>-3554193678</v>
      </c>
      <c r="K56" s="12">
        <v>6.4023655074295957E-2</v>
      </c>
      <c r="M56" s="11">
        <v>0</v>
      </c>
      <c r="O56" s="11">
        <v>-4418350572</v>
      </c>
      <c r="Q56" s="11">
        <v>0</v>
      </c>
      <c r="S56" s="11">
        <v>-4418350572</v>
      </c>
      <c r="U56" s="12">
        <v>-6.3690073221565058E-3</v>
      </c>
    </row>
    <row r="57" spans="1:21" ht="18.75" x14ac:dyDescent="0.45">
      <c r="A57" s="8" t="s">
        <v>67</v>
      </c>
      <c r="C57" s="11">
        <v>0</v>
      </c>
      <c r="E57" s="11">
        <v>427876152</v>
      </c>
      <c r="G57" s="11">
        <v>0</v>
      </c>
      <c r="I57" s="11">
        <v>427876152</v>
      </c>
      <c r="K57" s="12">
        <v>-7.7075696070620899E-3</v>
      </c>
      <c r="M57" s="11">
        <v>0</v>
      </c>
      <c r="O57" s="11">
        <v>427876152</v>
      </c>
      <c r="Q57" s="11">
        <v>0</v>
      </c>
      <c r="S57" s="11">
        <v>427876152</v>
      </c>
      <c r="U57" s="12">
        <v>6.1677911262496136E-4</v>
      </c>
    </row>
    <row r="58" spans="1:21" ht="18.75" x14ac:dyDescent="0.45">
      <c r="A58" s="8" t="s">
        <v>68</v>
      </c>
      <c r="C58" s="11">
        <v>0</v>
      </c>
      <c r="E58" s="11">
        <v>-143143200</v>
      </c>
      <c r="G58" s="11">
        <v>0</v>
      </c>
      <c r="I58" s="11">
        <v>-143143200</v>
      </c>
      <c r="K58" s="12">
        <v>2.5785175748182622E-3</v>
      </c>
      <c r="M58" s="11">
        <v>0</v>
      </c>
      <c r="O58" s="11">
        <v>83500200</v>
      </c>
      <c r="Q58" s="11">
        <v>0</v>
      </c>
      <c r="S58" s="11">
        <v>83500200</v>
      </c>
      <c r="U58" s="12">
        <v>1.2036468735001336E-4</v>
      </c>
    </row>
    <row r="59" spans="1:21" ht="18.75" x14ac:dyDescent="0.45">
      <c r="A59" s="8" t="s">
        <v>69</v>
      </c>
      <c r="C59" s="11">
        <v>3292527600</v>
      </c>
      <c r="E59" s="11">
        <v>679134440</v>
      </c>
      <c r="G59" s="11">
        <v>0</v>
      </c>
      <c r="I59" s="11">
        <v>3971662040</v>
      </c>
      <c r="K59" s="12">
        <v>-7.1543743407849983E-2</v>
      </c>
      <c r="M59" s="11">
        <v>3292527600</v>
      </c>
      <c r="O59" s="11">
        <v>11152533035</v>
      </c>
      <c r="Q59" s="11">
        <v>0</v>
      </c>
      <c r="S59" s="11">
        <v>14445060635</v>
      </c>
      <c r="U59" s="12">
        <v>2.0822407695834984E-2</v>
      </c>
    </row>
    <row r="60" spans="1:21" ht="18.75" x14ac:dyDescent="0.45">
      <c r="A60" s="8" t="s">
        <v>70</v>
      </c>
      <c r="C60" s="11">
        <v>0</v>
      </c>
      <c r="E60" s="11">
        <v>-2612149699</v>
      </c>
      <c r="G60" s="11">
        <v>0</v>
      </c>
      <c r="I60" s="11">
        <v>-2612149699</v>
      </c>
      <c r="K60" s="12">
        <v>4.7054096226210776E-2</v>
      </c>
      <c r="M60" s="11">
        <v>0</v>
      </c>
      <c r="O60" s="11">
        <v>4104806670</v>
      </c>
      <c r="Q60" s="11">
        <v>0</v>
      </c>
      <c r="S60" s="11">
        <v>4104806670</v>
      </c>
      <c r="U60" s="12">
        <v>5.9170369827473406E-3</v>
      </c>
    </row>
    <row r="61" spans="1:21" ht="18.75" x14ac:dyDescent="0.45">
      <c r="A61" s="8" t="s">
        <v>71</v>
      </c>
      <c r="C61" s="11">
        <v>0</v>
      </c>
      <c r="E61" s="11">
        <v>-1182919331</v>
      </c>
      <c r="G61" s="11">
        <v>0</v>
      </c>
      <c r="I61" s="11">
        <v>-1182919331</v>
      </c>
      <c r="K61" s="12">
        <v>2.130857969205496E-2</v>
      </c>
      <c r="M61" s="11">
        <v>0</v>
      </c>
      <c r="O61" s="11">
        <v>2509644542</v>
      </c>
      <c r="Q61" s="11">
        <v>0</v>
      </c>
      <c r="S61" s="11">
        <v>2509644542</v>
      </c>
      <c r="U61" s="12">
        <v>3.6176270315220497E-3</v>
      </c>
    </row>
    <row r="62" spans="1:21" ht="18.75" x14ac:dyDescent="0.45">
      <c r="A62" s="8" t="s">
        <v>72</v>
      </c>
      <c r="C62" s="11">
        <v>0</v>
      </c>
      <c r="E62" s="11">
        <v>3564663300</v>
      </c>
      <c r="G62" s="11">
        <v>0</v>
      </c>
      <c r="I62" s="11">
        <v>3564663300</v>
      </c>
      <c r="K62" s="12">
        <v>-6.4212250161793674E-2</v>
      </c>
      <c r="M62" s="11">
        <v>0</v>
      </c>
      <c r="O62" s="11">
        <v>33054150600</v>
      </c>
      <c r="Q62" s="11">
        <v>3712932513</v>
      </c>
      <c r="S62" s="11">
        <v>36767083113</v>
      </c>
      <c r="U62" s="12">
        <v>5.2999375614288358E-2</v>
      </c>
    </row>
    <row r="63" spans="1:21" ht="18.75" x14ac:dyDescent="0.45">
      <c r="A63" s="8" t="s">
        <v>73</v>
      </c>
      <c r="C63" s="11">
        <v>0</v>
      </c>
      <c r="E63" s="11">
        <v>-618874257</v>
      </c>
      <c r="G63" s="11">
        <v>0</v>
      </c>
      <c r="I63" s="11">
        <v>-618874257</v>
      </c>
      <c r="K63" s="12">
        <v>1.1148124034373229E-2</v>
      </c>
      <c r="M63" s="11">
        <v>0</v>
      </c>
      <c r="O63" s="11">
        <v>-389006676</v>
      </c>
      <c r="Q63" s="11">
        <v>0</v>
      </c>
      <c r="S63" s="11">
        <v>-389006676</v>
      </c>
      <c r="U63" s="12">
        <v>-5.6074915908953444E-4</v>
      </c>
    </row>
    <row r="64" spans="1:21" ht="18.75" x14ac:dyDescent="0.45">
      <c r="A64" s="8" t="s">
        <v>74</v>
      </c>
      <c r="C64" s="11">
        <v>2863622210</v>
      </c>
      <c r="E64" s="11">
        <v>-3696310123</v>
      </c>
      <c r="G64" s="11">
        <v>0</v>
      </c>
      <c r="I64" s="11">
        <v>-832687913</v>
      </c>
      <c r="K64" s="12">
        <v>1.4999667591679103E-2</v>
      </c>
      <c r="M64" s="11">
        <v>2863622210</v>
      </c>
      <c r="O64" s="11">
        <v>-1355745417</v>
      </c>
      <c r="Q64" s="11">
        <v>0</v>
      </c>
      <c r="S64" s="11">
        <v>1507876793</v>
      </c>
      <c r="U64" s="12">
        <v>2.1735890303470626E-3</v>
      </c>
    </row>
    <row r="65" spans="1:21" ht="18.75" x14ac:dyDescent="0.45">
      <c r="A65" s="8" t="s">
        <v>75</v>
      </c>
      <c r="C65" s="11">
        <v>0</v>
      </c>
      <c r="E65" s="11">
        <v>-22366125</v>
      </c>
      <c r="G65" s="11">
        <v>0</v>
      </c>
      <c r="I65" s="11">
        <v>-22366125</v>
      </c>
      <c r="K65" s="12">
        <v>4.028933710653535E-4</v>
      </c>
      <c r="M65" s="11">
        <v>0</v>
      </c>
      <c r="O65" s="11">
        <v>164018250</v>
      </c>
      <c r="Q65" s="11">
        <v>0</v>
      </c>
      <c r="S65" s="11">
        <v>164018250</v>
      </c>
      <c r="U65" s="12">
        <v>2.3643063586609766E-4</v>
      </c>
    </row>
    <row r="66" spans="1:21" ht="18.75" x14ac:dyDescent="0.45">
      <c r="A66" s="8" t="s">
        <v>76</v>
      </c>
      <c r="C66" s="11">
        <v>0</v>
      </c>
      <c r="E66" s="11">
        <v>10680073200</v>
      </c>
      <c r="G66" s="11">
        <v>0</v>
      </c>
      <c r="I66" s="11">
        <v>10680073200</v>
      </c>
      <c r="K66" s="12">
        <v>-0.19238606127671812</v>
      </c>
      <c r="M66" s="11">
        <v>0</v>
      </c>
      <c r="O66" s="11">
        <v>26071943400</v>
      </c>
      <c r="Q66" s="11">
        <v>657310500</v>
      </c>
      <c r="S66" s="11">
        <v>26729253900</v>
      </c>
      <c r="U66" s="12">
        <v>3.8529947099200067E-2</v>
      </c>
    </row>
    <row r="67" spans="1:21" ht="18.75" x14ac:dyDescent="0.45">
      <c r="A67" s="8" t="s">
        <v>77</v>
      </c>
      <c r="C67" s="11">
        <v>0</v>
      </c>
      <c r="E67" s="11">
        <v>-497184197</v>
      </c>
      <c r="G67" s="11">
        <v>0</v>
      </c>
      <c r="I67" s="11">
        <v>-497184197</v>
      </c>
      <c r="K67" s="12">
        <v>8.9560537272214483E-3</v>
      </c>
      <c r="M67" s="11">
        <v>0</v>
      </c>
      <c r="O67" s="11">
        <v>7351696994</v>
      </c>
      <c r="Q67" s="11">
        <v>1916003300</v>
      </c>
      <c r="S67" s="11">
        <v>9267700294</v>
      </c>
      <c r="U67" s="12">
        <v>1.3359295526728522E-2</v>
      </c>
    </row>
    <row r="68" spans="1:21" ht="18.75" x14ac:dyDescent="0.45">
      <c r="A68" s="8" t="s">
        <v>78</v>
      </c>
      <c r="C68" s="11">
        <v>0</v>
      </c>
      <c r="E68" s="11">
        <v>497117356</v>
      </c>
      <c r="G68" s="11">
        <v>0</v>
      </c>
      <c r="I68" s="11">
        <v>497117356</v>
      </c>
      <c r="K68" s="12">
        <v>-8.9548496833463751E-3</v>
      </c>
      <c r="M68" s="11">
        <v>0</v>
      </c>
      <c r="O68" s="11">
        <v>6508649921</v>
      </c>
      <c r="Q68" s="11">
        <v>0</v>
      </c>
      <c r="S68" s="11">
        <v>6508649921</v>
      </c>
      <c r="U68" s="12">
        <v>9.3821525315131472E-3</v>
      </c>
    </row>
    <row r="69" spans="1:21" ht="18.75" x14ac:dyDescent="0.45">
      <c r="A69" s="8" t="s">
        <v>79</v>
      </c>
      <c r="C69" s="11">
        <v>0</v>
      </c>
      <c r="E69" s="11">
        <v>205170946</v>
      </c>
      <c r="G69" s="11">
        <v>0</v>
      </c>
      <c r="I69" s="11">
        <v>205170946</v>
      </c>
      <c r="K69" s="12">
        <v>-3.6958576453725266E-3</v>
      </c>
      <c r="M69" s="11">
        <v>0</v>
      </c>
      <c r="O69" s="11">
        <v>17743050955</v>
      </c>
      <c r="Q69" s="11">
        <v>360553050</v>
      </c>
      <c r="S69" s="11">
        <v>18103604005</v>
      </c>
      <c r="U69" s="12">
        <v>2.6096160679498669E-2</v>
      </c>
    </row>
    <row r="70" spans="1:21" ht="18.75" x14ac:dyDescent="0.45">
      <c r="A70" s="8" t="s">
        <v>80</v>
      </c>
      <c r="C70" s="11">
        <v>0</v>
      </c>
      <c r="E70" s="11">
        <v>192115829</v>
      </c>
      <c r="G70" s="11">
        <v>0</v>
      </c>
      <c r="I70" s="11">
        <v>192115829</v>
      </c>
      <c r="K70" s="12">
        <v>-3.4606886074733554E-3</v>
      </c>
      <c r="M70" s="11">
        <v>3140568600</v>
      </c>
      <c r="O70" s="11">
        <v>2269368227</v>
      </c>
      <c r="Q70" s="11">
        <v>967670096</v>
      </c>
      <c r="S70" s="11">
        <v>6377606923</v>
      </c>
      <c r="U70" s="12">
        <v>9.1932553853544749E-3</v>
      </c>
    </row>
    <row r="71" spans="1:21" ht="18.75" x14ac:dyDescent="0.45">
      <c r="A71" s="8" t="s">
        <v>81</v>
      </c>
      <c r="C71" s="11">
        <v>117135</v>
      </c>
      <c r="E71" s="11">
        <v>288848</v>
      </c>
      <c r="G71" s="11">
        <v>0</v>
      </c>
      <c r="I71" s="11">
        <v>405983</v>
      </c>
      <c r="K71" s="12">
        <v>-7.3131961600512118E-6</v>
      </c>
      <c r="M71" s="11">
        <v>117135</v>
      </c>
      <c r="O71" s="11">
        <v>281987</v>
      </c>
      <c r="Q71" s="11">
        <v>0</v>
      </c>
      <c r="S71" s="11">
        <v>399122</v>
      </c>
      <c r="U71" s="12">
        <v>5.7533029555033437E-7</v>
      </c>
    </row>
    <row r="72" spans="1:21" ht="18.75" x14ac:dyDescent="0.45">
      <c r="A72" s="8" t="s">
        <v>82</v>
      </c>
      <c r="C72" s="11">
        <v>0</v>
      </c>
      <c r="E72" s="11">
        <v>7179128669</v>
      </c>
      <c r="G72" s="11">
        <v>0</v>
      </c>
      <c r="I72" s="11">
        <v>7179128669</v>
      </c>
      <c r="K72" s="12">
        <v>-0.12932161251738217</v>
      </c>
      <c r="M72" s="11">
        <v>0</v>
      </c>
      <c r="O72" s="11">
        <v>11941432656</v>
      </c>
      <c r="Q72" s="11">
        <v>0</v>
      </c>
      <c r="S72" s="11">
        <v>11941432656</v>
      </c>
      <c r="U72" s="12">
        <v>1.7213453478562683E-2</v>
      </c>
    </row>
    <row r="73" spans="1:21" ht="37.5" x14ac:dyDescent="0.45">
      <c r="A73" s="8" t="s">
        <v>83</v>
      </c>
      <c r="C73" s="11">
        <v>0</v>
      </c>
      <c r="E73" s="11">
        <v>1231627950</v>
      </c>
      <c r="G73" s="11">
        <v>0</v>
      </c>
      <c r="I73" s="11">
        <v>1231627950</v>
      </c>
      <c r="K73" s="12">
        <v>-2.2185994966665467E-2</v>
      </c>
      <c r="M73" s="11">
        <v>0</v>
      </c>
      <c r="O73" s="11">
        <v>3987134550</v>
      </c>
      <c r="Q73" s="11">
        <v>0</v>
      </c>
      <c r="S73" s="11">
        <v>3987134550</v>
      </c>
      <c r="U73" s="12">
        <v>5.7474138209631376E-3</v>
      </c>
    </row>
    <row r="74" spans="1:21" ht="18.75" x14ac:dyDescent="0.45">
      <c r="A74" s="8" t="s">
        <v>84</v>
      </c>
      <c r="C74" s="11">
        <v>0</v>
      </c>
      <c r="E74" s="11">
        <v>-3214757700</v>
      </c>
      <c r="G74" s="11">
        <v>0</v>
      </c>
      <c r="I74" s="11">
        <v>-3214757700</v>
      </c>
      <c r="K74" s="12">
        <v>5.7909207201126807E-2</v>
      </c>
      <c r="M74" s="11">
        <v>0</v>
      </c>
      <c r="O74" s="11">
        <v>1913546250</v>
      </c>
      <c r="Q74" s="11">
        <v>0</v>
      </c>
      <c r="S74" s="11">
        <v>1913546250</v>
      </c>
      <c r="U74" s="12">
        <v>2.758357418437806E-3</v>
      </c>
    </row>
    <row r="75" spans="1:21" ht="18.75" x14ac:dyDescent="0.45">
      <c r="A75" s="8" t="s">
        <v>85</v>
      </c>
      <c r="C75" s="11">
        <v>0</v>
      </c>
      <c r="E75" s="11">
        <v>-3861884250</v>
      </c>
      <c r="G75" s="11">
        <v>0</v>
      </c>
      <c r="I75" s="11">
        <v>-3861884250</v>
      </c>
      <c r="K75" s="12">
        <v>6.9566255403951033E-2</v>
      </c>
      <c r="M75" s="11">
        <v>0</v>
      </c>
      <c r="O75" s="11">
        <v>22440678750</v>
      </c>
      <c r="Q75" s="11">
        <v>1690887600</v>
      </c>
      <c r="S75" s="11">
        <v>24131566350</v>
      </c>
      <c r="U75" s="12">
        <v>3.4785406968891729E-2</v>
      </c>
    </row>
    <row r="76" spans="1:21" ht="18.75" x14ac:dyDescent="0.45">
      <c r="A76" s="8" t="s">
        <v>86</v>
      </c>
      <c r="C76" s="11">
        <v>0</v>
      </c>
      <c r="E76" s="11">
        <v>-238571880</v>
      </c>
      <c r="G76" s="11">
        <v>0</v>
      </c>
      <c r="I76" s="11">
        <v>-238571880</v>
      </c>
      <c r="K76" s="12">
        <v>4.297527129737448E-3</v>
      </c>
      <c r="M76" s="11">
        <v>0</v>
      </c>
      <c r="O76" s="11">
        <v>4439425081</v>
      </c>
      <c r="Q76" s="11">
        <v>0</v>
      </c>
      <c r="S76" s="11">
        <v>4439425081</v>
      </c>
      <c r="U76" s="12">
        <v>6.3993860121098244E-3</v>
      </c>
    </row>
    <row r="77" spans="1:21" ht="18.75" x14ac:dyDescent="0.45">
      <c r="A77" s="8" t="s">
        <v>87</v>
      </c>
      <c r="C77" s="11">
        <v>0</v>
      </c>
      <c r="E77" s="11">
        <v>-203773650</v>
      </c>
      <c r="G77" s="11">
        <v>0</v>
      </c>
      <c r="I77" s="11">
        <v>-203773650</v>
      </c>
      <c r="K77" s="12">
        <v>3.6706873802588276E-3</v>
      </c>
      <c r="M77" s="11">
        <v>0</v>
      </c>
      <c r="O77" s="11">
        <v>28176338264</v>
      </c>
      <c r="Q77" s="11">
        <v>0</v>
      </c>
      <c r="S77" s="11">
        <v>28176338264</v>
      </c>
      <c r="U77" s="12">
        <v>4.0615904462678869E-2</v>
      </c>
    </row>
    <row r="78" spans="1:21" ht="18.75" x14ac:dyDescent="0.45">
      <c r="A78" s="8" t="s">
        <v>88</v>
      </c>
      <c r="C78" s="11">
        <v>0</v>
      </c>
      <c r="E78" s="11">
        <v>-3474815622</v>
      </c>
      <c r="G78" s="11">
        <v>0</v>
      </c>
      <c r="I78" s="11">
        <v>-3474815622</v>
      </c>
      <c r="K78" s="12">
        <v>6.2593774280441203E-2</v>
      </c>
      <c r="M78" s="11">
        <v>0</v>
      </c>
      <c r="O78" s="11">
        <v>4164668722</v>
      </c>
      <c r="Q78" s="11">
        <v>0</v>
      </c>
      <c r="S78" s="11">
        <v>4164668722</v>
      </c>
      <c r="U78" s="12">
        <v>6.0033275206515637E-3</v>
      </c>
    </row>
    <row r="79" spans="1:21" ht="18.75" x14ac:dyDescent="0.45">
      <c r="A79" s="8" t="s">
        <v>89</v>
      </c>
      <c r="C79" s="11">
        <v>0</v>
      </c>
      <c r="E79" s="11">
        <v>-1146269095</v>
      </c>
      <c r="G79" s="11">
        <v>0</v>
      </c>
      <c r="I79" s="11">
        <v>-1146269095</v>
      </c>
      <c r="K79" s="12">
        <v>2.0648378734920866E-2</v>
      </c>
      <c r="M79" s="11">
        <v>0</v>
      </c>
      <c r="O79" s="11">
        <v>1284033332</v>
      </c>
      <c r="Q79" s="11">
        <v>0</v>
      </c>
      <c r="S79" s="11">
        <v>1284033332</v>
      </c>
      <c r="U79" s="12">
        <v>1.8509209625027952E-3</v>
      </c>
    </row>
    <row r="80" spans="1:21" ht="18.75" x14ac:dyDescent="0.45">
      <c r="A80" s="8" t="s">
        <v>90</v>
      </c>
      <c r="C80" s="11">
        <v>0</v>
      </c>
      <c r="E80" s="11">
        <v>391258</v>
      </c>
      <c r="G80" s="11">
        <v>0</v>
      </c>
      <c r="I80" s="11">
        <v>391258</v>
      </c>
      <c r="K80" s="12">
        <v>-7.0479465967523693E-6</v>
      </c>
      <c r="M80" s="11">
        <v>0</v>
      </c>
      <c r="O80" s="11">
        <v>2347548</v>
      </c>
      <c r="Q80" s="11">
        <v>0</v>
      </c>
      <c r="S80" s="11">
        <v>2347548</v>
      </c>
      <c r="U80" s="12">
        <v>3.3839665181538386E-6</v>
      </c>
    </row>
    <row r="81" spans="1:21" ht="18.75" x14ac:dyDescent="0.45">
      <c r="A81" s="8" t="s">
        <v>91</v>
      </c>
      <c r="C81" s="11">
        <v>0</v>
      </c>
      <c r="E81" s="11">
        <v>-758002887</v>
      </c>
      <c r="G81" s="11">
        <v>0</v>
      </c>
      <c r="I81" s="11">
        <v>-758002887</v>
      </c>
      <c r="K81" s="12">
        <v>1.365432494098554E-2</v>
      </c>
      <c r="M81" s="11">
        <v>0</v>
      </c>
      <c r="O81" s="11">
        <v>2481506658</v>
      </c>
      <c r="Q81" s="11">
        <v>0</v>
      </c>
      <c r="S81" s="11">
        <v>2481506658</v>
      </c>
      <c r="U81" s="12">
        <v>3.57706655848904E-3</v>
      </c>
    </row>
    <row r="82" spans="1:21" ht="18.75" x14ac:dyDescent="0.45">
      <c r="A82" s="8" t="s">
        <v>92</v>
      </c>
      <c r="C82" s="11">
        <v>0</v>
      </c>
      <c r="E82" s="11">
        <v>628233378</v>
      </c>
      <c r="G82" s="11">
        <v>0</v>
      </c>
      <c r="I82" s="11">
        <v>628233378</v>
      </c>
      <c r="K82" s="12">
        <v>-1.1316715053599784E-2</v>
      </c>
      <c r="M82" s="11">
        <v>0</v>
      </c>
      <c r="O82" s="11">
        <v>4936119393</v>
      </c>
      <c r="Q82" s="11">
        <v>0</v>
      </c>
      <c r="S82" s="11">
        <v>4936119393</v>
      </c>
      <c r="U82" s="12">
        <v>7.1153658010493712E-3</v>
      </c>
    </row>
    <row r="83" spans="1:21" ht="18.75" x14ac:dyDescent="0.45">
      <c r="A83" s="8" t="s">
        <v>93</v>
      </c>
      <c r="C83" s="11">
        <v>1015029840</v>
      </c>
      <c r="E83" s="11">
        <v>-5365994466</v>
      </c>
      <c r="G83" s="11">
        <v>0</v>
      </c>
      <c r="I83" s="11">
        <v>-4350964626</v>
      </c>
      <c r="K83" s="12">
        <v>7.8376330524632457E-2</v>
      </c>
      <c r="M83" s="11">
        <v>1015029840</v>
      </c>
      <c r="O83" s="11">
        <v>1605212020</v>
      </c>
      <c r="Q83" s="11">
        <v>0</v>
      </c>
      <c r="S83" s="11">
        <v>2620241860</v>
      </c>
      <c r="U83" s="12">
        <v>3.7770519383225126E-3</v>
      </c>
    </row>
    <row r="84" spans="1:21" ht="18.75" x14ac:dyDescent="0.45">
      <c r="A84" s="8" t="s">
        <v>94</v>
      </c>
      <c r="C84" s="11">
        <v>0</v>
      </c>
      <c r="E84" s="11">
        <v>-61631100</v>
      </c>
      <c r="G84" s="11">
        <v>0</v>
      </c>
      <c r="I84" s="11">
        <v>-61631100</v>
      </c>
      <c r="K84" s="12">
        <v>1.1101950669356406E-3</v>
      </c>
      <c r="M84" s="11">
        <v>0</v>
      </c>
      <c r="O84" s="11">
        <v>173759940</v>
      </c>
      <c r="Q84" s="11">
        <v>0</v>
      </c>
      <c r="S84" s="11">
        <v>173759940</v>
      </c>
      <c r="U84" s="12">
        <v>2.5047318272359924E-4</v>
      </c>
    </row>
    <row r="85" spans="1:21" ht="18.75" x14ac:dyDescent="0.45">
      <c r="A85" s="8" t="s">
        <v>95</v>
      </c>
      <c r="C85" s="11">
        <v>0</v>
      </c>
      <c r="E85" s="11">
        <v>-3026960417</v>
      </c>
      <c r="G85" s="11">
        <v>0</v>
      </c>
      <c r="I85" s="11">
        <v>-3026960417</v>
      </c>
      <c r="K85" s="12">
        <v>5.4526310949550634E-2</v>
      </c>
      <c r="M85" s="11">
        <v>0</v>
      </c>
      <c r="O85" s="11">
        <v>-3026960417</v>
      </c>
      <c r="Q85" s="11">
        <v>0</v>
      </c>
      <c r="S85" s="11">
        <v>-3026960417</v>
      </c>
      <c r="U85" s="12">
        <v>-4.3633325933718848E-3</v>
      </c>
    </row>
    <row r="86" spans="1:21" ht="18.75" x14ac:dyDescent="0.45">
      <c r="A86" s="8" t="s">
        <v>96</v>
      </c>
      <c r="C86" s="11">
        <v>0</v>
      </c>
      <c r="E86" s="11">
        <v>-77022682</v>
      </c>
      <c r="G86" s="11">
        <v>0</v>
      </c>
      <c r="I86" s="11">
        <v>-77022682</v>
      </c>
      <c r="K86" s="12">
        <v>1.3874521402109092E-3</v>
      </c>
      <c r="M86" s="11">
        <v>0</v>
      </c>
      <c r="O86" s="11">
        <v>-1009402515</v>
      </c>
      <c r="Q86" s="11">
        <v>0</v>
      </c>
      <c r="S86" s="11">
        <v>-1009402515</v>
      </c>
      <c r="U86" s="12">
        <v>-1.4550434385581373E-3</v>
      </c>
    </row>
    <row r="87" spans="1:21" ht="18.75" x14ac:dyDescent="0.45">
      <c r="A87" s="8" t="s">
        <v>193</v>
      </c>
      <c r="C87" s="11">
        <v>0</v>
      </c>
      <c r="E87" s="11">
        <v>-1312146000</v>
      </c>
      <c r="G87" s="11">
        <v>16110022250</v>
      </c>
      <c r="I87" s="11">
        <v>14797876250</v>
      </c>
      <c r="K87" s="12">
        <v>-0.26656232346776348</v>
      </c>
      <c r="M87" s="11">
        <v>0</v>
      </c>
      <c r="O87" s="11">
        <v>43072186500</v>
      </c>
      <c r="Q87" s="11">
        <v>26238488427</v>
      </c>
      <c r="S87" s="11">
        <v>69310674927</v>
      </c>
      <c r="U87" s="12">
        <v>9.9910631562640156E-2</v>
      </c>
    </row>
    <row r="88" spans="1:21" ht="18.75" x14ac:dyDescent="0.45">
      <c r="A88" s="8" t="s">
        <v>194</v>
      </c>
      <c r="C88" s="11">
        <v>0</v>
      </c>
      <c r="E88" s="11">
        <v>-664522425</v>
      </c>
      <c r="G88" s="11">
        <v>0</v>
      </c>
      <c r="I88" s="11">
        <v>-664522425</v>
      </c>
      <c r="K88" s="12">
        <v>1.1970409713652836E-2</v>
      </c>
      <c r="M88" s="11">
        <v>0</v>
      </c>
      <c r="O88" s="11">
        <v>713727900</v>
      </c>
      <c r="Q88" s="11">
        <v>0</v>
      </c>
      <c r="S88" s="11">
        <v>713727900</v>
      </c>
      <c r="U88" s="12">
        <v>1.0288314942536857E-3</v>
      </c>
    </row>
    <row r="89" spans="1:21" ht="18.75" x14ac:dyDescent="0.45">
      <c r="A89" s="8" t="s">
        <v>99</v>
      </c>
      <c r="C89" s="11">
        <v>0</v>
      </c>
      <c r="E89" s="11">
        <v>1635796476</v>
      </c>
      <c r="G89" s="11">
        <v>0</v>
      </c>
      <c r="I89" s="11">
        <v>1635796476</v>
      </c>
      <c r="K89" s="12">
        <v>-2.9466506003720611E-2</v>
      </c>
      <c r="M89" s="11">
        <v>10382562840</v>
      </c>
      <c r="O89" s="11">
        <v>5605329780</v>
      </c>
      <c r="Q89" s="11">
        <v>0</v>
      </c>
      <c r="S89" s="11">
        <v>15987892620</v>
      </c>
      <c r="U89" s="12">
        <v>2.3046384279221916E-2</v>
      </c>
    </row>
    <row r="90" spans="1:21" ht="18.75" x14ac:dyDescent="0.45">
      <c r="A90" s="8" t="s">
        <v>100</v>
      </c>
      <c r="C90" s="11">
        <v>0</v>
      </c>
      <c r="E90" s="11">
        <v>165509325</v>
      </c>
      <c r="G90" s="11">
        <v>0</v>
      </c>
      <c r="I90" s="11">
        <v>165509325</v>
      </c>
      <c r="K90" s="12">
        <v>-2.9814109458836157E-3</v>
      </c>
      <c r="M90" s="11">
        <v>0</v>
      </c>
      <c r="O90" s="11">
        <v>456268950</v>
      </c>
      <c r="Q90" s="11">
        <v>0</v>
      </c>
      <c r="S90" s="11">
        <v>456268950</v>
      </c>
      <c r="U90" s="12">
        <v>6.5770704159114448E-4</v>
      </c>
    </row>
    <row r="91" spans="1:21" ht="18.75" x14ac:dyDescent="0.45">
      <c r="A91" s="8" t="s">
        <v>101</v>
      </c>
      <c r="C91" s="11">
        <v>0</v>
      </c>
      <c r="E91" s="11">
        <v>-219018440</v>
      </c>
      <c r="G91" s="11">
        <v>0</v>
      </c>
      <c r="I91" s="11">
        <v>-219018440</v>
      </c>
      <c r="K91" s="12">
        <v>3.9453002081082378E-3</v>
      </c>
      <c r="M91" s="11">
        <v>0</v>
      </c>
      <c r="O91" s="11">
        <v>177598251</v>
      </c>
      <c r="Q91" s="11">
        <v>0</v>
      </c>
      <c r="S91" s="11">
        <v>177598251</v>
      </c>
      <c r="U91" s="12">
        <v>2.5600606891389719E-4</v>
      </c>
    </row>
    <row r="92" spans="1:21" ht="37.5" x14ac:dyDescent="0.45">
      <c r="A92" s="8" t="s">
        <v>102</v>
      </c>
      <c r="C92" s="11">
        <v>0</v>
      </c>
      <c r="E92" s="11">
        <v>-2104205040</v>
      </c>
      <c r="G92" s="11">
        <v>0</v>
      </c>
      <c r="I92" s="11">
        <v>-2104205040</v>
      </c>
      <c r="K92" s="12">
        <v>3.790420834982846E-2</v>
      </c>
      <c r="M92" s="11">
        <v>0</v>
      </c>
      <c r="O92" s="11">
        <v>-1288288800</v>
      </c>
      <c r="Q92" s="11">
        <v>0</v>
      </c>
      <c r="S92" s="11">
        <v>-1288288800</v>
      </c>
      <c r="U92" s="12">
        <v>-1.857055176257349E-3</v>
      </c>
    </row>
    <row r="93" spans="1:21" ht="18.75" x14ac:dyDescent="0.45">
      <c r="A93" s="13" t="s">
        <v>103</v>
      </c>
      <c r="C93" s="13">
        <f>SUM(C9:$C$92)</f>
        <v>48860942463</v>
      </c>
      <c r="E93" s="13">
        <f>SUM(E9:$E$92)</f>
        <v>-127556841112</v>
      </c>
      <c r="G93" s="13">
        <f>SUM(G9:$G$92)</f>
        <v>22149955110</v>
      </c>
      <c r="I93" s="13">
        <f>SUM(I9:$I$92)</f>
        <v>-56545943539</v>
      </c>
      <c r="K93" s="14">
        <f>SUM(K9:$K$92)</f>
        <v>1.0185933331097294</v>
      </c>
      <c r="M93" s="13">
        <f>SUM(M9:$M$92)</f>
        <v>75956815695</v>
      </c>
      <c r="O93" s="13">
        <f>SUM(O9:$O$92)</f>
        <v>520598458319</v>
      </c>
      <c r="Q93" s="13">
        <f>SUM(Q9:$Q$92)</f>
        <v>95048846043</v>
      </c>
      <c r="S93" s="13">
        <f>SUM(S9:$S$92)</f>
        <v>691604120057</v>
      </c>
      <c r="U93" s="14">
        <f>SUM(U9:$U$92)</f>
        <v>0.99694029092914604</v>
      </c>
    </row>
    <row r="94" spans="1:21" ht="18.75" x14ac:dyDescent="0.45">
      <c r="C94" s="15"/>
      <c r="E94" s="15"/>
      <c r="G94" s="15"/>
      <c r="I94" s="15"/>
      <c r="K94" s="15"/>
      <c r="M94" s="15"/>
      <c r="O94" s="15"/>
      <c r="Q94" s="15"/>
      <c r="S94" s="15"/>
      <c r="U94" s="15"/>
    </row>
  </sheetData>
  <mergeCells count="6">
    <mergeCell ref="A1:U1"/>
    <mergeCell ref="A2:U2"/>
    <mergeCell ref="A3:U3"/>
    <mergeCell ref="A5:U5"/>
    <mergeCell ref="C7:K7"/>
    <mergeCell ref="M7:U7"/>
  </mergeCells>
  <pageMargins left="0.7" right="0.7" top="0.75" bottom="0.75" header="0.3" footer="0.3"/>
  <pageSetup paperSize="9" scale="65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Q10"/>
  <sheetViews>
    <sheetView rightToLeft="1" view="pageBreakPreview" zoomScale="60" zoomScaleNormal="100" workbookViewId="0">
      <selection activeCell="R13" sqref="R13"/>
    </sheetView>
  </sheetViews>
  <sheetFormatPr defaultRowHeight="18" x14ac:dyDescent="0.45"/>
  <cols>
    <col min="1" max="1" width="21.28515625" style="4" customWidth="1"/>
    <col min="2" max="2" width="1.42578125" style="4" customWidth="1"/>
    <col min="3" max="3" width="17" style="4" customWidth="1"/>
    <col min="4" max="4" width="1.42578125" style="4" customWidth="1"/>
    <col min="5" max="5" width="17" style="4" customWidth="1"/>
    <col min="6" max="6" width="1.42578125" style="4" customWidth="1"/>
    <col min="7" max="7" width="17" style="4" customWidth="1"/>
    <col min="8" max="8" width="1.42578125" style="4" customWidth="1"/>
    <col min="9" max="9" width="17" style="4" customWidth="1"/>
    <col min="10" max="10" width="1.42578125" style="4" customWidth="1"/>
    <col min="11" max="11" width="17" style="4" customWidth="1"/>
    <col min="12" max="12" width="1.42578125" style="4" customWidth="1"/>
    <col min="13" max="13" width="17" style="4" customWidth="1"/>
    <col min="14" max="14" width="1.42578125" style="4" customWidth="1"/>
    <col min="15" max="15" width="17" style="4" customWidth="1"/>
    <col min="16" max="16" width="1.42578125" style="4" customWidth="1"/>
    <col min="17" max="17" width="17" style="4" customWidth="1"/>
    <col min="18" max="16384" width="9.140625" style="4"/>
  </cols>
  <sheetData>
    <row r="1" spans="1:17" ht="20.100000000000001" customHeight="1" x14ac:dyDescent="0.45">
      <c r="A1" s="33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</row>
    <row r="2" spans="1:17" ht="20.100000000000001" customHeight="1" x14ac:dyDescent="0.45">
      <c r="A2" s="33" t="s">
        <v>139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</row>
    <row r="3" spans="1:17" ht="20.100000000000001" customHeight="1" x14ac:dyDescent="0.45">
      <c r="A3" s="33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</row>
    <row r="5" spans="1:17" ht="21" x14ac:dyDescent="0.45">
      <c r="A5" s="34" t="s">
        <v>195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</row>
    <row r="7" spans="1:17" ht="21" x14ac:dyDescent="0.45">
      <c r="C7" s="27" t="s">
        <v>151</v>
      </c>
      <c r="D7" s="28"/>
      <c r="E7" s="28"/>
      <c r="F7" s="28"/>
      <c r="G7" s="28"/>
      <c r="H7" s="28"/>
      <c r="I7" s="28"/>
      <c r="J7" s="28"/>
      <c r="K7" s="28"/>
      <c r="M7" s="27" t="s">
        <v>7</v>
      </c>
      <c r="N7" s="28"/>
      <c r="O7" s="28"/>
      <c r="P7" s="28"/>
      <c r="Q7" s="28"/>
    </row>
    <row r="8" spans="1:17" ht="21" x14ac:dyDescent="0.45">
      <c r="C8" s="16" t="s">
        <v>196</v>
      </c>
      <c r="E8" s="16" t="s">
        <v>185</v>
      </c>
      <c r="G8" s="16" t="s">
        <v>186</v>
      </c>
      <c r="I8" s="16" t="s">
        <v>103</v>
      </c>
      <c r="K8" s="16" t="s">
        <v>196</v>
      </c>
      <c r="M8" s="16" t="s">
        <v>185</v>
      </c>
      <c r="O8" s="16" t="s">
        <v>186</v>
      </c>
      <c r="Q8" s="16" t="s">
        <v>103</v>
      </c>
    </row>
    <row r="9" spans="1:17" ht="18.75" x14ac:dyDescent="0.45">
      <c r="A9" s="13" t="s">
        <v>103</v>
      </c>
      <c r="C9" s="13">
        <f>SUM($C$8)</f>
        <v>0</v>
      </c>
      <c r="E9" s="13">
        <f>SUM($E$8)</f>
        <v>0</v>
      </c>
      <c r="G9" s="13">
        <f>SUM($G$8)</f>
        <v>0</v>
      </c>
      <c r="I9" s="13">
        <f>SUM($I$8)</f>
        <v>0</v>
      </c>
      <c r="K9" s="13">
        <f>SUM($K$8)</f>
        <v>0</v>
      </c>
      <c r="M9" s="13">
        <f>SUM($M$8)</f>
        <v>0</v>
      </c>
      <c r="O9" s="13">
        <f>SUM($O$8)</f>
        <v>0</v>
      </c>
      <c r="Q9" s="13">
        <f>SUM($Q$8)</f>
        <v>0</v>
      </c>
    </row>
    <row r="10" spans="1:17" ht="18.75" x14ac:dyDescent="0.45">
      <c r="C10" s="15"/>
      <c r="E10" s="15"/>
      <c r="G10" s="15"/>
      <c r="I10" s="15"/>
      <c r="K10" s="15"/>
      <c r="M10" s="15"/>
      <c r="O10" s="15"/>
      <c r="Q10" s="15"/>
    </row>
  </sheetData>
  <mergeCells count="6">
    <mergeCell ref="A1:Q1"/>
    <mergeCell ref="A2:Q2"/>
    <mergeCell ref="A3:Q3"/>
    <mergeCell ref="A5:Q5"/>
    <mergeCell ref="C7:K7"/>
    <mergeCell ref="M7:Q7"/>
  </mergeCells>
  <pageMargins left="0.7" right="0.7" top="0.75" bottom="0.75" header="0.3" footer="0.3"/>
  <pageSetup paperSize="9" scale="77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I17"/>
  <sheetViews>
    <sheetView rightToLeft="1" view="pageBreakPreview" zoomScale="91" zoomScaleNormal="100" zoomScaleSheetLayoutView="91" workbookViewId="0">
      <selection activeCell="R13" sqref="R13"/>
    </sheetView>
  </sheetViews>
  <sheetFormatPr defaultRowHeight="18" x14ac:dyDescent="0.45"/>
  <cols>
    <col min="1" max="1" width="25.5703125" style="4" customWidth="1"/>
    <col min="2" max="2" width="1.42578125" style="4" customWidth="1"/>
    <col min="3" max="3" width="17" style="4" customWidth="1"/>
    <col min="4" max="4" width="1.42578125" style="4" customWidth="1"/>
    <col min="5" max="5" width="14.140625" style="4" customWidth="1"/>
    <col min="6" max="6" width="1.42578125" style="4" customWidth="1"/>
    <col min="7" max="7" width="17" style="4" customWidth="1"/>
    <col min="8" max="8" width="1.42578125" style="4" customWidth="1"/>
    <col min="9" max="9" width="14.140625" style="4" customWidth="1"/>
    <col min="10" max="16384" width="9.140625" style="4"/>
  </cols>
  <sheetData>
    <row r="1" spans="1:9" ht="20.100000000000001" customHeight="1" x14ac:dyDescent="0.45">
      <c r="A1" s="33" t="s">
        <v>0</v>
      </c>
      <c r="B1" s="31"/>
      <c r="C1" s="31"/>
      <c r="D1" s="31"/>
      <c r="E1" s="31"/>
      <c r="F1" s="31"/>
      <c r="G1" s="31"/>
      <c r="H1" s="31"/>
      <c r="I1" s="31"/>
    </row>
    <row r="2" spans="1:9" ht="20.100000000000001" customHeight="1" x14ac:dyDescent="0.45">
      <c r="A2" s="33" t="s">
        <v>139</v>
      </c>
      <c r="B2" s="31"/>
      <c r="C2" s="31"/>
      <c r="D2" s="31"/>
      <c r="E2" s="31"/>
      <c r="F2" s="31"/>
      <c r="G2" s="31"/>
      <c r="H2" s="31"/>
      <c r="I2" s="31"/>
    </row>
    <row r="3" spans="1:9" ht="20.100000000000001" customHeight="1" x14ac:dyDescent="0.45">
      <c r="A3" s="33" t="s">
        <v>2</v>
      </c>
      <c r="B3" s="31"/>
      <c r="C3" s="31"/>
      <c r="D3" s="31"/>
      <c r="E3" s="31"/>
      <c r="F3" s="31"/>
      <c r="G3" s="31"/>
      <c r="H3" s="31"/>
      <c r="I3" s="31"/>
    </row>
    <row r="5" spans="1:9" ht="21" x14ac:dyDescent="0.45">
      <c r="A5" s="34" t="s">
        <v>197</v>
      </c>
      <c r="B5" s="31"/>
      <c r="C5" s="31"/>
      <c r="D5" s="31"/>
      <c r="E5" s="31"/>
      <c r="F5" s="31"/>
      <c r="G5" s="31"/>
      <c r="H5" s="31"/>
      <c r="I5" s="31"/>
    </row>
    <row r="7" spans="1:9" ht="21" x14ac:dyDescent="0.45">
      <c r="A7" s="27" t="s">
        <v>198</v>
      </c>
      <c r="B7" s="28"/>
      <c r="C7" s="27" t="s">
        <v>151</v>
      </c>
      <c r="D7" s="28"/>
      <c r="E7" s="28"/>
      <c r="G7" s="27" t="s">
        <v>7</v>
      </c>
      <c r="H7" s="28"/>
      <c r="I7" s="28"/>
    </row>
    <row r="8" spans="1:9" ht="42" x14ac:dyDescent="0.45">
      <c r="A8" s="16" t="s">
        <v>199</v>
      </c>
      <c r="C8" s="16" t="s">
        <v>200</v>
      </c>
      <c r="E8" s="16" t="s">
        <v>201</v>
      </c>
      <c r="G8" s="16" t="s">
        <v>200</v>
      </c>
      <c r="I8" s="16" t="s">
        <v>201</v>
      </c>
    </row>
    <row r="9" spans="1:9" ht="18.75" x14ac:dyDescent="0.45">
      <c r="A9" s="20" t="s">
        <v>220</v>
      </c>
      <c r="C9" s="11">
        <v>34123</v>
      </c>
      <c r="E9" s="12">
        <f>C9/C16</f>
        <v>3.305897090484069E-5</v>
      </c>
      <c r="G9" s="11">
        <v>102853</v>
      </c>
      <c r="I9" s="12">
        <f>G9/G16</f>
        <v>4.8456094318926148E-5</v>
      </c>
    </row>
    <row r="10" spans="1:9" ht="18.75" x14ac:dyDescent="0.45">
      <c r="A10" s="20" t="s">
        <v>223</v>
      </c>
      <c r="C10" s="11">
        <v>271799</v>
      </c>
      <c r="E10" s="12">
        <f>C10/C16</f>
        <v>2.6332371810698922E-4</v>
      </c>
      <c r="G10" s="11">
        <v>3092054</v>
      </c>
      <c r="I10" s="12">
        <f>G10/G16</f>
        <v>1.4567281485538864E-3</v>
      </c>
    </row>
    <row r="11" spans="1:9" ht="18.75" x14ac:dyDescent="0.45">
      <c r="A11" s="20" t="s">
        <v>221</v>
      </c>
      <c r="C11" s="11">
        <v>1028780910</v>
      </c>
      <c r="E11" s="12">
        <f>C11/C16</f>
        <v>0.99670129153783449</v>
      </c>
      <c r="G11" s="11">
        <v>2110110475</v>
      </c>
      <c r="I11" s="12">
        <f>G11/G16</f>
        <v>0.99411502046565547</v>
      </c>
    </row>
    <row r="12" spans="1:9" ht="18.75" x14ac:dyDescent="0.45">
      <c r="A12" s="20" t="s">
        <v>222</v>
      </c>
      <c r="C12" s="11">
        <v>3057974</v>
      </c>
      <c r="E12" s="12">
        <f>C12/C16</f>
        <v>2.9626197430987693E-3</v>
      </c>
      <c r="G12" s="11">
        <v>3134298</v>
      </c>
      <c r="I12" s="12">
        <f>G12/G16</f>
        <v>1.4766301372990734E-3</v>
      </c>
    </row>
    <row r="13" spans="1:9" ht="18.75" x14ac:dyDescent="0.45">
      <c r="A13" s="20" t="s">
        <v>224</v>
      </c>
      <c r="C13" s="11">
        <v>40984</v>
      </c>
      <c r="E13" s="12">
        <f>C13/C16</f>
        <v>3.97060300549187E-5</v>
      </c>
      <c r="G13" s="11">
        <v>81968</v>
      </c>
      <c r="I13" s="12">
        <f>G13/G16</f>
        <v>3.8616755360891163E-5</v>
      </c>
    </row>
    <row r="14" spans="1:9" ht="18.75" x14ac:dyDescent="0.45">
      <c r="A14" s="20" t="s">
        <v>226</v>
      </c>
      <c r="F14" s="7"/>
      <c r="G14" s="11">
        <v>131868</v>
      </c>
      <c r="I14" s="12">
        <f>G14/G16</f>
        <v>6.2125638004221102E-5</v>
      </c>
    </row>
    <row r="15" spans="1:9" ht="18.75" x14ac:dyDescent="0.45">
      <c r="A15" s="20" t="s">
        <v>225</v>
      </c>
      <c r="F15" s="7"/>
      <c r="G15" s="11">
        <v>5948428</v>
      </c>
      <c r="I15" s="12">
        <f>G15/G16</f>
        <v>2.8024227608075725E-3</v>
      </c>
    </row>
    <row r="16" spans="1:9" ht="19.5" thickBot="1" x14ac:dyDescent="0.5">
      <c r="A16" s="13" t="s">
        <v>103</v>
      </c>
      <c r="C16" s="13">
        <f>SUM(C9:$C$15)</f>
        <v>1032185790</v>
      </c>
      <c r="E16" s="14">
        <f>SUM(E9:$E$15)</f>
        <v>0.99999999999999989</v>
      </c>
      <c r="G16" s="13">
        <f>SUM(G9:$G$15)</f>
        <v>2122601944</v>
      </c>
      <c r="I16" s="14">
        <f>SUM(I9:$I$15)</f>
        <v>1</v>
      </c>
    </row>
    <row r="17" spans="3:9" ht="19.5" thickTop="1" x14ac:dyDescent="0.45">
      <c r="C17" s="15"/>
      <c r="E17" s="15"/>
      <c r="G17" s="15"/>
      <c r="I17" s="15"/>
    </row>
  </sheetData>
  <mergeCells count="7">
    <mergeCell ref="A1:I1"/>
    <mergeCell ref="A2:I2"/>
    <mergeCell ref="A3:I3"/>
    <mergeCell ref="A5:I5"/>
    <mergeCell ref="A7:B7"/>
    <mergeCell ref="C7:E7"/>
    <mergeCell ref="G7:I7"/>
  </mergeCells>
  <pageMargins left="0.7" right="0.7" top="0.75" bottom="0.75" header="0.3" footer="0.3"/>
  <pageSetup paperSize="9" scale="93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E10"/>
  <sheetViews>
    <sheetView rightToLeft="1" view="pageBreakPreview" zoomScale="60" zoomScaleNormal="100" workbookViewId="0">
      <selection activeCell="R13" sqref="R13"/>
    </sheetView>
  </sheetViews>
  <sheetFormatPr defaultRowHeight="18" x14ac:dyDescent="0.45"/>
  <cols>
    <col min="1" max="1" width="25.5703125" style="4" customWidth="1"/>
    <col min="2" max="2" width="1.42578125" style="4" customWidth="1"/>
    <col min="3" max="3" width="18.42578125" style="4" customWidth="1"/>
    <col min="4" max="4" width="1.42578125" style="4" customWidth="1"/>
    <col min="5" max="5" width="18.42578125" style="4" customWidth="1"/>
    <col min="6" max="16384" width="9.140625" style="4"/>
  </cols>
  <sheetData>
    <row r="1" spans="1:5" ht="20.100000000000001" customHeight="1" x14ac:dyDescent="0.45">
      <c r="A1" s="33" t="s">
        <v>0</v>
      </c>
      <c r="B1" s="31"/>
      <c r="C1" s="31"/>
      <c r="D1" s="31"/>
      <c r="E1" s="31"/>
    </row>
    <row r="2" spans="1:5" ht="20.100000000000001" customHeight="1" x14ac:dyDescent="0.45">
      <c r="A2" s="33" t="s">
        <v>139</v>
      </c>
      <c r="B2" s="31"/>
      <c r="C2" s="31"/>
      <c r="D2" s="31"/>
      <c r="E2" s="31"/>
    </row>
    <row r="3" spans="1:5" ht="20.100000000000001" customHeight="1" x14ac:dyDescent="0.45">
      <c r="A3" s="33" t="s">
        <v>2</v>
      </c>
      <c r="B3" s="31"/>
      <c r="C3" s="31"/>
      <c r="D3" s="31"/>
      <c r="E3" s="31"/>
    </row>
    <row r="5" spans="1:5" ht="21" x14ac:dyDescent="0.45">
      <c r="A5" s="34" t="s">
        <v>202</v>
      </c>
      <c r="B5" s="31"/>
      <c r="C5" s="31"/>
      <c r="D5" s="31"/>
      <c r="E5" s="31"/>
    </row>
    <row r="7" spans="1:5" ht="21" x14ac:dyDescent="0.45">
      <c r="C7" s="6" t="s">
        <v>151</v>
      </c>
      <c r="E7" s="6" t="s">
        <v>7</v>
      </c>
    </row>
    <row r="8" spans="1:5" ht="21" x14ac:dyDescent="0.45">
      <c r="A8" s="16" t="s">
        <v>148</v>
      </c>
      <c r="C8" s="16" t="s">
        <v>136</v>
      </c>
      <c r="E8" s="16" t="s">
        <v>136</v>
      </c>
    </row>
    <row r="9" spans="1:5" ht="18.75" x14ac:dyDescent="0.45">
      <c r="A9" s="13" t="s">
        <v>103</v>
      </c>
      <c r="C9" s="13">
        <f>SUM($C$8)</f>
        <v>0</v>
      </c>
      <c r="E9" s="13">
        <f>SUM($E$8)</f>
        <v>0</v>
      </c>
    </row>
    <row r="10" spans="1:5" ht="18.75" x14ac:dyDescent="0.45">
      <c r="C10" s="15"/>
      <c r="E10" s="15"/>
    </row>
  </sheetData>
  <mergeCells count="4">
    <mergeCell ref="A1:E1"/>
    <mergeCell ref="A2:E2"/>
    <mergeCell ref="A3:E3"/>
    <mergeCell ref="A5:E5"/>
  </mergeCells>
  <pageMargins left="0.7" right="0.7" top="0.75" bottom="0.75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2</vt:i4>
      </vt:variant>
    </vt:vector>
  </HeadingPairs>
  <TitlesOfParts>
    <vt:vector size="17" baseType="lpstr">
      <vt:lpstr>0</vt:lpstr>
      <vt:lpstr>1</vt:lpstr>
      <vt:lpstr>2</vt:lpstr>
      <vt:lpstr>3</vt:lpstr>
      <vt:lpstr>4</vt:lpstr>
      <vt:lpstr>5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'1'!Print_Titles</vt:lpstr>
      <vt:lpstr>'11'!Print_Titles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Fatemeh Rezaei</cp:lastModifiedBy>
  <cp:lastPrinted>2025-06-30T09:40:08Z</cp:lastPrinted>
  <dcterms:created xsi:type="dcterms:W3CDTF">2025-06-28T07:00:15Z</dcterms:created>
  <dcterms:modified xsi:type="dcterms:W3CDTF">2025-06-30T09:40:22Z</dcterms:modified>
</cp:coreProperties>
</file>