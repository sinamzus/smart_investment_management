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zaei\پرتفو\پرتفوی 1403.09.30\مشترک\"/>
    </mc:Choice>
  </mc:AlternateContent>
  <xr:revisionPtr revIDLastSave="0" documentId="13_ncr:1_{5665FDE5-48A2-43B1-A23A-AF20DEFDBF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Sheet1" sheetId="17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definedNames>
    <definedName name="_xlnm.Print_Titles" localSheetId="10">'10'!$1:$8</definedName>
    <definedName name="_xlnm.Print_Titles" localSheetId="11">'11'!$1:$8</definedName>
    <definedName name="_xlnm.Print_Titles" localSheetId="12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U102" i="13" l="1"/>
  <c r="M10" i="17"/>
  <c r="K10" i="17"/>
  <c r="I10" i="17"/>
  <c r="G10" i="17"/>
  <c r="E10" i="17"/>
  <c r="C10" i="17"/>
  <c r="W83" i="2"/>
  <c r="E10" i="16" l="1"/>
  <c r="C10" i="16"/>
  <c r="G10" i="15"/>
  <c r="C10" i="15"/>
  <c r="Q10" i="14"/>
  <c r="O10" i="14"/>
  <c r="M10" i="14"/>
  <c r="K10" i="14"/>
  <c r="I10" i="14"/>
  <c r="G10" i="14"/>
  <c r="E10" i="14"/>
  <c r="C10" i="14"/>
  <c r="S102" i="13"/>
  <c r="Q102" i="13"/>
  <c r="O102" i="13"/>
  <c r="M102" i="13"/>
  <c r="K102" i="13"/>
  <c r="I102" i="13"/>
  <c r="G102" i="13"/>
  <c r="E102" i="13"/>
  <c r="C102" i="13"/>
  <c r="Q82" i="12"/>
  <c r="O82" i="12"/>
  <c r="M82" i="12"/>
  <c r="K82" i="12"/>
  <c r="I82" i="12"/>
  <c r="G82" i="12"/>
  <c r="E82" i="12"/>
  <c r="C82" i="12"/>
  <c r="Q77" i="11"/>
  <c r="O77" i="11"/>
  <c r="M77" i="11"/>
  <c r="K77" i="11"/>
  <c r="I77" i="11"/>
  <c r="G77" i="11"/>
  <c r="E77" i="11"/>
  <c r="C77" i="11"/>
  <c r="S10" i="10"/>
  <c r="Q10" i="10"/>
  <c r="O10" i="10"/>
  <c r="M10" i="10"/>
  <c r="K10" i="10"/>
  <c r="I10" i="10"/>
  <c r="S70" i="9"/>
  <c r="Q70" i="9"/>
  <c r="O70" i="9"/>
  <c r="M70" i="9"/>
  <c r="K70" i="9"/>
  <c r="I70" i="9"/>
  <c r="E13" i="8"/>
  <c r="I13" i="8"/>
  <c r="K10" i="6"/>
  <c r="I10" i="6"/>
  <c r="G10" i="6"/>
  <c r="E10" i="6"/>
  <c r="C10" i="6"/>
  <c r="K10" i="5"/>
  <c r="AI11" i="4"/>
  <c r="AG11" i="4"/>
  <c r="AE11" i="4"/>
  <c r="AC11" i="4"/>
  <c r="AA11" i="4"/>
  <c r="Y11" i="4"/>
  <c r="X11" i="4"/>
  <c r="V11" i="4"/>
  <c r="U11" i="4"/>
  <c r="S11" i="4"/>
  <c r="Q11" i="4"/>
  <c r="O11" i="4"/>
  <c r="U83" i="2"/>
  <c r="S83" i="2"/>
  <c r="Q83" i="2"/>
  <c r="O83" i="2"/>
  <c r="M83" i="2"/>
  <c r="L83" i="2"/>
  <c r="J83" i="2"/>
  <c r="I83" i="2"/>
  <c r="G83" i="2"/>
  <c r="E83" i="2"/>
  <c r="C83" i="2"/>
  <c r="E10" i="15" l="1"/>
  <c r="G13" i="8"/>
  <c r="I10" i="15"/>
</calcChain>
</file>

<file path=xl/sharedStrings.xml><?xml version="1.0" encoding="utf-8"?>
<sst xmlns="http://schemas.openxmlformats.org/spreadsheetml/2006/main" count="732" uniqueCount="259">
  <si>
    <t>‫مشترک کاریزما</t>
  </si>
  <si>
    <t>‫صورت وضعیت پورتفوی</t>
  </si>
  <si>
    <t>‫برای ماه منتهی به 1403/09/30</t>
  </si>
  <si>
    <t>‫1- سرمایه گذاری ها</t>
  </si>
  <si>
    <t>‫1-1- سرمایه گذاری در سهام و حق تقدم سهام</t>
  </si>
  <si>
    <t>‫1403/08/30</t>
  </si>
  <si>
    <t>‫تغییرات طی دوره</t>
  </si>
  <si>
    <t>‫1403/09/30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</si>
  <si>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</si>
  <si>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</si>
  <si>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</si>
  <si>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</si>
  <si>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</si>
  <si>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</si>
  <si>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</si>
  <si>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</si>
  <si>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</si>
  <si>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‫آنتي بيوتيك سازي ايران</t>
  </si>
  <si>
    <t>‫ارتباطات سیار</t>
  </si>
  <si>
    <t>‫افست</t>
  </si>
  <si>
    <t>‫الكتريك خودرو</t>
  </si>
  <si>
    <t>‫املاح ايران</t>
  </si>
  <si>
    <t>‫املاح ايران (تقدم)</t>
  </si>
  <si>
    <t>‫ايران ترانسفو</t>
  </si>
  <si>
    <t>‫ايران ياسا</t>
  </si>
  <si>
    <t>‫ایرکا پارت صنعت</t>
  </si>
  <si>
    <t>‫بيمه اتكايي ايران معين</t>
  </si>
  <si>
    <t>‫بيمه زندگي كاريزما50%تاديه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</si>
  <si>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</si>
  <si>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</si>
  <si>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</si>
  <si>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</si>
  <si>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</si>
  <si>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‫توليدات پتروشيمي قائد بصير</t>
  </si>
  <si>
    <t>‫توليدي برنا باطري</t>
  </si>
  <si>
    <t>‫توليدي چدن سازان</t>
  </si>
  <si>
    <t>‫جنرال مكانيك</t>
  </si>
  <si>
    <t>‫حمل و نقل ريلي پارسيان</t>
  </si>
  <si>
    <t>‫خاك چيني</t>
  </si>
  <si>
    <t>‫داروسازي فارابي</t>
  </si>
  <si>
    <t>‫دارويي ره آورد تامين</t>
  </si>
  <si>
    <t>‫دانش بنيان پويا نيرو</t>
  </si>
  <si>
    <t>‫دريايي سينا</t>
  </si>
  <si>
    <t>‫رادياتور</t>
  </si>
  <si>
    <t>‫ريخته گري تراكتورسازي</t>
  </si>
  <si>
    <t>‫ريل سير كوثر</t>
  </si>
  <si>
    <t>‫زامياد</t>
  </si>
  <si>
    <t>‫سبحان_دارو</t>
  </si>
  <si>
    <t>‫سيمان آبيك</t>
  </si>
  <si>
    <t>‫سيمان تهران</t>
  </si>
  <si>
    <t>‫سيمان ساوه</t>
  </si>
  <si>
    <t>‫سيمان سپاهان</t>
  </si>
  <si>
    <t>‫شركت خميرمايه رضوي</t>
  </si>
  <si>
    <t>‫شيشه همدان</t>
  </si>
  <si>
    <t>‫شيشه و گاز</t>
  </si>
  <si>
    <t>‫شیشه قزوین</t>
  </si>
  <si>
    <t>‫صبا فولاد خليج فارس</t>
  </si>
  <si>
    <t>‫صنعتي آما</t>
  </si>
  <si>
    <t>‫صنعتي بارز</t>
  </si>
  <si>
    <t>‫صنعتي سپاهان</t>
  </si>
  <si>
    <t>‫صنعتي مينو</t>
  </si>
  <si>
    <t>‫فنر خاور</t>
  </si>
  <si>
    <t>‫قاسم ايران</t>
  </si>
  <si>
    <t>‫قند هكمتان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</si>
  <si>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</si>
  <si>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</si>
  <si>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</si>
  <si>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</si>
  <si>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</si>
  <si>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</si>
  <si>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</si>
  <si>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</si>
  <si>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</si>
  <si>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‫مجتمع صنايع لاستيك يزد</t>
  </si>
  <si>
    <t>‫ملي شيمي كشاورز</t>
  </si>
  <si>
    <t>‫مهرام</t>
  </si>
  <si>
    <t>‫موتورسازان</t>
  </si>
  <si>
    <t>‫موتوژن</t>
  </si>
  <si>
    <t>‫مگسال</t>
  </si>
  <si>
    <t>‫نفت اصفهان</t>
  </si>
  <si>
    <t>‫نورد قطعات</t>
  </si>
  <si>
    <t>‫نگين طبس</t>
  </si>
  <si>
    <t>‫پارس فولاد سبزوار</t>
  </si>
  <si>
    <t>‫پاکدیس</t>
  </si>
  <si>
    <t>‫پخش هجرت</t>
  </si>
  <si>
    <t>‫پرتو بار فرابر خليج فارس</t>
  </si>
  <si>
    <t>‫پويا زركان آق دره</t>
  </si>
  <si>
    <t>‫گروه انتخاب الكترونيك آرمان</t>
  </si>
  <si>
    <t>‫گلتاش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</si>
  <si>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</si>
  <si>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</si>
  <si>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</si>
  <si>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</si>
  <si>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</si>
  <si>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</si>
  <si>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</si>
  <si>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بپويا-19084-4/09/29</t>
  </si>
  <si>
    <t>‫0</t>
  </si>
  <si>
    <t>‫1404/09/29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</si>
  <si>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</si>
  <si>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</si>
  <si>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</si>
  <si>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</si>
  <si>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</si>
  <si>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</si>
  <si>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</si>
  <si>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</si>
  <si>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</si>
  <si>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</si>
  <si>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</si>
  <si>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</si>
  <si>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</si>
  <si>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</si>
  <si>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</si>
  <si>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‫صكوك مرابحه پتاير703-بدون ضامن</t>
  </si>
  <si>
    <t>‫بلی</t>
  </si>
  <si>
    <t>‫بورس</t>
  </si>
  <si>
    <t>‫1403/03/06</t>
  </si>
  <si>
    <t>‫1407/03/06</t>
  </si>
  <si>
    <t>‫26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</si>
  <si>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</si>
  <si>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</si>
  <si>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</si>
  <si>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</si>
  <si>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</si>
  <si>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</si>
  <si>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</si>
  <si>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</si>
  <si>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</si>
  <si>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‫نرخ سود علی الحساب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</si>
  <si>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</si>
  <si>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</si>
  <si>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</si>
  <si>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</si>
  <si>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</si>
  <si>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</si>
  <si>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</si>
  <si>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</si>
  <si>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</si>
  <si>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</si>
  <si>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</si>
  <si>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</si>
  <si>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</si>
  <si>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</si>
  <si>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</si>
  <si>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</si>
  <si>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</si>
  <si>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</si>
  <si>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</si>
  <si>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</si>
  <si>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</si>
  <si>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</si>
  <si>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‫1403/02/24</t>
  </si>
  <si>
    <t>‫1403/05/23</t>
  </si>
  <si>
    <t>‫بهمن دیزل</t>
  </si>
  <si>
    <t>‫1403/03/30</t>
  </si>
  <si>
    <t>‫1403/04/23</t>
  </si>
  <si>
    <t>‫1403/04/11</t>
  </si>
  <si>
    <t>‫1403/04/16</t>
  </si>
  <si>
    <t>‫تراكتور سازي</t>
  </si>
  <si>
    <t>‫1403/04/17</t>
  </si>
  <si>
    <t>‫1403/03/19</t>
  </si>
  <si>
    <t>‫1403/04/27</t>
  </si>
  <si>
    <t>‫توليدي و صنعتي گوهرفام</t>
  </si>
  <si>
    <t>‫1403/03/01</t>
  </si>
  <si>
    <t>‫1403/04/28</t>
  </si>
  <si>
    <t>‫1403/03/22</t>
  </si>
  <si>
    <t>‫1403/03/07</t>
  </si>
  <si>
    <t>‫1403/02/18</t>
  </si>
  <si>
    <t>‫دوده صنعتي پارس</t>
  </si>
  <si>
    <t>‫1403/04/13</t>
  </si>
  <si>
    <t>‫1403/03/09</t>
  </si>
  <si>
    <t>‫1403/02/30</t>
  </si>
  <si>
    <t>‫1403/03/13</t>
  </si>
  <si>
    <t>‫1403/04/31</t>
  </si>
  <si>
    <t>‫سيمان هگمتان</t>
  </si>
  <si>
    <t>‫1403/02/26</t>
  </si>
  <si>
    <t>‫1403/07/28</t>
  </si>
  <si>
    <t>‫شيميايي ايران</t>
  </si>
  <si>
    <t>‫1402/12/28</t>
  </si>
  <si>
    <t>‫ص. معدني كيمياي زنجان گستران</t>
  </si>
  <si>
    <t>‫1403/01/29</t>
  </si>
  <si>
    <t>‫1403/04/30</t>
  </si>
  <si>
    <t>‫صنعتي زر ماكارون</t>
  </si>
  <si>
    <t>‫1403/03/23</t>
  </si>
  <si>
    <t>‫فرآوري زغال سنگ پروده طبس</t>
  </si>
  <si>
    <t>‫1403/04/03</t>
  </si>
  <si>
    <t>‫1403/02/31</t>
  </si>
  <si>
    <t>‫فولاد ارفع</t>
  </si>
  <si>
    <t>‫1403/03/12</t>
  </si>
  <si>
    <t>‫فولاد اميركبير</t>
  </si>
  <si>
    <t>‫فولاد شاهرود</t>
  </si>
  <si>
    <t>‫فولاد كاوه</t>
  </si>
  <si>
    <t>‫1403/03/31</t>
  </si>
  <si>
    <t>‫1403/03/02</t>
  </si>
  <si>
    <t>‫1403/03/26</t>
  </si>
  <si>
    <t>‫1403/04/24</t>
  </si>
  <si>
    <t>‫1403/04/02</t>
  </si>
  <si>
    <t>‫1403/04/19</t>
  </si>
  <si>
    <t>‫1403/04/12</t>
  </si>
  <si>
    <t>‫محصولات كاغذي لطيف</t>
  </si>
  <si>
    <t>‫1403/09/25</t>
  </si>
  <si>
    <t>‫نشاسته و گلوكز آردينه</t>
  </si>
  <si>
    <t>‫1403/04/04</t>
  </si>
  <si>
    <t>‫1403/02/17</t>
  </si>
  <si>
    <t>‫سود اوراق بهادار با درآمد ثابت و سپرده بانکی</t>
  </si>
  <si>
    <t>‫تاریخ دریافت سود</t>
  </si>
  <si>
    <t>‫درآمد سود</t>
  </si>
  <si>
    <t>‫خالص درآمد</t>
  </si>
  <si>
    <t>‫1403/12/06</t>
  </si>
  <si>
    <t>‫سود(زیان) حاصل از فروش اوراق بهادار</t>
  </si>
  <si>
    <t>‫ارزش دفتری</t>
  </si>
  <si>
    <t>‫سود و زیان ناشی از فروش</t>
  </si>
  <si>
    <t>‫ايران خودرو ديزل</t>
  </si>
  <si>
    <t>‫تجهيزات ‌هپكو</t>
  </si>
  <si>
    <t>‫فروسيليس</t>
  </si>
  <si>
    <t>‫فنرسازي زر</t>
  </si>
  <si>
    <t>‫كالسيمين</t>
  </si>
  <si>
    <t>‫كشتيراني ايران</t>
  </si>
  <si>
    <t>‫مس شهيد باهنر</t>
  </si>
  <si>
    <t>‫پشم شيشه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</si>
  <si>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</si>
  <si>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</si>
  <si>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</si>
  <si>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</si>
  <si>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</si>
  <si>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</si>
  <si>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</si>
  <si>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</si>
  <si>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</si>
  <si>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</si>
  <si>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</si>
  <si>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‫شيشه قزوين</t>
  </si>
  <si>
    <t>‫پاكديس</t>
  </si>
  <si>
    <t>‫بهمن ديزل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</si>
  <si>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</si>
  <si>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</si>
  <si>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</si>
  <si>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</si>
  <si>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</si>
  <si>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</si>
  <si>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</si>
  <si>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</si>
  <si>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‫كاريزما</t>
  </si>
  <si>
    <t>صندوق سرمایه گذاری  مشترک کاریزما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</si>
  <si>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</si>
  <si>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آذر 1403</t>
  </si>
  <si>
    <t>‫%22</t>
  </si>
  <si>
    <t>‫سپرده بانکی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</si>
  <si>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</si>
  <si>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</si>
  <si>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</si>
  <si>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</si>
  <si>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</si>
  <si>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</si>
  <si>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</si>
  <si>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 xml:space="preserve">‫سود اوراق بهادار با درآمد ثابت </t>
  </si>
  <si>
    <t>سپرده بانکی</t>
  </si>
  <si>
    <t xml:space="preserve">‫سپرده بانکی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</si>
</sst>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22"/>
      <color rgb="FFFF0000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sz val="12"/>
      <color indexed="8"/>
      <name val="B Nazanin"/>
      <charset val="178"/>
    </font>
    <font>
      <b/>
      <sz val="11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0"/>
  </cellStyleXfs>
  <cellXfs count="51">
    <xf numFmtId="0" fontId="0" fillId="0" borderId="0" xfId="0"/>
    <xf numFmtId="0" fontId="2" fillId="3" borderId="0" xfId="1" applyFont="1" applyFill="1"/>
    <xf numFmtId="0" fontId="3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/>
    </xf>
    <xf numFmtId="0" fontId="7" fillId="3" borderId="0" xfId="1" applyFont="1" applyFill="1" applyAlignment="1">
      <alignment horizontal="center"/>
    </xf>
    <xf numFmtId="0" fontId="8" fillId="3" borderId="0" xfId="1" applyFont="1" applyFill="1" applyAlignment="1">
      <alignment horizontal="center" vertical="center" wrapText="1"/>
    </xf>
    <xf numFmtId="0" fontId="7" fillId="3" borderId="0" xfId="1" applyFont="1" applyFill="1"/>
    <xf numFmtId="0" fontId="9" fillId="3" borderId="0" xfId="1" applyFont="1" applyFill="1" applyAlignment="1">
      <alignment horizontal="center"/>
    </xf>
    <xf numFmtId="0" fontId="10" fillId="3" borderId="0" xfId="1" applyFont="1" applyFill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/>
    <xf numFmtId="37" fontId="13" fillId="0" borderId="0" xfId="0" applyNumberFormat="1" applyFont="1" applyAlignment="1">
      <alignment horizontal="right" vertical="center"/>
    </xf>
    <xf numFmtId="37" fontId="13" fillId="0" borderId="1" xfId="0" applyNumberFormat="1" applyFont="1" applyBorder="1" applyAlignment="1">
      <alignment horizontal="center" vertical="center"/>
    </xf>
    <xf numFmtId="0" fontId="12" fillId="2" borderId="2" xfId="0" applyFont="1" applyFill="1" applyBorder="1"/>
    <xf numFmtId="0" fontId="14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center" vertical="center" wrapText="1"/>
    </xf>
    <xf numFmtId="37" fontId="14" fillId="0" borderId="1" xfId="0" applyNumberFormat="1" applyFont="1" applyBorder="1" applyAlignment="1">
      <alignment horizontal="center" vertical="center"/>
    </xf>
    <xf numFmtId="37" fontId="14" fillId="0" borderId="1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 wrapText="1"/>
    </xf>
    <xf numFmtId="3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7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" fontId="12" fillId="0" borderId="0" xfId="0" applyNumberFormat="1" applyFont="1"/>
    <xf numFmtId="37" fontId="13" fillId="0" borderId="1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 wrapText="1"/>
    </xf>
    <xf numFmtId="37" fontId="14" fillId="0" borderId="0" xfId="0" applyNumberFormat="1" applyFont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/>
    </xf>
    <xf numFmtId="37" fontId="14" fillId="0" borderId="5" xfId="0" applyNumberFormat="1" applyFont="1" applyBorder="1" applyAlignment="1">
      <alignment horizontal="center" vertical="center"/>
    </xf>
    <xf numFmtId="0" fontId="12" fillId="2" borderId="6" xfId="0" applyFont="1" applyFill="1" applyBorder="1"/>
    <xf numFmtId="0" fontId="12" fillId="2" borderId="7" xfId="0" applyFont="1" applyFill="1" applyBorder="1"/>
    <xf numFmtId="37" fontId="13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5" fillId="0" borderId="4" xfId="0" applyNumberFormat="1" applyFont="1" applyBorder="1" applyAlignment="1">
      <alignment horizontal="center" vertical="center"/>
    </xf>
    <xf numFmtId="0" fontId="15" fillId="0" borderId="0" xfId="0" applyFont="1"/>
    <xf numFmtId="37" fontId="12" fillId="0" borderId="0" xfId="0" applyNumberFormat="1" applyFont="1" applyAlignment="1">
      <alignment horizontal="right" vertical="center" wrapText="1"/>
    </xf>
    <xf numFmtId="0" fontId="12" fillId="0" borderId="0" xfId="0" applyFont="1" applyBorder="1"/>
    <xf numFmtId="37" fontId="14" fillId="0" borderId="0" xfId="0" applyNumberFormat="1" applyFont="1" applyBorder="1" applyAlignment="1">
      <alignment horizontal="center" vertical="center"/>
    </xf>
    <xf numFmtId="10" fontId="14" fillId="0" borderId="0" xfId="0" applyNumberFormat="1" applyFont="1" applyBorder="1" applyAlignment="1">
      <alignment horizontal="center" vertical="center"/>
    </xf>
    <xf numFmtId="37" fontId="16" fillId="0" borderId="0" xfId="0" applyNumberFormat="1" applyFont="1" applyAlignment="1">
      <alignment horizontal="right" vertical="center"/>
    </xf>
    <xf numFmtId="0" fontId="16" fillId="0" borderId="0" xfId="0" applyFont="1"/>
    <xf numFmtId="0" fontId="12" fillId="0" borderId="0" xfId="0" applyFont="1" applyFill="1"/>
    <xf numFmtId="37" fontId="14" fillId="0" borderId="0" xfId="0" applyNumberFormat="1" applyFont="1" applyFill="1" applyAlignment="1">
      <alignment horizontal="center" vertical="center"/>
    </xf>
    <xf numFmtId="37" fontId="12" fillId="0" borderId="0" xfId="0" applyNumberFormat="1" applyFont="1" applyFill="1" applyAlignment="1">
      <alignment horizontal="center" vertical="center" wrapText="1"/>
    </xf>
    <xf numFmtId="37" fontId="1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91F357A3-FCD0-4531-8F57-D7D8D296E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="A15" sqref="A15:K20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244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4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x14ac:dyDescent="0.7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5.5" x14ac:dyDescent="0.65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 x14ac:dyDescent="0.25">
      <c r="A15" s="7" t="s">
        <v>246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26.2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4.2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39.950000000000003" customHeight="1" x14ac:dyDescent="0.6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39.950000000000003" customHeight="1" x14ac:dyDescent="0.65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10" t="s">
        <v>245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84"/>
  <sheetViews>
    <sheetView rightToLeft="1" workbookViewId="0">
      <selection activeCell="A15" sqref="A15:K20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12.5703125" style="13" bestFit="1" customWidth="1"/>
    <col min="4" max="4" width="1.42578125" style="13" customWidth="1"/>
    <col min="5" max="5" width="18.42578125" style="13" bestFit="1" customWidth="1"/>
    <col min="6" max="6" width="1.42578125" style="13" customWidth="1"/>
    <col min="7" max="7" width="18.140625" style="13" bestFit="1" customWidth="1"/>
    <col min="8" max="8" width="1.42578125" style="13" customWidth="1"/>
    <col min="9" max="9" width="11.5703125" style="13" bestFit="1" customWidth="1"/>
    <col min="10" max="10" width="16.85546875" style="13" bestFit="1" customWidth="1"/>
    <col min="11" max="11" width="1.42578125" style="13" customWidth="1"/>
    <col min="12" max="12" width="11.7109375" style="13" bestFit="1" customWidth="1"/>
    <col min="13" max="13" width="16.5703125" style="13" bestFit="1" customWidth="1"/>
    <col min="14" max="14" width="1.42578125" style="13" customWidth="1"/>
    <col min="15" max="15" width="12.85546875" style="13" bestFit="1" customWidth="1"/>
    <col min="16" max="16" width="1.42578125" style="13" customWidth="1"/>
    <col min="17" max="17" width="14.42578125" style="13" bestFit="1" customWidth="1"/>
    <col min="18" max="18" width="1.42578125" style="13" customWidth="1"/>
    <col min="19" max="19" width="18.5703125" style="13" bestFit="1" customWidth="1"/>
    <col min="20" max="20" width="1.42578125" style="13" customWidth="1"/>
    <col min="21" max="21" width="18.28515625" style="13" bestFit="1" customWidth="1"/>
    <col min="22" max="22" width="1.42578125" style="13" customWidth="1"/>
    <col min="23" max="23" width="16.7109375" style="13" bestFit="1" customWidth="1"/>
    <col min="24" max="16384" width="9.140625" style="13"/>
  </cols>
  <sheetData>
    <row r="1" spans="1:26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6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6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1:26" ht="21" x14ac:dyDescent="0.45">
      <c r="A5" s="14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6" ht="21" x14ac:dyDescent="0.45">
      <c r="A6" s="14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8" spans="1:26" ht="21" x14ac:dyDescent="0.45">
      <c r="C8" s="15" t="s">
        <v>5</v>
      </c>
      <c r="D8" s="16"/>
      <c r="E8" s="16"/>
      <c r="F8" s="16"/>
      <c r="G8" s="16"/>
      <c r="I8" s="15" t="s">
        <v>6</v>
      </c>
      <c r="J8" s="16"/>
      <c r="K8" s="16"/>
      <c r="L8" s="16"/>
      <c r="M8" s="16"/>
      <c r="O8" s="15" t="s">
        <v>7</v>
      </c>
      <c r="P8" s="16"/>
      <c r="Q8" s="16"/>
      <c r="R8" s="16"/>
      <c r="S8" s="16"/>
      <c r="T8" s="16"/>
      <c r="U8" s="16"/>
      <c r="V8" s="16"/>
      <c r="W8" s="16"/>
    </row>
    <row r="9" spans="1:26" ht="18.75" x14ac:dyDescent="0.45">
      <c r="A9" s="17" t="s">
        <v>8</v>
      </c>
      <c r="C9" s="17" t="s">
        <v>9</v>
      </c>
      <c r="E9" s="17" t="s">
        <v>10</v>
      </c>
      <c r="G9" s="17" t="s">
        <v>11</v>
      </c>
      <c r="I9" s="17" t="s">
        <v>12</v>
      </c>
      <c r="J9" s="12"/>
      <c r="L9" s="17" t="s">
        <v>13</v>
      </c>
      <c r="M9" s="12"/>
      <c r="O9" s="17" t="s">
        <v>9</v>
      </c>
      <c r="Q9" s="18" t="s">
        <v>14</v>
      </c>
      <c r="S9" s="17" t="s">
        <v>10</v>
      </c>
      <c r="U9" s="17" t="s">
        <v>11</v>
      </c>
      <c r="W9" s="18" t="s">
        <v>15</v>
      </c>
      <c r="Z9" s="28"/>
    </row>
    <row r="10" spans="1:26" ht="18.75" x14ac:dyDescent="0.45">
      <c r="A10" s="19"/>
      <c r="C10" s="19"/>
      <c r="E10" s="19"/>
      <c r="G10" s="19"/>
      <c r="I10" s="20" t="s">
        <v>9</v>
      </c>
      <c r="J10" s="20" t="s">
        <v>10</v>
      </c>
      <c r="L10" s="20" t="s">
        <v>9</v>
      </c>
      <c r="M10" s="20" t="s">
        <v>16</v>
      </c>
      <c r="O10" s="19"/>
      <c r="Q10" s="19"/>
      <c r="S10" s="19"/>
      <c r="U10" s="19"/>
      <c r="W10" s="19"/>
    </row>
    <row r="11" spans="1:26" ht="37.5" x14ac:dyDescent="0.45">
      <c r="A11" s="21" t="s">
        <v>17</v>
      </c>
      <c r="C11" s="22">
        <v>50000</v>
      </c>
      <c r="E11" s="22">
        <v>1000908000</v>
      </c>
      <c r="G11" s="22">
        <v>1322086500</v>
      </c>
      <c r="N11" s="23"/>
      <c r="O11" s="22">
        <v>50000</v>
      </c>
      <c r="Q11" s="22">
        <v>26900</v>
      </c>
      <c r="S11" s="22">
        <v>1000908000</v>
      </c>
      <c r="U11" s="22">
        <v>1336997250</v>
      </c>
      <c r="W11" s="24">
        <v>4.0176401782180733E-4</v>
      </c>
    </row>
    <row r="12" spans="1:26" ht="18.75" x14ac:dyDescent="0.45">
      <c r="A12" s="21" t="s">
        <v>18</v>
      </c>
      <c r="C12" s="22">
        <v>9200000</v>
      </c>
      <c r="E12" s="22">
        <v>34347755845</v>
      </c>
      <c r="G12" s="22">
        <v>36983431440</v>
      </c>
      <c r="N12" s="23"/>
      <c r="O12" s="22">
        <v>9200000</v>
      </c>
      <c r="Q12" s="22">
        <v>4504</v>
      </c>
      <c r="S12" s="22">
        <v>34347755845</v>
      </c>
      <c r="U12" s="22">
        <v>41190251040</v>
      </c>
      <c r="W12" s="24">
        <v>1.2377557809426518E-2</v>
      </c>
    </row>
    <row r="13" spans="1:26" ht="18.75" x14ac:dyDescent="0.45">
      <c r="A13" s="21" t="s">
        <v>19</v>
      </c>
      <c r="C13" s="22">
        <v>1895580</v>
      </c>
      <c r="E13" s="22">
        <v>18383781995</v>
      </c>
      <c r="G13" s="22">
        <v>16186148158</v>
      </c>
      <c r="N13" s="23"/>
      <c r="O13" s="22">
        <v>1895580</v>
      </c>
      <c r="Q13" s="22">
        <v>9460</v>
      </c>
      <c r="S13" s="22">
        <v>18383781995</v>
      </c>
      <c r="U13" s="22">
        <v>17825490289</v>
      </c>
      <c r="W13" s="24">
        <v>5.3565110909182864E-3</v>
      </c>
    </row>
    <row r="14" spans="1:26" ht="18.75" x14ac:dyDescent="0.45">
      <c r="A14" s="21" t="s">
        <v>20</v>
      </c>
      <c r="C14" s="22">
        <v>1950000</v>
      </c>
      <c r="E14" s="22">
        <v>10414772629</v>
      </c>
      <c r="G14" s="22">
        <v>10318089892</v>
      </c>
      <c r="I14" s="22">
        <v>0</v>
      </c>
      <c r="J14" s="22">
        <v>0</v>
      </c>
      <c r="L14" s="22">
        <v>1950000</v>
      </c>
      <c r="M14" s="22">
        <v>12231288304</v>
      </c>
      <c r="W14" s="24">
        <v>0</v>
      </c>
    </row>
    <row r="15" spans="1:26" ht="18.75" x14ac:dyDescent="0.45">
      <c r="A15" s="21" t="s">
        <v>21</v>
      </c>
      <c r="C15" s="22">
        <v>1664464</v>
      </c>
      <c r="E15" s="22">
        <v>23074802770</v>
      </c>
      <c r="G15" s="22">
        <v>24671150709</v>
      </c>
      <c r="N15" s="23"/>
      <c r="O15" s="22">
        <v>1664464</v>
      </c>
      <c r="Q15" s="22">
        <v>17150</v>
      </c>
      <c r="S15" s="22">
        <v>23074802770</v>
      </c>
      <c r="U15" s="22">
        <v>28375711532</v>
      </c>
      <c r="W15" s="24">
        <v>8.5268237265625733E-3</v>
      </c>
    </row>
    <row r="16" spans="1:26" ht="18.75" x14ac:dyDescent="0.45">
      <c r="A16" s="21" t="s">
        <v>22</v>
      </c>
      <c r="C16" s="22">
        <v>727007</v>
      </c>
      <c r="E16" s="22">
        <v>9351638821</v>
      </c>
      <c r="G16" s="22">
        <v>10053219680</v>
      </c>
      <c r="N16" s="23"/>
      <c r="O16" s="22">
        <v>727007</v>
      </c>
      <c r="Q16" s="22">
        <v>15460</v>
      </c>
      <c r="S16" s="22">
        <v>9351638821</v>
      </c>
      <c r="U16" s="22">
        <v>11172653027</v>
      </c>
      <c r="W16" s="24">
        <v>3.3573516847970313E-3</v>
      </c>
    </row>
    <row r="17" spans="1:23" ht="18.75" x14ac:dyDescent="0.45">
      <c r="A17" s="21" t="s">
        <v>23</v>
      </c>
      <c r="C17" s="22">
        <v>22000000</v>
      </c>
      <c r="E17" s="22">
        <v>40077157120</v>
      </c>
      <c r="G17" s="22">
        <v>53885462400</v>
      </c>
      <c r="N17" s="23"/>
      <c r="O17" s="22">
        <v>22000000</v>
      </c>
      <c r="Q17" s="22">
        <v>2700</v>
      </c>
      <c r="S17" s="22">
        <v>40077157120</v>
      </c>
      <c r="U17" s="22">
        <v>59046570000</v>
      </c>
      <c r="W17" s="24">
        <v>1.7743332831684278E-2</v>
      </c>
    </row>
    <row r="18" spans="1:23" ht="18.75" x14ac:dyDescent="0.45">
      <c r="A18" s="21" t="s">
        <v>24</v>
      </c>
      <c r="H18" s="23"/>
      <c r="I18" s="22">
        <v>500000</v>
      </c>
      <c r="J18" s="22">
        <v>7186663004</v>
      </c>
      <c r="L18" s="22">
        <v>0</v>
      </c>
      <c r="M18" s="22">
        <v>0</v>
      </c>
      <c r="O18" s="22">
        <v>500000</v>
      </c>
      <c r="Q18" s="22">
        <v>14390</v>
      </c>
      <c r="S18" s="22">
        <v>7186663004</v>
      </c>
      <c r="U18" s="22">
        <v>7152189750</v>
      </c>
      <c r="W18" s="24">
        <v>2.1492134633664711E-3</v>
      </c>
    </row>
    <row r="19" spans="1:23" ht="18.75" x14ac:dyDescent="0.45">
      <c r="A19" s="21" t="s">
        <v>25</v>
      </c>
      <c r="C19" s="22">
        <v>4693440</v>
      </c>
      <c r="E19" s="22">
        <v>14030262999</v>
      </c>
      <c r="G19" s="22">
        <v>12979460037</v>
      </c>
      <c r="I19" s="22">
        <v>16000000</v>
      </c>
      <c r="J19" s="22">
        <v>33952826558</v>
      </c>
      <c r="L19" s="22">
        <v>0</v>
      </c>
      <c r="M19" s="22">
        <v>0</v>
      </c>
      <c r="O19" s="22">
        <v>23509504</v>
      </c>
      <c r="Q19" s="22">
        <v>1955</v>
      </c>
      <c r="S19" s="22">
        <v>47983089557</v>
      </c>
      <c r="U19" s="22">
        <v>45687611892</v>
      </c>
      <c r="W19" s="24">
        <v>1.3729002448145129E-2</v>
      </c>
    </row>
    <row r="20" spans="1:23" ht="37.5" x14ac:dyDescent="0.45">
      <c r="A20" s="21" t="s">
        <v>26</v>
      </c>
      <c r="C20" s="22">
        <v>1562500</v>
      </c>
      <c r="E20" s="22">
        <v>3937321845</v>
      </c>
      <c r="G20" s="22">
        <v>3931157109</v>
      </c>
      <c r="N20" s="23"/>
      <c r="O20" s="22">
        <v>1562500</v>
      </c>
      <c r="Q20" s="22">
        <v>2997</v>
      </c>
      <c r="S20" s="22">
        <v>3937321845</v>
      </c>
      <c r="U20" s="22">
        <v>4654949766</v>
      </c>
      <c r="W20" s="24">
        <v>1.3987996764741602E-3</v>
      </c>
    </row>
    <row r="21" spans="1:23" ht="37.5" x14ac:dyDescent="0.45">
      <c r="A21" s="21" t="s">
        <v>27</v>
      </c>
      <c r="C21" s="22">
        <v>5317185</v>
      </c>
      <c r="E21" s="22">
        <v>2658592500</v>
      </c>
      <c r="G21" s="22">
        <v>15507797096</v>
      </c>
      <c r="N21" s="23"/>
      <c r="O21" s="22">
        <v>5317185</v>
      </c>
      <c r="Q21" s="22">
        <v>3360</v>
      </c>
      <c r="S21" s="22">
        <v>2658592500</v>
      </c>
      <c r="U21" s="22">
        <v>17759440437</v>
      </c>
      <c r="W21" s="24">
        <v>5.3366632909949471E-3</v>
      </c>
    </row>
    <row r="22" spans="1:23" ht="18.75" x14ac:dyDescent="0.45">
      <c r="A22" s="21" t="s">
        <v>28</v>
      </c>
      <c r="C22" s="22">
        <v>14760521</v>
      </c>
      <c r="E22" s="22">
        <v>71176971001</v>
      </c>
      <c r="G22" s="22">
        <v>68521489853</v>
      </c>
      <c r="I22" s="22">
        <v>2889059</v>
      </c>
      <c r="J22" s="22">
        <v>15550117577</v>
      </c>
      <c r="L22" s="22">
        <v>0</v>
      </c>
      <c r="M22" s="22">
        <v>0</v>
      </c>
      <c r="O22" s="22">
        <v>17649580</v>
      </c>
      <c r="Q22" s="22">
        <v>5550</v>
      </c>
      <c r="S22" s="22">
        <v>86727088578</v>
      </c>
      <c r="U22" s="22">
        <v>97372335744</v>
      </c>
      <c r="W22" s="24">
        <v>2.9260120642135519E-2</v>
      </c>
    </row>
    <row r="23" spans="1:23" ht="18.75" x14ac:dyDescent="0.45">
      <c r="A23" s="21" t="s">
        <v>29</v>
      </c>
      <c r="C23" s="22">
        <v>23094030</v>
      </c>
      <c r="E23" s="22">
        <v>87878064447</v>
      </c>
      <c r="G23" s="22">
        <v>119259643609</v>
      </c>
      <c r="N23" s="23"/>
      <c r="O23" s="22">
        <v>23094030</v>
      </c>
      <c r="Q23" s="22">
        <v>6040</v>
      </c>
      <c r="S23" s="22">
        <v>87878064447</v>
      </c>
      <c r="U23" s="22">
        <v>138657987950</v>
      </c>
      <c r="W23" s="24">
        <v>4.1666346241085943E-2</v>
      </c>
    </row>
    <row r="24" spans="1:23" ht="18.75" x14ac:dyDescent="0.45">
      <c r="A24" s="21" t="s">
        <v>30</v>
      </c>
      <c r="C24" s="22">
        <v>2845363</v>
      </c>
      <c r="E24" s="22">
        <v>28777678147</v>
      </c>
      <c r="G24" s="22">
        <v>34789727009</v>
      </c>
      <c r="I24" s="22">
        <v>0</v>
      </c>
      <c r="J24" s="22">
        <v>0</v>
      </c>
      <c r="L24" s="22">
        <v>1145363</v>
      </c>
      <c r="M24" s="22">
        <v>15324857452</v>
      </c>
      <c r="O24" s="22">
        <v>1700000</v>
      </c>
      <c r="Q24" s="22">
        <v>12770</v>
      </c>
      <c r="S24" s="22">
        <v>17193606879</v>
      </c>
      <c r="U24" s="22">
        <v>21579831450</v>
      </c>
      <c r="W24" s="24">
        <v>6.4846803441588217E-3</v>
      </c>
    </row>
    <row r="25" spans="1:23" ht="18.75" x14ac:dyDescent="0.45">
      <c r="A25" s="21" t="s">
        <v>31</v>
      </c>
      <c r="C25" s="22">
        <v>2139629</v>
      </c>
      <c r="E25" s="22">
        <v>81270928834</v>
      </c>
      <c r="G25" s="22">
        <v>44877552177</v>
      </c>
      <c r="N25" s="23"/>
      <c r="O25" s="22">
        <v>2139629</v>
      </c>
      <c r="Q25" s="22">
        <v>24700</v>
      </c>
      <c r="S25" s="22">
        <v>81270928834</v>
      </c>
      <c r="U25" s="22">
        <v>52534385724</v>
      </c>
      <c r="W25" s="24">
        <v>1.5786439263263133E-2</v>
      </c>
    </row>
    <row r="26" spans="1:23" ht="37.5" x14ac:dyDescent="0.45">
      <c r="A26" s="21" t="s">
        <v>32</v>
      </c>
      <c r="C26" s="22">
        <v>842177</v>
      </c>
      <c r="E26" s="22">
        <v>2001916090</v>
      </c>
      <c r="G26" s="22">
        <v>8949305041</v>
      </c>
      <c r="N26" s="23"/>
      <c r="O26" s="22">
        <v>842177</v>
      </c>
      <c r="Q26" s="22">
        <v>11020</v>
      </c>
      <c r="S26" s="22">
        <v>2001916090</v>
      </c>
      <c r="U26" s="22">
        <v>9225569836</v>
      </c>
      <c r="W26" s="24">
        <v>2.7722585098862635E-3</v>
      </c>
    </row>
    <row r="27" spans="1:23" ht="37.5" x14ac:dyDescent="0.45">
      <c r="A27" s="21" t="s">
        <v>33</v>
      </c>
      <c r="C27" s="22">
        <v>4000461</v>
      </c>
      <c r="E27" s="22">
        <v>57216754542</v>
      </c>
      <c r="G27" s="22">
        <v>61797269315</v>
      </c>
      <c r="I27" s="22">
        <v>600000</v>
      </c>
      <c r="J27" s="22">
        <v>10065130830</v>
      </c>
      <c r="L27" s="22">
        <v>0</v>
      </c>
      <c r="M27" s="22">
        <v>0</v>
      </c>
      <c r="O27" s="22">
        <v>4600461</v>
      </c>
      <c r="Q27" s="22">
        <v>17090</v>
      </c>
      <c r="S27" s="22">
        <v>67281885372</v>
      </c>
      <c r="U27" s="22">
        <v>78154078313</v>
      </c>
      <c r="W27" s="24">
        <v>2.3485086833343192E-2</v>
      </c>
    </row>
    <row r="28" spans="1:23" ht="18.75" x14ac:dyDescent="0.45">
      <c r="A28" s="21" t="s">
        <v>34</v>
      </c>
      <c r="H28" s="23"/>
      <c r="I28" s="22">
        <v>2000000</v>
      </c>
      <c r="J28" s="22">
        <v>13111894800</v>
      </c>
      <c r="L28" s="22">
        <v>0</v>
      </c>
      <c r="M28" s="22">
        <v>0</v>
      </c>
      <c r="O28" s="22">
        <v>2000000</v>
      </c>
      <c r="Q28" s="22">
        <v>6580</v>
      </c>
      <c r="S28" s="22">
        <v>13111894800</v>
      </c>
      <c r="U28" s="22">
        <v>13081698000</v>
      </c>
      <c r="W28" s="24">
        <v>3.9310144792081671E-3</v>
      </c>
    </row>
    <row r="29" spans="1:23" ht="18.75" x14ac:dyDescent="0.45">
      <c r="A29" s="21" t="s">
        <v>35</v>
      </c>
      <c r="C29" s="22">
        <v>25806527</v>
      </c>
      <c r="E29" s="22">
        <v>45773651820</v>
      </c>
      <c r="G29" s="22">
        <v>43584409901</v>
      </c>
      <c r="I29" s="22">
        <v>8000000</v>
      </c>
      <c r="J29" s="22">
        <v>14277236862</v>
      </c>
      <c r="L29" s="22">
        <v>0</v>
      </c>
      <c r="M29" s="22">
        <v>0</v>
      </c>
      <c r="O29" s="22">
        <v>33806527</v>
      </c>
      <c r="Q29" s="22">
        <v>2180</v>
      </c>
      <c r="S29" s="22">
        <v>60050888682</v>
      </c>
      <c r="U29" s="22">
        <v>73259724398</v>
      </c>
      <c r="W29" s="24">
        <v>2.201434686470654E-2</v>
      </c>
    </row>
    <row r="30" spans="1:23" ht="18.75" x14ac:dyDescent="0.45">
      <c r="A30" s="21" t="s">
        <v>36</v>
      </c>
      <c r="C30" s="22">
        <v>1800000</v>
      </c>
      <c r="E30" s="22">
        <v>19473665998</v>
      </c>
      <c r="G30" s="22">
        <v>23403913200</v>
      </c>
      <c r="I30" s="22">
        <v>0</v>
      </c>
      <c r="J30" s="22">
        <v>0</v>
      </c>
      <c r="L30" s="22">
        <v>1800000</v>
      </c>
      <c r="M30" s="22">
        <v>25551061283</v>
      </c>
      <c r="W30" s="24">
        <v>0</v>
      </c>
    </row>
    <row r="31" spans="1:23" ht="37.5" x14ac:dyDescent="0.45">
      <c r="A31" s="21" t="s">
        <v>37</v>
      </c>
      <c r="H31" s="23"/>
      <c r="I31" s="22">
        <v>3529302</v>
      </c>
      <c r="J31" s="22">
        <v>25990794817</v>
      </c>
      <c r="L31" s="22">
        <v>400000</v>
      </c>
      <c r="M31" s="22">
        <v>3033840616</v>
      </c>
      <c r="O31" s="22">
        <v>3129302</v>
      </c>
      <c r="Q31" s="22">
        <v>7950</v>
      </c>
      <c r="S31" s="22">
        <v>23045079793</v>
      </c>
      <c r="U31" s="22">
        <v>24729927092</v>
      </c>
      <c r="W31" s="24">
        <v>7.4312754711517047E-3</v>
      </c>
    </row>
    <row r="32" spans="1:23" ht="18.75" x14ac:dyDescent="0.45">
      <c r="A32" s="21" t="s">
        <v>38</v>
      </c>
      <c r="C32" s="22">
        <v>3929304</v>
      </c>
      <c r="E32" s="22">
        <v>65268475220</v>
      </c>
      <c r="G32" s="22">
        <v>67142844582</v>
      </c>
      <c r="N32" s="23"/>
      <c r="O32" s="22">
        <v>3929304</v>
      </c>
      <c r="Q32" s="22">
        <v>20000</v>
      </c>
      <c r="S32" s="22">
        <v>65268475220</v>
      </c>
      <c r="U32" s="22">
        <v>78118492824</v>
      </c>
      <c r="W32" s="24">
        <v>2.3474393491201468E-2</v>
      </c>
    </row>
    <row r="33" spans="1:23" ht="18.75" x14ac:dyDescent="0.45">
      <c r="A33" s="21" t="s">
        <v>39</v>
      </c>
      <c r="C33" s="22">
        <v>3273715</v>
      </c>
      <c r="E33" s="22">
        <v>91708304832</v>
      </c>
      <c r="G33" s="22">
        <v>83861671918</v>
      </c>
      <c r="I33" s="22">
        <v>0</v>
      </c>
      <c r="J33" s="22">
        <v>0</v>
      </c>
      <c r="L33" s="22">
        <v>100000</v>
      </c>
      <c r="M33" s="22">
        <v>3015957648</v>
      </c>
      <c r="O33" s="22">
        <v>3173715</v>
      </c>
      <c r="Q33" s="22">
        <v>29170</v>
      </c>
      <c r="S33" s="22">
        <v>88906952093</v>
      </c>
      <c r="U33" s="22">
        <v>92026431814</v>
      </c>
      <c r="W33" s="24">
        <v>2.7653691128682E-2</v>
      </c>
    </row>
    <row r="34" spans="1:23" ht="18.75" x14ac:dyDescent="0.45">
      <c r="A34" s="21" t="s">
        <v>40</v>
      </c>
      <c r="C34" s="22">
        <v>614525</v>
      </c>
      <c r="E34" s="22">
        <v>49949365751</v>
      </c>
      <c r="G34" s="22">
        <v>63835766218</v>
      </c>
      <c r="I34" s="22">
        <v>0</v>
      </c>
      <c r="J34" s="22">
        <v>0</v>
      </c>
      <c r="L34" s="22">
        <v>414525</v>
      </c>
      <c r="M34" s="22">
        <v>51258197729</v>
      </c>
      <c r="O34" s="22">
        <v>200000</v>
      </c>
      <c r="Q34" s="22">
        <v>115150</v>
      </c>
      <c r="S34" s="22">
        <v>16256251821</v>
      </c>
      <c r="U34" s="22">
        <v>22892971500</v>
      </c>
      <c r="W34" s="24">
        <v>6.8792753386142918E-3</v>
      </c>
    </row>
    <row r="35" spans="1:23" ht="18.75" x14ac:dyDescent="0.45">
      <c r="A35" s="21" t="s">
        <v>41</v>
      </c>
      <c r="H35" s="23"/>
      <c r="I35" s="22">
        <v>188</v>
      </c>
      <c r="J35" s="22">
        <v>2762399</v>
      </c>
      <c r="L35" s="22">
        <v>0</v>
      </c>
      <c r="M35" s="22">
        <v>0</v>
      </c>
      <c r="O35" s="22">
        <v>188</v>
      </c>
      <c r="Q35" s="22">
        <v>14680</v>
      </c>
      <c r="S35" s="22">
        <v>2762587</v>
      </c>
      <c r="U35" s="22">
        <v>2750147</v>
      </c>
      <c r="W35" s="24">
        <v>8.264116536668942E-7</v>
      </c>
    </row>
    <row r="36" spans="1:23" ht="18.75" x14ac:dyDescent="0.45">
      <c r="A36" s="21" t="s">
        <v>42</v>
      </c>
      <c r="C36" s="22">
        <v>341342</v>
      </c>
      <c r="E36" s="22">
        <v>12685589296</v>
      </c>
      <c r="G36" s="22">
        <v>17762931640</v>
      </c>
      <c r="N36" s="23"/>
      <c r="O36" s="22">
        <v>341342</v>
      </c>
      <c r="Q36" s="22">
        <v>55050</v>
      </c>
      <c r="S36" s="22">
        <v>12685589296</v>
      </c>
      <c r="U36" s="22">
        <v>18679071381</v>
      </c>
      <c r="W36" s="24">
        <v>5.6130098750845564E-3</v>
      </c>
    </row>
    <row r="37" spans="1:23" ht="18.75" x14ac:dyDescent="0.45">
      <c r="A37" s="21" t="s">
        <v>43</v>
      </c>
      <c r="C37" s="22">
        <v>7048964</v>
      </c>
      <c r="E37" s="22">
        <v>19951752189</v>
      </c>
      <c r="G37" s="22">
        <v>25344400976</v>
      </c>
      <c r="I37" s="22">
        <v>8000000</v>
      </c>
      <c r="J37" s="22">
        <v>33551106324</v>
      </c>
      <c r="L37" s="22">
        <v>0</v>
      </c>
      <c r="M37" s="22">
        <v>0</v>
      </c>
      <c r="O37" s="22">
        <v>15048964</v>
      </c>
      <c r="Q37" s="22">
        <v>4197</v>
      </c>
      <c r="S37" s="22">
        <v>53502858513</v>
      </c>
      <c r="U37" s="22">
        <v>62784696922</v>
      </c>
      <c r="W37" s="24">
        <v>1.8866629750440532E-2</v>
      </c>
    </row>
    <row r="38" spans="1:23" ht="37.5" x14ac:dyDescent="0.45">
      <c r="A38" s="21" t="s">
        <v>44</v>
      </c>
      <c r="C38" s="22">
        <v>6986817</v>
      </c>
      <c r="E38" s="22">
        <v>36649310457</v>
      </c>
      <c r="G38" s="22">
        <v>35281846829</v>
      </c>
      <c r="N38" s="23"/>
      <c r="O38" s="22">
        <v>6986817</v>
      </c>
      <c r="Q38" s="22">
        <v>5220</v>
      </c>
      <c r="S38" s="22">
        <v>36649310457</v>
      </c>
      <c r="U38" s="22">
        <v>36254181191</v>
      </c>
      <c r="W38" s="24">
        <v>1.0894282316688353E-2</v>
      </c>
    </row>
    <row r="39" spans="1:23" ht="18.75" x14ac:dyDescent="0.45">
      <c r="A39" s="21" t="s">
        <v>45</v>
      </c>
      <c r="C39" s="22">
        <v>1200000</v>
      </c>
      <c r="E39" s="22">
        <v>15324198878</v>
      </c>
      <c r="G39" s="22">
        <v>14696035200</v>
      </c>
      <c r="I39" s="22">
        <v>0</v>
      </c>
      <c r="J39" s="22">
        <v>0</v>
      </c>
      <c r="L39" s="22">
        <v>1200000</v>
      </c>
      <c r="M39" s="22">
        <v>16592732407</v>
      </c>
      <c r="W39" s="24">
        <v>0</v>
      </c>
    </row>
    <row r="40" spans="1:23" ht="18.75" x14ac:dyDescent="0.45">
      <c r="A40" s="21" t="s">
        <v>46</v>
      </c>
      <c r="C40" s="22">
        <v>5641064</v>
      </c>
      <c r="E40" s="22">
        <v>27693957457</v>
      </c>
      <c r="G40" s="22">
        <v>22945888646</v>
      </c>
      <c r="N40" s="23"/>
      <c r="O40" s="22">
        <v>5641064</v>
      </c>
      <c r="Q40" s="22">
        <v>4178</v>
      </c>
      <c r="S40" s="22">
        <v>27693957457</v>
      </c>
      <c r="U40" s="22">
        <v>23428133618</v>
      </c>
      <c r="W40" s="24">
        <v>7.0400900917588537E-3</v>
      </c>
    </row>
    <row r="41" spans="1:23" ht="18.75" x14ac:dyDescent="0.45">
      <c r="A41" s="21" t="s">
        <v>47</v>
      </c>
      <c r="C41" s="22">
        <v>5609058</v>
      </c>
      <c r="E41" s="22">
        <v>31621155320</v>
      </c>
      <c r="G41" s="22">
        <v>22046254951</v>
      </c>
      <c r="N41" s="23"/>
      <c r="O41" s="22">
        <v>5609058</v>
      </c>
      <c r="Q41" s="22">
        <v>4680</v>
      </c>
      <c r="S41" s="22">
        <v>31621155320</v>
      </c>
      <c r="U41" s="22">
        <v>26094201611</v>
      </c>
      <c r="W41" s="24">
        <v>7.8412362337227232E-3</v>
      </c>
    </row>
    <row r="42" spans="1:23" ht="18.75" x14ac:dyDescent="0.45">
      <c r="A42" s="21" t="s">
        <v>48</v>
      </c>
      <c r="C42" s="22">
        <v>2029694</v>
      </c>
      <c r="E42" s="22">
        <v>44505016348</v>
      </c>
      <c r="G42" s="22">
        <v>69385859659</v>
      </c>
      <c r="N42" s="23"/>
      <c r="O42" s="22">
        <v>2029694</v>
      </c>
      <c r="Q42" s="22">
        <v>39130</v>
      </c>
      <c r="S42" s="22">
        <v>44505016348</v>
      </c>
      <c r="U42" s="22">
        <v>78949365759</v>
      </c>
      <c r="W42" s="24">
        <v>2.3724068536281027E-2</v>
      </c>
    </row>
    <row r="43" spans="1:23" ht="18.75" x14ac:dyDescent="0.45">
      <c r="A43" s="21" t="s">
        <v>49</v>
      </c>
      <c r="C43" s="22">
        <v>14512202</v>
      </c>
      <c r="E43" s="22">
        <v>91032537031</v>
      </c>
      <c r="G43" s="22">
        <v>86266609301</v>
      </c>
      <c r="I43" s="22">
        <v>0</v>
      </c>
      <c r="J43" s="22">
        <v>0</v>
      </c>
      <c r="L43" s="22">
        <v>5600000</v>
      </c>
      <c r="M43" s="22">
        <v>39424023191</v>
      </c>
      <c r="O43" s="22">
        <v>8912202</v>
      </c>
      <c r="Q43" s="22">
        <v>7220</v>
      </c>
      <c r="S43" s="22">
        <v>55904704096</v>
      </c>
      <c r="U43" s="22">
        <v>63963239154</v>
      </c>
      <c r="W43" s="24">
        <v>1.9220778468623013E-2</v>
      </c>
    </row>
    <row r="44" spans="1:23" ht="18.75" x14ac:dyDescent="0.45">
      <c r="A44" s="21" t="s">
        <v>50</v>
      </c>
      <c r="C44" s="22">
        <v>8351092</v>
      </c>
      <c r="E44" s="22">
        <v>44413969614</v>
      </c>
      <c r="G44" s="22">
        <v>52381852946</v>
      </c>
      <c r="I44" s="22">
        <v>0</v>
      </c>
      <c r="J44" s="22">
        <v>0</v>
      </c>
      <c r="L44" s="22">
        <v>218866</v>
      </c>
      <c r="M44" s="22">
        <v>1496838614</v>
      </c>
      <c r="O44" s="22">
        <v>8132226</v>
      </c>
      <c r="Q44" s="22">
        <v>7910</v>
      </c>
      <c r="S44" s="22">
        <v>43249965209</v>
      </c>
      <c r="U44" s="22">
        <v>63943168509</v>
      </c>
      <c r="W44" s="24">
        <v>1.9214747294680451E-2</v>
      </c>
    </row>
    <row r="45" spans="1:23" ht="18.75" x14ac:dyDescent="0.45">
      <c r="A45" s="21" t="s">
        <v>51</v>
      </c>
      <c r="H45" s="23"/>
      <c r="I45" s="22">
        <v>5000000</v>
      </c>
      <c r="J45" s="22">
        <v>43324347573</v>
      </c>
      <c r="L45" s="22">
        <v>0</v>
      </c>
      <c r="M45" s="22">
        <v>0</v>
      </c>
      <c r="O45" s="22">
        <v>5000000</v>
      </c>
      <c r="Q45" s="22">
        <v>8650</v>
      </c>
      <c r="S45" s="22">
        <v>43324347573</v>
      </c>
      <c r="U45" s="22">
        <v>42992662500</v>
      </c>
      <c r="W45" s="24">
        <v>1.2919177524753285E-2</v>
      </c>
    </row>
    <row r="46" spans="1:23" ht="37.5" x14ac:dyDescent="0.45">
      <c r="A46" s="21" t="s">
        <v>52</v>
      </c>
      <c r="C46" s="22">
        <v>2653130</v>
      </c>
      <c r="E46" s="22">
        <v>22982483343</v>
      </c>
      <c r="G46" s="22">
        <v>28588807621</v>
      </c>
      <c r="N46" s="23"/>
      <c r="O46" s="22">
        <v>5173603</v>
      </c>
      <c r="Q46" s="22">
        <v>6440</v>
      </c>
      <c r="S46" s="22">
        <v>22982483343</v>
      </c>
      <c r="U46" s="22">
        <v>33119761200</v>
      </c>
      <c r="W46" s="24">
        <v>9.9523976799584316E-3</v>
      </c>
    </row>
    <row r="47" spans="1:23" ht="18.75" x14ac:dyDescent="0.45">
      <c r="A47" s="21" t="s">
        <v>53</v>
      </c>
      <c r="C47" s="22">
        <v>17343799</v>
      </c>
      <c r="E47" s="22">
        <v>58383892224</v>
      </c>
      <c r="G47" s="22">
        <v>41153320306</v>
      </c>
      <c r="I47" s="22">
        <v>1600000</v>
      </c>
      <c r="J47" s="22">
        <v>4404083157</v>
      </c>
      <c r="L47" s="22">
        <v>0</v>
      </c>
      <c r="M47" s="22">
        <v>0</v>
      </c>
      <c r="O47" s="22">
        <v>18943799</v>
      </c>
      <c r="Q47" s="22">
        <v>2723</v>
      </c>
      <c r="S47" s="22">
        <v>62787975381</v>
      </c>
      <c r="U47" s="22">
        <v>51277040087</v>
      </c>
      <c r="W47" s="24">
        <v>1.5408610337353346E-2</v>
      </c>
    </row>
    <row r="48" spans="1:23" ht="18.75" x14ac:dyDescent="0.45">
      <c r="A48" s="21" t="s">
        <v>54</v>
      </c>
      <c r="C48" s="22">
        <v>800000</v>
      </c>
      <c r="E48" s="22">
        <v>25875990584</v>
      </c>
      <c r="G48" s="22">
        <v>28747926000</v>
      </c>
      <c r="I48" s="22">
        <v>0</v>
      </c>
      <c r="J48" s="22">
        <v>0</v>
      </c>
      <c r="L48" s="22">
        <v>300000</v>
      </c>
      <c r="M48" s="22">
        <v>11096580198</v>
      </c>
      <c r="O48" s="22">
        <v>500000</v>
      </c>
      <c r="Q48" s="22">
        <v>35370</v>
      </c>
      <c r="S48" s="22">
        <v>16172494115</v>
      </c>
      <c r="U48" s="22">
        <v>17579774250</v>
      </c>
      <c r="W48" s="24">
        <v>5.2826740930696373E-3</v>
      </c>
    </row>
    <row r="49" spans="1:23" ht="18.75" x14ac:dyDescent="0.45">
      <c r="A49" s="21" t="s">
        <v>55</v>
      </c>
      <c r="C49" s="22">
        <v>27221426</v>
      </c>
      <c r="E49" s="22">
        <v>44346320390</v>
      </c>
      <c r="G49" s="22">
        <v>30279534079</v>
      </c>
      <c r="N49" s="23"/>
      <c r="O49" s="22">
        <v>27221426</v>
      </c>
      <c r="Q49" s="22">
        <v>1266</v>
      </c>
      <c r="S49" s="22">
        <v>44346320390</v>
      </c>
      <c r="U49" s="22">
        <v>34257274480</v>
      </c>
      <c r="W49" s="24">
        <v>1.0294217310251959E-2</v>
      </c>
    </row>
    <row r="50" spans="1:23" ht="18.75" x14ac:dyDescent="0.45">
      <c r="A50" s="21" t="s">
        <v>56</v>
      </c>
      <c r="C50" s="22">
        <v>10748510</v>
      </c>
      <c r="E50" s="22">
        <v>51903326103</v>
      </c>
      <c r="G50" s="22">
        <v>41562924262</v>
      </c>
      <c r="N50" s="23"/>
      <c r="O50" s="22">
        <v>10748510</v>
      </c>
      <c r="Q50" s="22">
        <v>4902</v>
      </c>
      <c r="S50" s="22">
        <v>51903326103</v>
      </c>
      <c r="U50" s="22">
        <v>52375695304</v>
      </c>
      <c r="W50" s="24">
        <v>1.5738753225966476E-2</v>
      </c>
    </row>
    <row r="51" spans="1:23" ht="18.75" x14ac:dyDescent="0.45">
      <c r="A51" s="21" t="s">
        <v>57</v>
      </c>
      <c r="C51" s="22">
        <v>15189799</v>
      </c>
      <c r="E51" s="22">
        <v>123718407507</v>
      </c>
      <c r="G51" s="22">
        <v>108715821811</v>
      </c>
      <c r="I51" s="22">
        <v>1168832</v>
      </c>
      <c r="J51" s="22">
        <v>8796225690</v>
      </c>
      <c r="L51" s="22">
        <v>0</v>
      </c>
      <c r="M51" s="22">
        <v>0</v>
      </c>
      <c r="O51" s="22">
        <v>16358631</v>
      </c>
      <c r="Q51" s="22">
        <v>8190</v>
      </c>
      <c r="S51" s="22">
        <v>132514633197</v>
      </c>
      <c r="U51" s="22">
        <v>133180023622</v>
      </c>
      <c r="W51" s="24">
        <v>4.0020232939131276E-2</v>
      </c>
    </row>
    <row r="52" spans="1:23" ht="18.75" x14ac:dyDescent="0.45">
      <c r="A52" s="21" t="s">
        <v>58</v>
      </c>
      <c r="C52" s="22">
        <v>1315189</v>
      </c>
      <c r="E52" s="22">
        <v>29455033842</v>
      </c>
      <c r="G52" s="22">
        <v>29298018846</v>
      </c>
      <c r="I52" s="22">
        <v>2242283</v>
      </c>
      <c r="J52" s="22">
        <v>54016661657</v>
      </c>
      <c r="L52" s="22">
        <v>0</v>
      </c>
      <c r="M52" s="22">
        <v>0</v>
      </c>
      <c r="O52" s="22">
        <v>3557472</v>
      </c>
      <c r="Q52" s="22">
        <v>26550</v>
      </c>
      <c r="S52" s="22">
        <v>83471695499</v>
      </c>
      <c r="U52" s="22">
        <v>93888898854</v>
      </c>
      <c r="W52" s="24">
        <v>2.8213357381586479E-2</v>
      </c>
    </row>
    <row r="53" spans="1:23" ht="18.75" x14ac:dyDescent="0.45">
      <c r="A53" s="21" t="s">
        <v>59</v>
      </c>
      <c r="C53" s="22">
        <v>5608577</v>
      </c>
      <c r="E53" s="22">
        <v>48395249821</v>
      </c>
      <c r="G53" s="22">
        <v>53354721103</v>
      </c>
      <c r="N53" s="23"/>
      <c r="O53" s="22">
        <v>14021442</v>
      </c>
      <c r="Q53" s="22">
        <v>4559</v>
      </c>
      <c r="S53" s="22">
        <v>48395249821</v>
      </c>
      <c r="U53" s="22">
        <v>63543407741</v>
      </c>
      <c r="W53" s="24">
        <v>1.9094620276977753E-2</v>
      </c>
    </row>
    <row r="54" spans="1:23" ht="18.75" x14ac:dyDescent="0.45">
      <c r="A54" s="21" t="s">
        <v>60</v>
      </c>
      <c r="C54" s="22">
        <v>2488715</v>
      </c>
      <c r="E54" s="22">
        <v>26854909997</v>
      </c>
      <c r="G54" s="22">
        <v>18034783093</v>
      </c>
      <c r="I54" s="22">
        <v>0</v>
      </c>
      <c r="J54" s="22">
        <v>0</v>
      </c>
      <c r="L54" s="22">
        <v>2488715</v>
      </c>
      <c r="M54" s="22">
        <v>21077688982</v>
      </c>
      <c r="W54" s="24">
        <v>0</v>
      </c>
    </row>
    <row r="55" spans="1:23" ht="18.75" x14ac:dyDescent="0.45">
      <c r="A55" s="21" t="s">
        <v>61</v>
      </c>
      <c r="C55" s="22">
        <v>2240000</v>
      </c>
      <c r="E55" s="22">
        <v>10603785257</v>
      </c>
      <c r="G55" s="22">
        <v>8897781312</v>
      </c>
      <c r="I55" s="22">
        <v>0</v>
      </c>
      <c r="J55" s="22">
        <v>0</v>
      </c>
      <c r="L55" s="22">
        <v>2240000</v>
      </c>
      <c r="M55" s="22">
        <v>9654122527</v>
      </c>
      <c r="W55" s="24">
        <v>0</v>
      </c>
    </row>
    <row r="56" spans="1:23" ht="18.75" x14ac:dyDescent="0.45">
      <c r="A56" s="21" t="s">
        <v>62</v>
      </c>
      <c r="C56" s="22">
        <v>24152607</v>
      </c>
      <c r="E56" s="22">
        <v>149845401619</v>
      </c>
      <c r="G56" s="22">
        <v>87176312227</v>
      </c>
      <c r="N56" s="23"/>
      <c r="O56" s="22">
        <v>24152607</v>
      </c>
      <c r="Q56" s="22">
        <v>4458</v>
      </c>
      <c r="S56" s="22">
        <v>149845401619</v>
      </c>
      <c r="U56" s="22">
        <v>107031671690</v>
      </c>
      <c r="W56" s="24">
        <v>3.2162724682013366E-2</v>
      </c>
    </row>
    <row r="57" spans="1:23" ht="18.75" x14ac:dyDescent="0.45">
      <c r="A57" s="21" t="s">
        <v>63</v>
      </c>
      <c r="C57" s="22">
        <v>2373635</v>
      </c>
      <c r="E57" s="22">
        <v>27157213151</v>
      </c>
      <c r="G57" s="22">
        <v>26332152489</v>
      </c>
      <c r="N57" s="23"/>
      <c r="O57" s="22">
        <v>2373635</v>
      </c>
      <c r="Q57" s="22">
        <v>12280</v>
      </c>
      <c r="S57" s="22">
        <v>27157213151</v>
      </c>
      <c r="U57" s="22">
        <v>28974805785</v>
      </c>
      <c r="W57" s="24">
        <v>8.7068499114625296E-3</v>
      </c>
    </row>
    <row r="58" spans="1:23" ht="18.75" x14ac:dyDescent="0.45">
      <c r="A58" s="21" t="s">
        <v>64</v>
      </c>
      <c r="C58" s="22">
        <v>17680723</v>
      </c>
      <c r="E58" s="22">
        <v>88602488404</v>
      </c>
      <c r="G58" s="22">
        <v>80847404411</v>
      </c>
      <c r="I58" s="22">
        <v>0</v>
      </c>
      <c r="J58" s="22">
        <v>0</v>
      </c>
      <c r="L58" s="22">
        <v>400000</v>
      </c>
      <c r="M58" s="22">
        <v>2127267007</v>
      </c>
      <c r="O58" s="22">
        <v>17280723</v>
      </c>
      <c r="Q58" s="22">
        <v>5320</v>
      </c>
      <c r="S58" s="22">
        <v>86597989190</v>
      </c>
      <c r="U58" s="22">
        <v>91386442354</v>
      </c>
      <c r="W58" s="24">
        <v>2.7461376045899887E-2</v>
      </c>
    </row>
    <row r="59" spans="1:23" ht="18.75" x14ac:dyDescent="0.45">
      <c r="A59" s="21" t="s">
        <v>65</v>
      </c>
      <c r="C59" s="22">
        <v>372076</v>
      </c>
      <c r="E59" s="22">
        <v>7888099502</v>
      </c>
      <c r="G59" s="22">
        <v>6239574433</v>
      </c>
      <c r="I59" s="22">
        <v>0</v>
      </c>
      <c r="J59" s="22">
        <v>0</v>
      </c>
      <c r="L59" s="22">
        <v>100000</v>
      </c>
      <c r="M59" s="22">
        <v>1987105964</v>
      </c>
      <c r="O59" s="22">
        <v>272076</v>
      </c>
      <c r="Q59" s="22">
        <v>21700</v>
      </c>
      <c r="S59" s="22">
        <v>5768075770</v>
      </c>
      <c r="U59" s="22">
        <v>5868920107</v>
      </c>
      <c r="W59" s="24">
        <v>1.7635944445386939E-3</v>
      </c>
    </row>
    <row r="60" spans="1:23" ht="18.75" x14ac:dyDescent="0.45">
      <c r="A60" s="21" t="s">
        <v>66</v>
      </c>
      <c r="C60" s="22">
        <v>3882657</v>
      </c>
      <c r="E60" s="22">
        <v>49025595916</v>
      </c>
      <c r="G60" s="22">
        <v>28908068379</v>
      </c>
      <c r="N60" s="23"/>
      <c r="O60" s="22">
        <v>3882657</v>
      </c>
      <c r="Q60" s="22">
        <v>9170</v>
      </c>
      <c r="S60" s="22">
        <v>49025595916</v>
      </c>
      <c r="U60" s="22">
        <v>35392121100</v>
      </c>
      <c r="W60" s="24">
        <v>1.0635235616507036E-2</v>
      </c>
    </row>
    <row r="61" spans="1:23" ht="18.75" x14ac:dyDescent="0.45">
      <c r="A61" s="21" t="s">
        <v>67</v>
      </c>
      <c r="H61" s="23"/>
      <c r="I61" s="22">
        <v>500000</v>
      </c>
      <c r="J61" s="22">
        <v>6806174400</v>
      </c>
      <c r="L61" s="22">
        <v>0</v>
      </c>
      <c r="M61" s="22">
        <v>0</v>
      </c>
      <c r="O61" s="22">
        <v>500000</v>
      </c>
      <c r="Q61" s="22">
        <v>18270</v>
      </c>
      <c r="S61" s="22">
        <v>6806174400</v>
      </c>
      <c r="U61" s="22">
        <v>9080646750</v>
      </c>
      <c r="W61" s="24">
        <v>2.7287095188120521E-3</v>
      </c>
    </row>
    <row r="62" spans="1:23" ht="18.75" x14ac:dyDescent="0.45">
      <c r="A62" s="21" t="s">
        <v>68</v>
      </c>
      <c r="C62" s="22">
        <v>21351279</v>
      </c>
      <c r="E62" s="22">
        <v>110128787308</v>
      </c>
      <c r="G62" s="22">
        <v>172128577397</v>
      </c>
      <c r="I62" s="22">
        <v>0</v>
      </c>
      <c r="J62" s="22">
        <v>0</v>
      </c>
      <c r="L62" s="22">
        <v>1600000</v>
      </c>
      <c r="M62" s="22">
        <v>15690085286</v>
      </c>
      <c r="O62" s="22">
        <v>19751279</v>
      </c>
      <c r="Q62" s="22">
        <v>10360</v>
      </c>
      <c r="S62" s="22">
        <v>101876070472</v>
      </c>
      <c r="U62" s="22">
        <v>203405742100</v>
      </c>
      <c r="W62" s="24">
        <v>6.1122869320877321E-2</v>
      </c>
    </row>
    <row r="63" spans="1:23" ht="37.5" x14ac:dyDescent="0.45">
      <c r="A63" s="21" t="s">
        <v>69</v>
      </c>
      <c r="C63" s="22">
        <v>8068802</v>
      </c>
      <c r="E63" s="22">
        <v>27135791667</v>
      </c>
      <c r="G63" s="22">
        <v>28963082180</v>
      </c>
      <c r="I63" s="22">
        <v>0</v>
      </c>
      <c r="J63" s="22">
        <v>0</v>
      </c>
      <c r="L63" s="22">
        <v>200000</v>
      </c>
      <c r="M63" s="22">
        <v>820091257</v>
      </c>
      <c r="O63" s="22">
        <v>7868802</v>
      </c>
      <c r="Q63" s="22">
        <v>4100</v>
      </c>
      <c r="S63" s="22">
        <v>26463181491</v>
      </c>
      <c r="U63" s="22">
        <v>32070128775</v>
      </c>
      <c r="W63" s="24">
        <v>9.6369860062963907E-3</v>
      </c>
    </row>
    <row r="64" spans="1:23" ht="18.75" x14ac:dyDescent="0.45">
      <c r="A64" s="21" t="s">
        <v>70</v>
      </c>
      <c r="C64" s="22">
        <v>4955597</v>
      </c>
      <c r="E64" s="22">
        <v>8318945687</v>
      </c>
      <c r="G64" s="22">
        <v>12842371893</v>
      </c>
      <c r="I64" s="22">
        <v>200000</v>
      </c>
      <c r="J64" s="22">
        <v>563711375</v>
      </c>
      <c r="L64" s="22">
        <v>0</v>
      </c>
      <c r="M64" s="22">
        <v>0</v>
      </c>
      <c r="O64" s="22">
        <v>5155597</v>
      </c>
      <c r="Q64" s="22">
        <v>2696</v>
      </c>
      <c r="S64" s="22">
        <v>8882657062</v>
      </c>
      <c r="U64" s="22">
        <v>13816787549</v>
      </c>
      <c r="W64" s="24">
        <v>4.151906878698936E-3</v>
      </c>
    </row>
    <row r="65" spans="1:23" ht="18.75" x14ac:dyDescent="0.45">
      <c r="A65" s="21" t="s">
        <v>71</v>
      </c>
      <c r="C65" s="22">
        <v>5666467</v>
      </c>
      <c r="E65" s="22">
        <v>28707359622</v>
      </c>
      <c r="G65" s="22">
        <v>32669958824</v>
      </c>
      <c r="N65" s="23"/>
      <c r="O65" s="22">
        <v>5666467</v>
      </c>
      <c r="Q65" s="22">
        <v>6450</v>
      </c>
      <c r="S65" s="22">
        <v>28707359622</v>
      </c>
      <c r="U65" s="22">
        <v>36331247313</v>
      </c>
      <c r="W65" s="24">
        <v>1.091744047562448E-2</v>
      </c>
    </row>
    <row r="66" spans="1:23" ht="18.75" x14ac:dyDescent="0.45">
      <c r="A66" s="21" t="s">
        <v>72</v>
      </c>
      <c r="C66" s="22">
        <v>534674</v>
      </c>
      <c r="E66" s="22">
        <v>27105671626</v>
      </c>
      <c r="G66" s="22">
        <v>42349337515</v>
      </c>
      <c r="N66" s="23"/>
      <c r="O66" s="22">
        <v>534674</v>
      </c>
      <c r="Q66" s="22">
        <v>86770</v>
      </c>
      <c r="S66" s="22">
        <v>27105671626</v>
      </c>
      <c r="U66" s="22">
        <v>46117620685</v>
      </c>
      <c r="W66" s="24">
        <v>1.3858218914651986E-2</v>
      </c>
    </row>
    <row r="67" spans="1:23" ht="37.5" x14ac:dyDescent="0.45">
      <c r="A67" s="21" t="s">
        <v>73</v>
      </c>
      <c r="C67" s="22">
        <v>7539161</v>
      </c>
      <c r="E67" s="22">
        <v>30227577878</v>
      </c>
      <c r="G67" s="22">
        <v>28590765915</v>
      </c>
      <c r="N67" s="23"/>
      <c r="O67" s="22">
        <v>7539161</v>
      </c>
      <c r="Q67" s="22">
        <v>4069</v>
      </c>
      <c r="S67" s="22">
        <v>30227577878</v>
      </c>
      <c r="U67" s="22">
        <v>30494318875</v>
      </c>
      <c r="W67" s="24">
        <v>9.1634594401442306E-3</v>
      </c>
    </row>
    <row r="68" spans="1:23" ht="18.75" x14ac:dyDescent="0.45">
      <c r="A68" s="21" t="s">
        <v>74</v>
      </c>
      <c r="C68" s="22">
        <v>4700000</v>
      </c>
      <c r="E68" s="22">
        <v>26085714195</v>
      </c>
      <c r="G68" s="22">
        <v>24803833815</v>
      </c>
      <c r="I68" s="22">
        <v>0</v>
      </c>
      <c r="J68" s="22">
        <v>0</v>
      </c>
      <c r="L68" s="22">
        <v>1000000</v>
      </c>
      <c r="M68" s="22">
        <v>6570670548</v>
      </c>
      <c r="O68" s="22">
        <v>3700000</v>
      </c>
      <c r="Q68" s="22">
        <v>6280</v>
      </c>
      <c r="S68" s="22">
        <v>20535562239</v>
      </c>
      <c r="U68" s="22">
        <v>23097745800</v>
      </c>
      <c r="W68" s="24">
        <v>6.9408094558420187E-3</v>
      </c>
    </row>
    <row r="69" spans="1:23" ht="18.75" x14ac:dyDescent="0.45">
      <c r="A69" s="21" t="s">
        <v>75</v>
      </c>
      <c r="C69" s="22">
        <v>12447027</v>
      </c>
      <c r="E69" s="22">
        <v>94257059223</v>
      </c>
      <c r="G69" s="22">
        <v>99602385874</v>
      </c>
      <c r="N69" s="23"/>
      <c r="O69" s="22">
        <v>12447027</v>
      </c>
      <c r="Q69" s="22">
        <v>8520</v>
      </c>
      <c r="S69" s="22">
        <v>94257059223</v>
      </c>
      <c r="U69" s="22">
        <v>105417680453</v>
      </c>
      <c r="W69" s="24">
        <v>3.1677724728493409E-2</v>
      </c>
    </row>
    <row r="70" spans="1:23" ht="18.75" x14ac:dyDescent="0.45">
      <c r="A70" s="21" t="s">
        <v>76</v>
      </c>
      <c r="C70" s="22">
        <v>16223071</v>
      </c>
      <c r="E70" s="22">
        <v>65896786074</v>
      </c>
      <c r="G70" s="22">
        <v>77165511736</v>
      </c>
      <c r="I70" s="22">
        <v>0</v>
      </c>
      <c r="J70" s="22">
        <v>0</v>
      </c>
      <c r="L70" s="22">
        <v>4800000</v>
      </c>
      <c r="M70" s="22">
        <v>29058069799</v>
      </c>
      <c r="O70" s="22">
        <v>11423071</v>
      </c>
      <c r="Q70" s="22">
        <v>5500</v>
      </c>
      <c r="S70" s="22">
        <v>46399579093</v>
      </c>
      <c r="U70" s="22">
        <v>62453070502</v>
      </c>
      <c r="W70" s="24">
        <v>1.8766976918009454E-2</v>
      </c>
    </row>
    <row r="71" spans="1:23" ht="18.75" x14ac:dyDescent="0.45">
      <c r="A71" s="21" t="s">
        <v>77</v>
      </c>
      <c r="C71" s="22">
        <v>26480781</v>
      </c>
      <c r="E71" s="22">
        <v>52367233699</v>
      </c>
      <c r="G71" s="22">
        <v>48618987992</v>
      </c>
      <c r="I71" s="22">
        <v>0</v>
      </c>
      <c r="J71" s="22">
        <v>0</v>
      </c>
      <c r="L71" s="22">
        <v>590995</v>
      </c>
      <c r="M71" s="22">
        <v>1216572006</v>
      </c>
      <c r="O71" s="22">
        <v>25889786</v>
      </c>
      <c r="Q71" s="22">
        <v>1972</v>
      </c>
      <c r="S71" s="22">
        <v>51198507849</v>
      </c>
      <c r="U71" s="22">
        <v>50750882777</v>
      </c>
      <c r="W71" s="24">
        <v>1.525050150439059E-2</v>
      </c>
    </row>
    <row r="72" spans="1:23" ht="18.75" x14ac:dyDescent="0.45">
      <c r="A72" s="21" t="s">
        <v>78</v>
      </c>
      <c r="C72" s="22">
        <v>277678</v>
      </c>
      <c r="E72" s="22">
        <v>10451767203</v>
      </c>
      <c r="G72" s="22">
        <v>9332432836</v>
      </c>
      <c r="N72" s="23"/>
      <c r="O72" s="22">
        <v>277678</v>
      </c>
      <c r="Q72" s="22">
        <v>37960</v>
      </c>
      <c r="S72" s="22">
        <v>10451767203</v>
      </c>
      <c r="U72" s="22">
        <v>10477939972</v>
      </c>
      <c r="W72" s="24">
        <v>3.1485923113502554E-3</v>
      </c>
    </row>
    <row r="73" spans="1:23" ht="18.75" x14ac:dyDescent="0.45">
      <c r="A73" s="21" t="s">
        <v>79</v>
      </c>
      <c r="H73" s="23"/>
      <c r="I73" s="22">
        <v>400000</v>
      </c>
      <c r="J73" s="22">
        <v>1792461862</v>
      </c>
      <c r="L73" s="22">
        <v>0</v>
      </c>
      <c r="M73" s="22">
        <v>0</v>
      </c>
      <c r="O73" s="22">
        <v>400000</v>
      </c>
      <c r="Q73" s="22">
        <v>4767</v>
      </c>
      <c r="S73" s="22">
        <v>1792461862</v>
      </c>
      <c r="U73" s="22">
        <v>1895454540</v>
      </c>
      <c r="W73" s="24">
        <v>5.6957890645548115E-4</v>
      </c>
    </row>
    <row r="74" spans="1:23" ht="18.75" x14ac:dyDescent="0.45">
      <c r="A74" s="21" t="s">
        <v>80</v>
      </c>
      <c r="C74" s="22">
        <v>4613772</v>
      </c>
      <c r="E74" s="22">
        <v>43269803786</v>
      </c>
      <c r="G74" s="22">
        <v>40038574094</v>
      </c>
      <c r="N74" s="23"/>
      <c r="O74" s="22">
        <v>4613772</v>
      </c>
      <c r="Q74" s="22">
        <v>9310</v>
      </c>
      <c r="S74" s="22">
        <v>43269803786</v>
      </c>
      <c r="U74" s="22">
        <v>42698639727</v>
      </c>
      <c r="W74" s="24">
        <v>1.2830824485424603E-2</v>
      </c>
    </row>
    <row r="75" spans="1:23" ht="18.75" x14ac:dyDescent="0.45">
      <c r="A75" s="21" t="s">
        <v>81</v>
      </c>
      <c r="C75" s="22">
        <v>5686897</v>
      </c>
      <c r="E75" s="22">
        <v>45538770945</v>
      </c>
      <c r="G75" s="22">
        <v>28146585555</v>
      </c>
      <c r="I75" s="22">
        <v>0</v>
      </c>
      <c r="J75" s="22">
        <v>0</v>
      </c>
      <c r="L75" s="22">
        <v>1250000</v>
      </c>
      <c r="M75" s="22">
        <v>7013072506</v>
      </c>
      <c r="O75" s="22">
        <v>4436897</v>
      </c>
      <c r="Q75" s="22">
        <v>6430</v>
      </c>
      <c r="S75" s="22">
        <v>35529188622</v>
      </c>
      <c r="U75" s="22">
        <v>28359498686</v>
      </c>
      <c r="W75" s="24">
        <v>8.5219518106709833E-3</v>
      </c>
    </row>
    <row r="76" spans="1:23" ht="18.75" x14ac:dyDescent="0.45">
      <c r="A76" s="21" t="s">
        <v>82</v>
      </c>
      <c r="C76" s="22">
        <v>407809</v>
      </c>
      <c r="E76" s="22">
        <v>15540146852</v>
      </c>
      <c r="G76" s="22">
        <v>17707109192</v>
      </c>
      <c r="N76" s="23"/>
      <c r="O76" s="22">
        <v>407809</v>
      </c>
      <c r="Q76" s="22">
        <v>49670</v>
      </c>
      <c r="S76" s="22">
        <v>15540146852</v>
      </c>
      <c r="U76" s="22">
        <v>20135350585</v>
      </c>
      <c r="W76" s="24">
        <v>6.0506177939261118E-3</v>
      </c>
    </row>
    <row r="77" spans="1:23" ht="18.75" x14ac:dyDescent="0.45">
      <c r="A77" s="21" t="s">
        <v>83</v>
      </c>
      <c r="C77" s="22">
        <v>5995429</v>
      </c>
      <c r="E77" s="22">
        <v>88275989453</v>
      </c>
      <c r="G77" s="22">
        <v>108884745727</v>
      </c>
      <c r="N77" s="23"/>
      <c r="O77" s="22">
        <v>5995429</v>
      </c>
      <c r="Q77" s="22">
        <v>20600</v>
      </c>
      <c r="S77" s="22">
        <v>88275989453</v>
      </c>
      <c r="U77" s="22">
        <v>122770977667</v>
      </c>
      <c r="W77" s="24">
        <v>3.6892343091509947E-2</v>
      </c>
    </row>
    <row r="78" spans="1:23" ht="18.75" x14ac:dyDescent="0.45">
      <c r="A78" s="21" t="s">
        <v>84</v>
      </c>
      <c r="C78" s="22">
        <v>5305016</v>
      </c>
      <c r="E78" s="22">
        <v>183650499318</v>
      </c>
      <c r="G78" s="22">
        <v>136846057467</v>
      </c>
      <c r="I78" s="22">
        <v>0</v>
      </c>
      <c r="J78" s="22">
        <v>0</v>
      </c>
      <c r="L78" s="22">
        <v>350000</v>
      </c>
      <c r="M78" s="22">
        <v>10907213638</v>
      </c>
      <c r="O78" s="22">
        <v>4955016</v>
      </c>
      <c r="Q78" s="22">
        <v>29700</v>
      </c>
      <c r="S78" s="22">
        <v>171534103296</v>
      </c>
      <c r="U78" s="22">
        <v>146288349548</v>
      </c>
      <c r="W78" s="24">
        <v>4.3959249037292675E-2</v>
      </c>
    </row>
    <row r="79" spans="1:23" ht="37.5" x14ac:dyDescent="0.45">
      <c r="A79" s="21" t="s">
        <v>85</v>
      </c>
      <c r="C79" s="22">
        <v>450000</v>
      </c>
      <c r="E79" s="22">
        <v>2252043000</v>
      </c>
      <c r="G79" s="22">
        <v>3238614900</v>
      </c>
      <c r="N79" s="23"/>
      <c r="O79" s="22">
        <v>450000</v>
      </c>
      <c r="Q79" s="22">
        <v>11090</v>
      </c>
      <c r="S79" s="22">
        <v>2252043000</v>
      </c>
      <c r="U79" s="22">
        <v>4960806525</v>
      </c>
      <c r="W79" s="24">
        <v>1.4907087962377171E-3</v>
      </c>
    </row>
    <row r="80" spans="1:23" ht="18.75" x14ac:dyDescent="0.45">
      <c r="A80" s="21" t="s">
        <v>86</v>
      </c>
      <c r="C80" s="22">
        <v>1800000</v>
      </c>
      <c r="E80" s="22">
        <v>42538595658</v>
      </c>
      <c r="G80" s="22">
        <v>59404428000</v>
      </c>
      <c r="I80" s="22">
        <v>0</v>
      </c>
      <c r="J80" s="22">
        <v>0</v>
      </c>
      <c r="L80" s="22">
        <v>276394</v>
      </c>
      <c r="M80" s="22">
        <v>9650850290</v>
      </c>
      <c r="O80" s="22">
        <v>1523606</v>
      </c>
      <c r="Q80" s="22">
        <v>37650</v>
      </c>
      <c r="S80" s="22">
        <v>36006699765</v>
      </c>
      <c r="U80" s="22">
        <v>57022451493</v>
      </c>
      <c r="W80" s="24">
        <v>1.7135090754956148E-2</v>
      </c>
    </row>
    <row r="81" spans="1:23" ht="37.5" x14ac:dyDescent="0.45">
      <c r="A81" s="21" t="s">
        <v>87</v>
      </c>
      <c r="C81" s="22">
        <v>21600000</v>
      </c>
      <c r="E81" s="22">
        <v>27959586333</v>
      </c>
      <c r="G81" s="22">
        <v>31004817120</v>
      </c>
      <c r="N81" s="23"/>
      <c r="O81" s="22">
        <v>21600000</v>
      </c>
      <c r="Q81" s="22">
        <v>1582</v>
      </c>
      <c r="S81" s="22">
        <v>27959586333</v>
      </c>
      <c r="U81" s="22">
        <v>33967881360</v>
      </c>
      <c r="W81" s="24">
        <v>1.0207255468990737E-2</v>
      </c>
    </row>
    <row r="82" spans="1:23" ht="18.75" x14ac:dyDescent="0.45">
      <c r="A82" s="21" t="s">
        <v>88</v>
      </c>
      <c r="C82" s="22">
        <v>5559252</v>
      </c>
      <c r="E82" s="22">
        <v>47292146532</v>
      </c>
      <c r="G82" s="22">
        <v>28189015873</v>
      </c>
      <c r="I82" s="22">
        <v>0</v>
      </c>
      <c r="J82" s="22">
        <v>0</v>
      </c>
      <c r="L82" s="22">
        <v>5559252</v>
      </c>
      <c r="M82" s="22">
        <v>34428323429</v>
      </c>
      <c r="W82" s="24">
        <v>0</v>
      </c>
    </row>
    <row r="83" spans="1:23" ht="18.75" x14ac:dyDescent="0.45">
      <c r="A83" s="25" t="s">
        <v>89</v>
      </c>
      <c r="C83" s="25">
        <f>SUM(C11:$C$82)</f>
        <v>477620216</v>
      </c>
      <c r="E83" s="25">
        <f>SUM(E11:$E$82)</f>
        <v>2823688731515</v>
      </c>
      <c r="G83" s="25">
        <f>SUM(G11:$G$82)</f>
        <v>2800637620269</v>
      </c>
      <c r="I83" s="25">
        <f>SUM(I11:$I$82)</f>
        <v>52629664</v>
      </c>
      <c r="J83" s="25">
        <f>SUM(J11:$J$82)</f>
        <v>273392198885</v>
      </c>
      <c r="L83" s="25">
        <f>SUM(L11:$L$82)</f>
        <v>33984110</v>
      </c>
      <c r="M83" s="25">
        <f>SUM(M11:$M$82)</f>
        <v>329226510681</v>
      </c>
      <c r="O83" s="25">
        <f>SUM(O11:$O$82)</f>
        <v>510015172</v>
      </c>
      <c r="Q83" s="25">
        <f>SUM(Q11:$Q$82)</f>
        <v>1014665</v>
      </c>
      <c r="S83" s="25">
        <f>SUM(S11:$S$82)</f>
        <v>2802174055544</v>
      </c>
      <c r="U83" s="25">
        <f>SUM(U11:$U$82)</f>
        <v>3182415828676</v>
      </c>
      <c r="W83" s="26">
        <f>SUM(W11:W82)</f>
        <v>0.95630725471468681</v>
      </c>
    </row>
    <row r="84" spans="1:23" ht="18.75" x14ac:dyDescent="0.45">
      <c r="C84" s="27"/>
      <c r="E84" s="27"/>
      <c r="G84" s="27"/>
      <c r="I84" s="27"/>
      <c r="J84" s="27"/>
      <c r="L84" s="27"/>
      <c r="M84" s="27"/>
      <c r="O84" s="27"/>
      <c r="Q84" s="27"/>
      <c r="S84" s="27"/>
      <c r="U84" s="27"/>
      <c r="W84" s="27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12.7109375" style="13" customWidth="1"/>
    <col min="4" max="4" width="1.42578125" style="13" customWidth="1"/>
    <col min="5" max="5" width="17" style="13" customWidth="1"/>
    <col min="6" max="6" width="1.42578125" style="13" customWidth="1"/>
    <col min="7" max="7" width="17" style="13" customWidth="1"/>
    <col min="8" max="8" width="1.42578125" style="13" customWidth="1"/>
    <col min="9" max="9" width="13.28515625" style="13" bestFit="1" customWidth="1"/>
    <col min="10" max="10" width="10.140625" style="13" bestFit="1" customWidth="1"/>
    <col min="11" max="11" width="1.42578125" style="13" customWidth="1"/>
    <col min="12" max="12" width="9.7109375" style="13" bestFit="1" customWidth="1"/>
    <col min="13" max="13" width="11.28515625" style="13" bestFit="1" customWidth="1"/>
    <col min="14" max="14" width="1.42578125" style="13" customWidth="1"/>
    <col min="15" max="15" width="13.28515625" style="13" bestFit="1" customWidth="1"/>
    <col min="16" max="16" width="1.42578125" style="13" customWidth="1"/>
    <col min="17" max="17" width="9.7109375" style="13" bestFit="1" customWidth="1"/>
    <col min="18" max="18" width="1.42578125" style="13" customWidth="1"/>
    <col min="19" max="19" width="12" style="13" bestFit="1" customWidth="1"/>
    <col min="20" max="20" width="1.42578125" style="13" customWidth="1"/>
    <col min="21" max="21" width="11.28515625" style="13" bestFit="1" customWidth="1"/>
    <col min="22" max="22" width="1.42578125" style="13" customWidth="1"/>
    <col min="23" max="23" width="9.7109375" style="13" bestFit="1" customWidth="1"/>
    <col min="24" max="16384" width="9.140625" style="13"/>
  </cols>
  <sheetData>
    <row r="1" spans="1:24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4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4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1:24" ht="21" x14ac:dyDescent="0.45">
      <c r="A5" s="14" t="s">
        <v>90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7" spans="1:24" ht="21" x14ac:dyDescent="0.45">
      <c r="A7" s="15" t="s">
        <v>91</v>
      </c>
      <c r="B7" s="16"/>
      <c r="C7" s="16"/>
      <c r="D7" s="16"/>
      <c r="E7" s="16"/>
      <c r="F7" s="16"/>
      <c r="G7" s="16"/>
      <c r="I7" s="15" t="s">
        <v>5</v>
      </c>
      <c r="J7" s="16"/>
      <c r="K7" s="16"/>
      <c r="L7" s="16"/>
      <c r="M7" s="16"/>
      <c r="O7" s="15" t="s">
        <v>7</v>
      </c>
      <c r="P7" s="16"/>
      <c r="Q7" s="16"/>
      <c r="R7" s="16"/>
      <c r="S7" s="16"/>
      <c r="T7" s="16"/>
      <c r="U7" s="16"/>
      <c r="V7" s="16"/>
      <c r="W7" s="16"/>
    </row>
    <row r="8" spans="1:24" x14ac:dyDescent="0.45">
      <c r="A8" s="17"/>
      <c r="B8" s="12"/>
      <c r="C8" s="12"/>
      <c r="D8" s="12"/>
      <c r="E8" s="12"/>
      <c r="F8" s="12"/>
      <c r="G8" s="12"/>
      <c r="I8" s="17" t="s">
        <v>92</v>
      </c>
      <c r="J8" s="17" t="s">
        <v>93</v>
      </c>
      <c r="L8" s="17" t="s">
        <v>94</v>
      </c>
      <c r="M8" s="17" t="s">
        <v>95</v>
      </c>
      <c r="O8" s="17" t="s">
        <v>92</v>
      </c>
      <c r="Q8" s="17" t="s">
        <v>93</v>
      </c>
      <c r="S8" s="18" t="s">
        <v>94</v>
      </c>
      <c r="U8" s="17" t="s">
        <v>95</v>
      </c>
    </row>
    <row r="9" spans="1:24" x14ac:dyDescent="0.45">
      <c r="A9" s="12"/>
      <c r="B9" s="12"/>
      <c r="C9" s="12"/>
      <c r="D9" s="12"/>
      <c r="E9" s="12"/>
      <c r="F9" s="12"/>
      <c r="G9" s="12"/>
      <c r="I9" s="12"/>
      <c r="J9" s="12"/>
      <c r="L9" s="12"/>
      <c r="M9" s="12"/>
      <c r="O9" s="12"/>
      <c r="Q9" s="12"/>
      <c r="S9" s="12"/>
      <c r="U9" s="12"/>
    </row>
    <row r="10" spans="1:24" x14ac:dyDescent="0.45">
      <c r="A10" s="17" t="s">
        <v>96</v>
      </c>
      <c r="B10" s="12"/>
      <c r="C10" s="12"/>
      <c r="D10" s="12"/>
      <c r="E10" s="12"/>
      <c r="F10" s="12"/>
      <c r="G10" s="12"/>
      <c r="I10" s="37">
        <v>0</v>
      </c>
      <c r="J10" s="37">
        <v>0</v>
      </c>
      <c r="L10" s="17"/>
      <c r="M10" s="38" t="s">
        <v>97</v>
      </c>
      <c r="O10" s="37">
        <v>188</v>
      </c>
      <c r="Q10" s="37">
        <v>19084</v>
      </c>
      <c r="S10" s="17" t="s">
        <v>98</v>
      </c>
      <c r="U10" s="39" t="s">
        <v>247</v>
      </c>
    </row>
    <row r="11" spans="1:24" x14ac:dyDescent="0.45">
      <c r="A11" s="12"/>
      <c r="B11" s="12"/>
      <c r="C11" s="12"/>
      <c r="D11" s="12"/>
      <c r="E11" s="12"/>
      <c r="F11" s="12"/>
      <c r="G11" s="12"/>
      <c r="I11" s="12"/>
      <c r="J11" s="12"/>
      <c r="L11" s="12"/>
      <c r="M11" s="12"/>
      <c r="O11" s="12"/>
      <c r="Q11" s="12"/>
      <c r="S11" s="12"/>
      <c r="U11" s="40"/>
    </row>
    <row r="13" spans="1:24" ht="21" x14ac:dyDescent="0.45">
      <c r="A13" s="14" t="s">
        <v>99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5" spans="1:24" ht="21" x14ac:dyDescent="0.45">
      <c r="A15" s="15" t="s">
        <v>91</v>
      </c>
      <c r="B15" s="16"/>
      <c r="C15" s="16"/>
      <c r="D15" s="16"/>
      <c r="E15" s="16"/>
      <c r="F15" s="16"/>
      <c r="G15" s="16"/>
      <c r="I15" s="15" t="s">
        <v>5</v>
      </c>
      <c r="J15" s="16"/>
      <c r="K15" s="16"/>
      <c r="L15" s="16"/>
      <c r="M15" s="16"/>
      <c r="N15" s="16"/>
      <c r="O15" s="16"/>
      <c r="Q15" s="15" t="s">
        <v>7</v>
      </c>
      <c r="R15" s="16"/>
      <c r="S15" s="16"/>
      <c r="T15" s="16"/>
      <c r="U15" s="16"/>
      <c r="V15" s="16"/>
      <c r="W15" s="16"/>
      <c r="X15" s="16"/>
    </row>
    <row r="16" spans="1:24" x14ac:dyDescent="0.45">
      <c r="A16" s="17"/>
      <c r="B16" s="12"/>
      <c r="C16" s="12"/>
      <c r="D16" s="12"/>
      <c r="E16" s="12"/>
      <c r="F16" s="12"/>
      <c r="G16" s="12"/>
      <c r="I16" s="17" t="s">
        <v>100</v>
      </c>
      <c r="J16" s="17" t="s">
        <v>101</v>
      </c>
      <c r="L16" s="17" t="s">
        <v>102</v>
      </c>
      <c r="M16" s="17" t="s">
        <v>93</v>
      </c>
      <c r="O16" s="17" t="s">
        <v>94</v>
      </c>
      <c r="Q16" s="17" t="s">
        <v>100</v>
      </c>
      <c r="S16" s="17" t="s">
        <v>101</v>
      </c>
      <c r="U16" s="17" t="s">
        <v>102</v>
      </c>
      <c r="W16" s="17" t="s">
        <v>93</v>
      </c>
      <c r="X16" s="17" t="s">
        <v>94</v>
      </c>
    </row>
    <row r="17" spans="1:24" x14ac:dyDescent="0.45">
      <c r="A17" s="12"/>
      <c r="B17" s="12"/>
      <c r="C17" s="12"/>
      <c r="D17" s="12"/>
      <c r="E17" s="12"/>
      <c r="F17" s="12"/>
      <c r="G17" s="12"/>
      <c r="I17" s="12"/>
      <c r="J17" s="12"/>
      <c r="L17" s="12"/>
      <c r="M17" s="12"/>
      <c r="O17" s="12"/>
      <c r="Q17" s="12"/>
      <c r="S17" s="12"/>
      <c r="U17" s="12"/>
      <c r="W17" s="12"/>
      <c r="X17" s="12"/>
    </row>
    <row r="19" spans="1:24" ht="21" x14ac:dyDescent="0.45">
      <c r="A19" s="14" t="s">
        <v>103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4" ht="21" x14ac:dyDescent="0.45">
      <c r="A20" s="15" t="s">
        <v>91</v>
      </c>
      <c r="B20" s="16"/>
      <c r="C20" s="16"/>
      <c r="D20" s="16"/>
      <c r="E20" s="16"/>
      <c r="F20" s="16"/>
      <c r="G20" s="16"/>
      <c r="I20" s="15" t="s">
        <v>5</v>
      </c>
      <c r="J20" s="16"/>
      <c r="K20" s="16"/>
      <c r="L20" s="16"/>
      <c r="M20" s="16"/>
      <c r="O20" s="15" t="s">
        <v>7</v>
      </c>
      <c r="P20" s="16"/>
      <c r="Q20" s="16"/>
      <c r="R20" s="16"/>
      <c r="S20" s="16"/>
      <c r="T20" s="16"/>
      <c r="U20" s="16"/>
      <c r="V20" s="16"/>
      <c r="W20" s="16"/>
    </row>
    <row r="21" spans="1:24" x14ac:dyDescent="0.45">
      <c r="A21" s="17"/>
      <c r="B21" s="12"/>
      <c r="C21" s="12"/>
      <c r="D21" s="12"/>
      <c r="E21" s="12"/>
      <c r="F21" s="12"/>
      <c r="G21" s="12"/>
      <c r="I21" s="17" t="s">
        <v>101</v>
      </c>
      <c r="J21" s="17" t="s">
        <v>102</v>
      </c>
      <c r="L21" s="17" t="s">
        <v>93</v>
      </c>
      <c r="M21" s="17" t="s">
        <v>94</v>
      </c>
      <c r="O21" s="17" t="s">
        <v>101</v>
      </c>
      <c r="Q21" s="17" t="s">
        <v>102</v>
      </c>
      <c r="S21" s="17" t="s">
        <v>93</v>
      </c>
      <c r="U21" s="17" t="s">
        <v>94</v>
      </c>
    </row>
    <row r="22" spans="1:24" x14ac:dyDescent="0.45">
      <c r="A22" s="12"/>
      <c r="B22" s="12"/>
      <c r="C22" s="12"/>
      <c r="D22" s="12"/>
      <c r="E22" s="12"/>
      <c r="F22" s="12"/>
      <c r="G22" s="12"/>
      <c r="I22" s="12"/>
      <c r="J22" s="12"/>
      <c r="L22" s="12"/>
      <c r="M22" s="12"/>
      <c r="O22" s="12"/>
      <c r="Q22" s="12"/>
      <c r="S22" s="12"/>
      <c r="U22" s="12"/>
    </row>
  </sheetData>
  <mergeCells count="53"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</mergeCells>
  <pageMargins left="0.7" right="0.7" top="0.75" bottom="0.75" header="0.3" footer="0.3"/>
  <pageSetup paperSize="9"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2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8.5703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1.42578125" style="13" customWidth="1"/>
    <col min="10" max="10" width="1.42578125" style="13" customWidth="1"/>
    <col min="11" max="11" width="7.140625" style="13" customWidth="1"/>
    <col min="12" max="12" width="1.42578125" style="13" customWidth="1"/>
    <col min="13" max="13" width="7.140625" style="13" customWidth="1"/>
    <col min="14" max="14" width="1.42578125" style="13" customWidth="1"/>
    <col min="15" max="15" width="11.42578125" style="13" customWidth="1"/>
    <col min="16" max="16" width="1.42578125" style="13" customWidth="1"/>
    <col min="17" max="17" width="18.42578125" style="13" customWidth="1"/>
    <col min="18" max="18" width="1.42578125" style="13" customWidth="1"/>
    <col min="19" max="19" width="18.42578125" style="13" customWidth="1"/>
    <col min="20" max="20" width="1.42578125" style="13" customWidth="1"/>
    <col min="21" max="21" width="11.42578125" style="13" customWidth="1"/>
    <col min="22" max="22" width="18.42578125" style="13" customWidth="1"/>
    <col min="23" max="23" width="1.42578125" style="13" customWidth="1"/>
    <col min="24" max="24" width="11.42578125" style="13" customWidth="1"/>
    <col min="25" max="25" width="18.42578125" style="13" customWidth="1"/>
    <col min="26" max="26" width="1.42578125" style="13" customWidth="1"/>
    <col min="27" max="27" width="11.42578125" style="13" customWidth="1"/>
    <col min="28" max="28" width="1.42578125" style="13" customWidth="1"/>
    <col min="29" max="29" width="11.42578125" style="13" customWidth="1"/>
    <col min="30" max="30" width="1.42578125" style="13" customWidth="1"/>
    <col min="31" max="31" width="18.42578125" style="13" customWidth="1"/>
    <col min="32" max="32" width="1.42578125" style="13" customWidth="1"/>
    <col min="33" max="33" width="18.42578125" style="13" customWidth="1"/>
    <col min="34" max="34" width="1.42578125" style="13" customWidth="1"/>
    <col min="35" max="35" width="8.5703125" style="13" customWidth="1"/>
    <col min="36" max="16384" width="9.140625" style="13"/>
  </cols>
  <sheetData>
    <row r="1" spans="1:35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5" spans="1:35" ht="21" x14ac:dyDescent="0.45">
      <c r="A5" s="14" t="s">
        <v>104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7" spans="1:35" ht="21" x14ac:dyDescent="0.45">
      <c r="C7" s="15" t="s">
        <v>105</v>
      </c>
      <c r="D7" s="16"/>
      <c r="E7" s="16"/>
      <c r="F7" s="16"/>
      <c r="G7" s="16"/>
      <c r="H7" s="16"/>
      <c r="I7" s="16"/>
      <c r="J7" s="16"/>
      <c r="K7" s="16"/>
      <c r="L7" s="16"/>
      <c r="M7" s="16"/>
      <c r="O7" s="15" t="s">
        <v>5</v>
      </c>
      <c r="P7" s="16"/>
      <c r="Q7" s="16"/>
      <c r="R7" s="16"/>
      <c r="S7" s="16"/>
      <c r="U7" s="15" t="s">
        <v>6</v>
      </c>
      <c r="V7" s="16"/>
      <c r="W7" s="16"/>
      <c r="X7" s="16"/>
      <c r="Y7" s="16"/>
      <c r="AA7" s="15" t="s">
        <v>7</v>
      </c>
      <c r="AB7" s="16"/>
      <c r="AC7" s="16"/>
      <c r="AD7" s="16"/>
      <c r="AE7" s="16"/>
      <c r="AF7" s="16"/>
      <c r="AG7" s="16"/>
      <c r="AH7" s="16"/>
      <c r="AI7" s="16"/>
    </row>
    <row r="8" spans="1:35" ht="18.75" x14ac:dyDescent="0.45">
      <c r="A8" s="17" t="s">
        <v>106</v>
      </c>
      <c r="C8" s="18" t="s">
        <v>107</v>
      </c>
      <c r="E8" s="18" t="s">
        <v>108</v>
      </c>
      <c r="G8" s="18" t="s">
        <v>109</v>
      </c>
      <c r="I8" s="18" t="s">
        <v>110</v>
      </c>
      <c r="K8" s="18" t="s">
        <v>111</v>
      </c>
      <c r="M8" s="18" t="s">
        <v>112</v>
      </c>
      <c r="O8" s="17" t="s">
        <v>9</v>
      </c>
      <c r="Q8" s="17" t="s">
        <v>10</v>
      </c>
      <c r="S8" s="17" t="s">
        <v>11</v>
      </c>
      <c r="U8" s="17" t="s">
        <v>12</v>
      </c>
      <c r="V8" s="12"/>
      <c r="X8" s="17" t="s">
        <v>13</v>
      </c>
      <c r="Y8" s="12"/>
      <c r="AA8" s="17" t="s">
        <v>9</v>
      </c>
      <c r="AC8" s="18" t="s">
        <v>113</v>
      </c>
      <c r="AE8" s="17" t="s">
        <v>10</v>
      </c>
      <c r="AG8" s="17" t="s">
        <v>11</v>
      </c>
      <c r="AI8" s="18" t="s">
        <v>15</v>
      </c>
    </row>
    <row r="9" spans="1:35" ht="18.75" x14ac:dyDescent="0.45">
      <c r="A9" s="19"/>
      <c r="C9" s="19"/>
      <c r="E9" s="19"/>
      <c r="G9" s="19"/>
      <c r="I9" s="19"/>
      <c r="K9" s="19"/>
      <c r="M9" s="19"/>
      <c r="O9" s="19"/>
      <c r="Q9" s="19"/>
      <c r="S9" s="19"/>
      <c r="U9" s="20" t="s">
        <v>9</v>
      </c>
      <c r="V9" s="20" t="s">
        <v>10</v>
      </c>
      <c r="X9" s="20" t="s">
        <v>9</v>
      </c>
      <c r="Y9" s="20" t="s">
        <v>16</v>
      </c>
      <c r="AA9" s="19"/>
      <c r="AC9" s="19"/>
      <c r="AE9" s="19"/>
      <c r="AG9" s="19"/>
      <c r="AI9" s="19"/>
    </row>
    <row r="10" spans="1:35" ht="37.5" x14ac:dyDescent="0.45">
      <c r="A10" s="21" t="s">
        <v>114</v>
      </c>
      <c r="C10" s="23" t="s">
        <v>115</v>
      </c>
      <c r="E10" s="23" t="s">
        <v>116</v>
      </c>
      <c r="G10" s="23" t="s">
        <v>117</v>
      </c>
      <c r="I10" s="23" t="s">
        <v>118</v>
      </c>
      <c r="K10" s="23" t="s">
        <v>119</v>
      </c>
      <c r="O10" s="22">
        <v>12810</v>
      </c>
      <c r="Q10" s="22">
        <v>12812321812</v>
      </c>
      <c r="S10" s="22">
        <v>12807678187</v>
      </c>
      <c r="U10" s="22">
        <v>0</v>
      </c>
      <c r="V10" s="22">
        <v>0</v>
      </c>
      <c r="X10" s="22">
        <v>12810</v>
      </c>
      <c r="Y10" s="22">
        <v>12807678188</v>
      </c>
    </row>
    <row r="11" spans="1:35" ht="18.75" x14ac:dyDescent="0.45">
      <c r="A11" s="25" t="s">
        <v>89</v>
      </c>
      <c r="O11" s="25">
        <f>SUM(O10:$O$10)</f>
        <v>12810</v>
      </c>
      <c r="Q11" s="25">
        <f>SUM(Q10:$Q$10)</f>
        <v>12812321812</v>
      </c>
      <c r="S11" s="25">
        <f>SUM(S10:$S$10)</f>
        <v>12807678187</v>
      </c>
      <c r="U11" s="25">
        <f>SUM(U10:$U$10)</f>
        <v>0</v>
      </c>
      <c r="V11" s="25">
        <f>SUM(V10:$V$10)</f>
        <v>0</v>
      </c>
      <c r="X11" s="25">
        <f>SUM(X10:$X$10)</f>
        <v>12810</v>
      </c>
      <c r="Y11" s="25">
        <f>SUM(Y10:$Y$10)</f>
        <v>12807678188</v>
      </c>
      <c r="AA11" s="25">
        <f>SUM(AA10:$AA$10)</f>
        <v>0</v>
      </c>
      <c r="AC11" s="25">
        <f>SUM(AC10:$AC$10)</f>
        <v>0</v>
      </c>
      <c r="AE11" s="25">
        <f>SUM(AE10:$AE$10)</f>
        <v>0</v>
      </c>
      <c r="AG11" s="25">
        <f>SUM(AG10:$AG$10)</f>
        <v>0</v>
      </c>
      <c r="AI11" s="26">
        <f>SUM(AI10:$AI$10)</f>
        <v>0</v>
      </c>
    </row>
    <row r="12" spans="1:35" ht="18.75" x14ac:dyDescent="0.45">
      <c r="O12" s="27"/>
      <c r="Q12" s="27"/>
      <c r="S12" s="27"/>
      <c r="U12" s="27"/>
      <c r="V12" s="27"/>
      <c r="X12" s="27"/>
      <c r="Y12" s="27"/>
      <c r="AA12" s="27"/>
      <c r="AC12" s="27"/>
      <c r="AE12" s="27"/>
      <c r="AG12" s="27"/>
      <c r="AI12" s="27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8.42578125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4.140625" style="13" customWidth="1"/>
    <col min="8" max="8" width="1.42578125" style="13" customWidth="1"/>
    <col min="9" max="9" width="8.5703125" style="13" customWidth="1"/>
    <col min="10" max="10" width="1.42578125" style="13" customWidth="1"/>
    <col min="11" max="11" width="21.28515625" style="13" customWidth="1"/>
    <col min="12" max="12" width="1.42578125" style="13" customWidth="1"/>
    <col min="13" max="13" width="28.42578125" style="13" customWidth="1"/>
    <col min="14" max="16384" width="9.140625" style="13"/>
  </cols>
  <sheetData>
    <row r="1" spans="1:13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21" x14ac:dyDescent="0.45">
      <c r="A5" s="14" t="s">
        <v>120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1" x14ac:dyDescent="0.45">
      <c r="A6" s="14" t="s">
        <v>121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8" spans="1:13" ht="21" x14ac:dyDescent="0.45">
      <c r="C8" s="15" t="s">
        <v>7</v>
      </c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42" x14ac:dyDescent="0.45">
      <c r="A9" s="29" t="s">
        <v>122</v>
      </c>
      <c r="C9" s="29" t="s">
        <v>9</v>
      </c>
      <c r="E9" s="29" t="s">
        <v>123</v>
      </c>
      <c r="G9" s="29" t="s">
        <v>124</v>
      </c>
      <c r="I9" s="29" t="s">
        <v>125</v>
      </c>
      <c r="K9" s="30" t="s">
        <v>126</v>
      </c>
      <c r="M9" s="29" t="s">
        <v>127</v>
      </c>
    </row>
    <row r="10" spans="1:13" ht="18.75" x14ac:dyDescent="0.45">
      <c r="A10" s="25" t="s">
        <v>89</v>
      </c>
      <c r="K10" s="25">
        <f>SUM($K$9)</f>
        <v>0</v>
      </c>
    </row>
    <row r="11" spans="1:13" ht="18.75" x14ac:dyDescent="0.45">
      <c r="K11" s="27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8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8.42578125" style="13" customWidth="1"/>
    <col min="6" max="6" width="1.42578125" style="13" customWidth="1"/>
    <col min="7" max="7" width="18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0.7109375" style="13" customWidth="1"/>
    <col min="12" max="16384" width="9.140625" style="13"/>
  </cols>
  <sheetData>
    <row r="1" spans="1:16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6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6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6" ht="19.5" x14ac:dyDescent="0.5">
      <c r="A5" s="45" t="s">
        <v>249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6" ht="21" x14ac:dyDescent="0.45">
      <c r="C7" s="29" t="s">
        <v>5</v>
      </c>
      <c r="E7" s="15" t="s">
        <v>6</v>
      </c>
      <c r="F7" s="16"/>
      <c r="G7" s="16"/>
      <c r="I7" s="15" t="s">
        <v>7</v>
      </c>
      <c r="J7" s="16"/>
      <c r="K7" s="16"/>
      <c r="P7" s="28"/>
    </row>
    <row r="8" spans="1:16" ht="63" x14ac:dyDescent="0.45">
      <c r="A8" s="29" t="s">
        <v>128</v>
      </c>
      <c r="C8" s="29" t="s">
        <v>130</v>
      </c>
      <c r="E8" s="29" t="s">
        <v>131</v>
      </c>
      <c r="G8" s="29" t="s">
        <v>132</v>
      </c>
      <c r="I8" s="29" t="s">
        <v>130</v>
      </c>
      <c r="K8" s="30" t="s">
        <v>15</v>
      </c>
    </row>
    <row r="9" spans="1:16" ht="18.75" x14ac:dyDescent="0.45">
      <c r="A9" s="41" t="s">
        <v>248</v>
      </c>
      <c r="C9" s="22">
        <v>146926680720</v>
      </c>
      <c r="E9" s="22">
        <v>388325686951</v>
      </c>
      <c r="G9" s="22">
        <v>464587018909</v>
      </c>
      <c r="I9" s="22">
        <v>70665348762</v>
      </c>
      <c r="K9" s="24">
        <v>2.123474407998999E-2</v>
      </c>
    </row>
    <row r="10" spans="1:16" ht="19.5" thickBot="1" x14ac:dyDescent="0.5">
      <c r="A10" s="25" t="s">
        <v>89</v>
      </c>
      <c r="C10" s="25">
        <f>SUM(C9:$C$9)</f>
        <v>146926680720</v>
      </c>
      <c r="E10" s="25">
        <f>SUM(E9:$E$9)</f>
        <v>388325686951</v>
      </c>
      <c r="G10" s="25">
        <f>SUM(G9:$G$9)</f>
        <v>464587018909</v>
      </c>
      <c r="I10" s="25">
        <f>SUM(I9:$I$9)</f>
        <v>70665348762</v>
      </c>
      <c r="K10" s="26">
        <f>SUM(K9:$K$9)</f>
        <v>2.123474407998999E-2</v>
      </c>
    </row>
    <row r="11" spans="1:16" ht="19.5" thickTop="1" x14ac:dyDescent="0.45">
      <c r="C11" s="27"/>
      <c r="E11" s="27"/>
      <c r="G11" s="27"/>
      <c r="I11" s="27"/>
      <c r="K11" s="27"/>
    </row>
    <row r="13" spans="1:16" x14ac:dyDescent="0.45"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</row>
    <row r="14" spans="1:16" ht="18.75" x14ac:dyDescent="0.45">
      <c r="C14" s="43"/>
      <c r="D14" s="42"/>
      <c r="E14" s="43"/>
      <c r="F14" s="42"/>
      <c r="G14" s="43"/>
      <c r="H14" s="42"/>
      <c r="I14" s="43"/>
      <c r="J14" s="42"/>
      <c r="K14" s="44"/>
      <c r="L14" s="42"/>
      <c r="M14" s="42"/>
      <c r="N14" s="42"/>
      <c r="O14" s="42"/>
    </row>
    <row r="15" spans="1:16" x14ac:dyDescent="0.45"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</row>
    <row r="16" spans="1:16" x14ac:dyDescent="0.45"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</row>
    <row r="17" spans="3:15" x14ac:dyDescent="0.45"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</row>
    <row r="18" spans="3:15" x14ac:dyDescent="0.45"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4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57.5703125" style="13" bestFit="1" customWidth="1"/>
    <col min="2" max="2" width="1.42578125" style="13" customWidth="1"/>
    <col min="3" max="3" width="11.42578125" style="13" customWidth="1"/>
    <col min="4" max="4" width="1.42578125" style="13" customWidth="1"/>
    <col min="5" max="5" width="21.285156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1.42578125" style="13" customWidth="1"/>
    <col min="10" max="16384" width="9.140625" style="13"/>
  </cols>
  <sheetData>
    <row r="1" spans="1:12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2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</row>
    <row r="3" spans="1:12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</row>
    <row r="5" spans="1:12" ht="21" x14ac:dyDescent="0.45">
      <c r="A5" s="14" t="s">
        <v>134</v>
      </c>
      <c r="B5" s="12"/>
      <c r="C5" s="12"/>
      <c r="D5" s="12"/>
      <c r="E5" s="12"/>
      <c r="F5" s="12"/>
      <c r="G5" s="12"/>
      <c r="H5" s="12"/>
      <c r="I5" s="12"/>
    </row>
    <row r="7" spans="1:12" ht="42" x14ac:dyDescent="0.45">
      <c r="A7" s="29" t="s">
        <v>135</v>
      </c>
      <c r="C7" s="29" t="s">
        <v>136</v>
      </c>
      <c r="E7" s="29" t="s">
        <v>130</v>
      </c>
      <c r="G7" s="30" t="s">
        <v>137</v>
      </c>
      <c r="I7" s="30" t="s">
        <v>138</v>
      </c>
    </row>
    <row r="8" spans="1:12" ht="21" x14ac:dyDescent="0.45">
      <c r="A8" s="36" t="s">
        <v>139</v>
      </c>
      <c r="C8" s="23" t="s">
        <v>250</v>
      </c>
      <c r="E8" s="22">
        <v>618985660103</v>
      </c>
      <c r="G8" s="24">
        <v>0.99452839947376126</v>
      </c>
      <c r="I8" s="24">
        <v>0.18600349834456642</v>
      </c>
      <c r="L8" s="28"/>
    </row>
    <row r="9" spans="1:12" ht="21" x14ac:dyDescent="0.45">
      <c r="A9" s="36" t="s">
        <v>251</v>
      </c>
      <c r="C9" s="23" t="s">
        <v>252</v>
      </c>
      <c r="E9" s="22">
        <v>0</v>
      </c>
      <c r="G9" s="24">
        <v>0</v>
      </c>
      <c r="I9" s="24">
        <v>0</v>
      </c>
    </row>
    <row r="10" spans="1:12" ht="21" x14ac:dyDescent="0.45">
      <c r="A10" s="36" t="s">
        <v>140</v>
      </c>
      <c r="C10" s="23" t="s">
        <v>253</v>
      </c>
      <c r="E10" s="22">
        <v>2788210513</v>
      </c>
      <c r="G10" s="24">
        <v>4.4798364770330572E-3</v>
      </c>
      <c r="I10" s="24">
        <v>8.3784963524486126E-4</v>
      </c>
    </row>
    <row r="11" spans="1:12" ht="21" x14ac:dyDescent="0.45">
      <c r="A11" s="36" t="s">
        <v>141</v>
      </c>
      <c r="C11" s="23" t="s">
        <v>254</v>
      </c>
      <c r="E11" s="22">
        <v>298923498</v>
      </c>
      <c r="G11" s="24">
        <v>4.8028238324869917E-4</v>
      </c>
      <c r="I11" s="24">
        <v>8.9825693790940091E-5</v>
      </c>
    </row>
    <row r="12" spans="1:12" ht="21" x14ac:dyDescent="0.45">
      <c r="A12" s="36" t="s">
        <v>142</v>
      </c>
      <c r="C12" s="23" t="s">
        <v>255</v>
      </c>
      <c r="E12" s="22">
        <v>318341655</v>
      </c>
      <c r="G12" s="24">
        <v>5.11481665957004E-4</v>
      </c>
      <c r="I12" s="24">
        <v>9.5660796873623812E-5</v>
      </c>
    </row>
    <row r="13" spans="1:12" ht="21" x14ac:dyDescent="0.45">
      <c r="A13" s="29" t="s">
        <v>89</v>
      </c>
      <c r="E13" s="25">
        <f>SUM(E8:$E$12)</f>
        <v>622391135769</v>
      </c>
      <c r="G13" s="26">
        <f>SUM(G8:$G$12)</f>
        <v>1</v>
      </c>
      <c r="I13" s="26">
        <f>SUM(I8:$I$12)</f>
        <v>0.18702683447047583</v>
      </c>
    </row>
    <row r="14" spans="1:12" ht="18.75" x14ac:dyDescent="0.45">
      <c r="E14" s="27"/>
      <c r="G14" s="27"/>
      <c r="I14" s="27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1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17.5703125" style="13" bestFit="1" customWidth="1"/>
    <col min="2" max="2" width="1.42578125" style="13" customWidth="1"/>
    <col min="3" max="3" width="12.5703125" style="13" bestFit="1" customWidth="1"/>
    <col min="4" max="4" width="1.42578125" style="13" customWidth="1"/>
    <col min="5" max="5" width="17.5703125" style="13" bestFit="1" customWidth="1"/>
    <col min="6" max="6" width="1.42578125" style="13" customWidth="1"/>
    <col min="7" max="7" width="10.5703125" style="13" bestFit="1" customWidth="1"/>
    <col min="8" max="8" width="1.42578125" style="13" customWidth="1"/>
    <col min="9" max="9" width="15.42578125" style="13" bestFit="1" customWidth="1"/>
    <col min="10" max="10" width="1.42578125" style="13" customWidth="1"/>
    <col min="11" max="11" width="14.7109375" style="13" bestFit="1" customWidth="1"/>
    <col min="12" max="12" width="1.42578125" style="13" customWidth="1"/>
    <col min="13" max="13" width="15.5703125" style="13" bestFit="1" customWidth="1"/>
    <col min="14" max="14" width="1.42578125" style="13" customWidth="1"/>
    <col min="15" max="15" width="17.5703125" style="13" bestFit="1" customWidth="1"/>
    <col min="16" max="16" width="1.42578125" style="13" customWidth="1"/>
    <col min="17" max="17" width="16.28515625" style="13" bestFit="1" customWidth="1"/>
    <col min="18" max="18" width="1.42578125" style="13" customWidth="1"/>
    <col min="19" max="19" width="18.28515625" style="13" bestFit="1" customWidth="1"/>
    <col min="20" max="16384" width="9.140625" style="13"/>
  </cols>
  <sheetData>
    <row r="1" spans="1:1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spans="1:19" ht="21" x14ac:dyDescent="0.45">
      <c r="A5" s="14" t="s">
        <v>143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7" spans="1:19" ht="21" x14ac:dyDescent="0.45">
      <c r="C7" s="15" t="s">
        <v>144</v>
      </c>
      <c r="D7" s="16"/>
      <c r="E7" s="16"/>
      <c r="F7" s="16"/>
      <c r="G7" s="16"/>
      <c r="I7" s="15" t="s">
        <v>145</v>
      </c>
      <c r="J7" s="16"/>
      <c r="K7" s="16"/>
      <c r="L7" s="16"/>
      <c r="M7" s="16"/>
      <c r="O7" s="15" t="s">
        <v>7</v>
      </c>
      <c r="P7" s="16"/>
      <c r="Q7" s="16"/>
      <c r="R7" s="16"/>
      <c r="S7" s="16"/>
    </row>
    <row r="8" spans="1:19" ht="63" x14ac:dyDescent="0.45">
      <c r="A8" s="29" t="s">
        <v>91</v>
      </c>
      <c r="C8" s="30" t="s">
        <v>146</v>
      </c>
      <c r="E8" s="30" t="s">
        <v>147</v>
      </c>
      <c r="G8" s="30" t="s">
        <v>148</v>
      </c>
      <c r="I8" s="30" t="s">
        <v>149</v>
      </c>
      <c r="K8" s="30" t="s">
        <v>150</v>
      </c>
      <c r="M8" s="30" t="s">
        <v>151</v>
      </c>
      <c r="O8" s="30" t="s">
        <v>149</v>
      </c>
      <c r="Q8" s="30" t="s">
        <v>150</v>
      </c>
      <c r="S8" s="30" t="s">
        <v>151</v>
      </c>
    </row>
    <row r="9" spans="1:19" ht="37.5" x14ac:dyDescent="0.45">
      <c r="A9" s="31" t="s">
        <v>17</v>
      </c>
      <c r="C9" s="23" t="s">
        <v>152</v>
      </c>
      <c r="E9" s="22">
        <v>50000</v>
      </c>
      <c r="G9" s="22">
        <v>1920</v>
      </c>
      <c r="N9" s="23"/>
      <c r="O9" s="22">
        <v>96000000</v>
      </c>
      <c r="Q9" s="22">
        <v>0</v>
      </c>
      <c r="S9" s="22">
        <v>96000000</v>
      </c>
    </row>
    <row r="10" spans="1:19" ht="18.75" x14ac:dyDescent="0.45">
      <c r="A10" s="31" t="s">
        <v>25</v>
      </c>
      <c r="C10" s="23" t="s">
        <v>153</v>
      </c>
      <c r="E10" s="22">
        <v>3093440</v>
      </c>
      <c r="G10" s="22">
        <v>70</v>
      </c>
      <c r="N10" s="23"/>
      <c r="O10" s="22">
        <v>216540800</v>
      </c>
      <c r="Q10" s="22">
        <v>0</v>
      </c>
      <c r="S10" s="22">
        <v>216540800</v>
      </c>
    </row>
    <row r="11" spans="1:19" ht="18.75" x14ac:dyDescent="0.45">
      <c r="A11" s="31" t="s">
        <v>154</v>
      </c>
      <c r="C11" s="23" t="s">
        <v>155</v>
      </c>
      <c r="E11" s="22">
        <v>2580626</v>
      </c>
      <c r="G11" s="22">
        <v>310</v>
      </c>
      <c r="N11" s="23"/>
      <c r="O11" s="22">
        <v>799994060</v>
      </c>
      <c r="Q11" s="22">
        <v>0</v>
      </c>
      <c r="S11" s="22">
        <v>799994060</v>
      </c>
    </row>
    <row r="12" spans="1:19" ht="37.5" x14ac:dyDescent="0.45">
      <c r="A12" s="31" t="s">
        <v>26</v>
      </c>
      <c r="C12" s="23" t="s">
        <v>156</v>
      </c>
      <c r="E12" s="22">
        <v>1621954</v>
      </c>
      <c r="G12" s="22">
        <v>320</v>
      </c>
      <c r="N12" s="23"/>
      <c r="O12" s="22">
        <v>519025280</v>
      </c>
      <c r="Q12" s="22">
        <v>0</v>
      </c>
      <c r="S12" s="22">
        <v>519025280</v>
      </c>
    </row>
    <row r="13" spans="1:19" ht="37.5" x14ac:dyDescent="0.45">
      <c r="A13" s="31" t="s">
        <v>27</v>
      </c>
      <c r="C13" s="23" t="s">
        <v>157</v>
      </c>
      <c r="E13" s="22">
        <v>5417185</v>
      </c>
      <c r="G13" s="22">
        <v>20</v>
      </c>
      <c r="N13" s="23"/>
      <c r="O13" s="22">
        <v>108343700</v>
      </c>
      <c r="Q13" s="22">
        <v>0</v>
      </c>
      <c r="S13" s="22">
        <v>108343700</v>
      </c>
    </row>
    <row r="14" spans="1:19" ht="18.75" x14ac:dyDescent="0.45">
      <c r="A14" s="31" t="s">
        <v>29</v>
      </c>
      <c r="C14" s="23" t="s">
        <v>158</v>
      </c>
      <c r="E14" s="22">
        <v>16400000</v>
      </c>
      <c r="G14" s="22">
        <v>630</v>
      </c>
      <c r="N14" s="23"/>
      <c r="O14" s="22">
        <v>10332000000</v>
      </c>
      <c r="Q14" s="22">
        <v>0</v>
      </c>
      <c r="S14" s="22">
        <v>10332000000</v>
      </c>
    </row>
    <row r="15" spans="1:19" ht="18.75" x14ac:dyDescent="0.45">
      <c r="A15" s="31" t="s">
        <v>159</v>
      </c>
      <c r="C15" s="23" t="s">
        <v>160</v>
      </c>
      <c r="E15" s="22">
        <v>1032456</v>
      </c>
      <c r="G15" s="22">
        <v>500</v>
      </c>
      <c r="N15" s="23"/>
      <c r="O15" s="22">
        <v>516228000</v>
      </c>
      <c r="Q15" s="22">
        <v>0</v>
      </c>
      <c r="S15" s="22">
        <v>516228000</v>
      </c>
    </row>
    <row r="16" spans="1:19" ht="18.75" x14ac:dyDescent="0.45">
      <c r="A16" s="31" t="s">
        <v>31</v>
      </c>
      <c r="C16" s="23" t="s">
        <v>161</v>
      </c>
      <c r="E16" s="22">
        <v>2339629</v>
      </c>
      <c r="G16" s="22">
        <v>1950</v>
      </c>
      <c r="N16" s="23"/>
      <c r="O16" s="22">
        <v>4562276550</v>
      </c>
      <c r="Q16" s="22">
        <v>0</v>
      </c>
      <c r="S16" s="22">
        <v>4562276550</v>
      </c>
    </row>
    <row r="17" spans="1:19" ht="37.5" x14ac:dyDescent="0.45">
      <c r="A17" s="31" t="s">
        <v>32</v>
      </c>
      <c r="C17" s="23" t="s">
        <v>162</v>
      </c>
      <c r="E17" s="22">
        <v>442500</v>
      </c>
      <c r="G17" s="22">
        <v>69</v>
      </c>
      <c r="N17" s="23"/>
      <c r="O17" s="22">
        <v>30532500</v>
      </c>
      <c r="Q17" s="22">
        <v>0</v>
      </c>
      <c r="S17" s="22">
        <v>30532500</v>
      </c>
    </row>
    <row r="18" spans="1:19" ht="37.5" x14ac:dyDescent="0.45">
      <c r="A18" s="31" t="s">
        <v>163</v>
      </c>
      <c r="C18" s="23" t="s">
        <v>164</v>
      </c>
      <c r="E18" s="22">
        <v>500000</v>
      </c>
      <c r="G18" s="22">
        <v>3000</v>
      </c>
      <c r="N18" s="23"/>
      <c r="O18" s="22">
        <v>1500000000</v>
      </c>
      <c r="Q18" s="22">
        <v>0</v>
      </c>
      <c r="S18" s="22">
        <v>1500000000</v>
      </c>
    </row>
    <row r="19" spans="1:19" ht="18.75" x14ac:dyDescent="0.45">
      <c r="A19" s="31" t="s">
        <v>35</v>
      </c>
      <c r="C19" s="23" t="s">
        <v>165</v>
      </c>
      <c r="E19" s="22">
        <v>4224582</v>
      </c>
      <c r="G19" s="22">
        <v>120</v>
      </c>
      <c r="N19" s="23"/>
      <c r="O19" s="22">
        <v>506949840</v>
      </c>
      <c r="Q19" s="22">
        <v>0</v>
      </c>
      <c r="S19" s="22">
        <v>506949840</v>
      </c>
    </row>
    <row r="20" spans="1:19" ht="18.75" x14ac:dyDescent="0.45">
      <c r="A20" s="31" t="s">
        <v>38</v>
      </c>
      <c r="C20" s="23" t="s">
        <v>166</v>
      </c>
      <c r="E20" s="22">
        <v>3200000</v>
      </c>
      <c r="G20" s="22">
        <v>1830</v>
      </c>
      <c r="N20" s="23"/>
      <c r="O20" s="22">
        <v>5856000000</v>
      </c>
      <c r="Q20" s="22">
        <v>0</v>
      </c>
      <c r="S20" s="22">
        <v>5856000000</v>
      </c>
    </row>
    <row r="21" spans="1:19" ht="18.75" x14ac:dyDescent="0.45">
      <c r="A21" s="31" t="s">
        <v>39</v>
      </c>
      <c r="C21" s="23" t="s">
        <v>167</v>
      </c>
      <c r="E21" s="22">
        <v>3273715</v>
      </c>
      <c r="G21" s="22">
        <v>3500</v>
      </c>
      <c r="N21" s="23"/>
      <c r="O21" s="22">
        <v>11458002500</v>
      </c>
      <c r="Q21" s="22">
        <v>-253257925</v>
      </c>
      <c r="S21" s="22">
        <v>11204744575</v>
      </c>
    </row>
    <row r="22" spans="1:19" ht="18.75" x14ac:dyDescent="0.45">
      <c r="A22" s="31" t="s">
        <v>40</v>
      </c>
      <c r="C22" s="23" t="s">
        <v>168</v>
      </c>
      <c r="E22" s="22">
        <v>628197</v>
      </c>
      <c r="G22" s="22">
        <v>8700</v>
      </c>
      <c r="N22" s="23"/>
      <c r="O22" s="22">
        <v>5465313900</v>
      </c>
      <c r="Q22" s="22">
        <v>0</v>
      </c>
      <c r="S22" s="22">
        <v>5465313900</v>
      </c>
    </row>
    <row r="23" spans="1:19" ht="18.75" x14ac:dyDescent="0.45">
      <c r="A23" s="31" t="s">
        <v>42</v>
      </c>
      <c r="C23" s="23" t="s">
        <v>165</v>
      </c>
      <c r="E23" s="22">
        <v>1800000</v>
      </c>
      <c r="G23" s="22">
        <v>4150</v>
      </c>
      <c r="N23" s="23"/>
      <c r="O23" s="22">
        <v>7470000000</v>
      </c>
      <c r="Q23" s="22">
        <v>0</v>
      </c>
      <c r="S23" s="22">
        <v>7470000000</v>
      </c>
    </row>
    <row r="24" spans="1:19" ht="18.75" x14ac:dyDescent="0.45">
      <c r="A24" s="31" t="s">
        <v>169</v>
      </c>
      <c r="C24" s="23" t="s">
        <v>168</v>
      </c>
      <c r="E24" s="22">
        <v>3260353</v>
      </c>
      <c r="G24" s="22">
        <v>700</v>
      </c>
      <c r="N24" s="23"/>
      <c r="O24" s="22">
        <v>2282247100</v>
      </c>
      <c r="Q24" s="22">
        <v>0</v>
      </c>
      <c r="S24" s="22">
        <v>2282247100</v>
      </c>
    </row>
    <row r="25" spans="1:19" ht="18.75" x14ac:dyDescent="0.45">
      <c r="A25" s="31" t="s">
        <v>43</v>
      </c>
      <c r="C25" s="23" t="s">
        <v>170</v>
      </c>
      <c r="E25" s="22">
        <v>6818560</v>
      </c>
      <c r="G25" s="22">
        <v>52</v>
      </c>
      <c r="N25" s="23"/>
      <c r="O25" s="22">
        <v>354565120</v>
      </c>
      <c r="Q25" s="22">
        <v>0</v>
      </c>
      <c r="S25" s="22">
        <v>354565120</v>
      </c>
    </row>
    <row r="26" spans="1:19" ht="37.5" x14ac:dyDescent="0.45">
      <c r="A26" s="31" t="s">
        <v>44</v>
      </c>
      <c r="C26" s="23" t="s">
        <v>171</v>
      </c>
      <c r="E26" s="22">
        <v>6186817</v>
      </c>
      <c r="G26" s="22">
        <v>210</v>
      </c>
      <c r="N26" s="23"/>
      <c r="O26" s="22">
        <v>1299231570</v>
      </c>
      <c r="Q26" s="22">
        <v>0</v>
      </c>
      <c r="S26" s="22">
        <v>1299231570</v>
      </c>
    </row>
    <row r="27" spans="1:19" ht="18.75" x14ac:dyDescent="0.45">
      <c r="A27" s="31" t="s">
        <v>46</v>
      </c>
      <c r="C27" s="23" t="s">
        <v>156</v>
      </c>
      <c r="E27" s="22">
        <v>6441064</v>
      </c>
      <c r="G27" s="22">
        <v>103</v>
      </c>
      <c r="N27" s="23"/>
      <c r="O27" s="22">
        <v>663429592</v>
      </c>
      <c r="Q27" s="22">
        <v>0</v>
      </c>
      <c r="S27" s="22">
        <v>663429592</v>
      </c>
    </row>
    <row r="28" spans="1:19" ht="18.75" x14ac:dyDescent="0.45">
      <c r="A28" s="31" t="s">
        <v>47</v>
      </c>
      <c r="C28" s="23" t="s">
        <v>172</v>
      </c>
      <c r="E28" s="22">
        <v>8429307</v>
      </c>
      <c r="G28" s="22">
        <v>590</v>
      </c>
      <c r="N28" s="23"/>
      <c r="O28" s="22">
        <v>4973291130</v>
      </c>
      <c r="Q28" s="22">
        <v>-83725440</v>
      </c>
      <c r="S28" s="22">
        <v>4889565690</v>
      </c>
    </row>
    <row r="29" spans="1:19" ht="18.75" x14ac:dyDescent="0.45">
      <c r="A29" s="31" t="s">
        <v>48</v>
      </c>
      <c r="C29" s="23" t="s">
        <v>173</v>
      </c>
      <c r="E29" s="22">
        <v>2029694</v>
      </c>
      <c r="G29" s="22">
        <v>4070</v>
      </c>
      <c r="N29" s="23"/>
      <c r="O29" s="22">
        <v>8260854580</v>
      </c>
      <c r="Q29" s="22">
        <v>0</v>
      </c>
      <c r="S29" s="22">
        <v>8260854580</v>
      </c>
    </row>
    <row r="30" spans="1:19" ht="18.75" x14ac:dyDescent="0.45">
      <c r="A30" s="31" t="s">
        <v>49</v>
      </c>
      <c r="C30" s="23" t="s">
        <v>174</v>
      </c>
      <c r="E30" s="22">
        <v>16712202</v>
      </c>
      <c r="G30" s="22">
        <v>680</v>
      </c>
      <c r="N30" s="23"/>
      <c r="O30" s="22">
        <v>11364297360</v>
      </c>
      <c r="Q30" s="22">
        <v>0</v>
      </c>
      <c r="S30" s="22">
        <v>11364297360</v>
      </c>
    </row>
    <row r="31" spans="1:19" ht="18.75" x14ac:dyDescent="0.45">
      <c r="A31" s="31" t="s">
        <v>50</v>
      </c>
      <c r="C31" s="23" t="s">
        <v>172</v>
      </c>
      <c r="E31" s="22">
        <v>697177</v>
      </c>
      <c r="G31" s="22">
        <v>22200</v>
      </c>
      <c r="N31" s="23"/>
      <c r="O31" s="22">
        <v>15477329400</v>
      </c>
      <c r="Q31" s="22">
        <v>0</v>
      </c>
      <c r="S31" s="22">
        <v>15477329400</v>
      </c>
    </row>
    <row r="32" spans="1:19" ht="18.75" x14ac:dyDescent="0.45">
      <c r="A32" s="31" t="s">
        <v>175</v>
      </c>
      <c r="C32" s="23" t="s">
        <v>176</v>
      </c>
      <c r="E32" s="22">
        <v>783101</v>
      </c>
      <c r="G32" s="22">
        <v>7500</v>
      </c>
      <c r="N32" s="23"/>
      <c r="O32" s="22">
        <v>5873257500</v>
      </c>
      <c r="Q32" s="22">
        <v>0</v>
      </c>
      <c r="S32" s="22">
        <v>5873257500</v>
      </c>
    </row>
    <row r="33" spans="1:19" ht="37.5" x14ac:dyDescent="0.45">
      <c r="A33" s="31" t="s">
        <v>52</v>
      </c>
      <c r="C33" s="23" t="s">
        <v>165</v>
      </c>
      <c r="E33" s="22">
        <v>4428885</v>
      </c>
      <c r="G33" s="22">
        <v>400</v>
      </c>
      <c r="N33" s="23"/>
      <c r="O33" s="22">
        <v>1771554000</v>
      </c>
      <c r="Q33" s="22">
        <v>0</v>
      </c>
      <c r="S33" s="22">
        <v>1771554000</v>
      </c>
    </row>
    <row r="34" spans="1:19" ht="18.75" x14ac:dyDescent="0.45">
      <c r="A34" s="31" t="s">
        <v>53</v>
      </c>
      <c r="C34" s="23" t="s">
        <v>177</v>
      </c>
      <c r="E34" s="22">
        <v>17343799</v>
      </c>
      <c r="G34" s="22">
        <v>125</v>
      </c>
      <c r="N34" s="23"/>
      <c r="O34" s="22">
        <v>2167974875</v>
      </c>
      <c r="Q34" s="22">
        <v>-64525577</v>
      </c>
      <c r="S34" s="22">
        <v>2103449298</v>
      </c>
    </row>
    <row r="35" spans="1:19" ht="18.75" x14ac:dyDescent="0.45">
      <c r="A35" s="31" t="s">
        <v>178</v>
      </c>
      <c r="C35" s="23" t="s">
        <v>179</v>
      </c>
      <c r="E35" s="22">
        <v>6310177</v>
      </c>
      <c r="G35" s="22">
        <v>470</v>
      </c>
      <c r="N35" s="23"/>
      <c r="O35" s="22">
        <v>2965783190</v>
      </c>
      <c r="Q35" s="22">
        <v>0</v>
      </c>
      <c r="S35" s="22">
        <v>2965783190</v>
      </c>
    </row>
    <row r="36" spans="1:19" ht="18.75" x14ac:dyDescent="0.45">
      <c r="A36" s="31" t="s">
        <v>55</v>
      </c>
      <c r="C36" s="23" t="s">
        <v>162</v>
      </c>
      <c r="E36" s="22">
        <v>40821426</v>
      </c>
      <c r="G36" s="22">
        <v>45</v>
      </c>
      <c r="N36" s="23"/>
      <c r="O36" s="22">
        <v>1836964170</v>
      </c>
      <c r="Q36" s="22">
        <v>-36985856</v>
      </c>
      <c r="S36" s="22">
        <v>1799978314</v>
      </c>
    </row>
    <row r="37" spans="1:19" ht="37.5" x14ac:dyDescent="0.45">
      <c r="A37" s="31" t="s">
        <v>180</v>
      </c>
      <c r="C37" s="23" t="s">
        <v>160</v>
      </c>
      <c r="E37" s="22">
        <v>8440622</v>
      </c>
      <c r="G37" s="22">
        <v>150</v>
      </c>
      <c r="N37" s="23"/>
      <c r="O37" s="22">
        <v>1266093300</v>
      </c>
      <c r="Q37" s="22">
        <v>0</v>
      </c>
      <c r="S37" s="22">
        <v>1266093300</v>
      </c>
    </row>
    <row r="38" spans="1:19" ht="18.75" x14ac:dyDescent="0.45">
      <c r="A38" s="31" t="s">
        <v>56</v>
      </c>
      <c r="C38" s="23" t="s">
        <v>181</v>
      </c>
      <c r="E38" s="22">
        <v>10646044</v>
      </c>
      <c r="G38" s="22">
        <v>700</v>
      </c>
      <c r="N38" s="23"/>
      <c r="O38" s="22">
        <v>7452230800</v>
      </c>
      <c r="Q38" s="22">
        <v>0</v>
      </c>
      <c r="S38" s="22">
        <v>7452230800</v>
      </c>
    </row>
    <row r="39" spans="1:19" ht="18.75" x14ac:dyDescent="0.45">
      <c r="A39" s="31" t="s">
        <v>57</v>
      </c>
      <c r="C39" s="23" t="s">
        <v>182</v>
      </c>
      <c r="E39" s="22">
        <v>14731919</v>
      </c>
      <c r="G39" s="22">
        <v>630</v>
      </c>
      <c r="N39" s="23"/>
      <c r="O39" s="22">
        <v>9281108970</v>
      </c>
      <c r="Q39" s="22">
        <v>0</v>
      </c>
      <c r="S39" s="22">
        <v>9281108970</v>
      </c>
    </row>
    <row r="40" spans="1:19" ht="18.75" x14ac:dyDescent="0.45">
      <c r="A40" s="31" t="s">
        <v>183</v>
      </c>
      <c r="C40" s="23" t="s">
        <v>182</v>
      </c>
      <c r="E40" s="22">
        <v>12268462</v>
      </c>
      <c r="G40" s="22">
        <v>34</v>
      </c>
      <c r="N40" s="23"/>
      <c r="O40" s="22">
        <v>417127708</v>
      </c>
      <c r="Q40" s="22">
        <v>0</v>
      </c>
      <c r="S40" s="22">
        <v>417127708</v>
      </c>
    </row>
    <row r="41" spans="1:19" ht="18.75" x14ac:dyDescent="0.45">
      <c r="A41" s="31" t="s">
        <v>59</v>
      </c>
      <c r="C41" s="23" t="s">
        <v>174</v>
      </c>
      <c r="E41" s="22">
        <v>5208577</v>
      </c>
      <c r="G41" s="22">
        <v>1000</v>
      </c>
      <c r="N41" s="23"/>
      <c r="O41" s="22">
        <v>5208577000</v>
      </c>
      <c r="Q41" s="22">
        <v>0</v>
      </c>
      <c r="S41" s="22">
        <v>5208577000</v>
      </c>
    </row>
    <row r="42" spans="1:19" ht="18.75" x14ac:dyDescent="0.45">
      <c r="A42" s="31" t="s">
        <v>60</v>
      </c>
      <c r="C42" s="23" t="s">
        <v>184</v>
      </c>
      <c r="E42" s="22">
        <v>2372939</v>
      </c>
      <c r="G42" s="22">
        <v>930</v>
      </c>
      <c r="N42" s="23"/>
      <c r="O42" s="22">
        <v>2206833270</v>
      </c>
      <c r="Q42" s="22">
        <v>0</v>
      </c>
      <c r="S42" s="22">
        <v>2206833270</v>
      </c>
    </row>
    <row r="43" spans="1:19" ht="37.5" x14ac:dyDescent="0.45">
      <c r="A43" s="31" t="s">
        <v>185</v>
      </c>
      <c r="C43" s="23" t="s">
        <v>186</v>
      </c>
      <c r="E43" s="22">
        <v>2393112</v>
      </c>
      <c r="G43" s="22">
        <v>1100</v>
      </c>
      <c r="N43" s="23"/>
      <c r="O43" s="22">
        <v>2632423200</v>
      </c>
      <c r="Q43" s="22">
        <v>0</v>
      </c>
      <c r="S43" s="22">
        <v>2632423200</v>
      </c>
    </row>
    <row r="44" spans="1:19" ht="18.75" x14ac:dyDescent="0.45">
      <c r="A44" s="31" t="s">
        <v>61</v>
      </c>
      <c r="C44" s="23" t="s">
        <v>187</v>
      </c>
      <c r="E44" s="22">
        <v>6226087</v>
      </c>
      <c r="G44" s="22">
        <v>250</v>
      </c>
      <c r="N44" s="23"/>
      <c r="O44" s="22">
        <v>1556521750</v>
      </c>
      <c r="Q44" s="22">
        <v>0</v>
      </c>
      <c r="S44" s="22">
        <v>1556521750</v>
      </c>
    </row>
    <row r="45" spans="1:19" ht="18.75" x14ac:dyDescent="0.45">
      <c r="A45" s="31" t="s">
        <v>188</v>
      </c>
      <c r="C45" s="23" t="s">
        <v>189</v>
      </c>
      <c r="E45" s="22">
        <v>1163735</v>
      </c>
      <c r="G45" s="22">
        <v>3920</v>
      </c>
      <c r="N45" s="23"/>
      <c r="O45" s="22">
        <v>4561841200</v>
      </c>
      <c r="Q45" s="22">
        <v>0</v>
      </c>
      <c r="S45" s="22">
        <v>4561841200</v>
      </c>
    </row>
    <row r="46" spans="1:19" ht="18.75" x14ac:dyDescent="0.45">
      <c r="A46" s="31" t="s">
        <v>190</v>
      </c>
      <c r="C46" s="23" t="s">
        <v>117</v>
      </c>
      <c r="E46" s="22">
        <v>8489353</v>
      </c>
      <c r="G46" s="22">
        <v>850</v>
      </c>
      <c r="N46" s="23"/>
      <c r="O46" s="22">
        <v>7215950050</v>
      </c>
      <c r="Q46" s="22">
        <v>0</v>
      </c>
      <c r="S46" s="22">
        <v>7215950050</v>
      </c>
    </row>
    <row r="47" spans="1:19" ht="18.75" x14ac:dyDescent="0.45">
      <c r="A47" s="31" t="s">
        <v>191</v>
      </c>
      <c r="C47" s="23" t="s">
        <v>189</v>
      </c>
      <c r="E47" s="22">
        <v>1000000</v>
      </c>
      <c r="G47" s="22">
        <v>500</v>
      </c>
      <c r="N47" s="23"/>
      <c r="O47" s="22">
        <v>500000000</v>
      </c>
      <c r="Q47" s="22">
        <v>0</v>
      </c>
      <c r="S47" s="22">
        <v>500000000</v>
      </c>
    </row>
    <row r="48" spans="1:19" ht="18.75" x14ac:dyDescent="0.45">
      <c r="A48" s="31" t="s">
        <v>192</v>
      </c>
      <c r="C48" s="23" t="s">
        <v>193</v>
      </c>
      <c r="E48" s="22">
        <v>6310411</v>
      </c>
      <c r="G48" s="22">
        <v>1630</v>
      </c>
      <c r="N48" s="23"/>
      <c r="O48" s="22">
        <v>10285969930</v>
      </c>
      <c r="Q48" s="22">
        <v>0</v>
      </c>
      <c r="S48" s="22">
        <v>10285969930</v>
      </c>
    </row>
    <row r="49" spans="1:19" ht="18.75" x14ac:dyDescent="0.45">
      <c r="A49" s="31" t="s">
        <v>62</v>
      </c>
      <c r="C49" s="23" t="s">
        <v>194</v>
      </c>
      <c r="E49" s="22">
        <v>23813083</v>
      </c>
      <c r="G49" s="22">
        <v>420</v>
      </c>
      <c r="N49" s="23"/>
      <c r="O49" s="22">
        <v>10001494860</v>
      </c>
      <c r="Q49" s="22">
        <v>0</v>
      </c>
      <c r="S49" s="22">
        <v>10001494860</v>
      </c>
    </row>
    <row r="50" spans="1:19" ht="18.75" x14ac:dyDescent="0.45">
      <c r="A50" s="31" t="s">
        <v>63</v>
      </c>
      <c r="C50" s="23" t="s">
        <v>158</v>
      </c>
      <c r="E50" s="22">
        <v>2828124</v>
      </c>
      <c r="G50" s="22">
        <v>187</v>
      </c>
      <c r="N50" s="23"/>
      <c r="O50" s="22">
        <v>528859188</v>
      </c>
      <c r="Q50" s="22">
        <v>0</v>
      </c>
      <c r="S50" s="22">
        <v>528859188</v>
      </c>
    </row>
    <row r="51" spans="1:19" ht="18.75" x14ac:dyDescent="0.45">
      <c r="A51" s="31" t="s">
        <v>64</v>
      </c>
      <c r="C51" s="23" t="s">
        <v>195</v>
      </c>
      <c r="E51" s="22">
        <v>15875158</v>
      </c>
      <c r="G51" s="22">
        <v>682</v>
      </c>
      <c r="N51" s="23"/>
      <c r="O51" s="22">
        <v>10826857756</v>
      </c>
      <c r="Q51" s="22">
        <v>-372352251</v>
      </c>
      <c r="S51" s="22">
        <v>10454505505</v>
      </c>
    </row>
    <row r="52" spans="1:19" ht="18.75" x14ac:dyDescent="0.45">
      <c r="A52" s="31" t="s">
        <v>65</v>
      </c>
      <c r="C52" s="23" t="s">
        <v>196</v>
      </c>
      <c r="E52" s="22">
        <v>407076</v>
      </c>
      <c r="G52" s="22">
        <v>2150</v>
      </c>
      <c r="N52" s="23"/>
      <c r="O52" s="22">
        <v>875213400</v>
      </c>
      <c r="Q52" s="22">
        <v>0</v>
      </c>
      <c r="S52" s="22">
        <v>875213400</v>
      </c>
    </row>
    <row r="53" spans="1:19" ht="18.75" x14ac:dyDescent="0.45">
      <c r="A53" s="31" t="s">
        <v>66</v>
      </c>
      <c r="C53" s="23" t="s">
        <v>194</v>
      </c>
      <c r="E53" s="22">
        <v>3882657</v>
      </c>
      <c r="G53" s="22">
        <v>1110</v>
      </c>
      <c r="N53" s="23"/>
      <c r="O53" s="22">
        <v>4309749270</v>
      </c>
      <c r="Q53" s="22">
        <v>0</v>
      </c>
      <c r="S53" s="22">
        <v>4309749270</v>
      </c>
    </row>
    <row r="54" spans="1:19" ht="18.75" x14ac:dyDescent="0.45">
      <c r="A54" s="31" t="s">
        <v>68</v>
      </c>
      <c r="C54" s="23" t="s">
        <v>182</v>
      </c>
      <c r="E54" s="22">
        <v>22083031</v>
      </c>
      <c r="G54" s="22">
        <v>960</v>
      </c>
      <c r="N54" s="23"/>
      <c r="O54" s="22">
        <v>21199709760</v>
      </c>
      <c r="Q54" s="22">
        <v>0</v>
      </c>
      <c r="S54" s="22">
        <v>21199709760</v>
      </c>
    </row>
    <row r="55" spans="1:19" ht="37.5" x14ac:dyDescent="0.45">
      <c r="A55" s="31" t="s">
        <v>69</v>
      </c>
      <c r="C55" s="23" t="s">
        <v>156</v>
      </c>
      <c r="E55" s="22">
        <v>8068802</v>
      </c>
      <c r="G55" s="22">
        <v>450</v>
      </c>
      <c r="N55" s="23"/>
      <c r="O55" s="22">
        <v>3630960900</v>
      </c>
      <c r="Q55" s="22">
        <v>0</v>
      </c>
      <c r="S55" s="22">
        <v>3630960900</v>
      </c>
    </row>
    <row r="56" spans="1:19" ht="18.75" x14ac:dyDescent="0.45">
      <c r="A56" s="31" t="s">
        <v>70</v>
      </c>
      <c r="C56" s="23" t="s">
        <v>197</v>
      </c>
      <c r="E56" s="22">
        <v>612298</v>
      </c>
      <c r="G56" s="22">
        <v>1603</v>
      </c>
      <c r="N56" s="23"/>
      <c r="O56" s="22">
        <v>981513694</v>
      </c>
      <c r="Q56" s="22">
        <v>0</v>
      </c>
      <c r="S56" s="22">
        <v>981513694</v>
      </c>
    </row>
    <row r="57" spans="1:19" ht="18.75" x14ac:dyDescent="0.45">
      <c r="A57" s="31" t="s">
        <v>72</v>
      </c>
      <c r="C57" s="23" t="s">
        <v>198</v>
      </c>
      <c r="E57" s="22">
        <v>524142</v>
      </c>
      <c r="G57" s="22">
        <v>6500</v>
      </c>
      <c r="N57" s="23"/>
      <c r="O57" s="22">
        <v>3406923000</v>
      </c>
      <c r="Q57" s="22">
        <v>0</v>
      </c>
      <c r="S57" s="22">
        <v>3406923000</v>
      </c>
    </row>
    <row r="58" spans="1:19" ht="37.5" x14ac:dyDescent="0.45">
      <c r="A58" s="31" t="s">
        <v>73</v>
      </c>
      <c r="C58" s="23" t="s">
        <v>199</v>
      </c>
      <c r="E58" s="22">
        <v>7539161</v>
      </c>
      <c r="G58" s="22">
        <v>488</v>
      </c>
      <c r="N58" s="23"/>
      <c r="O58" s="22">
        <v>3679110568</v>
      </c>
      <c r="Q58" s="22">
        <v>0</v>
      </c>
      <c r="S58" s="22">
        <v>3679110568</v>
      </c>
    </row>
    <row r="59" spans="1:19" ht="37.5" x14ac:dyDescent="0.45">
      <c r="A59" s="31" t="s">
        <v>200</v>
      </c>
      <c r="C59" s="23" t="s">
        <v>167</v>
      </c>
      <c r="E59" s="22">
        <v>336632</v>
      </c>
      <c r="G59" s="22">
        <v>9000</v>
      </c>
      <c r="N59" s="23"/>
      <c r="O59" s="22">
        <v>3029688000</v>
      </c>
      <c r="Q59" s="22">
        <v>0</v>
      </c>
      <c r="S59" s="22">
        <v>3029688000</v>
      </c>
    </row>
    <row r="60" spans="1:19" ht="18.75" x14ac:dyDescent="0.45">
      <c r="A60" s="31" t="s">
        <v>75</v>
      </c>
      <c r="C60" s="23" t="s">
        <v>174</v>
      </c>
      <c r="E60" s="22">
        <v>12890068</v>
      </c>
      <c r="G60" s="22">
        <v>750</v>
      </c>
      <c r="N60" s="23"/>
      <c r="O60" s="22">
        <v>9667551000</v>
      </c>
      <c r="Q60" s="22">
        <v>0</v>
      </c>
      <c r="S60" s="22">
        <v>9667551000</v>
      </c>
    </row>
    <row r="61" spans="1:19" ht="18.75" x14ac:dyDescent="0.45">
      <c r="A61" s="31" t="s">
        <v>76</v>
      </c>
      <c r="C61" s="23" t="s">
        <v>171</v>
      </c>
      <c r="E61" s="22">
        <v>7338094</v>
      </c>
      <c r="G61" s="22">
        <v>160</v>
      </c>
      <c r="N61" s="23"/>
      <c r="O61" s="22">
        <v>1174095040</v>
      </c>
      <c r="Q61" s="22">
        <v>0</v>
      </c>
      <c r="S61" s="22">
        <v>1174095040</v>
      </c>
    </row>
    <row r="62" spans="1:19" ht="18.75" x14ac:dyDescent="0.45">
      <c r="A62" s="31" t="s">
        <v>77</v>
      </c>
      <c r="C62" s="23" t="s">
        <v>201</v>
      </c>
      <c r="E62" s="22">
        <v>25889786</v>
      </c>
      <c r="G62" s="22">
        <v>323</v>
      </c>
      <c r="I62" s="22">
        <v>8362400878</v>
      </c>
      <c r="K62" s="22">
        <v>-393011007</v>
      </c>
      <c r="M62" s="22">
        <v>7969389871</v>
      </c>
      <c r="O62" s="22">
        <v>8362400878</v>
      </c>
      <c r="Q62" s="22">
        <v>-393011007</v>
      </c>
      <c r="S62" s="22">
        <v>7969389871</v>
      </c>
    </row>
    <row r="63" spans="1:19" ht="18.75" x14ac:dyDescent="0.45">
      <c r="A63" s="31" t="s">
        <v>78</v>
      </c>
      <c r="C63" s="23" t="s">
        <v>157</v>
      </c>
      <c r="E63" s="22">
        <v>564486</v>
      </c>
      <c r="G63" s="22">
        <v>2950</v>
      </c>
      <c r="N63" s="23"/>
      <c r="O63" s="22">
        <v>1665233700</v>
      </c>
      <c r="Q63" s="22">
        <v>0</v>
      </c>
      <c r="S63" s="22">
        <v>1665233700</v>
      </c>
    </row>
    <row r="64" spans="1:19" ht="37.5" x14ac:dyDescent="0.45">
      <c r="A64" s="31" t="s">
        <v>202</v>
      </c>
      <c r="C64" s="23" t="s">
        <v>171</v>
      </c>
      <c r="E64" s="22">
        <v>996335</v>
      </c>
      <c r="G64" s="22">
        <v>1350</v>
      </c>
      <c r="N64" s="23"/>
      <c r="O64" s="22">
        <v>1345052250</v>
      </c>
      <c r="Q64" s="22">
        <v>0</v>
      </c>
      <c r="S64" s="22">
        <v>1345052250</v>
      </c>
    </row>
    <row r="65" spans="1:19" ht="18.75" x14ac:dyDescent="0.45">
      <c r="A65" s="31" t="s">
        <v>80</v>
      </c>
      <c r="C65" s="23" t="s">
        <v>171</v>
      </c>
      <c r="E65" s="22">
        <v>6013772</v>
      </c>
      <c r="G65" s="22">
        <v>1700</v>
      </c>
      <c r="N65" s="23"/>
      <c r="O65" s="22">
        <v>10223412400</v>
      </c>
      <c r="Q65" s="22">
        <v>0</v>
      </c>
      <c r="S65" s="22">
        <v>10223412400</v>
      </c>
    </row>
    <row r="66" spans="1:19" ht="18.75" x14ac:dyDescent="0.45">
      <c r="A66" s="31" t="s">
        <v>81</v>
      </c>
      <c r="C66" s="23" t="s">
        <v>203</v>
      </c>
      <c r="E66" s="22">
        <v>6377671</v>
      </c>
      <c r="G66" s="22">
        <v>480</v>
      </c>
      <c r="N66" s="23"/>
      <c r="O66" s="22">
        <v>3061282080</v>
      </c>
      <c r="Q66" s="22">
        <v>0</v>
      </c>
      <c r="S66" s="22">
        <v>3061282080</v>
      </c>
    </row>
    <row r="67" spans="1:19" ht="18.75" x14ac:dyDescent="0.45">
      <c r="A67" s="31" t="s">
        <v>83</v>
      </c>
      <c r="C67" s="23" t="s">
        <v>186</v>
      </c>
      <c r="E67" s="22">
        <v>5637509</v>
      </c>
      <c r="G67" s="22">
        <v>1930</v>
      </c>
      <c r="N67" s="23"/>
      <c r="O67" s="22">
        <v>10880392370</v>
      </c>
      <c r="Q67" s="22">
        <v>-139775156</v>
      </c>
      <c r="S67" s="22">
        <v>10740617214</v>
      </c>
    </row>
    <row r="68" spans="1:19" ht="18.75" x14ac:dyDescent="0.45">
      <c r="A68" s="31" t="s">
        <v>84</v>
      </c>
      <c r="C68" s="23" t="s">
        <v>204</v>
      </c>
      <c r="E68" s="22">
        <v>4994975</v>
      </c>
      <c r="G68" s="22">
        <v>3100</v>
      </c>
      <c r="N68" s="23"/>
      <c r="O68" s="22">
        <v>15484422500</v>
      </c>
      <c r="Q68" s="22">
        <v>0</v>
      </c>
      <c r="S68" s="22">
        <v>15484422500</v>
      </c>
    </row>
    <row r="69" spans="1:19" ht="37.5" x14ac:dyDescent="0.45">
      <c r="A69" s="31" t="s">
        <v>85</v>
      </c>
      <c r="C69" s="23" t="s">
        <v>182</v>
      </c>
      <c r="E69" s="22">
        <v>450000</v>
      </c>
      <c r="G69" s="22">
        <v>40</v>
      </c>
      <c r="N69" s="23"/>
      <c r="O69" s="22">
        <v>18000000</v>
      </c>
      <c r="Q69" s="22">
        <v>0</v>
      </c>
      <c r="S69" s="22">
        <v>18000000</v>
      </c>
    </row>
    <row r="70" spans="1:19" ht="18.75" x14ac:dyDescent="0.45">
      <c r="A70" s="25" t="s">
        <v>89</v>
      </c>
      <c r="I70" s="25">
        <f>SUM(I9:$I$69)</f>
        <v>8362400878</v>
      </c>
      <c r="K70" s="25">
        <f>SUM(K9:$K$69)</f>
        <v>-393011007</v>
      </c>
      <c r="M70" s="25">
        <f>SUM(M9:$M$69)</f>
        <v>7969389871</v>
      </c>
      <c r="O70" s="25">
        <f>SUM(O9:$O$69)</f>
        <v>285664586509</v>
      </c>
      <c r="Q70" s="25">
        <f>SUM(Q9:$Q$69)</f>
        <v>-1343633212</v>
      </c>
      <c r="S70" s="25">
        <f>SUM(S9:$S$69)</f>
        <v>284320953297</v>
      </c>
    </row>
    <row r="71" spans="1:19" ht="18.75" x14ac:dyDescent="0.45">
      <c r="I71" s="27"/>
      <c r="K71" s="27"/>
      <c r="M71" s="27"/>
      <c r="O71" s="27"/>
      <c r="Q71" s="27"/>
      <c r="S71" s="27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1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4.140625" style="13" customWidth="1"/>
    <col min="12" max="12" width="1.42578125" style="13" customWidth="1"/>
    <col min="13" max="13" width="18.42578125" style="13" customWidth="1"/>
    <col min="14" max="14" width="1.42578125" style="13" customWidth="1"/>
    <col min="15" max="15" width="18.42578125" style="13" customWidth="1"/>
    <col min="16" max="16" width="1.42578125" style="13" customWidth="1"/>
    <col min="17" max="17" width="14.140625" style="13" customWidth="1"/>
    <col min="18" max="18" width="1.42578125" style="13" customWidth="1"/>
    <col min="19" max="19" width="18.42578125" style="13" customWidth="1"/>
    <col min="20" max="16384" width="9.140625" style="13"/>
  </cols>
  <sheetData>
    <row r="1" spans="1:1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spans="1:19" ht="19.5" x14ac:dyDescent="0.5">
      <c r="A5" s="45" t="s">
        <v>256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7" spans="1:19" ht="21" x14ac:dyDescent="0.45">
      <c r="I7" s="15" t="s">
        <v>145</v>
      </c>
      <c r="J7" s="16"/>
      <c r="K7" s="16"/>
      <c r="L7" s="16"/>
      <c r="M7" s="16"/>
      <c r="O7" s="15" t="s">
        <v>7</v>
      </c>
      <c r="P7" s="16"/>
      <c r="Q7" s="16"/>
      <c r="R7" s="16"/>
      <c r="S7" s="16"/>
    </row>
    <row r="8" spans="1:19" ht="42" x14ac:dyDescent="0.45">
      <c r="A8" s="32" t="s">
        <v>135</v>
      </c>
      <c r="C8" s="30" t="s">
        <v>206</v>
      </c>
      <c r="E8" s="30" t="s">
        <v>110</v>
      </c>
      <c r="G8" s="30" t="s">
        <v>129</v>
      </c>
      <c r="I8" s="30" t="s">
        <v>207</v>
      </c>
      <c r="K8" s="30" t="s">
        <v>150</v>
      </c>
      <c r="M8" s="30" t="s">
        <v>208</v>
      </c>
      <c r="O8" s="30" t="s">
        <v>207</v>
      </c>
      <c r="Q8" s="30" t="s">
        <v>150</v>
      </c>
      <c r="S8" s="30" t="s">
        <v>208</v>
      </c>
    </row>
    <row r="9" spans="1:19" ht="37.5" x14ac:dyDescent="0.45">
      <c r="A9" s="31" t="s">
        <v>114</v>
      </c>
      <c r="C9" s="23" t="s">
        <v>209</v>
      </c>
      <c r="E9" s="23" t="s">
        <v>118</v>
      </c>
      <c r="G9" s="23" t="s">
        <v>119</v>
      </c>
      <c r="I9" s="22">
        <v>117790468</v>
      </c>
      <c r="K9" s="22">
        <v>0</v>
      </c>
      <c r="M9" s="22">
        <v>117790468</v>
      </c>
      <c r="O9" s="22">
        <v>2812519762</v>
      </c>
      <c r="Q9" s="22">
        <v>0</v>
      </c>
      <c r="S9" s="22">
        <v>2812519762</v>
      </c>
    </row>
    <row r="10" spans="1:19" ht="19.5" thickBot="1" x14ac:dyDescent="0.5">
      <c r="A10" s="25" t="s">
        <v>89</v>
      </c>
      <c r="I10" s="25">
        <f>SUM(I9:$I$9)</f>
        <v>117790468</v>
      </c>
      <c r="K10" s="25">
        <f>SUM(K9:$K$9)</f>
        <v>0</v>
      </c>
      <c r="M10" s="25">
        <f>SUM(M9:$M$9)</f>
        <v>117790468</v>
      </c>
      <c r="O10" s="25">
        <f>SUM(O9:$O$9)</f>
        <v>2812519762</v>
      </c>
      <c r="Q10" s="25">
        <f>SUM(Q9:$Q$9)</f>
        <v>0</v>
      </c>
      <c r="S10" s="25">
        <f>SUM(S9:$S$9)</f>
        <v>2812519762</v>
      </c>
    </row>
    <row r="11" spans="1:19" ht="18.75" x14ac:dyDescent="0.45">
      <c r="I11" s="27"/>
      <c r="K11" s="27"/>
      <c r="M11" s="27"/>
      <c r="O11" s="27"/>
      <c r="Q11" s="27"/>
      <c r="S11" s="27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AEA-610A-45B3-B17C-EBF5ADB93FCA}">
  <dimension ref="A1:M11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4.140625" style="13" customWidth="1"/>
    <col min="6" max="6" width="1.42578125" style="13" customWidth="1"/>
    <col min="7" max="7" width="18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4.140625" style="13" customWidth="1"/>
    <col min="12" max="12" width="1.42578125" style="13" customWidth="1"/>
    <col min="13" max="13" width="18.42578125" style="13" customWidth="1"/>
    <col min="14" max="16384" width="9.140625" style="13"/>
  </cols>
  <sheetData>
    <row r="1" spans="1:13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21" x14ac:dyDescent="0.45">
      <c r="A5" s="14" t="s">
        <v>205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7" spans="1:13" ht="21" x14ac:dyDescent="0.45">
      <c r="C7" s="15" t="s">
        <v>145</v>
      </c>
      <c r="D7" s="16"/>
      <c r="E7" s="16"/>
      <c r="F7" s="16"/>
      <c r="G7" s="16"/>
      <c r="I7" s="15" t="s">
        <v>7</v>
      </c>
      <c r="J7" s="16"/>
      <c r="K7" s="16"/>
      <c r="L7" s="16"/>
      <c r="M7" s="16"/>
    </row>
    <row r="8" spans="1:13" ht="21" x14ac:dyDescent="0.45">
      <c r="A8" s="32" t="s">
        <v>135</v>
      </c>
      <c r="C8" s="30" t="s">
        <v>207</v>
      </c>
      <c r="E8" s="30" t="s">
        <v>150</v>
      </c>
      <c r="G8" s="30" t="s">
        <v>208</v>
      </c>
      <c r="I8" s="30" t="s">
        <v>207</v>
      </c>
      <c r="K8" s="30" t="s">
        <v>150</v>
      </c>
      <c r="M8" s="30" t="s">
        <v>208</v>
      </c>
    </row>
    <row r="9" spans="1:13" s="47" customFormat="1" ht="18.75" x14ac:dyDescent="0.45">
      <c r="A9" s="49" t="s">
        <v>257</v>
      </c>
      <c r="C9" s="48">
        <v>5661430</v>
      </c>
      <c r="E9" s="48">
        <v>0</v>
      </c>
      <c r="G9" s="48">
        <v>5661430</v>
      </c>
      <c r="I9" s="48">
        <v>298923498</v>
      </c>
      <c r="K9" s="48">
        <v>0</v>
      </c>
      <c r="M9" s="48">
        <v>298923498</v>
      </c>
    </row>
    <row r="10" spans="1:13" ht="19.5" thickBot="1" x14ac:dyDescent="0.5">
      <c r="A10" s="25" t="s">
        <v>89</v>
      </c>
      <c r="C10" s="25">
        <f>SUM(C9:$C$9)</f>
        <v>5661430</v>
      </c>
      <c r="E10" s="25">
        <f>SUM(E9:$E$9)</f>
        <v>0</v>
      </c>
      <c r="G10" s="25">
        <f>SUM(G9:$G$9)</f>
        <v>5661430</v>
      </c>
      <c r="I10" s="25">
        <f>SUM(I9:$I$9)</f>
        <v>298923498</v>
      </c>
      <c r="K10" s="25">
        <f>SUM(K9:$K$9)</f>
        <v>0</v>
      </c>
      <c r="M10" s="25">
        <f>SUM(M9:$M$9)</f>
        <v>298923498</v>
      </c>
    </row>
    <row r="11" spans="1:13" ht="19.5" thickTop="1" x14ac:dyDescent="0.45">
      <c r="C11" s="27"/>
      <c r="E11" s="27"/>
      <c r="G11" s="27"/>
      <c r="I11" s="27"/>
      <c r="K11" s="27"/>
      <c r="M11" s="27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80"/>
  <sheetViews>
    <sheetView rightToLeft="1" view="pageBreakPreview" topLeftCell="A10" zoomScale="60" zoomScaleNormal="100" workbookViewId="0">
      <selection activeCell="A15" sqref="A15:K20"/>
    </sheetView>
  </sheetViews>
  <sheetFormatPr defaultRowHeight="18" x14ac:dyDescent="0.45"/>
  <cols>
    <col min="1" max="1" width="20.42578125" style="13" bestFit="1" customWidth="1"/>
    <col min="2" max="2" width="1.42578125" style="13" customWidth="1"/>
    <col min="3" max="3" width="12.5703125" style="13" bestFit="1" customWidth="1"/>
    <col min="4" max="4" width="1.42578125" style="13" customWidth="1"/>
    <col min="5" max="5" width="18" style="13" bestFit="1" customWidth="1"/>
    <col min="6" max="6" width="1.42578125" style="13" customWidth="1"/>
    <col min="7" max="7" width="18" style="13" bestFit="1" customWidth="1"/>
    <col min="8" max="8" width="1.42578125" style="13" customWidth="1"/>
    <col min="9" max="9" width="17" style="13" bestFit="1" customWidth="1"/>
    <col min="10" max="10" width="1.42578125" style="13" customWidth="1"/>
    <col min="11" max="11" width="13.7109375" style="13" bestFit="1" customWidth="1"/>
    <col min="12" max="12" width="1.42578125" style="13" customWidth="1"/>
    <col min="13" max="13" width="19.85546875" style="13" bestFit="1" customWidth="1"/>
    <col min="14" max="14" width="1.42578125" style="13" customWidth="1"/>
    <col min="15" max="15" width="19.140625" style="13" bestFit="1" customWidth="1"/>
    <col min="16" max="16" width="1.42578125" style="13" customWidth="1"/>
    <col min="17" max="17" width="17.7109375" style="13" bestFit="1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210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145</v>
      </c>
      <c r="D7" s="16"/>
      <c r="E7" s="16"/>
      <c r="F7" s="16"/>
      <c r="G7" s="16"/>
      <c r="H7" s="16"/>
      <c r="I7" s="16"/>
      <c r="K7" s="15" t="s">
        <v>7</v>
      </c>
      <c r="L7" s="16"/>
      <c r="M7" s="16"/>
      <c r="N7" s="16"/>
      <c r="O7" s="16"/>
      <c r="P7" s="16"/>
      <c r="Q7" s="16"/>
    </row>
    <row r="8" spans="1:17" ht="42" x14ac:dyDescent="0.45">
      <c r="A8" s="32" t="s">
        <v>135</v>
      </c>
      <c r="C8" s="30" t="s">
        <v>9</v>
      </c>
      <c r="E8" s="30" t="s">
        <v>11</v>
      </c>
      <c r="G8" s="30" t="s">
        <v>211</v>
      </c>
      <c r="I8" s="30" t="s">
        <v>212</v>
      </c>
      <c r="K8" s="30" t="s">
        <v>9</v>
      </c>
      <c r="M8" s="30" t="s">
        <v>11</v>
      </c>
      <c r="O8" s="30" t="s">
        <v>211</v>
      </c>
      <c r="Q8" s="30" t="s">
        <v>212</v>
      </c>
    </row>
    <row r="9" spans="1:17" ht="18.75" x14ac:dyDescent="0.45">
      <c r="A9" s="31" t="s">
        <v>19</v>
      </c>
      <c r="J9" s="23"/>
      <c r="K9" s="22">
        <v>281966</v>
      </c>
      <c r="M9" s="22">
        <v>2242685769</v>
      </c>
      <c r="O9" s="22">
        <v>2610074708</v>
      </c>
      <c r="Q9" s="22">
        <v>-367388939</v>
      </c>
    </row>
    <row r="10" spans="1:17" ht="18.75" x14ac:dyDescent="0.45">
      <c r="A10" s="31" t="s">
        <v>20</v>
      </c>
      <c r="C10" s="22">
        <v>1950000</v>
      </c>
      <c r="E10" s="22">
        <v>12231288304</v>
      </c>
      <c r="G10" s="22">
        <v>10341560933</v>
      </c>
      <c r="I10" s="22">
        <v>1889727371</v>
      </c>
      <c r="K10" s="22">
        <v>1950000</v>
      </c>
      <c r="M10" s="22">
        <v>12231288304</v>
      </c>
      <c r="O10" s="22">
        <v>10341560933</v>
      </c>
      <c r="Q10" s="22">
        <v>1889727371</v>
      </c>
    </row>
    <row r="11" spans="1:17" ht="18.75" x14ac:dyDescent="0.45">
      <c r="A11" s="31" t="s">
        <v>213</v>
      </c>
      <c r="J11" s="23"/>
      <c r="K11" s="22">
        <v>433913</v>
      </c>
      <c r="M11" s="22">
        <v>1102004664</v>
      </c>
      <c r="O11" s="22">
        <v>1310689440</v>
      </c>
      <c r="Q11" s="22">
        <v>-208684776</v>
      </c>
    </row>
    <row r="12" spans="1:17" ht="18.75" x14ac:dyDescent="0.45">
      <c r="A12" s="31" t="s">
        <v>154</v>
      </c>
      <c r="J12" s="23"/>
      <c r="K12" s="22">
        <v>2736107</v>
      </c>
      <c r="M12" s="22">
        <v>7700395419</v>
      </c>
      <c r="O12" s="22">
        <v>10457881070</v>
      </c>
      <c r="Q12" s="22">
        <v>-2757485651</v>
      </c>
    </row>
    <row r="13" spans="1:17" ht="18.75" x14ac:dyDescent="0.45">
      <c r="A13" s="31" t="s">
        <v>26</v>
      </c>
      <c r="J13" s="23"/>
      <c r="K13" s="22">
        <v>1562500</v>
      </c>
      <c r="M13" s="22">
        <v>5095247839</v>
      </c>
      <c r="O13" s="22">
        <v>3906823843</v>
      </c>
      <c r="Q13" s="22">
        <v>1188423996</v>
      </c>
    </row>
    <row r="14" spans="1:17" ht="37.5" x14ac:dyDescent="0.45">
      <c r="A14" s="31" t="s">
        <v>27</v>
      </c>
      <c r="J14" s="23"/>
      <c r="K14" s="22">
        <v>1532815</v>
      </c>
      <c r="M14" s="22">
        <v>4711072683</v>
      </c>
      <c r="O14" s="22">
        <v>4847624585</v>
      </c>
      <c r="Q14" s="22">
        <v>-136551902</v>
      </c>
    </row>
    <row r="15" spans="1:17" ht="18.75" x14ac:dyDescent="0.45">
      <c r="A15" s="31" t="s">
        <v>29</v>
      </c>
      <c r="J15" s="23"/>
      <c r="K15" s="22">
        <v>898332</v>
      </c>
      <c r="M15" s="22">
        <v>6078322388</v>
      </c>
      <c r="O15" s="22">
        <v>4933038716</v>
      </c>
      <c r="Q15" s="22">
        <v>1145283672</v>
      </c>
    </row>
    <row r="16" spans="1:17" ht="18.75" x14ac:dyDescent="0.45">
      <c r="A16" s="31" t="s">
        <v>214</v>
      </c>
      <c r="J16" s="23"/>
      <c r="K16" s="22">
        <v>9600000</v>
      </c>
      <c r="M16" s="22">
        <v>19247729584</v>
      </c>
      <c r="O16" s="22">
        <v>15514041705</v>
      </c>
      <c r="Q16" s="22">
        <v>3733687879</v>
      </c>
    </row>
    <row r="17" spans="1:17" ht="18.75" x14ac:dyDescent="0.45">
      <c r="A17" s="31" t="s">
        <v>159</v>
      </c>
      <c r="C17" s="22">
        <v>1145363</v>
      </c>
      <c r="E17" s="22">
        <v>15324857452</v>
      </c>
      <c r="G17" s="22">
        <v>11492342740</v>
      </c>
      <c r="I17" s="22">
        <v>3832514712</v>
      </c>
      <c r="K17" s="22">
        <v>1145363</v>
      </c>
      <c r="M17" s="22">
        <v>15324857452</v>
      </c>
      <c r="O17" s="22">
        <v>11492342740</v>
      </c>
      <c r="Q17" s="22">
        <v>3832514712</v>
      </c>
    </row>
    <row r="18" spans="1:17" ht="18.75" x14ac:dyDescent="0.45">
      <c r="A18" s="31" t="s">
        <v>31</v>
      </c>
      <c r="J18" s="23"/>
      <c r="K18" s="22">
        <v>800000</v>
      </c>
      <c r="M18" s="22">
        <v>16630693691</v>
      </c>
      <c r="O18" s="22">
        <v>18310261191</v>
      </c>
      <c r="Q18" s="22">
        <v>-1679567500</v>
      </c>
    </row>
    <row r="19" spans="1:17" ht="37.5" x14ac:dyDescent="0.45">
      <c r="A19" s="31" t="s">
        <v>33</v>
      </c>
      <c r="J19" s="23"/>
      <c r="K19" s="22">
        <v>100000</v>
      </c>
      <c r="M19" s="22">
        <v>1308169802</v>
      </c>
      <c r="O19" s="22">
        <v>1317267379</v>
      </c>
      <c r="Q19" s="22">
        <v>-9097577</v>
      </c>
    </row>
    <row r="20" spans="1:17" ht="18.75" x14ac:dyDescent="0.45">
      <c r="A20" s="31" t="s">
        <v>163</v>
      </c>
      <c r="J20" s="23"/>
      <c r="K20" s="22">
        <v>1820134</v>
      </c>
      <c r="M20" s="22">
        <v>16630074164</v>
      </c>
      <c r="O20" s="22">
        <v>19822639912</v>
      </c>
      <c r="Q20" s="22">
        <v>-3192565748</v>
      </c>
    </row>
    <row r="21" spans="1:17" ht="18.75" x14ac:dyDescent="0.45">
      <c r="A21" s="31" t="s">
        <v>36</v>
      </c>
      <c r="C21" s="22">
        <v>1800000</v>
      </c>
      <c r="E21" s="22">
        <v>25551061283</v>
      </c>
      <c r="G21" s="22">
        <v>19320727281</v>
      </c>
      <c r="I21" s="22">
        <v>6230334002</v>
      </c>
      <c r="K21" s="22">
        <v>1800000</v>
      </c>
      <c r="M21" s="22">
        <v>25551061283</v>
      </c>
      <c r="O21" s="22">
        <v>19320727281</v>
      </c>
      <c r="Q21" s="22">
        <v>6230334002</v>
      </c>
    </row>
    <row r="22" spans="1:17" ht="18.75" x14ac:dyDescent="0.45">
      <c r="A22" s="31" t="s">
        <v>37</v>
      </c>
      <c r="C22" s="22">
        <v>400000</v>
      </c>
      <c r="E22" s="22">
        <v>3033840616</v>
      </c>
      <c r="G22" s="22">
        <v>2927555640</v>
      </c>
      <c r="I22" s="22">
        <v>106284976</v>
      </c>
      <c r="K22" s="22">
        <v>400000</v>
      </c>
      <c r="M22" s="22">
        <v>3033840616</v>
      </c>
      <c r="O22" s="22">
        <v>2927555640</v>
      </c>
      <c r="Q22" s="22">
        <v>106284976</v>
      </c>
    </row>
    <row r="23" spans="1:17" ht="18.75" x14ac:dyDescent="0.45">
      <c r="A23" s="31" t="s">
        <v>38</v>
      </c>
      <c r="J23" s="23"/>
      <c r="K23" s="22">
        <v>1200000</v>
      </c>
      <c r="M23" s="22">
        <v>16675660699</v>
      </c>
      <c r="O23" s="22">
        <v>18962088919</v>
      </c>
      <c r="Q23" s="22">
        <v>-2286428220</v>
      </c>
    </row>
    <row r="24" spans="1:17" ht="18.75" x14ac:dyDescent="0.45">
      <c r="A24" s="31" t="s">
        <v>39</v>
      </c>
      <c r="C24" s="22">
        <v>100000</v>
      </c>
      <c r="E24" s="22">
        <v>3015957648</v>
      </c>
      <c r="G24" s="22">
        <v>2962109548</v>
      </c>
      <c r="I24" s="22">
        <v>53848100</v>
      </c>
      <c r="K24" s="22">
        <v>100000</v>
      </c>
      <c r="M24" s="22">
        <v>3015957648</v>
      </c>
      <c r="O24" s="22">
        <v>2962109548</v>
      </c>
      <c r="Q24" s="22">
        <v>53848100</v>
      </c>
    </row>
    <row r="25" spans="1:17" ht="18.75" x14ac:dyDescent="0.45">
      <c r="A25" s="31" t="s">
        <v>40</v>
      </c>
      <c r="C25" s="22">
        <v>414525</v>
      </c>
      <c r="E25" s="22">
        <v>51258197729</v>
      </c>
      <c r="G25" s="22">
        <v>42133586635</v>
      </c>
      <c r="I25" s="22">
        <v>9124611094</v>
      </c>
      <c r="K25" s="22">
        <v>623279</v>
      </c>
      <c r="M25" s="22">
        <v>72247500500</v>
      </c>
      <c r="O25" s="22">
        <v>63598530449</v>
      </c>
      <c r="Q25" s="22">
        <v>8648970051</v>
      </c>
    </row>
    <row r="26" spans="1:17" ht="18.75" x14ac:dyDescent="0.45">
      <c r="A26" s="31" t="s">
        <v>42</v>
      </c>
      <c r="J26" s="23"/>
      <c r="K26" s="22">
        <v>1592280</v>
      </c>
      <c r="M26" s="22">
        <v>91839161439</v>
      </c>
      <c r="O26" s="22">
        <v>58594958367</v>
      </c>
      <c r="Q26" s="22">
        <v>33244203072</v>
      </c>
    </row>
    <row r="27" spans="1:17" ht="18.75" x14ac:dyDescent="0.45">
      <c r="A27" s="31" t="s">
        <v>169</v>
      </c>
      <c r="J27" s="23"/>
      <c r="K27" s="22">
        <v>3260353</v>
      </c>
      <c r="M27" s="22">
        <v>21457616564</v>
      </c>
      <c r="O27" s="22">
        <v>14112314709</v>
      </c>
      <c r="Q27" s="22">
        <v>7345301855</v>
      </c>
    </row>
    <row r="28" spans="1:17" ht="18.75" x14ac:dyDescent="0.45">
      <c r="A28" s="31" t="s">
        <v>45</v>
      </c>
      <c r="C28" s="22">
        <v>1200000</v>
      </c>
      <c r="E28" s="22">
        <v>16592732407</v>
      </c>
      <c r="G28" s="22">
        <v>15224881285</v>
      </c>
      <c r="I28" s="22">
        <v>1367851122</v>
      </c>
      <c r="K28" s="22">
        <v>1200000</v>
      </c>
      <c r="M28" s="22">
        <v>16592732407</v>
      </c>
      <c r="O28" s="22">
        <v>15224881285</v>
      </c>
      <c r="Q28" s="22">
        <v>1367851122</v>
      </c>
    </row>
    <row r="29" spans="1:17" ht="18.75" x14ac:dyDescent="0.45">
      <c r="A29" s="31" t="s">
        <v>46</v>
      </c>
      <c r="J29" s="23"/>
      <c r="K29" s="22">
        <v>10000000</v>
      </c>
      <c r="M29" s="22">
        <v>40918606663</v>
      </c>
      <c r="O29" s="22">
        <v>44218934306</v>
      </c>
      <c r="Q29" s="22">
        <v>-3300327643</v>
      </c>
    </row>
    <row r="30" spans="1:17" ht="18.75" x14ac:dyDescent="0.45">
      <c r="A30" s="31" t="s">
        <v>47</v>
      </c>
      <c r="J30" s="23"/>
      <c r="K30" s="22">
        <v>3040223</v>
      </c>
      <c r="M30" s="22">
        <v>12821594552</v>
      </c>
      <c r="O30" s="22">
        <v>21229297529</v>
      </c>
      <c r="Q30" s="22">
        <v>-8407702977</v>
      </c>
    </row>
    <row r="31" spans="1:17" ht="18.75" x14ac:dyDescent="0.45">
      <c r="A31" s="31" t="s">
        <v>48</v>
      </c>
      <c r="J31" s="23"/>
      <c r="K31" s="22">
        <v>417833</v>
      </c>
      <c r="M31" s="22">
        <v>10103162752</v>
      </c>
      <c r="O31" s="22">
        <v>11743685139</v>
      </c>
      <c r="Q31" s="22">
        <v>-1640522387</v>
      </c>
    </row>
    <row r="32" spans="1:17" ht="18.75" x14ac:dyDescent="0.45">
      <c r="A32" s="31" t="s">
        <v>49</v>
      </c>
      <c r="C32" s="22">
        <v>5600000</v>
      </c>
      <c r="E32" s="22">
        <v>39424023191</v>
      </c>
      <c r="G32" s="22">
        <v>30198080987</v>
      </c>
      <c r="I32" s="22">
        <v>9225942204</v>
      </c>
      <c r="K32" s="22">
        <v>7800000</v>
      </c>
      <c r="M32" s="22">
        <v>52436137807</v>
      </c>
      <c r="O32" s="22">
        <v>42076432594</v>
      </c>
      <c r="Q32" s="22">
        <v>10359705213</v>
      </c>
    </row>
    <row r="33" spans="1:17" ht="18.75" x14ac:dyDescent="0.45">
      <c r="A33" s="31" t="s">
        <v>50</v>
      </c>
      <c r="C33" s="22">
        <v>218866</v>
      </c>
      <c r="E33" s="22">
        <v>1496838614</v>
      </c>
      <c r="G33" s="22">
        <v>1219096258</v>
      </c>
      <c r="I33" s="22">
        <v>277742356</v>
      </c>
      <c r="K33" s="22">
        <v>600102</v>
      </c>
      <c r="M33" s="22">
        <v>55758465394</v>
      </c>
      <c r="O33" s="22">
        <v>57436280142</v>
      </c>
      <c r="Q33" s="22">
        <v>-1677814748</v>
      </c>
    </row>
    <row r="34" spans="1:17" ht="18.75" x14ac:dyDescent="0.45">
      <c r="A34" s="31" t="s">
        <v>175</v>
      </c>
      <c r="J34" s="23"/>
      <c r="K34" s="22">
        <v>783101</v>
      </c>
      <c r="M34" s="22">
        <v>47742123864</v>
      </c>
      <c r="O34" s="22">
        <v>54096161251</v>
      </c>
      <c r="Q34" s="22">
        <v>-6354037387</v>
      </c>
    </row>
    <row r="35" spans="1:17" ht="18.75" x14ac:dyDescent="0.45">
      <c r="A35" s="31" t="s">
        <v>52</v>
      </c>
      <c r="J35" s="23"/>
      <c r="K35" s="22">
        <v>2775755</v>
      </c>
      <c r="M35" s="22">
        <v>31093414994</v>
      </c>
      <c r="O35" s="22">
        <v>36888030079</v>
      </c>
      <c r="Q35" s="22">
        <v>-5794615085</v>
      </c>
    </row>
    <row r="36" spans="1:17" ht="18.75" x14ac:dyDescent="0.45">
      <c r="A36" s="31" t="s">
        <v>54</v>
      </c>
      <c r="C36" s="22">
        <v>300000</v>
      </c>
      <c r="E36" s="22">
        <v>11096580198</v>
      </c>
      <c r="G36" s="22">
        <v>9637076667</v>
      </c>
      <c r="I36" s="22">
        <v>1459503531</v>
      </c>
      <c r="K36" s="22">
        <v>300000</v>
      </c>
      <c r="M36" s="22">
        <v>11096580198</v>
      </c>
      <c r="O36" s="22">
        <v>9637076667</v>
      </c>
      <c r="Q36" s="22">
        <v>1459503531</v>
      </c>
    </row>
    <row r="37" spans="1:17" ht="18.75" x14ac:dyDescent="0.45">
      <c r="A37" s="31" t="s">
        <v>178</v>
      </c>
      <c r="J37" s="23"/>
      <c r="K37" s="22">
        <v>6310177</v>
      </c>
      <c r="M37" s="22">
        <v>28065801767</v>
      </c>
      <c r="O37" s="22">
        <v>32487328927</v>
      </c>
      <c r="Q37" s="22">
        <v>-4421527160</v>
      </c>
    </row>
    <row r="38" spans="1:17" ht="18.75" x14ac:dyDescent="0.45">
      <c r="A38" s="31" t="s">
        <v>55</v>
      </c>
      <c r="J38" s="23"/>
      <c r="K38" s="22">
        <v>14000000</v>
      </c>
      <c r="M38" s="22">
        <v>25909977928</v>
      </c>
      <c r="O38" s="22">
        <v>32724917048</v>
      </c>
      <c r="Q38" s="22">
        <v>-6814939120</v>
      </c>
    </row>
    <row r="39" spans="1:17" ht="37.5" x14ac:dyDescent="0.45">
      <c r="A39" s="31" t="s">
        <v>180</v>
      </c>
      <c r="J39" s="23"/>
      <c r="K39" s="22">
        <v>8640622</v>
      </c>
      <c r="M39" s="22">
        <v>18405977767</v>
      </c>
      <c r="O39" s="22">
        <v>27478372743</v>
      </c>
      <c r="Q39" s="22">
        <v>-9072394976</v>
      </c>
    </row>
    <row r="40" spans="1:17" ht="37.5" x14ac:dyDescent="0.45">
      <c r="A40" s="31" t="s">
        <v>114</v>
      </c>
      <c r="C40" s="22">
        <v>12810</v>
      </c>
      <c r="E40" s="22">
        <v>12807678188</v>
      </c>
      <c r="G40" s="22">
        <v>12810000000</v>
      </c>
      <c r="I40" s="22">
        <v>-2321812</v>
      </c>
      <c r="K40" s="22">
        <v>134120</v>
      </c>
      <c r="M40" s="22">
        <v>134098190751</v>
      </c>
      <c r="O40" s="22">
        <v>134122500000</v>
      </c>
      <c r="Q40" s="22">
        <v>-24309249</v>
      </c>
    </row>
    <row r="41" spans="1:17" ht="18.75" x14ac:dyDescent="0.45">
      <c r="A41" s="31" t="s">
        <v>183</v>
      </c>
      <c r="J41" s="23"/>
      <c r="K41" s="22">
        <v>18187595</v>
      </c>
      <c r="M41" s="22">
        <v>32664728642</v>
      </c>
      <c r="O41" s="22">
        <v>44135119491</v>
      </c>
      <c r="Q41" s="22">
        <v>-11470390849</v>
      </c>
    </row>
    <row r="42" spans="1:17" ht="18.75" x14ac:dyDescent="0.45">
      <c r="A42" s="31" t="s">
        <v>60</v>
      </c>
      <c r="C42" s="22">
        <v>2488715</v>
      </c>
      <c r="E42" s="22">
        <v>21077688982</v>
      </c>
      <c r="G42" s="22">
        <v>24998637417</v>
      </c>
      <c r="I42" s="22">
        <v>-3920948435</v>
      </c>
      <c r="K42" s="22">
        <v>2488715</v>
      </c>
      <c r="M42" s="22">
        <v>21077688982</v>
      </c>
      <c r="O42" s="22">
        <v>24998637417</v>
      </c>
      <c r="Q42" s="22">
        <v>-3920948435</v>
      </c>
    </row>
    <row r="43" spans="1:17" ht="37.5" x14ac:dyDescent="0.45">
      <c r="A43" s="31" t="s">
        <v>185</v>
      </c>
      <c r="J43" s="23"/>
      <c r="K43" s="22">
        <v>2522410</v>
      </c>
      <c r="M43" s="22">
        <v>18703622554</v>
      </c>
      <c r="O43" s="22">
        <v>32455747251</v>
      </c>
      <c r="Q43" s="22">
        <v>-13752124697</v>
      </c>
    </row>
    <row r="44" spans="1:17" ht="18.75" x14ac:dyDescent="0.45">
      <c r="A44" s="31" t="s">
        <v>215</v>
      </c>
      <c r="J44" s="23"/>
      <c r="K44" s="22">
        <v>11591982</v>
      </c>
      <c r="M44" s="22">
        <v>34364341410</v>
      </c>
      <c r="O44" s="22">
        <v>35469547725</v>
      </c>
      <c r="Q44" s="22">
        <v>-1105206315</v>
      </c>
    </row>
    <row r="45" spans="1:17" ht="18.75" x14ac:dyDescent="0.45">
      <c r="A45" s="31" t="s">
        <v>61</v>
      </c>
      <c r="C45" s="22">
        <v>2240000</v>
      </c>
      <c r="E45" s="22">
        <v>9654122527</v>
      </c>
      <c r="G45" s="22">
        <v>10003988356</v>
      </c>
      <c r="I45" s="22">
        <v>-349865829</v>
      </c>
      <c r="K45" s="22">
        <v>7066087</v>
      </c>
      <c r="M45" s="22">
        <v>41113888809</v>
      </c>
      <c r="O45" s="22">
        <v>44500680605</v>
      </c>
      <c r="Q45" s="22">
        <v>-3386791796</v>
      </c>
    </row>
    <row r="46" spans="1:17" ht="18.75" x14ac:dyDescent="0.45">
      <c r="A46" s="31" t="s">
        <v>216</v>
      </c>
      <c r="J46" s="23"/>
      <c r="K46" s="22">
        <v>162355</v>
      </c>
      <c r="M46" s="22">
        <v>678807354</v>
      </c>
      <c r="O46" s="22">
        <v>742845169</v>
      </c>
      <c r="Q46" s="22">
        <v>-64037815</v>
      </c>
    </row>
    <row r="47" spans="1:17" ht="18.75" x14ac:dyDescent="0.45">
      <c r="A47" s="31" t="s">
        <v>188</v>
      </c>
      <c r="J47" s="23"/>
      <c r="K47" s="22">
        <v>1724034</v>
      </c>
      <c r="M47" s="22">
        <v>34157336538</v>
      </c>
      <c r="O47" s="22">
        <v>43496836639</v>
      </c>
      <c r="Q47" s="22">
        <v>-9339500101</v>
      </c>
    </row>
    <row r="48" spans="1:17" ht="18.75" x14ac:dyDescent="0.45">
      <c r="A48" s="31" t="s">
        <v>190</v>
      </c>
      <c r="J48" s="23"/>
      <c r="K48" s="22">
        <v>8867344</v>
      </c>
      <c r="M48" s="22">
        <v>30637268222</v>
      </c>
      <c r="O48" s="22">
        <v>45493791227</v>
      </c>
      <c r="Q48" s="22">
        <v>-14856523005</v>
      </c>
    </row>
    <row r="49" spans="1:17" ht="18.75" x14ac:dyDescent="0.45">
      <c r="A49" s="31" t="s">
        <v>191</v>
      </c>
      <c r="J49" s="23"/>
      <c r="K49" s="22">
        <v>1000000</v>
      </c>
      <c r="M49" s="22">
        <v>3500610195</v>
      </c>
      <c r="O49" s="22">
        <v>4507955320</v>
      </c>
      <c r="Q49" s="22">
        <v>-1007345125</v>
      </c>
    </row>
    <row r="50" spans="1:17" ht="18.75" x14ac:dyDescent="0.45">
      <c r="A50" s="31" t="s">
        <v>192</v>
      </c>
      <c r="J50" s="23"/>
      <c r="K50" s="22">
        <v>7000000</v>
      </c>
      <c r="M50" s="22">
        <v>51474411028</v>
      </c>
      <c r="O50" s="22">
        <v>77416664348</v>
      </c>
      <c r="Q50" s="22">
        <v>-25942253320</v>
      </c>
    </row>
    <row r="51" spans="1:17" ht="18.75" x14ac:dyDescent="0.45">
      <c r="A51" s="31" t="s">
        <v>62</v>
      </c>
      <c r="J51" s="23"/>
      <c r="K51" s="22">
        <v>7934088</v>
      </c>
      <c r="M51" s="22">
        <v>29799096884</v>
      </c>
      <c r="O51" s="22">
        <v>35722713282</v>
      </c>
      <c r="Q51" s="22">
        <v>-5923616398</v>
      </c>
    </row>
    <row r="52" spans="1:17" ht="18.75" x14ac:dyDescent="0.45">
      <c r="A52" s="31" t="s">
        <v>63</v>
      </c>
      <c r="J52" s="23"/>
      <c r="K52" s="22">
        <v>454489</v>
      </c>
      <c r="M52" s="22">
        <v>5203807892</v>
      </c>
      <c r="O52" s="22">
        <v>5146305770</v>
      </c>
      <c r="Q52" s="22">
        <v>57502122</v>
      </c>
    </row>
    <row r="53" spans="1:17" ht="18.75" x14ac:dyDescent="0.45">
      <c r="A53" s="31" t="s">
        <v>64</v>
      </c>
      <c r="C53" s="22">
        <v>400000</v>
      </c>
      <c r="E53" s="22">
        <v>2127267007</v>
      </c>
      <c r="G53" s="22">
        <v>1908828593</v>
      </c>
      <c r="I53" s="22">
        <v>218438414</v>
      </c>
      <c r="K53" s="22">
        <v>400000</v>
      </c>
      <c r="M53" s="22">
        <v>2127267007</v>
      </c>
      <c r="O53" s="22">
        <v>1908828593</v>
      </c>
      <c r="Q53" s="22">
        <v>218438414</v>
      </c>
    </row>
    <row r="54" spans="1:17" ht="18.75" x14ac:dyDescent="0.45">
      <c r="A54" s="31" t="s">
        <v>65</v>
      </c>
      <c r="C54" s="22">
        <v>100000</v>
      </c>
      <c r="E54" s="22">
        <v>1987105964</v>
      </c>
      <c r="G54" s="22">
        <v>1945048612</v>
      </c>
      <c r="I54" s="22">
        <v>42057352</v>
      </c>
      <c r="K54" s="22">
        <v>135000</v>
      </c>
      <c r="M54" s="22">
        <v>2564649014</v>
      </c>
      <c r="O54" s="22">
        <v>2626521588</v>
      </c>
      <c r="Q54" s="22">
        <v>-61872574</v>
      </c>
    </row>
    <row r="55" spans="1:17" ht="18.75" x14ac:dyDescent="0.45">
      <c r="A55" s="31" t="s">
        <v>217</v>
      </c>
      <c r="J55" s="23"/>
      <c r="K55" s="22">
        <v>2314570</v>
      </c>
      <c r="M55" s="22">
        <v>8184392109</v>
      </c>
      <c r="O55" s="22">
        <v>9895062325</v>
      </c>
      <c r="Q55" s="22">
        <v>-1710670216</v>
      </c>
    </row>
    <row r="56" spans="1:17" ht="18.75" x14ac:dyDescent="0.45">
      <c r="A56" s="31" t="s">
        <v>68</v>
      </c>
      <c r="C56" s="22">
        <v>1600000</v>
      </c>
      <c r="E56" s="22">
        <v>15690085286</v>
      </c>
      <c r="G56" s="22">
        <v>10394783944</v>
      </c>
      <c r="I56" s="22">
        <v>5295301342</v>
      </c>
      <c r="K56" s="22">
        <v>3401315</v>
      </c>
      <c r="M56" s="22">
        <v>30574394184</v>
      </c>
      <c r="O56" s="22">
        <v>22109875032</v>
      </c>
      <c r="Q56" s="22">
        <v>8464519152</v>
      </c>
    </row>
    <row r="57" spans="1:17" ht="18.75" x14ac:dyDescent="0.45">
      <c r="A57" s="31" t="s">
        <v>69</v>
      </c>
      <c r="C57" s="22">
        <v>200000</v>
      </c>
      <c r="E57" s="22">
        <v>820091257</v>
      </c>
      <c r="G57" s="22">
        <v>739237087</v>
      </c>
      <c r="I57" s="22">
        <v>80854170</v>
      </c>
      <c r="K57" s="22">
        <v>858143</v>
      </c>
      <c r="M57" s="22">
        <v>3008702001</v>
      </c>
      <c r="O57" s="22">
        <v>3174908838</v>
      </c>
      <c r="Q57" s="22">
        <v>-166206837</v>
      </c>
    </row>
    <row r="58" spans="1:17" ht="18.75" x14ac:dyDescent="0.45">
      <c r="A58" s="31" t="s">
        <v>70</v>
      </c>
      <c r="J58" s="23"/>
      <c r="K58" s="22">
        <v>38296</v>
      </c>
      <c r="M58" s="22">
        <v>591214081</v>
      </c>
      <c r="O58" s="22">
        <v>631437796</v>
      </c>
      <c r="Q58" s="22">
        <v>-40223715</v>
      </c>
    </row>
    <row r="59" spans="1:17" ht="18.75" x14ac:dyDescent="0.45">
      <c r="A59" s="31" t="s">
        <v>218</v>
      </c>
      <c r="J59" s="23"/>
      <c r="K59" s="22">
        <v>1321759</v>
      </c>
      <c r="M59" s="22">
        <v>10867433600</v>
      </c>
      <c r="O59" s="22">
        <v>11085824944</v>
      </c>
      <c r="Q59" s="22">
        <v>-218391344</v>
      </c>
    </row>
    <row r="60" spans="1:17" ht="18.75" x14ac:dyDescent="0.45">
      <c r="A60" s="31" t="s">
        <v>200</v>
      </c>
      <c r="J60" s="23"/>
      <c r="K60" s="22">
        <v>339909</v>
      </c>
      <c r="M60" s="22">
        <v>23090542752</v>
      </c>
      <c r="O60" s="22">
        <v>25355328754</v>
      </c>
      <c r="Q60" s="22">
        <v>-2264786002</v>
      </c>
    </row>
    <row r="61" spans="1:17" ht="18.75" x14ac:dyDescent="0.45">
      <c r="A61" s="31" t="s">
        <v>219</v>
      </c>
      <c r="J61" s="23"/>
      <c r="K61" s="22">
        <v>305861</v>
      </c>
      <c r="M61" s="22">
        <v>2015792683</v>
      </c>
      <c r="O61" s="22">
        <v>1576825953</v>
      </c>
      <c r="Q61" s="22">
        <v>438966730</v>
      </c>
    </row>
    <row r="62" spans="1:17" ht="18.75" x14ac:dyDescent="0.45">
      <c r="A62" s="31" t="s">
        <v>74</v>
      </c>
      <c r="C62" s="22">
        <v>1000000</v>
      </c>
      <c r="E62" s="22">
        <v>6570670548</v>
      </c>
      <c r="G62" s="22">
        <v>7585034048</v>
      </c>
      <c r="I62" s="22">
        <v>-1014363500</v>
      </c>
      <c r="K62" s="22">
        <v>2000000</v>
      </c>
      <c r="M62" s="22">
        <v>13446216654</v>
      </c>
      <c r="O62" s="22">
        <v>15168243234</v>
      </c>
      <c r="Q62" s="22">
        <v>-1722026580</v>
      </c>
    </row>
    <row r="63" spans="1:17" ht="18.75" x14ac:dyDescent="0.45">
      <c r="A63" s="31" t="s">
        <v>75</v>
      </c>
      <c r="J63" s="23"/>
      <c r="K63" s="22">
        <v>600000</v>
      </c>
      <c r="M63" s="22">
        <v>4437439221</v>
      </c>
      <c r="O63" s="22">
        <v>3946278339</v>
      </c>
      <c r="Q63" s="22">
        <v>491160882</v>
      </c>
    </row>
    <row r="64" spans="1:17" ht="18.75" x14ac:dyDescent="0.45">
      <c r="A64" s="31" t="s">
        <v>76</v>
      </c>
      <c r="C64" s="22">
        <v>4800000</v>
      </c>
      <c r="E64" s="22">
        <v>29058069799</v>
      </c>
      <c r="G64" s="22">
        <v>17016586160</v>
      </c>
      <c r="I64" s="22">
        <v>12041483639</v>
      </c>
      <c r="K64" s="22">
        <v>8200000</v>
      </c>
      <c r="M64" s="22">
        <v>46040221307</v>
      </c>
      <c r="O64" s="22">
        <v>29091553424</v>
      </c>
      <c r="Q64" s="22">
        <v>16948667883</v>
      </c>
    </row>
    <row r="65" spans="1:17" ht="18.75" x14ac:dyDescent="0.45">
      <c r="A65" s="31" t="s">
        <v>77</v>
      </c>
      <c r="C65" s="22">
        <v>590995</v>
      </c>
      <c r="E65" s="22">
        <v>1216572006</v>
      </c>
      <c r="G65" s="22">
        <v>1160574203</v>
      </c>
      <c r="I65" s="22">
        <v>55997803</v>
      </c>
      <c r="K65" s="22">
        <v>590995</v>
      </c>
      <c r="M65" s="22">
        <v>1216572006</v>
      </c>
      <c r="O65" s="22">
        <v>5865679982</v>
      </c>
      <c r="Q65" s="22">
        <v>-4649107976</v>
      </c>
    </row>
    <row r="66" spans="1:17" ht="18.75" x14ac:dyDescent="0.45">
      <c r="A66" s="31" t="s">
        <v>78</v>
      </c>
      <c r="J66" s="23"/>
      <c r="K66" s="22">
        <v>386808</v>
      </c>
      <c r="M66" s="22">
        <v>14465424379</v>
      </c>
      <c r="O66" s="22">
        <v>15201393776</v>
      </c>
      <c r="Q66" s="22">
        <v>-735969397</v>
      </c>
    </row>
    <row r="67" spans="1:17" ht="18.75" x14ac:dyDescent="0.45">
      <c r="A67" s="31" t="s">
        <v>202</v>
      </c>
      <c r="J67" s="23"/>
      <c r="K67" s="22">
        <v>1056335</v>
      </c>
      <c r="M67" s="22">
        <v>12282594884</v>
      </c>
      <c r="O67" s="22">
        <v>15393714997</v>
      </c>
      <c r="Q67" s="22">
        <v>-3111120113</v>
      </c>
    </row>
    <row r="68" spans="1:17" ht="18.75" x14ac:dyDescent="0.45">
      <c r="A68" s="31" t="s">
        <v>80</v>
      </c>
      <c r="J68" s="23"/>
      <c r="K68" s="22">
        <v>1600000</v>
      </c>
      <c r="M68" s="22">
        <v>11594599273</v>
      </c>
      <c r="O68" s="22">
        <v>19668456073</v>
      </c>
      <c r="Q68" s="22">
        <v>-8073856800</v>
      </c>
    </row>
    <row r="69" spans="1:17" ht="18.75" x14ac:dyDescent="0.45">
      <c r="A69" s="31" t="s">
        <v>81</v>
      </c>
      <c r="C69" s="22">
        <v>1250000</v>
      </c>
      <c r="E69" s="22">
        <v>7013072506</v>
      </c>
      <c r="G69" s="22">
        <v>9808251659</v>
      </c>
      <c r="I69" s="22">
        <v>-2795179153</v>
      </c>
      <c r="K69" s="22">
        <v>2050000</v>
      </c>
      <c r="M69" s="22">
        <v>10963824903</v>
      </c>
      <c r="O69" s="22">
        <v>16088750714</v>
      </c>
      <c r="Q69" s="22">
        <v>-5124925811</v>
      </c>
    </row>
    <row r="70" spans="1:17" ht="18.75" x14ac:dyDescent="0.45">
      <c r="A70" s="31" t="s">
        <v>82</v>
      </c>
      <c r="J70" s="23"/>
      <c r="K70" s="22">
        <v>761810</v>
      </c>
      <c r="M70" s="22">
        <v>28600817933</v>
      </c>
      <c r="O70" s="22">
        <v>29726112353</v>
      </c>
      <c r="Q70" s="22">
        <v>-1125294420</v>
      </c>
    </row>
    <row r="71" spans="1:17" ht="18.75" x14ac:dyDescent="0.45">
      <c r="A71" s="31" t="s">
        <v>83</v>
      </c>
      <c r="J71" s="23"/>
      <c r="K71" s="22">
        <v>144296</v>
      </c>
      <c r="M71" s="22">
        <v>2350939639</v>
      </c>
      <c r="O71" s="22">
        <v>2419300283</v>
      </c>
      <c r="Q71" s="22">
        <v>-68360644</v>
      </c>
    </row>
    <row r="72" spans="1:17" ht="18.75" x14ac:dyDescent="0.45">
      <c r="A72" s="31" t="s">
        <v>84</v>
      </c>
      <c r="C72" s="22">
        <v>350000</v>
      </c>
      <c r="E72" s="22">
        <v>10907213638</v>
      </c>
      <c r="G72" s="22">
        <v>9505408679</v>
      </c>
      <c r="I72" s="22">
        <v>1401804959</v>
      </c>
      <c r="K72" s="22">
        <v>662154</v>
      </c>
      <c r="M72" s="22">
        <v>17486855765</v>
      </c>
      <c r="O72" s="22">
        <v>18022403309</v>
      </c>
      <c r="Q72" s="22">
        <v>-535547544</v>
      </c>
    </row>
    <row r="73" spans="1:17" ht="18.75" x14ac:dyDescent="0.45">
      <c r="A73" s="31" t="s">
        <v>220</v>
      </c>
      <c r="J73" s="23"/>
      <c r="K73" s="22">
        <v>499494</v>
      </c>
      <c r="M73" s="22">
        <v>3872871706</v>
      </c>
      <c r="O73" s="22">
        <v>4281452809</v>
      </c>
      <c r="Q73" s="22">
        <v>-408581103</v>
      </c>
    </row>
    <row r="74" spans="1:17" ht="18.75" x14ac:dyDescent="0.45">
      <c r="A74" s="31" t="s">
        <v>86</v>
      </c>
      <c r="C74" s="22">
        <v>276394</v>
      </c>
      <c r="E74" s="22">
        <v>9650850290</v>
      </c>
      <c r="G74" s="22">
        <v>6940714011</v>
      </c>
      <c r="I74" s="22">
        <v>2710136279</v>
      </c>
      <c r="K74" s="22">
        <v>1712762</v>
      </c>
      <c r="M74" s="22">
        <v>61327984024</v>
      </c>
      <c r="O74" s="22">
        <v>47635821909</v>
      </c>
      <c r="Q74" s="22">
        <v>13692162115</v>
      </c>
    </row>
    <row r="75" spans="1:17" ht="37.5" x14ac:dyDescent="0.45">
      <c r="A75" s="31" t="s">
        <v>87</v>
      </c>
      <c r="J75" s="23"/>
      <c r="K75" s="22">
        <v>13521106</v>
      </c>
      <c r="M75" s="22">
        <v>37916819394</v>
      </c>
      <c r="O75" s="22">
        <v>44689301262</v>
      </c>
      <c r="Q75" s="22">
        <v>-6772481868</v>
      </c>
    </row>
    <row r="76" spans="1:17" ht="18.75" x14ac:dyDescent="0.45">
      <c r="A76" s="31" t="s">
        <v>88</v>
      </c>
      <c r="C76" s="22">
        <v>5559252</v>
      </c>
      <c r="E76" s="22">
        <v>34428323429</v>
      </c>
      <c r="G76" s="22">
        <v>32950972293</v>
      </c>
      <c r="I76" s="22">
        <v>1477351136</v>
      </c>
      <c r="K76" s="22">
        <v>13950860</v>
      </c>
      <c r="M76" s="22">
        <v>72756700741</v>
      </c>
      <c r="O76" s="22">
        <v>82771622288</v>
      </c>
      <c r="Q76" s="22">
        <v>-10014921547</v>
      </c>
    </row>
    <row r="77" spans="1:17" ht="18.75" x14ac:dyDescent="0.45">
      <c r="A77" s="25" t="s">
        <v>89</v>
      </c>
      <c r="C77" s="25">
        <f>SUM(C9:$C$76)</f>
        <v>33996920</v>
      </c>
      <c r="E77" s="25">
        <f>SUM(E9:$E$76)</f>
        <v>342034188869</v>
      </c>
      <c r="G77" s="25">
        <f>SUM(G9:$G$76)</f>
        <v>293225083036</v>
      </c>
      <c r="I77" s="25">
        <f>SUM(I9:$I$76)</f>
        <v>48809105833</v>
      </c>
      <c r="K77" s="25">
        <f>SUM(K9:$K$76)</f>
        <v>213689547</v>
      </c>
      <c r="M77" s="25">
        <f>SUM(M9:$M$76)</f>
        <v>1552325985122</v>
      </c>
      <c r="O77" s="25">
        <f>SUM(O9:$O$76)</f>
        <v>1627127971664</v>
      </c>
      <c r="Q77" s="25">
        <f>SUM(Q9:$Q$76)</f>
        <v>-74801986542</v>
      </c>
    </row>
    <row r="78" spans="1:17" ht="18.75" x14ac:dyDescent="0.45">
      <c r="C78" s="27"/>
      <c r="E78" s="27"/>
      <c r="G78" s="27"/>
      <c r="I78" s="27"/>
      <c r="K78" s="27"/>
      <c r="M78" s="27"/>
      <c r="O78" s="27"/>
      <c r="Q78" s="27"/>
    </row>
    <row r="80" spans="1:17" ht="18.75" x14ac:dyDescent="0.45">
      <c r="A80" s="33" t="s">
        <v>221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5"/>
    </row>
  </sheetData>
  <mergeCells count="7">
    <mergeCell ref="A80:Q80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8" fitToHeight="0" orientation="landscape" r:id="rId1"/>
  <rowBreaks count="3" manualBreakCount="3">
    <brk id="21" max="16383" man="1"/>
    <brk id="42" max="16" man="1"/>
    <brk id="6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85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0.42578125" style="13" bestFit="1" customWidth="1"/>
    <col min="2" max="2" width="1.42578125" style="13" customWidth="1"/>
    <col min="3" max="3" width="14" style="13" bestFit="1" customWidth="1"/>
    <col min="4" max="4" width="1.42578125" style="13" customWidth="1"/>
    <col min="5" max="5" width="19.42578125" style="13" bestFit="1" customWidth="1"/>
    <col min="6" max="6" width="1.42578125" style="13" customWidth="1"/>
    <col min="7" max="7" width="19.7109375" style="13" bestFit="1" customWidth="1"/>
    <col min="8" max="8" width="1.42578125" style="13" customWidth="1"/>
    <col min="9" max="9" width="18.42578125" style="13" bestFit="1" customWidth="1"/>
    <col min="10" max="10" width="1.42578125" style="13" customWidth="1"/>
    <col min="11" max="11" width="14" style="13" bestFit="1" customWidth="1"/>
    <col min="12" max="12" width="1.42578125" style="13" customWidth="1"/>
    <col min="13" max="13" width="19.42578125" style="13" bestFit="1" customWidth="1"/>
    <col min="14" max="14" width="1.42578125" style="13" customWidth="1"/>
    <col min="15" max="15" width="19.7109375" style="13" bestFit="1" customWidth="1"/>
    <col min="16" max="16" width="1.42578125" style="13" customWidth="1"/>
    <col min="17" max="17" width="19" style="13" bestFit="1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222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145</v>
      </c>
      <c r="D7" s="16"/>
      <c r="E7" s="16"/>
      <c r="F7" s="16"/>
      <c r="G7" s="16"/>
      <c r="H7" s="16"/>
      <c r="I7" s="16"/>
      <c r="K7" s="15" t="s">
        <v>7</v>
      </c>
      <c r="L7" s="16"/>
      <c r="M7" s="16"/>
      <c r="N7" s="16"/>
      <c r="O7" s="16"/>
      <c r="P7" s="16"/>
      <c r="Q7" s="16"/>
    </row>
    <row r="8" spans="1:17" ht="42" x14ac:dyDescent="0.45">
      <c r="A8" s="32" t="s">
        <v>135</v>
      </c>
      <c r="C8" s="30" t="s">
        <v>9</v>
      </c>
      <c r="E8" s="30" t="s">
        <v>11</v>
      </c>
      <c r="G8" s="30" t="s">
        <v>211</v>
      </c>
      <c r="I8" s="30" t="s">
        <v>223</v>
      </c>
      <c r="K8" s="30" t="s">
        <v>9</v>
      </c>
      <c r="M8" s="30" t="s">
        <v>11</v>
      </c>
      <c r="O8" s="30" t="s">
        <v>211</v>
      </c>
      <c r="Q8" s="30" t="s">
        <v>223</v>
      </c>
    </row>
    <row r="9" spans="1:17" ht="18.75" x14ac:dyDescent="0.45">
      <c r="A9" s="31" t="s">
        <v>17</v>
      </c>
      <c r="C9" s="22">
        <v>50000</v>
      </c>
      <c r="E9" s="22">
        <v>1336997250</v>
      </c>
      <c r="G9" s="22">
        <v>1351908000</v>
      </c>
      <c r="I9" s="22">
        <v>-14910750</v>
      </c>
      <c r="K9" s="22">
        <v>50000</v>
      </c>
      <c r="M9" s="22">
        <v>1336997250</v>
      </c>
      <c r="O9" s="22">
        <v>1486104750</v>
      </c>
      <c r="Q9" s="22">
        <v>-149107500</v>
      </c>
    </row>
    <row r="10" spans="1:17" ht="18.75" x14ac:dyDescent="0.45">
      <c r="A10" s="31" t="s">
        <v>18</v>
      </c>
      <c r="C10" s="22">
        <v>9200000</v>
      </c>
      <c r="E10" s="22">
        <v>41190251040</v>
      </c>
      <c r="G10" s="22">
        <v>45397070640</v>
      </c>
      <c r="I10" s="22">
        <v>-4206819600</v>
      </c>
      <c r="K10" s="22">
        <v>9200000</v>
      </c>
      <c r="M10" s="22">
        <v>41190251040</v>
      </c>
      <c r="O10" s="22">
        <v>48032746235</v>
      </c>
      <c r="Q10" s="22">
        <v>-6842495195</v>
      </c>
    </row>
    <row r="11" spans="1:17" ht="18.75" x14ac:dyDescent="0.45">
      <c r="A11" s="31" t="s">
        <v>19</v>
      </c>
      <c r="C11" s="22">
        <v>1895580</v>
      </c>
      <c r="E11" s="22">
        <v>17825490289</v>
      </c>
      <c r="G11" s="22">
        <v>19464832420</v>
      </c>
      <c r="I11" s="22">
        <v>-1639342131</v>
      </c>
      <c r="K11" s="22">
        <v>1895580</v>
      </c>
      <c r="M11" s="22">
        <v>17825490289</v>
      </c>
      <c r="O11" s="22">
        <v>18013920419</v>
      </c>
      <c r="Q11" s="22">
        <v>-188430130</v>
      </c>
    </row>
    <row r="12" spans="1:17" ht="18.75" x14ac:dyDescent="0.45">
      <c r="A12" s="31" t="s">
        <v>20</v>
      </c>
      <c r="C12" s="22">
        <v>0</v>
      </c>
      <c r="E12" s="22">
        <v>0</v>
      </c>
      <c r="G12" s="22">
        <v>96682737</v>
      </c>
      <c r="I12" s="22">
        <v>-96682737</v>
      </c>
    </row>
    <row r="13" spans="1:17" ht="18.75" x14ac:dyDescent="0.45">
      <c r="A13" s="31" t="s">
        <v>21</v>
      </c>
      <c r="C13" s="22">
        <v>1664464</v>
      </c>
      <c r="E13" s="22">
        <v>28375711532</v>
      </c>
      <c r="G13" s="22">
        <v>32080272355</v>
      </c>
      <c r="I13" s="22">
        <v>-3704560823</v>
      </c>
      <c r="K13" s="22">
        <v>1664464</v>
      </c>
      <c r="M13" s="22">
        <v>28375711532</v>
      </c>
      <c r="O13" s="22">
        <v>33676620294</v>
      </c>
      <c r="Q13" s="22">
        <v>-5300908762</v>
      </c>
    </row>
    <row r="14" spans="1:17" ht="18.75" x14ac:dyDescent="0.45">
      <c r="A14" s="31" t="s">
        <v>22</v>
      </c>
      <c r="C14" s="22">
        <v>727007</v>
      </c>
      <c r="E14" s="22">
        <v>11172653027</v>
      </c>
      <c r="G14" s="22">
        <v>12292086374</v>
      </c>
      <c r="I14" s="22">
        <v>-1119433347</v>
      </c>
      <c r="K14" s="22">
        <v>727007</v>
      </c>
      <c r="M14" s="22">
        <v>11172653027</v>
      </c>
      <c r="O14" s="22">
        <v>12993667233</v>
      </c>
      <c r="Q14" s="22">
        <v>-1821014206</v>
      </c>
    </row>
    <row r="15" spans="1:17" ht="18.75" x14ac:dyDescent="0.45">
      <c r="A15" s="31" t="s">
        <v>23</v>
      </c>
      <c r="C15" s="22">
        <v>22000000</v>
      </c>
      <c r="E15" s="22">
        <v>59046570000</v>
      </c>
      <c r="G15" s="22">
        <v>64207677600</v>
      </c>
      <c r="I15" s="22">
        <v>-5161107600</v>
      </c>
      <c r="K15" s="22">
        <v>22000000</v>
      </c>
      <c r="M15" s="22">
        <v>59046570000</v>
      </c>
      <c r="O15" s="22">
        <v>78015982880</v>
      </c>
      <c r="Q15" s="22">
        <v>-18969412880</v>
      </c>
    </row>
    <row r="16" spans="1:17" ht="18.75" x14ac:dyDescent="0.45">
      <c r="A16" s="31" t="s">
        <v>24</v>
      </c>
      <c r="C16" s="22">
        <v>500000</v>
      </c>
      <c r="E16" s="22">
        <v>7152189750</v>
      </c>
      <c r="G16" s="22">
        <v>7117716496</v>
      </c>
      <c r="I16" s="22">
        <v>34473254</v>
      </c>
      <c r="K16" s="22">
        <v>500000</v>
      </c>
      <c r="M16" s="22">
        <v>7152189750</v>
      </c>
      <c r="O16" s="22">
        <v>7117716496</v>
      </c>
      <c r="Q16" s="22">
        <v>34473254</v>
      </c>
    </row>
    <row r="17" spans="1:17" ht="18.75" x14ac:dyDescent="0.45">
      <c r="A17" s="31" t="s">
        <v>25</v>
      </c>
      <c r="C17" s="22">
        <v>23509504</v>
      </c>
      <c r="E17" s="22">
        <v>45687611892</v>
      </c>
      <c r="G17" s="22">
        <v>44442937189</v>
      </c>
      <c r="I17" s="22">
        <v>1244674703</v>
      </c>
      <c r="K17" s="22">
        <v>23509504</v>
      </c>
      <c r="M17" s="22">
        <v>45687611892</v>
      </c>
      <c r="O17" s="22">
        <v>43392134227</v>
      </c>
      <c r="Q17" s="22">
        <v>2295477665</v>
      </c>
    </row>
    <row r="18" spans="1:17" ht="18.75" x14ac:dyDescent="0.45">
      <c r="A18" s="31" t="s">
        <v>26</v>
      </c>
      <c r="C18" s="22">
        <v>1562500</v>
      </c>
      <c r="E18" s="22">
        <v>4654949766</v>
      </c>
      <c r="G18" s="22">
        <v>5378742423</v>
      </c>
      <c r="I18" s="22">
        <v>-723792657</v>
      </c>
      <c r="K18" s="22">
        <v>1562500</v>
      </c>
      <c r="M18" s="22">
        <v>4654949766</v>
      </c>
      <c r="O18" s="22">
        <v>5372577687</v>
      </c>
      <c r="Q18" s="22">
        <v>-717627921</v>
      </c>
    </row>
    <row r="19" spans="1:17" ht="37.5" x14ac:dyDescent="0.45">
      <c r="A19" s="31" t="s">
        <v>27</v>
      </c>
      <c r="C19" s="22">
        <v>5317185</v>
      </c>
      <c r="E19" s="22">
        <v>17759440437</v>
      </c>
      <c r="G19" s="22">
        <v>20011083778</v>
      </c>
      <c r="I19" s="22">
        <v>-2251643341</v>
      </c>
      <c r="K19" s="22">
        <v>5317185</v>
      </c>
      <c r="M19" s="22">
        <v>17759440437</v>
      </c>
      <c r="O19" s="22">
        <v>18605128076</v>
      </c>
      <c r="Q19" s="22">
        <v>-845687639</v>
      </c>
    </row>
    <row r="20" spans="1:17" ht="18.75" x14ac:dyDescent="0.45">
      <c r="A20" s="31" t="s">
        <v>28</v>
      </c>
      <c r="C20" s="22">
        <v>17649580</v>
      </c>
      <c r="E20" s="22">
        <v>97372335744</v>
      </c>
      <c r="G20" s="22">
        <v>110673064058</v>
      </c>
      <c r="I20" s="22">
        <v>-13300728314</v>
      </c>
      <c r="K20" s="22">
        <v>17649580</v>
      </c>
      <c r="M20" s="22">
        <v>97372335744</v>
      </c>
      <c r="O20" s="22">
        <v>108017582910</v>
      </c>
      <c r="Q20" s="22">
        <v>-10645247166</v>
      </c>
    </row>
    <row r="21" spans="1:17" ht="18.75" x14ac:dyDescent="0.45">
      <c r="A21" s="31" t="s">
        <v>29</v>
      </c>
      <c r="C21" s="22">
        <v>23094030</v>
      </c>
      <c r="E21" s="22">
        <v>138657987950</v>
      </c>
      <c r="G21" s="22">
        <v>158056332291</v>
      </c>
      <c r="I21" s="22">
        <v>-19398344341</v>
      </c>
      <c r="K21" s="22">
        <v>23094030</v>
      </c>
      <c r="M21" s="22">
        <v>138657987950</v>
      </c>
      <c r="O21" s="22">
        <v>185613818221</v>
      </c>
      <c r="Q21" s="22">
        <v>-46955830271</v>
      </c>
    </row>
    <row r="22" spans="1:17" ht="18.75" x14ac:dyDescent="0.45">
      <c r="A22" s="31" t="s">
        <v>159</v>
      </c>
      <c r="C22" s="22">
        <v>1700000</v>
      </c>
      <c r="E22" s="22">
        <v>21579831450</v>
      </c>
      <c r="G22" s="22">
        <v>19954007159</v>
      </c>
      <c r="I22" s="22">
        <v>1625824291</v>
      </c>
      <c r="K22" s="22">
        <v>1700000</v>
      </c>
      <c r="M22" s="22">
        <v>21579831450</v>
      </c>
      <c r="O22" s="22">
        <v>25966056021</v>
      </c>
      <c r="Q22" s="22">
        <v>-4386224571</v>
      </c>
    </row>
    <row r="23" spans="1:17" ht="18.75" x14ac:dyDescent="0.45">
      <c r="A23" s="31" t="s">
        <v>31</v>
      </c>
      <c r="C23" s="22">
        <v>2139629</v>
      </c>
      <c r="E23" s="22">
        <v>52534385724</v>
      </c>
      <c r="G23" s="22">
        <v>60191219271</v>
      </c>
      <c r="I23" s="22">
        <v>-7656833547</v>
      </c>
      <c r="K23" s="22">
        <v>2139629</v>
      </c>
      <c r="M23" s="22">
        <v>52534385724</v>
      </c>
      <c r="O23" s="22">
        <v>55831077946</v>
      </c>
      <c r="Q23" s="22">
        <v>-3296692222</v>
      </c>
    </row>
    <row r="24" spans="1:17" ht="37.5" x14ac:dyDescent="0.45">
      <c r="A24" s="31" t="s">
        <v>32</v>
      </c>
      <c r="C24" s="22">
        <v>842177</v>
      </c>
      <c r="E24" s="22">
        <v>9225569836</v>
      </c>
      <c r="G24" s="22">
        <v>9501834631</v>
      </c>
      <c r="I24" s="22">
        <v>-276264795</v>
      </c>
      <c r="K24" s="22">
        <v>842177</v>
      </c>
      <c r="M24" s="22">
        <v>9225569836</v>
      </c>
      <c r="O24" s="22">
        <v>6596720653</v>
      </c>
      <c r="Q24" s="22">
        <v>2628849183</v>
      </c>
    </row>
    <row r="25" spans="1:17" ht="37.5" x14ac:dyDescent="0.45">
      <c r="A25" s="31" t="s">
        <v>33</v>
      </c>
      <c r="C25" s="22">
        <v>4600461</v>
      </c>
      <c r="E25" s="22">
        <v>78154078313</v>
      </c>
      <c r="G25" s="22">
        <v>84445756481</v>
      </c>
      <c r="I25" s="22">
        <v>-6291678168</v>
      </c>
      <c r="K25" s="22">
        <v>4600461</v>
      </c>
      <c r="M25" s="22">
        <v>78154078313</v>
      </c>
      <c r="O25" s="22">
        <v>89026271254</v>
      </c>
      <c r="Q25" s="22">
        <v>-10872192941</v>
      </c>
    </row>
    <row r="26" spans="1:17" ht="18.75" x14ac:dyDescent="0.45">
      <c r="A26" s="31" t="s">
        <v>34</v>
      </c>
      <c r="C26" s="22">
        <v>2000000</v>
      </c>
      <c r="E26" s="22">
        <v>13081698000</v>
      </c>
      <c r="G26" s="22">
        <v>13051501200</v>
      </c>
      <c r="I26" s="22">
        <v>30196800</v>
      </c>
      <c r="K26" s="22">
        <v>2000000</v>
      </c>
      <c r="M26" s="22">
        <v>13081698000</v>
      </c>
      <c r="O26" s="22">
        <v>13051501200</v>
      </c>
      <c r="Q26" s="22">
        <v>30196800</v>
      </c>
    </row>
    <row r="27" spans="1:17" ht="18.75" x14ac:dyDescent="0.45">
      <c r="A27" s="31" t="s">
        <v>35</v>
      </c>
      <c r="C27" s="22">
        <v>33806527</v>
      </c>
      <c r="E27" s="22">
        <v>73259724398</v>
      </c>
      <c r="G27" s="22">
        <v>88657802033</v>
      </c>
      <c r="I27" s="22">
        <v>-15398077635</v>
      </c>
      <c r="K27" s="22">
        <v>33806527</v>
      </c>
      <c r="M27" s="22">
        <v>73259724398</v>
      </c>
      <c r="O27" s="22">
        <v>86427654224</v>
      </c>
      <c r="Q27" s="22">
        <v>-13167929826</v>
      </c>
    </row>
    <row r="28" spans="1:17" ht="18.75" x14ac:dyDescent="0.45">
      <c r="A28" s="31" t="s">
        <v>36</v>
      </c>
      <c r="C28" s="22">
        <v>0</v>
      </c>
      <c r="E28" s="22">
        <v>0</v>
      </c>
      <c r="G28" s="22">
        <v>-3930247202</v>
      </c>
      <c r="I28" s="22">
        <v>3930247202</v>
      </c>
    </row>
    <row r="29" spans="1:17" ht="18.75" x14ac:dyDescent="0.45">
      <c r="A29" s="31" t="s">
        <v>37</v>
      </c>
      <c r="C29" s="22">
        <v>3129302</v>
      </c>
      <c r="E29" s="22">
        <v>24729927092</v>
      </c>
      <c r="G29" s="22">
        <v>26414774391</v>
      </c>
      <c r="I29" s="22">
        <v>-1684847299</v>
      </c>
      <c r="K29" s="22">
        <v>3129302</v>
      </c>
      <c r="M29" s="22">
        <v>24729927092</v>
      </c>
      <c r="O29" s="22">
        <v>26414774391</v>
      </c>
      <c r="Q29" s="22">
        <v>-1684847299</v>
      </c>
    </row>
    <row r="30" spans="1:17" ht="18.75" x14ac:dyDescent="0.45">
      <c r="A30" s="31" t="s">
        <v>38</v>
      </c>
      <c r="C30" s="22">
        <v>3929304</v>
      </c>
      <c r="E30" s="22">
        <v>78118492824</v>
      </c>
      <c r="G30" s="22">
        <v>89094141066</v>
      </c>
      <c r="I30" s="22">
        <v>-10975648242</v>
      </c>
      <c r="K30" s="22">
        <v>3929304</v>
      </c>
      <c r="M30" s="22">
        <v>78118492824</v>
      </c>
      <c r="O30" s="22">
        <v>94488251932</v>
      </c>
      <c r="Q30" s="22">
        <v>-16369759108</v>
      </c>
    </row>
    <row r="31" spans="1:17" ht="18.75" x14ac:dyDescent="0.45">
      <c r="A31" s="31" t="s">
        <v>39</v>
      </c>
      <c r="C31" s="22">
        <v>3173715</v>
      </c>
      <c r="E31" s="22">
        <v>92026431814</v>
      </c>
      <c r="G31" s="22">
        <v>103171353610</v>
      </c>
      <c r="I31" s="22">
        <v>-11144921796</v>
      </c>
      <c r="K31" s="22">
        <v>3173715</v>
      </c>
      <c r="M31" s="22">
        <v>92026431814</v>
      </c>
      <c r="O31" s="22">
        <v>89471018383</v>
      </c>
      <c r="Q31" s="22">
        <v>2555413431</v>
      </c>
    </row>
    <row r="32" spans="1:17" ht="18.75" x14ac:dyDescent="0.45">
      <c r="A32" s="31" t="s">
        <v>40</v>
      </c>
      <c r="C32" s="22">
        <v>200000</v>
      </c>
      <c r="E32" s="22">
        <v>22892971500</v>
      </c>
      <c r="G32" s="22">
        <v>24390575038</v>
      </c>
      <c r="I32" s="22">
        <v>-1497603538</v>
      </c>
      <c r="K32" s="22">
        <v>200000</v>
      </c>
      <c r="M32" s="22">
        <v>22892971500</v>
      </c>
      <c r="O32" s="22">
        <v>25309301903</v>
      </c>
      <c r="Q32" s="22">
        <v>-2416330403</v>
      </c>
    </row>
    <row r="33" spans="1:17" ht="18.75" x14ac:dyDescent="0.45">
      <c r="A33" s="31" t="s">
        <v>41</v>
      </c>
      <c r="C33" s="22">
        <v>188</v>
      </c>
      <c r="E33" s="22">
        <v>2750147</v>
      </c>
      <c r="G33" s="22">
        <v>2737707</v>
      </c>
      <c r="I33" s="22">
        <v>12440</v>
      </c>
      <c r="K33" s="22">
        <v>188</v>
      </c>
      <c r="M33" s="22">
        <v>2750147</v>
      </c>
      <c r="O33" s="22">
        <v>2737707</v>
      </c>
      <c r="Q33" s="22">
        <v>12440</v>
      </c>
    </row>
    <row r="34" spans="1:17" ht="18.75" x14ac:dyDescent="0.45">
      <c r="A34" s="31" t="s">
        <v>42</v>
      </c>
      <c r="C34" s="22">
        <v>341342</v>
      </c>
      <c r="E34" s="22">
        <v>18679071381</v>
      </c>
      <c r="G34" s="22">
        <v>19595211122</v>
      </c>
      <c r="I34" s="22">
        <v>-916139741</v>
      </c>
      <c r="K34" s="22">
        <v>341342</v>
      </c>
      <c r="M34" s="22">
        <v>18679071381</v>
      </c>
      <c r="O34" s="22">
        <v>24672553466</v>
      </c>
      <c r="Q34" s="22">
        <v>-5993482085</v>
      </c>
    </row>
    <row r="35" spans="1:17" ht="18.75" x14ac:dyDescent="0.45">
      <c r="A35" s="31" t="s">
        <v>43</v>
      </c>
      <c r="C35" s="22">
        <v>15048964</v>
      </c>
      <c r="E35" s="22">
        <v>62784696922</v>
      </c>
      <c r="G35" s="22">
        <v>66673886544</v>
      </c>
      <c r="I35" s="22">
        <v>-3889189622</v>
      </c>
      <c r="K35" s="22">
        <v>15048964</v>
      </c>
      <c r="M35" s="22">
        <v>62784696922</v>
      </c>
      <c r="O35" s="22">
        <v>72066535331</v>
      </c>
      <c r="Q35" s="22">
        <v>-9281838409</v>
      </c>
    </row>
    <row r="36" spans="1:17" ht="18.75" x14ac:dyDescent="0.45">
      <c r="A36" s="31" t="s">
        <v>44</v>
      </c>
      <c r="C36" s="22">
        <v>6986817</v>
      </c>
      <c r="E36" s="22">
        <v>36254181191</v>
      </c>
      <c r="G36" s="22">
        <v>37226515553</v>
      </c>
      <c r="I36" s="22">
        <v>-972334362</v>
      </c>
      <c r="K36" s="22">
        <v>6986817</v>
      </c>
      <c r="M36" s="22">
        <v>36254181191</v>
      </c>
      <c r="O36" s="22">
        <v>42257063232</v>
      </c>
      <c r="Q36" s="22">
        <v>-6002882041</v>
      </c>
    </row>
    <row r="37" spans="1:17" ht="18.75" x14ac:dyDescent="0.45">
      <c r="A37" s="31" t="s">
        <v>45</v>
      </c>
      <c r="C37" s="22">
        <v>0</v>
      </c>
      <c r="E37" s="22">
        <v>0</v>
      </c>
      <c r="G37" s="22">
        <v>628163678</v>
      </c>
      <c r="I37" s="22">
        <v>-628163678</v>
      </c>
    </row>
    <row r="38" spans="1:17" ht="18.75" x14ac:dyDescent="0.45">
      <c r="A38" s="31" t="s">
        <v>46</v>
      </c>
      <c r="C38" s="22">
        <v>5641064</v>
      </c>
      <c r="E38" s="22">
        <v>23428133618</v>
      </c>
      <c r="G38" s="22">
        <v>23910378590</v>
      </c>
      <c r="I38" s="22">
        <v>-482244972</v>
      </c>
      <c r="K38" s="22">
        <v>5641064</v>
      </c>
      <c r="M38" s="22">
        <v>23428133618</v>
      </c>
      <c r="O38" s="22">
        <v>21773921216</v>
      </c>
      <c r="Q38" s="22">
        <v>1654212402</v>
      </c>
    </row>
    <row r="39" spans="1:17" ht="18.75" x14ac:dyDescent="0.45">
      <c r="A39" s="31" t="s">
        <v>47</v>
      </c>
      <c r="C39" s="22">
        <v>5609058</v>
      </c>
      <c r="E39" s="22">
        <v>26094201611</v>
      </c>
      <c r="G39" s="22">
        <v>30142148271</v>
      </c>
      <c r="I39" s="22">
        <v>-4047946660</v>
      </c>
      <c r="K39" s="22">
        <v>5609058</v>
      </c>
      <c r="M39" s="22">
        <v>26094201611</v>
      </c>
      <c r="O39" s="22">
        <v>12879830285</v>
      </c>
      <c r="Q39" s="22">
        <v>13214371326</v>
      </c>
    </row>
    <row r="40" spans="1:17" ht="18.75" x14ac:dyDescent="0.45">
      <c r="A40" s="31" t="s">
        <v>48</v>
      </c>
      <c r="C40" s="22">
        <v>2029694</v>
      </c>
      <c r="E40" s="22">
        <v>78949365759</v>
      </c>
      <c r="G40" s="22">
        <v>88512871859</v>
      </c>
      <c r="I40" s="22">
        <v>-9563506100</v>
      </c>
      <c r="K40" s="22">
        <v>2029694</v>
      </c>
      <c r="M40" s="22">
        <v>78949365759</v>
      </c>
      <c r="O40" s="22">
        <v>100558047263</v>
      </c>
      <c r="Q40" s="22">
        <v>-21608681504</v>
      </c>
    </row>
    <row r="41" spans="1:17" ht="18.75" x14ac:dyDescent="0.45">
      <c r="A41" s="31" t="s">
        <v>49</v>
      </c>
      <c r="C41" s="22">
        <v>8912202</v>
      </c>
      <c r="E41" s="22">
        <v>63963239154</v>
      </c>
      <c r="G41" s="22">
        <v>72093926803</v>
      </c>
      <c r="I41" s="22">
        <v>-8130687649</v>
      </c>
      <c r="K41" s="22">
        <v>8912202</v>
      </c>
      <c r="M41" s="22">
        <v>63963239154</v>
      </c>
      <c r="O41" s="22">
        <v>79491751386</v>
      </c>
      <c r="Q41" s="22">
        <v>-15528512232</v>
      </c>
    </row>
    <row r="42" spans="1:17" ht="18.75" x14ac:dyDescent="0.45">
      <c r="A42" s="31" t="s">
        <v>50</v>
      </c>
      <c r="C42" s="22">
        <v>8132226</v>
      </c>
      <c r="E42" s="22">
        <v>63943168509</v>
      </c>
      <c r="G42" s="22">
        <v>76732539796</v>
      </c>
      <c r="I42" s="22">
        <v>-12789371287</v>
      </c>
      <c r="K42" s="22">
        <v>8132226</v>
      </c>
      <c r="M42" s="22">
        <v>63943168509</v>
      </c>
      <c r="O42" s="22">
        <v>82256469006</v>
      </c>
      <c r="Q42" s="22">
        <v>-18313300497</v>
      </c>
    </row>
    <row r="43" spans="1:17" ht="18.75" x14ac:dyDescent="0.45">
      <c r="A43" s="31" t="s">
        <v>51</v>
      </c>
      <c r="C43" s="22">
        <v>5000000</v>
      </c>
      <c r="E43" s="22">
        <v>42992662500</v>
      </c>
      <c r="G43" s="22">
        <v>42660977427</v>
      </c>
      <c r="I43" s="22">
        <v>331685073</v>
      </c>
      <c r="K43" s="22">
        <v>5000000</v>
      </c>
      <c r="M43" s="22">
        <v>42992662500</v>
      </c>
      <c r="O43" s="22">
        <v>42660977427</v>
      </c>
      <c r="Q43" s="22">
        <v>331685073</v>
      </c>
    </row>
    <row r="44" spans="1:17" ht="18.75" x14ac:dyDescent="0.45">
      <c r="A44" s="31" t="s">
        <v>52</v>
      </c>
      <c r="C44" s="22">
        <v>5173603</v>
      </c>
      <c r="E44" s="22">
        <v>33119761200</v>
      </c>
      <c r="G44" s="22">
        <v>37650714779</v>
      </c>
      <c r="I44" s="22">
        <v>-4530953579</v>
      </c>
      <c r="K44" s="22">
        <v>5173603</v>
      </c>
      <c r="M44" s="22">
        <v>33119761200</v>
      </c>
      <c r="O44" s="22">
        <v>30803211039</v>
      </c>
      <c r="Q44" s="22">
        <v>2316550161</v>
      </c>
    </row>
    <row r="45" spans="1:17" ht="18.75" x14ac:dyDescent="0.45">
      <c r="A45" s="31" t="s">
        <v>53</v>
      </c>
      <c r="C45" s="22">
        <v>18943799</v>
      </c>
      <c r="E45" s="22">
        <v>51277040087</v>
      </c>
      <c r="G45" s="22">
        <v>56996676711</v>
      </c>
      <c r="I45" s="22">
        <v>-5719636624</v>
      </c>
      <c r="K45" s="22">
        <v>18943799</v>
      </c>
      <c r="M45" s="22">
        <v>51277040087</v>
      </c>
      <c r="O45" s="22">
        <v>44143845453</v>
      </c>
      <c r="Q45" s="22">
        <v>7133194634</v>
      </c>
    </row>
    <row r="46" spans="1:17" ht="18.75" x14ac:dyDescent="0.45">
      <c r="A46" s="31" t="s">
        <v>54</v>
      </c>
      <c r="C46" s="22">
        <v>500000</v>
      </c>
      <c r="E46" s="22">
        <v>17579774250</v>
      </c>
      <c r="G46" s="22">
        <v>16115118969</v>
      </c>
      <c r="I46" s="22">
        <v>1464655281</v>
      </c>
      <c r="K46" s="22">
        <v>500000</v>
      </c>
      <c r="M46" s="22">
        <v>17579774250</v>
      </c>
      <c r="O46" s="22">
        <v>18987054385</v>
      </c>
      <c r="Q46" s="22">
        <v>-1407280135</v>
      </c>
    </row>
    <row r="47" spans="1:17" ht="18.75" x14ac:dyDescent="0.45">
      <c r="A47" s="31" t="s">
        <v>55</v>
      </c>
      <c r="C47" s="22">
        <v>27221426</v>
      </c>
      <c r="E47" s="22">
        <v>34257274480</v>
      </c>
      <c r="G47" s="22">
        <v>38235014881</v>
      </c>
      <c r="I47" s="22">
        <v>-3977740401</v>
      </c>
      <c r="K47" s="22">
        <v>27221426</v>
      </c>
      <c r="M47" s="22">
        <v>34257274480</v>
      </c>
      <c r="O47" s="22">
        <v>25305347658</v>
      </c>
      <c r="Q47" s="22">
        <v>8951926822</v>
      </c>
    </row>
    <row r="48" spans="1:17" ht="18.75" x14ac:dyDescent="0.45">
      <c r="A48" s="31" t="s">
        <v>56</v>
      </c>
      <c r="C48" s="22">
        <v>10748510</v>
      </c>
      <c r="E48" s="22">
        <v>52375695304</v>
      </c>
      <c r="G48" s="22">
        <v>63188466346</v>
      </c>
      <c r="I48" s="22">
        <v>-10812771042</v>
      </c>
      <c r="K48" s="22">
        <v>10748510</v>
      </c>
      <c r="M48" s="22">
        <v>52375695304</v>
      </c>
      <c r="O48" s="22">
        <v>54134210310</v>
      </c>
      <c r="Q48" s="22">
        <v>-1758515006</v>
      </c>
    </row>
    <row r="49" spans="1:17" ht="37.5" x14ac:dyDescent="0.45">
      <c r="A49" s="31" t="s">
        <v>114</v>
      </c>
      <c r="C49" s="22">
        <v>0</v>
      </c>
      <c r="E49" s="22">
        <v>0</v>
      </c>
      <c r="G49" s="22">
        <v>4643625</v>
      </c>
      <c r="I49" s="22">
        <v>-4643625</v>
      </c>
    </row>
    <row r="50" spans="1:17" ht="18.75" x14ac:dyDescent="0.45">
      <c r="A50" s="31" t="s">
        <v>57</v>
      </c>
      <c r="C50" s="22">
        <v>16358631</v>
      </c>
      <c r="E50" s="22">
        <v>133180023622</v>
      </c>
      <c r="G50" s="22">
        <v>148847999743</v>
      </c>
      <c r="I50" s="22">
        <v>-15667976121</v>
      </c>
      <c r="K50" s="22">
        <v>16358631</v>
      </c>
      <c r="M50" s="22">
        <v>133180023622</v>
      </c>
      <c r="O50" s="22">
        <v>145712735934</v>
      </c>
      <c r="Q50" s="22">
        <v>-12532712312</v>
      </c>
    </row>
    <row r="51" spans="1:17" ht="18.75" x14ac:dyDescent="0.45">
      <c r="A51" s="31" t="s">
        <v>58</v>
      </c>
      <c r="C51" s="22">
        <v>3557472</v>
      </c>
      <c r="E51" s="22">
        <v>93888898854</v>
      </c>
      <c r="G51" s="22">
        <v>104463117205</v>
      </c>
      <c r="I51" s="22">
        <v>-10574218351</v>
      </c>
      <c r="K51" s="22">
        <v>3557472</v>
      </c>
      <c r="M51" s="22">
        <v>93888898854</v>
      </c>
      <c r="O51" s="22">
        <v>104306102209</v>
      </c>
      <c r="Q51" s="22">
        <v>-10417203355</v>
      </c>
    </row>
    <row r="52" spans="1:17" ht="18.75" x14ac:dyDescent="0.45">
      <c r="A52" s="31" t="s">
        <v>59</v>
      </c>
      <c r="C52" s="22">
        <v>14021442</v>
      </c>
      <c r="E52" s="22">
        <v>63543407741</v>
      </c>
      <c r="G52" s="22">
        <v>73732094379</v>
      </c>
      <c r="I52" s="22">
        <v>-10188686638</v>
      </c>
      <c r="K52" s="22">
        <v>14021442</v>
      </c>
      <c r="M52" s="22">
        <v>63543407741</v>
      </c>
      <c r="O52" s="22">
        <v>78260841700</v>
      </c>
      <c r="Q52" s="22">
        <v>-14717433959</v>
      </c>
    </row>
    <row r="53" spans="1:17" ht="18.75" x14ac:dyDescent="0.45">
      <c r="A53" s="31" t="s">
        <v>60</v>
      </c>
      <c r="C53" s="22">
        <v>0</v>
      </c>
      <c r="E53" s="22">
        <v>0</v>
      </c>
      <c r="G53" s="22">
        <v>7090017142</v>
      </c>
      <c r="I53" s="22">
        <v>-7090017142</v>
      </c>
    </row>
    <row r="54" spans="1:17" ht="18.75" x14ac:dyDescent="0.45">
      <c r="A54" s="31" t="s">
        <v>61</v>
      </c>
      <c r="C54" s="22">
        <v>0</v>
      </c>
      <c r="E54" s="22">
        <v>0</v>
      </c>
      <c r="G54" s="22">
        <v>1163992787</v>
      </c>
      <c r="I54" s="22">
        <v>-1163992787</v>
      </c>
    </row>
    <row r="55" spans="1:17" ht="18.75" x14ac:dyDescent="0.45">
      <c r="A55" s="31" t="s">
        <v>62</v>
      </c>
      <c r="C55" s="22">
        <v>24152607</v>
      </c>
      <c r="E55" s="22">
        <v>107031671690</v>
      </c>
      <c r="G55" s="22">
        <v>126887031153</v>
      </c>
      <c r="I55" s="22">
        <v>-19855359463</v>
      </c>
      <c r="K55" s="22">
        <v>24152607</v>
      </c>
      <c r="M55" s="22">
        <v>107031671690</v>
      </c>
      <c r="O55" s="22">
        <v>107905322241</v>
      </c>
      <c r="Q55" s="22">
        <v>-873650551</v>
      </c>
    </row>
    <row r="56" spans="1:17" ht="18.75" x14ac:dyDescent="0.45">
      <c r="A56" s="31" t="s">
        <v>63</v>
      </c>
      <c r="C56" s="22">
        <v>2373635</v>
      </c>
      <c r="E56" s="22">
        <v>28974805785</v>
      </c>
      <c r="G56" s="22">
        <v>31617459081</v>
      </c>
      <c r="I56" s="22">
        <v>-2642653296</v>
      </c>
      <c r="K56" s="22">
        <v>2373635</v>
      </c>
      <c r="M56" s="22">
        <v>28974805785</v>
      </c>
      <c r="O56" s="22">
        <v>30909605519</v>
      </c>
      <c r="Q56" s="22">
        <v>-1934799734</v>
      </c>
    </row>
    <row r="57" spans="1:17" ht="18.75" x14ac:dyDescent="0.45">
      <c r="A57" s="31" t="s">
        <v>64</v>
      </c>
      <c r="C57" s="22">
        <v>17280723</v>
      </c>
      <c r="E57" s="22">
        <v>91386442354</v>
      </c>
      <c r="G57" s="22">
        <v>103847041883</v>
      </c>
      <c r="I57" s="22">
        <v>-12460599529</v>
      </c>
      <c r="K57" s="22">
        <v>17280723</v>
      </c>
      <c r="M57" s="22">
        <v>91386442354</v>
      </c>
      <c r="O57" s="22">
        <v>99757950956</v>
      </c>
      <c r="Q57" s="22">
        <v>-8371508602</v>
      </c>
    </row>
    <row r="58" spans="1:17" ht="18.75" x14ac:dyDescent="0.45">
      <c r="A58" s="31" t="s">
        <v>65</v>
      </c>
      <c r="C58" s="22">
        <v>272076</v>
      </c>
      <c r="E58" s="22">
        <v>5868920107</v>
      </c>
      <c r="G58" s="22">
        <v>7455208429</v>
      </c>
      <c r="I58" s="22">
        <v>-1586288322</v>
      </c>
      <c r="K58" s="22">
        <v>272076</v>
      </c>
      <c r="M58" s="22">
        <v>5868920107</v>
      </c>
      <c r="O58" s="22">
        <v>6413468935</v>
      </c>
      <c r="Q58" s="22">
        <v>-544548828</v>
      </c>
    </row>
    <row r="59" spans="1:17" ht="18.75" x14ac:dyDescent="0.45">
      <c r="A59" s="31" t="s">
        <v>66</v>
      </c>
      <c r="C59" s="22">
        <v>3882657</v>
      </c>
      <c r="E59" s="22">
        <v>35392121100</v>
      </c>
      <c r="G59" s="22">
        <v>41876173821</v>
      </c>
      <c r="I59" s="22">
        <v>-6484052721</v>
      </c>
      <c r="K59" s="22">
        <v>3882657</v>
      </c>
      <c r="M59" s="22">
        <v>35392121100</v>
      </c>
      <c r="O59" s="22">
        <v>28406326204</v>
      </c>
      <c r="Q59" s="22">
        <v>6985794896</v>
      </c>
    </row>
    <row r="60" spans="1:17" ht="18.75" x14ac:dyDescent="0.45">
      <c r="A60" s="31" t="s">
        <v>67</v>
      </c>
      <c r="C60" s="22">
        <v>500000</v>
      </c>
      <c r="E60" s="22">
        <v>9080646750</v>
      </c>
      <c r="G60" s="22">
        <v>11355119100</v>
      </c>
      <c r="I60" s="22">
        <v>-2274472350</v>
      </c>
      <c r="K60" s="22">
        <v>500000</v>
      </c>
      <c r="M60" s="22">
        <v>9080646750</v>
      </c>
      <c r="O60" s="22">
        <v>11355119100</v>
      </c>
      <c r="Q60" s="22">
        <v>-2274472350</v>
      </c>
    </row>
    <row r="61" spans="1:17" ht="18.75" x14ac:dyDescent="0.45">
      <c r="A61" s="31" t="s">
        <v>68</v>
      </c>
      <c r="C61" s="22">
        <v>19751279</v>
      </c>
      <c r="E61" s="22">
        <v>203405742100</v>
      </c>
      <c r="G61" s="22">
        <v>245171605461</v>
      </c>
      <c r="I61" s="22">
        <v>-41765863361</v>
      </c>
      <c r="K61" s="22">
        <v>19751279</v>
      </c>
      <c r="M61" s="22">
        <v>203405742100</v>
      </c>
      <c r="O61" s="22">
        <v>277333225733</v>
      </c>
      <c r="Q61" s="22">
        <v>-73927483633</v>
      </c>
    </row>
    <row r="62" spans="1:17" ht="18.75" x14ac:dyDescent="0.45">
      <c r="A62" s="31" t="s">
        <v>69</v>
      </c>
      <c r="C62" s="22">
        <v>7868802</v>
      </c>
      <c r="E62" s="22">
        <v>32070128775</v>
      </c>
      <c r="G62" s="22">
        <v>35921321200</v>
      </c>
      <c r="I62" s="22">
        <v>-3851192425</v>
      </c>
      <c r="K62" s="22">
        <v>7868802</v>
      </c>
      <c r="M62" s="22">
        <v>32070128775</v>
      </c>
      <c r="O62" s="22">
        <v>34862576572</v>
      </c>
      <c r="Q62" s="22">
        <v>-2792447797</v>
      </c>
    </row>
    <row r="63" spans="1:17" ht="18.75" x14ac:dyDescent="0.45">
      <c r="A63" s="31" t="s">
        <v>70</v>
      </c>
      <c r="C63" s="22">
        <v>5155597</v>
      </c>
      <c r="E63" s="22">
        <v>13816787549</v>
      </c>
      <c r="G63" s="22">
        <v>14227491830</v>
      </c>
      <c r="I63" s="22">
        <v>-410704281</v>
      </c>
      <c r="K63" s="22">
        <v>5155597</v>
      </c>
      <c r="M63" s="22">
        <v>13816787549</v>
      </c>
      <c r="O63" s="22">
        <v>16917501210</v>
      </c>
      <c r="Q63" s="22">
        <v>-3100713661</v>
      </c>
    </row>
    <row r="64" spans="1:17" ht="18.75" x14ac:dyDescent="0.45">
      <c r="A64" s="31" t="s">
        <v>71</v>
      </c>
      <c r="C64" s="22">
        <v>5666467</v>
      </c>
      <c r="E64" s="22">
        <v>36331247313</v>
      </c>
      <c r="G64" s="22">
        <v>39992535802</v>
      </c>
      <c r="I64" s="22">
        <v>-3661288489</v>
      </c>
      <c r="K64" s="22">
        <v>5666467</v>
      </c>
      <c r="M64" s="22">
        <v>36331247313</v>
      </c>
      <c r="O64" s="22">
        <v>43929842861</v>
      </c>
      <c r="Q64" s="22">
        <v>-7598595548</v>
      </c>
    </row>
    <row r="65" spans="1:17" ht="18.75" x14ac:dyDescent="0.45">
      <c r="A65" s="31" t="s">
        <v>72</v>
      </c>
      <c r="C65" s="22">
        <v>534674</v>
      </c>
      <c r="E65" s="22">
        <v>46117620685</v>
      </c>
      <c r="G65" s="22">
        <v>49885903855</v>
      </c>
      <c r="I65" s="22">
        <v>-3768283170</v>
      </c>
      <c r="K65" s="22">
        <v>534674</v>
      </c>
      <c r="M65" s="22">
        <v>46117620685</v>
      </c>
      <c r="O65" s="22">
        <v>57908893073</v>
      </c>
      <c r="Q65" s="22">
        <v>-11791272388</v>
      </c>
    </row>
    <row r="66" spans="1:17" ht="18.75" x14ac:dyDescent="0.45">
      <c r="A66" s="31" t="s">
        <v>73</v>
      </c>
      <c r="C66" s="22">
        <v>7539161</v>
      </c>
      <c r="E66" s="22">
        <v>30494318875</v>
      </c>
      <c r="G66" s="22">
        <v>32397871835</v>
      </c>
      <c r="I66" s="22">
        <v>-1903552960</v>
      </c>
      <c r="K66" s="22">
        <v>7539161</v>
      </c>
      <c r="M66" s="22">
        <v>30494318875</v>
      </c>
      <c r="O66" s="22">
        <v>29984706272</v>
      </c>
      <c r="Q66" s="22">
        <v>509612603</v>
      </c>
    </row>
    <row r="67" spans="1:17" ht="18.75" x14ac:dyDescent="0.45">
      <c r="A67" s="31" t="s">
        <v>74</v>
      </c>
      <c r="C67" s="22">
        <v>3700000</v>
      </c>
      <c r="E67" s="22">
        <v>23097745800</v>
      </c>
      <c r="G67" s="22">
        <v>29016021285</v>
      </c>
      <c r="I67" s="22">
        <v>-5918275485</v>
      </c>
      <c r="K67" s="22">
        <v>3700000</v>
      </c>
      <c r="M67" s="22">
        <v>23097745800</v>
      </c>
      <c r="O67" s="22">
        <v>17985346650</v>
      </c>
      <c r="Q67" s="22">
        <v>5112399150</v>
      </c>
    </row>
    <row r="68" spans="1:17" ht="18.75" x14ac:dyDescent="0.45">
      <c r="A68" s="31" t="s">
        <v>75</v>
      </c>
      <c r="C68" s="22">
        <v>12447027</v>
      </c>
      <c r="E68" s="22">
        <v>105417680453</v>
      </c>
      <c r="G68" s="22">
        <v>111232975032</v>
      </c>
      <c r="I68" s="22">
        <v>-5815294579</v>
      </c>
      <c r="K68" s="22">
        <v>12447027</v>
      </c>
      <c r="M68" s="22">
        <v>105417680453</v>
      </c>
      <c r="O68" s="22">
        <v>128418634632</v>
      </c>
      <c r="Q68" s="22">
        <v>-23000954179</v>
      </c>
    </row>
    <row r="69" spans="1:17" ht="18.75" x14ac:dyDescent="0.45">
      <c r="A69" s="31" t="s">
        <v>76</v>
      </c>
      <c r="C69" s="22">
        <v>11423071</v>
      </c>
      <c r="E69" s="22">
        <v>62453070502</v>
      </c>
      <c r="G69" s="22">
        <v>64931145629</v>
      </c>
      <c r="I69" s="22">
        <v>-2478075127</v>
      </c>
      <c r="K69" s="22">
        <v>11423071</v>
      </c>
      <c r="M69" s="22">
        <v>62453070502</v>
      </c>
      <c r="O69" s="22">
        <v>83996039147</v>
      </c>
      <c r="Q69" s="22">
        <v>-21542968645</v>
      </c>
    </row>
    <row r="70" spans="1:17" ht="18.75" x14ac:dyDescent="0.45">
      <c r="A70" s="31" t="s">
        <v>77</v>
      </c>
      <c r="C70" s="22">
        <v>25889786</v>
      </c>
      <c r="E70" s="22">
        <v>50750882777</v>
      </c>
      <c r="G70" s="22">
        <v>54050633684</v>
      </c>
      <c r="I70" s="22">
        <v>-3299750907</v>
      </c>
      <c r="K70" s="22">
        <v>25889786</v>
      </c>
      <c r="M70" s="22">
        <v>50750882777</v>
      </c>
      <c r="O70" s="22">
        <v>50341357977</v>
      </c>
      <c r="Q70" s="22">
        <v>409524800</v>
      </c>
    </row>
    <row r="71" spans="1:17" ht="18.75" x14ac:dyDescent="0.45">
      <c r="A71" s="31" t="s">
        <v>78</v>
      </c>
      <c r="C71" s="22">
        <v>277678</v>
      </c>
      <c r="E71" s="22">
        <v>10477939972</v>
      </c>
      <c r="G71" s="22">
        <v>11623447108</v>
      </c>
      <c r="I71" s="22">
        <v>-1145507136</v>
      </c>
      <c r="K71" s="22">
        <v>277678</v>
      </c>
      <c r="M71" s="22">
        <v>10477939972</v>
      </c>
      <c r="O71" s="22">
        <v>9981093503</v>
      </c>
      <c r="Q71" s="22">
        <v>496846469</v>
      </c>
    </row>
    <row r="72" spans="1:17" ht="18.75" x14ac:dyDescent="0.45">
      <c r="A72" s="31" t="s">
        <v>79</v>
      </c>
      <c r="C72" s="22">
        <v>400000</v>
      </c>
      <c r="E72" s="22">
        <v>1895454540</v>
      </c>
      <c r="G72" s="22">
        <v>1998447218</v>
      </c>
      <c r="I72" s="22">
        <v>-102992678</v>
      </c>
      <c r="K72" s="22">
        <v>400000</v>
      </c>
      <c r="M72" s="22">
        <v>1895454540</v>
      </c>
      <c r="O72" s="22">
        <v>1998447218</v>
      </c>
      <c r="Q72" s="22">
        <v>-102992678</v>
      </c>
    </row>
    <row r="73" spans="1:17" ht="18.75" x14ac:dyDescent="0.45">
      <c r="A73" s="31" t="s">
        <v>80</v>
      </c>
      <c r="C73" s="22">
        <v>4613772</v>
      </c>
      <c r="E73" s="22">
        <v>42698639727</v>
      </c>
      <c r="G73" s="22">
        <v>45358705360</v>
      </c>
      <c r="I73" s="22">
        <v>-2660065633</v>
      </c>
      <c r="K73" s="22">
        <v>4613772</v>
      </c>
      <c r="M73" s="22">
        <v>42698639727</v>
      </c>
      <c r="O73" s="22">
        <v>28481047552</v>
      </c>
      <c r="Q73" s="22">
        <v>14217592175</v>
      </c>
    </row>
    <row r="74" spans="1:17" ht="18.75" x14ac:dyDescent="0.45">
      <c r="A74" s="31" t="s">
        <v>81</v>
      </c>
      <c r="C74" s="22">
        <v>4436897</v>
      </c>
      <c r="E74" s="22">
        <v>28359498686</v>
      </c>
      <c r="G74" s="22">
        <v>38422640970</v>
      </c>
      <c r="I74" s="22">
        <v>-10063142284</v>
      </c>
      <c r="K74" s="22">
        <v>4436897</v>
      </c>
      <c r="M74" s="22">
        <v>28359498686</v>
      </c>
      <c r="O74" s="22">
        <v>21755435630</v>
      </c>
      <c r="Q74" s="22">
        <v>6604063056</v>
      </c>
    </row>
    <row r="75" spans="1:17" ht="18.75" x14ac:dyDescent="0.45">
      <c r="A75" s="31" t="s">
        <v>82</v>
      </c>
      <c r="C75" s="22">
        <v>407809</v>
      </c>
      <c r="E75" s="22">
        <v>20135350585</v>
      </c>
      <c r="G75" s="22">
        <v>22563591978</v>
      </c>
      <c r="I75" s="22">
        <v>-2428241393</v>
      </c>
      <c r="K75" s="22">
        <v>407809</v>
      </c>
      <c r="M75" s="22">
        <v>20135350585</v>
      </c>
      <c r="O75" s="22">
        <v>24266198631</v>
      </c>
      <c r="Q75" s="22">
        <v>-4130848046</v>
      </c>
    </row>
    <row r="76" spans="1:17" ht="18.75" x14ac:dyDescent="0.45">
      <c r="A76" s="31" t="s">
        <v>83</v>
      </c>
      <c r="C76" s="22">
        <v>5995429</v>
      </c>
      <c r="E76" s="22">
        <v>122770977667</v>
      </c>
      <c r="G76" s="22">
        <v>136657209607</v>
      </c>
      <c r="I76" s="22">
        <v>-13886231940</v>
      </c>
      <c r="K76" s="22">
        <v>5995429</v>
      </c>
      <c r="M76" s="22">
        <v>122770977667</v>
      </c>
      <c r="O76" s="22">
        <v>144117212885</v>
      </c>
      <c r="Q76" s="22">
        <v>-21346235218</v>
      </c>
    </row>
    <row r="77" spans="1:17" ht="18.75" x14ac:dyDescent="0.45">
      <c r="A77" s="31" t="s">
        <v>84</v>
      </c>
      <c r="C77" s="22">
        <v>4955016</v>
      </c>
      <c r="E77" s="22">
        <v>146288349548</v>
      </c>
      <c r="G77" s="22">
        <v>165301336670</v>
      </c>
      <c r="I77" s="22">
        <v>-19012987122</v>
      </c>
      <c r="K77" s="22">
        <v>4955016</v>
      </c>
      <c r="M77" s="22">
        <v>146288349548</v>
      </c>
      <c r="O77" s="22">
        <v>157082564640</v>
      </c>
      <c r="Q77" s="22">
        <v>-10794215092</v>
      </c>
    </row>
    <row r="78" spans="1:17" ht="18.75" x14ac:dyDescent="0.45">
      <c r="A78" s="31" t="s">
        <v>85</v>
      </c>
      <c r="C78" s="22">
        <v>450000</v>
      </c>
      <c r="E78" s="22">
        <v>4960806525</v>
      </c>
      <c r="G78" s="22">
        <v>6682998150</v>
      </c>
      <c r="I78" s="22">
        <v>-1722191625</v>
      </c>
      <c r="K78" s="22">
        <v>450000</v>
      </c>
      <c r="M78" s="22">
        <v>4960806525</v>
      </c>
      <c r="O78" s="22">
        <v>7770439148</v>
      </c>
      <c r="Q78" s="22">
        <v>-2809632623</v>
      </c>
    </row>
    <row r="79" spans="1:17" ht="18.75" x14ac:dyDescent="0.45">
      <c r="A79" s="31" t="s">
        <v>86</v>
      </c>
      <c r="C79" s="22">
        <v>1523606</v>
      </c>
      <c r="E79" s="22">
        <v>57022451493</v>
      </c>
      <c r="G79" s="22">
        <v>61638955107</v>
      </c>
      <c r="I79" s="22">
        <v>-4616503614</v>
      </c>
      <c r="K79" s="22">
        <v>1523606</v>
      </c>
      <c r="M79" s="22">
        <v>57022451493</v>
      </c>
      <c r="O79" s="22">
        <v>75466184545</v>
      </c>
      <c r="Q79" s="22">
        <v>-18443733052</v>
      </c>
    </row>
    <row r="80" spans="1:17" ht="37.5" x14ac:dyDescent="0.45">
      <c r="A80" s="31" t="s">
        <v>87</v>
      </c>
      <c r="C80" s="22">
        <v>21600000</v>
      </c>
      <c r="E80" s="22">
        <v>33967881360</v>
      </c>
      <c r="G80" s="22">
        <v>36930945600</v>
      </c>
      <c r="I80" s="22">
        <v>-2963064240</v>
      </c>
      <c r="K80" s="22">
        <v>21600000</v>
      </c>
      <c r="M80" s="22">
        <v>33967881360</v>
      </c>
      <c r="O80" s="22">
        <v>39976176387</v>
      </c>
      <c r="Q80" s="22">
        <v>-6008295027</v>
      </c>
    </row>
    <row r="81" spans="1:17" ht="18.75" x14ac:dyDescent="0.45">
      <c r="A81" s="31" t="s">
        <v>88</v>
      </c>
      <c r="C81" s="22">
        <v>0</v>
      </c>
      <c r="E81" s="22">
        <v>0</v>
      </c>
      <c r="G81" s="22">
        <v>4968030831</v>
      </c>
      <c r="I81" s="22">
        <v>-4968030831</v>
      </c>
    </row>
    <row r="82" spans="1:17" ht="18.75" x14ac:dyDescent="0.45">
      <c r="A82" s="25" t="s">
        <v>89</v>
      </c>
      <c r="C82" s="25">
        <f>SUM(C9:$C$81)</f>
        <v>510015172</v>
      </c>
      <c r="E82" s="25">
        <f>SUM(E9:$E$81)</f>
        <v>3182415828676</v>
      </c>
      <c r="G82" s="25">
        <f>SUM(G9:$G$81)</f>
        <v>3573192185635</v>
      </c>
      <c r="I82" s="25">
        <f>SUM(I9:$I$81)</f>
        <v>-390776356959</v>
      </c>
      <c r="K82" s="25">
        <f>SUM(K9:$K$81)</f>
        <v>510015172</v>
      </c>
      <c r="M82" s="25">
        <f>SUM(M9:$M$81)</f>
        <v>3182415828676</v>
      </c>
      <c r="O82" s="25">
        <f>SUM(O9:$O$81)</f>
        <v>3590514579563</v>
      </c>
      <c r="Q82" s="25">
        <f>SUM(Q9:$Q$81)</f>
        <v>-408098750887</v>
      </c>
    </row>
    <row r="83" spans="1:17" ht="18.75" x14ac:dyDescent="0.45">
      <c r="C83" s="27"/>
      <c r="E83" s="27"/>
      <c r="G83" s="27"/>
      <c r="I83" s="27"/>
      <c r="K83" s="27"/>
      <c r="M83" s="27"/>
      <c r="O83" s="27"/>
      <c r="Q83" s="27"/>
    </row>
    <row r="85" spans="1:17" ht="18.75" x14ac:dyDescent="0.45">
      <c r="A85" s="33" t="s">
        <v>221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5"/>
    </row>
  </sheetData>
  <mergeCells count="7">
    <mergeCell ref="A85:Q85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  <rowBreaks count="2" manualBreakCount="2">
    <brk id="24" max="16383" man="1"/>
    <brk id="6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103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0.42578125" style="13" bestFit="1" customWidth="1"/>
    <col min="2" max="2" width="1.42578125" style="13" customWidth="1"/>
    <col min="3" max="3" width="15.42578125" style="13" bestFit="1" customWidth="1"/>
    <col min="4" max="4" width="1.42578125" style="13" customWidth="1"/>
    <col min="5" max="5" width="19" style="13" bestFit="1" customWidth="1"/>
    <col min="6" max="6" width="1.42578125" style="13" customWidth="1"/>
    <col min="7" max="7" width="16.85546875" style="13" bestFit="1" customWidth="1"/>
    <col min="8" max="8" width="1.42578125" style="13" customWidth="1"/>
    <col min="9" max="9" width="19" style="13" bestFit="1" customWidth="1"/>
    <col min="10" max="10" width="1.42578125" style="13" customWidth="1"/>
    <col min="11" max="11" width="11.5703125" style="13" bestFit="1" customWidth="1"/>
    <col min="12" max="12" width="1.42578125" style="13" customWidth="1"/>
    <col min="13" max="13" width="17.5703125" style="13" bestFit="1" customWidth="1"/>
    <col min="14" max="14" width="1.42578125" style="13" customWidth="1"/>
    <col min="15" max="15" width="19" style="13" bestFit="1" customWidth="1"/>
    <col min="16" max="16" width="1.42578125" style="13" customWidth="1"/>
    <col min="17" max="17" width="17.7109375" style="13" bestFit="1" customWidth="1"/>
    <col min="18" max="18" width="1.42578125" style="13" customWidth="1"/>
    <col min="19" max="19" width="18.7109375" style="13" bestFit="1" customWidth="1"/>
    <col min="20" max="20" width="1.42578125" style="13" customWidth="1"/>
    <col min="21" max="21" width="11.5703125" style="13" bestFit="1" customWidth="1"/>
    <col min="22" max="16384" width="9.140625" style="13"/>
  </cols>
  <sheetData>
    <row r="1" spans="1:25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5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5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5" spans="1:25" ht="21" x14ac:dyDescent="0.45">
      <c r="A5" s="14" t="s">
        <v>224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7" spans="1:25" ht="21" x14ac:dyDescent="0.45">
      <c r="C7" s="15" t="s">
        <v>145</v>
      </c>
      <c r="D7" s="16"/>
      <c r="E7" s="16"/>
      <c r="F7" s="16"/>
      <c r="G7" s="16"/>
      <c r="H7" s="16"/>
      <c r="I7" s="16"/>
      <c r="J7" s="16"/>
      <c r="K7" s="16"/>
      <c r="M7" s="15" t="s">
        <v>7</v>
      </c>
      <c r="N7" s="16"/>
      <c r="O7" s="16"/>
      <c r="P7" s="16"/>
      <c r="Q7" s="16"/>
      <c r="R7" s="16"/>
      <c r="S7" s="16"/>
      <c r="T7" s="16"/>
      <c r="U7" s="16"/>
      <c r="Y7" s="28"/>
    </row>
    <row r="8" spans="1:25" ht="42" x14ac:dyDescent="0.45">
      <c r="A8" s="29" t="s">
        <v>225</v>
      </c>
      <c r="C8" s="30" t="s">
        <v>143</v>
      </c>
      <c r="E8" s="30" t="s">
        <v>226</v>
      </c>
      <c r="G8" s="30" t="s">
        <v>227</v>
      </c>
      <c r="I8" s="30" t="s">
        <v>228</v>
      </c>
      <c r="K8" s="30" t="s">
        <v>229</v>
      </c>
      <c r="M8" s="30" t="s">
        <v>143</v>
      </c>
      <c r="O8" s="30" t="s">
        <v>226</v>
      </c>
      <c r="Q8" s="30" t="s">
        <v>227</v>
      </c>
      <c r="S8" s="30" t="s">
        <v>228</v>
      </c>
      <c r="U8" s="30" t="s">
        <v>229</v>
      </c>
    </row>
    <row r="9" spans="1:25" ht="18.75" x14ac:dyDescent="0.45">
      <c r="A9" s="31" t="s">
        <v>17</v>
      </c>
      <c r="C9" s="22">
        <v>0</v>
      </c>
      <c r="E9" s="22">
        <v>-14910750</v>
      </c>
      <c r="G9" s="22">
        <v>0</v>
      </c>
      <c r="I9" s="22">
        <v>-14910750</v>
      </c>
      <c r="K9" s="24">
        <v>-3.3262606650732329E-5</v>
      </c>
      <c r="M9" s="22">
        <v>96000000</v>
      </c>
      <c r="O9" s="22">
        <v>-149107500</v>
      </c>
      <c r="Q9" s="22">
        <v>0</v>
      </c>
      <c r="S9" s="22">
        <v>-53107500</v>
      </c>
      <c r="U9" s="24">
        <v>-8.5328175399514053E-5</v>
      </c>
    </row>
    <row r="10" spans="1:25" ht="18.75" x14ac:dyDescent="0.45">
      <c r="A10" s="31" t="s">
        <v>230</v>
      </c>
      <c r="C10" s="22">
        <v>0</v>
      </c>
      <c r="E10" s="22">
        <v>-4206819600</v>
      </c>
      <c r="G10" s="22">
        <v>0</v>
      </c>
      <c r="I10" s="22">
        <v>-4206819600</v>
      </c>
      <c r="K10" s="24">
        <v>-9.3844900897266156E-3</v>
      </c>
      <c r="M10" s="22">
        <v>0</v>
      </c>
      <c r="O10" s="22">
        <v>-6842495195</v>
      </c>
      <c r="Q10" s="22">
        <v>0</v>
      </c>
      <c r="S10" s="22">
        <v>-6842495195</v>
      </c>
      <c r="U10" s="24">
        <v>-1.0993882788105111E-2</v>
      </c>
    </row>
    <row r="11" spans="1:25" ht="18.75" x14ac:dyDescent="0.45">
      <c r="A11" s="31" t="s">
        <v>19</v>
      </c>
      <c r="C11" s="22">
        <v>0</v>
      </c>
      <c r="E11" s="22">
        <v>-1639342131</v>
      </c>
      <c r="G11" s="22">
        <v>0</v>
      </c>
      <c r="I11" s="22">
        <v>-1639342131</v>
      </c>
      <c r="K11" s="24">
        <v>-3.6570120530104999E-3</v>
      </c>
      <c r="M11" s="22">
        <v>0</v>
      </c>
      <c r="O11" s="22">
        <v>-188430130</v>
      </c>
      <c r="Q11" s="22">
        <v>-367388939</v>
      </c>
      <c r="S11" s="22">
        <v>-555819069</v>
      </c>
      <c r="U11" s="24">
        <v>-8.9303821513019076E-4</v>
      </c>
    </row>
    <row r="12" spans="1:25" ht="18.75" x14ac:dyDescent="0.45">
      <c r="A12" s="31" t="s">
        <v>20</v>
      </c>
      <c r="C12" s="22">
        <v>0</v>
      </c>
      <c r="E12" s="22">
        <v>-96682737</v>
      </c>
      <c r="G12" s="22">
        <v>1889727371</v>
      </c>
      <c r="I12" s="22">
        <v>1793044634</v>
      </c>
      <c r="K12" s="24">
        <v>3.9998885614706383E-3</v>
      </c>
      <c r="M12" s="22">
        <v>0</v>
      </c>
      <c r="O12" s="22">
        <v>0</v>
      </c>
      <c r="Q12" s="22">
        <v>1889727371</v>
      </c>
      <c r="S12" s="22">
        <v>1889727371</v>
      </c>
      <c r="U12" s="24">
        <v>3.0362376042922484E-3</v>
      </c>
    </row>
    <row r="13" spans="1:25" ht="18.75" x14ac:dyDescent="0.45">
      <c r="A13" s="31" t="s">
        <v>21</v>
      </c>
      <c r="C13" s="22">
        <v>0</v>
      </c>
      <c r="E13" s="22">
        <v>-4823994170</v>
      </c>
      <c r="G13" s="22">
        <v>0</v>
      </c>
      <c r="I13" s="22">
        <v>-4823994170</v>
      </c>
      <c r="K13" s="24">
        <v>-1.0761270932859581E-2</v>
      </c>
      <c r="M13" s="22">
        <v>0</v>
      </c>
      <c r="O13" s="22">
        <v>-7121922968</v>
      </c>
      <c r="Q13" s="22">
        <v>0</v>
      </c>
      <c r="S13" s="22">
        <v>-7121922968</v>
      </c>
      <c r="U13" s="24">
        <v>-1.1442841259621179E-2</v>
      </c>
    </row>
    <row r="14" spans="1:25" ht="18.75" x14ac:dyDescent="0.45">
      <c r="A14" s="31" t="s">
        <v>23</v>
      </c>
      <c r="C14" s="22">
        <v>0</v>
      </c>
      <c r="E14" s="22">
        <v>-5161107600</v>
      </c>
      <c r="G14" s="22">
        <v>0</v>
      </c>
      <c r="I14" s="22">
        <v>-5161107600</v>
      </c>
      <c r="K14" s="24">
        <v>-1.1513296915373485E-2</v>
      </c>
      <c r="M14" s="22">
        <v>0</v>
      </c>
      <c r="O14" s="22">
        <v>-18969412880</v>
      </c>
      <c r="Q14" s="22">
        <v>0</v>
      </c>
      <c r="S14" s="22">
        <v>-18969412880</v>
      </c>
      <c r="U14" s="24">
        <v>-3.0478282529782821E-2</v>
      </c>
    </row>
    <row r="15" spans="1:25" ht="18.75" x14ac:dyDescent="0.45">
      <c r="A15" s="31" t="s">
        <v>24</v>
      </c>
      <c r="C15" s="22">
        <v>0</v>
      </c>
      <c r="E15" s="22">
        <v>34473254</v>
      </c>
      <c r="G15" s="22">
        <v>0</v>
      </c>
      <c r="I15" s="22">
        <v>34473254</v>
      </c>
      <c r="K15" s="24">
        <v>7.6902254264392124E-5</v>
      </c>
      <c r="M15" s="22">
        <v>0</v>
      </c>
      <c r="O15" s="22">
        <v>34473254</v>
      </c>
      <c r="Q15" s="22">
        <v>0</v>
      </c>
      <c r="S15" s="22">
        <v>34473254</v>
      </c>
      <c r="U15" s="24">
        <v>5.5388407737212251E-5</v>
      </c>
    </row>
    <row r="16" spans="1:25" ht="18.75" x14ac:dyDescent="0.45">
      <c r="A16" s="31" t="s">
        <v>231</v>
      </c>
      <c r="C16" s="22">
        <v>0</v>
      </c>
      <c r="E16" s="22">
        <v>1244674703</v>
      </c>
      <c r="G16" s="22">
        <v>0</v>
      </c>
      <c r="I16" s="22">
        <v>1244674703</v>
      </c>
      <c r="K16" s="24">
        <v>2.7765957483028075E-3</v>
      </c>
      <c r="M16" s="22">
        <v>216540800</v>
      </c>
      <c r="O16" s="22">
        <v>2295477665</v>
      </c>
      <c r="Q16" s="22">
        <v>0</v>
      </c>
      <c r="S16" s="22">
        <v>2512018465</v>
      </c>
      <c r="U16" s="24">
        <v>4.0360768665129798E-3</v>
      </c>
    </row>
    <row r="17" spans="1:21" ht="18.75" x14ac:dyDescent="0.45">
      <c r="A17" s="31" t="s">
        <v>26</v>
      </c>
      <c r="C17" s="22">
        <v>0</v>
      </c>
      <c r="E17" s="22">
        <v>-723792657</v>
      </c>
      <c r="G17" s="22">
        <v>0</v>
      </c>
      <c r="I17" s="22">
        <v>-723792657</v>
      </c>
      <c r="K17" s="24">
        <v>-1.6146223661773838E-3</v>
      </c>
      <c r="M17" s="22">
        <v>519025280</v>
      </c>
      <c r="O17" s="22">
        <v>-717627921</v>
      </c>
      <c r="Q17" s="22">
        <v>1188423996</v>
      </c>
      <c r="S17" s="22">
        <v>989821355</v>
      </c>
      <c r="U17" s="24">
        <v>1.5903525903803544E-3</v>
      </c>
    </row>
    <row r="18" spans="1:21" ht="37.5" x14ac:dyDescent="0.45">
      <c r="A18" s="31" t="s">
        <v>27</v>
      </c>
      <c r="C18" s="22">
        <v>0</v>
      </c>
      <c r="E18" s="22">
        <v>-2251643341</v>
      </c>
      <c r="G18" s="22">
        <v>0</v>
      </c>
      <c r="I18" s="22">
        <v>-2251643341</v>
      </c>
      <c r="K18" s="24">
        <v>-5.022921500891891E-3</v>
      </c>
      <c r="M18" s="22">
        <v>108343700</v>
      </c>
      <c r="O18" s="22">
        <v>-845687639</v>
      </c>
      <c r="Q18" s="22">
        <v>-136551902</v>
      </c>
      <c r="S18" s="22">
        <v>-873895841</v>
      </c>
      <c r="U18" s="24">
        <v>-1.4040942917997242E-3</v>
      </c>
    </row>
    <row r="19" spans="1:21" ht="18.75" x14ac:dyDescent="0.45">
      <c r="A19" s="31" t="s">
        <v>28</v>
      </c>
      <c r="C19" s="22">
        <v>0</v>
      </c>
      <c r="E19" s="22">
        <v>-13300728314</v>
      </c>
      <c r="G19" s="22">
        <v>0</v>
      </c>
      <c r="I19" s="22">
        <v>-13300728314</v>
      </c>
      <c r="K19" s="24">
        <v>-2.9671002067423853E-2</v>
      </c>
      <c r="M19" s="22">
        <v>0</v>
      </c>
      <c r="O19" s="22">
        <v>-10645247166</v>
      </c>
      <c r="Q19" s="22">
        <v>0</v>
      </c>
      <c r="S19" s="22">
        <v>-10645247166</v>
      </c>
      <c r="U19" s="24">
        <v>-1.7103789810321103E-2</v>
      </c>
    </row>
    <row r="20" spans="1:21" ht="18.75" x14ac:dyDescent="0.45">
      <c r="A20" s="31" t="s">
        <v>29</v>
      </c>
      <c r="C20" s="22">
        <v>0</v>
      </c>
      <c r="E20" s="22">
        <v>-19398344341</v>
      </c>
      <c r="G20" s="22">
        <v>0</v>
      </c>
      <c r="I20" s="22">
        <v>-19398344341</v>
      </c>
      <c r="K20" s="24">
        <v>-4.3273443488097009E-2</v>
      </c>
      <c r="M20" s="22">
        <v>10332000000</v>
      </c>
      <c r="O20" s="22">
        <v>-46955830271</v>
      </c>
      <c r="Q20" s="22">
        <v>1145283672</v>
      </c>
      <c r="S20" s="22">
        <v>-35478546599</v>
      </c>
      <c r="U20" s="24">
        <v>-5.7003618078789342E-2</v>
      </c>
    </row>
    <row r="21" spans="1:21" ht="18.75" x14ac:dyDescent="0.45">
      <c r="A21" s="31" t="s">
        <v>159</v>
      </c>
      <c r="C21" s="22">
        <v>0</v>
      </c>
      <c r="E21" s="22">
        <v>1625824291</v>
      </c>
      <c r="G21" s="22">
        <v>3832514712</v>
      </c>
      <c r="I21" s="22">
        <v>5458339003</v>
      </c>
      <c r="K21" s="24">
        <v>1.2176354859624062E-2</v>
      </c>
      <c r="M21" s="22">
        <v>516228000</v>
      </c>
      <c r="O21" s="22">
        <v>-4386224571</v>
      </c>
      <c r="Q21" s="22">
        <v>3832514712</v>
      </c>
      <c r="S21" s="22">
        <v>-37481859</v>
      </c>
      <c r="U21" s="24">
        <v>-6.0222353510367735E-5</v>
      </c>
    </row>
    <row r="22" spans="1:21" ht="18.75" x14ac:dyDescent="0.45">
      <c r="A22" s="31" t="s">
        <v>31</v>
      </c>
      <c r="C22" s="22">
        <v>0</v>
      </c>
      <c r="E22" s="22">
        <v>-7656833547</v>
      </c>
      <c r="G22" s="22">
        <v>0</v>
      </c>
      <c r="I22" s="22">
        <v>-7656833547</v>
      </c>
      <c r="K22" s="24">
        <v>-1.7080713073721485E-2</v>
      </c>
      <c r="M22" s="22">
        <v>4562276550</v>
      </c>
      <c r="O22" s="22">
        <v>-3296692222</v>
      </c>
      <c r="Q22" s="22">
        <v>-1679567500</v>
      </c>
      <c r="S22" s="22">
        <v>-413983172</v>
      </c>
      <c r="U22" s="24">
        <v>-6.6514953091113675E-4</v>
      </c>
    </row>
    <row r="23" spans="1:21" ht="37.5" x14ac:dyDescent="0.45">
      <c r="A23" s="31" t="s">
        <v>32</v>
      </c>
      <c r="C23" s="22">
        <v>0</v>
      </c>
      <c r="E23" s="22">
        <v>-276264795</v>
      </c>
      <c r="G23" s="22">
        <v>0</v>
      </c>
      <c r="I23" s="22">
        <v>-276264795</v>
      </c>
      <c r="K23" s="24">
        <v>-6.1628604916118929E-4</v>
      </c>
      <c r="M23" s="22">
        <v>30532500</v>
      </c>
      <c r="O23" s="22">
        <v>2628849183</v>
      </c>
      <c r="Q23" s="22">
        <v>0</v>
      </c>
      <c r="S23" s="22">
        <v>2659381683</v>
      </c>
      <c r="U23" s="24">
        <v>4.2728463343459757E-3</v>
      </c>
    </row>
    <row r="24" spans="1:21" ht="37.5" x14ac:dyDescent="0.45">
      <c r="A24" s="31" t="s">
        <v>33</v>
      </c>
      <c r="C24" s="22">
        <v>0</v>
      </c>
      <c r="E24" s="22">
        <v>-6291678168</v>
      </c>
      <c r="G24" s="22">
        <v>0</v>
      </c>
      <c r="I24" s="22">
        <v>-6291678168</v>
      </c>
      <c r="K24" s="24">
        <v>-1.4035351412583821E-2</v>
      </c>
      <c r="M24" s="22">
        <v>0</v>
      </c>
      <c r="O24" s="22">
        <v>-10872192941</v>
      </c>
      <c r="Q24" s="22">
        <v>-9097577</v>
      </c>
      <c r="S24" s="22">
        <v>-10881290518</v>
      </c>
      <c r="U24" s="24">
        <v>-1.7483042242488787E-2</v>
      </c>
    </row>
    <row r="25" spans="1:21" ht="18.75" x14ac:dyDescent="0.45">
      <c r="A25" s="31" t="s">
        <v>34</v>
      </c>
      <c r="C25" s="22">
        <v>0</v>
      </c>
      <c r="E25" s="22">
        <v>30196800</v>
      </c>
      <c r="G25" s="22">
        <v>0</v>
      </c>
      <c r="I25" s="22">
        <v>30196800</v>
      </c>
      <c r="K25" s="24">
        <v>6.7362425130247246E-5</v>
      </c>
      <c r="M25" s="22">
        <v>0</v>
      </c>
      <c r="O25" s="22">
        <v>30196800</v>
      </c>
      <c r="Q25" s="22">
        <v>0</v>
      </c>
      <c r="S25" s="22">
        <v>30196800</v>
      </c>
      <c r="U25" s="24">
        <v>4.8517400497181117E-5</v>
      </c>
    </row>
    <row r="26" spans="1:21" ht="18.75" x14ac:dyDescent="0.45">
      <c r="A26" s="31" t="s">
        <v>35</v>
      </c>
      <c r="C26" s="22">
        <v>0</v>
      </c>
      <c r="E26" s="22">
        <v>-15398077635</v>
      </c>
      <c r="G26" s="22">
        <v>0</v>
      </c>
      <c r="I26" s="22">
        <v>-15398077635</v>
      </c>
      <c r="K26" s="24">
        <v>-3.4349727515412959E-2</v>
      </c>
      <c r="M26" s="22">
        <v>506949840</v>
      </c>
      <c r="O26" s="22">
        <v>-13167929826</v>
      </c>
      <c r="Q26" s="22">
        <v>0</v>
      </c>
      <c r="S26" s="22">
        <v>-12660979986</v>
      </c>
      <c r="U26" s="24">
        <v>-2.0342481212166738E-2</v>
      </c>
    </row>
    <row r="27" spans="1:21" ht="18.75" x14ac:dyDescent="0.45">
      <c r="A27" s="31" t="s">
        <v>36</v>
      </c>
      <c r="C27" s="22">
        <v>0</v>
      </c>
      <c r="E27" s="22">
        <v>3930247202</v>
      </c>
      <c r="G27" s="22">
        <v>6230334002</v>
      </c>
      <c r="I27" s="22">
        <v>10160581204</v>
      </c>
      <c r="K27" s="24">
        <v>2.2666023904329178E-2</v>
      </c>
      <c r="M27" s="22">
        <v>0</v>
      </c>
      <c r="O27" s="22">
        <v>0</v>
      </c>
      <c r="Q27" s="22">
        <v>6230334002</v>
      </c>
      <c r="S27" s="22">
        <v>6230334002</v>
      </c>
      <c r="U27" s="24">
        <v>1.0010319305563477E-2</v>
      </c>
    </row>
    <row r="28" spans="1:21" ht="18.75" x14ac:dyDescent="0.45">
      <c r="A28" s="31" t="s">
        <v>37</v>
      </c>
      <c r="C28" s="22">
        <v>0</v>
      </c>
      <c r="E28" s="22">
        <v>-1684847299</v>
      </c>
      <c r="G28" s="22">
        <v>106284976</v>
      </c>
      <c r="I28" s="22">
        <v>-1578562323</v>
      </c>
      <c r="K28" s="24">
        <v>-3.5214256575702282E-3</v>
      </c>
      <c r="M28" s="22">
        <v>0</v>
      </c>
      <c r="O28" s="22">
        <v>-1684847299</v>
      </c>
      <c r="Q28" s="22">
        <v>106284976</v>
      </c>
      <c r="S28" s="22">
        <v>-1578562323</v>
      </c>
      <c r="U28" s="24">
        <v>-2.5362866407947723E-3</v>
      </c>
    </row>
    <row r="29" spans="1:21" ht="18.75" x14ac:dyDescent="0.45">
      <c r="A29" s="31" t="s">
        <v>38</v>
      </c>
      <c r="C29" s="22">
        <v>0</v>
      </c>
      <c r="E29" s="22">
        <v>-10975648242</v>
      </c>
      <c r="G29" s="22">
        <v>0</v>
      </c>
      <c r="I29" s="22">
        <v>-10975648242</v>
      </c>
      <c r="K29" s="24">
        <v>-2.4484259357205225E-2</v>
      </c>
      <c r="M29" s="22">
        <v>5856000000</v>
      </c>
      <c r="O29" s="22">
        <v>-16369759108</v>
      </c>
      <c r="Q29" s="22">
        <v>-2286428220</v>
      </c>
      <c r="S29" s="22">
        <v>-12800187328</v>
      </c>
      <c r="U29" s="24">
        <v>-2.0566146579489172E-2</v>
      </c>
    </row>
    <row r="30" spans="1:21" ht="18.75" x14ac:dyDescent="0.45">
      <c r="A30" s="31" t="s">
        <v>39</v>
      </c>
      <c r="C30" s="22">
        <v>0</v>
      </c>
      <c r="E30" s="22">
        <v>-11144921796</v>
      </c>
      <c r="G30" s="22">
        <v>53848100</v>
      </c>
      <c r="I30" s="22">
        <v>-11091073696</v>
      </c>
      <c r="K30" s="24">
        <v>-2.4741748180630217E-2</v>
      </c>
      <c r="M30" s="22">
        <v>11458002500</v>
      </c>
      <c r="O30" s="22">
        <v>2555413431</v>
      </c>
      <c r="Q30" s="22">
        <v>53848100</v>
      </c>
      <c r="S30" s="22">
        <v>14067264031</v>
      </c>
      <c r="U30" s="24">
        <v>2.2601967191610284E-2</v>
      </c>
    </row>
    <row r="31" spans="1:21" ht="18.75" x14ac:dyDescent="0.45">
      <c r="A31" s="31" t="s">
        <v>40</v>
      </c>
      <c r="C31" s="22">
        <v>0</v>
      </c>
      <c r="E31" s="22">
        <v>-1497603538</v>
      </c>
      <c r="G31" s="22">
        <v>9124611094</v>
      </c>
      <c r="I31" s="22">
        <v>7627007556</v>
      </c>
      <c r="K31" s="24">
        <v>1.7014177841985906E-2</v>
      </c>
      <c r="M31" s="22">
        <v>5465313900</v>
      </c>
      <c r="O31" s="22">
        <v>-2416330403</v>
      </c>
      <c r="Q31" s="22">
        <v>8648970051</v>
      </c>
      <c r="S31" s="22">
        <v>11697953548</v>
      </c>
      <c r="U31" s="24">
        <v>1.8795180194117814E-2</v>
      </c>
    </row>
    <row r="32" spans="1:21" ht="18.75" x14ac:dyDescent="0.45">
      <c r="A32" s="31" t="s">
        <v>41</v>
      </c>
      <c r="C32" s="22">
        <v>0</v>
      </c>
      <c r="E32" s="22">
        <v>12440</v>
      </c>
      <c r="G32" s="22">
        <v>0</v>
      </c>
      <c r="I32" s="22">
        <v>12440</v>
      </c>
      <c r="K32" s="24">
        <v>2.7750906341740705E-8</v>
      </c>
      <c r="M32" s="22">
        <v>0</v>
      </c>
      <c r="O32" s="22">
        <v>12440</v>
      </c>
      <c r="Q32" s="22">
        <v>0</v>
      </c>
      <c r="S32" s="22">
        <v>12440</v>
      </c>
      <c r="U32" s="24">
        <v>1.9987431190885559E-8</v>
      </c>
    </row>
    <row r="33" spans="1:21" ht="18.75" x14ac:dyDescent="0.45">
      <c r="A33" s="31" t="s">
        <v>42</v>
      </c>
      <c r="C33" s="22">
        <v>0</v>
      </c>
      <c r="E33" s="22">
        <v>-916139741</v>
      </c>
      <c r="G33" s="22">
        <v>0</v>
      </c>
      <c r="I33" s="22">
        <v>-916139741</v>
      </c>
      <c r="K33" s="24">
        <v>-2.0437064428004488E-3</v>
      </c>
      <c r="M33" s="22">
        <v>7470000000</v>
      </c>
      <c r="O33" s="22">
        <v>-5993482085</v>
      </c>
      <c r="Q33" s="22">
        <v>33244203072</v>
      </c>
      <c r="S33" s="22">
        <v>34720720987</v>
      </c>
      <c r="U33" s="24">
        <v>5.5786014600128511E-2</v>
      </c>
    </row>
    <row r="34" spans="1:21" ht="18.75" x14ac:dyDescent="0.45">
      <c r="A34" s="31" t="s">
        <v>43</v>
      </c>
      <c r="C34" s="22">
        <v>0</v>
      </c>
      <c r="E34" s="22">
        <v>-3889189622</v>
      </c>
      <c r="G34" s="22">
        <v>0</v>
      </c>
      <c r="I34" s="22">
        <v>-3889189622</v>
      </c>
      <c r="K34" s="24">
        <v>-8.6759274071858457E-3</v>
      </c>
      <c r="M34" s="22">
        <v>354565120</v>
      </c>
      <c r="O34" s="22">
        <v>-9281838409</v>
      </c>
      <c r="Q34" s="22">
        <v>0</v>
      </c>
      <c r="S34" s="22">
        <v>-8927273289</v>
      </c>
      <c r="U34" s="24">
        <v>-1.4343509693417855E-2</v>
      </c>
    </row>
    <row r="35" spans="1:21" ht="18.75" x14ac:dyDescent="0.45">
      <c r="A35" s="31" t="s">
        <v>44</v>
      </c>
      <c r="C35" s="22">
        <v>0</v>
      </c>
      <c r="E35" s="22">
        <v>-972334362</v>
      </c>
      <c r="G35" s="22">
        <v>0</v>
      </c>
      <c r="I35" s="22">
        <v>-972334362</v>
      </c>
      <c r="K35" s="24">
        <v>-2.1690642936268651E-3</v>
      </c>
      <c r="M35" s="22">
        <v>1299231570</v>
      </c>
      <c r="O35" s="22">
        <v>-6002882041</v>
      </c>
      <c r="Q35" s="22">
        <v>0</v>
      </c>
      <c r="S35" s="22">
        <v>-4703650471</v>
      </c>
      <c r="U35" s="24">
        <v>-7.557386666807794E-3</v>
      </c>
    </row>
    <row r="36" spans="1:21" ht="18.75" x14ac:dyDescent="0.45">
      <c r="A36" s="31" t="s">
        <v>45</v>
      </c>
      <c r="C36" s="22">
        <v>0</v>
      </c>
      <c r="E36" s="22">
        <v>-628163678</v>
      </c>
      <c r="G36" s="22">
        <v>1367851122</v>
      </c>
      <c r="I36" s="22">
        <v>739687444</v>
      </c>
      <c r="K36" s="24">
        <v>1.650080143135496E-3</v>
      </c>
      <c r="M36" s="22">
        <v>0</v>
      </c>
      <c r="O36" s="22">
        <v>0</v>
      </c>
      <c r="Q36" s="22">
        <v>1367851122</v>
      </c>
      <c r="S36" s="22">
        <v>1367851122</v>
      </c>
      <c r="U36" s="24">
        <v>2.1977355450442612E-3</v>
      </c>
    </row>
    <row r="37" spans="1:21" ht="18.75" x14ac:dyDescent="0.45">
      <c r="A37" s="31" t="s">
        <v>46</v>
      </c>
      <c r="C37" s="22">
        <v>0</v>
      </c>
      <c r="E37" s="22">
        <v>-482244972</v>
      </c>
      <c r="G37" s="22">
        <v>0</v>
      </c>
      <c r="I37" s="22">
        <v>-482244972</v>
      </c>
      <c r="K37" s="24">
        <v>-1.0757825604298527E-3</v>
      </c>
      <c r="M37" s="22">
        <v>663429592</v>
      </c>
      <c r="O37" s="22">
        <v>1654212402</v>
      </c>
      <c r="Q37" s="22">
        <v>-3300327643</v>
      </c>
      <c r="S37" s="22">
        <v>-982685649</v>
      </c>
      <c r="U37" s="24">
        <v>-1.5788876038310465E-3</v>
      </c>
    </row>
    <row r="38" spans="1:21" ht="18.75" x14ac:dyDescent="0.45">
      <c r="A38" s="31" t="s">
        <v>47</v>
      </c>
      <c r="C38" s="22">
        <v>0</v>
      </c>
      <c r="E38" s="22">
        <v>-4047946660</v>
      </c>
      <c r="G38" s="22">
        <v>0</v>
      </c>
      <c r="I38" s="22">
        <v>-4047946660</v>
      </c>
      <c r="K38" s="24">
        <v>-9.0300794725098141E-3</v>
      </c>
      <c r="M38" s="22">
        <v>4973291130</v>
      </c>
      <c r="O38" s="22">
        <v>13214371326</v>
      </c>
      <c r="Q38" s="22">
        <v>-8407702977</v>
      </c>
      <c r="S38" s="22">
        <v>9779959479</v>
      </c>
      <c r="U38" s="24">
        <v>1.5713526297119092E-2</v>
      </c>
    </row>
    <row r="39" spans="1:21" ht="18.75" x14ac:dyDescent="0.45">
      <c r="A39" s="31" t="s">
        <v>48</v>
      </c>
      <c r="C39" s="22">
        <v>0</v>
      </c>
      <c r="E39" s="22">
        <v>-9563506100</v>
      </c>
      <c r="G39" s="22">
        <v>0</v>
      </c>
      <c r="I39" s="22">
        <v>-9563506100</v>
      </c>
      <c r="K39" s="24">
        <v>-2.1334080553035845E-2</v>
      </c>
      <c r="M39" s="22">
        <v>8260854580</v>
      </c>
      <c r="O39" s="22">
        <v>-21608681504</v>
      </c>
      <c r="Q39" s="22">
        <v>-1640522387</v>
      </c>
      <c r="S39" s="22">
        <v>-14988349311</v>
      </c>
      <c r="U39" s="24">
        <v>-2.4081881070624558E-2</v>
      </c>
    </row>
    <row r="40" spans="1:21" ht="18.75" x14ac:dyDescent="0.45">
      <c r="A40" s="31" t="s">
        <v>49</v>
      </c>
      <c r="C40" s="22">
        <v>0</v>
      </c>
      <c r="E40" s="22">
        <v>-8130687649</v>
      </c>
      <c r="G40" s="22">
        <v>9225942204</v>
      </c>
      <c r="I40" s="22">
        <v>1095254555</v>
      </c>
      <c r="K40" s="24">
        <v>2.4432722328110845E-3</v>
      </c>
      <c r="M40" s="22">
        <v>11364297360</v>
      </c>
      <c r="O40" s="22">
        <v>-15528512232</v>
      </c>
      <c r="Q40" s="22">
        <v>10359705213</v>
      </c>
      <c r="S40" s="22">
        <v>6195490341</v>
      </c>
      <c r="U40" s="24">
        <v>9.9543357624223162E-3</v>
      </c>
    </row>
    <row r="41" spans="1:21" ht="18.75" x14ac:dyDescent="0.45">
      <c r="A41" s="31" t="s">
        <v>50</v>
      </c>
      <c r="C41" s="22">
        <v>0</v>
      </c>
      <c r="E41" s="22">
        <v>-12789371287</v>
      </c>
      <c r="G41" s="22">
        <v>277742356</v>
      </c>
      <c r="I41" s="22">
        <v>-12511628931</v>
      </c>
      <c r="K41" s="24">
        <v>-2.7910694746526878E-2</v>
      </c>
      <c r="M41" s="22">
        <v>15477329400</v>
      </c>
      <c r="O41" s="22">
        <v>-18313300497</v>
      </c>
      <c r="Q41" s="22">
        <v>-1677814748</v>
      </c>
      <c r="S41" s="22">
        <v>-4513785845</v>
      </c>
      <c r="U41" s="24">
        <v>-7.2523299025185478E-3</v>
      </c>
    </row>
    <row r="42" spans="1:21" ht="18.75" x14ac:dyDescent="0.45">
      <c r="A42" s="31" t="s">
        <v>51</v>
      </c>
      <c r="C42" s="22">
        <v>0</v>
      </c>
      <c r="E42" s="22">
        <v>331685073</v>
      </c>
      <c r="G42" s="22">
        <v>0</v>
      </c>
      <c r="I42" s="22">
        <v>331685073</v>
      </c>
      <c r="K42" s="24">
        <v>7.3991651091450381E-4</v>
      </c>
      <c r="M42" s="22">
        <v>0</v>
      </c>
      <c r="O42" s="22">
        <v>331685073</v>
      </c>
      <c r="Q42" s="22">
        <v>0</v>
      </c>
      <c r="S42" s="22">
        <v>331685073</v>
      </c>
      <c r="U42" s="24">
        <v>5.3292062488998024E-4</v>
      </c>
    </row>
    <row r="43" spans="1:21" ht="18.75" x14ac:dyDescent="0.45">
      <c r="A43" s="31" t="s">
        <v>52</v>
      </c>
      <c r="C43" s="22">
        <v>0</v>
      </c>
      <c r="E43" s="22">
        <v>-4530953579</v>
      </c>
      <c r="G43" s="22">
        <v>0</v>
      </c>
      <c r="I43" s="22">
        <v>-4530953579</v>
      </c>
      <c r="K43" s="24">
        <v>-1.0107561769260759E-2</v>
      </c>
      <c r="M43" s="22">
        <v>1771554000</v>
      </c>
      <c r="O43" s="22">
        <v>2316550161</v>
      </c>
      <c r="Q43" s="22">
        <v>-5794615085</v>
      </c>
      <c r="S43" s="22">
        <v>-1706510924</v>
      </c>
      <c r="U43" s="24">
        <v>-2.7418625136611365E-3</v>
      </c>
    </row>
    <row r="44" spans="1:21" ht="18.75" x14ac:dyDescent="0.45">
      <c r="A44" s="31" t="s">
        <v>232</v>
      </c>
      <c r="C44" s="22">
        <v>0</v>
      </c>
      <c r="E44" s="22">
        <v>-3977740401</v>
      </c>
      <c r="G44" s="22">
        <v>0</v>
      </c>
      <c r="I44" s="22">
        <v>-3977740401</v>
      </c>
      <c r="K44" s="24">
        <v>-8.8734647363270993E-3</v>
      </c>
      <c r="M44" s="22">
        <v>1836964170</v>
      </c>
      <c r="O44" s="22">
        <v>8951926822</v>
      </c>
      <c r="Q44" s="22">
        <v>-6814939120</v>
      </c>
      <c r="S44" s="22">
        <v>3973951872</v>
      </c>
      <c r="U44" s="24">
        <v>6.3849750480298121E-3</v>
      </c>
    </row>
    <row r="45" spans="1:21" ht="18.75" x14ac:dyDescent="0.45">
      <c r="A45" s="31" t="s">
        <v>53</v>
      </c>
      <c r="C45" s="22">
        <v>0</v>
      </c>
      <c r="E45" s="22">
        <v>-5719636624</v>
      </c>
      <c r="G45" s="22">
        <v>0</v>
      </c>
      <c r="I45" s="22">
        <v>-5719636624</v>
      </c>
      <c r="K45" s="24">
        <v>-1.2759252432589548E-2</v>
      </c>
      <c r="M45" s="22">
        <v>2167974875</v>
      </c>
      <c r="O45" s="22">
        <v>7133194634</v>
      </c>
      <c r="Q45" s="22">
        <v>0</v>
      </c>
      <c r="S45" s="22">
        <v>9301169509</v>
      </c>
      <c r="U45" s="24">
        <v>1.4944251250474303E-2</v>
      </c>
    </row>
    <row r="46" spans="1:21" ht="18.75" x14ac:dyDescent="0.45">
      <c r="A46" s="31" t="s">
        <v>54</v>
      </c>
      <c r="C46" s="22">
        <v>0</v>
      </c>
      <c r="E46" s="22">
        <v>1464655281</v>
      </c>
      <c r="G46" s="22">
        <v>1459503531</v>
      </c>
      <c r="I46" s="22">
        <v>2924158812</v>
      </c>
      <c r="K46" s="24">
        <v>6.523155733134064E-3</v>
      </c>
      <c r="M46" s="22">
        <v>0</v>
      </c>
      <c r="O46" s="22">
        <v>-1407280135</v>
      </c>
      <c r="Q46" s="22">
        <v>1459503531</v>
      </c>
      <c r="S46" s="22">
        <v>52223396</v>
      </c>
      <c r="U46" s="24">
        <v>8.3907679590383298E-5</v>
      </c>
    </row>
    <row r="47" spans="1:21" ht="18.75" x14ac:dyDescent="0.45">
      <c r="A47" s="31" t="s">
        <v>56</v>
      </c>
      <c r="C47" s="22">
        <v>0</v>
      </c>
      <c r="E47" s="22">
        <v>-10812771042</v>
      </c>
      <c r="G47" s="22">
        <v>0</v>
      </c>
      <c r="I47" s="22">
        <v>-10812771042</v>
      </c>
      <c r="K47" s="24">
        <v>-2.4120916115854343E-2</v>
      </c>
      <c r="M47" s="22">
        <v>7452230800</v>
      </c>
      <c r="O47" s="22">
        <v>-1758515006</v>
      </c>
      <c r="Q47" s="22">
        <v>0</v>
      </c>
      <c r="S47" s="22">
        <v>5693715794</v>
      </c>
      <c r="U47" s="24">
        <v>9.1481312422052527E-3</v>
      </c>
    </row>
    <row r="48" spans="1:21" ht="18.75" x14ac:dyDescent="0.45">
      <c r="A48" s="31" t="s">
        <v>57</v>
      </c>
      <c r="C48" s="22">
        <v>0</v>
      </c>
      <c r="E48" s="22">
        <v>-15667976121</v>
      </c>
      <c r="G48" s="22">
        <v>0</v>
      </c>
      <c r="I48" s="22">
        <v>-15667976121</v>
      </c>
      <c r="K48" s="24">
        <v>-3.4951811728175304E-2</v>
      </c>
      <c r="M48" s="22">
        <v>9281108970</v>
      </c>
      <c r="O48" s="22">
        <v>-12532712312</v>
      </c>
      <c r="Q48" s="22">
        <v>0</v>
      </c>
      <c r="S48" s="22">
        <v>-3251603342</v>
      </c>
      <c r="U48" s="24">
        <v>-5.224372834266763E-3</v>
      </c>
    </row>
    <row r="49" spans="1:21" ht="18.75" x14ac:dyDescent="0.45">
      <c r="A49" s="31" t="s">
        <v>58</v>
      </c>
      <c r="C49" s="22">
        <v>0</v>
      </c>
      <c r="E49" s="22">
        <v>-10574218351</v>
      </c>
      <c r="G49" s="22">
        <v>0</v>
      </c>
      <c r="I49" s="22">
        <v>-10574218351</v>
      </c>
      <c r="K49" s="24">
        <v>-2.3588757483578523E-2</v>
      </c>
      <c r="M49" s="22">
        <v>0</v>
      </c>
      <c r="O49" s="22">
        <v>-10417203355</v>
      </c>
      <c r="Q49" s="22">
        <v>0</v>
      </c>
      <c r="S49" s="22">
        <v>-10417203355</v>
      </c>
      <c r="U49" s="24">
        <v>-1.6737390294174013E-2</v>
      </c>
    </row>
    <row r="50" spans="1:21" ht="18.75" x14ac:dyDescent="0.45">
      <c r="A50" s="31" t="s">
        <v>59</v>
      </c>
      <c r="C50" s="22">
        <v>0</v>
      </c>
      <c r="E50" s="22">
        <v>-10188686638</v>
      </c>
      <c r="G50" s="22">
        <v>0</v>
      </c>
      <c r="I50" s="22">
        <v>-10188686638</v>
      </c>
      <c r="K50" s="24">
        <v>-2.272872095148577E-2</v>
      </c>
      <c r="M50" s="22">
        <v>5208577000</v>
      </c>
      <c r="O50" s="22">
        <v>-14717433959</v>
      </c>
      <c r="Q50" s="22">
        <v>0</v>
      </c>
      <c r="S50" s="22">
        <v>-9508856959</v>
      </c>
      <c r="U50" s="24">
        <v>-1.5277944065272171E-2</v>
      </c>
    </row>
    <row r="51" spans="1:21" ht="18.75" x14ac:dyDescent="0.45">
      <c r="A51" s="31" t="s">
        <v>60</v>
      </c>
      <c r="C51" s="22">
        <v>0</v>
      </c>
      <c r="E51" s="22">
        <v>-7090017142</v>
      </c>
      <c r="G51" s="22">
        <v>-3920948435</v>
      </c>
      <c r="I51" s="22">
        <v>-11010965577</v>
      </c>
      <c r="K51" s="24">
        <v>-2.4563044570695972E-2</v>
      </c>
      <c r="M51" s="22">
        <v>2206833270</v>
      </c>
      <c r="O51" s="22">
        <v>0</v>
      </c>
      <c r="Q51" s="22">
        <v>-3920948435</v>
      </c>
      <c r="S51" s="22">
        <v>-1714115165</v>
      </c>
      <c r="U51" s="24">
        <v>-2.7540802985282112E-3</v>
      </c>
    </row>
    <row r="52" spans="1:21" ht="18.75" x14ac:dyDescent="0.45">
      <c r="A52" s="31" t="s">
        <v>61</v>
      </c>
      <c r="C52" s="22">
        <v>0</v>
      </c>
      <c r="E52" s="22">
        <v>-1163992787</v>
      </c>
      <c r="G52" s="22">
        <v>-349865829</v>
      </c>
      <c r="I52" s="22">
        <v>-1513858616</v>
      </c>
      <c r="K52" s="24">
        <v>-3.3770859057277495E-3</v>
      </c>
      <c r="M52" s="22">
        <v>1556521750</v>
      </c>
      <c r="O52" s="22">
        <v>0</v>
      </c>
      <c r="Q52" s="22">
        <v>-3386791796</v>
      </c>
      <c r="S52" s="22">
        <v>-1830270046</v>
      </c>
      <c r="U52" s="24">
        <v>-2.9407071226016037E-3</v>
      </c>
    </row>
    <row r="53" spans="1:21" ht="18.75" x14ac:dyDescent="0.45">
      <c r="A53" s="31" t="s">
        <v>62</v>
      </c>
      <c r="C53" s="22">
        <v>0</v>
      </c>
      <c r="E53" s="22">
        <v>-19855359463</v>
      </c>
      <c r="G53" s="22">
        <v>0</v>
      </c>
      <c r="I53" s="22">
        <v>-19855359463</v>
      </c>
      <c r="K53" s="24">
        <v>-4.4292943797372024E-2</v>
      </c>
      <c r="M53" s="22">
        <v>10001494860</v>
      </c>
      <c r="O53" s="22">
        <v>-873650551</v>
      </c>
      <c r="Q53" s="22">
        <v>-5923616398</v>
      </c>
      <c r="S53" s="22">
        <v>3204227911</v>
      </c>
      <c r="U53" s="24">
        <v>5.1482544124620165E-3</v>
      </c>
    </row>
    <row r="54" spans="1:21" ht="18.75" x14ac:dyDescent="0.45">
      <c r="A54" s="31" t="s">
        <v>63</v>
      </c>
      <c r="C54" s="22">
        <v>0</v>
      </c>
      <c r="E54" s="22">
        <v>-2642653296</v>
      </c>
      <c r="G54" s="22">
        <v>0</v>
      </c>
      <c r="I54" s="22">
        <v>-2642653296</v>
      </c>
      <c r="K54" s="24">
        <v>-5.8951787870569431E-3</v>
      </c>
      <c r="M54" s="22">
        <v>528859188</v>
      </c>
      <c r="O54" s="22">
        <v>-1934799734</v>
      </c>
      <c r="Q54" s="22">
        <v>57502122</v>
      </c>
      <c r="S54" s="22">
        <v>-1348438424</v>
      </c>
      <c r="U54" s="24">
        <v>-2.1665450333477627E-3</v>
      </c>
    </row>
    <row r="55" spans="1:21" ht="18.75" x14ac:dyDescent="0.45">
      <c r="A55" s="31" t="s">
        <v>64</v>
      </c>
      <c r="C55" s="22">
        <v>0</v>
      </c>
      <c r="E55" s="22">
        <v>-12460599529</v>
      </c>
      <c r="G55" s="22">
        <v>218438414</v>
      </c>
      <c r="I55" s="22">
        <v>-12242161115</v>
      </c>
      <c r="K55" s="24">
        <v>-2.7309571263895896E-2</v>
      </c>
      <c r="M55" s="22">
        <v>10826857756</v>
      </c>
      <c r="O55" s="22">
        <v>-8371508602</v>
      </c>
      <c r="Q55" s="22">
        <v>218438414</v>
      </c>
      <c r="S55" s="22">
        <v>2673787568</v>
      </c>
      <c r="U55" s="24">
        <v>4.2959923661129622E-3</v>
      </c>
    </row>
    <row r="56" spans="1:21" ht="18.75" x14ac:dyDescent="0.45">
      <c r="A56" s="31" t="s">
        <v>65</v>
      </c>
      <c r="C56" s="22">
        <v>0</v>
      </c>
      <c r="E56" s="22">
        <v>-1586288322</v>
      </c>
      <c r="G56" s="22">
        <v>42057352</v>
      </c>
      <c r="I56" s="22">
        <v>-1544230970</v>
      </c>
      <c r="K56" s="24">
        <v>-3.4448399532544531E-3</v>
      </c>
      <c r="M56" s="22">
        <v>875213400</v>
      </c>
      <c r="O56" s="22">
        <v>-544548828</v>
      </c>
      <c r="Q56" s="22">
        <v>-61872574</v>
      </c>
      <c r="S56" s="22">
        <v>268791998</v>
      </c>
      <c r="U56" s="24">
        <v>4.3186990069820329E-4</v>
      </c>
    </row>
    <row r="57" spans="1:21" ht="18.75" x14ac:dyDescent="0.45">
      <c r="A57" s="31" t="s">
        <v>66</v>
      </c>
      <c r="C57" s="22">
        <v>0</v>
      </c>
      <c r="E57" s="22">
        <v>-6484052721</v>
      </c>
      <c r="G57" s="22">
        <v>0</v>
      </c>
      <c r="I57" s="22">
        <v>-6484052721</v>
      </c>
      <c r="K57" s="24">
        <v>-1.4464496766509643E-2</v>
      </c>
      <c r="M57" s="22">
        <v>4309749270</v>
      </c>
      <c r="O57" s="22">
        <v>6985794896</v>
      </c>
      <c r="Q57" s="22">
        <v>0</v>
      </c>
      <c r="S57" s="22">
        <v>11295544166</v>
      </c>
      <c r="U57" s="24">
        <v>1.8148626348997894E-2</v>
      </c>
    </row>
    <row r="58" spans="1:21" ht="18.75" x14ac:dyDescent="0.45">
      <c r="A58" s="31" t="s">
        <v>67</v>
      </c>
      <c r="C58" s="22">
        <v>0</v>
      </c>
      <c r="E58" s="22">
        <v>-2274472350</v>
      </c>
      <c r="G58" s="22">
        <v>0</v>
      </c>
      <c r="I58" s="22">
        <v>-2274472350</v>
      </c>
      <c r="K58" s="24">
        <v>-5.073848003354412E-3</v>
      </c>
      <c r="M58" s="22">
        <v>0</v>
      </c>
      <c r="O58" s="22">
        <v>-2274472350</v>
      </c>
      <c r="Q58" s="22">
        <v>0</v>
      </c>
      <c r="S58" s="22">
        <v>-2274472350</v>
      </c>
      <c r="U58" s="24">
        <v>-3.6544099349836638E-3</v>
      </c>
    </row>
    <row r="59" spans="1:21" ht="18.75" x14ac:dyDescent="0.45">
      <c r="A59" s="31" t="s">
        <v>68</v>
      </c>
      <c r="C59" s="22">
        <v>0</v>
      </c>
      <c r="E59" s="22">
        <v>-41765863361</v>
      </c>
      <c r="G59" s="22">
        <v>5295301342</v>
      </c>
      <c r="I59" s="22">
        <v>-36470562019</v>
      </c>
      <c r="K59" s="24">
        <v>-8.1357809551440091E-2</v>
      </c>
      <c r="M59" s="22">
        <v>21199709760</v>
      </c>
      <c r="O59" s="22">
        <v>-73927483633</v>
      </c>
      <c r="Q59" s="22">
        <v>8464519152</v>
      </c>
      <c r="S59" s="22">
        <v>-44263254721</v>
      </c>
      <c r="U59" s="24">
        <v>-7.1118067365002244E-2</v>
      </c>
    </row>
    <row r="60" spans="1:21" ht="18.75" x14ac:dyDescent="0.45">
      <c r="A60" s="31" t="s">
        <v>69</v>
      </c>
      <c r="C60" s="22">
        <v>0</v>
      </c>
      <c r="E60" s="22">
        <v>-3851192425</v>
      </c>
      <c r="G60" s="22">
        <v>80854170</v>
      </c>
      <c r="I60" s="22">
        <v>-3770338255</v>
      </c>
      <c r="K60" s="24">
        <v>-8.410796124693495E-3</v>
      </c>
      <c r="M60" s="22">
        <v>3630960900</v>
      </c>
      <c r="O60" s="22">
        <v>-2792447797</v>
      </c>
      <c r="Q60" s="22">
        <v>-166206837</v>
      </c>
      <c r="S60" s="22">
        <v>672306266</v>
      </c>
      <c r="U60" s="24">
        <v>1.0801989735431032E-3</v>
      </c>
    </row>
    <row r="61" spans="1:21" ht="18.75" x14ac:dyDescent="0.45">
      <c r="A61" s="31" t="s">
        <v>70</v>
      </c>
      <c r="C61" s="22">
        <v>0</v>
      </c>
      <c r="E61" s="22">
        <v>-410704281</v>
      </c>
      <c r="G61" s="22">
        <v>0</v>
      </c>
      <c r="I61" s="22">
        <v>-410704281</v>
      </c>
      <c r="K61" s="24">
        <v>-9.1619099969316364E-4</v>
      </c>
      <c r="M61" s="22">
        <v>981513694</v>
      </c>
      <c r="O61" s="22">
        <v>-3100713661</v>
      </c>
      <c r="Q61" s="22">
        <v>-40223715</v>
      </c>
      <c r="S61" s="22">
        <v>-2159423682</v>
      </c>
      <c r="U61" s="24">
        <v>-3.4695604707350274E-3</v>
      </c>
    </row>
    <row r="62" spans="1:21" ht="18.75" x14ac:dyDescent="0.45">
      <c r="A62" s="31" t="s">
        <v>71</v>
      </c>
      <c r="C62" s="22">
        <v>0</v>
      </c>
      <c r="E62" s="22">
        <v>-3661288489</v>
      </c>
      <c r="G62" s="22">
        <v>0</v>
      </c>
      <c r="I62" s="22">
        <v>-3661288489</v>
      </c>
      <c r="K62" s="24">
        <v>-8.1675300601553331E-3</v>
      </c>
      <c r="M62" s="22">
        <v>0</v>
      </c>
      <c r="O62" s="22">
        <v>-7598595548</v>
      </c>
      <c r="Q62" s="22">
        <v>0</v>
      </c>
      <c r="S62" s="22">
        <v>-7598595548</v>
      </c>
      <c r="U62" s="24">
        <v>-1.2208714281593196E-2</v>
      </c>
    </row>
    <row r="63" spans="1:21" ht="18.75" x14ac:dyDescent="0.45">
      <c r="A63" s="31" t="s">
        <v>72</v>
      </c>
      <c r="C63" s="22">
        <v>0</v>
      </c>
      <c r="E63" s="22">
        <v>-3768283170</v>
      </c>
      <c r="G63" s="22">
        <v>0</v>
      </c>
      <c r="I63" s="22">
        <v>-3768283170</v>
      </c>
      <c r="K63" s="24">
        <v>-8.4062116816581798E-3</v>
      </c>
      <c r="M63" s="22">
        <v>3406923000</v>
      </c>
      <c r="O63" s="22">
        <v>-11791272388</v>
      </c>
      <c r="Q63" s="22">
        <v>0</v>
      </c>
      <c r="S63" s="22">
        <v>-8384349388</v>
      </c>
      <c r="U63" s="24">
        <v>-1.3471190230948027E-2</v>
      </c>
    </row>
    <row r="64" spans="1:21" ht="18.75" x14ac:dyDescent="0.45">
      <c r="A64" s="31" t="s">
        <v>73</v>
      </c>
      <c r="C64" s="22">
        <v>0</v>
      </c>
      <c r="E64" s="22">
        <v>-1903552960</v>
      </c>
      <c r="G64" s="22">
        <v>0</v>
      </c>
      <c r="I64" s="22">
        <v>-1903552960</v>
      </c>
      <c r="K64" s="24">
        <v>-4.2464083528539623E-3</v>
      </c>
      <c r="M64" s="22">
        <v>3679110568</v>
      </c>
      <c r="O64" s="22">
        <v>509612603</v>
      </c>
      <c r="Q64" s="22">
        <v>0</v>
      </c>
      <c r="S64" s="22">
        <v>4188723171</v>
      </c>
      <c r="U64" s="24">
        <v>6.7300495303883011E-3</v>
      </c>
    </row>
    <row r="65" spans="1:21" ht="18.75" x14ac:dyDescent="0.45">
      <c r="A65" s="31" t="s">
        <v>74</v>
      </c>
      <c r="C65" s="22">
        <v>0</v>
      </c>
      <c r="E65" s="22">
        <v>-5918275485</v>
      </c>
      <c r="G65" s="22">
        <v>-1014363500</v>
      </c>
      <c r="I65" s="22">
        <v>-6932638985</v>
      </c>
      <c r="K65" s="24">
        <v>-1.5465194145806698E-2</v>
      </c>
      <c r="M65" s="22">
        <v>0</v>
      </c>
      <c r="O65" s="22">
        <v>5112399150</v>
      </c>
      <c r="Q65" s="22">
        <v>-1722026580</v>
      </c>
      <c r="S65" s="22">
        <v>3390372570</v>
      </c>
      <c r="U65" s="24">
        <v>5.4473342808955653E-3</v>
      </c>
    </row>
    <row r="66" spans="1:21" ht="18.75" x14ac:dyDescent="0.45">
      <c r="A66" s="31" t="s">
        <v>75</v>
      </c>
      <c r="C66" s="22">
        <v>0</v>
      </c>
      <c r="E66" s="22">
        <v>-5815294579</v>
      </c>
      <c r="G66" s="22">
        <v>0</v>
      </c>
      <c r="I66" s="22">
        <v>-5815294579</v>
      </c>
      <c r="K66" s="24">
        <v>-1.2972644309603008E-2</v>
      </c>
      <c r="M66" s="22">
        <v>9667551000</v>
      </c>
      <c r="O66" s="22">
        <v>-23000954179</v>
      </c>
      <c r="Q66" s="22">
        <v>491160882</v>
      </c>
      <c r="S66" s="22">
        <v>-12842242297</v>
      </c>
      <c r="U66" s="24">
        <v>-2.0633716579418621E-2</v>
      </c>
    </row>
    <row r="67" spans="1:21" ht="18.75" x14ac:dyDescent="0.45">
      <c r="A67" s="31" t="s">
        <v>76</v>
      </c>
      <c r="C67" s="22">
        <v>0</v>
      </c>
      <c r="E67" s="22">
        <v>-2478075127</v>
      </c>
      <c r="G67" s="22">
        <v>12041483639</v>
      </c>
      <c r="I67" s="22">
        <v>9563408512</v>
      </c>
      <c r="K67" s="24">
        <v>2.1333862855652558E-2</v>
      </c>
      <c r="M67" s="22">
        <v>1174095040</v>
      </c>
      <c r="O67" s="22">
        <v>-21542968645</v>
      </c>
      <c r="Q67" s="22">
        <v>16948667883</v>
      </c>
      <c r="S67" s="22">
        <v>-3420205722</v>
      </c>
      <c r="U67" s="24">
        <v>-5.4952674057192983E-3</v>
      </c>
    </row>
    <row r="68" spans="1:21" ht="18.75" x14ac:dyDescent="0.45">
      <c r="A68" s="31" t="s">
        <v>77</v>
      </c>
      <c r="C68" s="22">
        <v>8362400878</v>
      </c>
      <c r="E68" s="22">
        <v>-3299750907</v>
      </c>
      <c r="G68" s="22">
        <v>55997803</v>
      </c>
      <c r="I68" s="22">
        <v>5118647774</v>
      </c>
      <c r="K68" s="24">
        <v>1.1418578374005912E-2</v>
      </c>
      <c r="M68" s="22">
        <v>8362400878</v>
      </c>
      <c r="O68" s="22">
        <v>409524800</v>
      </c>
      <c r="Q68" s="22">
        <v>-4649107976</v>
      </c>
      <c r="S68" s="22">
        <v>4122817702</v>
      </c>
      <c r="U68" s="24">
        <v>6.6241587726117305E-3</v>
      </c>
    </row>
    <row r="69" spans="1:21" ht="18.75" x14ac:dyDescent="0.45">
      <c r="A69" s="31" t="s">
        <v>78</v>
      </c>
      <c r="C69" s="22">
        <v>0</v>
      </c>
      <c r="E69" s="22">
        <v>-1145507136</v>
      </c>
      <c r="G69" s="22">
        <v>0</v>
      </c>
      <c r="I69" s="22">
        <v>-1145507136</v>
      </c>
      <c r="K69" s="24">
        <v>-2.5553746981456294E-3</v>
      </c>
      <c r="M69" s="22">
        <v>1665233700</v>
      </c>
      <c r="O69" s="22">
        <v>496846469</v>
      </c>
      <c r="Q69" s="22">
        <v>-735969397</v>
      </c>
      <c r="S69" s="22">
        <v>1426110772</v>
      </c>
      <c r="U69" s="24">
        <v>2.2913417143031098E-3</v>
      </c>
    </row>
    <row r="70" spans="1:21" ht="18.75" x14ac:dyDescent="0.45">
      <c r="A70" s="31" t="s">
        <v>79</v>
      </c>
      <c r="C70" s="22">
        <v>0</v>
      </c>
      <c r="E70" s="22">
        <v>-102992678</v>
      </c>
      <c r="G70" s="22">
        <v>0</v>
      </c>
      <c r="I70" s="22">
        <v>-102992678</v>
      </c>
      <c r="K70" s="24">
        <v>-2.2975403223979567E-4</v>
      </c>
      <c r="M70" s="22">
        <v>0</v>
      </c>
      <c r="O70" s="22">
        <v>-102992678</v>
      </c>
      <c r="Q70" s="22">
        <v>0</v>
      </c>
      <c r="S70" s="22">
        <v>-102992678</v>
      </c>
      <c r="U70" s="24">
        <v>-1.6547902449276793E-4</v>
      </c>
    </row>
    <row r="71" spans="1:21" ht="18.75" x14ac:dyDescent="0.45">
      <c r="A71" s="31" t="s">
        <v>80</v>
      </c>
      <c r="C71" s="22">
        <v>0</v>
      </c>
      <c r="E71" s="22">
        <v>-2660065633</v>
      </c>
      <c r="G71" s="22">
        <v>0</v>
      </c>
      <c r="I71" s="22">
        <v>-2660065633</v>
      </c>
      <c r="K71" s="24">
        <v>-5.9340218845873151E-3</v>
      </c>
      <c r="M71" s="22">
        <v>10223412400</v>
      </c>
      <c r="O71" s="22">
        <v>14217592175</v>
      </c>
      <c r="Q71" s="22">
        <v>-8073856800</v>
      </c>
      <c r="S71" s="22">
        <v>16367147775</v>
      </c>
      <c r="U71" s="24">
        <v>2.6297205783269148E-2</v>
      </c>
    </row>
    <row r="72" spans="1:21" ht="18.75" x14ac:dyDescent="0.45">
      <c r="A72" s="31" t="s">
        <v>81</v>
      </c>
      <c r="C72" s="22">
        <v>0</v>
      </c>
      <c r="E72" s="22">
        <v>-10063142284</v>
      </c>
      <c r="G72" s="22">
        <v>-2795179153</v>
      </c>
      <c r="I72" s="22">
        <v>-12858321437</v>
      </c>
      <c r="K72" s="24">
        <v>-2.8684089542619272E-2</v>
      </c>
      <c r="M72" s="22">
        <v>3061282080</v>
      </c>
      <c r="O72" s="22">
        <v>6604063056</v>
      </c>
      <c r="Q72" s="22">
        <v>-5124925811</v>
      </c>
      <c r="S72" s="22">
        <v>4540419325</v>
      </c>
      <c r="U72" s="24">
        <v>7.295122092942489E-3</v>
      </c>
    </row>
    <row r="73" spans="1:21" ht="18.75" x14ac:dyDescent="0.45">
      <c r="A73" s="31" t="s">
        <v>82</v>
      </c>
      <c r="C73" s="22">
        <v>0</v>
      </c>
      <c r="E73" s="22">
        <v>-2428241393</v>
      </c>
      <c r="G73" s="22">
        <v>0</v>
      </c>
      <c r="I73" s="22">
        <v>-2428241393</v>
      </c>
      <c r="K73" s="24">
        <v>-5.416872947932555E-3</v>
      </c>
      <c r="M73" s="22">
        <v>0</v>
      </c>
      <c r="O73" s="22">
        <v>-4130848046</v>
      </c>
      <c r="Q73" s="22">
        <v>-1125294420</v>
      </c>
      <c r="S73" s="22">
        <v>-5256142466</v>
      </c>
      <c r="U73" s="24">
        <v>-8.445079249892809E-3</v>
      </c>
    </row>
    <row r="74" spans="1:21" ht="18.75" x14ac:dyDescent="0.45">
      <c r="A74" s="31" t="s">
        <v>233</v>
      </c>
      <c r="C74" s="22">
        <v>0</v>
      </c>
      <c r="E74" s="22">
        <v>-13886231940</v>
      </c>
      <c r="G74" s="22">
        <v>0</v>
      </c>
      <c r="I74" s="22">
        <v>-13886231940</v>
      </c>
      <c r="K74" s="24">
        <v>-3.0977131994101955E-2</v>
      </c>
      <c r="M74" s="22">
        <v>10880392370</v>
      </c>
      <c r="O74" s="22">
        <v>-21346235218</v>
      </c>
      <c r="Q74" s="22">
        <v>-68360644</v>
      </c>
      <c r="S74" s="22">
        <v>-10534203492</v>
      </c>
      <c r="U74" s="24">
        <v>-1.6925375196715144E-2</v>
      </c>
    </row>
    <row r="75" spans="1:21" ht="18.75" x14ac:dyDescent="0.45">
      <c r="A75" s="31" t="s">
        <v>84</v>
      </c>
      <c r="C75" s="22">
        <v>0</v>
      </c>
      <c r="E75" s="22">
        <v>-19012987122</v>
      </c>
      <c r="G75" s="22">
        <v>1401804959</v>
      </c>
      <c r="I75" s="22">
        <v>-17611182163</v>
      </c>
      <c r="K75" s="24">
        <v>-3.928667739330767E-2</v>
      </c>
      <c r="M75" s="22">
        <v>15484422500</v>
      </c>
      <c r="O75" s="22">
        <v>-10794215092</v>
      </c>
      <c r="Q75" s="22">
        <v>-535547544</v>
      </c>
      <c r="S75" s="22">
        <v>4154659864</v>
      </c>
      <c r="U75" s="24">
        <v>6.6753197872374565E-3</v>
      </c>
    </row>
    <row r="76" spans="1:21" ht="18.75" x14ac:dyDescent="0.45">
      <c r="A76" s="31" t="s">
        <v>85</v>
      </c>
      <c r="C76" s="22">
        <v>0</v>
      </c>
      <c r="E76" s="22">
        <v>-1722191625</v>
      </c>
      <c r="G76" s="22">
        <v>0</v>
      </c>
      <c r="I76" s="22">
        <v>-1722191625</v>
      </c>
      <c r="K76" s="24">
        <v>-3.8418310681595843E-3</v>
      </c>
      <c r="M76" s="22">
        <v>18000000</v>
      </c>
      <c r="O76" s="22">
        <v>-2809632623</v>
      </c>
      <c r="Q76" s="22">
        <v>0</v>
      </c>
      <c r="S76" s="22">
        <v>-2791632623</v>
      </c>
      <c r="U76" s="24">
        <v>-4.4853348040549733E-3</v>
      </c>
    </row>
    <row r="77" spans="1:21" ht="18.75" x14ac:dyDescent="0.45">
      <c r="A77" s="31" t="s">
        <v>86</v>
      </c>
      <c r="C77" s="22">
        <v>0</v>
      </c>
      <c r="E77" s="22">
        <v>-4616503614</v>
      </c>
      <c r="G77" s="22">
        <v>2710136279</v>
      </c>
      <c r="I77" s="22">
        <v>-1906367335</v>
      </c>
      <c r="K77" s="24">
        <v>-4.252686605027237E-3</v>
      </c>
      <c r="M77" s="22">
        <v>0</v>
      </c>
      <c r="O77" s="22">
        <v>-18443733052</v>
      </c>
      <c r="Q77" s="22">
        <v>13692162115</v>
      </c>
      <c r="S77" s="22">
        <v>-4751570937</v>
      </c>
      <c r="U77" s="24">
        <v>-7.6343807999918909E-3</v>
      </c>
    </row>
    <row r="78" spans="1:21" ht="37.5" x14ac:dyDescent="0.45">
      <c r="A78" s="31" t="s">
        <v>87</v>
      </c>
      <c r="C78" s="22">
        <v>0</v>
      </c>
      <c r="E78" s="22">
        <v>-2963064240</v>
      </c>
      <c r="G78" s="22">
        <v>0</v>
      </c>
      <c r="I78" s="22">
        <v>-2963064240</v>
      </c>
      <c r="K78" s="24">
        <v>-6.6099451936335284E-3</v>
      </c>
      <c r="M78" s="22">
        <v>0</v>
      </c>
      <c r="O78" s="22">
        <v>-6008295027</v>
      </c>
      <c r="Q78" s="22">
        <v>-6772481868</v>
      </c>
      <c r="S78" s="22">
        <v>-12780776895</v>
      </c>
      <c r="U78" s="24">
        <v>-2.0534959706983321E-2</v>
      </c>
    </row>
    <row r="79" spans="1:21" ht="18.75" x14ac:dyDescent="0.45">
      <c r="A79" s="31" t="s">
        <v>88</v>
      </c>
      <c r="C79" s="22">
        <v>0</v>
      </c>
      <c r="E79" s="22">
        <v>-4968030831</v>
      </c>
      <c r="G79" s="22">
        <v>1477351136</v>
      </c>
      <c r="I79" s="22">
        <v>-3490679695</v>
      </c>
      <c r="K79" s="24">
        <v>-7.7869393315885055E-3</v>
      </c>
      <c r="M79" s="22">
        <v>0</v>
      </c>
      <c r="O79" s="22">
        <v>0</v>
      </c>
      <c r="Q79" s="22">
        <v>-10014921547</v>
      </c>
      <c r="S79" s="22">
        <v>-10014921547</v>
      </c>
      <c r="U79" s="24">
        <v>-1.6091041423053027E-2</v>
      </c>
    </row>
    <row r="80" spans="1:21" ht="18.75" x14ac:dyDescent="0.45">
      <c r="A80" s="31" t="s">
        <v>213</v>
      </c>
      <c r="L80" s="23"/>
      <c r="M80" s="22">
        <v>0</v>
      </c>
      <c r="O80" s="22">
        <v>0</v>
      </c>
      <c r="Q80" s="22">
        <v>-208684776</v>
      </c>
      <c r="S80" s="22">
        <v>-208684776</v>
      </c>
      <c r="U80" s="24">
        <v>-3.3529522515155679E-4</v>
      </c>
    </row>
    <row r="81" spans="1:21" ht="18.75" x14ac:dyDescent="0.45">
      <c r="A81" s="31" t="s">
        <v>234</v>
      </c>
      <c r="L81" s="23"/>
      <c r="M81" s="22">
        <v>799994060</v>
      </c>
      <c r="O81" s="22">
        <v>0</v>
      </c>
      <c r="Q81" s="22">
        <v>-2757485651</v>
      </c>
      <c r="S81" s="22">
        <v>-1957491591</v>
      </c>
      <c r="U81" s="24">
        <v>-3.1451148297306753E-3</v>
      </c>
    </row>
    <row r="82" spans="1:21" ht="18.75" x14ac:dyDescent="0.45">
      <c r="A82" s="31" t="s">
        <v>214</v>
      </c>
      <c r="L82" s="23"/>
      <c r="M82" s="22">
        <v>0</v>
      </c>
      <c r="O82" s="22">
        <v>0</v>
      </c>
      <c r="Q82" s="22">
        <v>3733687879</v>
      </c>
      <c r="S82" s="22">
        <v>3733687879</v>
      </c>
      <c r="U82" s="24">
        <v>5.99894128374244E-3</v>
      </c>
    </row>
    <row r="83" spans="1:21" ht="18.75" x14ac:dyDescent="0.45">
      <c r="A83" s="31" t="s">
        <v>163</v>
      </c>
      <c r="L83" s="23"/>
      <c r="M83" s="22">
        <v>1500000000</v>
      </c>
      <c r="O83" s="22">
        <v>0</v>
      </c>
      <c r="Q83" s="22">
        <v>-3192565748</v>
      </c>
      <c r="S83" s="22">
        <v>-1692565748</v>
      </c>
      <c r="U83" s="24">
        <v>-2.7194567061253816E-3</v>
      </c>
    </row>
    <row r="84" spans="1:21" ht="18.75" x14ac:dyDescent="0.45">
      <c r="A84" s="31" t="s">
        <v>169</v>
      </c>
      <c r="L84" s="23"/>
      <c r="M84" s="22">
        <v>2282247100</v>
      </c>
      <c r="O84" s="22">
        <v>0</v>
      </c>
      <c r="Q84" s="22">
        <v>7345301855</v>
      </c>
      <c r="S84" s="22">
        <v>9627548955</v>
      </c>
      <c r="U84" s="24">
        <v>1.5468647288982691E-2</v>
      </c>
    </row>
    <row r="85" spans="1:21" ht="18.75" x14ac:dyDescent="0.45">
      <c r="A85" s="31" t="s">
        <v>175</v>
      </c>
      <c r="L85" s="23"/>
      <c r="M85" s="22">
        <v>5873257500</v>
      </c>
      <c r="O85" s="22">
        <v>0</v>
      </c>
      <c r="Q85" s="22">
        <v>-6354037387</v>
      </c>
      <c r="S85" s="22">
        <v>-480779887</v>
      </c>
      <c r="U85" s="24">
        <v>-7.724722595959996E-4</v>
      </c>
    </row>
    <row r="86" spans="1:21" ht="18.75" x14ac:dyDescent="0.45">
      <c r="A86" s="31" t="s">
        <v>178</v>
      </c>
      <c r="L86" s="23"/>
      <c r="M86" s="22">
        <v>2965783190</v>
      </c>
      <c r="O86" s="22">
        <v>0</v>
      </c>
      <c r="Q86" s="22">
        <v>-4421527160</v>
      </c>
      <c r="S86" s="22">
        <v>-1455743970</v>
      </c>
      <c r="U86" s="24">
        <v>-2.3389535716978756E-3</v>
      </c>
    </row>
    <row r="87" spans="1:21" ht="37.5" x14ac:dyDescent="0.45">
      <c r="A87" s="31" t="s">
        <v>180</v>
      </c>
      <c r="L87" s="23"/>
      <c r="M87" s="22">
        <v>1266093300</v>
      </c>
      <c r="O87" s="22">
        <v>0</v>
      </c>
      <c r="Q87" s="22">
        <v>-9072394976</v>
      </c>
      <c r="S87" s="22">
        <v>-7806301676</v>
      </c>
      <c r="U87" s="24">
        <v>-1.2542437106458571E-2</v>
      </c>
    </row>
    <row r="88" spans="1:21" ht="18.75" x14ac:dyDescent="0.45">
      <c r="A88" s="31" t="s">
        <v>183</v>
      </c>
      <c r="L88" s="23"/>
      <c r="M88" s="22">
        <v>417127708</v>
      </c>
      <c r="O88" s="22">
        <v>0</v>
      </c>
      <c r="Q88" s="22">
        <v>-11470390849</v>
      </c>
      <c r="S88" s="22">
        <v>-11053263141</v>
      </c>
      <c r="U88" s="24">
        <v>-1.7759351805907483E-2</v>
      </c>
    </row>
    <row r="89" spans="1:21" ht="37.5" x14ac:dyDescent="0.45">
      <c r="A89" s="31" t="s">
        <v>185</v>
      </c>
      <c r="L89" s="23"/>
      <c r="M89" s="22">
        <v>2632423200</v>
      </c>
      <c r="O89" s="22">
        <v>0</v>
      </c>
      <c r="Q89" s="22">
        <v>-13752124697</v>
      </c>
      <c r="S89" s="22">
        <v>-11119701497</v>
      </c>
      <c r="U89" s="24">
        <v>-1.7866098756790568E-2</v>
      </c>
    </row>
    <row r="90" spans="1:21" ht="18.75" x14ac:dyDescent="0.45">
      <c r="A90" s="31" t="s">
        <v>215</v>
      </c>
      <c r="L90" s="23"/>
      <c r="M90" s="22">
        <v>0</v>
      </c>
      <c r="O90" s="22">
        <v>0</v>
      </c>
      <c r="Q90" s="22">
        <v>-1105206315</v>
      </c>
      <c r="S90" s="22">
        <v>-1105206315</v>
      </c>
      <c r="U90" s="24">
        <v>-1.7757423772342999E-3</v>
      </c>
    </row>
    <row r="91" spans="1:21" ht="18.75" x14ac:dyDescent="0.45">
      <c r="A91" s="31" t="s">
        <v>216</v>
      </c>
      <c r="L91" s="23"/>
      <c r="M91" s="22">
        <v>0</v>
      </c>
      <c r="O91" s="22">
        <v>0</v>
      </c>
      <c r="Q91" s="22">
        <v>-64037815</v>
      </c>
      <c r="S91" s="22">
        <v>-64037815</v>
      </c>
      <c r="U91" s="24">
        <v>-1.0288998560507711E-4</v>
      </c>
    </row>
    <row r="92" spans="1:21" ht="18.75" x14ac:dyDescent="0.45">
      <c r="A92" s="31" t="s">
        <v>188</v>
      </c>
      <c r="L92" s="23"/>
      <c r="M92" s="22">
        <v>4561841200</v>
      </c>
      <c r="O92" s="22">
        <v>0</v>
      </c>
      <c r="Q92" s="22">
        <v>-9339500101</v>
      </c>
      <c r="S92" s="22">
        <v>-4777658901</v>
      </c>
      <c r="U92" s="24">
        <v>-7.6762965062105648E-3</v>
      </c>
    </row>
    <row r="93" spans="1:21" ht="18.75" x14ac:dyDescent="0.45">
      <c r="A93" s="31" t="s">
        <v>190</v>
      </c>
      <c r="L93" s="23"/>
      <c r="M93" s="22">
        <v>7215950050</v>
      </c>
      <c r="O93" s="22">
        <v>0</v>
      </c>
      <c r="Q93" s="22">
        <v>-14856523005</v>
      </c>
      <c r="S93" s="22">
        <v>-7640572955</v>
      </c>
      <c r="U93" s="24">
        <v>-1.2276159662138558E-2</v>
      </c>
    </row>
    <row r="94" spans="1:21" ht="18.75" x14ac:dyDescent="0.45">
      <c r="A94" s="31" t="s">
        <v>191</v>
      </c>
      <c r="L94" s="23"/>
      <c r="M94" s="22">
        <v>500000000</v>
      </c>
      <c r="O94" s="22">
        <v>0</v>
      </c>
      <c r="Q94" s="22">
        <v>-1007345125</v>
      </c>
      <c r="S94" s="22">
        <v>-507345125</v>
      </c>
      <c r="U94" s="24">
        <v>-8.1515480514218113E-4</v>
      </c>
    </row>
    <row r="95" spans="1:21" ht="18.75" x14ac:dyDescent="0.45">
      <c r="A95" s="31" t="s">
        <v>192</v>
      </c>
      <c r="L95" s="23"/>
      <c r="M95" s="22">
        <v>10285969930</v>
      </c>
      <c r="O95" s="22">
        <v>0</v>
      </c>
      <c r="Q95" s="22">
        <v>-25942253320</v>
      </c>
      <c r="S95" s="22">
        <v>-15656283390</v>
      </c>
      <c r="U95" s="24">
        <v>-2.5155055222076329E-2</v>
      </c>
    </row>
    <row r="96" spans="1:21" ht="18.75" x14ac:dyDescent="0.45">
      <c r="A96" s="31" t="s">
        <v>217</v>
      </c>
      <c r="L96" s="23"/>
      <c r="M96" s="22">
        <v>0</v>
      </c>
      <c r="O96" s="22">
        <v>0</v>
      </c>
      <c r="Q96" s="22">
        <v>-1710670216</v>
      </c>
      <c r="S96" s="22">
        <v>-1710670216</v>
      </c>
      <c r="U96" s="24">
        <v>-2.7485452759322621E-3</v>
      </c>
    </row>
    <row r="97" spans="1:21" ht="18.75" x14ac:dyDescent="0.45">
      <c r="A97" s="31" t="s">
        <v>218</v>
      </c>
      <c r="L97" s="23"/>
      <c r="M97" s="22">
        <v>0</v>
      </c>
      <c r="O97" s="22">
        <v>0</v>
      </c>
      <c r="Q97" s="22">
        <v>-218391344</v>
      </c>
      <c r="S97" s="22">
        <v>-218391344</v>
      </c>
      <c r="U97" s="24">
        <v>-3.5089083286857058E-4</v>
      </c>
    </row>
    <row r="98" spans="1:21" ht="18.75" x14ac:dyDescent="0.45">
      <c r="A98" s="31" t="s">
        <v>200</v>
      </c>
      <c r="L98" s="23"/>
      <c r="M98" s="22">
        <v>3029688000</v>
      </c>
      <c r="O98" s="22">
        <v>0</v>
      </c>
      <c r="Q98" s="22">
        <v>-2264786002</v>
      </c>
      <c r="S98" s="22">
        <v>764901998</v>
      </c>
      <c r="U98" s="24">
        <v>1.228973155369444E-3</v>
      </c>
    </row>
    <row r="99" spans="1:21" ht="18.75" x14ac:dyDescent="0.45">
      <c r="A99" s="31" t="s">
        <v>219</v>
      </c>
      <c r="L99" s="23"/>
      <c r="M99" s="22">
        <v>0</v>
      </c>
      <c r="O99" s="22">
        <v>0</v>
      </c>
      <c r="Q99" s="22">
        <v>438966730</v>
      </c>
      <c r="S99" s="22">
        <v>438966730</v>
      </c>
      <c r="U99" s="24">
        <v>7.0529078062403863E-4</v>
      </c>
    </row>
    <row r="100" spans="1:21" ht="18.75" x14ac:dyDescent="0.45">
      <c r="A100" s="31" t="s">
        <v>202</v>
      </c>
      <c r="L100" s="23"/>
      <c r="M100" s="22">
        <v>1345052250</v>
      </c>
      <c r="O100" s="22">
        <v>0</v>
      </c>
      <c r="Q100" s="22">
        <v>-3111120113</v>
      </c>
      <c r="S100" s="22">
        <v>-1766067863</v>
      </c>
      <c r="U100" s="24">
        <v>-2.8375530458317369E-3</v>
      </c>
    </row>
    <row r="101" spans="1:21" ht="18.75" x14ac:dyDescent="0.45">
      <c r="A101" s="31" t="s">
        <v>220</v>
      </c>
      <c r="L101" s="23"/>
      <c r="M101" s="22">
        <v>0</v>
      </c>
      <c r="O101" s="22">
        <v>0</v>
      </c>
      <c r="Q101" s="22">
        <v>-408581103</v>
      </c>
      <c r="S101" s="22">
        <v>-408581103</v>
      </c>
      <c r="U101" s="24">
        <v>-6.5646999052320146E-4</v>
      </c>
    </row>
    <row r="102" spans="1:21" ht="18.75" x14ac:dyDescent="0.45">
      <c r="A102" s="25" t="s">
        <v>89</v>
      </c>
      <c r="C102" s="25">
        <f>SUM(C9:$C$101)</f>
        <v>8362400878</v>
      </c>
      <c r="E102" s="25">
        <f>SUM(E9:$E$101)</f>
        <v>-390771713334</v>
      </c>
      <c r="G102" s="25">
        <f>SUM(G9:$G$101)</f>
        <v>48811427645</v>
      </c>
      <c r="I102" s="25">
        <f>SUM(I9:$I$101)</f>
        <v>-333597884811</v>
      </c>
      <c r="K102" s="26">
        <f>SUM(K9:$K$101)</f>
        <v>-0.74418357372932997</v>
      </c>
      <c r="M102" s="25">
        <f>SUM(M9:$M$101)</f>
        <v>285664586509</v>
      </c>
      <c r="O102" s="25">
        <f>SUM(O9:$O$101)</f>
        <v>-408098750887</v>
      </c>
      <c r="Q102" s="25">
        <f>SUM(Q9:$Q$101)</f>
        <v>-74777677293</v>
      </c>
      <c r="S102" s="25">
        <f>SUM(S9:$S$101)</f>
        <v>-197211841671</v>
      </c>
      <c r="U102" s="26">
        <f>SUM(U9:U101)</f>
        <v>-0.31686158484139315</v>
      </c>
    </row>
    <row r="103" spans="1:21" ht="18.75" x14ac:dyDescent="0.45">
      <c r="C103" s="27"/>
      <c r="E103" s="27"/>
      <c r="G103" s="27"/>
      <c r="I103" s="27"/>
      <c r="K103" s="27"/>
      <c r="M103" s="27"/>
      <c r="O103" s="27"/>
      <c r="Q103" s="27"/>
      <c r="S103" s="27"/>
      <c r="U103" s="27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7" style="13" customWidth="1"/>
    <col min="4" max="4" width="1.42578125" style="13" customWidth="1"/>
    <col min="5" max="5" width="17" style="13" customWidth="1"/>
    <col min="6" max="6" width="1.42578125" style="13" customWidth="1"/>
    <col min="7" max="7" width="17" style="13" customWidth="1"/>
    <col min="8" max="8" width="1.42578125" style="13" customWidth="1"/>
    <col min="9" max="9" width="17" style="13" customWidth="1"/>
    <col min="10" max="10" width="1.42578125" style="13" customWidth="1"/>
    <col min="11" max="11" width="17" style="13" customWidth="1"/>
    <col min="12" max="12" width="1.42578125" style="13" customWidth="1"/>
    <col min="13" max="13" width="17" style="13" customWidth="1"/>
    <col min="14" max="14" width="1.42578125" style="13" customWidth="1"/>
    <col min="15" max="15" width="17" style="13" customWidth="1"/>
    <col min="16" max="16" width="1.42578125" style="13" customWidth="1"/>
    <col min="17" max="17" width="17" style="13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235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145</v>
      </c>
      <c r="D7" s="16"/>
      <c r="E7" s="16"/>
      <c r="F7" s="16"/>
      <c r="G7" s="16"/>
      <c r="H7" s="16"/>
      <c r="I7" s="16"/>
      <c r="J7" s="16"/>
      <c r="K7" s="16"/>
      <c r="M7" s="15" t="s">
        <v>7</v>
      </c>
      <c r="N7" s="16"/>
      <c r="O7" s="16"/>
      <c r="P7" s="16"/>
      <c r="Q7" s="16"/>
    </row>
    <row r="8" spans="1:17" ht="21" x14ac:dyDescent="0.45">
      <c r="C8" s="30" t="s">
        <v>236</v>
      </c>
      <c r="E8" s="30" t="s">
        <v>226</v>
      </c>
      <c r="G8" s="30" t="s">
        <v>227</v>
      </c>
      <c r="I8" s="30" t="s">
        <v>89</v>
      </c>
      <c r="K8" s="30" t="s">
        <v>236</v>
      </c>
      <c r="M8" s="30" t="s">
        <v>226</v>
      </c>
      <c r="O8" s="30" t="s">
        <v>227</v>
      </c>
      <c r="Q8" s="30" t="s">
        <v>89</v>
      </c>
    </row>
    <row r="9" spans="1:17" ht="37.5" x14ac:dyDescent="0.45">
      <c r="A9" s="31" t="s">
        <v>114</v>
      </c>
      <c r="C9" s="22">
        <v>117790468</v>
      </c>
      <c r="E9" s="22">
        <v>4643625</v>
      </c>
      <c r="G9" s="22">
        <v>-2321812</v>
      </c>
      <c r="I9" s="22">
        <v>120112281</v>
      </c>
      <c r="K9" s="22">
        <v>2812519762</v>
      </c>
      <c r="M9" s="22">
        <v>0</v>
      </c>
      <c r="O9" s="22">
        <v>-24309249</v>
      </c>
      <c r="Q9" s="22">
        <v>2788210513</v>
      </c>
    </row>
    <row r="10" spans="1:17" ht="18.75" x14ac:dyDescent="0.45">
      <c r="A10" s="25" t="s">
        <v>89</v>
      </c>
      <c r="C10" s="25">
        <f>SUM(C9:$C$9)</f>
        <v>117790468</v>
      </c>
      <c r="E10" s="25">
        <f>SUM(E9:$E$9)</f>
        <v>4643625</v>
      </c>
      <c r="G10" s="25">
        <f>SUM(G9:$G$9)</f>
        <v>-2321812</v>
      </c>
      <c r="I10" s="25">
        <f>SUM(I9:$I$9)</f>
        <v>120112281</v>
      </c>
      <c r="K10" s="25">
        <f>SUM(K9:$K$9)</f>
        <v>2812519762</v>
      </c>
      <c r="M10" s="25">
        <f>SUM(M9:$M$9)</f>
        <v>0</v>
      </c>
      <c r="O10" s="25">
        <f>SUM(O9:$O$9)</f>
        <v>-24309249</v>
      </c>
      <c r="Q10" s="25">
        <f>SUM(Q9:$Q$9)</f>
        <v>2788210513</v>
      </c>
    </row>
    <row r="11" spans="1:17" ht="18.75" x14ac:dyDescent="0.45">
      <c r="C11" s="27"/>
      <c r="E11" s="27"/>
      <c r="G11" s="27"/>
      <c r="I11" s="27"/>
      <c r="K11" s="27"/>
      <c r="M11" s="27"/>
      <c r="O11" s="27"/>
      <c r="Q11" s="27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5.5703125" style="13" customWidth="1"/>
    <col min="2" max="2" width="1.42578125" style="13" customWidth="1"/>
    <col min="3" max="3" width="17" style="13" customWidth="1"/>
    <col min="4" max="4" width="1.42578125" style="13" customWidth="1"/>
    <col min="5" max="5" width="14.140625" style="13" customWidth="1"/>
    <col min="6" max="6" width="1.42578125" style="13" customWidth="1"/>
    <col min="7" max="7" width="17" style="13" customWidth="1"/>
    <col min="8" max="8" width="1.42578125" style="13" customWidth="1"/>
    <col min="9" max="9" width="14.140625" style="13" customWidth="1"/>
    <col min="10" max="16384" width="9.140625" style="13"/>
  </cols>
  <sheetData>
    <row r="1" spans="1: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0.100000000000001" customHeight="1" x14ac:dyDescent="0.45">
      <c r="A2" s="11" t="s">
        <v>133</v>
      </c>
      <c r="B2" s="12"/>
      <c r="C2" s="12"/>
      <c r="D2" s="12"/>
      <c r="E2" s="12"/>
      <c r="F2" s="12"/>
      <c r="G2" s="12"/>
      <c r="H2" s="12"/>
      <c r="I2" s="12"/>
    </row>
    <row r="3" spans="1: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</row>
    <row r="5" spans="1:9" ht="21" x14ac:dyDescent="0.45">
      <c r="A5" s="14" t="s">
        <v>237</v>
      </c>
      <c r="B5" s="12"/>
      <c r="C5" s="12"/>
      <c r="D5" s="12"/>
      <c r="E5" s="12"/>
      <c r="F5" s="12"/>
      <c r="G5" s="12"/>
      <c r="H5" s="12"/>
      <c r="I5" s="12"/>
    </row>
    <row r="7" spans="1:9" ht="21" x14ac:dyDescent="0.45">
      <c r="A7" s="15" t="s">
        <v>238</v>
      </c>
      <c r="B7" s="16"/>
      <c r="C7" s="15" t="s">
        <v>145</v>
      </c>
      <c r="D7" s="16"/>
      <c r="E7" s="16"/>
      <c r="G7" s="15" t="s">
        <v>7</v>
      </c>
      <c r="H7" s="16"/>
      <c r="I7" s="16"/>
    </row>
    <row r="8" spans="1:9" ht="42" x14ac:dyDescent="0.45">
      <c r="A8" s="30" t="s">
        <v>239</v>
      </c>
      <c r="C8" s="30" t="s">
        <v>240</v>
      </c>
      <c r="E8" s="30" t="s">
        <v>241</v>
      </c>
      <c r="G8" s="30" t="s">
        <v>240</v>
      </c>
      <c r="I8" s="30" t="s">
        <v>241</v>
      </c>
    </row>
    <row r="9" spans="1:9" ht="18.75" x14ac:dyDescent="0.45">
      <c r="A9" s="50" t="s">
        <v>258</v>
      </c>
      <c r="C9" s="22">
        <v>5661430</v>
      </c>
      <c r="E9" s="24">
        <v>1</v>
      </c>
      <c r="G9" s="22">
        <v>298923498</v>
      </c>
      <c r="I9" s="24">
        <v>1</v>
      </c>
    </row>
    <row r="10" spans="1:9" ht="19.5" thickBot="1" x14ac:dyDescent="0.5">
      <c r="A10" s="25" t="s">
        <v>89</v>
      </c>
      <c r="C10" s="25">
        <f>SUM(C9:$C$9)</f>
        <v>5661430</v>
      </c>
      <c r="E10" s="26">
        <f>SUM(E9:$E$9)</f>
        <v>1</v>
      </c>
      <c r="G10" s="25">
        <f>SUM(G9:$G$9)</f>
        <v>298923498</v>
      </c>
      <c r="I10" s="26">
        <f>SUM(I9:$I$9)</f>
        <v>1</v>
      </c>
    </row>
    <row r="11" spans="1:9" ht="19.5" thickTop="1" x14ac:dyDescent="0.45">
      <c r="C11" s="27"/>
      <c r="E11" s="27"/>
      <c r="G11" s="27"/>
      <c r="I11" s="27"/>
    </row>
    <row r="14" spans="1:9" x14ac:dyDescent="0.45">
      <c r="C14" s="42"/>
      <c r="D14" s="42"/>
      <c r="E14" s="42"/>
      <c r="F14" s="42"/>
      <c r="G14" s="42"/>
      <c r="H14" s="42"/>
      <c r="I14" s="42"/>
    </row>
    <row r="15" spans="1:9" ht="18.75" x14ac:dyDescent="0.45">
      <c r="C15" s="43"/>
      <c r="D15" s="42"/>
      <c r="E15" s="44"/>
      <c r="F15" s="42"/>
      <c r="G15" s="43"/>
      <c r="H15" s="42"/>
      <c r="I15" s="44"/>
    </row>
    <row r="16" spans="1:9" x14ac:dyDescent="0.45">
      <c r="C16" s="42"/>
      <c r="D16" s="42"/>
      <c r="E16" s="42"/>
      <c r="F16" s="42"/>
      <c r="G16" s="42"/>
      <c r="H16" s="42"/>
      <c r="I16" s="42"/>
    </row>
    <row r="17" spans="3:9" x14ac:dyDescent="0.45">
      <c r="C17" s="42"/>
      <c r="D17" s="42"/>
      <c r="E17" s="42"/>
      <c r="F17" s="42"/>
      <c r="G17" s="42"/>
      <c r="H17" s="42"/>
      <c r="I17" s="42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activeCell="A15" sqref="A15:K20"/>
    </sheetView>
  </sheetViews>
  <sheetFormatPr defaultRowHeight="18" x14ac:dyDescent="0.45"/>
  <cols>
    <col min="1" max="1" width="25.57031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8.42578125" style="13" customWidth="1"/>
    <col min="6" max="16384" width="9.140625" style="13"/>
  </cols>
  <sheetData>
    <row r="1" spans="1:5" ht="20.100000000000001" customHeight="1" x14ac:dyDescent="0.45">
      <c r="A1" s="11" t="s">
        <v>0</v>
      </c>
      <c r="B1" s="12"/>
      <c r="C1" s="12"/>
      <c r="D1" s="12"/>
      <c r="E1" s="12"/>
    </row>
    <row r="2" spans="1:5" ht="20.100000000000001" customHeight="1" x14ac:dyDescent="0.45">
      <c r="A2" s="11" t="s">
        <v>133</v>
      </c>
      <c r="B2" s="12"/>
      <c r="C2" s="12"/>
      <c r="D2" s="12"/>
      <c r="E2" s="12"/>
    </row>
    <row r="3" spans="1:5" ht="20.100000000000001" customHeight="1" x14ac:dyDescent="0.45">
      <c r="A3" s="11" t="s">
        <v>2</v>
      </c>
      <c r="B3" s="12"/>
      <c r="C3" s="12"/>
      <c r="D3" s="12"/>
      <c r="E3" s="12"/>
    </row>
    <row r="5" spans="1:5" ht="21" x14ac:dyDescent="0.45">
      <c r="A5" s="14" t="s">
        <v>242</v>
      </c>
      <c r="B5" s="12"/>
      <c r="C5" s="12"/>
      <c r="D5" s="12"/>
      <c r="E5" s="12"/>
    </row>
    <row r="7" spans="1:5" ht="21" x14ac:dyDescent="0.45">
      <c r="C7" s="29" t="s">
        <v>145</v>
      </c>
      <c r="E7" s="29" t="s">
        <v>7</v>
      </c>
    </row>
    <row r="8" spans="1:5" ht="21" x14ac:dyDescent="0.45">
      <c r="A8" s="30" t="s">
        <v>142</v>
      </c>
      <c r="C8" s="30" t="s">
        <v>130</v>
      </c>
      <c r="E8" s="30" t="s">
        <v>130</v>
      </c>
    </row>
    <row r="9" spans="1:5" ht="18.75" x14ac:dyDescent="0.45">
      <c r="A9" s="31" t="s">
        <v>243</v>
      </c>
      <c r="C9" s="22">
        <v>202331671</v>
      </c>
      <c r="E9" s="22">
        <v>318341655</v>
      </c>
    </row>
    <row r="10" spans="1:5" ht="18.75" x14ac:dyDescent="0.45">
      <c r="A10" s="25" t="s">
        <v>89</v>
      </c>
      <c r="C10" s="25">
        <f>SUM(C9:$C$9)</f>
        <v>202331671</v>
      </c>
      <c r="E10" s="25">
        <f>SUM(E9:$E$9)</f>
        <v>318341655</v>
      </c>
    </row>
    <row r="11" spans="1:5" ht="18.75" x14ac:dyDescent="0.45">
      <c r="C11" s="27"/>
      <c r="E11" s="27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Sheet1</vt:lpstr>
      <vt:lpstr>10</vt:lpstr>
      <vt:lpstr>11</vt:lpstr>
      <vt:lpstr>12</vt:lpstr>
      <vt:lpstr>13</vt:lpstr>
      <vt:lpstr>14</vt:lpstr>
      <vt:lpstr>15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2024-12-22T06:13:00Z</cp:lastPrinted>
  <dcterms:created xsi:type="dcterms:W3CDTF">2024-12-22T05:22:42Z</dcterms:created>
  <dcterms:modified xsi:type="dcterms:W3CDTF">2024-12-22T06:13:05Z</dcterms:modified>
</cp:coreProperties>
</file>