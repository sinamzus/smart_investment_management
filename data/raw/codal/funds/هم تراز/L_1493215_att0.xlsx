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rezaei\پرتفو\پرتفوی1404.11.30\پرتفوی هم تراز 1404.11.30\"/>
    </mc:Choice>
  </mc:AlternateContent>
  <xr:revisionPtr revIDLastSave="0" documentId="13_ncr:1_{F9A842F8-F7FB-45B6-B18A-A89767F2A950}" xr6:coauthVersionLast="47" xr6:coauthVersionMax="47" xr10:uidLastSave="{00000000-0000-0000-0000-000000000000}"/>
  <bookViews>
    <workbookView xWindow="-120" yWindow="-120" windowWidth="29040" windowHeight="15840" tabRatio="897" xr2:uid="{00000000-000D-0000-FFFF-FFFF00000000}"/>
  </bookViews>
  <sheets>
    <sheet name="0" sheetId="23" r:id="rId1"/>
    <sheet name=" سهام" sheetId="21" r:id="rId2"/>
    <sheet name="اوراق مشتقه" sheetId="9" r:id="rId3"/>
    <sheet name="واحدهای صندوق" sheetId="1" r:id="rId4"/>
    <sheet name="اوراق" sheetId="3" r:id="rId5"/>
    <sheet name="گواهی سپرده کالا" sheetId="28" r:id="rId6"/>
    <sheet name="تعدیل قیمت" sheetId="4" r:id="rId7"/>
    <sheet name="سپرده" sheetId="2" r:id="rId8"/>
    <sheet name="درآمدها" sheetId="11" r:id="rId9"/>
    <sheet name="درآمد سرمایه گذاری در سهام " sheetId="5" r:id="rId10"/>
    <sheet name="درآمد سرمایه گذاری در صندوق" sheetId="18" r:id="rId11"/>
    <sheet name="درآمد سرمایه گذاری در اوراق بها" sheetId="6" r:id="rId12"/>
    <sheet name="درآمد سرمایه گذاری در گواهی سپر" sheetId="27" r:id="rId13"/>
    <sheet name="مبالغ تخصیصی اوراق " sheetId="16" r:id="rId14"/>
    <sheet name="درآمد سپرده بانکی" sheetId="7" r:id="rId15"/>
    <sheet name="درآمد بازارگردانی" sheetId="24" r:id="rId16"/>
    <sheet name="درآمد سرمایه گذاری مشتقه " sheetId="25" r:id="rId17"/>
    <sheet name="سایر درآمدها" sheetId="8" r:id="rId18"/>
    <sheet name="درآمد سود سهام" sheetId="12" r:id="rId19"/>
    <sheet name="درآمد سود صندوق" sheetId="20" r:id="rId20"/>
    <sheet name="سود اوراق بهادار" sheetId="13" r:id="rId21"/>
    <sheet name="سود  سپرده بانکی" sheetId="22" r:id="rId22"/>
    <sheet name="درآمد ناشی ازفروش" sheetId="15" r:id="rId23"/>
    <sheet name="درآمد ناشی از تغییر قیمت اوراق " sheetId="14" r:id="rId24"/>
  </sheets>
  <definedNames>
    <definedName name="_xlnm.Print_Area" localSheetId="1">' سهام'!$A$1:$N$230</definedName>
    <definedName name="_xlnm.Print_Area" localSheetId="4">اوراق!$A$1:$S$9</definedName>
    <definedName name="_xlnm.Print_Area" localSheetId="6">'تعدیل قیمت'!$A$1:$J$8</definedName>
    <definedName name="_xlnm.Print_Area" localSheetId="15">'درآمد بازارگردانی'!$A$1:$E$7</definedName>
    <definedName name="_xlnm.Print_Area" localSheetId="14">'درآمد سپرده بانکی'!$A$1:$E$17</definedName>
    <definedName name="_xlnm.Print_Area" localSheetId="11">'درآمد سرمایه گذاری در اوراق بها'!$A$1:$K$10</definedName>
    <definedName name="_xlnm.Print_Area" localSheetId="9">'درآمد سرمایه گذاری در سهام '!$A$1:$K$236</definedName>
    <definedName name="_xlnm.Print_Area" localSheetId="12">'درآمد سرمایه گذاری در گواهی سپر'!$A$1:$K$10</definedName>
    <definedName name="_xlnm.Print_Area" localSheetId="18">'درآمد سود سهام'!$A$1:$J$93</definedName>
    <definedName name="_xlnm.Print_Area" localSheetId="23">'درآمد ناشی از تغییر قیمت اوراق '!$A$1:$I$228</definedName>
    <definedName name="_xlnm.Print_Area" localSheetId="22">'درآمد ناشی ازفروش'!$A$1:$I$195</definedName>
    <definedName name="_xlnm.Print_Area" localSheetId="8">درآمدها!$A$1:$E$15</definedName>
    <definedName name="_xlnm.Print_Area" localSheetId="7">سپرده!$A$1:$F$17</definedName>
    <definedName name="_xlnm.Print_Area" localSheetId="5">'گواهی سپرده کالا'!$A$1:$S$9</definedName>
    <definedName name="_xlnm.Print_Area" localSheetId="13">'مبالغ تخصیصی اوراق '!$A$1:$H$18</definedName>
    <definedName name="_xlnm.Print_Area" localSheetId="3">'واحدهای صندوق'!$A$1:$M$9</definedName>
    <definedName name="_xlnm.Print_Titles" localSheetId="1">' سهام'!$1:$9</definedName>
    <definedName name="_xlnm.Print_Titles" localSheetId="9">'درآمد سرمایه گذاری در سهام '!$1:$10</definedName>
    <definedName name="_xlnm.Print_Titles" localSheetId="18">'درآمد سود سهام'!$1:$6</definedName>
    <definedName name="_xlnm.Print_Titles" localSheetId="23">'درآمد ناشی از تغییر قیمت اوراق '!$1:$6</definedName>
    <definedName name="_xlnm.Print_Titles" localSheetId="22">'درآمد ناشی ازفروش'!$1:$6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6" i="2" l="1"/>
  <c r="I226" i="14" l="1"/>
  <c r="H226" i="14"/>
  <c r="G226" i="14"/>
  <c r="F226" i="14"/>
  <c r="E226" i="14"/>
  <c r="D226" i="14"/>
  <c r="C226" i="14"/>
  <c r="B226" i="14"/>
  <c r="I194" i="15"/>
  <c r="H194" i="15"/>
  <c r="G194" i="15"/>
  <c r="F194" i="15"/>
  <c r="E194" i="15"/>
  <c r="D194" i="15"/>
  <c r="C194" i="15"/>
  <c r="B194" i="15"/>
  <c r="G14" i="22"/>
  <c r="F14" i="22"/>
  <c r="E14" i="22"/>
  <c r="D14" i="22"/>
  <c r="C14" i="22"/>
  <c r="B14" i="22"/>
  <c r="J92" i="12"/>
  <c r="I92" i="12"/>
  <c r="H92" i="12"/>
  <c r="G92" i="12"/>
  <c r="F92" i="12"/>
  <c r="E92" i="12"/>
  <c r="D92" i="12"/>
  <c r="C92" i="12"/>
  <c r="B92" i="12"/>
  <c r="C9" i="8"/>
  <c r="B9" i="8"/>
  <c r="D16" i="7"/>
  <c r="E15" i="7" s="1"/>
  <c r="B16" i="7"/>
  <c r="E14" i="7"/>
  <c r="C14" i="7"/>
  <c r="E13" i="7"/>
  <c r="C13" i="7"/>
  <c r="E12" i="7"/>
  <c r="C12" i="7"/>
  <c r="E11" i="7"/>
  <c r="C11" i="7"/>
  <c r="E10" i="7"/>
  <c r="C10" i="7"/>
  <c r="C16" i="7" s="1"/>
  <c r="E9" i="7"/>
  <c r="E16" i="7" s="1"/>
  <c r="C9" i="7"/>
  <c r="K235" i="5"/>
  <c r="J235" i="5"/>
  <c r="I235" i="5"/>
  <c r="H235" i="5"/>
  <c r="G235" i="5"/>
  <c r="F235" i="5"/>
  <c r="E235" i="5"/>
  <c r="D235" i="5"/>
  <c r="C235" i="5"/>
  <c r="B235" i="5"/>
  <c r="C14" i="11"/>
  <c r="E14" i="11"/>
  <c r="D14" i="11"/>
  <c r="E16" i="2"/>
  <c r="D16" i="2"/>
  <c r="C16" i="2"/>
  <c r="B16" i="2"/>
  <c r="N228" i="21"/>
  <c r="M228" i="21"/>
  <c r="L228" i="21"/>
  <c r="J228" i="21"/>
  <c r="I228" i="21"/>
  <c r="H228" i="21"/>
  <c r="G228" i="21"/>
  <c r="F228" i="21"/>
  <c r="E228" i="21"/>
  <c r="D228" i="21"/>
  <c r="C228" i="21"/>
  <c r="B228" i="21"/>
</calcChain>
</file>

<file path=xl/sharedStrings.xml><?xml version="1.0" encoding="utf-8"?>
<sst xmlns="http://schemas.openxmlformats.org/spreadsheetml/2006/main" count="1528" uniqueCount="495">
  <si>
    <t>بهای تمام شده</t>
  </si>
  <si>
    <t>شرکت</t>
  </si>
  <si>
    <t>جمع</t>
  </si>
  <si>
    <t>تعداد</t>
  </si>
  <si>
    <t>خرید طی دوره</t>
  </si>
  <si>
    <t>فروش طی دوره</t>
  </si>
  <si>
    <t>مبلغ</t>
  </si>
  <si>
    <t>نرخ سود مؤثر</t>
  </si>
  <si>
    <t>نرخ سود اسمی</t>
  </si>
  <si>
    <t>پذیرفته شده در بورس یا فرابورس</t>
  </si>
  <si>
    <t>دارای مجوز از سازمان</t>
  </si>
  <si>
    <t>تغییرات طی دوره</t>
  </si>
  <si>
    <t>سپرده های بانکی</t>
  </si>
  <si>
    <t>دلیل تعدیل</t>
  </si>
  <si>
    <t>نام اوراق بهادار</t>
  </si>
  <si>
    <t>درآمد سود سهام</t>
  </si>
  <si>
    <t>درآمد تغییر ارزش</t>
  </si>
  <si>
    <t>درآمد فروش</t>
  </si>
  <si>
    <t>درصد از کل درآمد ها</t>
  </si>
  <si>
    <t>درآمد سود اوراق</t>
  </si>
  <si>
    <t>نام سپرده</t>
  </si>
  <si>
    <t>سود سپرده بانکی و گواهی سپرده</t>
  </si>
  <si>
    <t>درصد سود به میانگین سپرده</t>
  </si>
  <si>
    <t>درصد از کل درآمدها</t>
  </si>
  <si>
    <t>نام سپرده بانکی</t>
  </si>
  <si>
    <t>اطلاعات اوراق بهادار با درآمد ثابت</t>
  </si>
  <si>
    <t>نام اوراق</t>
  </si>
  <si>
    <t>خالص ارزش فروش</t>
  </si>
  <si>
    <t>درصد به کل دارایی‌ها</t>
  </si>
  <si>
    <t>تاریخ سررسید</t>
  </si>
  <si>
    <t>درصد به کل  دارایی‌ها</t>
  </si>
  <si>
    <t>سهام</t>
  </si>
  <si>
    <t>1- سرمایه گذاری ها</t>
  </si>
  <si>
    <t>1-1-سرمایه‌گذاری در سهام و حق تقدم سهام</t>
  </si>
  <si>
    <t>2- درآمد حاصل از سرمایه گذاری ها</t>
  </si>
  <si>
    <t>1-2-درآمد حاصل از سرمایه­گذاری در سهام و حق تقدم سهام:</t>
  </si>
  <si>
    <t>سایر درآمدها</t>
  </si>
  <si>
    <t>قیمت بازار هر سهم</t>
  </si>
  <si>
    <t>تاریخ انتشار اوراق</t>
  </si>
  <si>
    <t>قیمت بازار هر ورقه</t>
  </si>
  <si>
    <t>نام سهام</t>
  </si>
  <si>
    <t>تعداد اوراق تبعی</t>
  </si>
  <si>
    <t xml:space="preserve">قیمت اعمال </t>
  </si>
  <si>
    <t>تاریخ اعمال</t>
  </si>
  <si>
    <t xml:space="preserve">نرخ سود مؤثر </t>
  </si>
  <si>
    <t>(بر اساس دستورالعمل نحوه تعیین قیمت خرید و فروش اوراق بهادار در صندوق های سرمایه گذاری)</t>
  </si>
  <si>
    <t>اوراق بهاداری که ارزش آنها در تاریخ گزارش تعدیل شده</t>
  </si>
  <si>
    <t>درصد تعدیل</t>
  </si>
  <si>
    <t>خالص ارزش فروش تعدیل شده</t>
  </si>
  <si>
    <t xml:space="preserve">قیمت تعدیل شده </t>
  </si>
  <si>
    <t xml:space="preserve">قیمت پایانی  </t>
  </si>
  <si>
    <t>نرخ سود علی الحساب</t>
  </si>
  <si>
    <t>افزایش</t>
  </si>
  <si>
    <t>شرح</t>
  </si>
  <si>
    <t>یادداشت</t>
  </si>
  <si>
    <t>تاریخ تشکیل مجمع</t>
  </si>
  <si>
    <t>سود متعلق به هر سهم</t>
  </si>
  <si>
    <t>جمع درآمد سود سهام</t>
  </si>
  <si>
    <t>هزینه تنزیل</t>
  </si>
  <si>
    <t>خالص درآمد سود سهام</t>
  </si>
  <si>
    <t>تعداد سهام متعلقه در زمان مجمع</t>
  </si>
  <si>
    <t>اطلاعات مجمع</t>
  </si>
  <si>
    <t>تاریخ دریافت سود</t>
  </si>
  <si>
    <t>خالص درآمد</t>
  </si>
  <si>
    <t>درآمد ناشی از تغییر قیمت اوراق بهادار</t>
  </si>
  <si>
    <t>ارزش دفتری</t>
  </si>
  <si>
    <t>سود و زیان ناشی از تغییر قیمت</t>
  </si>
  <si>
    <t>خالص بهای فروش</t>
  </si>
  <si>
    <t>سود و زیان ناشی از فروش</t>
  </si>
  <si>
    <t>درآمد حاصل از سرمایه گذاری در سهام و حق تقدم سهام</t>
  </si>
  <si>
    <t>درآمد حاصل از سرمایه گذاری در اوراق بهادار با درآمد ثابت</t>
  </si>
  <si>
    <t>درآمد حاصل از سرمایه گذاری در سپرده بانکی و گواهی سپرده</t>
  </si>
  <si>
    <t>سود(زیان) حاصل از فروش اوراق بهادار</t>
  </si>
  <si>
    <t>مبلغ فروش</t>
  </si>
  <si>
    <t>صندوق سرمایه گذاری ...................</t>
  </si>
  <si>
    <t xml:space="preserve">صورت وضعیت پرتفوی </t>
  </si>
  <si>
    <t>برای ماه منتهی به ............</t>
  </si>
  <si>
    <t>اطلاعات آماری مرتبط با اوراق اختیار فروش تبعی خریداری شده توسط صندوق سرمایه گذاری:</t>
  </si>
  <si>
    <t>1-2</t>
  </si>
  <si>
    <t>2-2</t>
  </si>
  <si>
    <t>3-2</t>
  </si>
  <si>
    <t>4-2</t>
  </si>
  <si>
    <t xml:space="preserve">صورت وضعیت درآمدها </t>
  </si>
  <si>
    <t xml:space="preserve">درآمد سود </t>
  </si>
  <si>
    <t>یادداشت ....</t>
  </si>
  <si>
    <t>یادداشت ...</t>
  </si>
  <si>
    <t>درصد از کل دارایی ها</t>
  </si>
  <si>
    <t>طرف معامله</t>
  </si>
  <si>
    <t>نوع وابستگی</t>
  </si>
  <si>
    <t>نام ورقه بهادار</t>
  </si>
  <si>
    <t>تعداد اوراق</t>
  </si>
  <si>
    <t>بهای تمام شده اوراق</t>
  </si>
  <si>
    <t>مبلغ شناسایی شده بابت قرارداد خرید و نگهداری اوراق بهادار</t>
  </si>
  <si>
    <t>نرخ اسمی</t>
  </si>
  <si>
    <t>میانگین نرخ بازده تا سررسید قراردادهای منعقده</t>
  </si>
  <si>
    <t>مدیر صندوق</t>
  </si>
  <si>
    <t>ورقه الف</t>
  </si>
  <si>
    <t>ورقه ب</t>
  </si>
  <si>
    <t xml:space="preserve">شرکت مادر </t>
  </si>
  <si>
    <t>ورقه د</t>
  </si>
  <si>
    <t>صندوق­ سرمایه­گذاری اختصاصی بازارگردانی تحت مدیریت مدیر صندوق یا اشخاص تحت کنترل یا وابسته *</t>
  </si>
  <si>
    <t>ورقه ج</t>
  </si>
  <si>
    <t>سایر</t>
  </si>
  <si>
    <t>ورقه ح</t>
  </si>
  <si>
    <t>ورقه ط</t>
  </si>
  <si>
    <t>ورقه ی</t>
  </si>
  <si>
    <t>ورقه س</t>
  </si>
  <si>
    <t>*به تفکیک هر یک از صندوق­های سرمایه­گذاری اختصاصی بازارگردانی طرف قرارداد افشا گردد.</t>
  </si>
  <si>
    <t>اطلاعات آماری مرتبط با موقعیت های اخذ شده در اوراق اختیار معامله توسط صندوق سرمایه گذاری:</t>
  </si>
  <si>
    <t>نوع موقعیت</t>
  </si>
  <si>
    <t>نوع اختیار</t>
  </si>
  <si>
    <t>استراتژی ماخوذه</t>
  </si>
  <si>
    <t>اطلاعات آماری مرتبط با قراردادهای آتی توسط صندوق سرمایه گذاری:</t>
  </si>
  <si>
    <t>صندوق</t>
  </si>
  <si>
    <t>تعداد واحد</t>
  </si>
  <si>
    <t>درآمد حاصل از سرمایه گذاری در واحدهای صندوق های سرمایه گذاری</t>
  </si>
  <si>
    <t>5-2</t>
  </si>
  <si>
    <t>3-2-درآمد حاصل از سرمایه­گذاری در اوراق بهادار با درآمد ثابت:</t>
  </si>
  <si>
    <t>1-3-2-مبالغ تخصیص یافته بابت خرید و نگهداری اوراق بهادار با درآمد ثابت (نرخ سود ترجیحی)</t>
  </si>
  <si>
    <t>2-2-درآمد حاصل از سرمایه­گذاری در واحدهای صندوق:</t>
  </si>
  <si>
    <t>درآمد سود صندوق</t>
  </si>
  <si>
    <t>2-1-سرمایه‌گذاری در واحدهای صندوق های سرمایه گذاری</t>
  </si>
  <si>
    <t>3-1-سرمایه‌گذاری در اوراق بهادار با درآمد ثابت یا علی‌الحساب</t>
  </si>
  <si>
    <t>نام صندوق</t>
  </si>
  <si>
    <t>تاریخ تقسیم سود</t>
  </si>
  <si>
    <t>سود متعلق به هر واحد</t>
  </si>
  <si>
    <t>خرید/صدور طی دوره</t>
  </si>
  <si>
    <t>فروش /ابطال طی دوره</t>
  </si>
  <si>
    <t>تعداد واحد صندوق در زمان تقسیم سود</t>
  </si>
  <si>
    <t>خالص درآمد سود صندوق</t>
  </si>
  <si>
    <t>قیمت ابطال/ بازار هر واحد</t>
  </si>
  <si>
    <t>سود اوراق بهادار با درآمد ثابت</t>
  </si>
  <si>
    <t>سود سپرده بانکی</t>
  </si>
  <si>
    <t xml:space="preserve">افزایش سرمایه </t>
  </si>
  <si>
    <t>طی دوره</t>
  </si>
  <si>
    <t>درآمد بازارگرداني</t>
  </si>
  <si>
    <t>6-2</t>
  </si>
  <si>
    <t>درآمد حاصل از سرمایه گذاری در اوراق مشتقه</t>
  </si>
  <si>
    <t>7-2</t>
  </si>
  <si>
    <t xml:space="preserve">طی دوره </t>
  </si>
  <si>
    <t xml:space="preserve">درآمد بازارگردان </t>
  </si>
  <si>
    <t xml:space="preserve">نام سهام </t>
  </si>
  <si>
    <t>اوراق مشتقه</t>
  </si>
  <si>
    <t>کاهش</t>
  </si>
  <si>
    <t>درآمد سرمایه گذاری در اوراق مشتقه</t>
  </si>
  <si>
    <t>درآمد تعهد پذیره نویسی</t>
  </si>
  <si>
    <t>درآمد حاصل از سرمایه گذاری در گواهی سپرده کالایی</t>
  </si>
  <si>
    <t>8-2</t>
  </si>
  <si>
    <t>5-2-درآمد حاصل از سرمایه­گذاری در سپرده بانکی و گواهی سپرده:</t>
  </si>
  <si>
    <t>6-2-درآمد حاصل از بازارگردانی:</t>
  </si>
  <si>
    <t>7-2-درآمد حاصل از سرمایه­گذاری در اوراق مشتقه:</t>
  </si>
  <si>
    <t>8-2-سایر درآمدها:</t>
  </si>
  <si>
    <t>4-2-درآمد حاصل از سرمایه­گذاری در گواهی سپرده کالایی</t>
  </si>
  <si>
    <t>شاخصی هم ‏وزن تراز</t>
  </si>
  <si>
    <t>برای ماه منتهی به 1404/11/30</t>
  </si>
  <si>
    <t>شاخصی هم ‏وزن تراز</t>
  </si>
  <si>
    <t>1404/11/30</t>
  </si>
  <si>
    <t>1404/10/30</t>
  </si>
  <si>
    <t>اختيارف ت محتشم-17150-4/11/08</t>
  </si>
  <si>
    <t>1404/11/08</t>
  </si>
  <si>
    <t/>
  </si>
  <si>
    <t>كاريزما</t>
  </si>
  <si>
    <t>سامان</t>
  </si>
  <si>
    <t>سپه</t>
  </si>
  <si>
    <t>ملت</t>
  </si>
  <si>
    <t>پاسارگاد</t>
  </si>
  <si>
    <t>دي</t>
  </si>
  <si>
    <t>خاورميانه</t>
  </si>
  <si>
    <t>ملي</t>
  </si>
  <si>
    <t>بيمه آسيا</t>
  </si>
  <si>
    <t>ليزينگ اقتصاد نوين</t>
  </si>
  <si>
    <t>مهرمام ميهن</t>
  </si>
  <si>
    <t>منگنز ايران</t>
  </si>
  <si>
    <t>بيمه پارسيان</t>
  </si>
  <si>
    <t>سيمان اروميه</t>
  </si>
  <si>
    <t>ایرکا پارت صنعت</t>
  </si>
  <si>
    <t>نفت لاوان</t>
  </si>
  <si>
    <t>بانك تجارت</t>
  </si>
  <si>
    <t>پتروشيمي جم</t>
  </si>
  <si>
    <t>فنرسازي زر</t>
  </si>
  <si>
    <t>پلي پروپيلن جم - جم پيلن</t>
  </si>
  <si>
    <t>سيمان ساوه</t>
  </si>
  <si>
    <t>فن آوران</t>
  </si>
  <si>
    <t>سيمان سپاهان</t>
  </si>
  <si>
    <t>سيمان شمال</t>
  </si>
  <si>
    <t>داروسازي‌ اكسير</t>
  </si>
  <si>
    <t>سرمايه گذاري سپه</t>
  </si>
  <si>
    <t>سيمان تهران</t>
  </si>
  <si>
    <t>خاك چيني</t>
  </si>
  <si>
    <t>صنايع الكترونيك ماديران</t>
  </si>
  <si>
    <t>سرمايه گذاري اميد</t>
  </si>
  <si>
    <t>بانك سينا</t>
  </si>
  <si>
    <t>بهمن دیزل</t>
  </si>
  <si>
    <t>املاح ايران</t>
  </si>
  <si>
    <t>شیشه قزوین</t>
  </si>
  <si>
    <t>سرمایه گذاری مسکن تهران</t>
  </si>
  <si>
    <t>فجر انرژي خليج فارس</t>
  </si>
  <si>
    <t>كاشي الوند</t>
  </si>
  <si>
    <t>آلوميناي ايران</t>
  </si>
  <si>
    <t xml:space="preserve">پتروشيمي كرمانشاه </t>
  </si>
  <si>
    <t>صنعتي بارز</t>
  </si>
  <si>
    <t>توزيع دارو پخش</t>
  </si>
  <si>
    <t>نشاسته و گلوكز آردينه</t>
  </si>
  <si>
    <t>نيان الكترونيك</t>
  </si>
  <si>
    <t>داروسازي فارابي</t>
  </si>
  <si>
    <t>نيان باتري خاوران</t>
  </si>
  <si>
    <t>سيمان خاش</t>
  </si>
  <si>
    <t>كوير تاير</t>
  </si>
  <si>
    <t>نفت بهران</t>
  </si>
  <si>
    <t>ملي مس</t>
  </si>
  <si>
    <t>نفت اصفهان</t>
  </si>
  <si>
    <t>سنگ آهن گهرزمين</t>
  </si>
  <si>
    <t>كشت و دام قيام اصفهان</t>
  </si>
  <si>
    <t>سبحان_دارو</t>
  </si>
  <si>
    <t>تامين ماسه</t>
  </si>
  <si>
    <t>سيمان آبيك</t>
  </si>
  <si>
    <t>سيمان فارس نو</t>
  </si>
  <si>
    <t>سرمايه گذاري صدرتامين</t>
  </si>
  <si>
    <t>غذايي مينو</t>
  </si>
  <si>
    <t>كاشي حافظ</t>
  </si>
  <si>
    <t>صنعتي بهشهر</t>
  </si>
  <si>
    <t>ريل سير كوثر</t>
  </si>
  <si>
    <t>گل گهر</t>
  </si>
  <si>
    <t xml:space="preserve">تراكتور سازي </t>
  </si>
  <si>
    <t>ايران ترانسفو</t>
  </si>
  <si>
    <t>كاشي پارس</t>
  </si>
  <si>
    <t>سيمان بجنورد</t>
  </si>
  <si>
    <t>حمل و نقل ريلي پارسيان</t>
  </si>
  <si>
    <t>بهار رز عاليس چناران</t>
  </si>
  <si>
    <t>كاشي وسراميك سينا</t>
  </si>
  <si>
    <t>كشتيراني ايران</t>
  </si>
  <si>
    <t>غلتك سازان سپاهان</t>
  </si>
  <si>
    <t>پاکدیس</t>
  </si>
  <si>
    <t>توليد ژلاتين كپسول ايران</t>
  </si>
  <si>
    <t>فولاد خوزستان</t>
  </si>
  <si>
    <t>نفت و گاز پارسیان</t>
  </si>
  <si>
    <t>سيمان غرب</t>
  </si>
  <si>
    <t>رادياتور</t>
  </si>
  <si>
    <t>قند اصفهان</t>
  </si>
  <si>
    <t>سايپا</t>
  </si>
  <si>
    <t>نورد قطعات</t>
  </si>
  <si>
    <t>قند چهار محال</t>
  </si>
  <si>
    <t>حفاري شمال</t>
  </si>
  <si>
    <t>ريخته گري تراكتورسازي</t>
  </si>
  <si>
    <t>آترا زيست آراي</t>
  </si>
  <si>
    <t>س. و توسعه صنايع لاستيك</t>
  </si>
  <si>
    <t>شيشه و گاز</t>
  </si>
  <si>
    <t>شيشه همدان</t>
  </si>
  <si>
    <t>سرمايه گذاري ملي ايران</t>
  </si>
  <si>
    <t>گلتاش</t>
  </si>
  <si>
    <t>صنعتي سپاهان</t>
  </si>
  <si>
    <t>توليد برق عسلويه مپنا</t>
  </si>
  <si>
    <t>بانك صادرات</t>
  </si>
  <si>
    <t>توسعه و عمران اميد</t>
  </si>
  <si>
    <t>گروه مالي نماد غدير(سهامي عام)</t>
  </si>
  <si>
    <t>فولاد مباركه</t>
  </si>
  <si>
    <t>پست بانك ايران</t>
  </si>
  <si>
    <t>شرکت سرمایه گذاری خوارزمی</t>
  </si>
  <si>
    <t>صنعتي مينو</t>
  </si>
  <si>
    <t>كاني كربن طبس</t>
  </si>
  <si>
    <t>بيمه البرز</t>
  </si>
  <si>
    <t>پخش البرز</t>
  </si>
  <si>
    <t>آلومينيوم ايران</t>
  </si>
  <si>
    <t>فروشگاههاي زنجيره اي افق كوروش</t>
  </si>
  <si>
    <t>پارس فولاد سبزوار</t>
  </si>
  <si>
    <t>نفت تبريز</t>
  </si>
  <si>
    <t>موتورسازان</t>
  </si>
  <si>
    <t>توليدي برنا باطري</t>
  </si>
  <si>
    <t>گروه مالي مهرگان تامين پارس</t>
  </si>
  <si>
    <t>پگاه خراسان</t>
  </si>
  <si>
    <t>كشت و صنعت شهداب</t>
  </si>
  <si>
    <t>فولاد آلياژي ايران</t>
  </si>
  <si>
    <t>قاسم ايران</t>
  </si>
  <si>
    <t>كشت و دامداري فكا</t>
  </si>
  <si>
    <t>صنعتی صبانور</t>
  </si>
  <si>
    <t>سيمان خزر</t>
  </si>
  <si>
    <t>تايدواتر</t>
  </si>
  <si>
    <t>شير و گوشت زاگرس شهركرد</t>
  </si>
  <si>
    <t>پتروشیمی تامین</t>
  </si>
  <si>
    <t>مهرام</t>
  </si>
  <si>
    <t>اقتصاد نوين</t>
  </si>
  <si>
    <t>شهد ايران</t>
  </si>
  <si>
    <t>كارخانجات داروپخش</t>
  </si>
  <si>
    <t>ملي شيمي كشاورز</t>
  </si>
  <si>
    <t>تامين سرمايه لوتوس پارسيان</t>
  </si>
  <si>
    <t>پتروشيمی پردیس</t>
  </si>
  <si>
    <t>مگسال</t>
  </si>
  <si>
    <t>سيمان مازندران</t>
  </si>
  <si>
    <t>لاستيك سهند</t>
  </si>
  <si>
    <t>سرمايه گذاري پايا تدبيرپارسا</t>
  </si>
  <si>
    <t>قند هكمتان</t>
  </si>
  <si>
    <t>مجتمع كاشي و سنگ پرسپوليس يزد</t>
  </si>
  <si>
    <t>آهن و فولاد غدير ايرانيان</t>
  </si>
  <si>
    <t>دارويي ره آورد تامين</t>
  </si>
  <si>
    <t>شير پاستوريزه پگاه گلپايگان</t>
  </si>
  <si>
    <t>سيمان هگمتان</t>
  </si>
  <si>
    <t>سپيد ماكيان</t>
  </si>
  <si>
    <t>كربن</t>
  </si>
  <si>
    <t>عمران فارس</t>
  </si>
  <si>
    <t>صبا فولاد خليج فارس</t>
  </si>
  <si>
    <t>ايران خودرو</t>
  </si>
  <si>
    <t>عطرين نخ قم</t>
  </si>
  <si>
    <t>سيمرغ</t>
  </si>
  <si>
    <t>نگين طبس</t>
  </si>
  <si>
    <t>ارتباطات سیار</t>
  </si>
  <si>
    <t>زامياد</t>
  </si>
  <si>
    <t>همكاران سيستم</t>
  </si>
  <si>
    <t>البرز دارو</t>
  </si>
  <si>
    <t>الكتريك خودرو</t>
  </si>
  <si>
    <t>صنعتي زر ماكارون</t>
  </si>
  <si>
    <t>فرآوري زغال سنگ پروده طبس</t>
  </si>
  <si>
    <t>پمپ ايران</t>
  </si>
  <si>
    <t>سرمايه گذاري كشاورزي كوثر</t>
  </si>
  <si>
    <t>پديده شيمي قرن</t>
  </si>
  <si>
    <t>سیمان سبزوار</t>
  </si>
  <si>
    <t>سرمايه گذاري تامين اجتماعي</t>
  </si>
  <si>
    <t>گروه انتخاب الكترونيك آرمان</t>
  </si>
  <si>
    <t>كاشي سعدي</t>
  </si>
  <si>
    <t>بانك خاورميانه</t>
  </si>
  <si>
    <t>قند لرستان</t>
  </si>
  <si>
    <t>صنايع غذايي رضوي</t>
  </si>
  <si>
    <t>دريايي سينا</t>
  </si>
  <si>
    <t>توليدات پتروشيمي قائد بصير</t>
  </si>
  <si>
    <t>بانك ملت</t>
  </si>
  <si>
    <t>پارس مينو</t>
  </si>
  <si>
    <t>افست</t>
  </si>
  <si>
    <t>چادرملو</t>
  </si>
  <si>
    <t>دارويي و نهاده هاي زاگرس دارو</t>
  </si>
  <si>
    <t>تجارت الکترونیک پارسیان</t>
  </si>
  <si>
    <t>پارس فنر</t>
  </si>
  <si>
    <t>داروسازي زاگرس</t>
  </si>
  <si>
    <t>توليدي چدن سازان</t>
  </si>
  <si>
    <t>نيروترانس</t>
  </si>
  <si>
    <t>مجتمع صنايع لاستيك يزد</t>
  </si>
  <si>
    <t>داده پردازي</t>
  </si>
  <si>
    <t>نفت بندر عباس</t>
  </si>
  <si>
    <t>توسعه نيشكر و صنايع جانبي</t>
  </si>
  <si>
    <t>تامين سرمايه نوين</t>
  </si>
  <si>
    <t>صنعتي آما</t>
  </si>
  <si>
    <t>موتوژن</t>
  </si>
  <si>
    <t>ايران ياسا</t>
  </si>
  <si>
    <t>سرمايه گذاري غدير</t>
  </si>
  <si>
    <t>پتروشيمي نوري</t>
  </si>
  <si>
    <t>سينا دارو</t>
  </si>
  <si>
    <t>پارس شهاب</t>
  </si>
  <si>
    <t>توسعه سامانه ي نرم افزاري نگين</t>
  </si>
  <si>
    <t>كشاورزي و دامپروري بينالود</t>
  </si>
  <si>
    <t>نساجي هديه البرز مشهد</t>
  </si>
  <si>
    <t>پخش هجرت</t>
  </si>
  <si>
    <t>نسوز آذر</t>
  </si>
  <si>
    <t>مواداوليه داروپخش</t>
  </si>
  <si>
    <t>دارويي‌ رازك‌</t>
  </si>
  <si>
    <t>سيمان فارس و خوزستان</t>
  </si>
  <si>
    <t>دارو ابوريحان</t>
  </si>
  <si>
    <t>نخريسي و نساجي خسروي خراسان</t>
  </si>
  <si>
    <t>آريان كيميا تك</t>
  </si>
  <si>
    <t>نفت و گاز پارسيان</t>
  </si>
  <si>
    <t>پاكديس</t>
  </si>
  <si>
    <t>برق مپنا</t>
  </si>
  <si>
    <t>پرتو بار فرابر خليج فارس</t>
  </si>
  <si>
    <t>توليدي و صنعتي گوهرفام</t>
  </si>
  <si>
    <t>ايمن خودرو شرق</t>
  </si>
  <si>
    <t>لامپ پارس شهاب</t>
  </si>
  <si>
    <t>كيميا كالاي رازي</t>
  </si>
  <si>
    <t>پتروشيمي خراسان</t>
  </si>
  <si>
    <t>كارت اعتباري ايران كيش</t>
  </si>
  <si>
    <t>فولاد ارفع</t>
  </si>
  <si>
    <t>پتروشيمي فجر</t>
  </si>
  <si>
    <t>پتروشيمي كرمانشاه</t>
  </si>
  <si>
    <t>صنعت غذايي كورش</t>
  </si>
  <si>
    <t>صنعتي پارس خزر</t>
  </si>
  <si>
    <t>پارس سوييچ</t>
  </si>
  <si>
    <t>صنايع چوب خزر كاسپين</t>
  </si>
  <si>
    <t>تراكتور سازي</t>
  </si>
  <si>
    <t>بهمن ديزل</t>
  </si>
  <si>
    <t>قند قزوين</t>
  </si>
  <si>
    <t>اخشان خراسان</t>
  </si>
  <si>
    <t>پتروشيمي پرديس</t>
  </si>
  <si>
    <t>شيميايي ايران</t>
  </si>
  <si>
    <t>صندوق بازنشستگي</t>
  </si>
  <si>
    <t>توكا رنگ فولاد سپاهان</t>
  </si>
  <si>
    <t>انتقال داده هاي آسياتك</t>
  </si>
  <si>
    <t>كارخانجات توليدي نيروترانسفو</t>
  </si>
  <si>
    <t>مپنا</t>
  </si>
  <si>
    <t>تجارت الكترونيك پارسيان</t>
  </si>
  <si>
    <t>داروسازي اكسير</t>
  </si>
  <si>
    <t>سيمان صوفيان</t>
  </si>
  <si>
    <t>بيمه اتكايي ايران معين</t>
  </si>
  <si>
    <t>صنايع ارتباطي آوا</t>
  </si>
  <si>
    <t>قند پيرانشهر</t>
  </si>
  <si>
    <t>معادن منگنز ايران</t>
  </si>
  <si>
    <t>پتروشيمي تامين</t>
  </si>
  <si>
    <t>فولاد كاوه</t>
  </si>
  <si>
    <t>شركت سرمايه گذاري خوارزمي</t>
  </si>
  <si>
    <t>سالمين</t>
  </si>
  <si>
    <t>شيشه قزوين</t>
  </si>
  <si>
    <t>ايركا پارت صنعت</t>
  </si>
  <si>
    <t>توليد انرژي برق شمس پاسارگاد</t>
  </si>
  <si>
    <t>پگاه آذربايجان</t>
  </si>
  <si>
    <t>كشاورزي مكانيزه اصفهان كشت</t>
  </si>
  <si>
    <t>كاشي و سراميك سعدي</t>
  </si>
  <si>
    <t>شركت شيرين دارو</t>
  </si>
  <si>
    <t>ارتباطات سيار</t>
  </si>
  <si>
    <t>سيمان قاين</t>
  </si>
  <si>
    <t>شركت پخش البرز</t>
  </si>
  <si>
    <t>شركت پالايش نفت لاوان</t>
  </si>
  <si>
    <t>آنتي بيوتيك سازي ايران</t>
  </si>
  <si>
    <t>1404/02/23</t>
  </si>
  <si>
    <t>نفت سپاهان</t>
  </si>
  <si>
    <t>1404/05/14</t>
  </si>
  <si>
    <t>1404/03/21</t>
  </si>
  <si>
    <t>صنعتي صبانور</t>
  </si>
  <si>
    <t>1404/10/29</t>
  </si>
  <si>
    <t>1404/03/26</t>
  </si>
  <si>
    <t>1404/03/12</t>
  </si>
  <si>
    <t>1404/04/05</t>
  </si>
  <si>
    <t>1404/03/13</t>
  </si>
  <si>
    <t>1404/02/31</t>
  </si>
  <si>
    <t>1404/05/28</t>
  </si>
  <si>
    <t>بيمه ايران - معين</t>
  </si>
  <si>
    <t>1404/03/06</t>
  </si>
  <si>
    <t>1404/07/06</t>
  </si>
  <si>
    <t>1404/04/28</t>
  </si>
  <si>
    <t>1404/05/04</t>
  </si>
  <si>
    <t>توسعه معادن كروميت كاوندگان</t>
  </si>
  <si>
    <t>1404/04/30</t>
  </si>
  <si>
    <t>1404/03/01</t>
  </si>
  <si>
    <t>1404/04/29</t>
  </si>
  <si>
    <t>1404/04/25</t>
  </si>
  <si>
    <t>1404/09/26</t>
  </si>
  <si>
    <t>1404/04/04</t>
  </si>
  <si>
    <t>1404/05/15</t>
  </si>
  <si>
    <t>1404/05/13</t>
  </si>
  <si>
    <t>1404/04/22</t>
  </si>
  <si>
    <t>1404/07/30</t>
  </si>
  <si>
    <t>1404/08/13</t>
  </si>
  <si>
    <t>پشم شيشه</t>
  </si>
  <si>
    <t>1404/08/18</t>
  </si>
  <si>
    <t>1404/03/17</t>
  </si>
  <si>
    <t>1404/02/13</t>
  </si>
  <si>
    <t>1404/02/30</t>
  </si>
  <si>
    <t>1404/09/15</t>
  </si>
  <si>
    <t>1404/11/20</t>
  </si>
  <si>
    <t>مديريت نيروگاهي ايرانيان مپنا</t>
  </si>
  <si>
    <t>1404/07/26</t>
  </si>
  <si>
    <t>1404/06/03</t>
  </si>
  <si>
    <t>1404/01/31</t>
  </si>
  <si>
    <t>سيمان بهبهان</t>
  </si>
  <si>
    <t>1404/04/31</t>
  </si>
  <si>
    <t>1404/04/19</t>
  </si>
  <si>
    <t>پگاه اصفهان</t>
  </si>
  <si>
    <t>1404/03/25</t>
  </si>
  <si>
    <t>1404/11/18</t>
  </si>
  <si>
    <t>1404/05/08</t>
  </si>
  <si>
    <t>1404/03/03</t>
  </si>
  <si>
    <t>1404/08/24</t>
  </si>
  <si>
    <t>شركت سرمايه گذاري مسكن تهران</t>
  </si>
  <si>
    <t>1404/08/27</t>
  </si>
  <si>
    <t>توليد مواد اوليه داروپخش</t>
  </si>
  <si>
    <t>1404/03/28</t>
  </si>
  <si>
    <t>پمپ سازي ايران</t>
  </si>
  <si>
    <t>1404/04/26</t>
  </si>
  <si>
    <t>1404/07/15</t>
  </si>
  <si>
    <t>1404/02/20</t>
  </si>
  <si>
    <t>1404/03/11</t>
  </si>
  <si>
    <t>1404/05/05</t>
  </si>
  <si>
    <t>1404/05/09</t>
  </si>
  <si>
    <t>1404/10/11</t>
  </si>
  <si>
    <t>1404/07/20</t>
  </si>
  <si>
    <t>1404/05/12</t>
  </si>
  <si>
    <t>1404/10/23</t>
  </si>
  <si>
    <t>1404/03/10</t>
  </si>
  <si>
    <t>1404/04/01</t>
  </si>
  <si>
    <t>1404/09/22</t>
  </si>
  <si>
    <t>1404/02/15</t>
  </si>
  <si>
    <t>سيمان سبزوار</t>
  </si>
  <si>
    <t>1404/04/23</t>
  </si>
  <si>
    <t>کارت اعتباری ایران کیش</t>
  </si>
  <si>
    <t>1404/11/26</t>
  </si>
  <si>
    <t>سرمايه گذاري اميد (تقدم)</t>
  </si>
  <si>
    <t>سيمان شمال (تقدم)</t>
  </si>
  <si>
    <t>شرکت سرمایه گذاری خوارزمی (تقدم)</t>
  </si>
  <si>
    <t>شیرین دارو</t>
  </si>
  <si>
    <t>كاني كربن طبس (تقدم)</t>
  </si>
  <si>
    <t>پارس خزر</t>
  </si>
  <si>
    <t>پخش البرز (تقدم)</t>
  </si>
  <si>
    <t>کارخانجات توليدي نيروترانسفو</t>
  </si>
  <si>
    <t>سبحان_دارو (تقدم)</t>
  </si>
  <si>
    <t>ارزش دفتری برابر است با میانگین موزون خالص ارزش فروش هر سهم/ورقه در ابتدای دوره با خرید طی دوره ضربدر تعداد در پایان دوره</t>
  </si>
  <si>
    <t>صندوق سرمایه گذاری  شاخصی هم ‏وزن تراز</t>
  </si>
  <si>
    <t>در راستای اجرای ابلاغیه 12020093 مورخ 1396/09/05 و ابلاغیه 12020268 مورخ 1402/12/01 سازمان بورس و اوراق بهادار</t>
  </si>
  <si>
    <t>گزارش افشای پرتفوی ماهانه
برای دوره منتهی به 30 بهمن 1404</t>
  </si>
  <si>
    <t>شرکت...</t>
  </si>
  <si>
    <t>صندوق  سرمایه­گذاری اختصاصی بازارگردانی …</t>
  </si>
  <si>
    <t>5-1- سرمایه‌گذاری درسپرده‌ بانکی و گواهی سپرده بانکی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</si>
</sst>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 * #,##0_-_ ;_ * #,##0\-_ ;_ * &quot;-&quot;??_-_ ;_ @_ "/>
    <numFmt numFmtId="165" formatCode="#,##0;[Red]\(#,##0\);0"/>
    <numFmt numFmtId="166" formatCode="0.00%;[Red]\(0.00%\);0%"/>
    <numFmt numFmtId="167" formatCode="0.0000%;[Red]\(0.0000%\);0.00%"/>
  </numFmts>
  <fonts count="25">
    <font>
      <sz val="11"/>
      <color theme="1"/>
      <name val="Calibri"/>
      <family val="2"/>
      <charset val="178"/>
      <scheme val="minor"/>
    </font>
    <font>
      <b/>
      <sz val="10"/>
      <color theme="1"/>
      <name val="B Nazanin"/>
      <charset val="178"/>
    </font>
    <font>
      <sz val="10"/>
      <color theme="1"/>
      <name val="B Nazanin"/>
      <charset val="178"/>
    </font>
    <font>
      <b/>
      <sz val="10"/>
      <color rgb="FF000000"/>
      <name val="B Nazanin"/>
      <charset val="178"/>
    </font>
    <font>
      <sz val="10"/>
      <color rgb="FF000000"/>
      <name val="B Nazanin"/>
      <charset val="178"/>
    </font>
    <font>
      <sz val="11"/>
      <color theme="1"/>
      <name val="B Nazanin"/>
      <charset val="178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11"/>
      <color theme="1"/>
      <name val="Calibri"/>
      <family val="2"/>
      <charset val="178"/>
      <scheme val="minor"/>
    </font>
    <font>
      <sz val="11"/>
      <color theme="0"/>
      <name val="B Nazanin"/>
      <charset val="178"/>
    </font>
    <font>
      <sz val="11"/>
      <name val="Calibri"/>
      <family val="2"/>
    </font>
    <font>
      <sz val="11"/>
      <name val="B Nazanin"/>
      <charset val="178"/>
    </font>
    <font>
      <b/>
      <sz val="48"/>
      <color rgb="FFFF0000"/>
      <name val="B Nazanin"/>
      <charset val="178"/>
    </font>
    <font>
      <b/>
      <sz val="24"/>
      <color rgb="FFFF0000"/>
      <name val="B Nazanin"/>
      <charset val="178"/>
    </font>
    <font>
      <b/>
      <sz val="24"/>
      <name val="B Nazanin"/>
      <charset val="178"/>
    </font>
    <font>
      <b/>
      <sz val="18"/>
      <name val="B Nazanin"/>
      <charset val="178"/>
    </font>
    <font>
      <b/>
      <sz val="15"/>
      <name val="B Nazanin"/>
      <charset val="178"/>
    </font>
    <font>
      <b/>
      <sz val="14"/>
      <name val="B Nazanin"/>
      <charset val="178"/>
    </font>
    <font>
      <sz val="22"/>
      <color rgb="FFFF0000"/>
      <name val="B Nazanin"/>
      <charset val="178"/>
    </font>
    <font>
      <b/>
      <sz val="12"/>
      <color rgb="FF0062AC"/>
      <name val="B Nazanin"/>
      <charset val="178"/>
    </font>
    <font>
      <sz val="10"/>
      <color indexed="8"/>
      <name val="B Nazanin"/>
      <charset val="178"/>
    </font>
    <font>
      <sz val="8"/>
      <color theme="1"/>
      <name val="B Nazanin"/>
      <charset val="178"/>
    </font>
    <font>
      <sz val="9"/>
      <color theme="1"/>
      <name val="B Nazanin"/>
      <charset val="178"/>
    </font>
    <font>
      <sz val="7"/>
      <color theme="1"/>
      <name val="B Nazanin"/>
      <charset val="178"/>
    </font>
    <font>
      <b/>
      <sz val="10"/>
      <color rgb="FF0062AC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10" fillId="0" borderId="0"/>
  </cellStyleXfs>
  <cellXfs count="13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vertical="center" wrapText="1" readingOrder="2"/>
    </xf>
    <xf numFmtId="0" fontId="2" fillId="0" borderId="0" xfId="0" applyFont="1"/>
    <xf numFmtId="0" fontId="3" fillId="0" borderId="1" xfId="0" applyFont="1" applyBorder="1" applyAlignment="1">
      <alignment horizontal="right" vertical="center" wrapText="1" readingOrder="2"/>
    </xf>
    <xf numFmtId="0" fontId="5" fillId="0" borderId="0" xfId="0" applyFont="1"/>
    <xf numFmtId="0" fontId="2" fillId="0" borderId="0" xfId="0" applyFont="1" applyAlignment="1">
      <alignment vertical="center" wrapText="1" readingOrder="2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/>
    <xf numFmtId="0" fontId="1" fillId="0" borderId="1" xfId="0" applyFont="1" applyBorder="1" applyAlignment="1">
      <alignment vertical="center" wrapText="1" readingOrder="2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 readingOrder="2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49" fontId="5" fillId="0" borderId="0" xfId="0" applyNumberFormat="1" applyFont="1" applyAlignment="1">
      <alignment horizontal="center" vertical="center" readingOrder="2"/>
    </xf>
    <xf numFmtId="0" fontId="3" fillId="0" borderId="1" xfId="0" applyFont="1" applyBorder="1" applyAlignment="1">
      <alignment vertical="center" wrapText="1" readingOrder="2"/>
    </xf>
    <xf numFmtId="0" fontId="4" fillId="0" borderId="1" xfId="0" applyFont="1" applyBorder="1" applyAlignment="1">
      <alignment vertical="center" wrapText="1" readingOrder="2"/>
    </xf>
    <xf numFmtId="0" fontId="7" fillId="0" borderId="0" xfId="0" applyFont="1"/>
    <xf numFmtId="0" fontId="1" fillId="0" borderId="0" xfId="0" applyFont="1" applyAlignment="1">
      <alignment readingOrder="2"/>
    </xf>
    <xf numFmtId="0" fontId="2" fillId="0" borderId="0" xfId="0" applyFont="1" applyAlignment="1">
      <alignment horizontal="right" vertical="center"/>
    </xf>
    <xf numFmtId="0" fontId="5" fillId="0" borderId="3" xfId="0" applyFont="1" applyBorder="1"/>
    <xf numFmtId="0" fontId="5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readingOrder="2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6" xfId="0" applyFont="1" applyBorder="1" applyAlignment="1">
      <alignment horizontal="center" vertical="center" wrapText="1" readingOrder="2"/>
    </xf>
    <xf numFmtId="164" fontId="5" fillId="0" borderId="0" xfId="1" applyNumberFormat="1" applyFont="1"/>
    <xf numFmtId="164" fontId="5" fillId="0" borderId="0" xfId="1" applyNumberFormat="1" applyFont="1" applyFill="1"/>
    <xf numFmtId="164" fontId="9" fillId="0" borderId="0" xfId="1" applyNumberFormat="1" applyFont="1" applyFill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3" fillId="0" borderId="0" xfId="0" applyFont="1" applyAlignment="1">
      <alignment horizontal="right" vertical="center" wrapText="1" readingOrder="2"/>
    </xf>
    <xf numFmtId="0" fontId="7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horizontal="center" vertical="center" readingOrder="2"/>
    </xf>
    <xf numFmtId="0" fontId="2" fillId="0" borderId="1" xfId="0" applyFont="1" applyBorder="1" applyAlignment="1">
      <alignment horizontal="center" vertical="center" readingOrder="2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 readingOrder="2"/>
    </xf>
    <xf numFmtId="0" fontId="3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wrapText="1"/>
    </xf>
    <xf numFmtId="0" fontId="3" fillId="0" borderId="3" xfId="0" applyFont="1" applyBorder="1" applyAlignment="1">
      <alignment horizontal="center" vertical="center" wrapText="1" readingOrder="2"/>
    </xf>
    <xf numFmtId="0" fontId="5" fillId="0" borderId="1" xfId="0" applyFont="1" applyBorder="1" applyAlignment="1">
      <alignment horizontal="center"/>
    </xf>
    <xf numFmtId="0" fontId="11" fillId="2" borderId="0" xfId="2" applyFont="1" applyFill="1"/>
    <xf numFmtId="0" fontId="16" fillId="2" borderId="0" xfId="2" applyFont="1" applyFill="1" applyAlignment="1">
      <alignment horizontal="center"/>
    </xf>
    <xf numFmtId="0" fontId="16" fillId="2" borderId="0" xfId="2" applyFont="1" applyFill="1"/>
    <xf numFmtId="165" fontId="20" fillId="0" borderId="0" xfId="0" applyNumberFormat="1" applyFont="1"/>
    <xf numFmtId="166" fontId="20" fillId="0" borderId="0" xfId="0" applyNumberFormat="1" applyFont="1"/>
    <xf numFmtId="0" fontId="7" fillId="0" borderId="0" xfId="0" applyFont="1" applyAlignment="1">
      <alignment vertical="center"/>
    </xf>
    <xf numFmtId="0" fontId="19" fillId="0" borderId="0" xfId="0" applyFont="1" applyAlignment="1">
      <alignment vertical="center" readingOrder="2"/>
    </xf>
    <xf numFmtId="0" fontId="2" fillId="0" borderId="4" xfId="0" applyFont="1" applyBorder="1" applyAlignment="1">
      <alignment horizontal="center" vertical="center" wrapText="1" readingOrder="2"/>
    </xf>
    <xf numFmtId="0" fontId="21" fillId="0" borderId="4" xfId="0" applyFont="1" applyBorder="1" applyAlignment="1">
      <alignment horizontal="center" vertical="center" wrapText="1" readingOrder="2"/>
    </xf>
    <xf numFmtId="0" fontId="5" fillId="0" borderId="4" xfId="0" applyFont="1" applyBorder="1" applyAlignment="1">
      <alignment horizontal="center" vertical="center" wrapText="1" readingOrder="2"/>
    </xf>
    <xf numFmtId="0" fontId="23" fillId="0" borderId="4" xfId="0" applyFont="1" applyBorder="1" applyAlignment="1">
      <alignment horizontal="center" vertical="center" wrapText="1" readingOrder="2"/>
    </xf>
    <xf numFmtId="0" fontId="22" fillId="0" borderId="4" xfId="0" applyFont="1" applyBorder="1" applyAlignment="1">
      <alignment horizontal="center" vertical="center" wrapText="1" readingOrder="2"/>
    </xf>
    <xf numFmtId="0" fontId="5" fillId="0" borderId="0" xfId="0" applyFont="1" applyAlignment="1">
      <alignment horizontal="right" vertical="center"/>
    </xf>
    <xf numFmtId="0" fontId="19" fillId="0" borderId="2" xfId="0" applyFont="1" applyBorder="1" applyAlignment="1">
      <alignment vertical="center" readingOrder="2"/>
    </xf>
    <xf numFmtId="165" fontId="20" fillId="0" borderId="7" xfId="0" applyNumberFormat="1" applyFont="1" applyBorder="1"/>
    <xf numFmtId="0" fontId="2" fillId="0" borderId="7" xfId="0" applyFont="1" applyBorder="1"/>
    <xf numFmtId="166" fontId="20" fillId="0" borderId="7" xfId="0" applyNumberFormat="1" applyFont="1" applyBorder="1"/>
    <xf numFmtId="0" fontId="7" fillId="0" borderId="0" xfId="0" applyFont="1" applyAlignment="1"/>
    <xf numFmtId="3" fontId="2" fillId="0" borderId="0" xfId="0" applyNumberFormat="1" applyFont="1"/>
    <xf numFmtId="167" fontId="20" fillId="0" borderId="0" xfId="0" applyNumberFormat="1" applyFont="1"/>
    <xf numFmtId="3" fontId="5" fillId="0" borderId="0" xfId="0" applyNumberFormat="1" applyFont="1"/>
    <xf numFmtId="0" fontId="18" fillId="2" borderId="0" xfId="2" applyFont="1" applyFill="1" applyAlignment="1">
      <alignment horizontal="center" vertical="center" wrapText="1"/>
    </xf>
    <xf numFmtId="0" fontId="17" fillId="2" borderId="0" xfId="2" applyFont="1" applyFill="1" applyAlignment="1">
      <alignment horizontal="center"/>
    </xf>
    <xf numFmtId="0" fontId="12" fillId="2" borderId="0" xfId="2" applyFont="1" applyFill="1" applyAlignment="1">
      <alignment horizontal="center" vertical="center" wrapText="1"/>
    </xf>
    <xf numFmtId="0" fontId="13" fillId="2" borderId="0" xfId="2" applyFont="1" applyFill="1" applyAlignment="1">
      <alignment horizontal="center" vertical="center" wrapText="1"/>
    </xf>
    <xf numFmtId="0" fontId="14" fillId="2" borderId="0" xfId="2" applyFont="1" applyFill="1" applyAlignment="1">
      <alignment horizontal="center" vertical="center" wrapText="1"/>
    </xf>
    <xf numFmtId="0" fontId="15" fillId="2" borderId="0" xfId="2" applyFont="1" applyFill="1" applyAlignment="1">
      <alignment horizontal="center"/>
    </xf>
    <xf numFmtId="0" fontId="1" fillId="0" borderId="1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2"/>
    </xf>
    <xf numFmtId="0" fontId="2" fillId="0" borderId="0" xfId="0" applyFont="1" applyAlignment="1">
      <alignment horizontal="center" vertical="center" readingOrder="2"/>
    </xf>
    <xf numFmtId="0" fontId="2" fillId="0" borderId="1" xfId="0" applyFont="1" applyBorder="1" applyAlignment="1">
      <alignment horizontal="center" vertical="center" readingOrder="2"/>
    </xf>
    <xf numFmtId="0" fontId="2" fillId="0" borderId="2" xfId="0" applyFont="1" applyBorder="1" applyAlignment="1">
      <alignment horizontal="center" vertical="center" wrapText="1" readingOrder="2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 readingOrder="2"/>
    </xf>
    <xf numFmtId="0" fontId="7" fillId="0" borderId="0" xfId="0" applyFont="1" applyAlignment="1">
      <alignment horizontal="center"/>
    </xf>
    <xf numFmtId="0" fontId="19" fillId="0" borderId="0" xfId="0" applyFont="1" applyAlignment="1">
      <alignment horizontal="right" vertical="center" readingOrder="2"/>
    </xf>
    <xf numFmtId="0" fontId="1" fillId="0" borderId="2" xfId="0" applyFont="1" applyBorder="1" applyAlignment="1">
      <alignment horizontal="center" readingOrder="2"/>
    </xf>
    <xf numFmtId="0" fontId="1" fillId="0" borderId="2" xfId="0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 readingOrder="2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 readingOrder="2"/>
    </xf>
    <xf numFmtId="0" fontId="1" fillId="0" borderId="1" xfId="0" applyFont="1" applyBorder="1" applyAlignment="1">
      <alignment horizontal="center"/>
    </xf>
    <xf numFmtId="0" fontId="24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 readingOrder="2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 readingOrder="2"/>
    </xf>
    <xf numFmtId="0" fontId="3" fillId="0" borderId="0" xfId="0" applyFont="1" applyAlignment="1">
      <alignment horizontal="center" vertical="center" wrapText="1" readingOrder="2"/>
    </xf>
    <xf numFmtId="0" fontId="2" fillId="0" borderId="2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 readingOrder="2"/>
    </xf>
    <xf numFmtId="0" fontId="5" fillId="0" borderId="4" xfId="0" applyFont="1" applyBorder="1" applyAlignment="1">
      <alignment horizontal="center" vertical="center" wrapText="1" readingOrder="2"/>
    </xf>
    <xf numFmtId="0" fontId="22" fillId="0" borderId="4" xfId="0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 readingOrder="2"/>
    </xf>
    <xf numFmtId="164" fontId="3" fillId="0" borderId="2" xfId="1" applyNumberFormat="1" applyFont="1" applyBorder="1" applyAlignment="1">
      <alignment horizontal="center" vertical="center" wrapText="1" readingOrder="2"/>
    </xf>
    <xf numFmtId="164" fontId="3" fillId="0" borderId="0" xfId="1" applyNumberFormat="1" applyFont="1" applyBorder="1" applyAlignment="1">
      <alignment horizontal="center" vertical="center" wrapText="1" readingOrder="2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Normal 2" xfId="2" xr:uid="{13827466-193F-4D0D-B47C-6296ACBBBFB1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029D1-96DA-45B2-BD9E-C6286EED089B}">
  <dimension ref="A1:K32"/>
  <sheetViews>
    <sheetView rightToLeft="1" tabSelected="1" view="pageBreakPreview" zoomScale="60" zoomScaleNormal="100" workbookViewId="0">
      <selection sqref="A1:XFD1048576"/>
    </sheetView>
  </sheetViews>
  <sheetFormatPr defaultRowHeight="18"/>
  <cols>
    <col min="1" max="16384" width="9.140625" style="8"/>
  </cols>
  <sheetData>
    <row r="1" spans="1:11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</row>
    <row r="2" spans="1:1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</row>
    <row r="3" spans="1:1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</row>
    <row r="4" spans="1:11">
      <c r="A4" s="83" t="s">
        <v>489</v>
      </c>
      <c r="B4" s="83"/>
      <c r="C4" s="83"/>
      <c r="D4" s="83"/>
      <c r="E4" s="83"/>
      <c r="F4" s="83"/>
      <c r="G4" s="83"/>
      <c r="H4" s="83"/>
      <c r="I4" s="83"/>
      <c r="J4" s="83"/>
      <c r="K4" s="83"/>
    </row>
    <row r="5" spans="1:11">
      <c r="A5" s="83"/>
      <c r="B5" s="83"/>
      <c r="C5" s="83"/>
      <c r="D5" s="83"/>
      <c r="E5" s="83"/>
      <c r="F5" s="83"/>
      <c r="G5" s="83"/>
      <c r="H5" s="83"/>
      <c r="I5" s="83"/>
      <c r="J5" s="83"/>
      <c r="K5" s="83"/>
    </row>
    <row r="6" spans="1:11">
      <c r="A6" s="83"/>
      <c r="B6" s="83"/>
      <c r="C6" s="83"/>
      <c r="D6" s="83"/>
      <c r="E6" s="83"/>
      <c r="F6" s="83"/>
      <c r="G6" s="83"/>
      <c r="H6" s="83"/>
      <c r="I6" s="83"/>
      <c r="J6" s="83"/>
      <c r="K6" s="83"/>
    </row>
    <row r="7" spans="1:11">
      <c r="A7" s="83"/>
      <c r="B7" s="83"/>
      <c r="C7" s="83"/>
      <c r="D7" s="83"/>
      <c r="E7" s="83"/>
      <c r="F7" s="83"/>
      <c r="G7" s="83"/>
      <c r="H7" s="83"/>
      <c r="I7" s="83"/>
      <c r="J7" s="83"/>
      <c r="K7" s="83"/>
    </row>
    <row r="8" spans="1:11">
      <c r="A8" s="83"/>
      <c r="B8" s="83"/>
      <c r="C8" s="83"/>
      <c r="D8" s="83"/>
      <c r="E8" s="83"/>
      <c r="F8" s="83"/>
      <c r="G8" s="83"/>
      <c r="H8" s="83"/>
      <c r="I8" s="83"/>
      <c r="J8" s="83"/>
      <c r="K8" s="83"/>
    </row>
    <row r="9" spans="1:11" ht="57.75" customHeight="1">
      <c r="A9" s="83"/>
      <c r="B9" s="83"/>
      <c r="C9" s="83"/>
      <c r="D9" s="83"/>
      <c r="E9" s="83"/>
      <c r="F9" s="83"/>
      <c r="G9" s="83"/>
      <c r="H9" s="83"/>
      <c r="I9" s="83"/>
      <c r="J9" s="83"/>
      <c r="K9" s="83"/>
    </row>
    <row r="10" spans="1:11">
      <c r="A10" s="84"/>
      <c r="B10" s="85"/>
      <c r="C10" s="85"/>
      <c r="D10" s="85"/>
      <c r="E10" s="85"/>
      <c r="F10" s="85"/>
      <c r="G10" s="85"/>
      <c r="H10" s="85"/>
      <c r="I10" s="85"/>
      <c r="J10" s="85"/>
      <c r="K10" s="84"/>
    </row>
    <row r="11" spans="1:11">
      <c r="A11" s="85"/>
      <c r="B11" s="85"/>
      <c r="C11" s="85"/>
      <c r="D11" s="85"/>
      <c r="E11" s="85"/>
      <c r="F11" s="85"/>
      <c r="G11" s="85"/>
      <c r="H11" s="85"/>
      <c r="I11" s="85"/>
      <c r="J11" s="85"/>
      <c r="K11" s="85"/>
    </row>
    <row r="12" spans="1:11">
      <c r="A12" s="85"/>
      <c r="B12" s="85"/>
      <c r="C12" s="85"/>
      <c r="D12" s="85"/>
      <c r="E12" s="85"/>
      <c r="F12" s="85"/>
      <c r="G12" s="85"/>
      <c r="H12" s="85"/>
      <c r="I12" s="85"/>
      <c r="J12" s="85"/>
      <c r="K12" s="85"/>
    </row>
    <row r="13" spans="1:11" ht="30">
      <c r="A13" s="60"/>
      <c r="B13" s="86"/>
      <c r="C13" s="86"/>
      <c r="D13" s="86"/>
      <c r="E13" s="86"/>
      <c r="F13" s="86"/>
      <c r="G13" s="86"/>
      <c r="H13" s="86"/>
      <c r="I13" s="86"/>
      <c r="J13" s="86"/>
      <c r="K13" s="86"/>
    </row>
    <row r="14" spans="1:11" ht="25.5">
      <c r="A14" s="60"/>
      <c r="B14" s="61"/>
      <c r="C14" s="61"/>
      <c r="D14" s="61"/>
      <c r="E14" s="61"/>
      <c r="F14" s="61"/>
      <c r="G14" s="61"/>
      <c r="H14" s="61"/>
      <c r="I14" s="61"/>
      <c r="J14" s="61"/>
      <c r="K14" s="61"/>
    </row>
    <row r="15" spans="1:11" ht="15" customHeight="1">
      <c r="A15" s="81" t="s">
        <v>491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</row>
    <row r="16" spans="1:11" ht="15" customHeight="1">
      <c r="A16" s="81"/>
      <c r="B16" s="81"/>
      <c r="C16" s="81"/>
      <c r="D16" s="81"/>
      <c r="E16" s="81"/>
      <c r="F16" s="81"/>
      <c r="G16" s="81"/>
      <c r="H16" s="81"/>
      <c r="I16" s="81"/>
      <c r="J16" s="81"/>
      <c r="K16" s="81"/>
    </row>
    <row r="17" spans="1:11" ht="15" customHeight="1">
      <c r="A17" s="81"/>
      <c r="B17" s="81"/>
      <c r="C17" s="81"/>
      <c r="D17" s="81"/>
      <c r="E17" s="81"/>
      <c r="F17" s="81"/>
      <c r="G17" s="81"/>
      <c r="H17" s="81"/>
      <c r="I17" s="81"/>
      <c r="J17" s="81"/>
      <c r="K17" s="81"/>
    </row>
    <row r="18" spans="1:11" ht="15" customHeight="1">
      <c r="A18" s="81"/>
      <c r="B18" s="81"/>
      <c r="C18" s="81"/>
      <c r="D18" s="81"/>
      <c r="E18" s="81"/>
      <c r="F18" s="81"/>
      <c r="G18" s="81"/>
      <c r="H18" s="81"/>
      <c r="I18" s="81"/>
      <c r="J18" s="81"/>
      <c r="K18" s="81"/>
    </row>
    <row r="19" spans="1:11" ht="15" customHeight="1">
      <c r="A19" s="81"/>
      <c r="B19" s="81"/>
      <c r="C19" s="81"/>
      <c r="D19" s="81"/>
      <c r="E19" s="81"/>
      <c r="F19" s="81"/>
      <c r="G19" s="81"/>
      <c r="H19" s="81"/>
      <c r="I19" s="81"/>
      <c r="J19" s="81"/>
      <c r="K19" s="81"/>
    </row>
    <row r="20" spans="1:11" ht="24.75" customHeight="1">
      <c r="A20" s="81"/>
      <c r="B20" s="81"/>
      <c r="C20" s="81"/>
      <c r="D20" s="81"/>
      <c r="E20" s="81"/>
      <c r="F20" s="81"/>
      <c r="G20" s="81"/>
      <c r="H20" s="81"/>
      <c r="I20" s="81"/>
      <c r="J20" s="81"/>
      <c r="K20" s="81"/>
    </row>
    <row r="21" spans="1:11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</row>
    <row r="22" spans="1:11" ht="25.5">
      <c r="A22" s="60"/>
      <c r="B22" s="62"/>
      <c r="C22" s="62"/>
      <c r="D22" s="62"/>
      <c r="E22" s="62"/>
      <c r="F22" s="62"/>
      <c r="G22" s="62"/>
      <c r="H22" s="62"/>
      <c r="I22" s="62"/>
      <c r="J22" s="62"/>
      <c r="K22" s="62"/>
    </row>
    <row r="23" spans="1:11" ht="24">
      <c r="A23" s="60"/>
      <c r="B23" s="82"/>
      <c r="C23" s="82"/>
      <c r="D23" s="82"/>
      <c r="E23" s="82"/>
      <c r="F23" s="82"/>
      <c r="G23" s="82"/>
      <c r="H23" s="82"/>
      <c r="I23" s="82"/>
      <c r="J23" s="82"/>
      <c r="K23" s="82"/>
    </row>
    <row r="24" spans="1:11" ht="25.5">
      <c r="A24" s="60"/>
      <c r="B24" s="62"/>
      <c r="C24" s="62"/>
      <c r="D24" s="62"/>
      <c r="E24" s="62"/>
      <c r="F24" s="62"/>
      <c r="G24" s="62"/>
      <c r="H24" s="62"/>
      <c r="I24" s="62"/>
      <c r="J24" s="62"/>
      <c r="K24" s="62"/>
    </row>
    <row r="25" spans="1:11">
      <c r="A25" s="81" t="s">
        <v>490</v>
      </c>
      <c r="B25" s="81"/>
      <c r="C25" s="81"/>
      <c r="D25" s="81"/>
      <c r="E25" s="81"/>
      <c r="F25" s="81"/>
      <c r="G25" s="81"/>
      <c r="H25" s="81"/>
      <c r="I25" s="81"/>
      <c r="J25" s="81"/>
      <c r="K25" s="81"/>
    </row>
    <row r="26" spans="1:11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</row>
    <row r="27" spans="1:11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</row>
    <row r="28" spans="1:11">
      <c r="A28" s="81"/>
      <c r="B28" s="81"/>
      <c r="C28" s="81"/>
      <c r="D28" s="81"/>
      <c r="E28" s="81"/>
      <c r="F28" s="81"/>
      <c r="G28" s="81"/>
      <c r="H28" s="81"/>
      <c r="I28" s="81"/>
      <c r="J28" s="81"/>
      <c r="K28" s="81"/>
    </row>
    <row r="29" spans="1:11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</row>
    <row r="30" spans="1:11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</row>
    <row r="31" spans="1:11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</row>
    <row r="32" spans="1:11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</row>
  </sheetData>
  <mergeCells count="7">
    <mergeCell ref="A15:K20"/>
    <mergeCell ref="B23:K23"/>
    <mergeCell ref="A25:K31"/>
    <mergeCell ref="A4:K9"/>
    <mergeCell ref="A10:J12"/>
    <mergeCell ref="K10:K12"/>
    <mergeCell ref="B13:K13"/>
  </mergeCells>
  <pageMargins left="0.7" right="0.7" top="0.75" bottom="0.75" header="0.3" footer="0.3"/>
  <pageSetup scale="8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9"/>
  <sheetViews>
    <sheetView rightToLeft="1" view="pageBreakPreview" topLeftCell="A202" zoomScaleNormal="100" zoomScaleSheetLayoutView="100" workbookViewId="0">
      <selection sqref="A1:XFD1048576"/>
    </sheetView>
  </sheetViews>
  <sheetFormatPr defaultColWidth="9.140625" defaultRowHeight="15.75"/>
  <cols>
    <col min="1" max="1" width="22.85546875" style="6" customWidth="1"/>
    <col min="2" max="2" width="12.42578125" style="6" customWidth="1"/>
    <col min="3" max="4" width="19.85546875" style="6" customWidth="1"/>
    <col min="5" max="5" width="11.85546875" style="6" customWidth="1"/>
    <col min="6" max="6" width="11.42578125" style="6" customWidth="1"/>
    <col min="7" max="7" width="20.85546875" style="6" customWidth="1"/>
    <col min="8" max="8" width="12.85546875" style="6" customWidth="1"/>
    <col min="9" max="9" width="16" style="6" customWidth="1"/>
    <col min="10" max="10" width="16.28515625" style="6" customWidth="1"/>
    <col min="11" max="11" width="14" style="6" customWidth="1"/>
    <col min="12" max="12" width="21.85546875" style="6" customWidth="1"/>
    <col min="13" max="13" width="20" style="6" customWidth="1"/>
    <col min="14" max="14" width="13.42578125" style="6" customWidth="1"/>
    <col min="15" max="16384" width="9.140625" style="6"/>
  </cols>
  <sheetData>
    <row r="1" spans="1:14" ht="21">
      <c r="A1" s="96" t="s">
        <v>155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</row>
    <row r="2" spans="1:14" ht="21">
      <c r="A2" s="96" t="s">
        <v>75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</row>
    <row r="3" spans="1:14" ht="21">
      <c r="A3" s="96" t="s">
        <v>154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</row>
    <row r="4" spans="1:14" ht="21">
      <c r="A4" s="97" t="s">
        <v>32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</row>
    <row r="5" spans="1:14" ht="21">
      <c r="A5" s="97" t="s">
        <v>33</v>
      </c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</row>
    <row r="7" spans="1:14" ht="18.75" customHeight="1" thickBot="1">
      <c r="A7" s="51"/>
      <c r="B7" s="87" t="s">
        <v>157</v>
      </c>
      <c r="C7" s="87"/>
      <c r="D7" s="87"/>
      <c r="E7" s="13"/>
      <c r="F7" s="88" t="s">
        <v>11</v>
      </c>
      <c r="G7" s="88"/>
      <c r="H7" s="88"/>
      <c r="I7" s="88"/>
      <c r="J7" s="87" t="s">
        <v>156</v>
      </c>
      <c r="K7" s="87"/>
      <c r="L7" s="87"/>
      <c r="M7" s="87"/>
      <c r="N7" s="87"/>
    </row>
    <row r="8" spans="1:14" ht="17.25" customHeight="1">
      <c r="A8" s="89" t="s">
        <v>1</v>
      </c>
      <c r="B8" s="91" t="s">
        <v>3</v>
      </c>
      <c r="C8" s="91" t="s">
        <v>0</v>
      </c>
      <c r="D8" s="93" t="s">
        <v>27</v>
      </c>
      <c r="E8" s="94" t="s">
        <v>4</v>
      </c>
      <c r="F8" s="94"/>
      <c r="G8" s="94"/>
      <c r="H8" s="94" t="s">
        <v>5</v>
      </c>
      <c r="I8" s="94"/>
      <c r="J8" s="95" t="s">
        <v>3</v>
      </c>
      <c r="K8" s="93" t="s">
        <v>37</v>
      </c>
      <c r="L8" s="95" t="s">
        <v>0</v>
      </c>
      <c r="M8" s="93" t="s">
        <v>27</v>
      </c>
      <c r="N8" s="93" t="s">
        <v>30</v>
      </c>
    </row>
    <row r="9" spans="1:14" ht="20.25" customHeight="1" thickBot="1">
      <c r="A9" s="90"/>
      <c r="B9" s="92"/>
      <c r="C9" s="92"/>
      <c r="D9" s="90"/>
      <c r="E9" s="49" t="s">
        <v>133</v>
      </c>
      <c r="F9" s="46" t="s">
        <v>3</v>
      </c>
      <c r="G9" s="46" t="s">
        <v>0</v>
      </c>
      <c r="H9" s="46" t="s">
        <v>3</v>
      </c>
      <c r="I9" s="46" t="s">
        <v>73</v>
      </c>
      <c r="J9" s="92"/>
      <c r="K9" s="90"/>
      <c r="L9" s="92"/>
      <c r="M9" s="90"/>
      <c r="N9" s="90"/>
    </row>
    <row r="10" spans="1:14">
      <c r="A10" s="63" t="s">
        <v>244</v>
      </c>
      <c r="B10" s="63">
        <v>5751123</v>
      </c>
      <c r="C10" s="63">
        <v>36820959280</v>
      </c>
      <c r="D10" s="63">
        <v>34125867579</v>
      </c>
      <c r="E10" s="63">
        <v>0</v>
      </c>
      <c r="F10" s="63">
        <v>0</v>
      </c>
      <c r="G10" s="63">
        <v>0</v>
      </c>
      <c r="H10" s="63">
        <v>0</v>
      </c>
      <c r="I10" s="63">
        <v>0</v>
      </c>
      <c r="J10" s="63">
        <v>5751123</v>
      </c>
      <c r="K10" s="63">
        <v>5730</v>
      </c>
      <c r="L10" s="63">
        <v>36820959280</v>
      </c>
      <c r="M10" s="63">
        <v>32699200874</v>
      </c>
      <c r="N10" s="64">
        <v>7.1567652101335059E-3</v>
      </c>
    </row>
    <row r="11" spans="1:14">
      <c r="A11" s="63" t="s">
        <v>355</v>
      </c>
      <c r="B11" s="63">
        <v>4522026</v>
      </c>
      <c r="C11" s="63">
        <v>46031281033</v>
      </c>
      <c r="D11" s="63">
        <v>49447519544</v>
      </c>
      <c r="E11" s="63">
        <v>2311013</v>
      </c>
      <c r="F11" s="63">
        <v>100000</v>
      </c>
      <c r="G11" s="63">
        <v>1144039619</v>
      </c>
      <c r="H11" s="63">
        <v>0</v>
      </c>
      <c r="I11" s="63">
        <v>0</v>
      </c>
      <c r="J11" s="63">
        <v>6933039</v>
      </c>
      <c r="K11" s="63">
        <v>7160</v>
      </c>
      <c r="L11" s="63">
        <v>47175320652</v>
      </c>
      <c r="M11" s="63">
        <v>49256837717</v>
      </c>
      <c r="N11" s="64">
        <v>1.0780680050640479E-2</v>
      </c>
    </row>
    <row r="12" spans="1:14">
      <c r="A12" s="63" t="s">
        <v>198</v>
      </c>
      <c r="B12" s="63">
        <v>158909</v>
      </c>
      <c r="C12" s="63">
        <v>18355763158</v>
      </c>
      <c r="D12" s="63">
        <v>21722084061</v>
      </c>
      <c r="E12" s="63">
        <v>0</v>
      </c>
      <c r="F12" s="63">
        <v>0</v>
      </c>
      <c r="G12" s="63">
        <v>0</v>
      </c>
      <c r="H12" s="63">
        <v>0</v>
      </c>
      <c r="I12" s="63">
        <v>0</v>
      </c>
      <c r="J12" s="63">
        <v>158909</v>
      </c>
      <c r="K12" s="63">
        <v>124210</v>
      </c>
      <c r="L12" s="63">
        <v>18355763158</v>
      </c>
      <c r="M12" s="63">
        <v>19585511478</v>
      </c>
      <c r="N12" s="64">
        <v>4.2866156793413528E-3</v>
      </c>
    </row>
    <row r="13" spans="1:14">
      <c r="A13" s="63" t="s">
        <v>262</v>
      </c>
      <c r="B13" s="63">
        <v>2862943</v>
      </c>
      <c r="C13" s="63">
        <v>16474768843</v>
      </c>
      <c r="D13" s="63">
        <v>19345932789</v>
      </c>
      <c r="E13" s="63">
        <v>0</v>
      </c>
      <c r="F13" s="63">
        <v>0</v>
      </c>
      <c r="G13" s="63">
        <v>0</v>
      </c>
      <c r="H13" s="63">
        <v>0</v>
      </c>
      <c r="I13" s="63">
        <v>0</v>
      </c>
      <c r="J13" s="63">
        <v>2862943</v>
      </c>
      <c r="K13" s="63">
        <v>5920</v>
      </c>
      <c r="L13" s="63">
        <v>16474768843</v>
      </c>
      <c r="M13" s="63">
        <v>16817609708</v>
      </c>
      <c r="N13" s="64">
        <v>3.680814235785165E-3</v>
      </c>
    </row>
    <row r="14" spans="1:14">
      <c r="A14" s="63" t="s">
        <v>406</v>
      </c>
      <c r="B14" s="63">
        <v>50000</v>
      </c>
      <c r="C14" s="63">
        <v>1000908000</v>
      </c>
      <c r="D14" s="63">
        <v>1758798575</v>
      </c>
      <c r="E14" s="63">
        <v>0</v>
      </c>
      <c r="F14" s="63">
        <v>0</v>
      </c>
      <c r="G14" s="63">
        <v>0</v>
      </c>
      <c r="H14" s="63">
        <v>0</v>
      </c>
      <c r="I14" s="63">
        <v>0</v>
      </c>
      <c r="J14" s="63">
        <v>50000</v>
      </c>
      <c r="K14" s="63">
        <v>25450</v>
      </c>
      <c r="L14" s="63">
        <v>1000908000</v>
      </c>
      <c r="M14" s="63">
        <v>1262663575</v>
      </c>
      <c r="N14" s="64">
        <v>2.7635497211334076E-4</v>
      </c>
    </row>
    <row r="15" spans="1:14">
      <c r="A15" s="63" t="s">
        <v>292</v>
      </c>
      <c r="B15" s="63">
        <v>3814542</v>
      </c>
      <c r="C15" s="63">
        <v>16572695909</v>
      </c>
      <c r="D15" s="63">
        <v>17774621052</v>
      </c>
      <c r="E15" s="63">
        <v>0</v>
      </c>
      <c r="F15" s="63">
        <v>0</v>
      </c>
      <c r="G15" s="63">
        <v>0</v>
      </c>
      <c r="H15" s="63">
        <v>0</v>
      </c>
      <c r="I15" s="63">
        <v>0</v>
      </c>
      <c r="J15" s="63">
        <v>3814542</v>
      </c>
      <c r="K15" s="63">
        <v>4461</v>
      </c>
      <c r="L15" s="63">
        <v>16572695909</v>
      </c>
      <c r="M15" s="63">
        <v>16885132989</v>
      </c>
      <c r="N15" s="64">
        <v>3.6955928314516759E-3</v>
      </c>
    </row>
    <row r="16" spans="1:14">
      <c r="A16" s="63" t="s">
        <v>376</v>
      </c>
      <c r="B16" s="63">
        <v>245000</v>
      </c>
      <c r="C16" s="63">
        <v>1829159370</v>
      </c>
      <c r="D16" s="63">
        <v>2610960051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245000</v>
      </c>
      <c r="K16" s="63">
        <v>10200</v>
      </c>
      <c r="L16" s="63">
        <v>1829159370</v>
      </c>
      <c r="M16" s="63">
        <v>2479682730</v>
      </c>
      <c r="N16" s="64">
        <v>5.4271990201276113E-4</v>
      </c>
    </row>
    <row r="17" spans="1:14">
      <c r="A17" s="63" t="s">
        <v>304</v>
      </c>
      <c r="B17" s="63">
        <v>2124125</v>
      </c>
      <c r="C17" s="63">
        <v>8803931592</v>
      </c>
      <c r="D17" s="63">
        <v>9821907694</v>
      </c>
      <c r="E17" s="63">
        <v>0</v>
      </c>
      <c r="F17" s="63">
        <v>0</v>
      </c>
      <c r="G17" s="63">
        <v>0</v>
      </c>
      <c r="H17" s="63">
        <v>0</v>
      </c>
      <c r="I17" s="63">
        <v>0</v>
      </c>
      <c r="J17" s="63">
        <v>2124125</v>
      </c>
      <c r="K17" s="63">
        <v>3840</v>
      </c>
      <c r="L17" s="63">
        <v>8803931592</v>
      </c>
      <c r="M17" s="63">
        <v>8093589173</v>
      </c>
      <c r="N17" s="64">
        <v>1.7714169114296751E-3</v>
      </c>
    </row>
    <row r="18" spans="1:14">
      <c r="A18" s="63" t="s">
        <v>325</v>
      </c>
      <c r="B18" s="63">
        <v>2498170</v>
      </c>
      <c r="C18" s="63">
        <v>24665426468</v>
      </c>
      <c r="D18" s="63">
        <v>36092189164</v>
      </c>
      <c r="E18" s="63">
        <v>0</v>
      </c>
      <c r="F18" s="63">
        <v>0</v>
      </c>
      <c r="G18" s="63">
        <v>0</v>
      </c>
      <c r="H18" s="63">
        <v>0</v>
      </c>
      <c r="I18" s="63">
        <v>0</v>
      </c>
      <c r="J18" s="63">
        <v>2498170</v>
      </c>
      <c r="K18" s="63">
        <v>11440</v>
      </c>
      <c r="L18" s="63">
        <v>24665426468</v>
      </c>
      <c r="M18" s="63">
        <v>28358148629</v>
      </c>
      <c r="N18" s="64">
        <v>6.2066535605521589E-3</v>
      </c>
    </row>
    <row r="19" spans="1:14">
      <c r="A19" s="63" t="s">
        <v>280</v>
      </c>
      <c r="B19" s="63">
        <v>8948358</v>
      </c>
      <c r="C19" s="63">
        <v>14347988206</v>
      </c>
      <c r="D19" s="63">
        <v>19836104188</v>
      </c>
      <c r="E19" s="63">
        <v>0</v>
      </c>
      <c r="F19" s="63">
        <v>0</v>
      </c>
      <c r="G19" s="63">
        <v>0</v>
      </c>
      <c r="H19" s="63">
        <v>0</v>
      </c>
      <c r="I19" s="63">
        <v>0</v>
      </c>
      <c r="J19" s="63">
        <v>8948358</v>
      </c>
      <c r="K19" s="63">
        <v>1962</v>
      </c>
      <c r="L19" s="63">
        <v>14347988206</v>
      </c>
      <c r="M19" s="63">
        <v>17420965272</v>
      </c>
      <c r="N19" s="64">
        <v>3.8128686589624936E-3</v>
      </c>
    </row>
    <row r="20" spans="1:14">
      <c r="A20" s="63" t="s">
        <v>307</v>
      </c>
      <c r="B20" s="63">
        <v>9421695</v>
      </c>
      <c r="C20" s="63">
        <v>42103056270</v>
      </c>
      <c r="D20" s="63">
        <v>46426465068</v>
      </c>
      <c r="E20" s="63">
        <v>0</v>
      </c>
      <c r="F20" s="63">
        <v>1200000</v>
      </c>
      <c r="G20" s="63">
        <v>6141985805</v>
      </c>
      <c r="H20" s="63">
        <v>2200268</v>
      </c>
      <c r="I20" s="63">
        <v>9008506390</v>
      </c>
      <c r="J20" s="63">
        <v>8421427</v>
      </c>
      <c r="K20" s="63">
        <v>3809</v>
      </c>
      <c r="L20" s="63">
        <v>38251154824</v>
      </c>
      <c r="M20" s="63">
        <v>31829258568</v>
      </c>
      <c r="N20" s="64">
        <v>6.9663638344425616E-3</v>
      </c>
    </row>
    <row r="21" spans="1:14">
      <c r="A21" s="63" t="s">
        <v>193</v>
      </c>
      <c r="B21" s="63">
        <v>1905609</v>
      </c>
      <c r="C21" s="63">
        <v>30097500079</v>
      </c>
      <c r="D21" s="63">
        <v>37193582897</v>
      </c>
      <c r="E21" s="63">
        <v>0</v>
      </c>
      <c r="F21" s="63">
        <v>0</v>
      </c>
      <c r="G21" s="63">
        <v>0</v>
      </c>
      <c r="H21" s="63">
        <v>200000</v>
      </c>
      <c r="I21" s="63">
        <v>3680329445</v>
      </c>
      <c r="J21" s="63">
        <v>1705609</v>
      </c>
      <c r="K21" s="63">
        <v>18250</v>
      </c>
      <c r="L21" s="63">
        <v>26938667383</v>
      </c>
      <c r="M21" s="63">
        <v>30886749724</v>
      </c>
      <c r="N21" s="64">
        <v>6.7600800622190718E-3</v>
      </c>
    </row>
    <row r="22" spans="1:14">
      <c r="A22" s="63" t="s">
        <v>381</v>
      </c>
      <c r="B22" s="63">
        <v>10403637</v>
      </c>
      <c r="C22" s="63">
        <v>28533723803</v>
      </c>
      <c r="D22" s="63">
        <v>25973213685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10403637</v>
      </c>
      <c r="K22" s="63">
        <v>2273</v>
      </c>
      <c r="L22" s="63">
        <v>28533723803</v>
      </c>
      <c r="M22" s="63">
        <v>23464671982</v>
      </c>
      <c r="N22" s="64">
        <v>5.1356346216246069E-3</v>
      </c>
    </row>
    <row r="23" spans="1:14">
      <c r="A23" s="63" t="s">
        <v>224</v>
      </c>
      <c r="B23" s="63">
        <v>22871939</v>
      </c>
      <c r="C23" s="63">
        <v>43581494747</v>
      </c>
      <c r="D23" s="63">
        <v>54354857693</v>
      </c>
      <c r="E23" s="63">
        <v>0</v>
      </c>
      <c r="F23" s="63">
        <v>0</v>
      </c>
      <c r="G23" s="63">
        <v>0</v>
      </c>
      <c r="H23" s="63">
        <v>400000</v>
      </c>
      <c r="I23" s="63">
        <v>950197758</v>
      </c>
      <c r="J23" s="63">
        <v>22471939</v>
      </c>
      <c r="K23" s="63">
        <v>2424</v>
      </c>
      <c r="L23" s="63">
        <v>42819311974</v>
      </c>
      <c r="M23" s="63">
        <v>54050911730</v>
      </c>
      <c r="N23" s="64">
        <v>1.1829943066065555E-2</v>
      </c>
    </row>
    <row r="24" spans="1:14">
      <c r="A24" s="63" t="s">
        <v>300</v>
      </c>
      <c r="B24" s="63">
        <v>63507736</v>
      </c>
      <c r="C24" s="63">
        <v>33657865436</v>
      </c>
      <c r="D24" s="63">
        <v>38566294575</v>
      </c>
      <c r="E24" s="63">
        <v>0</v>
      </c>
      <c r="F24" s="63">
        <v>0</v>
      </c>
      <c r="G24" s="63">
        <v>0</v>
      </c>
      <c r="H24" s="63">
        <v>0</v>
      </c>
      <c r="I24" s="63">
        <v>0</v>
      </c>
      <c r="J24" s="63">
        <v>63507736</v>
      </c>
      <c r="K24" s="63">
        <v>502</v>
      </c>
      <c r="L24" s="63">
        <v>33657865436</v>
      </c>
      <c r="M24" s="63">
        <v>31634444243</v>
      </c>
      <c r="N24" s="64">
        <v>6.923725471842568E-3</v>
      </c>
    </row>
    <row r="25" spans="1:14">
      <c r="A25" s="63" t="s">
        <v>361</v>
      </c>
      <c r="B25" s="63">
        <v>1750000</v>
      </c>
      <c r="C25" s="63">
        <v>4291393050</v>
      </c>
      <c r="D25" s="63">
        <v>6492670677</v>
      </c>
      <c r="E25" s="63">
        <v>0</v>
      </c>
      <c r="F25" s="63">
        <v>0</v>
      </c>
      <c r="G25" s="63">
        <v>0</v>
      </c>
      <c r="H25" s="63">
        <v>0</v>
      </c>
      <c r="I25" s="63">
        <v>0</v>
      </c>
      <c r="J25" s="63">
        <v>1750000</v>
      </c>
      <c r="K25" s="63">
        <v>2650</v>
      </c>
      <c r="L25" s="63">
        <v>4291393050</v>
      </c>
      <c r="M25" s="63">
        <v>4601652125</v>
      </c>
      <c r="N25" s="64">
        <v>1.0071482775446899E-3</v>
      </c>
    </row>
    <row r="26" spans="1:14">
      <c r="A26" s="63" t="s">
        <v>175</v>
      </c>
      <c r="B26" s="63">
        <v>9109504</v>
      </c>
      <c r="C26" s="63">
        <v>18425777349</v>
      </c>
      <c r="D26" s="63">
        <v>16116693073</v>
      </c>
      <c r="E26" s="63">
        <v>0</v>
      </c>
      <c r="F26" s="63">
        <v>0</v>
      </c>
      <c r="G26" s="63">
        <v>0</v>
      </c>
      <c r="H26" s="63">
        <v>0</v>
      </c>
      <c r="I26" s="63">
        <v>0</v>
      </c>
      <c r="J26" s="63">
        <v>9109504</v>
      </c>
      <c r="K26" s="63">
        <v>1683</v>
      </c>
      <c r="L26" s="63">
        <v>18425777349</v>
      </c>
      <c r="M26" s="63">
        <v>15212784320</v>
      </c>
      <c r="N26" s="64">
        <v>3.3295714470260758E-3</v>
      </c>
    </row>
    <row r="27" spans="1:14">
      <c r="A27" s="63" t="s">
        <v>177</v>
      </c>
      <c r="B27" s="63">
        <v>33702691</v>
      </c>
      <c r="C27" s="63">
        <v>17509466015</v>
      </c>
      <c r="D27" s="63">
        <v>17925002690</v>
      </c>
      <c r="E27" s="63">
        <v>0</v>
      </c>
      <c r="F27" s="63">
        <v>0</v>
      </c>
      <c r="G27" s="63">
        <v>0</v>
      </c>
      <c r="H27" s="63">
        <v>0</v>
      </c>
      <c r="I27" s="63">
        <v>0</v>
      </c>
      <c r="J27" s="63">
        <v>33702691</v>
      </c>
      <c r="K27" s="63">
        <v>407</v>
      </c>
      <c r="L27" s="63">
        <v>17509466015</v>
      </c>
      <c r="M27" s="63">
        <v>13610962864</v>
      </c>
      <c r="N27" s="64">
        <v>2.9789861188610251E-3</v>
      </c>
    </row>
    <row r="28" spans="1:14">
      <c r="A28" s="63" t="s">
        <v>318</v>
      </c>
      <c r="B28" s="63">
        <v>5600000</v>
      </c>
      <c r="C28" s="63">
        <v>15821717016</v>
      </c>
      <c r="D28" s="63">
        <v>17598106904</v>
      </c>
      <c r="E28" s="63">
        <v>0</v>
      </c>
      <c r="F28" s="63">
        <v>0</v>
      </c>
      <c r="G28" s="63">
        <v>0</v>
      </c>
      <c r="H28" s="63">
        <v>0</v>
      </c>
      <c r="I28" s="63">
        <v>0</v>
      </c>
      <c r="J28" s="63">
        <v>5600000</v>
      </c>
      <c r="K28" s="63">
        <v>2789</v>
      </c>
      <c r="L28" s="63">
        <v>15821717016</v>
      </c>
      <c r="M28" s="63">
        <v>15497669768</v>
      </c>
      <c r="N28" s="64">
        <v>3.3919233763889992E-3</v>
      </c>
    </row>
    <row r="29" spans="1:14">
      <c r="A29" s="63" t="s">
        <v>191</v>
      </c>
      <c r="B29" s="63">
        <v>6992254</v>
      </c>
      <c r="C29" s="63">
        <v>25578867290</v>
      </c>
      <c r="D29" s="63">
        <v>22687926676</v>
      </c>
      <c r="E29" s="63">
        <v>0</v>
      </c>
      <c r="F29" s="63">
        <v>0</v>
      </c>
      <c r="G29" s="63">
        <v>0</v>
      </c>
      <c r="H29" s="63">
        <v>1600000</v>
      </c>
      <c r="I29" s="63">
        <v>4321534334</v>
      </c>
      <c r="J29" s="63">
        <v>5392254</v>
      </c>
      <c r="K29" s="63">
        <v>2756</v>
      </c>
      <c r="L29" s="63">
        <v>19725792207</v>
      </c>
      <c r="M29" s="63">
        <v>14746176092</v>
      </c>
      <c r="N29" s="64">
        <v>3.2274464579237368E-3</v>
      </c>
    </row>
    <row r="30" spans="1:14">
      <c r="A30" s="63" t="s">
        <v>252</v>
      </c>
      <c r="B30" s="63">
        <v>61323085</v>
      </c>
      <c r="C30" s="63">
        <v>36932858391</v>
      </c>
      <c r="D30" s="63">
        <v>40951415733</v>
      </c>
      <c r="E30" s="63">
        <v>0</v>
      </c>
      <c r="F30" s="63">
        <v>0</v>
      </c>
      <c r="G30" s="63">
        <v>0</v>
      </c>
      <c r="H30" s="63">
        <v>16000000</v>
      </c>
      <c r="I30" s="63">
        <v>9223143429</v>
      </c>
      <c r="J30" s="63">
        <v>45323085</v>
      </c>
      <c r="K30" s="63">
        <v>504</v>
      </c>
      <c r="L30" s="63">
        <v>27296589533</v>
      </c>
      <c r="M30" s="63">
        <v>22666259727</v>
      </c>
      <c r="N30" s="64">
        <v>4.9608887900079194E-3</v>
      </c>
    </row>
    <row r="31" spans="1:14">
      <c r="A31" s="63" t="s">
        <v>323</v>
      </c>
      <c r="B31" s="63">
        <v>22708571</v>
      </c>
      <c r="C31" s="63">
        <v>30956809741</v>
      </c>
      <c r="D31" s="63">
        <v>33123559607</v>
      </c>
      <c r="E31" s="63">
        <v>0</v>
      </c>
      <c r="F31" s="63">
        <v>0</v>
      </c>
      <c r="G31" s="63">
        <v>0</v>
      </c>
      <c r="H31" s="63">
        <v>5200000</v>
      </c>
      <c r="I31" s="63">
        <v>6713698906</v>
      </c>
      <c r="J31" s="63">
        <v>17508571</v>
      </c>
      <c r="K31" s="63">
        <v>1257</v>
      </c>
      <c r="L31" s="63">
        <v>23868058509</v>
      </c>
      <c r="M31" s="63">
        <v>21838149791</v>
      </c>
      <c r="N31" s="64">
        <v>4.7796431258411518E-3</v>
      </c>
    </row>
    <row r="32" spans="1:14">
      <c r="A32" s="63" t="s">
        <v>228</v>
      </c>
      <c r="B32" s="63">
        <v>6752212</v>
      </c>
      <c r="C32" s="63">
        <v>30156093988</v>
      </c>
      <c r="D32" s="63">
        <v>36649095185</v>
      </c>
      <c r="E32" s="63">
        <v>0</v>
      </c>
      <c r="F32" s="63">
        <v>800000</v>
      </c>
      <c r="G32" s="63">
        <v>4427675866</v>
      </c>
      <c r="H32" s="63">
        <v>1600000</v>
      </c>
      <c r="I32" s="63">
        <v>7244365461</v>
      </c>
      <c r="J32" s="63">
        <v>5952212</v>
      </c>
      <c r="K32" s="63">
        <v>4402</v>
      </c>
      <c r="L32" s="63">
        <v>27256905650</v>
      </c>
      <c r="M32" s="63">
        <v>25999098568</v>
      </c>
      <c r="N32" s="64">
        <v>5.6903361291083714E-3</v>
      </c>
    </row>
    <row r="33" spans="1:14">
      <c r="A33" s="63" t="s">
        <v>192</v>
      </c>
      <c r="B33" s="63">
        <v>24708419</v>
      </c>
      <c r="C33" s="63">
        <v>40883266477</v>
      </c>
      <c r="D33" s="63">
        <v>45749511171</v>
      </c>
      <c r="E33" s="63">
        <v>4136773</v>
      </c>
      <c r="F33" s="63">
        <v>0</v>
      </c>
      <c r="G33" s="63">
        <v>0</v>
      </c>
      <c r="H33" s="63">
        <v>6400000</v>
      </c>
      <c r="I33" s="63">
        <v>11583974004</v>
      </c>
      <c r="J33" s="63">
        <v>22445192</v>
      </c>
      <c r="K33" s="63">
        <v>1551</v>
      </c>
      <c r="L33" s="63">
        <v>30293640914</v>
      </c>
      <c r="M33" s="63">
        <v>34543392223</v>
      </c>
      <c r="N33" s="64">
        <v>7.5603972297112933E-3</v>
      </c>
    </row>
    <row r="34" spans="1:14">
      <c r="A34" s="63" t="s">
        <v>169</v>
      </c>
      <c r="B34" s="63">
        <v>9210264</v>
      </c>
      <c r="C34" s="63">
        <v>15031859870</v>
      </c>
      <c r="D34" s="63">
        <v>19566746000</v>
      </c>
      <c r="E34" s="63">
        <v>0</v>
      </c>
      <c r="F34" s="63">
        <v>0</v>
      </c>
      <c r="G34" s="63">
        <v>0</v>
      </c>
      <c r="H34" s="63">
        <v>0</v>
      </c>
      <c r="I34" s="63">
        <v>0</v>
      </c>
      <c r="J34" s="63">
        <v>9210264</v>
      </c>
      <c r="K34" s="63">
        <v>2027</v>
      </c>
      <c r="L34" s="63">
        <v>15031859870</v>
      </c>
      <c r="M34" s="63">
        <v>18524892172</v>
      </c>
      <c r="N34" s="64">
        <v>4.0544814635962746E-3</v>
      </c>
    </row>
    <row r="35" spans="1:14">
      <c r="A35" s="63" t="s">
        <v>260</v>
      </c>
      <c r="B35" s="63">
        <v>7041661</v>
      </c>
      <c r="C35" s="63">
        <v>16060551276</v>
      </c>
      <c r="D35" s="63">
        <v>16063639380</v>
      </c>
      <c r="E35" s="63">
        <v>0</v>
      </c>
      <c r="F35" s="63">
        <v>0</v>
      </c>
      <c r="G35" s="63">
        <v>0</v>
      </c>
      <c r="H35" s="63">
        <v>0</v>
      </c>
      <c r="I35" s="63">
        <v>0</v>
      </c>
      <c r="J35" s="63">
        <v>7041661</v>
      </c>
      <c r="K35" s="63">
        <v>2150</v>
      </c>
      <c r="L35" s="63">
        <v>16060551276</v>
      </c>
      <c r="M35" s="63">
        <v>15022542265</v>
      </c>
      <c r="N35" s="64">
        <v>3.2879338019357676E-3</v>
      </c>
    </row>
    <row r="36" spans="1:14">
      <c r="A36" s="63" t="s">
        <v>419</v>
      </c>
      <c r="B36" s="63">
        <v>2875000</v>
      </c>
      <c r="C36" s="63">
        <v>4907321845</v>
      </c>
      <c r="D36" s="63">
        <v>5808252445</v>
      </c>
      <c r="E36" s="63">
        <v>0</v>
      </c>
      <c r="F36" s="63">
        <v>0</v>
      </c>
      <c r="G36" s="63">
        <v>0</v>
      </c>
      <c r="H36" s="63">
        <v>0</v>
      </c>
      <c r="I36" s="63">
        <v>0</v>
      </c>
      <c r="J36" s="63">
        <v>2875000</v>
      </c>
      <c r="K36" s="63">
        <v>1989</v>
      </c>
      <c r="L36" s="63">
        <v>4907321845</v>
      </c>
      <c r="M36" s="63">
        <v>5674171961</v>
      </c>
      <c r="N36" s="64">
        <v>1.2418871226632599E-3</v>
      </c>
    </row>
    <row r="37" spans="1:14">
      <c r="A37" s="63" t="s">
        <v>173</v>
      </c>
      <c r="B37" s="63">
        <v>10263245</v>
      </c>
      <c r="C37" s="63">
        <v>14354875783</v>
      </c>
      <c r="D37" s="63">
        <v>15092554792</v>
      </c>
      <c r="E37" s="63">
        <v>0</v>
      </c>
      <c r="F37" s="63">
        <v>0</v>
      </c>
      <c r="G37" s="63">
        <v>0</v>
      </c>
      <c r="H37" s="63">
        <v>0</v>
      </c>
      <c r="I37" s="63">
        <v>0</v>
      </c>
      <c r="J37" s="63">
        <v>10263245</v>
      </c>
      <c r="K37" s="63">
        <v>1239</v>
      </c>
      <c r="L37" s="63">
        <v>14354875783</v>
      </c>
      <c r="M37" s="63">
        <v>12617864634</v>
      </c>
      <c r="N37" s="64">
        <v>2.7616300161814509E-3</v>
      </c>
    </row>
    <row r="38" spans="1:14">
      <c r="A38" s="63" t="s">
        <v>284</v>
      </c>
      <c r="B38" s="63">
        <v>4465469</v>
      </c>
      <c r="C38" s="63">
        <v>9864379907</v>
      </c>
      <c r="D38" s="63">
        <v>12840895780</v>
      </c>
      <c r="E38" s="63">
        <v>0</v>
      </c>
      <c r="F38" s="63">
        <v>0</v>
      </c>
      <c r="G38" s="63">
        <v>0</v>
      </c>
      <c r="H38" s="63">
        <v>800000</v>
      </c>
      <c r="I38" s="63">
        <v>2163577855</v>
      </c>
      <c r="J38" s="63">
        <v>3665469</v>
      </c>
      <c r="K38" s="63">
        <v>2944</v>
      </c>
      <c r="L38" s="63">
        <v>8097151442</v>
      </c>
      <c r="M38" s="63">
        <v>10707725218</v>
      </c>
      <c r="N38" s="64">
        <v>2.3435641627800232E-3</v>
      </c>
    </row>
    <row r="39" spans="1:14">
      <c r="A39" s="63" t="s">
        <v>337</v>
      </c>
      <c r="B39" s="63">
        <v>15617878</v>
      </c>
      <c r="C39" s="63">
        <v>24462931671</v>
      </c>
      <c r="D39" s="63">
        <v>25926734967</v>
      </c>
      <c r="E39" s="63">
        <v>0</v>
      </c>
      <c r="F39" s="63">
        <v>0</v>
      </c>
      <c r="G39" s="63">
        <v>0</v>
      </c>
      <c r="H39" s="63">
        <v>4400000</v>
      </c>
      <c r="I39" s="63">
        <v>6779599325</v>
      </c>
      <c r="J39" s="63">
        <v>11217878</v>
      </c>
      <c r="K39" s="63">
        <v>1539</v>
      </c>
      <c r="L39" s="63">
        <v>17571028728</v>
      </c>
      <c r="M39" s="63">
        <v>17130861093</v>
      </c>
      <c r="N39" s="64">
        <v>3.7493745233234668E-3</v>
      </c>
    </row>
    <row r="40" spans="1:14">
      <c r="A40" s="63" t="s">
        <v>214</v>
      </c>
      <c r="B40" s="63">
        <v>4264408</v>
      </c>
      <c r="C40" s="63">
        <v>15931326710</v>
      </c>
      <c r="D40" s="63">
        <v>15444771060</v>
      </c>
      <c r="E40" s="63">
        <v>0</v>
      </c>
      <c r="F40" s="63">
        <v>0</v>
      </c>
      <c r="G40" s="63">
        <v>0</v>
      </c>
      <c r="H40" s="63">
        <v>0</v>
      </c>
      <c r="I40" s="63">
        <v>0</v>
      </c>
      <c r="J40" s="63">
        <v>4264408</v>
      </c>
      <c r="K40" s="63">
        <v>2868</v>
      </c>
      <c r="L40" s="63">
        <v>15931326710</v>
      </c>
      <c r="M40" s="63">
        <v>12135781754</v>
      </c>
      <c r="N40" s="64">
        <v>2.6561181415249583E-3</v>
      </c>
    </row>
    <row r="41" spans="1:14">
      <c r="A41" s="63" t="s">
        <v>276</v>
      </c>
      <c r="B41" s="63">
        <v>4275356</v>
      </c>
      <c r="C41" s="63">
        <v>18827557104</v>
      </c>
      <c r="D41" s="63">
        <v>42083690381</v>
      </c>
      <c r="E41" s="63">
        <v>0</v>
      </c>
      <c r="F41" s="63">
        <v>0</v>
      </c>
      <c r="G41" s="63">
        <v>0</v>
      </c>
      <c r="H41" s="63">
        <v>1000000</v>
      </c>
      <c r="I41" s="63">
        <v>8563345497</v>
      </c>
      <c r="J41" s="63">
        <v>3275356</v>
      </c>
      <c r="K41" s="63">
        <v>8190</v>
      </c>
      <c r="L41" s="63">
        <v>14423816899</v>
      </c>
      <c r="M41" s="63">
        <v>26617807110</v>
      </c>
      <c r="N41" s="64">
        <v>5.8257508074566373E-3</v>
      </c>
    </row>
    <row r="42" spans="1:14">
      <c r="A42" s="63" t="s">
        <v>328</v>
      </c>
      <c r="B42" s="63">
        <v>5916183</v>
      </c>
      <c r="C42" s="63">
        <v>11288855137</v>
      </c>
      <c r="D42" s="63">
        <v>25759538573</v>
      </c>
      <c r="E42" s="63">
        <v>0</v>
      </c>
      <c r="F42" s="63">
        <v>0</v>
      </c>
      <c r="G42" s="63">
        <v>0</v>
      </c>
      <c r="H42" s="63">
        <v>400000</v>
      </c>
      <c r="I42" s="63">
        <v>1532064885</v>
      </c>
      <c r="J42" s="63">
        <v>5516183</v>
      </c>
      <c r="K42" s="63">
        <v>4714</v>
      </c>
      <c r="L42" s="63">
        <v>10525602537</v>
      </c>
      <c r="M42" s="63">
        <v>25802281256</v>
      </c>
      <c r="N42" s="64">
        <v>5.6472593794134399E-3</v>
      </c>
    </row>
    <row r="43" spans="1:14">
      <c r="A43" s="63" t="s">
        <v>223</v>
      </c>
      <c r="B43" s="63">
        <v>4316567</v>
      </c>
      <c r="C43" s="63">
        <v>17155336279</v>
      </c>
      <c r="D43" s="63">
        <v>15483767773</v>
      </c>
      <c r="E43" s="63">
        <v>0</v>
      </c>
      <c r="F43" s="63">
        <v>0</v>
      </c>
      <c r="G43" s="63">
        <v>0</v>
      </c>
      <c r="H43" s="63">
        <v>0</v>
      </c>
      <c r="I43" s="63">
        <v>0</v>
      </c>
      <c r="J43" s="63">
        <v>4316567</v>
      </c>
      <c r="K43" s="63">
        <v>2841</v>
      </c>
      <c r="L43" s="63">
        <v>17155336279</v>
      </c>
      <c r="M43" s="63">
        <v>12168571021</v>
      </c>
      <c r="N43" s="64">
        <v>2.6632946192081779E-3</v>
      </c>
    </row>
    <row r="44" spans="1:14">
      <c r="A44" s="63" t="s">
        <v>201</v>
      </c>
      <c r="B44" s="63">
        <v>13400000</v>
      </c>
      <c r="C44" s="63">
        <v>33796836988</v>
      </c>
      <c r="D44" s="63">
        <v>35647696658</v>
      </c>
      <c r="E44" s="63">
        <v>0</v>
      </c>
      <c r="F44" s="63">
        <v>0</v>
      </c>
      <c r="G44" s="63">
        <v>0</v>
      </c>
      <c r="H44" s="63">
        <v>0</v>
      </c>
      <c r="I44" s="63">
        <v>0</v>
      </c>
      <c r="J44" s="63">
        <v>13400000</v>
      </c>
      <c r="K44" s="63">
        <v>2210</v>
      </c>
      <c r="L44" s="63">
        <v>33796836988</v>
      </c>
      <c r="M44" s="63">
        <v>29385083780</v>
      </c>
      <c r="N44" s="64">
        <v>6.4314154374573466E-3</v>
      </c>
    </row>
    <row r="45" spans="1:14">
      <c r="A45" s="63" t="s">
        <v>345</v>
      </c>
      <c r="B45" s="63">
        <v>9815834</v>
      </c>
      <c r="C45" s="63">
        <v>39125243417</v>
      </c>
      <c r="D45" s="63">
        <v>43878509002</v>
      </c>
      <c r="E45" s="63">
        <v>0</v>
      </c>
      <c r="F45" s="63">
        <v>0</v>
      </c>
      <c r="G45" s="63">
        <v>0</v>
      </c>
      <c r="H45" s="63">
        <v>2313326</v>
      </c>
      <c r="I45" s="63">
        <v>9153811090</v>
      </c>
      <c r="J45" s="63">
        <v>7502508</v>
      </c>
      <c r="K45" s="63">
        <v>4313</v>
      </c>
      <c r="L45" s="63">
        <v>29904484096</v>
      </c>
      <c r="M45" s="63">
        <v>32108187214</v>
      </c>
      <c r="N45" s="64">
        <v>7.0274120183873162E-3</v>
      </c>
    </row>
    <row r="46" spans="1:14">
      <c r="A46" s="63" t="s">
        <v>424</v>
      </c>
      <c r="B46" s="63">
        <v>842177</v>
      </c>
      <c r="C46" s="63">
        <v>2001916090</v>
      </c>
      <c r="D46" s="63">
        <v>3594203646</v>
      </c>
      <c r="E46" s="63">
        <v>0</v>
      </c>
      <c r="F46" s="63">
        <v>0</v>
      </c>
      <c r="G46" s="63">
        <v>0</v>
      </c>
      <c r="H46" s="63">
        <v>0</v>
      </c>
      <c r="I46" s="63">
        <v>0</v>
      </c>
      <c r="J46" s="63">
        <v>842177</v>
      </c>
      <c r="K46" s="63">
        <v>3199</v>
      </c>
      <c r="L46" s="63">
        <v>2001916090</v>
      </c>
      <c r="M46" s="63">
        <v>2673298643</v>
      </c>
      <c r="N46" s="64">
        <v>5.8509597216891026E-4</v>
      </c>
    </row>
    <row r="47" spans="1:14">
      <c r="A47" s="63" t="s">
        <v>336</v>
      </c>
      <c r="B47" s="63">
        <v>285750</v>
      </c>
      <c r="C47" s="63">
        <v>12123197874</v>
      </c>
      <c r="D47" s="63">
        <v>19082319563</v>
      </c>
      <c r="E47" s="63">
        <v>0</v>
      </c>
      <c r="F47" s="63">
        <v>0</v>
      </c>
      <c r="G47" s="63">
        <v>0</v>
      </c>
      <c r="H47" s="63">
        <v>0</v>
      </c>
      <c r="I47" s="63">
        <v>0</v>
      </c>
      <c r="J47" s="63">
        <v>285750</v>
      </c>
      <c r="K47" s="63">
        <v>57600</v>
      </c>
      <c r="L47" s="63">
        <v>12123197874</v>
      </c>
      <c r="M47" s="63">
        <v>16331970384</v>
      </c>
      <c r="N47" s="64">
        <v>3.5745239740730046E-3</v>
      </c>
    </row>
    <row r="48" spans="1:14">
      <c r="A48" s="63" t="s">
        <v>253</v>
      </c>
      <c r="B48" s="63">
        <v>10719313</v>
      </c>
      <c r="C48" s="63">
        <v>18751988996</v>
      </c>
      <c r="D48" s="63">
        <v>21379269948</v>
      </c>
      <c r="E48" s="63">
        <v>3759656</v>
      </c>
      <c r="F48" s="63">
        <v>0</v>
      </c>
      <c r="G48" s="63">
        <v>0</v>
      </c>
      <c r="H48" s="63">
        <v>3200106</v>
      </c>
      <c r="I48" s="63">
        <v>6114650194</v>
      </c>
      <c r="J48" s="63">
        <v>11278863</v>
      </c>
      <c r="K48" s="63">
        <v>1262</v>
      </c>
      <c r="L48" s="63">
        <v>13153897968</v>
      </c>
      <c r="M48" s="63">
        <v>14123896865</v>
      </c>
      <c r="N48" s="64">
        <v>3.0912502756395553E-3</v>
      </c>
    </row>
    <row r="49" spans="1:14">
      <c r="A49" s="63" t="s">
        <v>380</v>
      </c>
      <c r="B49" s="63">
        <v>1648155</v>
      </c>
      <c r="C49" s="63">
        <v>11910020869</v>
      </c>
      <c r="D49" s="63">
        <v>14636962119</v>
      </c>
      <c r="E49" s="63">
        <v>0</v>
      </c>
      <c r="F49" s="63">
        <v>0</v>
      </c>
      <c r="G49" s="63">
        <v>0</v>
      </c>
      <c r="H49" s="63">
        <v>0</v>
      </c>
      <c r="I49" s="63">
        <v>0</v>
      </c>
      <c r="J49" s="63">
        <v>1648155</v>
      </c>
      <c r="K49" s="63">
        <v>8490</v>
      </c>
      <c r="L49" s="63">
        <v>11910020869</v>
      </c>
      <c r="M49" s="63">
        <v>13884671328</v>
      </c>
      <c r="N49" s="64">
        <v>3.0388917789541383E-3</v>
      </c>
    </row>
    <row r="50" spans="1:14">
      <c r="A50" s="63" t="s">
        <v>397</v>
      </c>
      <c r="B50" s="63">
        <v>250000</v>
      </c>
      <c r="C50" s="63">
        <v>800726400</v>
      </c>
      <c r="D50" s="63">
        <v>1374293950</v>
      </c>
      <c r="E50" s="63">
        <v>0</v>
      </c>
      <c r="F50" s="63">
        <v>0</v>
      </c>
      <c r="G50" s="63">
        <v>0</v>
      </c>
      <c r="H50" s="63">
        <v>0</v>
      </c>
      <c r="I50" s="63">
        <v>0</v>
      </c>
      <c r="J50" s="63">
        <v>250000</v>
      </c>
      <c r="K50" s="63">
        <v>4960</v>
      </c>
      <c r="L50" s="63">
        <v>800726400</v>
      </c>
      <c r="M50" s="63">
        <v>1230414800</v>
      </c>
      <c r="N50" s="64">
        <v>2.6929679011437527E-4</v>
      </c>
    </row>
    <row r="51" spans="1:14">
      <c r="A51" s="63" t="s">
        <v>251</v>
      </c>
      <c r="B51" s="63">
        <v>4260139</v>
      </c>
      <c r="C51" s="63">
        <v>17738464357</v>
      </c>
      <c r="D51" s="63">
        <v>22192842659</v>
      </c>
      <c r="E51" s="63">
        <v>0</v>
      </c>
      <c r="F51" s="63">
        <v>0</v>
      </c>
      <c r="G51" s="63">
        <v>0</v>
      </c>
      <c r="H51" s="63">
        <v>400000</v>
      </c>
      <c r="I51" s="63">
        <v>1797993250</v>
      </c>
      <c r="J51" s="63">
        <v>3860139</v>
      </c>
      <c r="K51" s="63">
        <v>4790</v>
      </c>
      <c r="L51" s="63">
        <v>16072935194</v>
      </c>
      <c r="M51" s="63">
        <v>18347137601</v>
      </c>
      <c r="N51" s="64">
        <v>4.0155769125469398E-3</v>
      </c>
    </row>
    <row r="52" spans="1:14">
      <c r="A52" s="63" t="s">
        <v>233</v>
      </c>
      <c r="B52" s="63">
        <v>239400</v>
      </c>
      <c r="C52" s="63">
        <v>34611620404</v>
      </c>
      <c r="D52" s="63">
        <v>33838917443</v>
      </c>
      <c r="E52" s="63">
        <v>0</v>
      </c>
      <c r="F52" s="63">
        <v>0</v>
      </c>
      <c r="G52" s="63">
        <v>0</v>
      </c>
      <c r="H52" s="63">
        <v>50000</v>
      </c>
      <c r="I52" s="63">
        <v>5635171205</v>
      </c>
      <c r="J52" s="63">
        <v>189400</v>
      </c>
      <c r="K52" s="63">
        <v>117450</v>
      </c>
      <c r="L52" s="63">
        <v>27382794088</v>
      </c>
      <c r="M52" s="63">
        <v>22073075918</v>
      </c>
      <c r="N52" s="64">
        <v>4.8310606249764862E-3</v>
      </c>
    </row>
    <row r="53" spans="1:14">
      <c r="A53" s="63" t="s">
        <v>322</v>
      </c>
      <c r="B53" s="63">
        <v>3028206</v>
      </c>
      <c r="C53" s="63">
        <v>33911172595</v>
      </c>
      <c r="D53" s="63">
        <v>58713752287</v>
      </c>
      <c r="E53" s="63">
        <v>0</v>
      </c>
      <c r="F53" s="63">
        <v>0</v>
      </c>
      <c r="G53" s="63">
        <v>0</v>
      </c>
      <c r="H53" s="63">
        <v>600000</v>
      </c>
      <c r="I53" s="63">
        <v>10816735359</v>
      </c>
      <c r="J53" s="63">
        <v>2428206</v>
      </c>
      <c r="K53" s="63">
        <v>16240</v>
      </c>
      <c r="L53" s="63">
        <v>27192110695</v>
      </c>
      <c r="M53" s="63">
        <v>39129240114</v>
      </c>
      <c r="N53" s="64">
        <v>8.5640864871869646E-3</v>
      </c>
    </row>
    <row r="54" spans="1:14">
      <c r="A54" s="63" t="s">
        <v>267</v>
      </c>
      <c r="B54" s="63">
        <v>3283236</v>
      </c>
      <c r="C54" s="63">
        <v>23186514787</v>
      </c>
      <c r="D54" s="63">
        <v>23228517456</v>
      </c>
      <c r="E54" s="63">
        <v>0</v>
      </c>
      <c r="F54" s="63">
        <v>0</v>
      </c>
      <c r="G54" s="63">
        <v>0</v>
      </c>
      <c r="H54" s="63">
        <v>0</v>
      </c>
      <c r="I54" s="63">
        <v>0</v>
      </c>
      <c r="J54" s="63">
        <v>3283236</v>
      </c>
      <c r="K54" s="63">
        <v>5600</v>
      </c>
      <c r="L54" s="63">
        <v>23186514787</v>
      </c>
      <c r="M54" s="63">
        <v>18243996880</v>
      </c>
      <c r="N54" s="64">
        <v>3.9930028463902398E-3</v>
      </c>
    </row>
    <row r="55" spans="1:14">
      <c r="A55" s="63" t="s">
        <v>360</v>
      </c>
      <c r="B55" s="63">
        <v>9760615</v>
      </c>
      <c r="C55" s="63">
        <v>23853455812</v>
      </c>
      <c r="D55" s="63">
        <v>25152374663</v>
      </c>
      <c r="E55" s="63">
        <v>0</v>
      </c>
      <c r="F55" s="63">
        <v>0</v>
      </c>
      <c r="G55" s="63">
        <v>0</v>
      </c>
      <c r="H55" s="63">
        <v>0</v>
      </c>
      <c r="I55" s="63">
        <v>0</v>
      </c>
      <c r="J55" s="63">
        <v>9760615</v>
      </c>
      <c r="K55" s="63">
        <v>1758</v>
      </c>
      <c r="L55" s="63">
        <v>23853455812</v>
      </c>
      <c r="M55" s="63">
        <v>17026520854</v>
      </c>
      <c r="N55" s="64">
        <v>3.7265379226563856E-3</v>
      </c>
    </row>
    <row r="56" spans="1:14">
      <c r="A56" s="63" t="s">
        <v>331</v>
      </c>
      <c r="B56" s="63">
        <v>23992882</v>
      </c>
      <c r="C56" s="63">
        <v>45279895923</v>
      </c>
      <c r="D56" s="63">
        <v>49995575746</v>
      </c>
      <c r="E56" s="63">
        <v>0</v>
      </c>
      <c r="F56" s="63">
        <v>0</v>
      </c>
      <c r="G56" s="63">
        <v>0</v>
      </c>
      <c r="H56" s="63">
        <v>400000</v>
      </c>
      <c r="I56" s="63">
        <v>763650998</v>
      </c>
      <c r="J56" s="63">
        <v>23592882</v>
      </c>
      <c r="K56" s="63">
        <v>1801</v>
      </c>
      <c r="L56" s="63">
        <v>44525007104</v>
      </c>
      <c r="M56" s="63">
        <v>42162326749</v>
      </c>
      <c r="N56" s="64">
        <v>9.2279280591058919E-3</v>
      </c>
    </row>
    <row r="57" spans="1:14">
      <c r="A57" s="63" t="s">
        <v>242</v>
      </c>
      <c r="B57" s="63">
        <v>4841112</v>
      </c>
      <c r="C57" s="63">
        <v>22412753661</v>
      </c>
      <c r="D57" s="63">
        <v>22265104097</v>
      </c>
      <c r="E57" s="63">
        <v>0</v>
      </c>
      <c r="F57" s="63">
        <v>0</v>
      </c>
      <c r="G57" s="63">
        <v>0</v>
      </c>
      <c r="H57" s="63">
        <v>1200000</v>
      </c>
      <c r="I57" s="63">
        <v>4477894410</v>
      </c>
      <c r="J57" s="63">
        <v>3641112</v>
      </c>
      <c r="K57" s="63">
        <v>3469</v>
      </c>
      <c r="L57" s="63">
        <v>16857149000</v>
      </c>
      <c r="M57" s="63">
        <v>12533379763</v>
      </c>
      <c r="N57" s="64">
        <v>2.7431390937920851E-3</v>
      </c>
    </row>
    <row r="58" spans="1:14">
      <c r="A58" s="63" t="s">
        <v>227</v>
      </c>
      <c r="B58" s="63">
        <v>4607801</v>
      </c>
      <c r="C58" s="63">
        <v>33501938983</v>
      </c>
      <c r="D58" s="63">
        <v>36623183413</v>
      </c>
      <c r="E58" s="63">
        <v>0</v>
      </c>
      <c r="F58" s="63">
        <v>0</v>
      </c>
      <c r="G58" s="63">
        <v>0</v>
      </c>
      <c r="H58" s="63">
        <v>0</v>
      </c>
      <c r="I58" s="63">
        <v>0</v>
      </c>
      <c r="J58" s="63">
        <v>4607801</v>
      </c>
      <c r="K58" s="63">
        <v>8320</v>
      </c>
      <c r="L58" s="63">
        <v>33501938983</v>
      </c>
      <c r="M58" s="63">
        <v>38040560050</v>
      </c>
      <c r="N58" s="64">
        <v>8.3258107067780227E-3</v>
      </c>
    </row>
    <row r="59" spans="1:14">
      <c r="A59" s="63" t="s">
        <v>188</v>
      </c>
      <c r="B59" s="63">
        <v>1161939</v>
      </c>
      <c r="C59" s="63">
        <v>24889304846</v>
      </c>
      <c r="D59" s="63">
        <v>31544909307</v>
      </c>
      <c r="E59" s="63">
        <v>0</v>
      </c>
      <c r="F59" s="63">
        <v>0</v>
      </c>
      <c r="G59" s="63">
        <v>0</v>
      </c>
      <c r="H59" s="63">
        <v>11907</v>
      </c>
      <c r="I59" s="63">
        <v>286030640</v>
      </c>
      <c r="J59" s="63">
        <v>1150032</v>
      </c>
      <c r="K59" s="63">
        <v>23680</v>
      </c>
      <c r="L59" s="63">
        <v>24634251050</v>
      </c>
      <c r="M59" s="63">
        <v>27022248543</v>
      </c>
      <c r="N59" s="64">
        <v>5.9142695571467079E-3</v>
      </c>
    </row>
    <row r="60" spans="1:14">
      <c r="A60" s="63" t="s">
        <v>334</v>
      </c>
      <c r="B60" s="63">
        <v>6883218</v>
      </c>
      <c r="C60" s="63">
        <v>24884266679</v>
      </c>
      <c r="D60" s="63">
        <v>34416424043</v>
      </c>
      <c r="E60" s="63">
        <v>0</v>
      </c>
      <c r="F60" s="63">
        <v>0</v>
      </c>
      <c r="G60" s="63">
        <v>0</v>
      </c>
      <c r="H60" s="63">
        <v>1302714</v>
      </c>
      <c r="I60" s="63">
        <v>6521424037</v>
      </c>
      <c r="J60" s="63">
        <v>5580504</v>
      </c>
      <c r="K60" s="63">
        <v>5510</v>
      </c>
      <c r="L60" s="63">
        <v>20174684246</v>
      </c>
      <c r="M60" s="63">
        <v>30510890539</v>
      </c>
      <c r="N60" s="64">
        <v>6.6778170139726555E-3</v>
      </c>
    </row>
    <row r="61" spans="1:14">
      <c r="A61" s="63" t="s">
        <v>353</v>
      </c>
      <c r="B61" s="63">
        <v>940025</v>
      </c>
      <c r="C61" s="63">
        <v>30456047518</v>
      </c>
      <c r="D61" s="63">
        <v>31928327109</v>
      </c>
      <c r="E61" s="63">
        <v>0</v>
      </c>
      <c r="F61" s="63">
        <v>0</v>
      </c>
      <c r="G61" s="63">
        <v>0</v>
      </c>
      <c r="H61" s="63">
        <v>0</v>
      </c>
      <c r="I61" s="63">
        <v>0</v>
      </c>
      <c r="J61" s="63">
        <v>940025</v>
      </c>
      <c r="K61" s="63">
        <v>26110</v>
      </c>
      <c r="L61" s="63">
        <v>30456047518</v>
      </c>
      <c r="M61" s="63">
        <v>24354327222</v>
      </c>
      <c r="N61" s="64">
        <v>5.330350501537978E-3</v>
      </c>
    </row>
    <row r="62" spans="1:14">
      <c r="A62" s="63" t="s">
        <v>330</v>
      </c>
      <c r="B62" s="63">
        <v>6451998</v>
      </c>
      <c r="C62" s="63">
        <v>35036625758</v>
      </c>
      <c r="D62" s="63">
        <v>48848206543</v>
      </c>
      <c r="E62" s="63">
        <v>0</v>
      </c>
      <c r="F62" s="63">
        <v>0</v>
      </c>
      <c r="G62" s="63">
        <v>0</v>
      </c>
      <c r="H62" s="63">
        <v>751201</v>
      </c>
      <c r="I62" s="63">
        <v>4735540654</v>
      </c>
      <c r="J62" s="63">
        <v>5700797</v>
      </c>
      <c r="K62" s="63">
        <v>5350</v>
      </c>
      <c r="L62" s="63">
        <v>30957339263</v>
      </c>
      <c r="M62" s="63">
        <v>30263504640</v>
      </c>
      <c r="N62" s="64">
        <v>6.6236724860295106E-3</v>
      </c>
    </row>
    <row r="63" spans="1:14">
      <c r="A63" s="63" t="s">
        <v>204</v>
      </c>
      <c r="B63" s="63">
        <v>5129408</v>
      </c>
      <c r="C63" s="63">
        <v>24973768005</v>
      </c>
      <c r="D63" s="63">
        <v>35628303733</v>
      </c>
      <c r="E63" s="63">
        <v>0</v>
      </c>
      <c r="F63" s="63">
        <v>0</v>
      </c>
      <c r="G63" s="63">
        <v>0</v>
      </c>
      <c r="H63" s="63">
        <v>0</v>
      </c>
      <c r="I63" s="63">
        <v>0</v>
      </c>
      <c r="J63" s="63">
        <v>5129408</v>
      </c>
      <c r="K63" s="63">
        <v>5890</v>
      </c>
      <c r="L63" s="63">
        <v>24973768005</v>
      </c>
      <c r="M63" s="63">
        <v>29978672713</v>
      </c>
      <c r="N63" s="64">
        <v>6.5613322706296372E-3</v>
      </c>
    </row>
    <row r="64" spans="1:14">
      <c r="A64" s="63" t="s">
        <v>185</v>
      </c>
      <c r="B64" s="63">
        <v>2628938</v>
      </c>
      <c r="C64" s="63">
        <v>17731356802</v>
      </c>
      <c r="D64" s="63">
        <v>27207868106</v>
      </c>
      <c r="E64" s="63">
        <v>0</v>
      </c>
      <c r="F64" s="63">
        <v>0</v>
      </c>
      <c r="G64" s="63">
        <v>0</v>
      </c>
      <c r="H64" s="63">
        <v>200000</v>
      </c>
      <c r="I64" s="63">
        <v>1848996102</v>
      </c>
      <c r="J64" s="63">
        <v>2428938</v>
      </c>
      <c r="K64" s="63">
        <v>8400</v>
      </c>
      <c r="L64" s="63">
        <v>16382419946</v>
      </c>
      <c r="M64" s="63">
        <v>20245363398</v>
      </c>
      <c r="N64" s="64">
        <v>4.4310352718290305E-3</v>
      </c>
    </row>
    <row r="65" spans="1:14">
      <c r="A65" s="63" t="s">
        <v>293</v>
      </c>
      <c r="B65" s="63">
        <v>4249593</v>
      </c>
      <c r="C65" s="63">
        <v>45727017812</v>
      </c>
      <c r="D65" s="63">
        <v>52920132759</v>
      </c>
      <c r="E65" s="63">
        <v>0</v>
      </c>
      <c r="F65" s="63">
        <v>0</v>
      </c>
      <c r="G65" s="63">
        <v>0</v>
      </c>
      <c r="H65" s="63">
        <v>1600000</v>
      </c>
      <c r="I65" s="63">
        <v>17388639886</v>
      </c>
      <c r="J65" s="63">
        <v>2649593</v>
      </c>
      <c r="K65" s="63">
        <v>9450</v>
      </c>
      <c r="L65" s="63">
        <v>28510491782</v>
      </c>
      <c r="M65" s="63">
        <v>24845105056</v>
      </c>
      <c r="N65" s="64">
        <v>5.4377654118230997E-3</v>
      </c>
    </row>
    <row r="66" spans="1:14">
      <c r="A66" s="63" t="s">
        <v>327</v>
      </c>
      <c r="B66" s="63">
        <v>1233693</v>
      </c>
      <c r="C66" s="63">
        <v>6749678917</v>
      </c>
      <c r="D66" s="63">
        <v>12547604669</v>
      </c>
      <c r="E66" s="63">
        <v>0</v>
      </c>
      <c r="F66" s="63">
        <v>0</v>
      </c>
      <c r="G66" s="63">
        <v>0</v>
      </c>
      <c r="H66" s="63">
        <v>100000</v>
      </c>
      <c r="I66" s="63">
        <v>1010130866</v>
      </c>
      <c r="J66" s="63">
        <v>1133693</v>
      </c>
      <c r="K66" s="63">
        <v>8870</v>
      </c>
      <c r="L66" s="63">
        <v>6202567203</v>
      </c>
      <c r="M66" s="63">
        <v>9978125136</v>
      </c>
      <c r="N66" s="64">
        <v>2.1838790223300017E-3</v>
      </c>
    </row>
    <row r="67" spans="1:14">
      <c r="A67" s="63" t="s">
        <v>351</v>
      </c>
      <c r="B67" s="63">
        <v>28062046</v>
      </c>
      <c r="C67" s="63">
        <v>50808801334</v>
      </c>
      <c r="D67" s="63">
        <v>48868196805</v>
      </c>
      <c r="E67" s="63">
        <v>0</v>
      </c>
      <c r="F67" s="63">
        <v>0</v>
      </c>
      <c r="G67" s="63">
        <v>0</v>
      </c>
      <c r="H67" s="63">
        <v>6807824</v>
      </c>
      <c r="I67" s="63">
        <v>10952929756</v>
      </c>
      <c r="J67" s="63">
        <v>21254222</v>
      </c>
      <c r="K67" s="63">
        <v>1530</v>
      </c>
      <c r="L67" s="63">
        <v>38482637478</v>
      </c>
      <c r="M67" s="63">
        <v>32267588102</v>
      </c>
      <c r="N67" s="64">
        <v>7.0622995599544216E-3</v>
      </c>
    </row>
    <row r="68" spans="1:14">
      <c r="A68" s="63" t="s">
        <v>321</v>
      </c>
      <c r="B68" s="63">
        <v>1125246</v>
      </c>
      <c r="C68" s="63">
        <v>14898426822</v>
      </c>
      <c r="D68" s="63">
        <v>18824996724</v>
      </c>
      <c r="E68" s="63">
        <v>0</v>
      </c>
      <c r="F68" s="63">
        <v>0</v>
      </c>
      <c r="G68" s="63">
        <v>0</v>
      </c>
      <c r="H68" s="63">
        <v>0</v>
      </c>
      <c r="I68" s="63">
        <v>0</v>
      </c>
      <c r="J68" s="63">
        <v>1125246</v>
      </c>
      <c r="K68" s="63">
        <v>12990</v>
      </c>
      <c r="L68" s="63">
        <v>14898426822</v>
      </c>
      <c r="M68" s="63">
        <v>14503956551</v>
      </c>
      <c r="N68" s="64">
        <v>3.1744326735525822E-3</v>
      </c>
    </row>
    <row r="69" spans="1:14">
      <c r="A69" s="63" t="s">
        <v>237</v>
      </c>
      <c r="B69" s="63">
        <v>20786036</v>
      </c>
      <c r="C69" s="63">
        <v>51184063521</v>
      </c>
      <c r="D69" s="63">
        <v>39621316448</v>
      </c>
      <c r="E69" s="63">
        <v>0</v>
      </c>
      <c r="F69" s="63">
        <v>0</v>
      </c>
      <c r="G69" s="63">
        <v>0</v>
      </c>
      <c r="H69" s="63">
        <v>400000</v>
      </c>
      <c r="I69" s="63">
        <v>636782466</v>
      </c>
      <c r="J69" s="63">
        <v>20386036</v>
      </c>
      <c r="K69" s="63">
        <v>1590</v>
      </c>
      <c r="L69" s="63">
        <v>50199093351</v>
      </c>
      <c r="M69" s="63">
        <v>32163238587</v>
      </c>
      <c r="N69" s="64">
        <v>7.039460929080108E-3</v>
      </c>
    </row>
    <row r="70" spans="1:14">
      <c r="A70" s="63" t="s">
        <v>243</v>
      </c>
      <c r="B70" s="63">
        <v>14209755</v>
      </c>
      <c r="C70" s="63">
        <v>38653348896</v>
      </c>
      <c r="D70" s="63">
        <v>32190102735</v>
      </c>
      <c r="E70" s="63">
        <v>0</v>
      </c>
      <c r="F70" s="63">
        <v>0</v>
      </c>
      <c r="G70" s="63">
        <v>0</v>
      </c>
      <c r="H70" s="63">
        <v>0</v>
      </c>
      <c r="I70" s="63">
        <v>0</v>
      </c>
      <c r="J70" s="63">
        <v>14209755</v>
      </c>
      <c r="K70" s="63">
        <v>1714</v>
      </c>
      <c r="L70" s="63">
        <v>38653348896</v>
      </c>
      <c r="M70" s="63">
        <v>24167251900</v>
      </c>
      <c r="N70" s="64">
        <v>5.289405948754467E-3</v>
      </c>
    </row>
    <row r="71" spans="1:14">
      <c r="A71" s="63" t="s">
        <v>221</v>
      </c>
      <c r="B71" s="63">
        <v>12369674</v>
      </c>
      <c r="C71" s="63">
        <v>44980673975</v>
      </c>
      <c r="D71" s="63">
        <v>50569112450</v>
      </c>
      <c r="E71" s="63">
        <v>0</v>
      </c>
      <c r="F71" s="63">
        <v>0</v>
      </c>
      <c r="G71" s="63">
        <v>0</v>
      </c>
      <c r="H71" s="63">
        <v>2800000</v>
      </c>
      <c r="I71" s="63">
        <v>10272871421</v>
      </c>
      <c r="J71" s="63">
        <v>9569674</v>
      </c>
      <c r="K71" s="63">
        <v>3380</v>
      </c>
      <c r="L71" s="63">
        <v>34798846457</v>
      </c>
      <c r="M71" s="63">
        <v>32095467420</v>
      </c>
      <c r="N71" s="64">
        <v>7.0246280794302139E-3</v>
      </c>
    </row>
    <row r="72" spans="1:14">
      <c r="A72" s="63" t="s">
        <v>245</v>
      </c>
      <c r="B72" s="63">
        <v>562500</v>
      </c>
      <c r="C72" s="63">
        <v>4931974167</v>
      </c>
      <c r="D72" s="63">
        <v>5497795969</v>
      </c>
      <c r="E72" s="63">
        <v>0</v>
      </c>
      <c r="F72" s="63">
        <v>0</v>
      </c>
      <c r="G72" s="63">
        <v>0</v>
      </c>
      <c r="H72" s="63">
        <v>0</v>
      </c>
      <c r="I72" s="63">
        <v>0</v>
      </c>
      <c r="J72" s="63">
        <v>562500</v>
      </c>
      <c r="K72" s="63">
        <v>8790</v>
      </c>
      <c r="L72" s="63">
        <v>4931974167</v>
      </c>
      <c r="M72" s="63">
        <v>4906154981</v>
      </c>
      <c r="N72" s="64">
        <v>1.0737938036725126E-3</v>
      </c>
    </row>
    <row r="73" spans="1:14">
      <c r="A73" s="63" t="s">
        <v>394</v>
      </c>
      <c r="B73" s="63">
        <v>3973870</v>
      </c>
      <c r="C73" s="63">
        <v>21132612639</v>
      </c>
      <c r="D73" s="63">
        <v>22081651115</v>
      </c>
      <c r="E73" s="63">
        <v>0</v>
      </c>
      <c r="F73" s="63">
        <v>0</v>
      </c>
      <c r="G73" s="63">
        <v>0</v>
      </c>
      <c r="H73" s="63">
        <v>0</v>
      </c>
      <c r="I73" s="63">
        <v>0</v>
      </c>
      <c r="J73" s="63">
        <v>3973870</v>
      </c>
      <c r="K73" s="63">
        <v>5280</v>
      </c>
      <c r="L73" s="63">
        <v>21132612639</v>
      </c>
      <c r="M73" s="63">
        <v>20819842480</v>
      </c>
      <c r="N73" s="64">
        <v>4.5567695955468961E-3</v>
      </c>
    </row>
    <row r="74" spans="1:14">
      <c r="A74" s="63" t="s">
        <v>239</v>
      </c>
      <c r="B74" s="63">
        <v>25600000</v>
      </c>
      <c r="C74" s="63">
        <v>10028365723</v>
      </c>
      <c r="D74" s="63">
        <v>14199780608</v>
      </c>
      <c r="E74" s="63">
        <v>0</v>
      </c>
      <c r="F74" s="63">
        <v>0</v>
      </c>
      <c r="G74" s="63">
        <v>0</v>
      </c>
      <c r="H74" s="63">
        <v>0</v>
      </c>
      <c r="I74" s="63">
        <v>0</v>
      </c>
      <c r="J74" s="63">
        <v>25600000</v>
      </c>
      <c r="K74" s="63">
        <v>515</v>
      </c>
      <c r="L74" s="63">
        <v>10028365723</v>
      </c>
      <c r="M74" s="63">
        <v>13082087680</v>
      </c>
      <c r="N74" s="64">
        <v>2.8632329684418743E-3</v>
      </c>
    </row>
    <row r="75" spans="1:14">
      <c r="A75" s="63" t="s">
        <v>213</v>
      </c>
      <c r="B75" s="63">
        <v>11840020</v>
      </c>
      <c r="C75" s="63">
        <v>32753297047</v>
      </c>
      <c r="D75" s="63">
        <v>46065855347</v>
      </c>
      <c r="E75" s="63">
        <v>0</v>
      </c>
      <c r="F75" s="63">
        <v>0</v>
      </c>
      <c r="G75" s="63">
        <v>0</v>
      </c>
      <c r="H75" s="63">
        <v>400000</v>
      </c>
      <c r="I75" s="63">
        <v>1329641817</v>
      </c>
      <c r="J75" s="63">
        <v>11440020</v>
      </c>
      <c r="K75" s="63">
        <v>2951</v>
      </c>
      <c r="L75" s="63">
        <v>31646768610</v>
      </c>
      <c r="M75" s="63">
        <v>33498538093</v>
      </c>
      <c r="N75" s="64">
        <v>7.3317134855408325E-3</v>
      </c>
    </row>
    <row r="76" spans="1:14">
      <c r="A76" s="63" t="s">
        <v>190</v>
      </c>
      <c r="B76" s="63">
        <v>3522592</v>
      </c>
      <c r="C76" s="63">
        <v>13420102259</v>
      </c>
      <c r="D76" s="63">
        <v>20902266936</v>
      </c>
      <c r="E76" s="63">
        <v>4117725</v>
      </c>
      <c r="F76" s="63">
        <v>0</v>
      </c>
      <c r="G76" s="63">
        <v>0</v>
      </c>
      <c r="H76" s="63">
        <v>0</v>
      </c>
      <c r="I76" s="63">
        <v>0</v>
      </c>
      <c r="J76" s="63">
        <v>7640317</v>
      </c>
      <c r="K76" s="63">
        <v>5470</v>
      </c>
      <c r="L76" s="63">
        <v>29107496818</v>
      </c>
      <c r="M76" s="63">
        <v>41469477702</v>
      </c>
      <c r="N76" s="64">
        <v>9.0762864953089478E-3</v>
      </c>
    </row>
    <row r="77" spans="1:14">
      <c r="A77" s="63" t="s">
        <v>479</v>
      </c>
      <c r="B77" s="63">
        <v>4117725</v>
      </c>
      <c r="C77" s="63">
        <v>11569669559</v>
      </c>
      <c r="D77" s="63">
        <v>12461979707</v>
      </c>
      <c r="E77" s="63">
        <v>-4117725</v>
      </c>
      <c r="F77" s="63">
        <v>0</v>
      </c>
      <c r="G77" s="63">
        <v>0</v>
      </c>
      <c r="H77" s="63">
        <v>0</v>
      </c>
      <c r="I77" s="63">
        <v>0</v>
      </c>
      <c r="J77" s="63">
        <v>0</v>
      </c>
      <c r="K77" s="63">
        <v>0</v>
      </c>
      <c r="L77" s="63">
        <v>0</v>
      </c>
      <c r="M77" s="63">
        <v>0</v>
      </c>
      <c r="N77" s="64">
        <v>0</v>
      </c>
    </row>
    <row r="78" spans="1:14">
      <c r="A78" s="63" t="s">
        <v>315</v>
      </c>
      <c r="B78" s="63">
        <v>23659071</v>
      </c>
      <c r="C78" s="63">
        <v>38515872882</v>
      </c>
      <c r="D78" s="63">
        <v>44698658870</v>
      </c>
      <c r="E78" s="63">
        <v>0</v>
      </c>
      <c r="F78" s="63">
        <v>0</v>
      </c>
      <c r="G78" s="63">
        <v>0</v>
      </c>
      <c r="H78" s="63">
        <v>11200000</v>
      </c>
      <c r="I78" s="63">
        <v>18556243017</v>
      </c>
      <c r="J78" s="63">
        <v>12459071</v>
      </c>
      <c r="K78" s="63">
        <v>1647</v>
      </c>
      <c r="L78" s="63">
        <v>20282791106</v>
      </c>
      <c r="M78" s="63">
        <v>20361469642</v>
      </c>
      <c r="N78" s="64">
        <v>4.4564470588308088E-3</v>
      </c>
    </row>
    <row r="79" spans="1:14">
      <c r="A79" s="63" t="s">
        <v>186</v>
      </c>
      <c r="B79" s="63">
        <v>3380920</v>
      </c>
      <c r="C79" s="63">
        <v>16767735799</v>
      </c>
      <c r="D79" s="63">
        <v>19558399397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3380920</v>
      </c>
      <c r="K79" s="63">
        <v>6360</v>
      </c>
      <c r="L79" s="63">
        <v>16767735799</v>
      </c>
      <c r="M79" s="63">
        <v>21336435706</v>
      </c>
      <c r="N79" s="64">
        <v>4.6698346347163128E-3</v>
      </c>
    </row>
    <row r="80" spans="1:14">
      <c r="A80" s="63" t="s">
        <v>217</v>
      </c>
      <c r="B80" s="63">
        <v>1074591</v>
      </c>
      <c r="C80" s="63">
        <v>10940392304</v>
      </c>
      <c r="D80" s="63">
        <v>17465738662</v>
      </c>
      <c r="E80" s="63">
        <v>0</v>
      </c>
      <c r="F80" s="63">
        <v>0</v>
      </c>
      <c r="G80" s="63">
        <v>0</v>
      </c>
      <c r="H80" s="63">
        <v>200000</v>
      </c>
      <c r="I80" s="63">
        <v>2693020821</v>
      </c>
      <c r="J80" s="63">
        <v>874591</v>
      </c>
      <c r="K80" s="63">
        <v>13450</v>
      </c>
      <c r="L80" s="63">
        <v>8904195778</v>
      </c>
      <c r="M80" s="63">
        <v>11672319036</v>
      </c>
      <c r="N80" s="64">
        <v>2.5546815997220772E-3</v>
      </c>
    </row>
    <row r="81" spans="1:14">
      <c r="A81" s="63" t="s">
        <v>341</v>
      </c>
      <c r="B81" s="63">
        <v>1160136</v>
      </c>
      <c r="C81" s="63">
        <v>11103554809</v>
      </c>
      <c r="D81" s="63">
        <v>18948227728</v>
      </c>
      <c r="E81" s="63">
        <v>0</v>
      </c>
      <c r="F81" s="63">
        <v>0</v>
      </c>
      <c r="G81" s="63">
        <v>0</v>
      </c>
      <c r="H81" s="63">
        <v>300000</v>
      </c>
      <c r="I81" s="63">
        <v>4457276895</v>
      </c>
      <c r="J81" s="63">
        <v>860136</v>
      </c>
      <c r="K81" s="63">
        <v>15000</v>
      </c>
      <c r="L81" s="63">
        <v>8232282439</v>
      </c>
      <c r="M81" s="63">
        <v>12802307231</v>
      </c>
      <c r="N81" s="64">
        <v>2.8019983532109301E-3</v>
      </c>
    </row>
    <row r="82" spans="1:14">
      <c r="A82" s="63" t="s">
        <v>312</v>
      </c>
      <c r="B82" s="63">
        <v>517391</v>
      </c>
      <c r="C82" s="63">
        <v>17064920422</v>
      </c>
      <c r="D82" s="63">
        <v>22738112528</v>
      </c>
      <c r="E82" s="63">
        <v>0</v>
      </c>
      <c r="F82" s="63">
        <v>0</v>
      </c>
      <c r="G82" s="63">
        <v>0</v>
      </c>
      <c r="H82" s="63">
        <v>0</v>
      </c>
      <c r="I82" s="63">
        <v>0</v>
      </c>
      <c r="J82" s="63">
        <v>517391</v>
      </c>
      <c r="K82" s="63">
        <v>34490</v>
      </c>
      <c r="L82" s="63">
        <v>17064920422</v>
      </c>
      <c r="M82" s="63">
        <v>17706875165</v>
      </c>
      <c r="N82" s="64">
        <v>3.8754448051912652E-3</v>
      </c>
    </row>
    <row r="83" spans="1:14">
      <c r="A83" s="63" t="s">
        <v>248</v>
      </c>
      <c r="B83" s="63">
        <v>3534630</v>
      </c>
      <c r="C83" s="63">
        <v>13881762462</v>
      </c>
      <c r="D83" s="63">
        <v>19886432448</v>
      </c>
      <c r="E83" s="63">
        <v>0</v>
      </c>
      <c r="F83" s="63">
        <v>0</v>
      </c>
      <c r="G83" s="63">
        <v>0</v>
      </c>
      <c r="H83" s="63">
        <v>0</v>
      </c>
      <c r="I83" s="63">
        <v>0</v>
      </c>
      <c r="J83" s="63">
        <v>3534630</v>
      </c>
      <c r="K83" s="63">
        <v>5360</v>
      </c>
      <c r="L83" s="63">
        <v>13881762462</v>
      </c>
      <c r="M83" s="63">
        <v>18799167182</v>
      </c>
      <c r="N83" s="64">
        <v>4.114511121725865E-3</v>
      </c>
    </row>
    <row r="84" spans="1:14">
      <c r="A84" s="63" t="s">
        <v>289</v>
      </c>
      <c r="B84" s="63">
        <v>3250000</v>
      </c>
      <c r="C84" s="63">
        <v>3939323661</v>
      </c>
      <c r="D84" s="63">
        <v>3715058880</v>
      </c>
      <c r="E84" s="63">
        <v>0</v>
      </c>
      <c r="F84" s="63">
        <v>0</v>
      </c>
      <c r="G84" s="63">
        <v>0</v>
      </c>
      <c r="H84" s="63">
        <v>0</v>
      </c>
      <c r="I84" s="63">
        <v>0</v>
      </c>
      <c r="J84" s="63">
        <v>3250000</v>
      </c>
      <c r="K84" s="63">
        <v>1123</v>
      </c>
      <c r="L84" s="63">
        <v>3939323661</v>
      </c>
      <c r="M84" s="63">
        <v>3621537432</v>
      </c>
      <c r="N84" s="64">
        <v>7.9263383837439025E-4</v>
      </c>
    </row>
    <row r="85" spans="1:14">
      <c r="A85" s="63" t="s">
        <v>195</v>
      </c>
      <c r="B85" s="63">
        <v>4256042</v>
      </c>
      <c r="C85" s="63">
        <v>22089769630</v>
      </c>
      <c r="D85" s="63">
        <v>20896110551</v>
      </c>
      <c r="E85" s="63">
        <v>0</v>
      </c>
      <c r="F85" s="63">
        <v>0</v>
      </c>
      <c r="G85" s="63">
        <v>0</v>
      </c>
      <c r="H85" s="63">
        <v>40749</v>
      </c>
      <c r="I85" s="63">
        <v>166539758</v>
      </c>
      <c r="J85" s="63">
        <v>4215293</v>
      </c>
      <c r="K85" s="63">
        <v>3805</v>
      </c>
      <c r="L85" s="63">
        <v>21878273592</v>
      </c>
      <c r="M85" s="63">
        <v>15915206927</v>
      </c>
      <c r="N85" s="64">
        <v>3.4833083440211957E-3</v>
      </c>
    </row>
    <row r="86" spans="1:14">
      <c r="A86" s="63" t="s">
        <v>211</v>
      </c>
      <c r="B86" s="63">
        <v>2874653</v>
      </c>
      <c r="C86" s="63">
        <v>19251319867</v>
      </c>
      <c r="D86" s="63">
        <v>24987303727</v>
      </c>
      <c r="E86" s="63">
        <v>0</v>
      </c>
      <c r="F86" s="63">
        <v>0</v>
      </c>
      <c r="G86" s="63">
        <v>0</v>
      </c>
      <c r="H86" s="63">
        <v>0</v>
      </c>
      <c r="I86" s="63">
        <v>0</v>
      </c>
      <c r="J86" s="63">
        <v>2874653</v>
      </c>
      <c r="K86" s="63">
        <v>6950</v>
      </c>
      <c r="L86" s="63">
        <v>19251319867</v>
      </c>
      <c r="M86" s="63">
        <v>19824401930</v>
      </c>
      <c r="N86" s="64">
        <v>4.3389008370886195E-3</v>
      </c>
    </row>
    <row r="87" spans="1:14">
      <c r="A87" s="63" t="s">
        <v>174</v>
      </c>
      <c r="B87" s="63">
        <v>84882</v>
      </c>
      <c r="C87" s="63">
        <v>8293870385</v>
      </c>
      <c r="D87" s="63">
        <v>10621723474</v>
      </c>
      <c r="E87" s="63">
        <v>0</v>
      </c>
      <c r="F87" s="63">
        <v>0</v>
      </c>
      <c r="G87" s="63">
        <v>0</v>
      </c>
      <c r="H87" s="63">
        <v>0</v>
      </c>
      <c r="I87" s="63">
        <v>0</v>
      </c>
      <c r="J87" s="63">
        <v>84882</v>
      </c>
      <c r="K87" s="63">
        <v>121710</v>
      </c>
      <c r="L87" s="63">
        <v>8293870385</v>
      </c>
      <c r="M87" s="63">
        <v>10251129681</v>
      </c>
      <c r="N87" s="64">
        <v>2.2436306180155666E-3</v>
      </c>
    </row>
    <row r="88" spans="1:14">
      <c r="A88" s="63" t="s">
        <v>226</v>
      </c>
      <c r="B88" s="63">
        <v>812681</v>
      </c>
      <c r="C88" s="63">
        <v>29897154520</v>
      </c>
      <c r="D88" s="63">
        <v>26272478634</v>
      </c>
      <c r="E88" s="63">
        <v>0</v>
      </c>
      <c r="F88" s="63">
        <v>0</v>
      </c>
      <c r="G88" s="63">
        <v>0</v>
      </c>
      <c r="H88" s="63">
        <v>100000</v>
      </c>
      <c r="I88" s="63">
        <v>2948034176</v>
      </c>
      <c r="J88" s="63">
        <v>712681</v>
      </c>
      <c r="K88" s="63">
        <v>29500</v>
      </c>
      <c r="L88" s="63">
        <v>26218324263</v>
      </c>
      <c r="M88" s="63">
        <v>20861573288</v>
      </c>
      <c r="N88" s="64">
        <v>4.5659030785343236E-3</v>
      </c>
    </row>
    <row r="89" spans="1:14">
      <c r="A89" s="63" t="s">
        <v>447</v>
      </c>
      <c r="B89" s="63">
        <v>3983350</v>
      </c>
      <c r="C89" s="63">
        <v>16626478656</v>
      </c>
      <c r="D89" s="63">
        <v>16632367029</v>
      </c>
      <c r="E89" s="63">
        <v>0</v>
      </c>
      <c r="F89" s="63">
        <v>0</v>
      </c>
      <c r="G89" s="63">
        <v>0</v>
      </c>
      <c r="H89" s="63">
        <v>0</v>
      </c>
      <c r="I89" s="63">
        <v>0</v>
      </c>
      <c r="J89" s="63">
        <v>3983350</v>
      </c>
      <c r="K89" s="63">
        <v>3668</v>
      </c>
      <c r="L89" s="63">
        <v>16626478656</v>
      </c>
      <c r="M89" s="63">
        <v>14497985328</v>
      </c>
      <c r="N89" s="64">
        <v>3.1731257718581639E-3</v>
      </c>
    </row>
    <row r="90" spans="1:14">
      <c r="A90" s="63" t="s">
        <v>187</v>
      </c>
      <c r="B90" s="63">
        <v>3630564</v>
      </c>
      <c r="C90" s="63">
        <v>26345079986</v>
      </c>
      <c r="D90" s="63">
        <v>33323122598</v>
      </c>
      <c r="E90" s="63">
        <v>0</v>
      </c>
      <c r="F90" s="63">
        <v>0</v>
      </c>
      <c r="G90" s="63">
        <v>0</v>
      </c>
      <c r="H90" s="63">
        <v>800000</v>
      </c>
      <c r="I90" s="63">
        <v>6175888524</v>
      </c>
      <c r="J90" s="63">
        <v>2830564</v>
      </c>
      <c r="K90" s="63">
        <v>8220</v>
      </c>
      <c r="L90" s="63">
        <v>20539903713</v>
      </c>
      <c r="M90" s="63">
        <v>23087380345</v>
      </c>
      <c r="N90" s="64">
        <v>5.053058057378876E-3</v>
      </c>
    </row>
    <row r="91" spans="1:14">
      <c r="A91" s="63" t="s">
        <v>206</v>
      </c>
      <c r="B91" s="63">
        <v>2401235</v>
      </c>
      <c r="C91" s="63">
        <v>15850700014</v>
      </c>
      <c r="D91" s="63">
        <v>21872942303</v>
      </c>
      <c r="E91" s="63">
        <v>0</v>
      </c>
      <c r="F91" s="63">
        <v>0</v>
      </c>
      <c r="G91" s="63">
        <v>0</v>
      </c>
      <c r="H91" s="63">
        <v>0</v>
      </c>
      <c r="I91" s="63">
        <v>0</v>
      </c>
      <c r="J91" s="63">
        <v>2401235</v>
      </c>
      <c r="K91" s="63">
        <v>8900</v>
      </c>
      <c r="L91" s="63">
        <v>15850700014</v>
      </c>
      <c r="M91" s="63">
        <v>21205793736</v>
      </c>
      <c r="N91" s="64">
        <v>4.641241461767468E-3</v>
      </c>
    </row>
    <row r="92" spans="1:14">
      <c r="A92" s="63" t="s">
        <v>275</v>
      </c>
      <c r="B92" s="63">
        <v>5476907</v>
      </c>
      <c r="C92" s="63">
        <v>24541931735</v>
      </c>
      <c r="D92" s="63">
        <v>24678384681</v>
      </c>
      <c r="E92" s="63">
        <v>0</v>
      </c>
      <c r="F92" s="63">
        <v>0</v>
      </c>
      <c r="G92" s="63">
        <v>0</v>
      </c>
      <c r="H92" s="63">
        <v>0</v>
      </c>
      <c r="I92" s="63">
        <v>0</v>
      </c>
      <c r="J92" s="63">
        <v>5476907</v>
      </c>
      <c r="K92" s="63">
        <v>4114</v>
      </c>
      <c r="L92" s="63">
        <v>24541931735</v>
      </c>
      <c r="M92" s="63">
        <v>22357823074</v>
      </c>
      <c r="N92" s="64">
        <v>4.893382286829868E-3</v>
      </c>
    </row>
    <row r="93" spans="1:14">
      <c r="A93" s="63" t="s">
        <v>181</v>
      </c>
      <c r="B93" s="63">
        <v>3000000</v>
      </c>
      <c r="C93" s="63">
        <v>21256337964</v>
      </c>
      <c r="D93" s="63">
        <v>25570797900</v>
      </c>
      <c r="E93" s="63">
        <v>0</v>
      </c>
      <c r="F93" s="63">
        <v>0</v>
      </c>
      <c r="G93" s="63">
        <v>0</v>
      </c>
      <c r="H93" s="63">
        <v>200000</v>
      </c>
      <c r="I93" s="63">
        <v>1472528700</v>
      </c>
      <c r="J93" s="63">
        <v>2800000</v>
      </c>
      <c r="K93" s="63">
        <v>7530</v>
      </c>
      <c r="L93" s="63">
        <v>19839248766</v>
      </c>
      <c r="M93" s="63">
        <v>20921020680</v>
      </c>
      <c r="N93" s="64">
        <v>4.5789141312673294E-3</v>
      </c>
    </row>
    <row r="94" spans="1:14">
      <c r="A94" s="63" t="s">
        <v>183</v>
      </c>
      <c r="B94" s="63">
        <v>3907770</v>
      </c>
      <c r="C94" s="63">
        <v>38161782285</v>
      </c>
      <c r="D94" s="63">
        <v>40830737736</v>
      </c>
      <c r="E94" s="63">
        <v>0</v>
      </c>
      <c r="F94" s="63">
        <v>0</v>
      </c>
      <c r="G94" s="63">
        <v>0</v>
      </c>
      <c r="H94" s="63">
        <v>828935</v>
      </c>
      <c r="I94" s="63">
        <v>7981824114</v>
      </c>
      <c r="J94" s="63">
        <v>3078835</v>
      </c>
      <c r="K94" s="63">
        <v>9270</v>
      </c>
      <c r="L94" s="63">
        <v>30066721162</v>
      </c>
      <c r="M94" s="63">
        <v>28320180063</v>
      </c>
      <c r="N94" s="64">
        <v>6.1983435069433712E-3</v>
      </c>
    </row>
    <row r="95" spans="1:14">
      <c r="A95" s="63" t="s">
        <v>184</v>
      </c>
      <c r="B95" s="63">
        <v>1209154</v>
      </c>
      <c r="C95" s="63">
        <v>13559690174</v>
      </c>
      <c r="D95" s="63">
        <v>15765467128</v>
      </c>
      <c r="E95" s="63">
        <v>0</v>
      </c>
      <c r="F95" s="63">
        <v>0</v>
      </c>
      <c r="G95" s="63">
        <v>0</v>
      </c>
      <c r="H95" s="63">
        <v>0</v>
      </c>
      <c r="I95" s="63">
        <v>0</v>
      </c>
      <c r="J95" s="63">
        <v>1209154</v>
      </c>
      <c r="K95" s="63">
        <v>12870</v>
      </c>
      <c r="L95" s="63">
        <v>13559690174</v>
      </c>
      <c r="M95" s="63">
        <v>15441519173</v>
      </c>
      <c r="N95" s="64">
        <v>3.3796338826373698E-3</v>
      </c>
    </row>
    <row r="96" spans="1:14">
      <c r="A96" s="63" t="s">
        <v>480</v>
      </c>
      <c r="B96" s="63">
        <v>1813731</v>
      </c>
      <c r="C96" s="63">
        <v>18525804260</v>
      </c>
      <c r="D96" s="63">
        <v>21848489833</v>
      </c>
      <c r="E96" s="63">
        <v>0</v>
      </c>
      <c r="F96" s="63">
        <v>0</v>
      </c>
      <c r="G96" s="63">
        <v>0</v>
      </c>
      <c r="H96" s="63">
        <v>0</v>
      </c>
      <c r="I96" s="63">
        <v>0</v>
      </c>
      <c r="J96" s="63">
        <v>1813731</v>
      </c>
      <c r="K96" s="63">
        <v>6970</v>
      </c>
      <c r="L96" s="63">
        <v>18525804260</v>
      </c>
      <c r="M96" s="63">
        <v>12543984690</v>
      </c>
      <c r="N96" s="64">
        <v>2.7454601588511995E-3</v>
      </c>
    </row>
    <row r="97" spans="1:14">
      <c r="A97" s="63" t="s">
        <v>386</v>
      </c>
      <c r="B97" s="63">
        <v>104452</v>
      </c>
      <c r="C97" s="63">
        <v>12026316222</v>
      </c>
      <c r="D97" s="63">
        <v>14264604377</v>
      </c>
      <c r="E97" s="63">
        <v>0</v>
      </c>
      <c r="F97" s="63">
        <v>0</v>
      </c>
      <c r="G97" s="63">
        <v>0</v>
      </c>
      <c r="H97" s="63">
        <v>0</v>
      </c>
      <c r="I97" s="63">
        <v>0</v>
      </c>
      <c r="J97" s="63">
        <v>104452</v>
      </c>
      <c r="K97" s="63">
        <v>125650</v>
      </c>
      <c r="L97" s="63">
        <v>12026316222</v>
      </c>
      <c r="M97" s="63">
        <v>13022942236</v>
      </c>
      <c r="N97" s="64">
        <v>2.8502880020621706E-3</v>
      </c>
    </row>
    <row r="98" spans="1:14">
      <c r="A98" s="63" t="s">
        <v>236</v>
      </c>
      <c r="B98" s="63">
        <v>3144247</v>
      </c>
      <c r="C98" s="63">
        <v>25129311827</v>
      </c>
      <c r="D98" s="63">
        <v>24335547371</v>
      </c>
      <c r="E98" s="63">
        <v>0</v>
      </c>
      <c r="F98" s="63">
        <v>0</v>
      </c>
      <c r="G98" s="63">
        <v>0</v>
      </c>
      <c r="H98" s="63">
        <v>3000000</v>
      </c>
      <c r="I98" s="63">
        <v>21469658964</v>
      </c>
      <c r="J98" s="63">
        <v>144247</v>
      </c>
      <c r="K98" s="63">
        <v>6720</v>
      </c>
      <c r="L98" s="63">
        <v>1152844494</v>
      </c>
      <c r="M98" s="63">
        <v>961846843</v>
      </c>
      <c r="N98" s="64">
        <v>2.1051621567096357E-4</v>
      </c>
    </row>
    <row r="99" spans="1:14">
      <c r="A99" s="63" t="s">
        <v>216</v>
      </c>
      <c r="B99" s="63">
        <v>461325</v>
      </c>
      <c r="C99" s="63">
        <v>15686456606</v>
      </c>
      <c r="D99" s="63">
        <v>16708201958</v>
      </c>
      <c r="E99" s="63">
        <v>0</v>
      </c>
      <c r="F99" s="63">
        <v>0</v>
      </c>
      <c r="G99" s="63">
        <v>0</v>
      </c>
      <c r="H99" s="63">
        <v>124981</v>
      </c>
      <c r="I99" s="63">
        <v>4158222045</v>
      </c>
      <c r="J99" s="63">
        <v>336344</v>
      </c>
      <c r="K99" s="63">
        <v>32730</v>
      </c>
      <c r="L99" s="63">
        <v>11436721532</v>
      </c>
      <c r="M99" s="63">
        <v>10923443113</v>
      </c>
      <c r="N99" s="64">
        <v>2.3907776201390614E-3</v>
      </c>
    </row>
    <row r="100" spans="1:14">
      <c r="A100" s="63" t="s">
        <v>352</v>
      </c>
      <c r="B100" s="63">
        <v>2424791</v>
      </c>
      <c r="C100" s="63">
        <v>45140071016</v>
      </c>
      <c r="D100" s="63">
        <v>42779522160</v>
      </c>
      <c r="E100" s="63">
        <v>0</v>
      </c>
      <c r="F100" s="63">
        <v>0</v>
      </c>
      <c r="G100" s="63">
        <v>0</v>
      </c>
      <c r="H100" s="63">
        <v>500000</v>
      </c>
      <c r="I100" s="63">
        <v>8137609831</v>
      </c>
      <c r="J100" s="63">
        <v>1924791</v>
      </c>
      <c r="K100" s="63">
        <v>15520</v>
      </c>
      <c r="L100" s="63">
        <v>35832037661</v>
      </c>
      <c r="M100" s="63">
        <v>29641839914</v>
      </c>
      <c r="N100" s="64">
        <v>6.4876107975329706E-3</v>
      </c>
    </row>
    <row r="101" spans="1:14">
      <c r="A101" s="63" t="s">
        <v>403</v>
      </c>
      <c r="B101" s="63">
        <v>1504289</v>
      </c>
      <c r="C101" s="63">
        <v>9141298952</v>
      </c>
      <c r="D101" s="63">
        <v>16419269306</v>
      </c>
      <c r="E101" s="63">
        <v>0</v>
      </c>
      <c r="F101" s="63">
        <v>0</v>
      </c>
      <c r="G101" s="63">
        <v>0</v>
      </c>
      <c r="H101" s="63">
        <v>0</v>
      </c>
      <c r="I101" s="63">
        <v>0</v>
      </c>
      <c r="J101" s="63">
        <v>1504289</v>
      </c>
      <c r="K101" s="63">
        <v>10650</v>
      </c>
      <c r="L101" s="63">
        <v>9141298952</v>
      </c>
      <c r="M101" s="63">
        <v>15896838010</v>
      </c>
      <c r="N101" s="64">
        <v>3.4792880003241132E-3</v>
      </c>
    </row>
    <row r="102" spans="1:14">
      <c r="A102" s="63" t="s">
        <v>287</v>
      </c>
      <c r="B102" s="63">
        <v>612506</v>
      </c>
      <c r="C102" s="63">
        <v>27779072266</v>
      </c>
      <c r="D102" s="63">
        <v>26741938459</v>
      </c>
      <c r="E102" s="63">
        <v>0</v>
      </c>
      <c r="F102" s="63">
        <v>0</v>
      </c>
      <c r="G102" s="63">
        <v>0</v>
      </c>
      <c r="H102" s="63">
        <v>100000</v>
      </c>
      <c r="I102" s="63">
        <v>4453307771</v>
      </c>
      <c r="J102" s="63">
        <v>512506</v>
      </c>
      <c r="K102" s="63">
        <v>35810</v>
      </c>
      <c r="L102" s="63">
        <v>23243757956</v>
      </c>
      <c r="M102" s="63">
        <v>18210972408</v>
      </c>
      <c r="N102" s="64">
        <v>3.9857748901718799E-3</v>
      </c>
    </row>
    <row r="103" spans="1:14">
      <c r="A103" s="63" t="s">
        <v>295</v>
      </c>
      <c r="B103" s="63">
        <v>21110</v>
      </c>
      <c r="C103" s="63">
        <v>2674296095</v>
      </c>
      <c r="D103" s="63">
        <v>2687476968</v>
      </c>
      <c r="E103" s="63">
        <v>0</v>
      </c>
      <c r="F103" s="63">
        <v>0</v>
      </c>
      <c r="G103" s="63">
        <v>0</v>
      </c>
      <c r="H103" s="63">
        <v>0</v>
      </c>
      <c r="I103" s="63">
        <v>0</v>
      </c>
      <c r="J103" s="63">
        <v>21110</v>
      </c>
      <c r="K103" s="63">
        <v>108400</v>
      </c>
      <c r="L103" s="63">
        <v>2674296095</v>
      </c>
      <c r="M103" s="63">
        <v>2270635255</v>
      </c>
      <c r="N103" s="64">
        <v>4.9696637726727281E-4</v>
      </c>
    </row>
    <row r="104" spans="1:14">
      <c r="A104" s="63" t="s">
        <v>302</v>
      </c>
      <c r="B104" s="63">
        <v>7961644</v>
      </c>
      <c r="C104" s="63">
        <v>12738109491</v>
      </c>
      <c r="D104" s="63">
        <v>21156469117</v>
      </c>
      <c r="E104" s="63">
        <v>0</v>
      </c>
      <c r="F104" s="63">
        <v>0</v>
      </c>
      <c r="G104" s="63">
        <v>0</v>
      </c>
      <c r="H104" s="63">
        <v>0</v>
      </c>
      <c r="I104" s="63">
        <v>0</v>
      </c>
      <c r="J104" s="63">
        <v>7961644</v>
      </c>
      <c r="K104" s="63">
        <v>2140</v>
      </c>
      <c r="L104" s="63">
        <v>12738109491</v>
      </c>
      <c r="M104" s="63">
        <v>16906215053</v>
      </c>
      <c r="N104" s="64">
        <v>3.7002069925981327E-3</v>
      </c>
    </row>
    <row r="105" spans="1:14">
      <c r="A105" s="63" t="s">
        <v>343</v>
      </c>
      <c r="B105" s="63">
        <v>552625</v>
      </c>
      <c r="C105" s="63">
        <v>21748103488</v>
      </c>
      <c r="D105" s="63">
        <v>27499913419</v>
      </c>
      <c r="E105" s="63">
        <v>0</v>
      </c>
      <c r="F105" s="63">
        <v>0</v>
      </c>
      <c r="G105" s="63">
        <v>0</v>
      </c>
      <c r="H105" s="63">
        <v>0</v>
      </c>
      <c r="I105" s="63">
        <v>0</v>
      </c>
      <c r="J105" s="63">
        <v>552625</v>
      </c>
      <c r="K105" s="63">
        <v>39910</v>
      </c>
      <c r="L105" s="63">
        <v>21748103488</v>
      </c>
      <c r="M105" s="63">
        <v>21884776561</v>
      </c>
      <c r="N105" s="64">
        <v>4.7898481717284424E-3</v>
      </c>
    </row>
    <row r="106" spans="1:14">
      <c r="A106" s="63" t="s">
        <v>296</v>
      </c>
      <c r="B106" s="63">
        <v>1155746</v>
      </c>
      <c r="C106" s="63">
        <v>7943307049</v>
      </c>
      <c r="D106" s="63">
        <v>16456753397</v>
      </c>
      <c r="E106" s="63">
        <v>0</v>
      </c>
      <c r="F106" s="63">
        <v>0</v>
      </c>
      <c r="G106" s="63">
        <v>0</v>
      </c>
      <c r="H106" s="63">
        <v>0</v>
      </c>
      <c r="I106" s="63">
        <v>0</v>
      </c>
      <c r="J106" s="63">
        <v>1155746</v>
      </c>
      <c r="K106" s="63">
        <v>14280</v>
      </c>
      <c r="L106" s="63">
        <v>7943307049</v>
      </c>
      <c r="M106" s="63">
        <v>16376476551</v>
      </c>
      <c r="N106" s="64">
        <v>3.5842648906430868E-3</v>
      </c>
    </row>
    <row r="107" spans="1:14">
      <c r="A107" s="63" t="s">
        <v>257</v>
      </c>
      <c r="B107" s="63">
        <v>2664575</v>
      </c>
      <c r="C107" s="63">
        <v>5968348429</v>
      </c>
      <c r="D107" s="63">
        <v>12513947094</v>
      </c>
      <c r="E107" s="63">
        <v>355276</v>
      </c>
      <c r="F107" s="63">
        <v>0</v>
      </c>
      <c r="G107" s="63">
        <v>0</v>
      </c>
      <c r="H107" s="63">
        <v>0</v>
      </c>
      <c r="I107" s="63">
        <v>0</v>
      </c>
      <c r="J107" s="63">
        <v>3019851</v>
      </c>
      <c r="K107" s="63">
        <v>3053</v>
      </c>
      <c r="L107" s="63">
        <v>5526073732</v>
      </c>
      <c r="M107" s="63">
        <v>9148337556</v>
      </c>
      <c r="N107" s="64">
        <v>2.0022661778073452E-3</v>
      </c>
    </row>
    <row r="108" spans="1:14">
      <c r="A108" s="63" t="s">
        <v>481</v>
      </c>
      <c r="B108" s="63">
        <v>0</v>
      </c>
      <c r="C108" s="63">
        <v>0</v>
      </c>
      <c r="D108" s="63">
        <v>0</v>
      </c>
      <c r="E108" s="63">
        <v>532915</v>
      </c>
      <c r="F108" s="63">
        <v>0</v>
      </c>
      <c r="G108" s="63">
        <v>0</v>
      </c>
      <c r="H108" s="63">
        <v>0</v>
      </c>
      <c r="I108" s="63">
        <v>0</v>
      </c>
      <c r="J108" s="63">
        <v>532915</v>
      </c>
      <c r="K108" s="63">
        <v>1959</v>
      </c>
      <c r="L108" s="63">
        <v>442274697</v>
      </c>
      <c r="M108" s="63">
        <v>1035910516</v>
      </c>
      <c r="N108" s="64">
        <v>2.2672628515564526E-4</v>
      </c>
    </row>
    <row r="109" spans="1:14">
      <c r="A109" s="63" t="s">
        <v>281</v>
      </c>
      <c r="B109" s="63">
        <v>3863965</v>
      </c>
      <c r="C109" s="63">
        <v>23148828819</v>
      </c>
      <c r="D109" s="63">
        <v>25995174613</v>
      </c>
      <c r="E109" s="63">
        <v>0</v>
      </c>
      <c r="F109" s="63">
        <v>0</v>
      </c>
      <c r="G109" s="63">
        <v>0</v>
      </c>
      <c r="H109" s="63">
        <v>0</v>
      </c>
      <c r="I109" s="63">
        <v>0</v>
      </c>
      <c r="J109" s="63">
        <v>3863965</v>
      </c>
      <c r="K109" s="63">
        <v>6360</v>
      </c>
      <c r="L109" s="63">
        <v>23148828819</v>
      </c>
      <c r="M109" s="63">
        <v>24384854061</v>
      </c>
      <c r="N109" s="64">
        <v>5.3370318091385026E-3</v>
      </c>
    </row>
    <row r="110" spans="1:14">
      <c r="A110" s="63" t="s">
        <v>277</v>
      </c>
      <c r="B110" s="63">
        <v>1467107</v>
      </c>
      <c r="C110" s="63">
        <v>23716554717</v>
      </c>
      <c r="D110" s="63">
        <v>26989906514</v>
      </c>
      <c r="E110" s="63">
        <v>0</v>
      </c>
      <c r="F110" s="63">
        <v>0</v>
      </c>
      <c r="G110" s="63">
        <v>0</v>
      </c>
      <c r="H110" s="63">
        <v>0</v>
      </c>
      <c r="I110" s="63">
        <v>0</v>
      </c>
      <c r="J110" s="63">
        <v>1467107</v>
      </c>
      <c r="K110" s="63">
        <v>16730</v>
      </c>
      <c r="L110" s="63">
        <v>23716554717</v>
      </c>
      <c r="M110" s="63">
        <v>24354969578</v>
      </c>
      <c r="N110" s="64">
        <v>5.3304910918567146E-3</v>
      </c>
    </row>
    <row r="111" spans="1:14">
      <c r="A111" s="63" t="s">
        <v>294</v>
      </c>
      <c r="B111" s="63">
        <v>2298015</v>
      </c>
      <c r="C111" s="63">
        <v>22834844238</v>
      </c>
      <c r="D111" s="63">
        <v>27454226182</v>
      </c>
      <c r="E111" s="63">
        <v>0</v>
      </c>
      <c r="F111" s="63">
        <v>0</v>
      </c>
      <c r="G111" s="63">
        <v>0</v>
      </c>
      <c r="H111" s="63">
        <v>0</v>
      </c>
      <c r="I111" s="63">
        <v>0</v>
      </c>
      <c r="J111" s="63">
        <v>2298015</v>
      </c>
      <c r="K111" s="63">
        <v>10290</v>
      </c>
      <c r="L111" s="63">
        <v>22834844238</v>
      </c>
      <c r="M111" s="63">
        <v>23463786330</v>
      </c>
      <c r="N111" s="64">
        <v>5.1354407819205021E-3</v>
      </c>
    </row>
    <row r="112" spans="1:14">
      <c r="A112" s="63" t="s">
        <v>247</v>
      </c>
      <c r="B112" s="63">
        <v>24072042</v>
      </c>
      <c r="C112" s="63">
        <v>51531722281</v>
      </c>
      <c r="D112" s="63">
        <v>41967640708</v>
      </c>
      <c r="E112" s="63">
        <v>0</v>
      </c>
      <c r="F112" s="63">
        <v>0</v>
      </c>
      <c r="G112" s="63">
        <v>0</v>
      </c>
      <c r="H112" s="63">
        <v>0</v>
      </c>
      <c r="I112" s="63">
        <v>0</v>
      </c>
      <c r="J112" s="63">
        <v>24072042</v>
      </c>
      <c r="K112" s="63">
        <v>1892</v>
      </c>
      <c r="L112" s="63">
        <v>51531722281</v>
      </c>
      <c r="M112" s="63">
        <v>45192245998</v>
      </c>
      <c r="N112" s="64">
        <v>9.8910763957980857E-3</v>
      </c>
    </row>
    <row r="113" spans="1:14">
      <c r="A113" s="63" t="s">
        <v>246</v>
      </c>
      <c r="B113" s="63">
        <v>835696</v>
      </c>
      <c r="C113" s="63">
        <v>26487272105</v>
      </c>
      <c r="D113" s="63">
        <v>27638438210</v>
      </c>
      <c r="E113" s="63">
        <v>0</v>
      </c>
      <c r="F113" s="63">
        <v>0</v>
      </c>
      <c r="G113" s="63">
        <v>0</v>
      </c>
      <c r="H113" s="63">
        <v>0</v>
      </c>
      <c r="I113" s="63">
        <v>0</v>
      </c>
      <c r="J113" s="63">
        <v>835696</v>
      </c>
      <c r="K113" s="63">
        <v>26830</v>
      </c>
      <c r="L113" s="63">
        <v>26487272105</v>
      </c>
      <c r="M113" s="63">
        <v>22248403756</v>
      </c>
      <c r="N113" s="64">
        <v>4.8694340450548962E-3</v>
      </c>
    </row>
    <row r="114" spans="1:14">
      <c r="A114" s="63" t="s">
        <v>378</v>
      </c>
      <c r="B114" s="63">
        <v>200000</v>
      </c>
      <c r="C114" s="63">
        <v>1501990667</v>
      </c>
      <c r="D114" s="63">
        <v>1605492860</v>
      </c>
      <c r="E114" s="63">
        <v>0</v>
      </c>
      <c r="F114" s="63">
        <v>0</v>
      </c>
      <c r="G114" s="63">
        <v>0</v>
      </c>
      <c r="H114" s="63">
        <v>0</v>
      </c>
      <c r="I114" s="63">
        <v>0</v>
      </c>
      <c r="J114" s="63">
        <v>200000</v>
      </c>
      <c r="K114" s="63">
        <v>6170</v>
      </c>
      <c r="L114" s="63">
        <v>1501990667</v>
      </c>
      <c r="M114" s="63">
        <v>1224461180</v>
      </c>
      <c r="N114" s="64">
        <v>2.6799374112995087E-4</v>
      </c>
    </row>
    <row r="115" spans="1:14">
      <c r="A115" s="63" t="s">
        <v>482</v>
      </c>
      <c r="B115" s="63">
        <v>2478</v>
      </c>
      <c r="C115" s="63">
        <v>634181829</v>
      </c>
      <c r="D115" s="63">
        <v>733227597</v>
      </c>
      <c r="E115" s="63">
        <v>0</v>
      </c>
      <c r="F115" s="63">
        <v>0</v>
      </c>
      <c r="G115" s="63">
        <v>0</v>
      </c>
      <c r="H115" s="63">
        <v>0</v>
      </c>
      <c r="I115" s="63">
        <v>0</v>
      </c>
      <c r="J115" s="63">
        <v>2478</v>
      </c>
      <c r="K115" s="63">
        <v>271050</v>
      </c>
      <c r="L115" s="63">
        <v>634181829</v>
      </c>
      <c r="M115" s="63">
        <v>666469954</v>
      </c>
      <c r="N115" s="64">
        <v>1.4586805955184816E-4</v>
      </c>
    </row>
    <row r="116" spans="1:14">
      <c r="A116" s="63" t="s">
        <v>194</v>
      </c>
      <c r="B116" s="63">
        <v>31048213</v>
      </c>
      <c r="C116" s="63">
        <v>28130449311</v>
      </c>
      <c r="D116" s="63">
        <v>17807145561</v>
      </c>
      <c r="E116" s="63">
        <v>0</v>
      </c>
      <c r="F116" s="63">
        <v>0</v>
      </c>
      <c r="G116" s="63">
        <v>0</v>
      </c>
      <c r="H116" s="63">
        <v>11200000</v>
      </c>
      <c r="I116" s="63">
        <v>5346455072</v>
      </c>
      <c r="J116" s="63">
        <v>19848213</v>
      </c>
      <c r="K116" s="63">
        <v>448</v>
      </c>
      <c r="L116" s="63">
        <v>17982972151</v>
      </c>
      <c r="M116" s="63">
        <v>8823264268</v>
      </c>
      <c r="N116" s="64">
        <v>1.9311184697252204E-3</v>
      </c>
    </row>
    <row r="117" spans="1:14">
      <c r="A117" s="63" t="s">
        <v>388</v>
      </c>
      <c r="B117" s="63">
        <v>249996</v>
      </c>
      <c r="C117" s="63">
        <v>1764072098</v>
      </c>
      <c r="D117" s="63">
        <v>1892724741</v>
      </c>
      <c r="E117" s="63">
        <v>0</v>
      </c>
      <c r="F117" s="63">
        <v>0</v>
      </c>
      <c r="G117" s="63">
        <v>0</v>
      </c>
      <c r="H117" s="63">
        <v>0</v>
      </c>
      <c r="I117" s="63">
        <v>0</v>
      </c>
      <c r="J117" s="63">
        <v>249996</v>
      </c>
      <c r="K117" s="63">
        <v>6230</v>
      </c>
      <c r="L117" s="63">
        <v>1764072098</v>
      </c>
      <c r="M117" s="63">
        <v>1545435798</v>
      </c>
      <c r="N117" s="64">
        <v>3.3824438695734813E-4</v>
      </c>
    </row>
    <row r="118" spans="1:14">
      <c r="A118" s="63" t="s">
        <v>189</v>
      </c>
      <c r="B118" s="63">
        <v>14400000</v>
      </c>
      <c r="C118" s="63">
        <v>42887147588</v>
      </c>
      <c r="D118" s="63">
        <v>45452316528</v>
      </c>
      <c r="E118" s="63">
        <v>0</v>
      </c>
      <c r="F118" s="63">
        <v>0</v>
      </c>
      <c r="G118" s="63">
        <v>0</v>
      </c>
      <c r="H118" s="63">
        <v>427348</v>
      </c>
      <c r="I118" s="63">
        <v>1337630483</v>
      </c>
      <c r="J118" s="63">
        <v>13972652</v>
      </c>
      <c r="K118" s="63">
        <v>2773</v>
      </c>
      <c r="L118" s="63">
        <v>41614388092</v>
      </c>
      <c r="M118" s="63">
        <v>38446656148</v>
      </c>
      <c r="N118" s="64">
        <v>8.4146916074867694E-3</v>
      </c>
    </row>
    <row r="119" spans="1:14">
      <c r="A119" s="63" t="s">
        <v>320</v>
      </c>
      <c r="B119" s="63">
        <v>1875000</v>
      </c>
      <c r="C119" s="63">
        <v>5911612875</v>
      </c>
      <c r="D119" s="63">
        <v>8069015606</v>
      </c>
      <c r="E119" s="63">
        <v>0</v>
      </c>
      <c r="F119" s="63">
        <v>0</v>
      </c>
      <c r="G119" s="63">
        <v>0</v>
      </c>
      <c r="H119" s="63">
        <v>0</v>
      </c>
      <c r="I119" s="63">
        <v>0</v>
      </c>
      <c r="J119" s="63">
        <v>1875000</v>
      </c>
      <c r="K119" s="63">
        <v>3665</v>
      </c>
      <c r="L119" s="63">
        <v>5911612875</v>
      </c>
      <c r="M119" s="63">
        <v>6818755406</v>
      </c>
      <c r="N119" s="64">
        <v>1.49239828991885E-3</v>
      </c>
    </row>
    <row r="120" spans="1:14">
      <c r="A120" s="63" t="s">
        <v>372</v>
      </c>
      <c r="B120" s="63">
        <v>23792</v>
      </c>
      <c r="C120" s="63">
        <v>1265552380</v>
      </c>
      <c r="D120" s="63">
        <v>1826085594</v>
      </c>
      <c r="E120" s="63">
        <v>0</v>
      </c>
      <c r="F120" s="63">
        <v>0</v>
      </c>
      <c r="G120" s="63">
        <v>0</v>
      </c>
      <c r="H120" s="63">
        <v>0</v>
      </c>
      <c r="I120" s="63">
        <v>0</v>
      </c>
      <c r="J120" s="63">
        <v>23792</v>
      </c>
      <c r="K120" s="63">
        <v>65000</v>
      </c>
      <c r="L120" s="63">
        <v>1265552380</v>
      </c>
      <c r="M120" s="63">
        <v>1534525710</v>
      </c>
      <c r="N120" s="64">
        <v>3.3585653232632017E-4</v>
      </c>
    </row>
    <row r="121" spans="1:14">
      <c r="A121" s="63" t="s">
        <v>379</v>
      </c>
      <c r="B121" s="63">
        <v>943421</v>
      </c>
      <c r="C121" s="63">
        <v>12470037471</v>
      </c>
      <c r="D121" s="63">
        <v>22654306207</v>
      </c>
      <c r="E121" s="63">
        <v>0</v>
      </c>
      <c r="F121" s="63">
        <v>0</v>
      </c>
      <c r="G121" s="63">
        <v>0</v>
      </c>
      <c r="H121" s="63">
        <v>0</v>
      </c>
      <c r="I121" s="63">
        <v>0</v>
      </c>
      <c r="J121" s="63">
        <v>943421</v>
      </c>
      <c r="K121" s="63">
        <v>17850</v>
      </c>
      <c r="L121" s="63">
        <v>12470037471</v>
      </c>
      <c r="M121" s="63">
        <v>16709891149</v>
      </c>
      <c r="N121" s="64">
        <v>3.6572382334691604E-3</v>
      </c>
    </row>
    <row r="122" spans="1:14">
      <c r="A122" s="63" t="s">
        <v>369</v>
      </c>
      <c r="B122" s="63">
        <v>3733986</v>
      </c>
      <c r="C122" s="63">
        <v>14066948730</v>
      </c>
      <c r="D122" s="63">
        <v>29603927083</v>
      </c>
      <c r="E122" s="63">
        <v>0</v>
      </c>
      <c r="F122" s="63">
        <v>0</v>
      </c>
      <c r="G122" s="63">
        <v>0</v>
      </c>
      <c r="H122" s="63">
        <v>0</v>
      </c>
      <c r="I122" s="63">
        <v>0</v>
      </c>
      <c r="J122" s="63">
        <v>3733986</v>
      </c>
      <c r="K122" s="63">
        <v>8330</v>
      </c>
      <c r="L122" s="63">
        <v>14066948730</v>
      </c>
      <c r="M122" s="63">
        <v>30863668661</v>
      </c>
      <c r="N122" s="64">
        <v>6.7550283868179576E-3</v>
      </c>
    </row>
    <row r="123" spans="1:14">
      <c r="A123" s="63" t="s">
        <v>338</v>
      </c>
      <c r="B123" s="63">
        <v>9503990</v>
      </c>
      <c r="C123" s="63">
        <v>33087001652</v>
      </c>
      <c r="D123" s="63">
        <v>25302096314</v>
      </c>
      <c r="E123" s="63">
        <v>0</v>
      </c>
      <c r="F123" s="63">
        <v>0</v>
      </c>
      <c r="G123" s="63">
        <v>0</v>
      </c>
      <c r="H123" s="63">
        <v>2420594</v>
      </c>
      <c r="I123" s="63">
        <v>6052655180</v>
      </c>
      <c r="J123" s="63">
        <v>7083396</v>
      </c>
      <c r="K123" s="63">
        <v>2820</v>
      </c>
      <c r="L123" s="63">
        <v>24659993871</v>
      </c>
      <c r="M123" s="63">
        <v>19820768604</v>
      </c>
      <c r="N123" s="64">
        <v>4.3381056231256215E-3</v>
      </c>
    </row>
    <row r="124" spans="1:14">
      <c r="A124" s="63" t="s">
        <v>200</v>
      </c>
      <c r="B124" s="63">
        <v>3429795</v>
      </c>
      <c r="C124" s="63">
        <v>22700128568</v>
      </c>
      <c r="D124" s="63">
        <v>24673799464</v>
      </c>
      <c r="E124" s="63">
        <v>0</v>
      </c>
      <c r="F124" s="63">
        <v>0</v>
      </c>
      <c r="G124" s="63">
        <v>0</v>
      </c>
      <c r="H124" s="63">
        <v>0</v>
      </c>
      <c r="I124" s="63">
        <v>0</v>
      </c>
      <c r="J124" s="63">
        <v>3429795</v>
      </c>
      <c r="K124" s="63">
        <v>6500</v>
      </c>
      <c r="L124" s="63">
        <v>22700128568</v>
      </c>
      <c r="M124" s="63">
        <v>22121337450</v>
      </c>
      <c r="N124" s="64">
        <v>4.8416234657791182E-3</v>
      </c>
    </row>
    <row r="125" spans="1:14">
      <c r="A125" s="63" t="s">
        <v>220</v>
      </c>
      <c r="B125" s="63">
        <v>6157463</v>
      </c>
      <c r="C125" s="63">
        <v>12101239129</v>
      </c>
      <c r="D125" s="63">
        <v>34154149884</v>
      </c>
      <c r="E125" s="63">
        <v>0</v>
      </c>
      <c r="F125" s="63">
        <v>1200000</v>
      </c>
      <c r="G125" s="63">
        <v>6629614325</v>
      </c>
      <c r="H125" s="63">
        <v>800000</v>
      </c>
      <c r="I125" s="63">
        <v>3644409278</v>
      </c>
      <c r="J125" s="63">
        <v>6557463</v>
      </c>
      <c r="K125" s="63">
        <v>4476</v>
      </c>
      <c r="L125" s="63">
        <v>16694189082</v>
      </c>
      <c r="M125" s="63">
        <v>29124319578</v>
      </c>
      <c r="N125" s="64">
        <v>6.3743428448850394E-3</v>
      </c>
    </row>
    <row r="126" spans="1:14">
      <c r="A126" s="63" t="s">
        <v>309</v>
      </c>
      <c r="B126" s="63">
        <v>15331711</v>
      </c>
      <c r="C126" s="63">
        <v>33176446188</v>
      </c>
      <c r="D126" s="63">
        <v>40908286394</v>
      </c>
      <c r="E126" s="63">
        <v>0</v>
      </c>
      <c r="F126" s="63">
        <v>0</v>
      </c>
      <c r="G126" s="63">
        <v>0</v>
      </c>
      <c r="H126" s="63">
        <v>2400000</v>
      </c>
      <c r="I126" s="63">
        <v>6851214489</v>
      </c>
      <c r="J126" s="63">
        <v>12931711</v>
      </c>
      <c r="K126" s="63">
        <v>3050</v>
      </c>
      <c r="L126" s="63">
        <v>27983061650</v>
      </c>
      <c r="M126" s="63">
        <v>39136834066</v>
      </c>
      <c r="N126" s="64">
        <v>8.5657485501740831E-3</v>
      </c>
    </row>
    <row r="127" spans="1:14">
      <c r="A127" s="63" t="s">
        <v>250</v>
      </c>
      <c r="B127" s="63">
        <v>5065914</v>
      </c>
      <c r="C127" s="63">
        <v>17485089878</v>
      </c>
      <c r="D127" s="63">
        <v>16362085848</v>
      </c>
      <c r="E127" s="63">
        <v>0</v>
      </c>
      <c r="F127" s="63">
        <v>0</v>
      </c>
      <c r="G127" s="63">
        <v>0</v>
      </c>
      <c r="H127" s="63">
        <v>0</v>
      </c>
      <c r="I127" s="63">
        <v>0</v>
      </c>
      <c r="J127" s="63">
        <v>5065914</v>
      </c>
      <c r="K127" s="63">
        <v>2898</v>
      </c>
      <c r="L127" s="63">
        <v>17485089878</v>
      </c>
      <c r="M127" s="63">
        <v>14567534497</v>
      </c>
      <c r="N127" s="64">
        <v>3.1883477668852248E-3</v>
      </c>
    </row>
    <row r="128" spans="1:14">
      <c r="A128" s="63" t="s">
        <v>274</v>
      </c>
      <c r="B128" s="63">
        <v>10180289</v>
      </c>
      <c r="C128" s="63">
        <v>30291452762</v>
      </c>
      <c r="D128" s="63">
        <v>36688994369</v>
      </c>
      <c r="E128" s="63">
        <v>0</v>
      </c>
      <c r="F128" s="63">
        <v>0</v>
      </c>
      <c r="G128" s="63">
        <v>0</v>
      </c>
      <c r="H128" s="63">
        <v>2000000</v>
      </c>
      <c r="I128" s="63">
        <v>6672055268</v>
      </c>
      <c r="J128" s="63">
        <v>8180289</v>
      </c>
      <c r="K128" s="63">
        <v>3057</v>
      </c>
      <c r="L128" s="63">
        <v>24340452204</v>
      </c>
      <c r="M128" s="63">
        <v>24813838254</v>
      </c>
      <c r="N128" s="64">
        <v>5.4309221509847693E-3</v>
      </c>
    </row>
    <row r="129" spans="1:14">
      <c r="A129" s="63" t="s">
        <v>301</v>
      </c>
      <c r="B129" s="63">
        <v>4489661</v>
      </c>
      <c r="C129" s="63">
        <v>16992352373</v>
      </c>
      <c r="D129" s="63">
        <v>20225499879</v>
      </c>
      <c r="E129" s="63">
        <v>0</v>
      </c>
      <c r="F129" s="63">
        <v>0</v>
      </c>
      <c r="G129" s="63">
        <v>0</v>
      </c>
      <c r="H129" s="63">
        <v>0</v>
      </c>
      <c r="I129" s="63">
        <v>0</v>
      </c>
      <c r="J129" s="63">
        <v>4489661</v>
      </c>
      <c r="K129" s="63">
        <v>3585</v>
      </c>
      <c r="L129" s="63">
        <v>16992352373</v>
      </c>
      <c r="M129" s="63">
        <v>15971016975</v>
      </c>
      <c r="N129" s="64">
        <v>3.4955233033849235E-3</v>
      </c>
    </row>
    <row r="130" spans="1:14">
      <c r="A130" s="63" t="s">
        <v>298</v>
      </c>
      <c r="B130" s="63">
        <v>2038313</v>
      </c>
      <c r="C130" s="63">
        <v>35612740710</v>
      </c>
      <c r="D130" s="63">
        <v>32704744111</v>
      </c>
      <c r="E130" s="63">
        <v>0</v>
      </c>
      <c r="F130" s="63">
        <v>0</v>
      </c>
      <c r="G130" s="63">
        <v>0</v>
      </c>
      <c r="H130" s="63">
        <v>0</v>
      </c>
      <c r="I130" s="63">
        <v>0</v>
      </c>
      <c r="J130" s="63">
        <v>2038313</v>
      </c>
      <c r="K130" s="63">
        <v>14170</v>
      </c>
      <c r="L130" s="63">
        <v>35612740710</v>
      </c>
      <c r="M130" s="63">
        <v>28659630430</v>
      </c>
      <c r="N130" s="64">
        <v>6.2726378784319515E-3</v>
      </c>
    </row>
    <row r="131" spans="1:14">
      <c r="A131" s="63" t="s">
        <v>218</v>
      </c>
      <c r="B131" s="63">
        <v>6779392</v>
      </c>
      <c r="C131" s="63">
        <v>20686911631</v>
      </c>
      <c r="D131" s="63">
        <v>32000278585</v>
      </c>
      <c r="E131" s="63">
        <v>1175436</v>
      </c>
      <c r="F131" s="63">
        <v>0</v>
      </c>
      <c r="G131" s="63">
        <v>0</v>
      </c>
      <c r="H131" s="63">
        <v>800000</v>
      </c>
      <c r="I131" s="63">
        <v>3550739026</v>
      </c>
      <c r="J131" s="63">
        <v>7154828</v>
      </c>
      <c r="K131" s="63">
        <v>3673</v>
      </c>
      <c r="L131" s="63">
        <v>18245759194</v>
      </c>
      <c r="M131" s="63">
        <v>26076541293</v>
      </c>
      <c r="N131" s="64">
        <v>5.7072857604523785E-3</v>
      </c>
    </row>
    <row r="132" spans="1:14">
      <c r="A132" s="63" t="s">
        <v>231</v>
      </c>
      <c r="B132" s="63">
        <v>2789045</v>
      </c>
      <c r="C132" s="63">
        <v>9704409400</v>
      </c>
      <c r="D132" s="63">
        <v>15885367816</v>
      </c>
      <c r="E132" s="63">
        <v>0</v>
      </c>
      <c r="F132" s="63">
        <v>0</v>
      </c>
      <c r="G132" s="63">
        <v>0</v>
      </c>
      <c r="H132" s="63">
        <v>0</v>
      </c>
      <c r="I132" s="63">
        <v>0</v>
      </c>
      <c r="J132" s="63">
        <v>2789045</v>
      </c>
      <c r="K132" s="63">
        <v>5660</v>
      </c>
      <c r="L132" s="63">
        <v>9704409400</v>
      </c>
      <c r="M132" s="63">
        <v>15663968961</v>
      </c>
      <c r="N132" s="64">
        <v>3.4283207270007694E-3</v>
      </c>
    </row>
    <row r="133" spans="1:14">
      <c r="A133" s="63" t="s">
        <v>196</v>
      </c>
      <c r="B133" s="63">
        <v>2055254</v>
      </c>
      <c r="C133" s="63">
        <v>27740309965</v>
      </c>
      <c r="D133" s="63">
        <v>33894277655</v>
      </c>
      <c r="E133" s="63">
        <v>0</v>
      </c>
      <c r="F133" s="63">
        <v>0</v>
      </c>
      <c r="G133" s="63">
        <v>0</v>
      </c>
      <c r="H133" s="63">
        <v>555091</v>
      </c>
      <c r="I133" s="63">
        <v>9126758444</v>
      </c>
      <c r="J133" s="63">
        <v>1500163</v>
      </c>
      <c r="K133" s="63">
        <v>13000</v>
      </c>
      <c r="L133" s="63">
        <v>20248099076</v>
      </c>
      <c r="M133" s="63">
        <v>19351367620</v>
      </c>
      <c r="N133" s="64">
        <v>4.2353693928171687E-3</v>
      </c>
    </row>
    <row r="134" spans="1:14">
      <c r="A134" s="63" t="s">
        <v>310</v>
      </c>
      <c r="B134" s="63">
        <v>2116099</v>
      </c>
      <c r="C134" s="63">
        <v>19380542164</v>
      </c>
      <c r="D134" s="63">
        <v>24126030464</v>
      </c>
      <c r="E134" s="63">
        <v>0</v>
      </c>
      <c r="F134" s="63">
        <v>0</v>
      </c>
      <c r="G134" s="63">
        <v>0</v>
      </c>
      <c r="H134" s="63">
        <v>0</v>
      </c>
      <c r="I134" s="63">
        <v>0</v>
      </c>
      <c r="J134" s="63">
        <v>2116099</v>
      </c>
      <c r="K134" s="63">
        <v>11010</v>
      </c>
      <c r="L134" s="63">
        <v>19380542164</v>
      </c>
      <c r="M134" s="63">
        <v>23118154518</v>
      </c>
      <c r="N134" s="64">
        <v>5.0597934981483827E-3</v>
      </c>
    </row>
    <row r="135" spans="1:14">
      <c r="A135" s="63" t="s">
        <v>263</v>
      </c>
      <c r="B135" s="63">
        <v>304021</v>
      </c>
      <c r="C135" s="63">
        <v>7764263692</v>
      </c>
      <c r="D135" s="63">
        <v>10024524594</v>
      </c>
      <c r="E135" s="63">
        <v>0</v>
      </c>
      <c r="F135" s="63">
        <v>0</v>
      </c>
      <c r="G135" s="63">
        <v>0</v>
      </c>
      <c r="H135" s="63">
        <v>0</v>
      </c>
      <c r="I135" s="63">
        <v>0</v>
      </c>
      <c r="J135" s="63">
        <v>304021</v>
      </c>
      <c r="K135" s="63">
        <v>34730</v>
      </c>
      <c r="L135" s="63">
        <v>7764263692</v>
      </c>
      <c r="M135" s="63">
        <v>10477030971</v>
      </c>
      <c r="N135" s="64">
        <v>2.2930728811285401E-3</v>
      </c>
    </row>
    <row r="136" spans="1:14">
      <c r="A136" s="63" t="s">
        <v>182</v>
      </c>
      <c r="B136" s="63">
        <v>5167900</v>
      </c>
      <c r="C136" s="63">
        <v>28418731559</v>
      </c>
      <c r="D136" s="63">
        <v>33998322642</v>
      </c>
      <c r="E136" s="63">
        <v>0</v>
      </c>
      <c r="F136" s="63">
        <v>0</v>
      </c>
      <c r="G136" s="63">
        <v>0</v>
      </c>
      <c r="H136" s="63">
        <v>200000</v>
      </c>
      <c r="I136" s="63">
        <v>960517366</v>
      </c>
      <c r="J136" s="63">
        <v>4967900</v>
      </c>
      <c r="K136" s="63">
        <v>4252</v>
      </c>
      <c r="L136" s="63">
        <v>27318914165</v>
      </c>
      <c r="M136" s="63">
        <v>20960226062</v>
      </c>
      <c r="N136" s="64">
        <v>4.5874948826755604E-3</v>
      </c>
    </row>
    <row r="137" spans="1:14">
      <c r="A137" s="63" t="s">
        <v>179</v>
      </c>
      <c r="B137" s="63">
        <v>19600000</v>
      </c>
      <c r="C137" s="63">
        <v>39331346955</v>
      </c>
      <c r="D137" s="63">
        <v>35668534328</v>
      </c>
      <c r="E137" s="63">
        <v>0</v>
      </c>
      <c r="F137" s="63">
        <v>0</v>
      </c>
      <c r="G137" s="63">
        <v>0</v>
      </c>
      <c r="H137" s="63">
        <v>0</v>
      </c>
      <c r="I137" s="63">
        <v>0</v>
      </c>
      <c r="J137" s="63">
        <v>19600000</v>
      </c>
      <c r="K137" s="63">
        <v>1415</v>
      </c>
      <c r="L137" s="63">
        <v>39331346955</v>
      </c>
      <c r="M137" s="63">
        <v>27519616180</v>
      </c>
      <c r="N137" s="64">
        <v>6.0231267556710355E-3</v>
      </c>
    </row>
    <row r="138" spans="1:14">
      <c r="A138" s="63" t="s">
        <v>271</v>
      </c>
      <c r="B138" s="63">
        <v>3915801</v>
      </c>
      <c r="C138" s="63">
        <v>13026834643</v>
      </c>
      <c r="D138" s="63">
        <v>14287100643</v>
      </c>
      <c r="E138" s="63">
        <v>0</v>
      </c>
      <c r="F138" s="63">
        <v>0</v>
      </c>
      <c r="G138" s="63">
        <v>0</v>
      </c>
      <c r="H138" s="63">
        <v>0</v>
      </c>
      <c r="I138" s="63">
        <v>0</v>
      </c>
      <c r="J138" s="63">
        <v>3915801</v>
      </c>
      <c r="K138" s="63">
        <v>3464</v>
      </c>
      <c r="L138" s="63">
        <v>13026834643</v>
      </c>
      <c r="M138" s="63">
        <v>13459482357</v>
      </c>
      <c r="N138" s="64">
        <v>2.9458320847092919E-3</v>
      </c>
    </row>
    <row r="139" spans="1:14">
      <c r="A139" s="63" t="s">
        <v>366</v>
      </c>
      <c r="B139" s="63">
        <v>540150</v>
      </c>
      <c r="C139" s="63">
        <v>8499361036</v>
      </c>
      <c r="D139" s="63">
        <v>10242475380</v>
      </c>
      <c r="E139" s="63">
        <v>0</v>
      </c>
      <c r="F139" s="63">
        <v>0</v>
      </c>
      <c r="G139" s="63">
        <v>0</v>
      </c>
      <c r="H139" s="63">
        <v>0</v>
      </c>
      <c r="I139" s="63">
        <v>0</v>
      </c>
      <c r="J139" s="63">
        <v>540150</v>
      </c>
      <c r="K139" s="63">
        <v>18000</v>
      </c>
      <c r="L139" s="63">
        <v>8499361036</v>
      </c>
      <c r="M139" s="63">
        <v>9647543529</v>
      </c>
      <c r="N139" s="64">
        <v>2.1115257268105136E-3</v>
      </c>
    </row>
    <row r="140" spans="1:14">
      <c r="A140" s="63" t="s">
        <v>234</v>
      </c>
      <c r="B140" s="63">
        <v>8858150</v>
      </c>
      <c r="C140" s="63">
        <v>11344964033</v>
      </c>
      <c r="D140" s="63">
        <v>20805164277</v>
      </c>
      <c r="E140" s="63">
        <v>0</v>
      </c>
      <c r="F140" s="63">
        <v>0</v>
      </c>
      <c r="G140" s="63">
        <v>0</v>
      </c>
      <c r="H140" s="63">
        <v>0</v>
      </c>
      <c r="I140" s="63">
        <v>0</v>
      </c>
      <c r="J140" s="63">
        <v>8858150</v>
      </c>
      <c r="K140" s="63">
        <v>2001</v>
      </c>
      <c r="L140" s="63">
        <v>11344964033</v>
      </c>
      <c r="M140" s="63">
        <v>17588142678</v>
      </c>
      <c r="N140" s="64">
        <v>3.84945822112921E-3</v>
      </c>
    </row>
    <row r="141" spans="1:14">
      <c r="A141" s="63" t="s">
        <v>392</v>
      </c>
      <c r="B141" s="63">
        <v>5800000</v>
      </c>
      <c r="C141" s="63">
        <v>21338456733</v>
      </c>
      <c r="D141" s="63">
        <v>31308103040</v>
      </c>
      <c r="E141" s="63">
        <v>0</v>
      </c>
      <c r="F141" s="63">
        <v>0</v>
      </c>
      <c r="G141" s="63">
        <v>0</v>
      </c>
      <c r="H141" s="63">
        <v>0</v>
      </c>
      <c r="I141" s="63">
        <v>0</v>
      </c>
      <c r="J141" s="63">
        <v>5800000</v>
      </c>
      <c r="K141" s="63">
        <v>4635</v>
      </c>
      <c r="L141" s="63">
        <v>21338456733</v>
      </c>
      <c r="M141" s="63">
        <v>26675194410</v>
      </c>
      <c r="N141" s="64">
        <v>5.8383109747135089E-3</v>
      </c>
    </row>
    <row r="142" spans="1:14">
      <c r="A142" s="63" t="s">
        <v>255</v>
      </c>
      <c r="B142" s="63">
        <v>4441456</v>
      </c>
      <c r="C142" s="63">
        <v>11625693660</v>
      </c>
      <c r="D142" s="63">
        <v>17487466227</v>
      </c>
      <c r="E142" s="63">
        <v>0</v>
      </c>
      <c r="F142" s="63">
        <v>0</v>
      </c>
      <c r="G142" s="63">
        <v>0</v>
      </c>
      <c r="H142" s="63">
        <v>0</v>
      </c>
      <c r="I142" s="63">
        <v>0</v>
      </c>
      <c r="J142" s="63">
        <v>4441456</v>
      </c>
      <c r="K142" s="63">
        <v>3370</v>
      </c>
      <c r="L142" s="63">
        <v>11625693660</v>
      </c>
      <c r="M142" s="63">
        <v>14852006347</v>
      </c>
      <c r="N142" s="64">
        <v>3.2506091734311295E-3</v>
      </c>
    </row>
    <row r="143" spans="1:14">
      <c r="A143" s="63" t="s">
        <v>272</v>
      </c>
      <c r="B143" s="63">
        <v>6186321</v>
      </c>
      <c r="C143" s="63">
        <v>26726392187</v>
      </c>
      <c r="D143" s="63">
        <v>29857667593</v>
      </c>
      <c r="E143" s="63">
        <v>0</v>
      </c>
      <c r="F143" s="63">
        <v>0</v>
      </c>
      <c r="G143" s="63">
        <v>0</v>
      </c>
      <c r="H143" s="63">
        <v>0</v>
      </c>
      <c r="I143" s="63">
        <v>0</v>
      </c>
      <c r="J143" s="63">
        <v>6186321</v>
      </c>
      <c r="K143" s="63">
        <v>4701</v>
      </c>
      <c r="L143" s="63">
        <v>26726392187</v>
      </c>
      <c r="M143" s="63">
        <v>28857091972</v>
      </c>
      <c r="N143" s="64">
        <v>6.3158556286017596E-3</v>
      </c>
    </row>
    <row r="144" spans="1:14">
      <c r="A144" s="63" t="s">
        <v>238</v>
      </c>
      <c r="B144" s="63">
        <v>21209541</v>
      </c>
      <c r="C144" s="63">
        <v>23634258383</v>
      </c>
      <c r="D144" s="63">
        <v>26391171425</v>
      </c>
      <c r="E144" s="63">
        <v>0</v>
      </c>
      <c r="F144" s="63">
        <v>0</v>
      </c>
      <c r="G144" s="63">
        <v>0</v>
      </c>
      <c r="H144" s="63">
        <v>2000000</v>
      </c>
      <c r="I144" s="63">
        <v>2385470717</v>
      </c>
      <c r="J144" s="63">
        <v>19209541</v>
      </c>
      <c r="K144" s="63">
        <v>1239</v>
      </c>
      <c r="L144" s="63">
        <v>21405614361</v>
      </c>
      <c r="M144" s="63">
        <v>23616642496</v>
      </c>
      <c r="N144" s="64">
        <v>5.1688959019767552E-3</v>
      </c>
    </row>
    <row r="145" spans="1:14">
      <c r="A145" s="63" t="s">
        <v>375</v>
      </c>
      <c r="B145" s="63">
        <v>1447708</v>
      </c>
      <c r="C145" s="63">
        <v>7589659743</v>
      </c>
      <c r="D145" s="63">
        <v>11520868082</v>
      </c>
      <c r="E145" s="63">
        <v>0</v>
      </c>
      <c r="F145" s="63">
        <v>0</v>
      </c>
      <c r="G145" s="63">
        <v>0</v>
      </c>
      <c r="H145" s="63">
        <v>0</v>
      </c>
      <c r="I145" s="63">
        <v>0</v>
      </c>
      <c r="J145" s="63">
        <v>1447708</v>
      </c>
      <c r="K145" s="63">
        <v>8160</v>
      </c>
      <c r="L145" s="63">
        <v>7589659743</v>
      </c>
      <c r="M145" s="63">
        <v>11721980492</v>
      </c>
      <c r="N145" s="64">
        <v>2.5655508372289782E-3</v>
      </c>
    </row>
    <row r="146" spans="1:14">
      <c r="A146" s="63" t="s">
        <v>319</v>
      </c>
      <c r="B146" s="63">
        <v>3418121</v>
      </c>
      <c r="C146" s="63">
        <v>32318508832</v>
      </c>
      <c r="D146" s="63">
        <v>38054861935</v>
      </c>
      <c r="E146" s="63">
        <v>0</v>
      </c>
      <c r="F146" s="63">
        <v>0</v>
      </c>
      <c r="G146" s="63">
        <v>0</v>
      </c>
      <c r="H146" s="63">
        <v>544012</v>
      </c>
      <c r="I146" s="63">
        <v>6157588851</v>
      </c>
      <c r="J146" s="63">
        <v>2874109</v>
      </c>
      <c r="K146" s="63">
        <v>12590</v>
      </c>
      <c r="L146" s="63">
        <v>27174847556</v>
      </c>
      <c r="M146" s="63">
        <v>35905322010</v>
      </c>
      <c r="N146" s="64">
        <v>7.8584782670982414E-3</v>
      </c>
    </row>
    <row r="147" spans="1:14">
      <c r="A147" s="63" t="s">
        <v>290</v>
      </c>
      <c r="B147" s="63">
        <v>5709272</v>
      </c>
      <c r="C147" s="63">
        <v>27304686895</v>
      </c>
      <c r="D147" s="63">
        <v>33480973425</v>
      </c>
      <c r="E147" s="63">
        <v>0</v>
      </c>
      <c r="F147" s="63">
        <v>0</v>
      </c>
      <c r="G147" s="63">
        <v>0</v>
      </c>
      <c r="H147" s="63">
        <v>400000</v>
      </c>
      <c r="I147" s="63">
        <v>2278251948</v>
      </c>
      <c r="J147" s="63">
        <v>5309272</v>
      </c>
      <c r="K147" s="63">
        <v>5540</v>
      </c>
      <c r="L147" s="63">
        <v>25391680341</v>
      </c>
      <c r="M147" s="63">
        <v>29186001554</v>
      </c>
      <c r="N147" s="64">
        <v>6.3878429735771784E-3</v>
      </c>
    </row>
    <row r="148" spans="1:14">
      <c r="A148" s="63" t="s">
        <v>389</v>
      </c>
      <c r="B148" s="63">
        <v>241083</v>
      </c>
      <c r="C148" s="63">
        <v>1966102194</v>
      </c>
      <c r="D148" s="63">
        <v>3143343289</v>
      </c>
      <c r="E148" s="63">
        <v>0</v>
      </c>
      <c r="F148" s="63">
        <v>0</v>
      </c>
      <c r="G148" s="63">
        <v>0</v>
      </c>
      <c r="H148" s="63">
        <v>0</v>
      </c>
      <c r="I148" s="63">
        <v>0</v>
      </c>
      <c r="J148" s="63">
        <v>241083</v>
      </c>
      <c r="K148" s="63">
        <v>11880</v>
      </c>
      <c r="L148" s="63">
        <v>1966102194</v>
      </c>
      <c r="M148" s="63">
        <v>2841926810</v>
      </c>
      <c r="N148" s="64">
        <v>6.220030575648035E-4</v>
      </c>
    </row>
    <row r="149" spans="1:14">
      <c r="A149" s="63" t="s">
        <v>241</v>
      </c>
      <c r="B149" s="63">
        <v>5849737</v>
      </c>
      <c r="C149" s="63">
        <v>21810287212</v>
      </c>
      <c r="D149" s="63">
        <v>22898825613</v>
      </c>
      <c r="E149" s="63">
        <v>0</v>
      </c>
      <c r="F149" s="63">
        <v>0</v>
      </c>
      <c r="G149" s="63">
        <v>0</v>
      </c>
      <c r="H149" s="63">
        <v>0</v>
      </c>
      <c r="I149" s="63">
        <v>0</v>
      </c>
      <c r="J149" s="63">
        <v>5849737</v>
      </c>
      <c r="K149" s="63">
        <v>3319</v>
      </c>
      <c r="L149" s="63">
        <v>21810287212</v>
      </c>
      <c r="M149" s="63">
        <v>19265197011</v>
      </c>
      <c r="N149" s="64">
        <v>4.2165095185650869E-3</v>
      </c>
    </row>
    <row r="150" spans="1:14">
      <c r="A150" s="63" t="s">
        <v>282</v>
      </c>
      <c r="B150" s="63">
        <v>13197090</v>
      </c>
      <c r="C150" s="63">
        <v>24751126792</v>
      </c>
      <c r="D150" s="63">
        <v>35749558829</v>
      </c>
      <c r="E150" s="63">
        <v>0</v>
      </c>
      <c r="F150" s="63">
        <v>0</v>
      </c>
      <c r="G150" s="63">
        <v>0</v>
      </c>
      <c r="H150" s="63">
        <v>2512217</v>
      </c>
      <c r="I150" s="63">
        <v>7338849409</v>
      </c>
      <c r="J150" s="63">
        <v>10684873</v>
      </c>
      <c r="K150" s="63">
        <v>2508</v>
      </c>
      <c r="L150" s="63">
        <v>20039466760</v>
      </c>
      <c r="M150" s="63">
        <v>26590515561</v>
      </c>
      <c r="N150" s="64">
        <v>5.8197775970052108E-3</v>
      </c>
    </row>
    <row r="151" spans="1:14">
      <c r="A151" s="63" t="s">
        <v>197</v>
      </c>
      <c r="B151" s="63">
        <v>15865640</v>
      </c>
      <c r="C151" s="63">
        <v>62841282473</v>
      </c>
      <c r="D151" s="63">
        <v>62940508414</v>
      </c>
      <c r="E151" s="63">
        <v>0</v>
      </c>
      <c r="F151" s="63">
        <v>0</v>
      </c>
      <c r="G151" s="63">
        <v>0</v>
      </c>
      <c r="H151" s="63">
        <v>1200000</v>
      </c>
      <c r="I151" s="63">
        <v>4510562699</v>
      </c>
      <c r="J151" s="63">
        <v>14665640</v>
      </c>
      <c r="K151" s="63">
        <v>3737</v>
      </c>
      <c r="L151" s="63">
        <v>58088272889</v>
      </c>
      <c r="M151" s="63">
        <v>54381850191</v>
      </c>
      <c r="N151" s="64">
        <v>1.1902374465031734E-2</v>
      </c>
    </row>
    <row r="152" spans="1:14">
      <c r="A152" s="63" t="s">
        <v>219</v>
      </c>
      <c r="B152" s="63">
        <v>27177400</v>
      </c>
      <c r="C152" s="63">
        <v>39285434378</v>
      </c>
      <c r="D152" s="63">
        <v>43444350422</v>
      </c>
      <c r="E152" s="63">
        <v>0</v>
      </c>
      <c r="F152" s="63">
        <v>0</v>
      </c>
      <c r="G152" s="63">
        <v>0</v>
      </c>
      <c r="H152" s="63">
        <v>5284045</v>
      </c>
      <c r="I152" s="63">
        <v>7085669285</v>
      </c>
      <c r="J152" s="63">
        <v>21893355</v>
      </c>
      <c r="K152" s="63">
        <v>1290</v>
      </c>
      <c r="L152" s="63">
        <v>31647249596</v>
      </c>
      <c r="M152" s="63">
        <v>28024113982</v>
      </c>
      <c r="N152" s="64">
        <v>6.1335445096661586E-3</v>
      </c>
    </row>
    <row r="153" spans="1:14">
      <c r="A153" s="63" t="s">
        <v>317</v>
      </c>
      <c r="B153" s="63">
        <v>3740260</v>
      </c>
      <c r="C153" s="63">
        <v>30938624257</v>
      </c>
      <c r="D153" s="63">
        <v>32696974032</v>
      </c>
      <c r="E153" s="63">
        <v>0</v>
      </c>
      <c r="F153" s="63">
        <v>0</v>
      </c>
      <c r="G153" s="63">
        <v>0</v>
      </c>
      <c r="H153" s="63">
        <v>0</v>
      </c>
      <c r="I153" s="63">
        <v>0</v>
      </c>
      <c r="J153" s="63">
        <v>3740260</v>
      </c>
      <c r="K153" s="63">
        <v>7120</v>
      </c>
      <c r="L153" s="63">
        <v>30938624257</v>
      </c>
      <c r="M153" s="63">
        <v>26424796266</v>
      </c>
      <c r="N153" s="64">
        <v>5.7835071667376968E-3</v>
      </c>
    </row>
    <row r="154" spans="1:14">
      <c r="A154" s="63" t="s">
        <v>229</v>
      </c>
      <c r="B154" s="63">
        <v>862852</v>
      </c>
      <c r="C154" s="63">
        <v>7777212626</v>
      </c>
      <c r="D154" s="63">
        <v>13467745283</v>
      </c>
      <c r="E154" s="63">
        <v>0</v>
      </c>
      <c r="F154" s="63">
        <v>0</v>
      </c>
      <c r="G154" s="63">
        <v>0</v>
      </c>
      <c r="H154" s="63">
        <v>0</v>
      </c>
      <c r="I154" s="63">
        <v>0</v>
      </c>
      <c r="J154" s="63">
        <v>862852</v>
      </c>
      <c r="K154" s="63">
        <v>12830</v>
      </c>
      <c r="L154" s="63">
        <v>7777212626</v>
      </c>
      <c r="M154" s="63">
        <v>10984817036</v>
      </c>
      <c r="N154" s="64">
        <v>2.4042103262968766E-3</v>
      </c>
    </row>
    <row r="155" spans="1:14">
      <c r="A155" s="63" t="s">
        <v>225</v>
      </c>
      <c r="B155" s="63">
        <v>4684284</v>
      </c>
      <c r="C155" s="63">
        <v>36433407816</v>
      </c>
      <c r="D155" s="63">
        <v>41228420679</v>
      </c>
      <c r="E155" s="63">
        <v>0</v>
      </c>
      <c r="F155" s="63">
        <v>0</v>
      </c>
      <c r="G155" s="63">
        <v>0</v>
      </c>
      <c r="H155" s="63">
        <v>1000000</v>
      </c>
      <c r="I155" s="63">
        <v>8269578210</v>
      </c>
      <c r="J155" s="63">
        <v>3684284</v>
      </c>
      <c r="K155" s="63">
        <v>8170</v>
      </c>
      <c r="L155" s="63">
        <v>28655611291</v>
      </c>
      <c r="M155" s="63">
        <v>29867922640</v>
      </c>
      <c r="N155" s="64">
        <v>6.5370927709390994E-3</v>
      </c>
    </row>
    <row r="156" spans="1:14">
      <c r="A156" s="63" t="s">
        <v>259</v>
      </c>
      <c r="B156" s="63">
        <v>881085</v>
      </c>
      <c r="C156" s="63">
        <v>9755505377</v>
      </c>
      <c r="D156" s="63">
        <v>11356822026</v>
      </c>
      <c r="E156" s="63">
        <v>0</v>
      </c>
      <c r="F156" s="63">
        <v>0</v>
      </c>
      <c r="G156" s="63">
        <v>0</v>
      </c>
      <c r="H156" s="63">
        <v>0</v>
      </c>
      <c r="I156" s="63">
        <v>0</v>
      </c>
      <c r="J156" s="63">
        <v>881085</v>
      </c>
      <c r="K156" s="63">
        <v>5500</v>
      </c>
      <c r="L156" s="63">
        <v>4430853957</v>
      </c>
      <c r="M156" s="63">
        <v>4808508171</v>
      </c>
      <c r="N156" s="64">
        <v>1.0524221715221937E-3</v>
      </c>
    </row>
    <row r="157" spans="1:14">
      <c r="A157" s="63" t="s">
        <v>483</v>
      </c>
      <c r="B157" s="63">
        <v>0</v>
      </c>
      <c r="C157" s="63">
        <v>0</v>
      </c>
      <c r="D157" s="63">
        <v>0</v>
      </c>
      <c r="E157" s="63">
        <v>1321627</v>
      </c>
      <c r="F157" s="63">
        <v>0</v>
      </c>
      <c r="G157" s="63">
        <v>0</v>
      </c>
      <c r="H157" s="63">
        <v>0</v>
      </c>
      <c r="I157" s="63">
        <v>0</v>
      </c>
      <c r="J157" s="63">
        <v>1321627</v>
      </c>
      <c r="K157" s="63">
        <v>4500</v>
      </c>
      <c r="L157" s="63">
        <v>5324651420</v>
      </c>
      <c r="M157" s="63">
        <v>5901348705</v>
      </c>
      <c r="N157" s="64">
        <v>1.2916085401460755E-3</v>
      </c>
    </row>
    <row r="158" spans="1:14">
      <c r="A158" s="63" t="s">
        <v>297</v>
      </c>
      <c r="B158" s="63">
        <v>5868843</v>
      </c>
      <c r="C158" s="63">
        <v>38004774869</v>
      </c>
      <c r="D158" s="63">
        <v>43093728643</v>
      </c>
      <c r="E158" s="63">
        <v>0</v>
      </c>
      <c r="F158" s="63">
        <v>0</v>
      </c>
      <c r="G158" s="63">
        <v>0</v>
      </c>
      <c r="H158" s="63">
        <v>1300008</v>
      </c>
      <c r="I158" s="63">
        <v>8840406940</v>
      </c>
      <c r="J158" s="63">
        <v>4568835</v>
      </c>
      <c r="K158" s="63">
        <v>6340</v>
      </c>
      <c r="L158" s="63">
        <v>29586333386</v>
      </c>
      <c r="M158" s="63">
        <v>28742503521</v>
      </c>
      <c r="N158" s="64">
        <v>6.2907760358997871E-3</v>
      </c>
    </row>
    <row r="159" spans="1:14">
      <c r="A159" s="63" t="s">
        <v>399</v>
      </c>
      <c r="B159" s="63">
        <v>1764830</v>
      </c>
      <c r="C159" s="63">
        <v>16756051992</v>
      </c>
      <c r="D159" s="63">
        <v>22135014602</v>
      </c>
      <c r="E159" s="63">
        <v>0</v>
      </c>
      <c r="F159" s="63">
        <v>0</v>
      </c>
      <c r="G159" s="63">
        <v>0</v>
      </c>
      <c r="H159" s="63">
        <v>0</v>
      </c>
      <c r="I159" s="63">
        <v>0</v>
      </c>
      <c r="J159" s="63">
        <v>1764830</v>
      </c>
      <c r="K159" s="63">
        <v>11560</v>
      </c>
      <c r="L159" s="63">
        <v>16756051992</v>
      </c>
      <c r="M159" s="63">
        <v>20243731709</v>
      </c>
      <c r="N159" s="64">
        <v>4.430678149490966E-3</v>
      </c>
    </row>
    <row r="160" spans="1:14">
      <c r="A160" s="63" t="s">
        <v>346</v>
      </c>
      <c r="B160" s="63">
        <v>3600000</v>
      </c>
      <c r="C160" s="63">
        <v>19417906724</v>
      </c>
      <c r="D160" s="63">
        <v>26755568280</v>
      </c>
      <c r="E160" s="63">
        <v>0</v>
      </c>
      <c r="F160" s="63">
        <v>0</v>
      </c>
      <c r="G160" s="63">
        <v>0</v>
      </c>
      <c r="H160" s="63">
        <v>0</v>
      </c>
      <c r="I160" s="63">
        <v>0</v>
      </c>
      <c r="J160" s="63">
        <v>3600000</v>
      </c>
      <c r="K160" s="63">
        <v>6500</v>
      </c>
      <c r="L160" s="63">
        <v>19417906724</v>
      </c>
      <c r="M160" s="63">
        <v>23219118000</v>
      </c>
      <c r="N160" s="64">
        <v>5.0818910392551467E-3</v>
      </c>
    </row>
    <row r="161" spans="1:14">
      <c r="A161" s="63" t="s">
        <v>212</v>
      </c>
      <c r="B161" s="63">
        <v>9347896</v>
      </c>
      <c r="C161" s="63">
        <v>41369493022</v>
      </c>
      <c r="D161" s="63">
        <v>56303115157</v>
      </c>
      <c r="E161" s="63">
        <v>0</v>
      </c>
      <c r="F161" s="63">
        <v>0</v>
      </c>
      <c r="G161" s="63">
        <v>0</v>
      </c>
      <c r="H161" s="63">
        <v>2492374</v>
      </c>
      <c r="I161" s="63">
        <v>14351363517</v>
      </c>
      <c r="J161" s="63">
        <v>6855522</v>
      </c>
      <c r="K161" s="63">
        <v>5790</v>
      </c>
      <c r="L161" s="63">
        <v>30339390761</v>
      </c>
      <c r="M161" s="63">
        <v>39386641839</v>
      </c>
      <c r="N161" s="64">
        <v>8.620423145615003E-3</v>
      </c>
    </row>
    <row r="162" spans="1:14">
      <c r="A162" s="63" t="s">
        <v>273</v>
      </c>
      <c r="B162" s="63">
        <v>2141672</v>
      </c>
      <c r="C162" s="63">
        <v>4306799190</v>
      </c>
      <c r="D162" s="63">
        <v>12559440734</v>
      </c>
      <c r="E162" s="63">
        <v>0</v>
      </c>
      <c r="F162" s="63">
        <v>0</v>
      </c>
      <c r="G162" s="63">
        <v>0</v>
      </c>
      <c r="H162" s="63">
        <v>0</v>
      </c>
      <c r="I162" s="63">
        <v>0</v>
      </c>
      <c r="J162" s="63">
        <v>2141672</v>
      </c>
      <c r="K162" s="63">
        <v>5690</v>
      </c>
      <c r="L162" s="63">
        <v>4306799190</v>
      </c>
      <c r="M162" s="63">
        <v>12091915021</v>
      </c>
      <c r="N162" s="64">
        <v>2.6465171757452033E-3</v>
      </c>
    </row>
    <row r="163" spans="1:14">
      <c r="A163" s="63" t="s">
        <v>270</v>
      </c>
      <c r="B163" s="63">
        <v>9904132</v>
      </c>
      <c r="C163" s="63">
        <v>13725154759</v>
      </c>
      <c r="D163" s="63">
        <v>18131872295</v>
      </c>
      <c r="E163" s="63">
        <v>0</v>
      </c>
      <c r="F163" s="63">
        <v>0</v>
      </c>
      <c r="G163" s="63">
        <v>0</v>
      </c>
      <c r="H163" s="63">
        <v>0</v>
      </c>
      <c r="I163" s="63">
        <v>0</v>
      </c>
      <c r="J163" s="63">
        <v>9904132</v>
      </c>
      <c r="K163" s="63">
        <v>1429</v>
      </c>
      <c r="L163" s="63">
        <v>13725154759</v>
      </c>
      <c r="M163" s="63">
        <v>14043601902</v>
      </c>
      <c r="N163" s="64">
        <v>3.0736763844621631E-3</v>
      </c>
    </row>
    <row r="164" spans="1:14">
      <c r="A164" s="63" t="s">
        <v>230</v>
      </c>
      <c r="B164" s="63">
        <v>2451893</v>
      </c>
      <c r="C164" s="63">
        <v>14817650768</v>
      </c>
      <c r="D164" s="63">
        <v>17882108023</v>
      </c>
      <c r="E164" s="63">
        <v>0</v>
      </c>
      <c r="F164" s="63">
        <v>0</v>
      </c>
      <c r="G164" s="63">
        <v>0</v>
      </c>
      <c r="H164" s="63">
        <v>0</v>
      </c>
      <c r="I164" s="63">
        <v>0</v>
      </c>
      <c r="J164" s="63">
        <v>2451893</v>
      </c>
      <c r="K164" s="63">
        <v>5560</v>
      </c>
      <c r="L164" s="63">
        <v>14817650768</v>
      </c>
      <c r="M164" s="63">
        <v>13527145661</v>
      </c>
      <c r="N164" s="64">
        <v>2.9606413267435497E-3</v>
      </c>
    </row>
    <row r="165" spans="1:14">
      <c r="A165" s="63" t="s">
        <v>207</v>
      </c>
      <c r="B165" s="63">
        <v>3867933</v>
      </c>
      <c r="C165" s="63">
        <v>17834505839</v>
      </c>
      <c r="D165" s="63">
        <v>28516591713</v>
      </c>
      <c r="E165" s="63">
        <v>0</v>
      </c>
      <c r="F165" s="63">
        <v>0</v>
      </c>
      <c r="G165" s="63">
        <v>0</v>
      </c>
      <c r="H165" s="63">
        <v>0</v>
      </c>
      <c r="I165" s="63">
        <v>0</v>
      </c>
      <c r="J165" s="63">
        <v>3867933</v>
      </c>
      <c r="K165" s="63">
        <v>6710</v>
      </c>
      <c r="L165" s="63">
        <v>17834505839</v>
      </c>
      <c r="M165" s="63">
        <v>25753207321</v>
      </c>
      <c r="N165" s="64">
        <v>5.636518730671421E-3</v>
      </c>
    </row>
    <row r="166" spans="1:14">
      <c r="A166" s="63" t="s">
        <v>363</v>
      </c>
      <c r="B166" s="63">
        <v>267500</v>
      </c>
      <c r="C166" s="63">
        <v>7375699925</v>
      </c>
      <c r="D166" s="63">
        <v>11161425061</v>
      </c>
      <c r="E166" s="63">
        <v>0</v>
      </c>
      <c r="F166" s="63">
        <v>0</v>
      </c>
      <c r="G166" s="63">
        <v>0</v>
      </c>
      <c r="H166" s="63">
        <v>0</v>
      </c>
      <c r="I166" s="63">
        <v>0</v>
      </c>
      <c r="J166" s="63">
        <v>267500</v>
      </c>
      <c r="K166" s="63">
        <v>38600</v>
      </c>
      <c r="L166" s="63">
        <v>7375699925</v>
      </c>
      <c r="M166" s="63">
        <v>10245683885</v>
      </c>
      <c r="N166" s="64">
        <v>2.2424387147790179E-3</v>
      </c>
    </row>
    <row r="167" spans="1:14">
      <c r="A167" s="63" t="s">
        <v>333</v>
      </c>
      <c r="B167" s="63">
        <v>4718151</v>
      </c>
      <c r="C167" s="63">
        <v>15896721203</v>
      </c>
      <c r="D167" s="63">
        <v>21254825805</v>
      </c>
      <c r="E167" s="63">
        <v>0</v>
      </c>
      <c r="F167" s="63">
        <v>1200000</v>
      </c>
      <c r="G167" s="63">
        <v>5626035988</v>
      </c>
      <c r="H167" s="63">
        <v>0</v>
      </c>
      <c r="I167" s="63">
        <v>0</v>
      </c>
      <c r="J167" s="63">
        <v>5918151</v>
      </c>
      <c r="K167" s="63">
        <v>4161</v>
      </c>
      <c r="L167" s="63">
        <v>21522757191</v>
      </c>
      <c r="M167" s="63">
        <v>24435071766</v>
      </c>
      <c r="N167" s="64">
        <v>5.3480227910117787E-3</v>
      </c>
    </row>
    <row r="168" spans="1:14">
      <c r="A168" s="63" t="s">
        <v>291</v>
      </c>
      <c r="B168" s="63">
        <v>2513000</v>
      </c>
      <c r="C168" s="63">
        <v>16629652843</v>
      </c>
      <c r="D168" s="63">
        <v>18302836903</v>
      </c>
      <c r="E168" s="63">
        <v>0</v>
      </c>
      <c r="F168" s="63">
        <v>0</v>
      </c>
      <c r="G168" s="63">
        <v>0</v>
      </c>
      <c r="H168" s="63">
        <v>1256501</v>
      </c>
      <c r="I168" s="63">
        <v>9681655815</v>
      </c>
      <c r="J168" s="63">
        <v>1256499</v>
      </c>
      <c r="K168" s="63">
        <v>6550</v>
      </c>
      <c r="L168" s="63">
        <v>8314819804</v>
      </c>
      <c r="M168" s="63">
        <v>8166450021</v>
      </c>
      <c r="N168" s="64">
        <v>1.7873637226118969E-3</v>
      </c>
    </row>
    <row r="169" spans="1:14">
      <c r="A169" s="63" t="s">
        <v>443</v>
      </c>
      <c r="B169" s="63">
        <v>700000</v>
      </c>
      <c r="C169" s="63">
        <v>9143294580</v>
      </c>
      <c r="D169" s="63">
        <v>12988814300</v>
      </c>
      <c r="E169" s="63">
        <v>0</v>
      </c>
      <c r="F169" s="63">
        <v>0</v>
      </c>
      <c r="G169" s="63">
        <v>0</v>
      </c>
      <c r="H169" s="63">
        <v>0</v>
      </c>
      <c r="I169" s="63">
        <v>0</v>
      </c>
      <c r="J169" s="63">
        <v>700000</v>
      </c>
      <c r="K169" s="63">
        <v>17920</v>
      </c>
      <c r="L169" s="63">
        <v>9143294580</v>
      </c>
      <c r="M169" s="63">
        <v>12447034880</v>
      </c>
      <c r="N169" s="64">
        <v>2.7242410767699386E-3</v>
      </c>
    </row>
    <row r="170" spans="1:14">
      <c r="A170" s="63" t="s">
        <v>283</v>
      </c>
      <c r="B170" s="63">
        <v>10026316</v>
      </c>
      <c r="C170" s="63">
        <v>47790989130</v>
      </c>
      <c r="D170" s="63">
        <v>48052764748</v>
      </c>
      <c r="E170" s="63">
        <v>0</v>
      </c>
      <c r="F170" s="63">
        <v>0</v>
      </c>
      <c r="G170" s="63">
        <v>0</v>
      </c>
      <c r="H170" s="63">
        <v>800000</v>
      </c>
      <c r="I170" s="63">
        <v>3048253456</v>
      </c>
      <c r="J170" s="63">
        <v>9226316</v>
      </c>
      <c r="K170" s="63">
        <v>3499</v>
      </c>
      <c r="L170" s="63">
        <v>43977744933</v>
      </c>
      <c r="M170" s="63">
        <v>32033333024</v>
      </c>
      <c r="N170" s="64">
        <v>7.0110289310791893E-3</v>
      </c>
    </row>
    <row r="171" spans="1:14">
      <c r="A171" s="63" t="s">
        <v>209</v>
      </c>
      <c r="B171" s="63">
        <v>1293618</v>
      </c>
      <c r="C171" s="63">
        <v>9058195859</v>
      </c>
      <c r="D171" s="63">
        <v>20371022942</v>
      </c>
      <c r="E171" s="63">
        <v>0</v>
      </c>
      <c r="F171" s="63">
        <v>0</v>
      </c>
      <c r="G171" s="63">
        <v>0</v>
      </c>
      <c r="H171" s="63">
        <v>0</v>
      </c>
      <c r="I171" s="63">
        <v>0</v>
      </c>
      <c r="J171" s="63">
        <v>1293618</v>
      </c>
      <c r="K171" s="63">
        <v>13540</v>
      </c>
      <c r="L171" s="63">
        <v>9058195859</v>
      </c>
      <c r="M171" s="63">
        <v>17380192227</v>
      </c>
      <c r="N171" s="64">
        <v>3.8039447983736182E-3</v>
      </c>
    </row>
    <row r="172" spans="1:14">
      <c r="A172" s="63" t="s">
        <v>172</v>
      </c>
      <c r="B172" s="63">
        <v>7488728</v>
      </c>
      <c r="C172" s="63">
        <v>36841867783</v>
      </c>
      <c r="D172" s="63">
        <v>44287807190</v>
      </c>
      <c r="E172" s="63">
        <v>0</v>
      </c>
      <c r="F172" s="63">
        <v>1800000</v>
      </c>
      <c r="G172" s="63">
        <v>10503908008</v>
      </c>
      <c r="H172" s="63">
        <v>1134242</v>
      </c>
      <c r="I172" s="63">
        <v>5966628419</v>
      </c>
      <c r="J172" s="63">
        <v>8154486</v>
      </c>
      <c r="K172" s="63">
        <v>5060</v>
      </c>
      <c r="L172" s="63">
        <v>41564406435</v>
      </c>
      <c r="M172" s="63">
        <v>40942746225</v>
      </c>
      <c r="N172" s="64">
        <v>8.961002530902552E-3</v>
      </c>
    </row>
    <row r="173" spans="1:14">
      <c r="A173" s="63" t="s">
        <v>279</v>
      </c>
      <c r="B173" s="63">
        <v>2670314</v>
      </c>
      <c r="C173" s="63">
        <v>13023691685</v>
      </c>
      <c r="D173" s="63">
        <v>29914802218</v>
      </c>
      <c r="E173" s="63">
        <v>0</v>
      </c>
      <c r="F173" s="63">
        <v>0</v>
      </c>
      <c r="G173" s="63">
        <v>0</v>
      </c>
      <c r="H173" s="63">
        <v>200000</v>
      </c>
      <c r="I173" s="63">
        <v>1869436692</v>
      </c>
      <c r="J173" s="63">
        <v>2470314</v>
      </c>
      <c r="K173" s="63">
        <v>8020</v>
      </c>
      <c r="L173" s="63">
        <v>12048248970</v>
      </c>
      <c r="M173" s="63">
        <v>19658772152</v>
      </c>
      <c r="N173" s="64">
        <v>4.3026499991088126E-3</v>
      </c>
    </row>
    <row r="174" spans="1:14">
      <c r="A174" s="63" t="s">
        <v>171</v>
      </c>
      <c r="B174" s="63">
        <v>999999</v>
      </c>
      <c r="C174" s="63">
        <v>3088990714</v>
      </c>
      <c r="D174" s="63">
        <v>4597182313</v>
      </c>
      <c r="E174" s="63">
        <v>483337</v>
      </c>
      <c r="F174" s="63">
        <v>0</v>
      </c>
      <c r="G174" s="63">
        <v>0</v>
      </c>
      <c r="H174" s="63">
        <v>0</v>
      </c>
      <c r="I174" s="63">
        <v>0</v>
      </c>
      <c r="J174" s="63">
        <v>1483336</v>
      </c>
      <c r="K174" s="63">
        <v>3220</v>
      </c>
      <c r="L174" s="63">
        <v>3088990714</v>
      </c>
      <c r="M174" s="63">
        <v>4739420797</v>
      </c>
      <c r="N174" s="64">
        <v>1.0373012480290502E-3</v>
      </c>
    </row>
    <row r="175" spans="1:14">
      <c r="A175" s="63" t="s">
        <v>350</v>
      </c>
      <c r="B175" s="63">
        <v>1386071</v>
      </c>
      <c r="C175" s="63">
        <v>18124534985</v>
      </c>
      <c r="D175" s="63">
        <v>36570733886</v>
      </c>
      <c r="E175" s="63">
        <v>0</v>
      </c>
      <c r="F175" s="63">
        <v>0</v>
      </c>
      <c r="G175" s="63">
        <v>0</v>
      </c>
      <c r="H175" s="63">
        <v>300000</v>
      </c>
      <c r="I175" s="63">
        <v>6351520296</v>
      </c>
      <c r="J175" s="63">
        <v>1086071</v>
      </c>
      <c r="K175" s="63">
        <v>18850</v>
      </c>
      <c r="L175" s="63">
        <v>14201676419</v>
      </c>
      <c r="M175" s="63">
        <v>20314186402</v>
      </c>
      <c r="N175" s="64">
        <v>4.4460983335406004E-3</v>
      </c>
    </row>
    <row r="176" spans="1:14">
      <c r="A176" s="63" t="s">
        <v>266</v>
      </c>
      <c r="B176" s="63">
        <v>12155401</v>
      </c>
      <c r="C176" s="63">
        <v>37843855481</v>
      </c>
      <c r="D176" s="63">
        <v>36678838281</v>
      </c>
      <c r="E176" s="63">
        <v>0</v>
      </c>
      <c r="F176" s="63">
        <v>0</v>
      </c>
      <c r="G176" s="63">
        <v>0</v>
      </c>
      <c r="H176" s="63">
        <v>1200000</v>
      </c>
      <c r="I176" s="63">
        <v>3039918412</v>
      </c>
      <c r="J176" s="63">
        <v>10955401</v>
      </c>
      <c r="K176" s="63">
        <v>2433</v>
      </c>
      <c r="L176" s="63">
        <v>34107851496</v>
      </c>
      <c r="M176" s="63">
        <v>26448451420</v>
      </c>
      <c r="N176" s="64">
        <v>5.7886844915243148E-3</v>
      </c>
    </row>
    <row r="177" spans="1:14">
      <c r="A177" s="63" t="s">
        <v>339</v>
      </c>
      <c r="B177" s="63">
        <v>8601572</v>
      </c>
      <c r="C177" s="63">
        <v>16811136577</v>
      </c>
      <c r="D177" s="63">
        <v>18964951867</v>
      </c>
      <c r="E177" s="63">
        <v>0</v>
      </c>
      <c r="F177" s="63">
        <v>6800000</v>
      </c>
      <c r="G177" s="63">
        <v>15568022215</v>
      </c>
      <c r="H177" s="63">
        <v>400000</v>
      </c>
      <c r="I177" s="63">
        <v>846207864</v>
      </c>
      <c r="J177" s="63">
        <v>15001572</v>
      </c>
      <c r="K177" s="63">
        <v>2003</v>
      </c>
      <c r="L177" s="63">
        <v>31538227521</v>
      </c>
      <c r="M177" s="63">
        <v>29815876526</v>
      </c>
      <c r="N177" s="64">
        <v>6.5257016112764176E-3</v>
      </c>
    </row>
    <row r="178" spans="1:14">
      <c r="A178" s="63" t="s">
        <v>383</v>
      </c>
      <c r="B178" s="63">
        <v>1145414</v>
      </c>
      <c r="C178" s="63">
        <v>14519339942</v>
      </c>
      <c r="D178" s="63">
        <v>17025668048</v>
      </c>
      <c r="E178" s="63">
        <v>0</v>
      </c>
      <c r="F178" s="63">
        <v>0</v>
      </c>
      <c r="G178" s="63">
        <v>0</v>
      </c>
      <c r="H178" s="63">
        <v>0</v>
      </c>
      <c r="I178" s="63">
        <v>0</v>
      </c>
      <c r="J178" s="63">
        <v>1145414</v>
      </c>
      <c r="K178" s="63">
        <v>12750</v>
      </c>
      <c r="L178" s="63">
        <v>14519339942</v>
      </c>
      <c r="M178" s="63">
        <v>14491139360</v>
      </c>
      <c r="N178" s="64">
        <v>3.1716274176384115E-3</v>
      </c>
    </row>
    <row r="179" spans="1:14">
      <c r="A179" s="63" t="s">
        <v>286</v>
      </c>
      <c r="B179" s="63">
        <v>604777</v>
      </c>
      <c r="C179" s="63">
        <v>37513468883</v>
      </c>
      <c r="D179" s="63">
        <v>38940623568</v>
      </c>
      <c r="E179" s="63">
        <v>0</v>
      </c>
      <c r="F179" s="63">
        <v>0</v>
      </c>
      <c r="G179" s="63">
        <v>0</v>
      </c>
      <c r="H179" s="63">
        <v>0</v>
      </c>
      <c r="I179" s="63">
        <v>0</v>
      </c>
      <c r="J179" s="63">
        <v>604777</v>
      </c>
      <c r="K179" s="63">
        <v>54350</v>
      </c>
      <c r="L179" s="63">
        <v>37513468883</v>
      </c>
      <c r="M179" s="63">
        <v>32615547710</v>
      </c>
      <c r="N179" s="64">
        <v>7.1384563206857267E-3</v>
      </c>
    </row>
    <row r="180" spans="1:14">
      <c r="A180" s="63" t="s">
        <v>354</v>
      </c>
      <c r="B180" s="63">
        <v>995841</v>
      </c>
      <c r="C180" s="63">
        <v>19224197881</v>
      </c>
      <c r="D180" s="63">
        <v>20355748871</v>
      </c>
      <c r="E180" s="63">
        <v>0</v>
      </c>
      <c r="F180" s="63">
        <v>0</v>
      </c>
      <c r="G180" s="63">
        <v>0</v>
      </c>
      <c r="H180" s="63">
        <v>200000</v>
      </c>
      <c r="I180" s="63">
        <v>3805355498</v>
      </c>
      <c r="J180" s="63">
        <v>795841</v>
      </c>
      <c r="K180" s="63">
        <v>19000</v>
      </c>
      <c r="L180" s="63">
        <v>15363300834</v>
      </c>
      <c r="M180" s="63">
        <v>15004093832</v>
      </c>
      <c r="N180" s="64">
        <v>3.2838960548365452E-3</v>
      </c>
    </row>
    <row r="181" spans="1:14">
      <c r="A181" s="63" t="s">
        <v>347</v>
      </c>
      <c r="B181" s="63">
        <v>823913</v>
      </c>
      <c r="C181" s="63">
        <v>30504580998</v>
      </c>
      <c r="D181" s="63">
        <v>27444957200</v>
      </c>
      <c r="E181" s="63">
        <v>0</v>
      </c>
      <c r="F181" s="63">
        <v>0</v>
      </c>
      <c r="G181" s="63">
        <v>0</v>
      </c>
      <c r="H181" s="63">
        <v>0</v>
      </c>
      <c r="I181" s="63">
        <v>0</v>
      </c>
      <c r="J181" s="63">
        <v>823913</v>
      </c>
      <c r="K181" s="63">
        <v>37530</v>
      </c>
      <c r="L181" s="63">
        <v>30504580998</v>
      </c>
      <c r="M181" s="63">
        <v>30682432044</v>
      </c>
      <c r="N181" s="64">
        <v>6.7153617319554767E-3</v>
      </c>
    </row>
    <row r="182" spans="1:14">
      <c r="A182" s="63" t="s">
        <v>349</v>
      </c>
      <c r="B182" s="63">
        <v>10734418</v>
      </c>
      <c r="C182" s="63">
        <v>37632275557</v>
      </c>
      <c r="D182" s="63">
        <v>43734816536</v>
      </c>
      <c r="E182" s="63">
        <v>0</v>
      </c>
      <c r="F182" s="63">
        <v>0</v>
      </c>
      <c r="G182" s="63">
        <v>0</v>
      </c>
      <c r="H182" s="63">
        <v>400000</v>
      </c>
      <c r="I182" s="63">
        <v>1427495614</v>
      </c>
      <c r="J182" s="63">
        <v>10334418</v>
      </c>
      <c r="K182" s="63">
        <v>3255</v>
      </c>
      <c r="L182" s="63">
        <v>36229972216</v>
      </c>
      <c r="M182" s="63">
        <v>33378504749</v>
      </c>
      <c r="N182" s="64">
        <v>7.305442187238915E-3</v>
      </c>
    </row>
    <row r="183" spans="1:14">
      <c r="A183" s="63" t="s">
        <v>202</v>
      </c>
      <c r="B183" s="63">
        <v>1842980</v>
      </c>
      <c r="C183" s="63">
        <v>33172875317</v>
      </c>
      <c r="D183" s="63">
        <v>33136655815</v>
      </c>
      <c r="E183" s="63">
        <v>0</v>
      </c>
      <c r="F183" s="63">
        <v>0</v>
      </c>
      <c r="G183" s="63">
        <v>0</v>
      </c>
      <c r="H183" s="63">
        <v>0</v>
      </c>
      <c r="I183" s="63">
        <v>0</v>
      </c>
      <c r="J183" s="63">
        <v>1842980</v>
      </c>
      <c r="K183" s="63">
        <v>15230</v>
      </c>
      <c r="L183" s="63">
        <v>33172875317</v>
      </c>
      <c r="M183" s="63">
        <v>27851615235</v>
      </c>
      <c r="N183" s="64">
        <v>6.0957902833143202E-3</v>
      </c>
    </row>
    <row r="184" spans="1:14">
      <c r="A184" s="63" t="s">
        <v>210</v>
      </c>
      <c r="B184" s="63">
        <v>3052977</v>
      </c>
      <c r="C184" s="63">
        <v>9377372255</v>
      </c>
      <c r="D184" s="63">
        <v>24325901227</v>
      </c>
      <c r="E184" s="63">
        <v>0</v>
      </c>
      <c r="F184" s="63">
        <v>0</v>
      </c>
      <c r="G184" s="63">
        <v>0</v>
      </c>
      <c r="H184" s="63">
        <v>0</v>
      </c>
      <c r="I184" s="63">
        <v>0</v>
      </c>
      <c r="J184" s="63">
        <v>3052977</v>
      </c>
      <c r="K184" s="63">
        <v>6330</v>
      </c>
      <c r="L184" s="63">
        <v>9377372255</v>
      </c>
      <c r="M184" s="63">
        <v>19175959498</v>
      </c>
      <c r="N184" s="64">
        <v>4.1969784012470162E-3</v>
      </c>
    </row>
    <row r="185" spans="1:14">
      <c r="A185" s="63" t="s">
        <v>335</v>
      </c>
      <c r="B185" s="63">
        <v>5265617</v>
      </c>
      <c r="C185" s="63">
        <v>16236225789</v>
      </c>
      <c r="D185" s="63">
        <v>47442217128</v>
      </c>
      <c r="E185" s="63">
        <v>0</v>
      </c>
      <c r="F185" s="63">
        <v>0</v>
      </c>
      <c r="G185" s="63">
        <v>0</v>
      </c>
      <c r="H185" s="63">
        <v>600000</v>
      </c>
      <c r="I185" s="63">
        <v>4973257277</v>
      </c>
      <c r="J185" s="63">
        <v>4665617</v>
      </c>
      <c r="K185" s="63">
        <v>7540</v>
      </c>
      <c r="L185" s="63">
        <v>14386160455</v>
      </c>
      <c r="M185" s="63">
        <v>34906820426</v>
      </c>
      <c r="N185" s="64">
        <v>7.6399395503213311E-3</v>
      </c>
    </row>
    <row r="186" spans="1:14">
      <c r="A186" s="63" t="s">
        <v>208</v>
      </c>
      <c r="B186" s="63">
        <v>2341914</v>
      </c>
      <c r="C186" s="63">
        <v>39772331410</v>
      </c>
      <c r="D186" s="63">
        <v>49822507942</v>
      </c>
      <c r="E186" s="63">
        <v>0</v>
      </c>
      <c r="F186" s="63">
        <v>400000</v>
      </c>
      <c r="G186" s="63">
        <v>8847507105</v>
      </c>
      <c r="H186" s="63">
        <v>1015474</v>
      </c>
      <c r="I186" s="63">
        <v>23429735005</v>
      </c>
      <c r="J186" s="63">
        <v>1726440</v>
      </c>
      <c r="K186" s="63">
        <v>20470</v>
      </c>
      <c r="L186" s="63">
        <v>30613372268</v>
      </c>
      <c r="M186" s="63">
        <v>35067046847</v>
      </c>
      <c r="N186" s="64">
        <v>7.6750077735472013E-3</v>
      </c>
    </row>
    <row r="187" spans="1:14">
      <c r="A187" s="63" t="s">
        <v>265</v>
      </c>
      <c r="B187" s="63">
        <v>1035048</v>
      </c>
      <c r="C187" s="63">
        <v>19458637507</v>
      </c>
      <c r="D187" s="63">
        <v>38462913107</v>
      </c>
      <c r="E187" s="63">
        <v>0</v>
      </c>
      <c r="F187" s="63">
        <v>0</v>
      </c>
      <c r="G187" s="63">
        <v>0</v>
      </c>
      <c r="H187" s="63">
        <v>100000</v>
      </c>
      <c r="I187" s="63">
        <v>3113743265</v>
      </c>
      <c r="J187" s="63">
        <v>935048</v>
      </c>
      <c r="K187" s="63">
        <v>27280</v>
      </c>
      <c r="L187" s="63">
        <v>17578663099</v>
      </c>
      <c r="M187" s="63">
        <v>25310931754</v>
      </c>
      <c r="N187" s="64">
        <v>5.5397193500567573E-3</v>
      </c>
    </row>
    <row r="188" spans="1:14">
      <c r="A188" s="63" t="s">
        <v>408</v>
      </c>
      <c r="B188" s="63">
        <v>3600000</v>
      </c>
      <c r="C188" s="63">
        <v>26137086840</v>
      </c>
      <c r="D188" s="63">
        <v>33042591000</v>
      </c>
      <c r="E188" s="63">
        <v>0</v>
      </c>
      <c r="F188" s="63">
        <v>0</v>
      </c>
      <c r="G188" s="63">
        <v>0</v>
      </c>
      <c r="H188" s="63">
        <v>0</v>
      </c>
      <c r="I188" s="63">
        <v>0</v>
      </c>
      <c r="J188" s="63">
        <v>3600000</v>
      </c>
      <c r="K188" s="63">
        <v>8100</v>
      </c>
      <c r="L188" s="63">
        <v>26137086840</v>
      </c>
      <c r="M188" s="63">
        <v>28934593200</v>
      </c>
      <c r="N188" s="64">
        <v>6.3328180643025672E-3</v>
      </c>
    </row>
    <row r="189" spans="1:14">
      <c r="A189" s="63" t="s">
        <v>176</v>
      </c>
      <c r="B189" s="63">
        <v>1350000</v>
      </c>
      <c r="C189" s="63">
        <v>37777127510</v>
      </c>
      <c r="D189" s="63">
        <v>42598151100</v>
      </c>
      <c r="E189" s="63">
        <v>0</v>
      </c>
      <c r="F189" s="63">
        <v>0</v>
      </c>
      <c r="G189" s="63">
        <v>0</v>
      </c>
      <c r="H189" s="63">
        <v>1074274</v>
      </c>
      <c r="I189" s="63">
        <v>32245588631</v>
      </c>
      <c r="J189" s="63">
        <v>275726</v>
      </c>
      <c r="K189" s="63">
        <v>24350</v>
      </c>
      <c r="L189" s="63">
        <v>7715656489</v>
      </c>
      <c r="M189" s="63">
        <v>6662029436</v>
      </c>
      <c r="N189" s="64">
        <v>1.4580961987471883E-3</v>
      </c>
    </row>
    <row r="190" spans="1:14">
      <c r="A190" s="63" t="s">
        <v>235</v>
      </c>
      <c r="B190" s="63">
        <v>487887</v>
      </c>
      <c r="C190" s="63">
        <v>9859579712</v>
      </c>
      <c r="D190" s="63">
        <v>12407883686</v>
      </c>
      <c r="E190" s="63">
        <v>0</v>
      </c>
      <c r="F190" s="63">
        <v>0</v>
      </c>
      <c r="G190" s="63">
        <v>0</v>
      </c>
      <c r="H190" s="63">
        <v>0</v>
      </c>
      <c r="I190" s="63">
        <v>0</v>
      </c>
      <c r="J190" s="63">
        <v>487887</v>
      </c>
      <c r="K190" s="63">
        <v>27920</v>
      </c>
      <c r="L190" s="63">
        <v>9859579712</v>
      </c>
      <c r="M190" s="63">
        <v>13516508487</v>
      </c>
      <c r="N190" s="64">
        <v>2.9583132038909247E-3</v>
      </c>
    </row>
    <row r="191" spans="1:14">
      <c r="A191" s="63" t="s">
        <v>240</v>
      </c>
      <c r="B191" s="63">
        <v>2067558</v>
      </c>
      <c r="C191" s="63">
        <v>17504816212</v>
      </c>
      <c r="D191" s="63">
        <v>19941316549</v>
      </c>
      <c r="E191" s="63">
        <v>0</v>
      </c>
      <c r="F191" s="63">
        <v>0</v>
      </c>
      <c r="G191" s="63">
        <v>0</v>
      </c>
      <c r="H191" s="63">
        <v>400000</v>
      </c>
      <c r="I191" s="63">
        <v>3290367332</v>
      </c>
      <c r="J191" s="63">
        <v>1667558</v>
      </c>
      <c r="K191" s="63">
        <v>7910</v>
      </c>
      <c r="L191" s="63">
        <v>14118247862</v>
      </c>
      <c r="M191" s="63">
        <v>13088422113</v>
      </c>
      <c r="N191" s="64">
        <v>2.8646193646995385E-3</v>
      </c>
    </row>
    <row r="192" spans="1:14">
      <c r="A192" s="63" t="s">
        <v>203</v>
      </c>
      <c r="B192" s="63">
        <v>5276925</v>
      </c>
      <c r="C192" s="63">
        <v>38556483882</v>
      </c>
      <c r="D192" s="63">
        <v>34296680122</v>
      </c>
      <c r="E192" s="63">
        <v>0</v>
      </c>
      <c r="F192" s="63">
        <v>0</v>
      </c>
      <c r="G192" s="63">
        <v>0</v>
      </c>
      <c r="H192" s="63">
        <v>160494</v>
      </c>
      <c r="I192" s="63">
        <v>849722475</v>
      </c>
      <c r="J192" s="63">
        <v>5116431</v>
      </c>
      <c r="K192" s="63">
        <v>5051</v>
      </c>
      <c r="L192" s="63">
        <v>37383815268</v>
      </c>
      <c r="M192" s="63">
        <v>25643325872</v>
      </c>
      <c r="N192" s="64">
        <v>5.6124693438233302E-3</v>
      </c>
    </row>
    <row r="193" spans="1:14">
      <c r="A193" s="63" t="s">
        <v>205</v>
      </c>
      <c r="B193" s="63">
        <v>1328772</v>
      </c>
      <c r="C193" s="63">
        <v>26712160982</v>
      </c>
      <c r="D193" s="63">
        <v>24919661197</v>
      </c>
      <c r="E193" s="63">
        <v>0</v>
      </c>
      <c r="F193" s="63">
        <v>0</v>
      </c>
      <c r="G193" s="63">
        <v>0</v>
      </c>
      <c r="H193" s="63">
        <v>500000</v>
      </c>
      <c r="I193" s="63">
        <v>8577317071</v>
      </c>
      <c r="J193" s="63">
        <v>828772</v>
      </c>
      <c r="K193" s="63">
        <v>16450</v>
      </c>
      <c r="L193" s="63">
        <v>16660714616</v>
      </c>
      <c r="M193" s="63">
        <v>13527913996</v>
      </c>
      <c r="N193" s="64">
        <v>2.9608094896665191E-3</v>
      </c>
    </row>
    <row r="194" spans="1:14">
      <c r="A194" s="63" t="s">
        <v>332</v>
      </c>
      <c r="B194" s="63">
        <v>7233345</v>
      </c>
      <c r="C194" s="63">
        <v>25506587247</v>
      </c>
      <c r="D194" s="63">
        <v>28788676716</v>
      </c>
      <c r="E194" s="63">
        <v>0</v>
      </c>
      <c r="F194" s="63">
        <v>0</v>
      </c>
      <c r="G194" s="63">
        <v>0</v>
      </c>
      <c r="H194" s="63">
        <v>3200000</v>
      </c>
      <c r="I194" s="63">
        <v>12548643410</v>
      </c>
      <c r="J194" s="63">
        <v>4033345</v>
      </c>
      <c r="K194" s="63">
        <v>3934</v>
      </c>
      <c r="L194" s="63">
        <v>14222585282</v>
      </c>
      <c r="M194" s="63">
        <v>15744525935</v>
      </c>
      <c r="N194" s="64">
        <v>3.4459519636532601E-3</v>
      </c>
    </row>
    <row r="195" spans="1:14">
      <c r="A195" s="63" t="s">
        <v>303</v>
      </c>
      <c r="B195" s="63">
        <v>2723567</v>
      </c>
      <c r="C195" s="63">
        <v>19009668439</v>
      </c>
      <c r="D195" s="63">
        <v>26646786335</v>
      </c>
      <c r="E195" s="63">
        <v>0</v>
      </c>
      <c r="F195" s="63">
        <v>0</v>
      </c>
      <c r="G195" s="63">
        <v>0</v>
      </c>
      <c r="H195" s="63">
        <v>0</v>
      </c>
      <c r="I195" s="63">
        <v>0</v>
      </c>
      <c r="J195" s="63">
        <v>2723567</v>
      </c>
      <c r="K195" s="63">
        <v>8880</v>
      </c>
      <c r="L195" s="63">
        <v>19009668439</v>
      </c>
      <c r="M195" s="63">
        <v>23998322785</v>
      </c>
      <c r="N195" s="64">
        <v>5.2524329958719409E-3</v>
      </c>
    </row>
    <row r="196" spans="1:14">
      <c r="A196" s="63" t="s">
        <v>306</v>
      </c>
      <c r="B196" s="63">
        <v>120369</v>
      </c>
      <c r="C196" s="63">
        <v>3524820500</v>
      </c>
      <c r="D196" s="63">
        <v>3787396345</v>
      </c>
      <c r="E196" s="63">
        <v>0</v>
      </c>
      <c r="F196" s="63">
        <v>0</v>
      </c>
      <c r="G196" s="63">
        <v>0</v>
      </c>
      <c r="H196" s="63">
        <v>120369</v>
      </c>
      <c r="I196" s="63">
        <v>3596213084</v>
      </c>
      <c r="J196" s="63">
        <v>0</v>
      </c>
      <c r="K196" s="63">
        <v>0</v>
      </c>
      <c r="L196" s="63">
        <v>0</v>
      </c>
      <c r="M196" s="63">
        <v>0</v>
      </c>
      <c r="N196" s="64">
        <v>0</v>
      </c>
    </row>
    <row r="197" spans="1:14">
      <c r="A197" s="63" t="s">
        <v>484</v>
      </c>
      <c r="B197" s="63">
        <v>3014987</v>
      </c>
      <c r="C197" s="63">
        <v>14987389690</v>
      </c>
      <c r="D197" s="63">
        <v>16274745459</v>
      </c>
      <c r="E197" s="63">
        <v>0</v>
      </c>
      <c r="F197" s="63">
        <v>0</v>
      </c>
      <c r="G197" s="63">
        <v>0</v>
      </c>
      <c r="H197" s="63">
        <v>0</v>
      </c>
      <c r="I197" s="63">
        <v>0</v>
      </c>
      <c r="J197" s="63">
        <v>3014987</v>
      </c>
      <c r="K197" s="63">
        <v>4768</v>
      </c>
      <c r="L197" s="63">
        <v>14987389690</v>
      </c>
      <c r="M197" s="63">
        <v>14264335726</v>
      </c>
      <c r="N197" s="64">
        <v>3.1219876614988758E-3</v>
      </c>
    </row>
    <row r="198" spans="1:14">
      <c r="A198" s="63" t="s">
        <v>371</v>
      </c>
      <c r="B198" s="63">
        <v>2241424</v>
      </c>
      <c r="C198" s="63">
        <v>11616275685</v>
      </c>
      <c r="D198" s="63">
        <v>13010972086</v>
      </c>
      <c r="E198" s="63">
        <v>0</v>
      </c>
      <c r="F198" s="63">
        <v>0</v>
      </c>
      <c r="G198" s="63">
        <v>0</v>
      </c>
      <c r="H198" s="63">
        <v>0</v>
      </c>
      <c r="I198" s="63">
        <v>0</v>
      </c>
      <c r="J198" s="63">
        <v>2241424</v>
      </c>
      <c r="K198" s="63">
        <v>5450</v>
      </c>
      <c r="L198" s="63">
        <v>11616275685</v>
      </c>
      <c r="M198" s="63">
        <v>12121332969</v>
      </c>
      <c r="N198" s="64">
        <v>2.652955784065057E-3</v>
      </c>
    </row>
    <row r="199" spans="1:14">
      <c r="A199" s="63" t="s">
        <v>344</v>
      </c>
      <c r="B199" s="63">
        <v>2586957</v>
      </c>
      <c r="C199" s="63">
        <v>14869302601</v>
      </c>
      <c r="D199" s="63">
        <v>19431885855</v>
      </c>
      <c r="E199" s="63">
        <v>0</v>
      </c>
      <c r="F199" s="63">
        <v>0</v>
      </c>
      <c r="G199" s="63">
        <v>0</v>
      </c>
      <c r="H199" s="63">
        <v>0</v>
      </c>
      <c r="I199" s="63">
        <v>0</v>
      </c>
      <c r="J199" s="63">
        <v>2586957</v>
      </c>
      <c r="K199" s="63">
        <v>7080</v>
      </c>
      <c r="L199" s="63">
        <v>14869302601</v>
      </c>
      <c r="M199" s="63">
        <v>18174075543</v>
      </c>
      <c r="N199" s="64">
        <v>3.9776993961923024E-3</v>
      </c>
    </row>
    <row r="200" spans="1:14">
      <c r="A200" s="63" t="s">
        <v>329</v>
      </c>
      <c r="B200" s="63">
        <v>7969322</v>
      </c>
      <c r="C200" s="63">
        <v>26169954207</v>
      </c>
      <c r="D200" s="63">
        <v>23802234614</v>
      </c>
      <c r="E200" s="63">
        <v>0</v>
      </c>
      <c r="F200" s="63">
        <v>0</v>
      </c>
      <c r="G200" s="63">
        <v>0</v>
      </c>
      <c r="H200" s="63">
        <v>0</v>
      </c>
      <c r="I200" s="63">
        <v>0</v>
      </c>
      <c r="J200" s="63">
        <v>7969322</v>
      </c>
      <c r="K200" s="63">
        <v>2500</v>
      </c>
      <c r="L200" s="63">
        <v>26169954207</v>
      </c>
      <c r="M200" s="63">
        <v>19769297852</v>
      </c>
      <c r="N200" s="64">
        <v>4.3268403910279802E-3</v>
      </c>
    </row>
    <row r="201" spans="1:14">
      <c r="A201" s="63" t="s">
        <v>264</v>
      </c>
      <c r="B201" s="63">
        <v>831032</v>
      </c>
      <c r="C201" s="63">
        <v>38026400251</v>
      </c>
      <c r="D201" s="63">
        <v>38937995551</v>
      </c>
      <c r="E201" s="63">
        <v>0</v>
      </c>
      <c r="F201" s="63">
        <v>0</v>
      </c>
      <c r="G201" s="63">
        <v>0</v>
      </c>
      <c r="H201" s="63">
        <v>324137</v>
      </c>
      <c r="I201" s="63">
        <v>13662001988</v>
      </c>
      <c r="J201" s="63">
        <v>506895</v>
      </c>
      <c r="K201" s="63">
        <v>41600</v>
      </c>
      <c r="L201" s="63">
        <v>23194524585</v>
      </c>
      <c r="M201" s="63">
        <v>20923830789</v>
      </c>
      <c r="N201" s="64">
        <v>4.5795291704667698E-3</v>
      </c>
    </row>
    <row r="202" spans="1:14">
      <c r="A202" s="63" t="s">
        <v>324</v>
      </c>
      <c r="B202" s="63">
        <v>3683366</v>
      </c>
      <c r="C202" s="63">
        <v>10573465274</v>
      </c>
      <c r="D202" s="63">
        <v>21198382769</v>
      </c>
      <c r="E202" s="63">
        <v>0</v>
      </c>
      <c r="F202" s="63">
        <v>0</v>
      </c>
      <c r="G202" s="63">
        <v>0</v>
      </c>
      <c r="H202" s="63">
        <v>0</v>
      </c>
      <c r="I202" s="63">
        <v>0</v>
      </c>
      <c r="J202" s="63">
        <v>3683366</v>
      </c>
      <c r="K202" s="63">
        <v>5550</v>
      </c>
      <c r="L202" s="63">
        <v>10573465274</v>
      </c>
      <c r="M202" s="63">
        <v>20284659374</v>
      </c>
      <c r="N202" s="64">
        <v>4.4396358512443718E-3</v>
      </c>
    </row>
    <row r="203" spans="1:14">
      <c r="A203" s="63" t="s">
        <v>232</v>
      </c>
      <c r="B203" s="63">
        <v>1382048</v>
      </c>
      <c r="C203" s="63">
        <v>33301602176</v>
      </c>
      <c r="D203" s="63">
        <v>43266558461</v>
      </c>
      <c r="E203" s="63">
        <v>0</v>
      </c>
      <c r="F203" s="63">
        <v>0</v>
      </c>
      <c r="G203" s="63">
        <v>0</v>
      </c>
      <c r="H203" s="63">
        <v>250000</v>
      </c>
      <c r="I203" s="63">
        <v>6601552277</v>
      </c>
      <c r="J203" s="63">
        <v>1132048</v>
      </c>
      <c r="K203" s="63">
        <v>28300</v>
      </c>
      <c r="L203" s="63">
        <v>27277643136</v>
      </c>
      <c r="M203" s="63">
        <v>31789312712</v>
      </c>
      <c r="N203" s="64">
        <v>6.9576210179556576E-3</v>
      </c>
    </row>
    <row r="204" spans="1:14">
      <c r="A204" s="63" t="s">
        <v>178</v>
      </c>
      <c r="B204" s="63">
        <v>11191</v>
      </c>
      <c r="C204" s="63">
        <v>645142935</v>
      </c>
      <c r="D204" s="63">
        <v>672266041</v>
      </c>
      <c r="E204" s="63">
        <v>0</v>
      </c>
      <c r="F204" s="63">
        <v>0</v>
      </c>
      <c r="G204" s="63">
        <v>0</v>
      </c>
      <c r="H204" s="63">
        <v>0</v>
      </c>
      <c r="I204" s="63">
        <v>0</v>
      </c>
      <c r="J204" s="63">
        <v>11191</v>
      </c>
      <c r="K204" s="63">
        <v>46820</v>
      </c>
      <c r="L204" s="63">
        <v>645142935</v>
      </c>
      <c r="M204" s="63">
        <v>519912389</v>
      </c>
      <c r="N204" s="64">
        <v>1.1379149332273673E-4</v>
      </c>
    </row>
    <row r="205" spans="1:14">
      <c r="A205" s="63" t="s">
        <v>364</v>
      </c>
      <c r="B205" s="63">
        <v>0</v>
      </c>
      <c r="C205" s="63">
        <v>0</v>
      </c>
      <c r="D205" s="63">
        <v>0</v>
      </c>
      <c r="E205" s="63">
        <v>798593</v>
      </c>
      <c r="F205" s="63">
        <v>140000</v>
      </c>
      <c r="G205" s="63">
        <v>36753852071</v>
      </c>
      <c r="H205" s="63">
        <v>0</v>
      </c>
      <c r="I205" s="63">
        <v>0</v>
      </c>
      <c r="J205" s="63">
        <v>938593</v>
      </c>
      <c r="K205" s="63">
        <v>39054</v>
      </c>
      <c r="L205" s="63">
        <v>36753852071</v>
      </c>
      <c r="M205" s="63">
        <v>36372461603</v>
      </c>
      <c r="N205" s="64">
        <v>7.9607195542887362E-3</v>
      </c>
    </row>
    <row r="206" spans="1:14">
      <c r="A206" s="63" t="s">
        <v>199</v>
      </c>
      <c r="B206" s="63">
        <v>795993</v>
      </c>
      <c r="C206" s="63">
        <v>21860329397</v>
      </c>
      <c r="D206" s="63">
        <v>34729263662</v>
      </c>
      <c r="E206" s="63">
        <v>0</v>
      </c>
      <c r="F206" s="63">
        <v>300000</v>
      </c>
      <c r="G206" s="63">
        <v>12043999950</v>
      </c>
      <c r="H206" s="63">
        <v>100000</v>
      </c>
      <c r="I206" s="63">
        <v>4004801756</v>
      </c>
      <c r="J206" s="63">
        <v>995993</v>
      </c>
      <c r="K206" s="63">
        <v>35460</v>
      </c>
      <c r="L206" s="63">
        <v>30810848883</v>
      </c>
      <c r="M206" s="63">
        <v>35044904322</v>
      </c>
      <c r="N206" s="64">
        <v>7.6701615128329063E-3</v>
      </c>
    </row>
    <row r="207" spans="1:14">
      <c r="A207" s="63" t="s">
        <v>342</v>
      </c>
      <c r="B207" s="63">
        <v>392921</v>
      </c>
      <c r="C207" s="63">
        <v>15618857021</v>
      </c>
      <c r="D207" s="63">
        <v>23662043007</v>
      </c>
      <c r="E207" s="63">
        <v>0</v>
      </c>
      <c r="F207" s="63">
        <v>0</v>
      </c>
      <c r="G207" s="63">
        <v>0</v>
      </c>
      <c r="H207" s="63">
        <v>0</v>
      </c>
      <c r="I207" s="63">
        <v>0</v>
      </c>
      <c r="J207" s="63">
        <v>392921</v>
      </c>
      <c r="K207" s="63">
        <v>46140</v>
      </c>
      <c r="L207" s="63">
        <v>15618857021</v>
      </c>
      <c r="M207" s="63">
        <v>17989234872</v>
      </c>
      <c r="N207" s="64">
        <v>3.9372439340319906E-3</v>
      </c>
    </row>
    <row r="208" spans="1:14">
      <c r="A208" s="63" t="s">
        <v>285</v>
      </c>
      <c r="B208" s="63">
        <v>48341</v>
      </c>
      <c r="C208" s="63">
        <v>13238121345</v>
      </c>
      <c r="D208" s="63">
        <v>29064840674</v>
      </c>
      <c r="E208" s="63">
        <v>0</v>
      </c>
      <c r="F208" s="63">
        <v>0</v>
      </c>
      <c r="G208" s="63">
        <v>0</v>
      </c>
      <c r="H208" s="63">
        <v>0</v>
      </c>
      <c r="I208" s="63">
        <v>0</v>
      </c>
      <c r="J208" s="63">
        <v>48341</v>
      </c>
      <c r="K208" s="63">
        <v>525730</v>
      </c>
      <c r="L208" s="63">
        <v>13238121345</v>
      </c>
      <c r="M208" s="63">
        <v>25217861283</v>
      </c>
      <c r="N208" s="64">
        <v>5.5193493259846045E-3</v>
      </c>
    </row>
    <row r="209" spans="1:14">
      <c r="A209" s="63" t="s">
        <v>278</v>
      </c>
      <c r="B209" s="63">
        <v>1536013</v>
      </c>
      <c r="C209" s="63">
        <v>28390655403</v>
      </c>
      <c r="D209" s="63">
        <v>41715701386</v>
      </c>
      <c r="E209" s="63">
        <v>0</v>
      </c>
      <c r="F209" s="63">
        <v>0</v>
      </c>
      <c r="G209" s="63">
        <v>0</v>
      </c>
      <c r="H209" s="63">
        <v>500000</v>
      </c>
      <c r="I209" s="63">
        <v>12825089775</v>
      </c>
      <c r="J209" s="63">
        <v>1036013</v>
      </c>
      <c r="K209" s="63">
        <v>19670</v>
      </c>
      <c r="L209" s="63">
        <v>19148983815</v>
      </c>
      <c r="M209" s="63">
        <v>20220850866</v>
      </c>
      <c r="N209" s="64">
        <v>4.4256702955745375E-3</v>
      </c>
    </row>
    <row r="210" spans="1:14">
      <c r="A210" s="63" t="s">
        <v>261</v>
      </c>
      <c r="B210" s="63">
        <v>4658472</v>
      </c>
      <c r="C210" s="63">
        <v>22952966108</v>
      </c>
      <c r="D210" s="63">
        <v>34992037427</v>
      </c>
      <c r="E210" s="63">
        <v>0</v>
      </c>
      <c r="F210" s="63">
        <v>0</v>
      </c>
      <c r="G210" s="63">
        <v>0</v>
      </c>
      <c r="H210" s="63">
        <v>0</v>
      </c>
      <c r="I210" s="63">
        <v>0</v>
      </c>
      <c r="J210" s="63">
        <v>4658472</v>
      </c>
      <c r="K210" s="63">
        <v>5810</v>
      </c>
      <c r="L210" s="63">
        <v>22952966108</v>
      </c>
      <c r="M210" s="63">
        <v>26856504286</v>
      </c>
      <c r="N210" s="64">
        <v>5.8779936635293744E-3</v>
      </c>
    </row>
    <row r="211" spans="1:14">
      <c r="A211" s="63" t="s">
        <v>485</v>
      </c>
      <c r="B211" s="63">
        <v>733278</v>
      </c>
      <c r="C211" s="63">
        <v>2879688887</v>
      </c>
      <c r="D211" s="63">
        <v>4780396130</v>
      </c>
      <c r="E211" s="63">
        <v>0</v>
      </c>
      <c r="F211" s="63">
        <v>0</v>
      </c>
      <c r="G211" s="63">
        <v>0</v>
      </c>
      <c r="H211" s="63">
        <v>1</v>
      </c>
      <c r="I211" s="63">
        <v>1</v>
      </c>
      <c r="J211" s="63">
        <v>733277</v>
      </c>
      <c r="K211" s="63">
        <v>4464</v>
      </c>
      <c r="L211" s="63">
        <v>2879684960</v>
      </c>
      <c r="M211" s="63">
        <v>3248045544</v>
      </c>
      <c r="N211" s="64">
        <v>7.1088891253949472E-4</v>
      </c>
    </row>
    <row r="212" spans="1:14">
      <c r="A212" s="63" t="s">
        <v>348</v>
      </c>
      <c r="B212" s="63">
        <v>14595002</v>
      </c>
      <c r="C212" s="63">
        <v>39223501330</v>
      </c>
      <c r="D212" s="63">
        <v>45140963272</v>
      </c>
      <c r="E212" s="63">
        <v>0</v>
      </c>
      <c r="F212" s="63">
        <v>0</v>
      </c>
      <c r="G212" s="63">
        <v>0</v>
      </c>
      <c r="H212" s="63">
        <v>0</v>
      </c>
      <c r="I212" s="63">
        <v>0</v>
      </c>
      <c r="J212" s="63">
        <v>14595002</v>
      </c>
      <c r="K212" s="63">
        <v>2869</v>
      </c>
      <c r="L212" s="63">
        <v>39223501330</v>
      </c>
      <c r="M212" s="63">
        <v>41549381978</v>
      </c>
      <c r="N212" s="64">
        <v>9.0937748781236005E-3</v>
      </c>
    </row>
    <row r="213" spans="1:14">
      <c r="A213" s="63" t="s">
        <v>313</v>
      </c>
      <c r="B213" s="63">
        <v>2918845</v>
      </c>
      <c r="C213" s="63">
        <v>43404606273</v>
      </c>
      <c r="D213" s="63">
        <v>48454803350</v>
      </c>
      <c r="E213" s="63">
        <v>2253191</v>
      </c>
      <c r="F213" s="63">
        <v>300000</v>
      </c>
      <c r="G213" s="63">
        <v>5182770201</v>
      </c>
      <c r="H213" s="63">
        <v>200000</v>
      </c>
      <c r="I213" s="63">
        <v>2010339026</v>
      </c>
      <c r="J213" s="63">
        <v>5272036</v>
      </c>
      <c r="K213" s="63">
        <v>10620</v>
      </c>
      <c r="L213" s="63">
        <v>46811533754</v>
      </c>
      <c r="M213" s="63">
        <v>55556227177</v>
      </c>
      <c r="N213" s="64">
        <v>1.21594064453964E-2</v>
      </c>
    </row>
    <row r="214" spans="1:14">
      <c r="A214" s="63" t="s">
        <v>359</v>
      </c>
      <c r="B214" s="63">
        <v>450000</v>
      </c>
      <c r="C214" s="63">
        <v>2252043000</v>
      </c>
      <c r="D214" s="63">
        <v>6470096535</v>
      </c>
      <c r="E214" s="63">
        <v>0</v>
      </c>
      <c r="F214" s="63">
        <v>0</v>
      </c>
      <c r="G214" s="63">
        <v>0</v>
      </c>
      <c r="H214" s="63">
        <v>0</v>
      </c>
      <c r="I214" s="63">
        <v>0</v>
      </c>
      <c r="J214" s="63">
        <v>450000</v>
      </c>
      <c r="K214" s="63">
        <v>11160</v>
      </c>
      <c r="L214" s="63">
        <v>2252043000</v>
      </c>
      <c r="M214" s="63">
        <v>4983179940</v>
      </c>
      <c r="N214" s="64">
        <v>1.0906519999632199E-3</v>
      </c>
    </row>
    <row r="215" spans="1:14">
      <c r="A215" s="63" t="s">
        <v>256</v>
      </c>
      <c r="B215" s="63">
        <v>1400000</v>
      </c>
      <c r="C215" s="63">
        <v>8763725155</v>
      </c>
      <c r="D215" s="63">
        <v>10363267880</v>
      </c>
      <c r="E215" s="63">
        <v>0</v>
      </c>
      <c r="F215" s="63">
        <v>0</v>
      </c>
      <c r="G215" s="63">
        <v>0</v>
      </c>
      <c r="H215" s="63">
        <v>1400000</v>
      </c>
      <c r="I215" s="63">
        <v>9280020807</v>
      </c>
      <c r="J215" s="63">
        <v>0</v>
      </c>
      <c r="K215" s="63">
        <v>0</v>
      </c>
      <c r="L215" s="63">
        <v>0</v>
      </c>
      <c r="M215" s="63">
        <v>0</v>
      </c>
      <c r="N215" s="64">
        <v>0</v>
      </c>
    </row>
    <row r="216" spans="1:14">
      <c r="A216" s="63" t="s">
        <v>436</v>
      </c>
      <c r="B216" s="63">
        <v>1405716</v>
      </c>
      <c r="C216" s="63">
        <v>7977806216</v>
      </c>
      <c r="D216" s="63">
        <v>18467811555</v>
      </c>
      <c r="E216" s="63">
        <v>0</v>
      </c>
      <c r="F216" s="63">
        <v>0</v>
      </c>
      <c r="G216" s="63">
        <v>0</v>
      </c>
      <c r="H216" s="63">
        <v>0</v>
      </c>
      <c r="I216" s="63">
        <v>0</v>
      </c>
      <c r="J216" s="63">
        <v>1405716</v>
      </c>
      <c r="K216" s="63">
        <v>9570</v>
      </c>
      <c r="L216" s="63">
        <v>7977806216</v>
      </c>
      <c r="M216" s="63">
        <v>13348712733</v>
      </c>
      <c r="N216" s="64">
        <v>2.9215883059564873E-3</v>
      </c>
    </row>
    <row r="217" spans="1:14">
      <c r="A217" s="63" t="s">
        <v>311</v>
      </c>
      <c r="B217" s="63">
        <v>8858733</v>
      </c>
      <c r="C217" s="63">
        <v>33392037391</v>
      </c>
      <c r="D217" s="63">
        <v>33842481727</v>
      </c>
      <c r="E217" s="63">
        <v>0</v>
      </c>
      <c r="F217" s="63">
        <v>0</v>
      </c>
      <c r="G217" s="63">
        <v>0</v>
      </c>
      <c r="H217" s="63">
        <v>3200000</v>
      </c>
      <c r="I217" s="63">
        <v>10892949626</v>
      </c>
      <c r="J217" s="63">
        <v>5658733</v>
      </c>
      <c r="K217" s="63">
        <v>3523</v>
      </c>
      <c r="L217" s="63">
        <v>21329982959</v>
      </c>
      <c r="M217" s="63">
        <v>19781613272</v>
      </c>
      <c r="N217" s="64">
        <v>4.3295358259942294E-3</v>
      </c>
    </row>
    <row r="218" spans="1:14">
      <c r="A218" s="63" t="s">
        <v>398</v>
      </c>
      <c r="B218" s="63">
        <v>2024465</v>
      </c>
      <c r="C218" s="63">
        <v>16984113641</v>
      </c>
      <c r="D218" s="63">
        <v>19204279866</v>
      </c>
      <c r="E218" s="63">
        <v>0</v>
      </c>
      <c r="F218" s="63">
        <v>0</v>
      </c>
      <c r="G218" s="63">
        <v>0</v>
      </c>
      <c r="H218" s="63">
        <v>0</v>
      </c>
      <c r="I218" s="63">
        <v>0</v>
      </c>
      <c r="J218" s="63">
        <v>2024465</v>
      </c>
      <c r="K218" s="63">
        <v>9150</v>
      </c>
      <c r="L218" s="63">
        <v>16984113641</v>
      </c>
      <c r="M218" s="63">
        <v>18380665353</v>
      </c>
      <c r="N218" s="64">
        <v>4.0229150199830258E-3</v>
      </c>
    </row>
    <row r="219" spans="1:14">
      <c r="A219" s="63" t="s">
        <v>450</v>
      </c>
      <c r="B219" s="63">
        <v>2192838</v>
      </c>
      <c r="C219" s="63">
        <v>16347830069</v>
      </c>
      <c r="D219" s="63">
        <v>22455157579</v>
      </c>
      <c r="E219" s="63">
        <v>0</v>
      </c>
      <c r="F219" s="63">
        <v>0</v>
      </c>
      <c r="G219" s="63">
        <v>0</v>
      </c>
      <c r="H219" s="63">
        <v>0</v>
      </c>
      <c r="I219" s="63">
        <v>0</v>
      </c>
      <c r="J219" s="63">
        <v>2192838</v>
      </c>
      <c r="K219" s="63">
        <v>10570</v>
      </c>
      <c r="L219" s="63">
        <v>16347830069</v>
      </c>
      <c r="M219" s="63">
        <v>22999129419</v>
      </c>
      <c r="N219" s="64">
        <v>5.0337428710722576E-3</v>
      </c>
    </row>
    <row r="220" spans="1:14">
      <c r="A220" s="63" t="s">
        <v>269</v>
      </c>
      <c r="B220" s="63">
        <v>4951053</v>
      </c>
      <c r="C220" s="63">
        <v>19774921683</v>
      </c>
      <c r="D220" s="63">
        <v>21572022953</v>
      </c>
      <c r="E220" s="63">
        <v>0</v>
      </c>
      <c r="F220" s="63">
        <v>1959990</v>
      </c>
      <c r="G220" s="63">
        <v>8876859931</v>
      </c>
      <c r="H220" s="63">
        <v>400000</v>
      </c>
      <c r="I220" s="63">
        <v>1715833290</v>
      </c>
      <c r="J220" s="63">
        <v>6511043</v>
      </c>
      <c r="K220" s="63">
        <v>4179</v>
      </c>
      <c r="L220" s="63">
        <v>26993462798</v>
      </c>
      <c r="M220" s="63">
        <v>26999318113</v>
      </c>
      <c r="N220" s="64">
        <v>5.9092508502887097E-3</v>
      </c>
    </row>
    <row r="221" spans="1:14">
      <c r="A221" s="63" t="s">
        <v>326</v>
      </c>
      <c r="B221" s="63">
        <v>17736047</v>
      </c>
      <c r="C221" s="63">
        <v>47923700829</v>
      </c>
      <c r="D221" s="63">
        <v>53324810491</v>
      </c>
      <c r="E221" s="63">
        <v>0</v>
      </c>
      <c r="F221" s="63">
        <v>0</v>
      </c>
      <c r="G221" s="63">
        <v>0</v>
      </c>
      <c r="H221" s="63">
        <v>3600000</v>
      </c>
      <c r="I221" s="63">
        <v>9121704911</v>
      </c>
      <c r="J221" s="63">
        <v>14136047</v>
      </c>
      <c r="K221" s="63">
        <v>2516</v>
      </c>
      <c r="L221" s="63">
        <v>38196317778</v>
      </c>
      <c r="M221" s="63">
        <v>35291366797</v>
      </c>
      <c r="N221" s="64">
        <v>7.7241039340400835E-3</v>
      </c>
    </row>
    <row r="222" spans="1:14">
      <c r="A222" s="63" t="s">
        <v>477</v>
      </c>
      <c r="B222" s="63">
        <v>9752234</v>
      </c>
      <c r="C222" s="63">
        <v>13415884464</v>
      </c>
      <c r="D222" s="63">
        <v>16934486155</v>
      </c>
      <c r="E222" s="63">
        <v>0</v>
      </c>
      <c r="F222" s="63">
        <v>0</v>
      </c>
      <c r="G222" s="63">
        <v>0</v>
      </c>
      <c r="H222" s="63">
        <v>0</v>
      </c>
      <c r="I222" s="63">
        <v>0</v>
      </c>
      <c r="J222" s="63">
        <v>9752234</v>
      </c>
      <c r="K222" s="63">
        <v>1500</v>
      </c>
      <c r="L222" s="63">
        <v>13415884464</v>
      </c>
      <c r="M222" s="63">
        <v>14515273847</v>
      </c>
      <c r="N222" s="64">
        <v>3.1769096524426072E-3</v>
      </c>
    </row>
    <row r="223" spans="1:14">
      <c r="A223" s="63" t="s">
        <v>486</v>
      </c>
      <c r="B223" s="63">
        <v>0</v>
      </c>
      <c r="C223" s="63">
        <v>0</v>
      </c>
      <c r="D223" s="63">
        <v>0</v>
      </c>
      <c r="E223" s="63">
        <v>0</v>
      </c>
      <c r="F223" s="63">
        <v>1500000</v>
      </c>
      <c r="G223" s="63">
        <v>12197407560</v>
      </c>
      <c r="H223" s="63">
        <v>0</v>
      </c>
      <c r="I223" s="63">
        <v>0</v>
      </c>
      <c r="J223" s="63">
        <v>1500000</v>
      </c>
      <c r="K223" s="63">
        <v>9470</v>
      </c>
      <c r="L223" s="63">
        <v>12197164260</v>
      </c>
      <c r="M223" s="63">
        <v>14095195350</v>
      </c>
      <c r="N223" s="64">
        <v>3.0849684706247588E-3</v>
      </c>
    </row>
    <row r="224" spans="1:14">
      <c r="A224" s="63" t="s">
        <v>316</v>
      </c>
      <c r="B224" s="63">
        <v>31359394</v>
      </c>
      <c r="C224" s="63">
        <v>39921138396</v>
      </c>
      <c r="D224" s="63">
        <v>35971235682</v>
      </c>
      <c r="E224" s="63">
        <v>0</v>
      </c>
      <c r="F224" s="63">
        <v>0</v>
      </c>
      <c r="G224" s="63">
        <v>0</v>
      </c>
      <c r="H224" s="63">
        <v>2400000</v>
      </c>
      <c r="I224" s="63">
        <v>2526619921</v>
      </c>
      <c r="J224" s="63">
        <v>28959394</v>
      </c>
      <c r="K224" s="63">
        <v>1072</v>
      </c>
      <c r="L224" s="63">
        <v>36865890193</v>
      </c>
      <c r="M224" s="63">
        <v>30804496612</v>
      </c>
      <c r="N224" s="64">
        <v>6.7420775974904954E-3</v>
      </c>
    </row>
    <row r="225" spans="1:14">
      <c r="A225" s="63" t="s">
        <v>254</v>
      </c>
      <c r="B225" s="63">
        <v>6800000</v>
      </c>
      <c r="C225" s="63">
        <v>23275009420</v>
      </c>
      <c r="D225" s="63">
        <v>25835932444</v>
      </c>
      <c r="E225" s="63">
        <v>0</v>
      </c>
      <c r="F225" s="63">
        <v>0</v>
      </c>
      <c r="G225" s="63">
        <v>0</v>
      </c>
      <c r="H225" s="63">
        <v>1600000</v>
      </c>
      <c r="I225" s="63">
        <v>5010126874</v>
      </c>
      <c r="J225" s="63">
        <v>5200000</v>
      </c>
      <c r="K225" s="63">
        <v>2910</v>
      </c>
      <c r="L225" s="63">
        <v>17798536615</v>
      </c>
      <c r="M225" s="63">
        <v>15015029640</v>
      </c>
      <c r="N225" s="64">
        <v>3.2862895387183282E-3</v>
      </c>
    </row>
    <row r="226" spans="1:14">
      <c r="A226" s="63" t="s">
        <v>222</v>
      </c>
      <c r="B226" s="63">
        <v>16259149</v>
      </c>
      <c r="C226" s="63">
        <v>37213680096</v>
      </c>
      <c r="D226" s="63">
        <v>43092487094</v>
      </c>
      <c r="E226" s="63">
        <v>925479</v>
      </c>
      <c r="F226" s="63">
        <v>0</v>
      </c>
      <c r="G226" s="63">
        <v>0</v>
      </c>
      <c r="H226" s="63">
        <v>2742273</v>
      </c>
      <c r="I226" s="63">
        <v>6006477708</v>
      </c>
      <c r="J226" s="63">
        <v>14442355</v>
      </c>
      <c r="K226" s="63">
        <v>2072</v>
      </c>
      <c r="L226" s="63">
        <v>30937209528</v>
      </c>
      <c r="M226" s="63">
        <v>29693242715</v>
      </c>
      <c r="N226" s="64">
        <v>6.4988611574215123E-3</v>
      </c>
    </row>
    <row r="227" spans="1:14">
      <c r="A227" s="63" t="s">
        <v>249</v>
      </c>
      <c r="B227" s="63">
        <v>8335761</v>
      </c>
      <c r="C227" s="63">
        <v>29911313360</v>
      </c>
      <c r="D227" s="63">
        <v>29768500717</v>
      </c>
      <c r="E227" s="63">
        <v>0</v>
      </c>
      <c r="F227" s="63">
        <v>0</v>
      </c>
      <c r="G227" s="63">
        <v>0</v>
      </c>
      <c r="H227" s="63">
        <v>0</v>
      </c>
      <c r="I227" s="63">
        <v>0</v>
      </c>
      <c r="J227" s="63">
        <v>8335761</v>
      </c>
      <c r="K227" s="63">
        <v>2977</v>
      </c>
      <c r="L227" s="63">
        <v>29911313360</v>
      </c>
      <c r="M227" s="63">
        <v>24623736214</v>
      </c>
      <c r="N227" s="64">
        <v>5.3893151505112749E-3</v>
      </c>
    </row>
    <row r="228" spans="1:14" ht="16.5" thickBot="1">
      <c r="A228" s="63" t="s">
        <v>2</v>
      </c>
      <c r="B228" s="74">
        <f t="shared" ref="B228:J228" si="0">SUM(B10:B227)</f>
        <v>1333208775</v>
      </c>
      <c r="C228" s="74">
        <f t="shared" si="0"/>
        <v>4666285137883</v>
      </c>
      <c r="D228" s="74">
        <f t="shared" si="0"/>
        <v>5564968801818</v>
      </c>
      <c r="E228" s="74">
        <f t="shared" si="0"/>
        <v>18053296</v>
      </c>
      <c r="F228" s="74">
        <f t="shared" si="0"/>
        <v>17699990</v>
      </c>
      <c r="G228" s="74">
        <f t="shared" si="0"/>
        <v>133943678644</v>
      </c>
      <c r="H228" s="74">
        <f t="shared" si="0"/>
        <v>147445465</v>
      </c>
      <c r="I228" s="74">
        <f t="shared" si="0"/>
        <v>565256139814</v>
      </c>
      <c r="J228" s="74">
        <f t="shared" si="0"/>
        <v>1221516596</v>
      </c>
      <c r="K228" s="75"/>
      <c r="L228" s="74">
        <f>SUM(L10:L227)</f>
        <v>4268666330307</v>
      </c>
      <c r="M228" s="74">
        <f>SUM(M10:M227)</f>
        <v>4449045952907</v>
      </c>
      <c r="N228" s="76">
        <f>SUM(N10:N227)</f>
        <v>0.97374787282240705</v>
      </c>
    </row>
    <row r="229" spans="1:14" ht="16.5" thickTop="1"/>
  </sheetData>
  <mergeCells count="19">
    <mergeCell ref="A1:N1"/>
    <mergeCell ref="A2:N2"/>
    <mergeCell ref="A3:N3"/>
    <mergeCell ref="A4:N4"/>
    <mergeCell ref="A5:N5"/>
    <mergeCell ref="B7:D7"/>
    <mergeCell ref="F7:I7"/>
    <mergeCell ref="J7:N7"/>
    <mergeCell ref="A8:A9"/>
    <mergeCell ref="B8:B9"/>
    <mergeCell ref="C8:C9"/>
    <mergeCell ref="M8:M9"/>
    <mergeCell ref="N8:N9"/>
    <mergeCell ref="H8:I8"/>
    <mergeCell ref="J8:J9"/>
    <mergeCell ref="K8:K9"/>
    <mergeCell ref="L8:L9"/>
    <mergeCell ref="E8:G8"/>
    <mergeCell ref="D8:D9"/>
  </mergeCells>
  <pageMargins left="0.7" right="0.7" top="0.75" bottom="0.75" header="0.3" footer="0.3"/>
  <pageSetup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9"/>
  <sheetViews>
    <sheetView rightToLeft="1" view="pageBreakPreview" zoomScale="85" zoomScaleNormal="100" zoomScaleSheetLayoutView="85" workbookViewId="0">
      <selection sqref="A1:XFD1048576"/>
    </sheetView>
  </sheetViews>
  <sheetFormatPr defaultColWidth="9.140625" defaultRowHeight="15.75"/>
  <cols>
    <col min="1" max="1" width="54.5703125" style="6" customWidth="1"/>
    <col min="2" max="2" width="22.5703125" style="6" customWidth="1"/>
    <col min="3" max="3" width="12" style="6" customWidth="1"/>
    <col min="4" max="4" width="11.5703125" style="6" customWidth="1"/>
    <col min="5" max="5" width="15" style="6" customWidth="1"/>
    <col min="6" max="6" width="12.5703125" style="6" customWidth="1"/>
    <col min="7" max="7" width="15.42578125" style="6" customWidth="1"/>
    <col min="8" max="8" width="17.5703125" style="6" customWidth="1"/>
    <col min="9" max="9" width="12.28515625" style="6" customWidth="1"/>
    <col min="10" max="10" width="12.42578125" style="6" customWidth="1"/>
    <col min="11" max="11" width="11.7109375" style="6" customWidth="1"/>
    <col min="12" max="12" width="15.140625" style="6" customWidth="1"/>
    <col min="13" max="13" width="15.85546875" style="6" customWidth="1"/>
    <col min="14" max="16384" width="9.140625" style="6"/>
  </cols>
  <sheetData>
    <row r="1" spans="1:13" ht="21">
      <c r="A1" s="96" t="s">
        <v>155</v>
      </c>
      <c r="B1" s="96"/>
      <c r="C1" s="96"/>
      <c r="D1" s="96"/>
      <c r="E1" s="96"/>
      <c r="F1" s="96"/>
      <c r="G1" s="96"/>
      <c r="H1" s="96"/>
      <c r="I1" s="96"/>
    </row>
    <row r="2" spans="1:13" ht="21">
      <c r="A2" s="96" t="s">
        <v>75</v>
      </c>
      <c r="B2" s="96"/>
      <c r="C2" s="96"/>
      <c r="D2" s="96"/>
      <c r="E2" s="96"/>
      <c r="F2" s="96"/>
      <c r="G2" s="96"/>
      <c r="H2" s="96"/>
      <c r="I2" s="96"/>
    </row>
    <row r="3" spans="1:13" ht="21.75" thickBot="1">
      <c r="A3" s="96" t="s">
        <v>154</v>
      </c>
      <c r="B3" s="96"/>
      <c r="C3" s="96"/>
      <c r="D3" s="96"/>
      <c r="E3" s="96"/>
      <c r="F3" s="96"/>
      <c r="G3" s="96"/>
      <c r="H3" s="96"/>
      <c r="I3" s="96"/>
    </row>
    <row r="4" spans="1:13" ht="21">
      <c r="A4" s="73" t="s">
        <v>77</v>
      </c>
      <c r="B4" s="73"/>
      <c r="C4" s="73"/>
      <c r="D4" s="73"/>
      <c r="E4" s="73"/>
      <c r="F4" s="73"/>
      <c r="G4" s="73"/>
      <c r="H4" s="73"/>
      <c r="I4" s="73"/>
    </row>
    <row r="5" spans="1:13" ht="16.5" thickBot="1">
      <c r="A5" s="1"/>
      <c r="B5" s="3"/>
      <c r="C5" s="3"/>
      <c r="D5" s="3"/>
      <c r="E5" s="3"/>
    </row>
    <row r="6" spans="1:13" ht="16.5" thickBot="1">
      <c r="A6" s="1"/>
      <c r="B6" s="98" t="s">
        <v>157</v>
      </c>
      <c r="C6" s="98"/>
      <c r="D6" s="98"/>
      <c r="E6" s="98"/>
      <c r="F6" s="98" t="s">
        <v>156</v>
      </c>
      <c r="G6" s="98"/>
      <c r="H6" s="98"/>
      <c r="I6" s="98"/>
    </row>
    <row r="7" spans="1:13" ht="16.5" thickBot="1">
      <c r="A7" s="12" t="s">
        <v>40</v>
      </c>
      <c r="B7" s="12" t="s">
        <v>41</v>
      </c>
      <c r="C7" s="12" t="s">
        <v>42</v>
      </c>
      <c r="D7" s="12" t="s">
        <v>43</v>
      </c>
      <c r="E7" s="12" t="s">
        <v>44</v>
      </c>
      <c r="F7" s="12" t="s">
        <v>41</v>
      </c>
      <c r="G7" s="12" t="s">
        <v>42</v>
      </c>
      <c r="H7" s="12" t="s">
        <v>43</v>
      </c>
      <c r="I7" s="12" t="s">
        <v>44</v>
      </c>
    </row>
    <row r="8" spans="1:13">
      <c r="A8" s="63" t="s">
        <v>158</v>
      </c>
      <c r="B8" s="63">
        <v>123</v>
      </c>
      <c r="C8" s="63">
        <v>17150</v>
      </c>
      <c r="D8" s="63" t="s">
        <v>159</v>
      </c>
      <c r="E8" s="64">
        <v>0.29772632766016549</v>
      </c>
      <c r="F8" s="63">
        <v>0</v>
      </c>
      <c r="G8" s="63">
        <v>0</v>
      </c>
      <c r="H8" s="63" t="s">
        <v>160</v>
      </c>
      <c r="I8" s="64">
        <v>0</v>
      </c>
    </row>
    <row r="9" spans="1:13" ht="21">
      <c r="A9" s="44"/>
      <c r="B9" s="44"/>
      <c r="C9" s="44"/>
      <c r="D9" s="44"/>
      <c r="E9" s="44"/>
      <c r="F9" s="44"/>
      <c r="G9" s="44"/>
      <c r="H9" s="44"/>
      <c r="I9" s="44"/>
    </row>
    <row r="11" spans="1:13" ht="21">
      <c r="A11" s="66" t="s">
        <v>108</v>
      </c>
      <c r="B11" s="66"/>
      <c r="C11" s="66"/>
      <c r="D11" s="66"/>
      <c r="E11" s="66"/>
      <c r="F11" s="66"/>
      <c r="G11" s="66"/>
      <c r="H11" s="66"/>
      <c r="I11" s="66"/>
    </row>
    <row r="12" spans="1:13" ht="16.5" thickBot="1">
      <c r="A12" s="1"/>
      <c r="B12" s="3"/>
      <c r="C12" s="3"/>
      <c r="D12" s="3"/>
      <c r="E12" s="3"/>
      <c r="F12" s="3"/>
      <c r="G12" s="3"/>
      <c r="H12" s="3"/>
    </row>
    <row r="13" spans="1:13" ht="18.600000000000001" customHeight="1" thickBot="1">
      <c r="A13" s="1"/>
      <c r="B13" s="98" t="s">
        <v>157</v>
      </c>
      <c r="C13" s="98"/>
      <c r="D13" s="98"/>
      <c r="E13" s="98"/>
      <c r="F13" s="98"/>
      <c r="G13" s="98"/>
      <c r="H13" s="98" t="s">
        <v>156</v>
      </c>
      <c r="I13" s="98"/>
      <c r="J13" s="98"/>
      <c r="K13" s="98"/>
      <c r="L13" s="98"/>
      <c r="M13" s="98"/>
    </row>
    <row r="14" spans="1:13" ht="16.5" thickBot="1">
      <c r="A14" s="12" t="s">
        <v>40</v>
      </c>
      <c r="B14" s="12" t="s">
        <v>110</v>
      </c>
      <c r="C14" s="12" t="s">
        <v>109</v>
      </c>
      <c r="D14" s="12" t="s">
        <v>111</v>
      </c>
      <c r="E14" s="12" t="s">
        <v>90</v>
      </c>
      <c r="F14" s="12" t="s">
        <v>42</v>
      </c>
      <c r="G14" s="12" t="s">
        <v>43</v>
      </c>
      <c r="H14" s="12" t="s">
        <v>110</v>
      </c>
      <c r="I14" s="12" t="s">
        <v>109</v>
      </c>
      <c r="J14" s="12" t="s">
        <v>111</v>
      </c>
      <c r="K14" s="12" t="s">
        <v>90</v>
      </c>
      <c r="L14" s="12" t="s">
        <v>42</v>
      </c>
      <c r="M14" s="12" t="s">
        <v>43</v>
      </c>
    </row>
    <row r="15" spans="1:13" ht="21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</row>
    <row r="16" spans="1:13" ht="21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</row>
    <row r="17" spans="1:11" ht="21">
      <c r="A17" s="66" t="s">
        <v>112</v>
      </c>
      <c r="B17" s="66"/>
      <c r="C17" s="66"/>
      <c r="D17" s="66"/>
      <c r="E17" s="66"/>
      <c r="F17" s="66"/>
      <c r="G17" s="66"/>
      <c r="H17" s="66"/>
      <c r="I17" s="66"/>
    </row>
    <row r="18" spans="1:11" ht="16.5" thickBot="1">
      <c r="A18" s="1"/>
      <c r="B18" s="3"/>
      <c r="C18" s="3"/>
    </row>
    <row r="19" spans="1:11" ht="18.600000000000001" customHeight="1" thickBot="1">
      <c r="A19" s="1"/>
      <c r="B19" s="33" t="s">
        <v>157</v>
      </c>
      <c r="C19" s="33"/>
      <c r="D19" s="33"/>
      <c r="E19" s="33"/>
      <c r="F19" s="33" t="s">
        <v>156</v>
      </c>
      <c r="G19" s="33"/>
      <c r="H19" s="33"/>
      <c r="I19" s="33"/>
      <c r="J19" s="27"/>
      <c r="K19" s="27"/>
    </row>
    <row r="20" spans="1:11" ht="16.5" thickBot="1">
      <c r="A20" s="12" t="s">
        <v>40</v>
      </c>
      <c r="B20" s="12" t="s">
        <v>109</v>
      </c>
      <c r="C20" s="12" t="s">
        <v>90</v>
      </c>
      <c r="D20" s="12" t="s">
        <v>42</v>
      </c>
      <c r="E20" s="12" t="s">
        <v>43</v>
      </c>
      <c r="F20" s="12" t="s">
        <v>109</v>
      </c>
      <c r="G20" s="12" t="s">
        <v>90</v>
      </c>
      <c r="H20" s="12" t="s">
        <v>42</v>
      </c>
      <c r="I20" s="12" t="s">
        <v>43</v>
      </c>
      <c r="J20" s="1"/>
      <c r="K20" s="1"/>
    </row>
    <row r="21" spans="1:11">
      <c r="A21" s="9"/>
      <c r="B21" s="9"/>
      <c r="C21" s="9"/>
      <c r="D21" s="9"/>
      <c r="E21" s="9"/>
      <c r="F21" s="9"/>
      <c r="G21" s="9"/>
      <c r="H21" s="9"/>
      <c r="I21" s="9"/>
      <c r="J21" s="48"/>
      <c r="K21" s="47"/>
    </row>
    <row r="22" spans="1:11">
      <c r="A22" s="9"/>
      <c r="B22" s="9"/>
      <c r="C22" s="9"/>
      <c r="D22" s="9"/>
      <c r="E22" s="9"/>
      <c r="F22" s="9"/>
      <c r="G22" s="9"/>
      <c r="H22" s="9"/>
      <c r="I22" s="9"/>
      <c r="J22" s="48"/>
      <c r="K22" s="48"/>
    </row>
    <row r="23" spans="1:11">
      <c r="A23" s="9"/>
      <c r="B23" s="9"/>
      <c r="C23" s="9"/>
      <c r="D23" s="9"/>
      <c r="E23" s="9"/>
      <c r="F23" s="9"/>
      <c r="G23" s="9"/>
      <c r="H23" s="9"/>
      <c r="I23" s="9"/>
    </row>
    <row r="24" spans="1:11">
      <c r="A24" s="9"/>
      <c r="B24" s="9"/>
      <c r="C24" s="9"/>
      <c r="D24" s="9"/>
      <c r="E24" s="9"/>
      <c r="F24" s="9"/>
      <c r="G24" s="9"/>
      <c r="H24" s="9"/>
      <c r="I24" s="9"/>
    </row>
    <row r="25" spans="1:11">
      <c r="A25" s="9"/>
      <c r="B25" s="9"/>
      <c r="C25" s="9"/>
      <c r="D25" s="9"/>
      <c r="E25" s="9"/>
      <c r="F25" s="9"/>
      <c r="G25" s="9"/>
      <c r="H25" s="9"/>
      <c r="I25" s="9"/>
    </row>
    <row r="26" spans="1:11">
      <c r="A26" s="9"/>
      <c r="B26" s="9"/>
      <c r="C26" s="9"/>
      <c r="D26" s="9"/>
      <c r="E26" s="9"/>
      <c r="F26" s="9"/>
      <c r="G26" s="9"/>
      <c r="H26" s="9"/>
      <c r="I26" s="9"/>
    </row>
    <row r="27" spans="1:11">
      <c r="A27" s="9"/>
      <c r="B27" s="9"/>
      <c r="C27" s="9"/>
      <c r="D27" s="9"/>
      <c r="E27" s="9"/>
      <c r="F27" s="9"/>
      <c r="G27" s="9"/>
      <c r="H27" s="9"/>
      <c r="I27" s="9"/>
    </row>
    <row r="28" spans="1:11">
      <c r="A28" s="9"/>
      <c r="B28" s="9"/>
      <c r="C28" s="9"/>
      <c r="D28" s="9"/>
      <c r="E28" s="9"/>
      <c r="F28" s="9"/>
      <c r="G28" s="9"/>
      <c r="H28" s="9"/>
      <c r="I28" s="9"/>
    </row>
    <row r="29" spans="1:11">
      <c r="A29" s="9"/>
      <c r="B29" s="9"/>
      <c r="C29" s="9"/>
      <c r="D29" s="9"/>
      <c r="E29" s="9"/>
      <c r="F29" s="9"/>
      <c r="G29" s="9"/>
      <c r="H29" s="9"/>
      <c r="I29" s="9"/>
    </row>
    <row r="30" spans="1:11">
      <c r="A30" s="9"/>
      <c r="B30" s="9"/>
      <c r="C30" s="9"/>
      <c r="D30" s="9"/>
      <c r="E30" s="9"/>
      <c r="F30" s="9"/>
      <c r="G30" s="9"/>
      <c r="H30" s="9"/>
      <c r="I30" s="9"/>
    </row>
    <row r="31" spans="1:11">
      <c r="A31" s="9"/>
      <c r="B31" s="9"/>
      <c r="C31" s="9"/>
      <c r="D31" s="9"/>
      <c r="E31" s="9"/>
      <c r="F31" s="9"/>
      <c r="G31" s="9"/>
      <c r="H31" s="9"/>
      <c r="I31" s="9"/>
    </row>
    <row r="32" spans="1:11">
      <c r="A32" s="9"/>
      <c r="B32" s="9"/>
      <c r="C32" s="9"/>
      <c r="D32" s="9"/>
      <c r="E32" s="9"/>
      <c r="F32" s="9"/>
      <c r="G32" s="9"/>
      <c r="H32" s="9"/>
      <c r="I32" s="9"/>
    </row>
    <row r="33" spans="1:9">
      <c r="A33" s="9"/>
      <c r="B33" s="9"/>
      <c r="C33" s="9"/>
      <c r="D33" s="9"/>
      <c r="E33" s="9"/>
      <c r="F33" s="9"/>
      <c r="G33" s="9"/>
      <c r="H33" s="9"/>
      <c r="I33" s="9"/>
    </row>
    <row r="34" spans="1:9">
      <c r="A34" s="9"/>
      <c r="B34" s="9"/>
      <c r="C34" s="9"/>
      <c r="D34" s="9"/>
      <c r="E34" s="9"/>
      <c r="F34" s="9"/>
      <c r="G34" s="9"/>
      <c r="H34" s="9"/>
      <c r="I34" s="9"/>
    </row>
    <row r="35" spans="1:9">
      <c r="A35" s="9"/>
      <c r="B35" s="9"/>
      <c r="C35" s="9"/>
      <c r="D35" s="9"/>
      <c r="E35" s="9"/>
      <c r="F35" s="9"/>
      <c r="G35" s="9"/>
      <c r="H35" s="9"/>
      <c r="I35" s="9"/>
    </row>
    <row r="36" spans="1:9">
      <c r="A36" s="9"/>
      <c r="B36" s="9"/>
      <c r="C36" s="9"/>
      <c r="D36" s="9"/>
      <c r="E36" s="9"/>
      <c r="F36" s="9"/>
      <c r="G36" s="9"/>
      <c r="H36" s="9"/>
      <c r="I36" s="9"/>
    </row>
    <row r="37" spans="1:9">
      <c r="A37" s="9"/>
      <c r="B37" s="9"/>
      <c r="C37" s="9"/>
      <c r="D37" s="9"/>
      <c r="E37" s="9"/>
      <c r="F37" s="9"/>
      <c r="G37" s="9"/>
      <c r="H37" s="9"/>
      <c r="I37" s="9"/>
    </row>
    <row r="38" spans="1:9">
      <c r="A38" s="9"/>
      <c r="B38" s="9"/>
      <c r="C38" s="9"/>
      <c r="D38" s="9"/>
      <c r="E38" s="9"/>
      <c r="F38" s="9"/>
      <c r="G38" s="9"/>
      <c r="H38" s="9"/>
      <c r="I38" s="9"/>
    </row>
    <row r="39" spans="1:9">
      <c r="A39" s="9"/>
      <c r="B39" s="9"/>
      <c r="C39" s="9"/>
      <c r="D39" s="9"/>
      <c r="E39" s="9"/>
      <c r="F39" s="9"/>
      <c r="G39" s="9"/>
      <c r="H39" s="9"/>
      <c r="I39" s="9"/>
    </row>
  </sheetData>
  <mergeCells count="7">
    <mergeCell ref="B13:G13"/>
    <mergeCell ref="H13:M13"/>
    <mergeCell ref="A1:I1"/>
    <mergeCell ref="A2:I2"/>
    <mergeCell ref="A3:I3"/>
    <mergeCell ref="B6:E6"/>
    <mergeCell ref="F6:I6"/>
  </mergeCells>
  <pageMargins left="0.7" right="0.7" top="0.75" bottom="0.75" header="0.3" footer="0.3"/>
  <pageSetup scale="5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"/>
  <sheetViews>
    <sheetView rightToLeft="1" view="pageBreakPreview" zoomScaleNormal="100" zoomScaleSheetLayoutView="100" workbookViewId="0">
      <selection sqref="A1:XFD1048576"/>
    </sheetView>
  </sheetViews>
  <sheetFormatPr defaultColWidth="9.140625" defaultRowHeight="15.75"/>
  <cols>
    <col min="1" max="1" width="24.28515625" style="6" customWidth="1"/>
    <col min="2" max="2" width="13" style="6" customWidth="1"/>
    <col min="3" max="3" width="15.7109375" style="6" customWidth="1"/>
    <col min="4" max="4" width="15.42578125" style="6" customWidth="1"/>
    <col min="5" max="5" width="9.140625" style="6"/>
    <col min="6" max="6" width="17.42578125" style="6" customWidth="1"/>
    <col min="7" max="7" width="13.28515625" style="6" customWidth="1"/>
    <col min="8" max="8" width="17.42578125" style="6" customWidth="1"/>
    <col min="9" max="9" width="11.85546875" style="6" customWidth="1"/>
    <col min="10" max="10" width="15" style="6" customWidth="1"/>
    <col min="11" max="11" width="18.28515625" style="6" customWidth="1"/>
    <col min="12" max="12" width="19" style="6" customWidth="1"/>
    <col min="13" max="13" width="14.140625" style="6" customWidth="1"/>
    <col min="14" max="16384" width="9.140625" style="6"/>
  </cols>
  <sheetData>
    <row r="1" spans="1:13" ht="21">
      <c r="A1" s="96" t="s">
        <v>155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</row>
    <row r="2" spans="1:13" ht="21">
      <c r="A2" s="96" t="s">
        <v>75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</row>
    <row r="3" spans="1:13" ht="21">
      <c r="A3" s="96" t="s">
        <v>154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</row>
    <row r="4" spans="1:13" ht="21">
      <c r="A4" s="97" t="s">
        <v>121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</row>
    <row r="6" spans="1:13" ht="18.75" customHeight="1" thickBot="1">
      <c r="A6" s="51"/>
      <c r="B6" s="87" t="s">
        <v>157</v>
      </c>
      <c r="C6" s="87"/>
      <c r="D6" s="87"/>
      <c r="E6" s="88" t="s">
        <v>11</v>
      </c>
      <c r="F6" s="88"/>
      <c r="G6" s="88"/>
      <c r="H6" s="88"/>
      <c r="I6" s="87" t="s">
        <v>156</v>
      </c>
      <c r="J6" s="87"/>
      <c r="K6" s="87"/>
      <c r="L6" s="87"/>
      <c r="M6" s="87"/>
    </row>
    <row r="7" spans="1:13" ht="17.25" customHeight="1">
      <c r="A7" s="89" t="s">
        <v>113</v>
      </c>
      <c r="B7" s="91" t="s">
        <v>114</v>
      </c>
      <c r="C7" s="91" t="s">
        <v>0</v>
      </c>
      <c r="D7" s="93" t="s">
        <v>27</v>
      </c>
      <c r="E7" s="94" t="s">
        <v>126</v>
      </c>
      <c r="F7" s="94"/>
      <c r="G7" s="94" t="s">
        <v>127</v>
      </c>
      <c r="H7" s="94"/>
      <c r="I7" s="95" t="s">
        <v>3</v>
      </c>
      <c r="J7" s="93" t="s">
        <v>130</v>
      </c>
      <c r="K7" s="95" t="s">
        <v>0</v>
      </c>
      <c r="L7" s="93" t="s">
        <v>27</v>
      </c>
      <c r="M7" s="93" t="s">
        <v>30</v>
      </c>
    </row>
    <row r="8" spans="1:13" ht="20.25" customHeight="1" thickBot="1">
      <c r="A8" s="90"/>
      <c r="B8" s="92"/>
      <c r="C8" s="92"/>
      <c r="D8" s="90"/>
      <c r="E8" s="46" t="s">
        <v>3</v>
      </c>
      <c r="F8" s="46" t="s">
        <v>0</v>
      </c>
      <c r="G8" s="46" t="s">
        <v>3</v>
      </c>
      <c r="H8" s="46" t="s">
        <v>73</v>
      </c>
      <c r="I8" s="92"/>
      <c r="J8" s="90"/>
      <c r="K8" s="92"/>
      <c r="L8" s="90"/>
      <c r="M8" s="90"/>
    </row>
  </sheetData>
  <mergeCells count="18">
    <mergeCell ref="D7:D8"/>
    <mergeCell ref="L7:L8"/>
    <mergeCell ref="J7:J8"/>
    <mergeCell ref="M7:M8"/>
    <mergeCell ref="A1:M1"/>
    <mergeCell ref="A2:M2"/>
    <mergeCell ref="A3:M3"/>
    <mergeCell ref="A7:A8"/>
    <mergeCell ref="E7:F7"/>
    <mergeCell ref="G7:H7"/>
    <mergeCell ref="K7:K8"/>
    <mergeCell ref="I7:I8"/>
    <mergeCell ref="C7:C8"/>
    <mergeCell ref="B7:B8"/>
    <mergeCell ref="A4:M4"/>
    <mergeCell ref="E6:H6"/>
    <mergeCell ref="B6:D6"/>
    <mergeCell ref="I6:M6"/>
  </mergeCells>
  <pageMargins left="0.7" right="0.7" top="0.75" bottom="0.75" header="0.3" footer="0.3"/>
  <pageSetup scale="5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3"/>
  <sheetViews>
    <sheetView rightToLeft="1" view="pageBreakPreview" zoomScale="90" zoomScaleNormal="100" zoomScaleSheetLayoutView="90" workbookViewId="0">
      <selection sqref="A1:XFD1048576"/>
    </sheetView>
  </sheetViews>
  <sheetFormatPr defaultColWidth="9.140625" defaultRowHeight="15.75"/>
  <cols>
    <col min="1" max="1" width="29.5703125" style="50" customWidth="1"/>
    <col min="2" max="2" width="9" style="50" customWidth="1"/>
    <col min="3" max="3" width="10.7109375" style="50" customWidth="1"/>
    <col min="4" max="4" width="12.42578125" style="50" customWidth="1"/>
    <col min="5" max="5" width="11.5703125" style="50" customWidth="1"/>
    <col min="6" max="6" width="6.140625" style="50" customWidth="1"/>
    <col min="7" max="7" width="6.7109375" style="50" customWidth="1"/>
    <col min="8" max="8" width="16.28515625" style="50" customWidth="1"/>
    <col min="9" max="9" width="19.28515625" style="50" customWidth="1"/>
    <col min="10" max="10" width="20.5703125" style="50" customWidth="1"/>
    <col min="11" max="11" width="11.5703125" style="50" customWidth="1"/>
    <col min="12" max="12" width="12.5703125" style="50" customWidth="1"/>
    <col min="13" max="13" width="7.7109375" style="50" customWidth="1"/>
    <col min="14" max="14" width="11.5703125" style="50" customWidth="1"/>
    <col min="15" max="15" width="11.42578125" style="50" customWidth="1"/>
    <col min="16" max="16" width="12.85546875" style="50" customWidth="1"/>
    <col min="17" max="17" width="19.42578125" style="50" customWidth="1"/>
    <col min="18" max="18" width="23.5703125" style="50" customWidth="1"/>
    <col min="19" max="19" width="13.7109375" style="50" customWidth="1"/>
    <col min="20" max="16384" width="9.140625" style="50"/>
  </cols>
  <sheetData>
    <row r="1" spans="1:19" ht="21">
      <c r="A1" s="96" t="s">
        <v>155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</row>
    <row r="2" spans="1:19" ht="21">
      <c r="A2" s="96" t="s">
        <v>75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</row>
    <row r="3" spans="1:19" ht="21">
      <c r="A3" s="96" t="s">
        <v>154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</row>
    <row r="4" spans="1:19" ht="21">
      <c r="A4" s="97" t="s">
        <v>122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</row>
    <row r="6" spans="1:19" ht="18" customHeight="1" thickBot="1">
      <c r="A6" s="87" t="s">
        <v>25</v>
      </c>
      <c r="B6" s="87"/>
      <c r="C6" s="87"/>
      <c r="D6" s="87"/>
      <c r="E6" s="87"/>
      <c r="F6" s="87"/>
      <c r="G6" s="87"/>
      <c r="H6" s="87" t="s">
        <v>157</v>
      </c>
      <c r="I6" s="87"/>
      <c r="J6" s="87"/>
      <c r="K6" s="107" t="s">
        <v>11</v>
      </c>
      <c r="L6" s="107"/>
      <c r="M6" s="107"/>
      <c r="N6" s="107"/>
      <c r="O6" s="87" t="s">
        <v>156</v>
      </c>
      <c r="P6" s="87"/>
      <c r="Q6" s="87"/>
      <c r="R6" s="87"/>
      <c r="S6" s="87"/>
    </row>
    <row r="7" spans="1:19" ht="26.25" customHeight="1">
      <c r="A7" s="106" t="s">
        <v>26</v>
      </c>
      <c r="B7" s="103" t="s">
        <v>10</v>
      </c>
      <c r="C7" s="105" t="s">
        <v>9</v>
      </c>
      <c r="D7" s="99" t="s">
        <v>38</v>
      </c>
      <c r="E7" s="103" t="s">
        <v>29</v>
      </c>
      <c r="F7" s="105" t="s">
        <v>8</v>
      </c>
      <c r="G7" s="105" t="s">
        <v>7</v>
      </c>
      <c r="H7" s="100" t="s">
        <v>3</v>
      </c>
      <c r="I7" s="99" t="s">
        <v>0</v>
      </c>
      <c r="J7" s="99" t="s">
        <v>27</v>
      </c>
      <c r="K7" s="102" t="s">
        <v>4</v>
      </c>
      <c r="L7" s="102"/>
      <c r="M7" s="102" t="s">
        <v>5</v>
      </c>
      <c r="N7" s="102"/>
      <c r="O7" s="100" t="s">
        <v>3</v>
      </c>
      <c r="P7" s="99" t="s">
        <v>39</v>
      </c>
      <c r="Q7" s="99" t="s">
        <v>0</v>
      </c>
      <c r="R7" s="99" t="s">
        <v>27</v>
      </c>
      <c r="S7" s="99" t="s">
        <v>28</v>
      </c>
    </row>
    <row r="8" spans="1:19" s="11" customFormat="1" ht="40.5" customHeight="1" thickBot="1">
      <c r="A8" s="87"/>
      <c r="B8" s="104"/>
      <c r="C8" s="104"/>
      <c r="D8" s="87"/>
      <c r="E8" s="104"/>
      <c r="F8" s="104"/>
      <c r="G8" s="104"/>
      <c r="H8" s="101"/>
      <c r="I8" s="87"/>
      <c r="J8" s="87"/>
      <c r="K8" s="10" t="s">
        <v>3</v>
      </c>
      <c r="L8" s="10" t="s">
        <v>0</v>
      </c>
      <c r="M8" s="10" t="s">
        <v>3</v>
      </c>
      <c r="N8" s="10" t="s">
        <v>73</v>
      </c>
      <c r="O8" s="101"/>
      <c r="P8" s="87"/>
      <c r="Q8" s="87"/>
      <c r="R8" s="87"/>
      <c r="S8" s="87"/>
    </row>
    <row r="13" spans="1:19">
      <c r="F13" s="2"/>
    </row>
  </sheetData>
  <mergeCells count="25">
    <mergeCell ref="A1:S1"/>
    <mergeCell ref="A2:S2"/>
    <mergeCell ref="A3:S3"/>
    <mergeCell ref="A4:S4"/>
    <mergeCell ref="K6:N6"/>
    <mergeCell ref="O6:S6"/>
    <mergeCell ref="K7:L7"/>
    <mergeCell ref="M7:N7"/>
    <mergeCell ref="H6:J6"/>
    <mergeCell ref="A6:G6"/>
    <mergeCell ref="J7:J8"/>
    <mergeCell ref="B7:B8"/>
    <mergeCell ref="C7:C8"/>
    <mergeCell ref="F7:F8"/>
    <mergeCell ref="G7:G8"/>
    <mergeCell ref="E7:E8"/>
    <mergeCell ref="D7:D8"/>
    <mergeCell ref="A7:A8"/>
    <mergeCell ref="H7:H8"/>
    <mergeCell ref="I7:I8"/>
    <mergeCell ref="R7:R8"/>
    <mergeCell ref="S7:S8"/>
    <mergeCell ref="O7:O8"/>
    <mergeCell ref="Q7:Q8"/>
    <mergeCell ref="P7:P8"/>
  </mergeCells>
  <pageMargins left="0.7" right="0.7" top="0.75" bottom="0.75" header="0.3" footer="0.3"/>
  <pageSetup scale="4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51992-802B-4F9B-A4D4-D6CBC840E590}">
  <dimension ref="A1:S13"/>
  <sheetViews>
    <sheetView rightToLeft="1" view="pageBreakPreview" topLeftCell="B1" zoomScale="90" zoomScaleNormal="100" zoomScaleSheetLayoutView="90" workbookViewId="0">
      <selection sqref="A1:XFD1048576"/>
    </sheetView>
  </sheetViews>
  <sheetFormatPr defaultColWidth="9.140625" defaultRowHeight="15.75"/>
  <cols>
    <col min="1" max="1" width="29.5703125" style="50" customWidth="1"/>
    <col min="2" max="2" width="9" style="50" customWidth="1"/>
    <col min="3" max="3" width="10.7109375" style="50" customWidth="1"/>
    <col min="4" max="4" width="12.42578125" style="50" customWidth="1"/>
    <col min="5" max="5" width="11.5703125" style="50" customWidth="1"/>
    <col min="6" max="6" width="6.140625" style="50" customWidth="1"/>
    <col min="7" max="7" width="6.7109375" style="50" customWidth="1"/>
    <col min="8" max="8" width="16.28515625" style="50" customWidth="1"/>
    <col min="9" max="9" width="19.28515625" style="50" customWidth="1"/>
    <col min="10" max="10" width="20.5703125" style="50" customWidth="1"/>
    <col min="11" max="11" width="13.140625" style="50" customWidth="1"/>
    <col min="12" max="12" width="20.140625" style="50" customWidth="1"/>
    <col min="13" max="13" width="11" style="50" customWidth="1"/>
    <col min="14" max="14" width="17.5703125" style="50" customWidth="1"/>
    <col min="15" max="15" width="11.42578125" style="50" customWidth="1"/>
    <col min="16" max="16" width="12.85546875" style="50" customWidth="1"/>
    <col min="17" max="17" width="19.42578125" style="50" customWidth="1"/>
    <col min="18" max="18" width="23.5703125" style="50" customWidth="1"/>
    <col min="19" max="19" width="13.7109375" style="50" customWidth="1"/>
    <col min="20" max="16384" width="9.140625" style="50"/>
  </cols>
  <sheetData>
    <row r="1" spans="1:19" ht="21">
      <c r="A1" s="96" t="s">
        <v>155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</row>
    <row r="2" spans="1:19" ht="21">
      <c r="A2" s="96" t="s">
        <v>75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</row>
    <row r="3" spans="1:19" ht="21">
      <c r="A3" s="96" t="s">
        <v>154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</row>
    <row r="4" spans="1:19" ht="21">
      <c r="A4" s="97" t="s">
        <v>122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</row>
    <row r="6" spans="1:19" ht="18" customHeight="1" thickBot="1">
      <c r="A6" s="87" t="s">
        <v>25</v>
      </c>
      <c r="B6" s="87"/>
      <c r="C6" s="87"/>
      <c r="D6" s="87"/>
      <c r="E6" s="87"/>
      <c r="F6" s="87"/>
      <c r="G6" s="87"/>
      <c r="H6" s="87" t="s">
        <v>157</v>
      </c>
      <c r="I6" s="87"/>
      <c r="J6" s="87"/>
      <c r="K6" s="107" t="s">
        <v>11</v>
      </c>
      <c r="L6" s="107"/>
      <c r="M6" s="107"/>
      <c r="N6" s="107"/>
      <c r="O6" s="87" t="s">
        <v>156</v>
      </c>
      <c r="P6" s="87"/>
      <c r="Q6" s="87"/>
      <c r="R6" s="87"/>
      <c r="S6" s="87"/>
    </row>
    <row r="7" spans="1:19" ht="26.25" customHeight="1">
      <c r="A7" s="106" t="s">
        <v>26</v>
      </c>
      <c r="B7" s="103" t="s">
        <v>10</v>
      </c>
      <c r="C7" s="105" t="s">
        <v>9</v>
      </c>
      <c r="D7" s="99" t="s">
        <v>38</v>
      </c>
      <c r="E7" s="103" t="s">
        <v>29</v>
      </c>
      <c r="F7" s="105" t="s">
        <v>8</v>
      </c>
      <c r="G7" s="105" t="s">
        <v>7</v>
      </c>
      <c r="H7" s="100" t="s">
        <v>3</v>
      </c>
      <c r="I7" s="99" t="s">
        <v>0</v>
      </c>
      <c r="J7" s="99" t="s">
        <v>27</v>
      </c>
      <c r="K7" s="102" t="s">
        <v>4</v>
      </c>
      <c r="L7" s="102"/>
      <c r="M7" s="102" t="s">
        <v>5</v>
      </c>
      <c r="N7" s="102"/>
      <c r="O7" s="100" t="s">
        <v>3</v>
      </c>
      <c r="P7" s="99" t="s">
        <v>39</v>
      </c>
      <c r="Q7" s="99" t="s">
        <v>0</v>
      </c>
      <c r="R7" s="99" t="s">
        <v>27</v>
      </c>
      <c r="S7" s="99" t="s">
        <v>28</v>
      </c>
    </row>
    <row r="8" spans="1:19" s="11" customFormat="1" ht="40.5" customHeight="1" thickBot="1">
      <c r="A8" s="87"/>
      <c r="B8" s="104"/>
      <c r="C8" s="104"/>
      <c r="D8" s="87"/>
      <c r="E8" s="104"/>
      <c r="F8" s="104"/>
      <c r="G8" s="104"/>
      <c r="H8" s="101"/>
      <c r="I8" s="87"/>
      <c r="J8" s="87"/>
      <c r="K8" s="10" t="s">
        <v>3</v>
      </c>
      <c r="L8" s="10" t="s">
        <v>0</v>
      </c>
      <c r="M8" s="10" t="s">
        <v>3</v>
      </c>
      <c r="N8" s="10" t="s">
        <v>73</v>
      </c>
      <c r="O8" s="101"/>
      <c r="P8" s="87"/>
      <c r="Q8" s="87"/>
      <c r="R8" s="87"/>
      <c r="S8" s="87"/>
    </row>
    <row r="13" spans="1:19">
      <c r="F13" s="2"/>
    </row>
  </sheetData>
  <mergeCells count="25">
    <mergeCell ref="O7:O8"/>
    <mergeCell ref="P7:P8"/>
    <mergeCell ref="Q7:Q8"/>
    <mergeCell ref="R7:R8"/>
    <mergeCell ref="S7:S8"/>
    <mergeCell ref="M7:N7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L7"/>
    <mergeCell ref="A1:S1"/>
    <mergeCell ref="A2:S2"/>
    <mergeCell ref="A3:S3"/>
    <mergeCell ref="A4:S4"/>
    <mergeCell ref="A6:G6"/>
    <mergeCell ref="H6:J6"/>
    <mergeCell ref="K6:N6"/>
    <mergeCell ref="O6:S6"/>
  </mergeCells>
  <pageMargins left="0.7" right="0.7" top="0.75" bottom="0.75" header="0.3" footer="0.3"/>
  <pageSetup scale="4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"/>
  <sheetViews>
    <sheetView rightToLeft="1" view="pageBreakPreview" zoomScale="145" zoomScaleNormal="100" zoomScaleSheetLayoutView="145" workbookViewId="0">
      <selection sqref="A1:XFD1048576"/>
    </sheetView>
  </sheetViews>
  <sheetFormatPr defaultColWidth="9.140625" defaultRowHeight="15.75"/>
  <cols>
    <col min="1" max="1" width="31.7109375" style="6" customWidth="1"/>
    <col min="2" max="2" width="12" style="6" customWidth="1"/>
    <col min="3" max="3" width="12.140625" style="6" customWidth="1"/>
    <col min="4" max="4" width="13.5703125" style="6" customWidth="1"/>
    <col min="5" max="5" width="10.140625" style="6" customWidth="1"/>
    <col min="6" max="6" width="19.28515625" style="6" customWidth="1"/>
    <col min="7" max="7" width="10.85546875" style="6" customWidth="1"/>
    <col min="8" max="16384" width="9.140625" style="6"/>
  </cols>
  <sheetData>
    <row r="1" spans="1:10" ht="21">
      <c r="A1" s="96" t="s">
        <v>155</v>
      </c>
      <c r="B1" s="96"/>
      <c r="C1" s="96"/>
      <c r="D1" s="96"/>
      <c r="E1" s="96"/>
      <c r="F1" s="96"/>
      <c r="G1" s="96"/>
      <c r="H1" s="96"/>
      <c r="I1" s="96"/>
      <c r="J1" s="96"/>
    </row>
    <row r="2" spans="1:10" ht="21">
      <c r="A2" s="96" t="s">
        <v>75</v>
      </c>
      <c r="B2" s="96"/>
      <c r="C2" s="96"/>
      <c r="D2" s="96"/>
      <c r="E2" s="96"/>
      <c r="F2" s="96"/>
      <c r="G2" s="96"/>
      <c r="H2" s="96"/>
      <c r="I2" s="96"/>
      <c r="J2" s="96"/>
    </row>
    <row r="3" spans="1:10" ht="21">
      <c r="A3" s="96" t="s">
        <v>154</v>
      </c>
      <c r="B3" s="96"/>
      <c r="C3" s="96"/>
      <c r="D3" s="96"/>
      <c r="E3" s="96"/>
      <c r="F3" s="96"/>
      <c r="G3" s="96"/>
      <c r="H3" s="96"/>
      <c r="I3" s="96"/>
      <c r="J3" s="96"/>
    </row>
    <row r="4" spans="1:10" ht="25.5" customHeight="1">
      <c r="A4" s="108" t="s">
        <v>46</v>
      </c>
      <c r="B4" s="108"/>
      <c r="C4" s="108"/>
      <c r="D4" s="108"/>
      <c r="E4" s="108"/>
      <c r="F4" s="108"/>
      <c r="G4" s="108"/>
    </row>
    <row r="5" spans="1:10">
      <c r="A5" s="108" t="s">
        <v>45</v>
      </c>
      <c r="B5" s="108"/>
      <c r="C5" s="108"/>
      <c r="D5" s="108"/>
      <c r="E5" s="108"/>
      <c r="F5" s="108"/>
      <c r="G5" s="108"/>
    </row>
    <row r="6" spans="1:10" ht="19.5" customHeight="1" thickBot="1">
      <c r="B6" s="87" t="s">
        <v>156</v>
      </c>
      <c r="C6" s="87"/>
      <c r="D6" s="87"/>
      <c r="E6" s="87"/>
      <c r="F6" s="87"/>
      <c r="G6" s="87"/>
      <c r="H6" s="87"/>
      <c r="I6" s="87"/>
      <c r="J6" s="87"/>
    </row>
    <row r="7" spans="1:10" ht="31.5" customHeight="1">
      <c r="A7" s="91" t="s">
        <v>14</v>
      </c>
      <c r="B7" s="109" t="s">
        <v>3</v>
      </c>
      <c r="C7" s="89" t="s">
        <v>50</v>
      </c>
      <c r="D7" s="89" t="s">
        <v>49</v>
      </c>
      <c r="E7" s="89" t="s">
        <v>47</v>
      </c>
      <c r="F7" s="89" t="s">
        <v>48</v>
      </c>
      <c r="G7" s="89" t="s">
        <v>13</v>
      </c>
      <c r="H7" s="89"/>
      <c r="I7" s="89"/>
      <c r="J7" s="89"/>
    </row>
    <row r="8" spans="1:10" ht="18" customHeight="1" thickBot="1">
      <c r="A8" s="92"/>
      <c r="B8" s="110"/>
      <c r="C8" s="90"/>
      <c r="D8" s="90"/>
      <c r="E8" s="90"/>
      <c r="F8" s="90"/>
      <c r="G8" s="90"/>
      <c r="H8" s="90"/>
      <c r="I8" s="90"/>
      <c r="J8" s="90"/>
    </row>
  </sheetData>
  <mergeCells count="13">
    <mergeCell ref="A1:J1"/>
    <mergeCell ref="A2:J2"/>
    <mergeCell ref="A3:J3"/>
    <mergeCell ref="G7:J8"/>
    <mergeCell ref="A4:G4"/>
    <mergeCell ref="D7:D8"/>
    <mergeCell ref="A7:A8"/>
    <mergeCell ref="A5:G5"/>
    <mergeCell ref="C7:C8"/>
    <mergeCell ref="F7:F8"/>
    <mergeCell ref="E7:E8"/>
    <mergeCell ref="B7:B8"/>
    <mergeCell ref="B6:J6"/>
  </mergeCells>
  <pageMargins left="0.7" right="0.7" top="0.75" bottom="0.75" header="0.3" footer="0.3"/>
  <pageSetup scale="8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7"/>
  <sheetViews>
    <sheetView rightToLeft="1" view="pageBreakPreview" zoomScale="124" zoomScaleNormal="100" zoomScaleSheetLayoutView="124" workbookViewId="0">
      <selection sqref="A1:XFD1048576"/>
    </sheetView>
  </sheetViews>
  <sheetFormatPr defaultColWidth="9.140625" defaultRowHeight="15.75"/>
  <cols>
    <col min="1" max="1" width="32.5703125" style="6" customWidth="1"/>
    <col min="2" max="2" width="21.28515625" style="6" customWidth="1"/>
    <col min="3" max="3" width="22" style="6" customWidth="1"/>
    <col min="4" max="4" width="22.140625" style="6" customWidth="1"/>
    <col min="5" max="5" width="17.42578125" style="6" customWidth="1"/>
    <col min="6" max="6" width="11.5703125" style="6" customWidth="1"/>
    <col min="7" max="7" width="4.28515625" style="6" customWidth="1"/>
    <col min="8" max="8" width="0.42578125" style="6" customWidth="1"/>
    <col min="9" max="9" width="5.28515625" style="6" customWidth="1"/>
    <col min="10" max="10" width="4.28515625" style="6" customWidth="1"/>
    <col min="11" max="11" width="0.42578125" style="6" customWidth="1"/>
    <col min="12" max="12" width="10.5703125" style="6" customWidth="1"/>
    <col min="13" max="13" width="0.5703125" style="6" customWidth="1"/>
    <col min="14" max="14" width="11.5703125" style="6" customWidth="1"/>
    <col min="15" max="16384" width="9.140625" style="6"/>
  </cols>
  <sheetData>
    <row r="1" spans="1:14" ht="21">
      <c r="A1" s="96" t="s">
        <v>155</v>
      </c>
      <c r="B1" s="96"/>
      <c r="C1" s="96"/>
      <c r="D1" s="96"/>
      <c r="E1" s="96"/>
      <c r="F1" s="96"/>
      <c r="G1" s="77"/>
      <c r="H1" s="77"/>
      <c r="I1" s="77"/>
      <c r="J1" s="77"/>
      <c r="K1" s="77"/>
      <c r="L1" s="77"/>
      <c r="M1" s="77"/>
      <c r="N1" s="77"/>
    </row>
    <row r="2" spans="1:14" ht="21">
      <c r="A2" s="96" t="s">
        <v>75</v>
      </c>
      <c r="B2" s="96"/>
      <c r="C2" s="96"/>
      <c r="D2" s="96"/>
      <c r="E2" s="96"/>
      <c r="F2" s="96"/>
      <c r="G2" s="77"/>
      <c r="H2" s="77"/>
      <c r="I2" s="77"/>
      <c r="J2" s="77"/>
      <c r="K2" s="77"/>
      <c r="L2" s="77"/>
      <c r="M2" s="77"/>
      <c r="N2" s="77"/>
    </row>
    <row r="3" spans="1:14" ht="21">
      <c r="A3" s="96" t="s">
        <v>154</v>
      </c>
      <c r="B3" s="96"/>
      <c r="C3" s="96"/>
      <c r="D3" s="96"/>
      <c r="E3" s="96"/>
      <c r="F3" s="96"/>
      <c r="G3" s="77"/>
      <c r="H3" s="77"/>
      <c r="I3" s="77"/>
      <c r="J3" s="77"/>
      <c r="K3" s="77"/>
      <c r="L3" s="77"/>
      <c r="M3" s="77"/>
      <c r="N3" s="77"/>
    </row>
    <row r="4" spans="1:14" ht="21">
      <c r="A4" s="97" t="s">
        <v>494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</row>
    <row r="5" spans="1:14" ht="16.5" thickBot="1">
      <c r="B5" s="4"/>
      <c r="C5" s="4"/>
      <c r="D5" s="4"/>
      <c r="E5" s="4"/>
      <c r="F5" s="4"/>
    </row>
    <row r="6" spans="1:14" ht="18.75" customHeight="1" thickBot="1">
      <c r="A6" s="51"/>
      <c r="B6" s="45" t="s">
        <v>157</v>
      </c>
      <c r="C6" s="88" t="s">
        <v>11</v>
      </c>
      <c r="D6" s="88"/>
      <c r="E6" s="87" t="s">
        <v>156</v>
      </c>
      <c r="F6" s="87"/>
      <c r="L6" s="78"/>
    </row>
    <row r="7" spans="1:14" ht="24" customHeight="1">
      <c r="A7" s="89" t="s">
        <v>12</v>
      </c>
      <c r="B7" s="91" t="s">
        <v>6</v>
      </c>
      <c r="C7" s="111" t="s">
        <v>52</v>
      </c>
      <c r="D7" s="111" t="s">
        <v>143</v>
      </c>
      <c r="E7" s="95" t="s">
        <v>6</v>
      </c>
      <c r="F7" s="93" t="s">
        <v>28</v>
      </c>
    </row>
    <row r="8" spans="1:14" ht="29.25" customHeight="1" thickBot="1">
      <c r="A8" s="90"/>
      <c r="B8" s="92"/>
      <c r="C8" s="110"/>
      <c r="D8" s="110"/>
      <c r="E8" s="92"/>
      <c r="F8" s="90"/>
    </row>
    <row r="9" spans="1:14">
      <c r="A9" s="63" t="s">
        <v>162</v>
      </c>
      <c r="B9" s="63">
        <v>777335</v>
      </c>
      <c r="C9" s="63">
        <v>3181</v>
      </c>
      <c r="D9" s="63">
        <v>0</v>
      </c>
      <c r="E9" s="63">
        <v>780516</v>
      </c>
      <c r="F9" s="64">
        <v>1.7082893787762609E-7</v>
      </c>
    </row>
    <row r="10" spans="1:14">
      <c r="A10" s="63" t="s">
        <v>163</v>
      </c>
      <c r="B10" s="63">
        <v>15822014</v>
      </c>
      <c r="C10" s="63">
        <v>64756</v>
      </c>
      <c r="D10" s="63">
        <v>0</v>
      </c>
      <c r="E10" s="63">
        <v>15886770</v>
      </c>
      <c r="F10" s="64">
        <v>3.4770844485009074E-6</v>
      </c>
    </row>
    <row r="11" spans="1:14">
      <c r="A11" s="63" t="s">
        <v>164</v>
      </c>
      <c r="B11" s="63">
        <v>8554259</v>
      </c>
      <c r="C11" s="63">
        <v>35154</v>
      </c>
      <c r="D11" s="63">
        <v>0</v>
      </c>
      <c r="E11" s="63">
        <v>8589413</v>
      </c>
      <c r="F11" s="64">
        <v>1.8799362214000405E-6</v>
      </c>
    </row>
    <row r="12" spans="1:14">
      <c r="A12" s="63" t="s">
        <v>168</v>
      </c>
      <c r="B12" s="63">
        <v>7017642</v>
      </c>
      <c r="C12" s="63">
        <v>0</v>
      </c>
      <c r="D12" s="63">
        <v>7017642</v>
      </c>
      <c r="F12" s="79">
        <v>0</v>
      </c>
    </row>
    <row r="13" spans="1:14">
      <c r="A13" s="63" t="s">
        <v>165</v>
      </c>
      <c r="B13" s="63">
        <v>4164817</v>
      </c>
      <c r="C13" s="63">
        <v>14133873507</v>
      </c>
      <c r="D13" s="63">
        <v>14021036000</v>
      </c>
      <c r="E13" s="63">
        <v>117002324</v>
      </c>
      <c r="F13" s="64">
        <v>2.5607909047519694E-5</v>
      </c>
    </row>
    <row r="14" spans="1:14">
      <c r="A14" s="63" t="s">
        <v>166</v>
      </c>
      <c r="B14" s="63">
        <v>59428771284</v>
      </c>
      <c r="C14" s="63">
        <v>141568006720</v>
      </c>
      <c r="D14" s="63">
        <v>143803000000</v>
      </c>
      <c r="E14" s="63">
        <v>57193778004</v>
      </c>
      <c r="F14" s="64">
        <v>1.2517811742016889E-2</v>
      </c>
    </row>
    <row r="15" spans="1:14">
      <c r="A15" s="63" t="s">
        <v>167</v>
      </c>
      <c r="B15" s="63">
        <v>2033524208</v>
      </c>
      <c r="C15" s="63">
        <v>750664431300</v>
      </c>
      <c r="D15" s="63">
        <v>752696650166</v>
      </c>
      <c r="E15" s="63">
        <v>1305342</v>
      </c>
      <c r="F15" s="64">
        <v>2.8569585687808605E-7</v>
      </c>
    </row>
    <row r="16" spans="1:14" ht="16.5" thickBot="1">
      <c r="A16" s="63" t="s">
        <v>2</v>
      </c>
      <c r="B16" s="74">
        <f>SUM(B9:B15)</f>
        <v>61498631559</v>
      </c>
      <c r="C16" s="74">
        <f>SUM(C9:C15)</f>
        <v>906366414618</v>
      </c>
      <c r="D16" s="74">
        <f>SUM(D9:D15)</f>
        <v>910527703808</v>
      </c>
      <c r="E16" s="74">
        <f>SUM(E9:E15)</f>
        <v>57337342369</v>
      </c>
      <c r="F16" s="76">
        <f>SUM(F9:F15)</f>
        <v>1.2549233196529066E-2</v>
      </c>
    </row>
    <row r="17" ht="16.5" thickTop="1"/>
  </sheetData>
  <mergeCells count="13">
    <mergeCell ref="A1:F1"/>
    <mergeCell ref="A2:F2"/>
    <mergeCell ref="A3:F3"/>
    <mergeCell ref="A4:K4"/>
    <mergeCell ref="L4:N4"/>
    <mergeCell ref="F7:F8"/>
    <mergeCell ref="E6:F6"/>
    <mergeCell ref="E7:E8"/>
    <mergeCell ref="A7:A8"/>
    <mergeCell ref="B7:B8"/>
    <mergeCell ref="C6:D6"/>
    <mergeCell ref="C7:C8"/>
    <mergeCell ref="D7:D8"/>
  </mergeCells>
  <pageMargins left="0.7" right="0.7" top="0.75" bottom="0.75" header="0.3" footer="0.3"/>
  <pageSetup scale="6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5"/>
  <sheetViews>
    <sheetView rightToLeft="1" view="pageBreakPreview" zoomScaleNormal="100" zoomScaleSheetLayoutView="100" workbookViewId="0">
      <selection sqref="A1:XFD1048576"/>
    </sheetView>
  </sheetViews>
  <sheetFormatPr defaultRowHeight="18"/>
  <cols>
    <col min="1" max="1" width="60.140625" style="72" customWidth="1"/>
    <col min="2" max="2" width="9.140625" style="8"/>
    <col min="3" max="3" width="24.5703125" style="8" customWidth="1"/>
    <col min="4" max="4" width="20.28515625" style="8" customWidth="1"/>
    <col min="5" max="5" width="17.85546875" style="8" customWidth="1"/>
    <col min="6" max="16384" width="9.140625" style="8"/>
  </cols>
  <sheetData>
    <row r="1" spans="1:19" ht="21">
      <c r="A1" s="112" t="s">
        <v>153</v>
      </c>
      <c r="B1" s="112"/>
      <c r="C1" s="112"/>
      <c r="D1" s="112"/>
      <c r="E1" s="112"/>
    </row>
    <row r="2" spans="1:19" ht="21">
      <c r="A2" s="112" t="s">
        <v>82</v>
      </c>
      <c r="B2" s="112"/>
      <c r="C2" s="112"/>
      <c r="D2" s="112"/>
      <c r="E2" s="112"/>
    </row>
    <row r="3" spans="1:19" ht="21">
      <c r="A3" s="112" t="s">
        <v>154</v>
      </c>
      <c r="B3" s="112"/>
      <c r="C3" s="112"/>
      <c r="D3" s="112"/>
      <c r="E3" s="112"/>
      <c r="H3" s="80"/>
    </row>
    <row r="4" spans="1:19" ht="21">
      <c r="A4" s="97" t="s">
        <v>34</v>
      </c>
      <c r="B4" s="97"/>
      <c r="C4" s="97"/>
      <c r="D4" s="97"/>
      <c r="E4" s="97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</row>
    <row r="5" spans="1:19" ht="18.75" thickBot="1">
      <c r="A5" s="15" t="s">
        <v>53</v>
      </c>
      <c r="B5" s="59" t="s">
        <v>54</v>
      </c>
      <c r="C5" s="59" t="s">
        <v>6</v>
      </c>
      <c r="D5" s="59" t="s">
        <v>23</v>
      </c>
      <c r="E5" s="59" t="s">
        <v>86</v>
      </c>
    </row>
    <row r="6" spans="1:19" ht="21">
      <c r="A6" s="16" t="s">
        <v>69</v>
      </c>
      <c r="B6" s="23" t="s">
        <v>78</v>
      </c>
      <c r="C6" s="63">
        <v>662387794868</v>
      </c>
      <c r="D6" s="64">
        <v>0.97629402428019441</v>
      </c>
      <c r="E6" s="64">
        <v>0.14497461097582023</v>
      </c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</row>
    <row r="7" spans="1:19" ht="21">
      <c r="A7" s="16" t="s">
        <v>115</v>
      </c>
      <c r="B7" s="23" t="s">
        <v>79</v>
      </c>
      <c r="C7" s="63">
        <v>0</v>
      </c>
      <c r="D7" s="64">
        <v>0</v>
      </c>
      <c r="E7" s="64">
        <v>0</v>
      </c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</row>
    <row r="8" spans="1:19" ht="21">
      <c r="A8" s="16" t="s">
        <v>70</v>
      </c>
      <c r="B8" s="23" t="s">
        <v>80</v>
      </c>
      <c r="C8" s="63">
        <v>0</v>
      </c>
      <c r="D8" s="64">
        <v>0</v>
      </c>
      <c r="E8" s="64">
        <v>0</v>
      </c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</row>
    <row r="9" spans="1:19" ht="21">
      <c r="A9" s="16" t="s">
        <v>146</v>
      </c>
      <c r="B9" s="23" t="s">
        <v>81</v>
      </c>
      <c r="C9" s="63">
        <v>0</v>
      </c>
      <c r="D9" s="64">
        <v>0</v>
      </c>
      <c r="E9" s="64">
        <v>0</v>
      </c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</row>
    <row r="10" spans="1:19" ht="21">
      <c r="A10" s="16" t="s">
        <v>71</v>
      </c>
      <c r="B10" s="23" t="s">
        <v>116</v>
      </c>
      <c r="C10" s="63">
        <v>16083828190</v>
      </c>
      <c r="D10" s="64">
        <v>2.3705970235420058E-2</v>
      </c>
      <c r="E10" s="64">
        <v>3.5202139183615985E-3</v>
      </c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spans="1:19" ht="21">
      <c r="A11" s="16" t="s">
        <v>135</v>
      </c>
      <c r="B11" s="23" t="s">
        <v>136</v>
      </c>
      <c r="C11" s="63">
        <v>0</v>
      </c>
      <c r="D11" s="64">
        <v>0</v>
      </c>
      <c r="E11" s="64">
        <v>0</v>
      </c>
      <c r="F11" s="66"/>
      <c r="G11" s="66"/>
      <c r="H11" s="66"/>
      <c r="I11" s="66"/>
      <c r="J11" s="66"/>
      <c r="K11" s="66"/>
      <c r="L11" s="66"/>
      <c r="M11" s="66"/>
      <c r="N11" s="66"/>
      <c r="O11" s="66"/>
    </row>
    <row r="12" spans="1:19" ht="21">
      <c r="A12" s="16" t="s">
        <v>137</v>
      </c>
      <c r="B12" s="23" t="s">
        <v>138</v>
      </c>
      <c r="C12" s="63">
        <v>0</v>
      </c>
      <c r="D12" s="64">
        <v>0</v>
      </c>
      <c r="E12" s="64">
        <v>0</v>
      </c>
      <c r="F12" s="66"/>
      <c r="G12" s="66"/>
      <c r="H12" s="66"/>
      <c r="I12" s="66"/>
      <c r="J12" s="66"/>
      <c r="K12" s="66"/>
      <c r="L12" s="66"/>
      <c r="M12" s="66"/>
      <c r="N12" s="66"/>
      <c r="O12" s="66"/>
    </row>
    <row r="13" spans="1:19" ht="21">
      <c r="A13" s="16" t="s">
        <v>36</v>
      </c>
      <c r="B13" s="23" t="s">
        <v>147</v>
      </c>
      <c r="C13" s="63">
        <v>3721</v>
      </c>
      <c r="D13" s="64">
        <v>5.4843855706467872E-9</v>
      </c>
      <c r="E13" s="64">
        <v>8.1440287943187168E-10</v>
      </c>
      <c r="F13" s="66"/>
      <c r="G13" s="66"/>
    </row>
    <row r="14" spans="1:19" ht="18.75" thickBot="1">
      <c r="A14" s="63" t="s">
        <v>2</v>
      </c>
      <c r="C14" s="74">
        <f>SUM(C6:C13)</f>
        <v>678471626779</v>
      </c>
      <c r="D14" s="76">
        <f>SUM(D6:D13)</f>
        <v>1</v>
      </c>
      <c r="E14" s="76">
        <f>SUM(E6:E13)</f>
        <v>0.14849482570858472</v>
      </c>
    </row>
    <row r="15" spans="1:19" ht="18.75" thickTop="1"/>
  </sheetData>
  <mergeCells count="4">
    <mergeCell ref="A4:E4"/>
    <mergeCell ref="A3:E3"/>
    <mergeCell ref="A2:E2"/>
    <mergeCell ref="A1:E1"/>
  </mergeCells>
  <pageMargins left="0.7" right="0.7" top="0.75" bottom="0.75" header="0.3" footer="0.3"/>
  <pageSetup scale="92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36"/>
  <sheetViews>
    <sheetView rightToLeft="1" view="pageBreakPreview" topLeftCell="A204" zoomScale="106" zoomScaleNormal="100" zoomScaleSheetLayoutView="106" workbookViewId="0">
      <selection sqref="A1:XFD1048576"/>
    </sheetView>
  </sheetViews>
  <sheetFormatPr defaultColWidth="9.140625" defaultRowHeight="15.75"/>
  <cols>
    <col min="1" max="1" width="17.85546875" style="6" customWidth="1"/>
    <col min="2" max="2" width="19.85546875" style="6" customWidth="1"/>
    <col min="3" max="3" width="18.28515625" style="6" customWidth="1"/>
    <col min="4" max="4" width="19" style="6" customWidth="1"/>
    <col min="5" max="5" width="17.42578125" style="6" customWidth="1"/>
    <col min="6" max="6" width="13" style="6" customWidth="1"/>
    <col min="7" max="7" width="19" style="6" customWidth="1"/>
    <col min="8" max="8" width="17.5703125" style="6" customWidth="1"/>
    <col min="9" max="9" width="18.140625" style="6" customWidth="1"/>
    <col min="10" max="10" width="22.5703125" style="6" customWidth="1"/>
    <col min="11" max="11" width="10.5703125" style="6" customWidth="1"/>
    <col min="12" max="16384" width="9.140625" style="6"/>
  </cols>
  <sheetData>
    <row r="1" spans="1:14" ht="21">
      <c r="A1" s="96" t="s">
        <v>155</v>
      </c>
      <c r="B1" s="96"/>
      <c r="C1" s="96"/>
      <c r="D1" s="96"/>
      <c r="E1" s="96"/>
      <c r="F1" s="96"/>
      <c r="G1" s="96"/>
      <c r="H1" s="96"/>
      <c r="I1" s="96"/>
      <c r="J1" s="96"/>
      <c r="K1" s="96"/>
    </row>
    <row r="2" spans="1:14" ht="21">
      <c r="A2" s="96" t="s">
        <v>82</v>
      </c>
      <c r="B2" s="96"/>
      <c r="C2" s="96"/>
      <c r="D2" s="96"/>
      <c r="E2" s="96"/>
      <c r="F2" s="96"/>
      <c r="G2" s="96"/>
      <c r="H2" s="96"/>
      <c r="I2" s="96"/>
      <c r="J2" s="96"/>
      <c r="K2" s="96"/>
    </row>
    <row r="3" spans="1:14" ht="21">
      <c r="A3" s="96" t="s">
        <v>154</v>
      </c>
      <c r="B3" s="96"/>
      <c r="C3" s="96"/>
      <c r="D3" s="96"/>
      <c r="E3" s="96"/>
      <c r="F3" s="96"/>
      <c r="G3" s="96"/>
      <c r="H3" s="96"/>
      <c r="I3" s="96"/>
      <c r="J3" s="96"/>
      <c r="K3" s="96"/>
    </row>
    <row r="5" spans="1:14" ht="21">
      <c r="A5" s="97" t="s">
        <v>35</v>
      </c>
      <c r="B5" s="97"/>
      <c r="C5" s="97"/>
      <c r="D5" s="97"/>
      <c r="E5" s="97"/>
      <c r="F5" s="97"/>
      <c r="G5" s="97"/>
      <c r="H5" s="97"/>
      <c r="I5" s="97"/>
      <c r="J5" s="97"/>
      <c r="K5" s="97"/>
      <c r="N5" s="78"/>
    </row>
    <row r="7" spans="1:14" ht="19.5" customHeight="1" thickBot="1">
      <c r="A7" s="4"/>
      <c r="B7" s="113" t="s">
        <v>134</v>
      </c>
      <c r="C7" s="113"/>
      <c r="D7" s="113"/>
      <c r="E7" s="113"/>
      <c r="F7" s="113"/>
      <c r="G7" s="113" t="s">
        <v>156</v>
      </c>
      <c r="H7" s="113"/>
      <c r="I7" s="113"/>
      <c r="J7" s="113"/>
      <c r="K7" s="113"/>
    </row>
    <row r="8" spans="1:14" ht="19.5" customHeight="1">
      <c r="A8" s="114" t="s">
        <v>31</v>
      </c>
      <c r="B8" s="116" t="s">
        <v>15</v>
      </c>
      <c r="C8" s="116" t="s">
        <v>16</v>
      </c>
      <c r="D8" s="116" t="s">
        <v>17</v>
      </c>
      <c r="E8" s="116" t="s">
        <v>2</v>
      </c>
      <c r="F8" s="116"/>
      <c r="G8" s="116" t="s">
        <v>15</v>
      </c>
      <c r="H8" s="116" t="s">
        <v>16</v>
      </c>
      <c r="I8" s="116" t="s">
        <v>17</v>
      </c>
      <c r="J8" s="116" t="s">
        <v>2</v>
      </c>
      <c r="K8" s="116"/>
    </row>
    <row r="9" spans="1:14" ht="18.75" customHeight="1" thickBot="1">
      <c r="A9" s="114"/>
      <c r="B9" s="117"/>
      <c r="C9" s="117"/>
      <c r="D9" s="117"/>
      <c r="E9" s="113"/>
      <c r="F9" s="113"/>
      <c r="G9" s="117"/>
      <c r="H9" s="117"/>
      <c r="I9" s="117"/>
      <c r="J9" s="113"/>
      <c r="K9" s="113"/>
    </row>
    <row r="10" spans="1:14" ht="28.5" customHeight="1" thickBot="1">
      <c r="A10" s="115"/>
      <c r="B10" s="25" t="s">
        <v>85</v>
      </c>
      <c r="C10" s="25" t="s">
        <v>85</v>
      </c>
      <c r="D10" s="25" t="s">
        <v>85</v>
      </c>
      <c r="E10" s="58" t="s">
        <v>6</v>
      </c>
      <c r="F10" s="58" t="s">
        <v>18</v>
      </c>
      <c r="G10" s="25" t="s">
        <v>85</v>
      </c>
      <c r="H10" s="25" t="s">
        <v>85</v>
      </c>
      <c r="I10" s="25" t="s">
        <v>85</v>
      </c>
      <c r="J10" s="58" t="s">
        <v>6</v>
      </c>
      <c r="K10" s="58" t="s">
        <v>18</v>
      </c>
    </row>
    <row r="11" spans="1:14">
      <c r="A11" s="63" t="s">
        <v>356</v>
      </c>
      <c r="B11" s="63">
        <v>0</v>
      </c>
      <c r="C11" s="63">
        <v>1108624801</v>
      </c>
      <c r="D11" s="63">
        <v>0</v>
      </c>
      <c r="E11" s="63">
        <v>1108624801</v>
      </c>
      <c r="F11" s="64">
        <v>-1.6475469203264782E-3</v>
      </c>
      <c r="G11" s="63">
        <v>1414872300</v>
      </c>
      <c r="H11" s="63">
        <v>3656928775</v>
      </c>
      <c r="I11" s="63">
        <v>1326988801</v>
      </c>
      <c r="J11" s="63">
        <v>6398789876</v>
      </c>
      <c r="K11" s="64">
        <v>9.4311827104367491E-3</v>
      </c>
    </row>
    <row r="12" spans="1:14">
      <c r="A12" s="63" t="s">
        <v>335</v>
      </c>
      <c r="B12" s="63">
        <v>0</v>
      </c>
      <c r="C12" s="63">
        <v>-10685331368</v>
      </c>
      <c r="D12" s="63">
        <v>3161934666</v>
      </c>
      <c r="E12" s="63">
        <v>-7523396702</v>
      </c>
      <c r="F12" s="64">
        <v>1.1180652873356099E-2</v>
      </c>
      <c r="G12" s="63">
        <v>2406384864</v>
      </c>
      <c r="H12" s="63">
        <v>20520659971</v>
      </c>
      <c r="I12" s="63">
        <v>4638394919</v>
      </c>
      <c r="J12" s="63">
        <v>27565439754</v>
      </c>
      <c r="K12" s="64">
        <v>4.0628728845840074E-2</v>
      </c>
    </row>
    <row r="13" spans="1:14">
      <c r="A13" s="63" t="s">
        <v>242</v>
      </c>
      <c r="B13" s="63">
        <v>0</v>
      </c>
      <c r="C13" s="63">
        <v>-4176119673</v>
      </c>
      <c r="D13" s="63">
        <v>-1042826525</v>
      </c>
      <c r="E13" s="63">
        <v>-5218946198</v>
      </c>
      <c r="F13" s="64">
        <v>7.7559682302872123E-3</v>
      </c>
      <c r="G13" s="63">
        <v>0</v>
      </c>
      <c r="H13" s="63">
        <v>-4323769237</v>
      </c>
      <c r="I13" s="63">
        <v>-511555116</v>
      </c>
      <c r="J13" s="63">
        <v>-4835324353</v>
      </c>
      <c r="K13" s="64">
        <v>-7.1267893337786112E-3</v>
      </c>
    </row>
    <row r="14" spans="1:14">
      <c r="A14" s="63" t="s">
        <v>186</v>
      </c>
      <c r="B14" s="63">
        <v>0</v>
      </c>
      <c r="C14" s="63">
        <v>1778036309</v>
      </c>
      <c r="D14" s="63">
        <v>0</v>
      </c>
      <c r="E14" s="63">
        <v>1778036309</v>
      </c>
      <c r="F14" s="64">
        <v>-2.6423711994168248E-3</v>
      </c>
      <c r="G14" s="63">
        <v>0</v>
      </c>
      <c r="H14" s="63">
        <v>4568699907</v>
      </c>
      <c r="I14" s="63">
        <v>954507964</v>
      </c>
      <c r="J14" s="63">
        <v>5523207871</v>
      </c>
      <c r="K14" s="64">
        <v>8.1406615295337714E-3</v>
      </c>
    </row>
    <row r="15" spans="1:14">
      <c r="A15" s="63" t="s">
        <v>326</v>
      </c>
      <c r="B15" s="63">
        <v>0</v>
      </c>
      <c r="C15" s="63">
        <v>-8340407492</v>
      </c>
      <c r="D15" s="63">
        <v>-500271397</v>
      </c>
      <c r="E15" s="63">
        <v>-8840678889</v>
      </c>
      <c r="F15" s="64">
        <v>1.3138289224658308E-2</v>
      </c>
      <c r="G15" s="63">
        <v>1064000000</v>
      </c>
      <c r="H15" s="63">
        <v>-2770081905</v>
      </c>
      <c r="I15" s="63">
        <v>-898854065</v>
      </c>
      <c r="J15" s="63">
        <v>-2604935970</v>
      </c>
      <c r="K15" s="64">
        <v>-3.8394176958685281E-3</v>
      </c>
    </row>
    <row r="16" spans="1:14">
      <c r="A16" s="63" t="s">
        <v>177</v>
      </c>
      <c r="B16" s="63">
        <v>0</v>
      </c>
      <c r="C16" s="63">
        <v>-4314039826</v>
      </c>
      <c r="D16" s="63">
        <v>0</v>
      </c>
      <c r="E16" s="63">
        <v>-4314039826</v>
      </c>
      <c r="F16" s="64">
        <v>6.4111708696043112E-3</v>
      </c>
      <c r="G16" s="63">
        <v>0</v>
      </c>
      <c r="H16" s="63">
        <v>-3898503151</v>
      </c>
      <c r="I16" s="63">
        <v>-52209104</v>
      </c>
      <c r="J16" s="63">
        <v>-3950712255</v>
      </c>
      <c r="K16" s="64">
        <v>-5.8229586898950365E-3</v>
      </c>
    </row>
    <row r="17" spans="1:11">
      <c r="A17" s="63" t="s">
        <v>357</v>
      </c>
      <c r="B17" s="63">
        <v>0</v>
      </c>
      <c r="C17" s="63">
        <v>-4986682313</v>
      </c>
      <c r="D17" s="63">
        <v>162416264</v>
      </c>
      <c r="E17" s="63">
        <v>-4824266049</v>
      </c>
      <c r="F17" s="64">
        <v>7.1694270818189439E-3</v>
      </c>
      <c r="G17" s="63">
        <v>7980000000</v>
      </c>
      <c r="H17" s="63">
        <v>2398795288</v>
      </c>
      <c r="I17" s="63">
        <v>44545946797</v>
      </c>
      <c r="J17" s="63">
        <v>54924742085</v>
      </c>
      <c r="K17" s="64">
        <v>8.0953631540572515E-2</v>
      </c>
    </row>
    <row r="18" spans="1:11">
      <c r="A18" s="63" t="s">
        <v>256</v>
      </c>
      <c r="B18" s="63">
        <v>0</v>
      </c>
      <c r="C18" s="63">
        <v>-1599542725</v>
      </c>
      <c r="D18" s="63">
        <v>588588925</v>
      </c>
      <c r="E18" s="63">
        <v>-1010953800</v>
      </c>
      <c r="F18" s="64">
        <v>1.5023963186462672E-3</v>
      </c>
      <c r="G18" s="63">
        <v>0</v>
      </c>
      <c r="H18" s="63">
        <v>0</v>
      </c>
      <c r="I18" s="63">
        <v>2420272364</v>
      </c>
      <c r="J18" s="63">
        <v>2420272364</v>
      </c>
      <c r="K18" s="64">
        <v>3.5672418248204217E-3</v>
      </c>
    </row>
    <row r="19" spans="1:11">
      <c r="A19" s="63" t="s">
        <v>358</v>
      </c>
      <c r="B19" s="63">
        <v>0</v>
      </c>
      <c r="C19" s="63">
        <v>-2180175895</v>
      </c>
      <c r="D19" s="63">
        <v>146470837</v>
      </c>
      <c r="E19" s="63">
        <v>-2033705058</v>
      </c>
      <c r="F19" s="64">
        <v>3.0223250482381025E-3</v>
      </c>
      <c r="G19" s="63">
        <v>0</v>
      </c>
      <c r="H19" s="63">
        <v>2274202407</v>
      </c>
      <c r="I19" s="63">
        <v>917812511</v>
      </c>
      <c r="J19" s="63">
        <v>3192014918</v>
      </c>
      <c r="K19" s="64">
        <v>4.7047139364602229E-3</v>
      </c>
    </row>
    <row r="20" spans="1:11">
      <c r="A20" s="63" t="s">
        <v>298</v>
      </c>
      <c r="B20" s="63">
        <v>293517072</v>
      </c>
      <c r="C20" s="63">
        <v>-4045113681</v>
      </c>
      <c r="D20" s="63">
        <v>0</v>
      </c>
      <c r="E20" s="63">
        <v>-3751596609</v>
      </c>
      <c r="F20" s="64">
        <v>5.5753140592650413E-3</v>
      </c>
      <c r="G20" s="63">
        <v>293517072</v>
      </c>
      <c r="H20" s="63">
        <v>-6953110280</v>
      </c>
      <c r="I20" s="63">
        <v>1029352410</v>
      </c>
      <c r="J20" s="63">
        <v>-5630240798</v>
      </c>
      <c r="K20" s="64">
        <v>-8.2984174662236107E-3</v>
      </c>
    </row>
    <row r="21" spans="1:11">
      <c r="A21" s="63" t="s">
        <v>342</v>
      </c>
      <c r="B21" s="63">
        <v>0</v>
      </c>
      <c r="C21" s="63">
        <v>-5672808135</v>
      </c>
      <c r="D21" s="63">
        <v>0</v>
      </c>
      <c r="E21" s="63">
        <v>-5672808135</v>
      </c>
      <c r="F21" s="64">
        <v>8.4304604804003869E-3</v>
      </c>
      <c r="G21" s="63">
        <v>0</v>
      </c>
      <c r="H21" s="63">
        <v>2370377851</v>
      </c>
      <c r="I21" s="63">
        <v>2892468147</v>
      </c>
      <c r="J21" s="63">
        <v>5262845998</v>
      </c>
      <c r="K21" s="64">
        <v>7.7569139080804596E-3</v>
      </c>
    </row>
    <row r="22" spans="1:11">
      <c r="A22" s="63" t="s">
        <v>262</v>
      </c>
      <c r="B22" s="63">
        <v>0</v>
      </c>
      <c r="C22" s="63">
        <v>-2528323081</v>
      </c>
      <c r="D22" s="63">
        <v>0</v>
      </c>
      <c r="E22" s="63">
        <v>-2528323081</v>
      </c>
      <c r="F22" s="64">
        <v>3.7573856384364823E-3</v>
      </c>
      <c r="G22" s="63">
        <v>0</v>
      </c>
      <c r="H22" s="63">
        <v>342840865</v>
      </c>
      <c r="I22" s="63">
        <v>277798028</v>
      </c>
      <c r="J22" s="63">
        <v>620638893</v>
      </c>
      <c r="K22" s="64">
        <v>9.1476027663300061E-4</v>
      </c>
    </row>
    <row r="23" spans="1:11">
      <c r="A23" s="63" t="s">
        <v>348</v>
      </c>
      <c r="B23" s="63">
        <v>0</v>
      </c>
      <c r="C23" s="63">
        <v>-3591581294</v>
      </c>
      <c r="D23" s="63">
        <v>0</v>
      </c>
      <c r="E23" s="63">
        <v>-3591581294</v>
      </c>
      <c r="F23" s="64">
        <v>5.3375124701290962E-3</v>
      </c>
      <c r="G23" s="63">
        <v>10382562840</v>
      </c>
      <c r="H23" s="63">
        <v>6089197978</v>
      </c>
      <c r="I23" s="63">
        <v>1312267422</v>
      </c>
      <c r="J23" s="63">
        <v>17784028240</v>
      </c>
      <c r="K23" s="64">
        <v>2.6211896766307707E-2</v>
      </c>
    </row>
    <row r="24" spans="1:11">
      <c r="A24" s="63" t="s">
        <v>359</v>
      </c>
      <c r="B24" s="63">
        <v>0</v>
      </c>
      <c r="C24" s="63">
        <v>-1486916595</v>
      </c>
      <c r="D24" s="63">
        <v>0</v>
      </c>
      <c r="E24" s="63">
        <v>-1486916595</v>
      </c>
      <c r="F24" s="64">
        <v>2.20973304463769E-3</v>
      </c>
      <c r="G24" s="63">
        <v>20250000</v>
      </c>
      <c r="H24" s="63">
        <v>-3439902735</v>
      </c>
      <c r="I24" s="63">
        <v>0</v>
      </c>
      <c r="J24" s="63">
        <v>-3419652735</v>
      </c>
      <c r="K24" s="64">
        <v>-5.0402295394939055E-3</v>
      </c>
    </row>
    <row r="25" spans="1:11">
      <c r="A25" s="63" t="s">
        <v>354</v>
      </c>
      <c r="B25" s="63">
        <v>0</v>
      </c>
      <c r="C25" s="63">
        <v>-1490757992</v>
      </c>
      <c r="D25" s="63">
        <v>-25897047</v>
      </c>
      <c r="E25" s="63">
        <v>-1516655039</v>
      </c>
      <c r="F25" s="64">
        <v>2.2539278721242363E-3</v>
      </c>
      <c r="G25" s="63">
        <v>0</v>
      </c>
      <c r="H25" s="63">
        <v>-359207002</v>
      </c>
      <c r="I25" s="63">
        <v>-888685</v>
      </c>
      <c r="J25" s="63">
        <v>-360095687</v>
      </c>
      <c r="K25" s="64">
        <v>-5.3074538829211016E-4</v>
      </c>
    </row>
    <row r="26" spans="1:11">
      <c r="A26" s="63" t="s">
        <v>360</v>
      </c>
      <c r="B26" s="63">
        <v>0</v>
      </c>
      <c r="C26" s="63">
        <v>-8125853809</v>
      </c>
      <c r="D26" s="63">
        <v>0</v>
      </c>
      <c r="E26" s="63">
        <v>-8125853809</v>
      </c>
      <c r="F26" s="64">
        <v>1.207597503318089E-2</v>
      </c>
      <c r="G26" s="63">
        <v>0</v>
      </c>
      <c r="H26" s="63">
        <v>-6826934958</v>
      </c>
      <c r="I26" s="63">
        <v>0</v>
      </c>
      <c r="J26" s="63">
        <v>-6826934958</v>
      </c>
      <c r="K26" s="64">
        <v>-1.0062226169147899E-2</v>
      </c>
    </row>
    <row r="27" spans="1:11">
      <c r="A27" s="63" t="s">
        <v>361</v>
      </c>
      <c r="B27" s="63">
        <v>0</v>
      </c>
      <c r="C27" s="63">
        <v>-1891018552</v>
      </c>
      <c r="D27" s="63">
        <v>0</v>
      </c>
      <c r="E27" s="63">
        <v>-1891018552</v>
      </c>
      <c r="F27" s="64">
        <v>2.8102761085784479E-3</v>
      </c>
      <c r="G27" s="63">
        <v>700000000</v>
      </c>
      <c r="H27" s="63">
        <v>-93494537</v>
      </c>
      <c r="I27" s="63">
        <v>0</v>
      </c>
      <c r="J27" s="63">
        <v>606505463</v>
      </c>
      <c r="K27" s="64">
        <v>8.9392900021382669E-4</v>
      </c>
    </row>
    <row r="28" spans="1:11">
      <c r="A28" s="63" t="s">
        <v>320</v>
      </c>
      <c r="B28" s="63">
        <v>0</v>
      </c>
      <c r="C28" s="63">
        <v>-1250260200</v>
      </c>
      <c r="D28" s="63">
        <v>0</v>
      </c>
      <c r="E28" s="63">
        <v>-1250260200</v>
      </c>
      <c r="F28" s="64">
        <v>1.8580337912869466E-3</v>
      </c>
      <c r="G28" s="63">
        <v>1080000000</v>
      </c>
      <c r="H28" s="63">
        <v>907142531</v>
      </c>
      <c r="I28" s="63">
        <v>306487125</v>
      </c>
      <c r="J28" s="63">
        <v>2293629656</v>
      </c>
      <c r="K28" s="64">
        <v>3.3805830125702646E-3</v>
      </c>
    </row>
    <row r="29" spans="1:11">
      <c r="A29" s="63" t="s">
        <v>330</v>
      </c>
      <c r="B29" s="63">
        <v>0</v>
      </c>
      <c r="C29" s="63">
        <v>-14505415408</v>
      </c>
      <c r="D29" s="63">
        <v>693144835</v>
      </c>
      <c r="E29" s="63">
        <v>-13812270573</v>
      </c>
      <c r="F29" s="64">
        <v>2.0526659537776468E-2</v>
      </c>
      <c r="G29" s="63">
        <v>0</v>
      </c>
      <c r="H29" s="63">
        <v>-693834623</v>
      </c>
      <c r="I29" s="63">
        <v>2887867184</v>
      </c>
      <c r="J29" s="63">
        <v>2194032561</v>
      </c>
      <c r="K29" s="64">
        <v>3.2337867560004348E-3</v>
      </c>
    </row>
    <row r="30" spans="1:11">
      <c r="A30" s="63" t="s">
        <v>362</v>
      </c>
      <c r="B30" s="63">
        <v>0</v>
      </c>
      <c r="C30" s="63">
        <v>-1257810312</v>
      </c>
      <c r="D30" s="63">
        <v>0</v>
      </c>
      <c r="E30" s="63">
        <v>-1257810312</v>
      </c>
      <c r="F30" s="64">
        <v>1.869254146237061E-3</v>
      </c>
      <c r="G30" s="63">
        <v>0</v>
      </c>
      <c r="H30" s="63">
        <v>3304772942</v>
      </c>
      <c r="I30" s="63">
        <v>8141436297</v>
      </c>
      <c r="J30" s="63">
        <v>11446209239</v>
      </c>
      <c r="K30" s="64">
        <v>1.6870579088679265E-2</v>
      </c>
    </row>
    <row r="31" spans="1:11">
      <c r="A31" s="63" t="s">
        <v>205</v>
      </c>
      <c r="B31" s="63">
        <v>0</v>
      </c>
      <c r="C31" s="63">
        <v>-1340300835</v>
      </c>
      <c r="D31" s="63">
        <v>-1407310246</v>
      </c>
      <c r="E31" s="63">
        <v>-2747611081</v>
      </c>
      <c r="F31" s="64">
        <v>4.0832734128563447E-3</v>
      </c>
      <c r="G31" s="63">
        <v>0</v>
      </c>
      <c r="H31" s="63">
        <v>-3132800620</v>
      </c>
      <c r="I31" s="63">
        <v>-2385912066</v>
      </c>
      <c r="J31" s="63">
        <v>-5518712686</v>
      </c>
      <c r="K31" s="64">
        <v>-8.1340360719279158E-3</v>
      </c>
    </row>
    <row r="32" spans="1:11">
      <c r="A32" s="63" t="s">
        <v>363</v>
      </c>
      <c r="B32" s="63">
        <v>0</v>
      </c>
      <c r="C32" s="63">
        <v>-915741176</v>
      </c>
      <c r="D32" s="63">
        <v>0</v>
      </c>
      <c r="E32" s="63">
        <v>-915741176</v>
      </c>
      <c r="F32" s="64">
        <v>1.3608991544966777E-3</v>
      </c>
      <c r="G32" s="63">
        <v>0</v>
      </c>
      <c r="H32" s="63">
        <v>2869983960</v>
      </c>
      <c r="I32" s="63">
        <v>0</v>
      </c>
      <c r="J32" s="63">
        <v>2869983960</v>
      </c>
      <c r="K32" s="64">
        <v>4.2300721897908433E-3</v>
      </c>
    </row>
    <row r="33" spans="1:11">
      <c r="A33" s="63" t="s">
        <v>364</v>
      </c>
      <c r="B33" s="63">
        <v>0</v>
      </c>
      <c r="C33" s="63">
        <v>-381390468</v>
      </c>
      <c r="D33" s="63">
        <v>0</v>
      </c>
      <c r="E33" s="63">
        <v>-381390468</v>
      </c>
      <c r="F33" s="64">
        <v>5.6679111853575996E-4</v>
      </c>
      <c r="G33" s="63">
        <v>0</v>
      </c>
      <c r="H33" s="63">
        <v>-381390468</v>
      </c>
      <c r="I33" s="63">
        <v>0</v>
      </c>
      <c r="J33" s="63">
        <v>-381390468</v>
      </c>
      <c r="K33" s="64">
        <v>-5.6213178701462654E-4</v>
      </c>
    </row>
    <row r="34" spans="1:11">
      <c r="A34" s="63" t="s">
        <v>248</v>
      </c>
      <c r="B34" s="63">
        <v>0</v>
      </c>
      <c r="C34" s="63">
        <v>-1087265266</v>
      </c>
      <c r="D34" s="63">
        <v>0</v>
      </c>
      <c r="E34" s="63">
        <v>-1087265266</v>
      </c>
      <c r="F34" s="64">
        <v>1.6158041376671756E-3</v>
      </c>
      <c r="G34" s="63">
        <v>0</v>
      </c>
      <c r="H34" s="63">
        <v>4917404720</v>
      </c>
      <c r="I34" s="63">
        <v>442528114</v>
      </c>
      <c r="J34" s="63">
        <v>5359932834</v>
      </c>
      <c r="K34" s="64">
        <v>7.9000102914339003E-3</v>
      </c>
    </row>
    <row r="35" spans="1:11">
      <c r="A35" s="63" t="s">
        <v>276</v>
      </c>
      <c r="B35" s="63">
        <v>0</v>
      </c>
      <c r="C35" s="63">
        <v>-9111577166</v>
      </c>
      <c r="D35" s="63">
        <v>2275749665</v>
      </c>
      <c r="E35" s="63">
        <v>-6835827501</v>
      </c>
      <c r="F35" s="64">
        <v>1.0158844125620094E-2</v>
      </c>
      <c r="G35" s="63">
        <v>18000000000</v>
      </c>
      <c r="H35" s="63">
        <v>5805192480</v>
      </c>
      <c r="I35" s="63">
        <v>20434006476</v>
      </c>
      <c r="J35" s="63">
        <v>44239198956</v>
      </c>
      <c r="K35" s="64">
        <v>6.52041989817949E-2</v>
      </c>
    </row>
    <row r="36" spans="1:11">
      <c r="A36" s="63" t="s">
        <v>365</v>
      </c>
      <c r="B36" s="63">
        <v>195044680</v>
      </c>
      <c r="C36" s="63">
        <v>-2419212308</v>
      </c>
      <c r="D36" s="63">
        <v>0</v>
      </c>
      <c r="E36" s="63">
        <v>-2224167628</v>
      </c>
      <c r="F36" s="64">
        <v>3.305374841421438E-3</v>
      </c>
      <c r="G36" s="63">
        <v>195044680</v>
      </c>
      <c r="H36" s="63">
        <v>1099389383</v>
      </c>
      <c r="I36" s="63">
        <v>0</v>
      </c>
      <c r="J36" s="63">
        <v>1294434063</v>
      </c>
      <c r="K36" s="64">
        <v>1.9078676423732585E-3</v>
      </c>
    </row>
    <row r="37" spans="1:11">
      <c r="A37" s="63" t="s">
        <v>182</v>
      </c>
      <c r="B37" s="63">
        <v>0</v>
      </c>
      <c r="C37" s="63">
        <v>-11938279186</v>
      </c>
      <c r="D37" s="63">
        <v>-131817394</v>
      </c>
      <c r="E37" s="63">
        <v>-12070096580</v>
      </c>
      <c r="F37" s="64">
        <v>1.7937583960312427E-2</v>
      </c>
      <c r="G37" s="63">
        <v>100000000</v>
      </c>
      <c r="H37" s="63">
        <v>-6358688103</v>
      </c>
      <c r="I37" s="63">
        <v>4693568403</v>
      </c>
      <c r="J37" s="63">
        <v>-1565119700</v>
      </c>
      <c r="K37" s="64">
        <v>-2.3068314697702306E-3</v>
      </c>
    </row>
    <row r="38" spans="1:11">
      <c r="A38" s="63" t="s">
        <v>366</v>
      </c>
      <c r="B38" s="63">
        <v>0</v>
      </c>
      <c r="C38" s="63">
        <v>-594931851</v>
      </c>
      <c r="D38" s="63">
        <v>0</v>
      </c>
      <c r="E38" s="63">
        <v>-594931851</v>
      </c>
      <c r="F38" s="64">
        <v>8.8413874381579999E-4</v>
      </c>
      <c r="G38" s="63">
        <v>0</v>
      </c>
      <c r="H38" s="63">
        <v>1148182493</v>
      </c>
      <c r="I38" s="63">
        <v>0</v>
      </c>
      <c r="J38" s="63">
        <v>1148182493</v>
      </c>
      <c r="K38" s="64">
        <v>1.6923073090777897E-3</v>
      </c>
    </row>
    <row r="39" spans="1:11">
      <c r="A39" s="63" t="s">
        <v>187</v>
      </c>
      <c r="B39" s="63">
        <v>0</v>
      </c>
      <c r="C39" s="63">
        <v>-3309793368</v>
      </c>
      <c r="D39" s="63">
        <v>-701948885</v>
      </c>
      <c r="E39" s="63">
        <v>-4011742253</v>
      </c>
      <c r="F39" s="64">
        <v>5.9619211009097365E-3</v>
      </c>
      <c r="G39" s="63">
        <v>5807092200</v>
      </c>
      <c r="H39" s="63">
        <v>-1418046630</v>
      </c>
      <c r="I39" s="63">
        <v>10019445466</v>
      </c>
      <c r="J39" s="63">
        <v>14408491036</v>
      </c>
      <c r="K39" s="64">
        <v>2.1236689151473254E-2</v>
      </c>
    </row>
    <row r="40" spans="1:11">
      <c r="A40" s="63" t="s">
        <v>367</v>
      </c>
      <c r="B40" s="63">
        <v>0</v>
      </c>
      <c r="C40" s="63">
        <v>-7050699146</v>
      </c>
      <c r="D40" s="63">
        <v>1705646981</v>
      </c>
      <c r="E40" s="63">
        <v>-5345052165</v>
      </c>
      <c r="F40" s="64">
        <v>7.9433765377490643E-3</v>
      </c>
      <c r="G40" s="63">
        <v>0</v>
      </c>
      <c r="H40" s="63">
        <v>-896731456</v>
      </c>
      <c r="I40" s="63">
        <v>4761507141</v>
      </c>
      <c r="J40" s="63">
        <v>3864775685</v>
      </c>
      <c r="K40" s="64">
        <v>5.6962966945983753E-3</v>
      </c>
    </row>
    <row r="41" spans="1:11">
      <c r="A41" s="63" t="s">
        <v>368</v>
      </c>
      <c r="B41" s="63">
        <v>0</v>
      </c>
      <c r="C41" s="63">
        <v>-8634878826</v>
      </c>
      <c r="D41" s="63">
        <v>942519536</v>
      </c>
      <c r="E41" s="63">
        <v>-7692359290</v>
      </c>
      <c r="F41" s="64">
        <v>1.1431751163109939E-2</v>
      </c>
      <c r="G41" s="63">
        <v>0</v>
      </c>
      <c r="H41" s="63">
        <v>4234055439</v>
      </c>
      <c r="I41" s="63">
        <v>811593001</v>
      </c>
      <c r="J41" s="63">
        <v>5045648440</v>
      </c>
      <c r="K41" s="64">
        <v>7.4367862130858562E-3</v>
      </c>
    </row>
    <row r="42" spans="1:11">
      <c r="A42" s="63" t="s">
        <v>352</v>
      </c>
      <c r="B42" s="63">
        <v>0</v>
      </c>
      <c r="C42" s="63">
        <v>-3829648891</v>
      </c>
      <c r="D42" s="63">
        <v>-1107029855</v>
      </c>
      <c r="E42" s="63">
        <v>-4936678746</v>
      </c>
      <c r="F42" s="64">
        <v>7.3364855785988141E-3</v>
      </c>
      <c r="G42" s="63">
        <v>0</v>
      </c>
      <c r="H42" s="63">
        <v>-6190197747</v>
      </c>
      <c r="I42" s="63">
        <v>-1066557311</v>
      </c>
      <c r="J42" s="63">
        <v>-7256755058</v>
      </c>
      <c r="K42" s="64">
        <v>-1.0695738438541599E-2</v>
      </c>
    </row>
    <row r="43" spans="1:11">
      <c r="A43" s="63" t="s">
        <v>277</v>
      </c>
      <c r="B43" s="63">
        <v>0</v>
      </c>
      <c r="C43" s="63">
        <v>-2634936936</v>
      </c>
      <c r="D43" s="63">
        <v>0</v>
      </c>
      <c r="E43" s="63">
        <v>-2634936936</v>
      </c>
      <c r="F43" s="64">
        <v>3.9158263735805483E-3</v>
      </c>
      <c r="G43" s="63">
        <v>0</v>
      </c>
      <c r="H43" s="63">
        <v>638414861</v>
      </c>
      <c r="I43" s="63">
        <v>806737558</v>
      </c>
      <c r="J43" s="63">
        <v>1445152419</v>
      </c>
      <c r="K43" s="64">
        <v>2.1300115759604675E-3</v>
      </c>
    </row>
    <row r="44" spans="1:11">
      <c r="A44" s="63" t="s">
        <v>273</v>
      </c>
      <c r="B44" s="63">
        <v>0</v>
      </c>
      <c r="C44" s="63">
        <v>-467525713</v>
      </c>
      <c r="D44" s="63">
        <v>0</v>
      </c>
      <c r="E44" s="63">
        <v>-467525713</v>
      </c>
      <c r="F44" s="64">
        <v>6.9479822924021963E-4</v>
      </c>
      <c r="G44" s="63">
        <v>1959126860</v>
      </c>
      <c r="H44" s="63">
        <v>6548715979</v>
      </c>
      <c r="I44" s="63">
        <v>7777296298</v>
      </c>
      <c r="J44" s="63">
        <v>16285139137</v>
      </c>
      <c r="K44" s="64">
        <v>2.4002682638790129E-2</v>
      </c>
    </row>
    <row r="45" spans="1:11">
      <c r="A45" s="63" t="s">
        <v>173</v>
      </c>
      <c r="B45" s="63">
        <v>0</v>
      </c>
      <c r="C45" s="63">
        <v>-2474690158</v>
      </c>
      <c r="D45" s="63">
        <v>0</v>
      </c>
      <c r="E45" s="63">
        <v>-2474690158</v>
      </c>
      <c r="F45" s="64">
        <v>3.6776808031873951E-3</v>
      </c>
      <c r="G45" s="63">
        <v>0</v>
      </c>
      <c r="H45" s="63">
        <v>-1737011149</v>
      </c>
      <c r="I45" s="63">
        <v>44160781</v>
      </c>
      <c r="J45" s="63">
        <v>-1692850368</v>
      </c>
      <c r="K45" s="64">
        <v>-2.4950938273376254E-3</v>
      </c>
    </row>
    <row r="46" spans="1:11">
      <c r="A46" s="63" t="s">
        <v>312</v>
      </c>
      <c r="B46" s="63">
        <v>0</v>
      </c>
      <c r="C46" s="63">
        <v>-5031237363</v>
      </c>
      <c r="D46" s="63">
        <v>0</v>
      </c>
      <c r="E46" s="63">
        <v>-5031237363</v>
      </c>
      <c r="F46" s="64">
        <v>7.4770108113810466E-3</v>
      </c>
      <c r="G46" s="63">
        <v>2776303170</v>
      </c>
      <c r="H46" s="63">
        <v>641954743</v>
      </c>
      <c r="I46" s="63">
        <v>1783046658</v>
      </c>
      <c r="J46" s="63">
        <v>5201304571</v>
      </c>
      <c r="K46" s="64">
        <v>7.6662079381165224E-3</v>
      </c>
    </row>
    <row r="47" spans="1:11">
      <c r="A47" s="63" t="s">
        <v>200</v>
      </c>
      <c r="B47" s="63">
        <v>0</v>
      </c>
      <c r="C47" s="63">
        <v>-2552462014</v>
      </c>
      <c r="D47" s="63">
        <v>0</v>
      </c>
      <c r="E47" s="63">
        <v>-2552462014</v>
      </c>
      <c r="F47" s="64">
        <v>3.7932589336110477E-3</v>
      </c>
      <c r="G47" s="63">
        <v>13820455220</v>
      </c>
      <c r="H47" s="63">
        <v>-3722659305</v>
      </c>
      <c r="I47" s="63">
        <v>-5366673915</v>
      </c>
      <c r="J47" s="63">
        <v>4731122000</v>
      </c>
      <c r="K47" s="64">
        <v>6.9732053828996422E-3</v>
      </c>
    </row>
    <row r="48" spans="1:11">
      <c r="A48" s="63" t="s">
        <v>260</v>
      </c>
      <c r="B48" s="63">
        <v>0</v>
      </c>
      <c r="C48" s="63">
        <v>-1041097115</v>
      </c>
      <c r="D48" s="63">
        <v>0</v>
      </c>
      <c r="E48" s="63">
        <v>-1041097115</v>
      </c>
      <c r="F48" s="64">
        <v>1.5471928320851549E-3</v>
      </c>
      <c r="G48" s="63">
        <v>0</v>
      </c>
      <c r="H48" s="63">
        <v>-1038009011</v>
      </c>
      <c r="I48" s="63">
        <v>997651152</v>
      </c>
      <c r="J48" s="63">
        <v>-40357859</v>
      </c>
      <c r="K48" s="64">
        <v>-5.9483488191829504E-5</v>
      </c>
    </row>
    <row r="49" spans="1:11">
      <c r="A49" s="63" t="s">
        <v>369</v>
      </c>
      <c r="B49" s="63">
        <v>0</v>
      </c>
      <c r="C49" s="63">
        <v>1259741578</v>
      </c>
      <c r="D49" s="63">
        <v>0</v>
      </c>
      <c r="E49" s="63">
        <v>1259741578</v>
      </c>
      <c r="F49" s="64">
        <v>-1.8721242347897989E-3</v>
      </c>
      <c r="G49" s="63">
        <v>0</v>
      </c>
      <c r="H49" s="63">
        <v>16796719931</v>
      </c>
      <c r="I49" s="63">
        <v>0</v>
      </c>
      <c r="J49" s="63">
        <v>16796719931</v>
      </c>
      <c r="K49" s="64">
        <v>2.4756702075724724E-2</v>
      </c>
    </row>
    <row r="50" spans="1:11">
      <c r="A50" s="63" t="s">
        <v>345</v>
      </c>
      <c r="B50" s="63">
        <v>0</v>
      </c>
      <c r="C50" s="63">
        <v>-2549562467</v>
      </c>
      <c r="D50" s="63">
        <v>4361698</v>
      </c>
      <c r="E50" s="63">
        <v>-2545200769</v>
      </c>
      <c r="F50" s="64">
        <v>3.782467869017603E-3</v>
      </c>
      <c r="G50" s="63">
        <v>0</v>
      </c>
      <c r="H50" s="63">
        <v>2203703118</v>
      </c>
      <c r="I50" s="63">
        <v>535498383</v>
      </c>
      <c r="J50" s="63">
        <v>2739201501</v>
      </c>
      <c r="K50" s="64">
        <v>4.0373117944580549E-3</v>
      </c>
    </row>
    <row r="51" spans="1:11">
      <c r="A51" s="63" t="s">
        <v>272</v>
      </c>
      <c r="B51" s="63">
        <v>0</v>
      </c>
      <c r="C51" s="63">
        <v>-1000575621</v>
      </c>
      <c r="D51" s="63">
        <v>0</v>
      </c>
      <c r="E51" s="63">
        <v>-1000575621</v>
      </c>
      <c r="F51" s="64">
        <v>1.4869731233193865E-3</v>
      </c>
      <c r="G51" s="63">
        <v>3292527600</v>
      </c>
      <c r="H51" s="63">
        <v>13691395982</v>
      </c>
      <c r="I51" s="63">
        <v>4042560579</v>
      </c>
      <c r="J51" s="63">
        <v>21026484161</v>
      </c>
      <c r="K51" s="64">
        <v>3.0990955746848056E-2</v>
      </c>
    </row>
    <row r="52" spans="1:11">
      <c r="A52" s="63" t="s">
        <v>302</v>
      </c>
      <c r="B52" s="63">
        <v>0</v>
      </c>
      <c r="C52" s="63">
        <v>-4250254064</v>
      </c>
      <c r="D52" s="63">
        <v>0</v>
      </c>
      <c r="E52" s="63">
        <v>-4250254064</v>
      </c>
      <c r="F52" s="64">
        <v>6.3163777207869793E-3</v>
      </c>
      <c r="G52" s="63">
        <v>0</v>
      </c>
      <c r="H52" s="63">
        <v>4168105562</v>
      </c>
      <c r="I52" s="63">
        <v>1737690281</v>
      </c>
      <c r="J52" s="63">
        <v>5905795843</v>
      </c>
      <c r="K52" s="64">
        <v>8.7045583188752971E-3</v>
      </c>
    </row>
    <row r="53" spans="1:11">
      <c r="A53" s="63" t="s">
        <v>353</v>
      </c>
      <c r="B53" s="63">
        <v>0</v>
      </c>
      <c r="C53" s="63">
        <v>-7573999887</v>
      </c>
      <c r="D53" s="63">
        <v>0</v>
      </c>
      <c r="E53" s="63">
        <v>-7573999887</v>
      </c>
      <c r="F53" s="64">
        <v>1.1255855161389218E-2</v>
      </c>
      <c r="G53" s="63">
        <v>0</v>
      </c>
      <c r="H53" s="63">
        <v>-6101720296</v>
      </c>
      <c r="I53" s="63">
        <v>38081113</v>
      </c>
      <c r="J53" s="63">
        <v>-6063639183</v>
      </c>
      <c r="K53" s="64">
        <v>-8.9372037734086734E-3</v>
      </c>
    </row>
    <row r="54" spans="1:11">
      <c r="A54" s="63" t="s">
        <v>250</v>
      </c>
      <c r="B54" s="63">
        <v>0</v>
      </c>
      <c r="C54" s="63">
        <v>-1794551351</v>
      </c>
      <c r="D54" s="63">
        <v>0</v>
      </c>
      <c r="E54" s="63">
        <v>-1794551351</v>
      </c>
      <c r="F54" s="64">
        <v>2.6669144953647586E-3</v>
      </c>
      <c r="G54" s="63">
        <v>7010721000</v>
      </c>
      <c r="H54" s="63">
        <v>-4140357783</v>
      </c>
      <c r="I54" s="63">
        <v>-10820188679</v>
      </c>
      <c r="J54" s="63">
        <v>-7949825462</v>
      </c>
      <c r="K54" s="64">
        <v>-1.1717255590688855E-2</v>
      </c>
    </row>
    <row r="55" spans="1:11">
      <c r="A55" s="63" t="s">
        <v>179</v>
      </c>
      <c r="B55" s="63">
        <v>0</v>
      </c>
      <c r="C55" s="63">
        <v>-8148918148</v>
      </c>
      <c r="D55" s="63">
        <v>0</v>
      </c>
      <c r="E55" s="63">
        <v>-8148918148</v>
      </c>
      <c r="F55" s="64">
        <v>1.2110251355210254E-2</v>
      </c>
      <c r="G55" s="63">
        <v>0</v>
      </c>
      <c r="H55" s="63">
        <v>-11811730775</v>
      </c>
      <c r="I55" s="63">
        <v>-204942200</v>
      </c>
      <c r="J55" s="63">
        <v>-12016672975</v>
      </c>
      <c r="K55" s="64">
        <v>-1.7711386151913786E-2</v>
      </c>
    </row>
    <row r="56" spans="1:11">
      <c r="A56" s="63" t="s">
        <v>174</v>
      </c>
      <c r="B56" s="63">
        <v>0</v>
      </c>
      <c r="C56" s="63">
        <v>-370593793</v>
      </c>
      <c r="D56" s="63">
        <v>0</v>
      </c>
      <c r="E56" s="63">
        <v>-370593793</v>
      </c>
      <c r="F56" s="64">
        <v>5.5074598890310984E-4</v>
      </c>
      <c r="G56" s="63">
        <v>1450000000</v>
      </c>
      <c r="H56" s="63">
        <v>2565233115</v>
      </c>
      <c r="I56" s="63">
        <v>211040316</v>
      </c>
      <c r="J56" s="63">
        <v>4226273431</v>
      </c>
      <c r="K56" s="64">
        <v>6.2291085790336714E-3</v>
      </c>
    </row>
    <row r="57" spans="1:11">
      <c r="A57" s="63" t="s">
        <v>329</v>
      </c>
      <c r="B57" s="63">
        <v>0</v>
      </c>
      <c r="C57" s="63">
        <v>-4032936762</v>
      </c>
      <c r="D57" s="63">
        <v>0</v>
      </c>
      <c r="E57" s="63">
        <v>-4032936762</v>
      </c>
      <c r="F57" s="64">
        <v>5.9934186355123219E-3</v>
      </c>
      <c r="G57" s="63">
        <v>0</v>
      </c>
      <c r="H57" s="63">
        <v>-6400656355</v>
      </c>
      <c r="I57" s="63">
        <v>-346795698</v>
      </c>
      <c r="J57" s="63">
        <v>-6747452053</v>
      </c>
      <c r="K57" s="64">
        <v>-9.9450762370610693E-3</v>
      </c>
    </row>
    <row r="58" spans="1:11">
      <c r="A58" s="63" t="s">
        <v>227</v>
      </c>
      <c r="B58" s="63">
        <v>0</v>
      </c>
      <c r="C58" s="63">
        <v>1417376637</v>
      </c>
      <c r="D58" s="63">
        <v>0</v>
      </c>
      <c r="E58" s="63">
        <v>1417376637</v>
      </c>
      <c r="F58" s="64">
        <v>-2.1063884833946184E-3</v>
      </c>
      <c r="G58" s="63">
        <v>5072230055</v>
      </c>
      <c r="H58" s="63">
        <v>8186571359</v>
      </c>
      <c r="I58" s="63">
        <v>-3418008040</v>
      </c>
      <c r="J58" s="63">
        <v>9840793374</v>
      </c>
      <c r="K58" s="64">
        <v>1.4504355061564663E-2</v>
      </c>
    </row>
    <row r="59" spans="1:11">
      <c r="A59" s="63" t="s">
        <v>171</v>
      </c>
      <c r="B59" s="63">
        <v>0</v>
      </c>
      <c r="C59" s="63">
        <v>142238484</v>
      </c>
      <c r="D59" s="63">
        <v>0</v>
      </c>
      <c r="E59" s="63">
        <v>142238484</v>
      </c>
      <c r="F59" s="64">
        <v>-2.1138312624318338E-4</v>
      </c>
      <c r="G59" s="63">
        <v>99999950</v>
      </c>
      <c r="H59" s="63">
        <v>1163826523</v>
      </c>
      <c r="I59" s="63">
        <v>734050907</v>
      </c>
      <c r="J59" s="63">
        <v>1997877380</v>
      </c>
      <c r="K59" s="64">
        <v>2.9446734412237594E-3</v>
      </c>
    </row>
    <row r="60" spans="1:11">
      <c r="A60" s="63" t="s">
        <v>216</v>
      </c>
      <c r="B60" s="63">
        <v>0</v>
      </c>
      <c r="C60" s="63">
        <v>-1535023771</v>
      </c>
      <c r="D60" s="63">
        <v>-59119644</v>
      </c>
      <c r="E60" s="63">
        <v>-1594143415</v>
      </c>
      <c r="F60" s="64">
        <v>2.3690847179071769E-3</v>
      </c>
      <c r="G60" s="63">
        <v>0</v>
      </c>
      <c r="H60" s="63">
        <v>-513278419</v>
      </c>
      <c r="I60" s="63">
        <v>52784970</v>
      </c>
      <c r="J60" s="63">
        <v>-460493449</v>
      </c>
      <c r="K60" s="64">
        <v>-6.7872174874307239E-4</v>
      </c>
    </row>
    <row r="61" spans="1:11">
      <c r="A61" s="63" t="s">
        <v>346</v>
      </c>
      <c r="B61" s="63">
        <v>0</v>
      </c>
      <c r="C61" s="63">
        <v>-3536450280</v>
      </c>
      <c r="D61" s="63">
        <v>0</v>
      </c>
      <c r="E61" s="63">
        <v>-3536450280</v>
      </c>
      <c r="F61" s="64">
        <v>5.2555812953545061E-3</v>
      </c>
      <c r="G61" s="63">
        <v>0</v>
      </c>
      <c r="H61" s="63">
        <v>3801211276</v>
      </c>
      <c r="I61" s="63">
        <v>209158348</v>
      </c>
      <c r="J61" s="63">
        <v>4010369624</v>
      </c>
      <c r="K61" s="64">
        <v>5.910887744914212E-3</v>
      </c>
    </row>
    <row r="62" spans="1:11">
      <c r="A62" s="63" t="s">
        <v>370</v>
      </c>
      <c r="B62" s="63">
        <v>0</v>
      </c>
      <c r="C62" s="63">
        <v>-2010409733</v>
      </c>
      <c r="D62" s="63">
        <v>0</v>
      </c>
      <c r="E62" s="63">
        <v>-2010409733</v>
      </c>
      <c r="F62" s="64">
        <v>2.9877054538296655E-3</v>
      </c>
      <c r="G62" s="63">
        <v>0</v>
      </c>
      <c r="H62" s="63">
        <v>-723053964</v>
      </c>
      <c r="I62" s="63">
        <v>0</v>
      </c>
      <c r="J62" s="63">
        <v>-723053964</v>
      </c>
      <c r="K62" s="64">
        <v>-1.0657099508090732E-3</v>
      </c>
    </row>
    <row r="63" spans="1:11">
      <c r="A63" s="63" t="s">
        <v>371</v>
      </c>
      <c r="B63" s="63">
        <v>0</v>
      </c>
      <c r="C63" s="63">
        <v>-889639117</v>
      </c>
      <c r="D63" s="63">
        <v>0</v>
      </c>
      <c r="E63" s="63">
        <v>-889639117</v>
      </c>
      <c r="F63" s="64">
        <v>1.3221084230600011E-3</v>
      </c>
      <c r="G63" s="63">
        <v>0</v>
      </c>
      <c r="H63" s="63">
        <v>505057284</v>
      </c>
      <c r="I63" s="63">
        <v>0</v>
      </c>
      <c r="J63" s="63">
        <v>505057284</v>
      </c>
      <c r="K63" s="64">
        <v>7.4440442911036188E-4</v>
      </c>
    </row>
    <row r="64" spans="1:11">
      <c r="A64" s="63" t="s">
        <v>372</v>
      </c>
      <c r="B64" s="63">
        <v>0</v>
      </c>
      <c r="C64" s="63">
        <v>-291559884</v>
      </c>
      <c r="D64" s="63">
        <v>0</v>
      </c>
      <c r="E64" s="63">
        <v>-291559884</v>
      </c>
      <c r="F64" s="64">
        <v>4.3329229919956052E-4</v>
      </c>
      <c r="G64" s="63">
        <v>0</v>
      </c>
      <c r="H64" s="63">
        <v>268973330</v>
      </c>
      <c r="I64" s="63">
        <v>0</v>
      </c>
      <c r="J64" s="63">
        <v>268973330</v>
      </c>
      <c r="K64" s="64">
        <v>3.9644005642053661E-4</v>
      </c>
    </row>
    <row r="65" spans="1:11">
      <c r="A65" s="63" t="s">
        <v>265</v>
      </c>
      <c r="B65" s="63">
        <v>0</v>
      </c>
      <c r="C65" s="63">
        <v>-11272006945</v>
      </c>
      <c r="D65" s="63">
        <v>1258025592</v>
      </c>
      <c r="E65" s="63">
        <v>-10013981353</v>
      </c>
      <c r="F65" s="64">
        <v>1.4881954763649501E-2</v>
      </c>
      <c r="G65" s="63">
        <v>0</v>
      </c>
      <c r="H65" s="63">
        <v>7732268655</v>
      </c>
      <c r="I65" s="63">
        <v>1258025592</v>
      </c>
      <c r="J65" s="63">
        <v>8990294247</v>
      </c>
      <c r="K65" s="64">
        <v>1.3250803559289337E-2</v>
      </c>
    </row>
    <row r="66" spans="1:11">
      <c r="A66" s="63" t="s">
        <v>222</v>
      </c>
      <c r="B66" s="63">
        <v>0</v>
      </c>
      <c r="C66" s="63">
        <v>-7122773811</v>
      </c>
      <c r="D66" s="63">
        <v>-223201260</v>
      </c>
      <c r="E66" s="63">
        <v>-7345975071</v>
      </c>
      <c r="F66" s="64">
        <v>1.0916983450220623E-2</v>
      </c>
      <c r="G66" s="63">
        <v>0</v>
      </c>
      <c r="H66" s="63">
        <v>-1243966813</v>
      </c>
      <c r="I66" s="63">
        <v>823874805</v>
      </c>
      <c r="J66" s="63">
        <v>-420092008</v>
      </c>
      <c r="K66" s="64">
        <v>-6.1917402499845058E-4</v>
      </c>
    </row>
    <row r="67" spans="1:11">
      <c r="A67" s="63" t="s">
        <v>373</v>
      </c>
      <c r="B67" s="63">
        <v>0</v>
      </c>
      <c r="C67" s="63">
        <v>-3315196752</v>
      </c>
      <c r="D67" s="63">
        <v>0</v>
      </c>
      <c r="E67" s="63">
        <v>-3315196752</v>
      </c>
      <c r="F67" s="64">
        <v>4.9267725150178594E-3</v>
      </c>
      <c r="G67" s="63">
        <v>2180218760</v>
      </c>
      <c r="H67" s="63">
        <v>-6865669160</v>
      </c>
      <c r="I67" s="63">
        <v>-1763883002</v>
      </c>
      <c r="J67" s="63">
        <v>-6449333402</v>
      </c>
      <c r="K67" s="64">
        <v>-9.5056788632677126E-3</v>
      </c>
    </row>
    <row r="68" spans="1:11">
      <c r="A68" s="63" t="s">
        <v>374</v>
      </c>
      <c r="B68" s="63">
        <v>0</v>
      </c>
      <c r="C68" s="63">
        <v>-616493385</v>
      </c>
      <c r="D68" s="63">
        <v>1084590037</v>
      </c>
      <c r="E68" s="63">
        <v>468096652</v>
      </c>
      <c r="F68" s="64">
        <v>-6.9564671178390424E-4</v>
      </c>
      <c r="G68" s="63">
        <v>0</v>
      </c>
      <c r="H68" s="63">
        <v>4249751309</v>
      </c>
      <c r="I68" s="63">
        <v>2875299131</v>
      </c>
      <c r="J68" s="63">
        <v>7125050440</v>
      </c>
      <c r="K68" s="64">
        <v>1.0501618872149031E-2</v>
      </c>
    </row>
    <row r="69" spans="1:11">
      <c r="A69" s="63" t="s">
        <v>375</v>
      </c>
      <c r="B69" s="63">
        <v>0</v>
      </c>
      <c r="C69" s="63">
        <v>201112410</v>
      </c>
      <c r="D69" s="63">
        <v>0</v>
      </c>
      <c r="E69" s="63">
        <v>201112410</v>
      </c>
      <c r="F69" s="64">
        <v>-2.9887670872603544E-4</v>
      </c>
      <c r="G69" s="63">
        <v>0</v>
      </c>
      <c r="H69" s="63">
        <v>4132320749</v>
      </c>
      <c r="I69" s="63">
        <v>0</v>
      </c>
      <c r="J69" s="63">
        <v>4132320749</v>
      </c>
      <c r="K69" s="64">
        <v>6.0906316283525731E-3</v>
      </c>
    </row>
    <row r="70" spans="1:11">
      <c r="A70" s="63" t="s">
        <v>331</v>
      </c>
      <c r="B70" s="63">
        <v>0</v>
      </c>
      <c r="C70" s="63">
        <v>-7119453899</v>
      </c>
      <c r="D70" s="63">
        <v>55804902</v>
      </c>
      <c r="E70" s="63">
        <v>-7063648997</v>
      </c>
      <c r="F70" s="64">
        <v>1.0497413679341427E-2</v>
      </c>
      <c r="G70" s="63">
        <v>3816783240</v>
      </c>
      <c r="H70" s="63">
        <v>61117938</v>
      </c>
      <c r="I70" s="63">
        <v>-188401459</v>
      </c>
      <c r="J70" s="63">
        <v>3689499719</v>
      </c>
      <c r="K70" s="64">
        <v>5.4379572754068737E-3</v>
      </c>
    </row>
    <row r="71" spans="1:11">
      <c r="A71" s="63" t="s">
        <v>333</v>
      </c>
      <c r="B71" s="63">
        <v>0</v>
      </c>
      <c r="C71" s="63">
        <v>-2445790027</v>
      </c>
      <c r="D71" s="63">
        <v>0</v>
      </c>
      <c r="E71" s="63">
        <v>-2445790027</v>
      </c>
      <c r="F71" s="64">
        <v>3.6347318074738469E-3</v>
      </c>
      <c r="G71" s="63">
        <v>3295057660</v>
      </c>
      <c r="H71" s="63">
        <v>2618886517</v>
      </c>
      <c r="I71" s="63">
        <v>1577105796</v>
      </c>
      <c r="J71" s="63">
        <v>7491049973</v>
      </c>
      <c r="K71" s="64">
        <v>1.1041065944884495E-2</v>
      </c>
    </row>
    <row r="72" spans="1:11">
      <c r="A72" s="63" t="s">
        <v>355</v>
      </c>
      <c r="B72" s="63">
        <v>0</v>
      </c>
      <c r="C72" s="63">
        <v>-1334721446</v>
      </c>
      <c r="D72" s="63">
        <v>0</v>
      </c>
      <c r="E72" s="63">
        <v>-1334721446</v>
      </c>
      <c r="F72" s="64">
        <v>1.9835531424765625E-3</v>
      </c>
      <c r="G72" s="63">
        <v>0</v>
      </c>
      <c r="H72" s="63">
        <v>2081517065</v>
      </c>
      <c r="I72" s="63">
        <v>64566946</v>
      </c>
      <c r="J72" s="63">
        <v>2146084011</v>
      </c>
      <c r="K72" s="64">
        <v>3.1631153408557327E-3</v>
      </c>
    </row>
    <row r="73" spans="1:11">
      <c r="A73" s="63" t="s">
        <v>225</v>
      </c>
      <c r="B73" s="63">
        <v>0</v>
      </c>
      <c r="C73" s="63">
        <v>-5117996825</v>
      </c>
      <c r="D73" s="63">
        <v>2091498786</v>
      </c>
      <c r="E73" s="63">
        <v>-3026498039</v>
      </c>
      <c r="F73" s="64">
        <v>4.4977322526348349E-3</v>
      </c>
      <c r="G73" s="63">
        <v>2863622210</v>
      </c>
      <c r="H73" s="63">
        <v>6868775299</v>
      </c>
      <c r="I73" s="63">
        <v>2446657772</v>
      </c>
      <c r="J73" s="63">
        <v>12179055281</v>
      </c>
      <c r="K73" s="64">
        <v>1.7950721592912108E-2</v>
      </c>
    </row>
    <row r="74" spans="1:11">
      <c r="A74" s="63" t="s">
        <v>243</v>
      </c>
      <c r="B74" s="63">
        <v>0</v>
      </c>
      <c r="C74" s="63">
        <v>-8022850835</v>
      </c>
      <c r="D74" s="63">
        <v>0</v>
      </c>
      <c r="E74" s="63">
        <v>-8022850835</v>
      </c>
      <c r="F74" s="64">
        <v>1.1922900492141312E-2</v>
      </c>
      <c r="G74" s="63">
        <v>4034657942</v>
      </c>
      <c r="H74" s="63">
        <v>-14377935869</v>
      </c>
      <c r="I74" s="63">
        <v>-6817238234</v>
      </c>
      <c r="J74" s="63">
        <v>-17160516161</v>
      </c>
      <c r="K74" s="64">
        <v>-2.5292901697995002E-2</v>
      </c>
    </row>
    <row r="75" spans="1:11">
      <c r="A75" s="63" t="s">
        <v>188</v>
      </c>
      <c r="B75" s="63">
        <v>0</v>
      </c>
      <c r="C75" s="63">
        <v>-4267606968</v>
      </c>
      <c r="D75" s="63">
        <v>33205054</v>
      </c>
      <c r="E75" s="63">
        <v>-4234401914</v>
      </c>
      <c r="F75" s="64">
        <v>6.2928195603620136E-3</v>
      </c>
      <c r="G75" s="63">
        <v>544518100</v>
      </c>
      <c r="H75" s="63">
        <v>2387997493</v>
      </c>
      <c r="I75" s="63">
        <v>15550771352</v>
      </c>
      <c r="J75" s="63">
        <v>18483286945</v>
      </c>
      <c r="K75" s="64">
        <v>2.7242534861403423E-2</v>
      </c>
    </row>
    <row r="76" spans="1:11">
      <c r="A76" s="63" t="s">
        <v>193</v>
      </c>
      <c r="B76" s="63">
        <v>0</v>
      </c>
      <c r="C76" s="63">
        <v>-3035048687</v>
      </c>
      <c r="D76" s="63">
        <v>437215514</v>
      </c>
      <c r="E76" s="63">
        <v>-2597833173</v>
      </c>
      <c r="F76" s="64">
        <v>3.8606858152888403E-3</v>
      </c>
      <c r="G76" s="63">
        <v>4445453740</v>
      </c>
      <c r="H76" s="63">
        <v>2984824389</v>
      </c>
      <c r="I76" s="63">
        <v>129045433</v>
      </c>
      <c r="J76" s="63">
        <v>7559323562</v>
      </c>
      <c r="K76" s="64">
        <v>1.1141694455061293E-2</v>
      </c>
    </row>
    <row r="77" spans="1:11">
      <c r="A77" s="63" t="s">
        <v>322</v>
      </c>
      <c r="B77" s="63">
        <v>0</v>
      </c>
      <c r="C77" s="63">
        <v>-12241519808</v>
      </c>
      <c r="D77" s="63">
        <v>3558007635</v>
      </c>
      <c r="E77" s="63">
        <v>-8683512173</v>
      </c>
      <c r="F77" s="64">
        <v>1.290472098886739E-2</v>
      </c>
      <c r="G77" s="63">
        <v>10632176000</v>
      </c>
      <c r="H77" s="63">
        <v>9412076590</v>
      </c>
      <c r="I77" s="63">
        <v>2191515608</v>
      </c>
      <c r="J77" s="63">
        <v>22235768198</v>
      </c>
      <c r="K77" s="64">
        <v>3.2773320681902154E-2</v>
      </c>
    </row>
    <row r="78" spans="1:11">
      <c r="A78" s="63" t="s">
        <v>259</v>
      </c>
      <c r="B78" s="63">
        <v>0</v>
      </c>
      <c r="C78" s="63">
        <v>-646965150</v>
      </c>
      <c r="D78" s="63">
        <v>0</v>
      </c>
      <c r="E78" s="63">
        <v>-646965150</v>
      </c>
      <c r="F78" s="64">
        <v>9.6146634955269962E-4</v>
      </c>
      <c r="G78" s="63">
        <v>370000000</v>
      </c>
      <c r="H78" s="63">
        <v>913421669</v>
      </c>
      <c r="I78" s="63">
        <v>1061901905</v>
      </c>
      <c r="J78" s="63">
        <v>2345323574</v>
      </c>
      <c r="K78" s="64">
        <v>3.4567747293048515E-3</v>
      </c>
    </row>
    <row r="79" spans="1:11">
      <c r="A79" s="63" t="s">
        <v>327</v>
      </c>
      <c r="B79" s="63">
        <v>0</v>
      </c>
      <c r="C79" s="63">
        <v>-1939936641</v>
      </c>
      <c r="D79" s="63">
        <v>388457108</v>
      </c>
      <c r="E79" s="63">
        <v>-1551479533</v>
      </c>
      <c r="F79" s="64">
        <v>2.3056811684512481E-3</v>
      </c>
      <c r="G79" s="63">
        <v>293697600</v>
      </c>
      <c r="H79" s="63">
        <v>2841041441</v>
      </c>
      <c r="I79" s="63">
        <v>1297857400</v>
      </c>
      <c r="J79" s="63">
        <v>4432596441</v>
      </c>
      <c r="K79" s="64">
        <v>6.5332082670036826E-3</v>
      </c>
    </row>
    <row r="80" spans="1:11">
      <c r="A80" s="63" t="s">
        <v>376</v>
      </c>
      <c r="B80" s="63">
        <v>0</v>
      </c>
      <c r="C80" s="63">
        <v>-131277321</v>
      </c>
      <c r="D80" s="63">
        <v>0</v>
      </c>
      <c r="E80" s="63">
        <v>-131277321</v>
      </c>
      <c r="F80" s="64">
        <v>1.9509354808512939E-4</v>
      </c>
      <c r="G80" s="63">
        <v>24500000</v>
      </c>
      <c r="H80" s="63">
        <v>743226488</v>
      </c>
      <c r="I80" s="63">
        <v>0</v>
      </c>
      <c r="J80" s="63">
        <v>767726488</v>
      </c>
      <c r="K80" s="64">
        <v>1.1315528280006809E-3</v>
      </c>
    </row>
    <row r="81" spans="1:11">
      <c r="A81" s="63" t="s">
        <v>347</v>
      </c>
      <c r="B81" s="63">
        <v>0</v>
      </c>
      <c r="C81" s="63">
        <v>3237474844</v>
      </c>
      <c r="D81" s="63">
        <v>0</v>
      </c>
      <c r="E81" s="63">
        <v>3237474844</v>
      </c>
      <c r="F81" s="64">
        <v>-4.8112686132002255E-3</v>
      </c>
      <c r="G81" s="63">
        <v>49200</v>
      </c>
      <c r="H81" s="63">
        <v>177087587</v>
      </c>
      <c r="I81" s="63">
        <v>-474917860</v>
      </c>
      <c r="J81" s="63">
        <v>-297781073</v>
      </c>
      <c r="K81" s="64">
        <v>-4.3889981724614822E-4</v>
      </c>
    </row>
    <row r="82" spans="1:11">
      <c r="A82" s="63" t="s">
        <v>198</v>
      </c>
      <c r="B82" s="63">
        <v>0</v>
      </c>
      <c r="C82" s="63">
        <v>-2136572583</v>
      </c>
      <c r="D82" s="63">
        <v>0</v>
      </c>
      <c r="E82" s="63">
        <v>-2136572583</v>
      </c>
      <c r="F82" s="64">
        <v>3.1751982961236666E-3</v>
      </c>
      <c r="G82" s="63">
        <v>0</v>
      </c>
      <c r="H82" s="63">
        <v>1229748320</v>
      </c>
      <c r="I82" s="63">
        <v>964210312</v>
      </c>
      <c r="J82" s="63">
        <v>2193958632</v>
      </c>
      <c r="K82" s="64">
        <v>3.2336777919744061E-3</v>
      </c>
    </row>
    <row r="83" spans="1:11">
      <c r="A83" s="63" t="s">
        <v>301</v>
      </c>
      <c r="B83" s="63">
        <v>0</v>
      </c>
      <c r="C83" s="63">
        <v>-4254482904</v>
      </c>
      <c r="D83" s="63">
        <v>0</v>
      </c>
      <c r="E83" s="63">
        <v>-4254482904</v>
      </c>
      <c r="F83" s="64">
        <v>6.3226622746885954E-3</v>
      </c>
      <c r="G83" s="63">
        <v>0</v>
      </c>
      <c r="H83" s="63">
        <v>-1021335398</v>
      </c>
      <c r="I83" s="63">
        <v>2292798371</v>
      </c>
      <c r="J83" s="63">
        <v>1271462973</v>
      </c>
      <c r="K83" s="64">
        <v>1.8740105301620171E-3</v>
      </c>
    </row>
    <row r="84" spans="1:11">
      <c r="A84" s="63" t="s">
        <v>377</v>
      </c>
      <c r="B84" s="63">
        <v>0</v>
      </c>
      <c r="C84" s="63">
        <v>-3846979391</v>
      </c>
      <c r="D84" s="63">
        <v>0</v>
      </c>
      <c r="E84" s="63">
        <v>-3846979391</v>
      </c>
      <c r="F84" s="64">
        <v>5.7170640982272961E-3</v>
      </c>
      <c r="G84" s="63">
        <v>3010453000</v>
      </c>
      <c r="H84" s="63">
        <v>11979739938</v>
      </c>
      <c r="I84" s="63">
        <v>236535637</v>
      </c>
      <c r="J84" s="63">
        <v>15226728575</v>
      </c>
      <c r="K84" s="64">
        <v>2.2442690267370363E-2</v>
      </c>
    </row>
    <row r="85" spans="1:11">
      <c r="A85" s="63" t="s">
        <v>378</v>
      </c>
      <c r="B85" s="63">
        <v>0</v>
      </c>
      <c r="C85" s="63">
        <v>-381031680</v>
      </c>
      <c r="D85" s="63">
        <v>0</v>
      </c>
      <c r="E85" s="63">
        <v>-381031680</v>
      </c>
      <c r="F85" s="64">
        <v>5.6625791734459321E-4</v>
      </c>
      <c r="G85" s="63">
        <v>0</v>
      </c>
      <c r="H85" s="63">
        <v>-277529487</v>
      </c>
      <c r="I85" s="63">
        <v>0</v>
      </c>
      <c r="J85" s="63">
        <v>-277529487</v>
      </c>
      <c r="K85" s="64">
        <v>-4.0905098466321018E-4</v>
      </c>
    </row>
    <row r="86" spans="1:11">
      <c r="A86" s="63" t="s">
        <v>379</v>
      </c>
      <c r="B86" s="63">
        <v>0</v>
      </c>
      <c r="C86" s="63">
        <v>-5944415058</v>
      </c>
      <c r="D86" s="63">
        <v>0</v>
      </c>
      <c r="E86" s="63">
        <v>-5944415058</v>
      </c>
      <c r="F86" s="64">
        <v>8.8341003314341728E-3</v>
      </c>
      <c r="G86" s="63">
        <v>0</v>
      </c>
      <c r="H86" s="63">
        <v>4239853678</v>
      </c>
      <c r="I86" s="63">
        <v>0</v>
      </c>
      <c r="J86" s="63">
        <v>4239853678</v>
      </c>
      <c r="K86" s="64">
        <v>6.249124518483448E-3</v>
      </c>
    </row>
    <row r="87" spans="1:11">
      <c r="A87" s="63" t="s">
        <v>247</v>
      </c>
      <c r="B87" s="63">
        <v>0</v>
      </c>
      <c r="C87" s="63">
        <v>3224605290</v>
      </c>
      <c r="D87" s="63">
        <v>0</v>
      </c>
      <c r="E87" s="63">
        <v>3224605290</v>
      </c>
      <c r="F87" s="64">
        <v>-4.7921429414314268E-3</v>
      </c>
      <c r="G87" s="63">
        <v>1650000000</v>
      </c>
      <c r="H87" s="63">
        <v>2046852749</v>
      </c>
      <c r="I87" s="63">
        <v>713340789</v>
      </c>
      <c r="J87" s="63">
        <v>4410193538</v>
      </c>
      <c r="K87" s="64">
        <v>6.5001886061722396E-3</v>
      </c>
    </row>
    <row r="88" spans="1:11">
      <c r="A88" s="63" t="s">
        <v>190</v>
      </c>
      <c r="B88" s="63">
        <v>0</v>
      </c>
      <c r="C88" s="63">
        <v>3987506059</v>
      </c>
      <c r="D88" s="63">
        <v>0</v>
      </c>
      <c r="E88" s="63">
        <v>3987506059</v>
      </c>
      <c r="F88" s="64">
        <v>-5.9259032644432266E-3</v>
      </c>
      <c r="G88" s="63">
        <v>0</v>
      </c>
      <c r="H88" s="63">
        <v>12361980884</v>
      </c>
      <c r="I88" s="63">
        <v>352329641</v>
      </c>
      <c r="J88" s="63">
        <v>12714310525</v>
      </c>
      <c r="K88" s="64">
        <v>1.8739634825055786E-2</v>
      </c>
    </row>
    <row r="89" spans="1:11">
      <c r="A89" s="63" t="s">
        <v>230</v>
      </c>
      <c r="B89" s="63">
        <v>0</v>
      </c>
      <c r="C89" s="63">
        <v>-4354962362</v>
      </c>
      <c r="D89" s="63">
        <v>0</v>
      </c>
      <c r="E89" s="63">
        <v>-4354962362</v>
      </c>
      <c r="F89" s="64">
        <v>6.4719865739778139E-3</v>
      </c>
      <c r="G89" s="63">
        <v>2994487650</v>
      </c>
      <c r="H89" s="63">
        <v>-1290505107</v>
      </c>
      <c r="I89" s="63">
        <v>598659477</v>
      </c>
      <c r="J89" s="63">
        <v>2302642020</v>
      </c>
      <c r="K89" s="64">
        <v>3.3938663447602717E-3</v>
      </c>
    </row>
    <row r="90" spans="1:11">
      <c r="A90" s="63" t="s">
        <v>249</v>
      </c>
      <c r="B90" s="63">
        <v>0</v>
      </c>
      <c r="C90" s="63">
        <v>-5144764503</v>
      </c>
      <c r="D90" s="63">
        <v>0</v>
      </c>
      <c r="E90" s="63">
        <v>-5144764503</v>
      </c>
      <c r="F90" s="64">
        <v>7.64572550160966E-3</v>
      </c>
      <c r="G90" s="63">
        <v>0</v>
      </c>
      <c r="H90" s="63">
        <v>-5287577146</v>
      </c>
      <c r="I90" s="63">
        <v>-1536533352</v>
      </c>
      <c r="J90" s="63">
        <v>-6824110498</v>
      </c>
      <c r="K90" s="64">
        <v>-1.0058063194767659E-2</v>
      </c>
    </row>
    <row r="91" spans="1:11">
      <c r="A91" s="63" t="s">
        <v>181</v>
      </c>
      <c r="B91" s="63">
        <v>0</v>
      </c>
      <c r="C91" s="63">
        <v>-2930943199</v>
      </c>
      <c r="D91" s="63">
        <v>-234834021</v>
      </c>
      <c r="E91" s="63">
        <v>-3165777220</v>
      </c>
      <c r="F91" s="64">
        <v>4.7047175063610362E-3</v>
      </c>
      <c r="G91" s="63">
        <v>6240576192</v>
      </c>
      <c r="H91" s="63">
        <v>-3142655621</v>
      </c>
      <c r="I91" s="63">
        <v>-621421413</v>
      </c>
      <c r="J91" s="63">
        <v>2476499158</v>
      </c>
      <c r="K91" s="64">
        <v>3.6501145519629448E-3</v>
      </c>
    </row>
    <row r="92" spans="1:11">
      <c r="A92" s="63" t="s">
        <v>184</v>
      </c>
      <c r="B92" s="63">
        <v>0</v>
      </c>
      <c r="C92" s="63">
        <v>-9628453098</v>
      </c>
      <c r="D92" s="63">
        <v>0</v>
      </c>
      <c r="E92" s="63">
        <v>-9628453098</v>
      </c>
      <c r="F92" s="64">
        <v>1.4309014406685494E-2</v>
      </c>
      <c r="G92" s="63">
        <v>0</v>
      </c>
      <c r="H92" s="63">
        <v>-4099990571</v>
      </c>
      <c r="I92" s="63">
        <v>627471740</v>
      </c>
      <c r="J92" s="63">
        <v>-3472518831</v>
      </c>
      <c r="K92" s="64">
        <v>-5.1181489305390081E-3</v>
      </c>
    </row>
    <row r="93" spans="1:11">
      <c r="A93" s="63" t="s">
        <v>321</v>
      </c>
      <c r="B93" s="63">
        <v>0</v>
      </c>
      <c r="C93" s="63">
        <v>-4321040173</v>
      </c>
      <c r="D93" s="63">
        <v>0</v>
      </c>
      <c r="E93" s="63">
        <v>-4321040173</v>
      </c>
      <c r="F93" s="64">
        <v>6.4215742090665559E-3</v>
      </c>
      <c r="G93" s="63">
        <v>3073492300</v>
      </c>
      <c r="H93" s="63">
        <v>-2436794733</v>
      </c>
      <c r="I93" s="63">
        <v>-8985536930</v>
      </c>
      <c r="J93" s="63">
        <v>-8348839363</v>
      </c>
      <c r="K93" s="64">
        <v>-1.2305362572987132E-2</v>
      </c>
    </row>
    <row r="94" spans="1:11">
      <c r="A94" s="63" t="s">
        <v>279</v>
      </c>
      <c r="B94" s="63">
        <v>0</v>
      </c>
      <c r="C94" s="63">
        <v>-9109612055</v>
      </c>
      <c r="D94" s="63">
        <v>737581989</v>
      </c>
      <c r="E94" s="63">
        <v>-8372030066</v>
      </c>
      <c r="F94" s="64">
        <v>1.244182192178739E-2</v>
      </c>
      <c r="G94" s="63">
        <v>10319249000</v>
      </c>
      <c r="H94" s="63">
        <v>5498709843</v>
      </c>
      <c r="I94" s="63">
        <v>13857629339</v>
      </c>
      <c r="J94" s="63">
        <v>29675588182</v>
      </c>
      <c r="K94" s="64">
        <v>4.3738878695462814E-2</v>
      </c>
    </row>
    <row r="95" spans="1:11">
      <c r="A95" s="63" t="s">
        <v>204</v>
      </c>
      <c r="B95" s="63">
        <v>0</v>
      </c>
      <c r="C95" s="63">
        <v>-5649631020</v>
      </c>
      <c r="D95" s="63">
        <v>0</v>
      </c>
      <c r="E95" s="63">
        <v>-5649631020</v>
      </c>
      <c r="F95" s="64">
        <v>8.3960165599632295E-3</v>
      </c>
      <c r="G95" s="63">
        <v>14908718125</v>
      </c>
      <c r="H95" s="63">
        <v>8789983976</v>
      </c>
      <c r="I95" s="63">
        <v>10189075082</v>
      </c>
      <c r="J95" s="63">
        <v>33887777183</v>
      </c>
      <c r="K95" s="64">
        <v>4.9947228219225648E-2</v>
      </c>
    </row>
    <row r="96" spans="1:11">
      <c r="A96" s="63" t="s">
        <v>338</v>
      </c>
      <c r="B96" s="63">
        <v>0</v>
      </c>
      <c r="C96" s="63">
        <v>1934470505</v>
      </c>
      <c r="D96" s="63">
        <v>-1315991641</v>
      </c>
      <c r="E96" s="63">
        <v>618478864</v>
      </c>
      <c r="F96" s="64">
        <v>-9.1913237621157884E-4</v>
      </c>
      <c r="G96" s="63">
        <v>6902065990</v>
      </c>
      <c r="H96" s="63">
        <v>-1880117791</v>
      </c>
      <c r="I96" s="63">
        <v>-20941216962</v>
      </c>
      <c r="J96" s="63">
        <v>-15919268763</v>
      </c>
      <c r="K96" s="64">
        <v>-2.3463425933632178E-2</v>
      </c>
    </row>
    <row r="97" spans="1:11">
      <c r="A97" s="63" t="s">
        <v>201</v>
      </c>
      <c r="B97" s="63">
        <v>0</v>
      </c>
      <c r="C97" s="63">
        <v>-6262612878</v>
      </c>
      <c r="D97" s="63">
        <v>0</v>
      </c>
      <c r="E97" s="63">
        <v>-6262612878</v>
      </c>
      <c r="F97" s="64">
        <v>9.3069797383559007E-3</v>
      </c>
      <c r="G97" s="63">
        <v>1524233883</v>
      </c>
      <c r="H97" s="63">
        <v>-880323447</v>
      </c>
      <c r="I97" s="63">
        <v>3600758033</v>
      </c>
      <c r="J97" s="63">
        <v>4244668469</v>
      </c>
      <c r="K97" s="64">
        <v>6.256221043687984E-3</v>
      </c>
    </row>
    <row r="98" spans="1:11">
      <c r="A98" s="63" t="s">
        <v>213</v>
      </c>
      <c r="B98" s="63">
        <v>0</v>
      </c>
      <c r="C98" s="63">
        <v>-11540663627</v>
      </c>
      <c r="D98" s="63">
        <v>313346373</v>
      </c>
      <c r="E98" s="63">
        <v>-11227317254</v>
      </c>
      <c r="F98" s="64">
        <v>1.6685114701268561E-2</v>
      </c>
      <c r="G98" s="63">
        <v>0</v>
      </c>
      <c r="H98" s="63">
        <v>8117561205</v>
      </c>
      <c r="I98" s="63">
        <v>437872051</v>
      </c>
      <c r="J98" s="63">
        <v>8555433256</v>
      </c>
      <c r="K98" s="64">
        <v>1.2609861515678059E-2</v>
      </c>
    </row>
    <row r="99" spans="1:11">
      <c r="A99" s="63" t="s">
        <v>325</v>
      </c>
      <c r="B99" s="63">
        <v>3747255000</v>
      </c>
      <c r="C99" s="63">
        <v>-7734040535</v>
      </c>
      <c r="D99" s="63">
        <v>0</v>
      </c>
      <c r="E99" s="63">
        <v>-3986785535</v>
      </c>
      <c r="F99" s="64">
        <v>5.9248324809859643E-3</v>
      </c>
      <c r="G99" s="63">
        <v>3747255000</v>
      </c>
      <c r="H99" s="63">
        <v>5146759979</v>
      </c>
      <c r="I99" s="63">
        <v>2370878553</v>
      </c>
      <c r="J99" s="63">
        <v>11264893532</v>
      </c>
      <c r="K99" s="64">
        <v>1.6603337689269852E-2</v>
      </c>
    </row>
    <row r="100" spans="1:11">
      <c r="A100" s="63" t="s">
        <v>203</v>
      </c>
      <c r="B100" s="63">
        <v>0</v>
      </c>
      <c r="C100" s="63">
        <v>-7480685636</v>
      </c>
      <c r="D100" s="63">
        <v>-316326654</v>
      </c>
      <c r="E100" s="63">
        <v>-7797012290</v>
      </c>
      <c r="F100" s="64">
        <v>1.1587277836965152E-2</v>
      </c>
      <c r="G100" s="63">
        <v>0</v>
      </c>
      <c r="H100" s="63">
        <v>-11740489396</v>
      </c>
      <c r="I100" s="63">
        <v>-411628352</v>
      </c>
      <c r="J100" s="63">
        <v>-12152117748</v>
      </c>
      <c r="K100" s="64">
        <v>-1.79110183364504E-2</v>
      </c>
    </row>
    <row r="101" spans="1:11">
      <c r="A101" s="63" t="s">
        <v>207</v>
      </c>
      <c r="B101" s="63">
        <v>0</v>
      </c>
      <c r="C101" s="63">
        <v>-2763384392</v>
      </c>
      <c r="D101" s="63">
        <v>0</v>
      </c>
      <c r="E101" s="63">
        <v>-2763384392</v>
      </c>
      <c r="F101" s="64">
        <v>4.1067144092493176E-3</v>
      </c>
      <c r="G101" s="63">
        <v>0</v>
      </c>
      <c r="H101" s="63">
        <v>3935762417</v>
      </c>
      <c r="I101" s="63">
        <v>2186548267</v>
      </c>
      <c r="J101" s="63">
        <v>6122310684</v>
      </c>
      <c r="K101" s="64">
        <v>9.0236797566101215E-3</v>
      </c>
    </row>
    <row r="102" spans="1:11">
      <c r="A102" s="63" t="s">
        <v>339</v>
      </c>
      <c r="B102" s="63">
        <v>0</v>
      </c>
      <c r="C102" s="63">
        <v>-3950195539</v>
      </c>
      <c r="D102" s="63">
        <v>85897983</v>
      </c>
      <c r="E102" s="63">
        <v>-3864297556</v>
      </c>
      <c r="F102" s="64">
        <v>5.7428009294669714E-3</v>
      </c>
      <c r="G102" s="63">
        <v>2494455880</v>
      </c>
      <c r="H102" s="63">
        <v>1054036960</v>
      </c>
      <c r="I102" s="63">
        <v>-1069376930</v>
      </c>
      <c r="J102" s="63">
        <v>2479115910</v>
      </c>
      <c r="K102" s="64">
        <v>3.6539713853170866E-3</v>
      </c>
    </row>
    <row r="103" spans="1:11">
      <c r="A103" s="63" t="s">
        <v>233</v>
      </c>
      <c r="B103" s="63">
        <v>0</v>
      </c>
      <c r="C103" s="63">
        <v>-4537015209</v>
      </c>
      <c r="D103" s="63">
        <v>-1549755966</v>
      </c>
      <c r="E103" s="63">
        <v>-6086771175</v>
      </c>
      <c r="F103" s="64">
        <v>9.0456582741587337E-3</v>
      </c>
      <c r="G103" s="63">
        <v>0</v>
      </c>
      <c r="H103" s="63">
        <v>-5309718170</v>
      </c>
      <c r="I103" s="63">
        <v>-2840447169</v>
      </c>
      <c r="J103" s="63">
        <v>-8150165339</v>
      </c>
      <c r="K103" s="64">
        <v>-1.2012536733027998E-2</v>
      </c>
    </row>
    <row r="104" spans="1:11">
      <c r="A104" s="63" t="s">
        <v>269</v>
      </c>
      <c r="B104" s="63">
        <v>0</v>
      </c>
      <c r="C104" s="63">
        <v>-1791245955</v>
      </c>
      <c r="D104" s="63">
        <v>70881184</v>
      </c>
      <c r="E104" s="63">
        <v>-1720364771</v>
      </c>
      <c r="F104" s="64">
        <v>2.5566645070023261E-3</v>
      </c>
      <c r="G104" s="63">
        <v>0</v>
      </c>
      <c r="H104" s="63">
        <v>5855315</v>
      </c>
      <c r="I104" s="63">
        <v>70881184</v>
      </c>
      <c r="J104" s="63">
        <v>76736499</v>
      </c>
      <c r="K104" s="64">
        <v>1.1310200157418748E-4</v>
      </c>
    </row>
    <row r="105" spans="1:11">
      <c r="A105" s="63" t="s">
        <v>324</v>
      </c>
      <c r="B105" s="63">
        <v>0</v>
      </c>
      <c r="C105" s="63">
        <v>-913723395</v>
      </c>
      <c r="D105" s="63">
        <v>0</v>
      </c>
      <c r="E105" s="63">
        <v>-913723395</v>
      </c>
      <c r="F105" s="64">
        <v>1.3579004944726148E-3</v>
      </c>
      <c r="G105" s="63">
        <v>0</v>
      </c>
      <c r="H105" s="63">
        <v>9711194100</v>
      </c>
      <c r="I105" s="63">
        <v>5475603029</v>
      </c>
      <c r="J105" s="63">
        <v>15186797129</v>
      </c>
      <c r="K105" s="64">
        <v>2.2383835269719876E-2</v>
      </c>
    </row>
    <row r="106" spans="1:11">
      <c r="A106" s="63" t="s">
        <v>219</v>
      </c>
      <c r="B106" s="63">
        <v>0</v>
      </c>
      <c r="C106" s="63">
        <v>-7782051658</v>
      </c>
      <c r="D106" s="63">
        <v>-497316781</v>
      </c>
      <c r="E106" s="63">
        <v>-8279368439</v>
      </c>
      <c r="F106" s="64">
        <v>1.23041158393882E-2</v>
      </c>
      <c r="G106" s="63">
        <v>0</v>
      </c>
      <c r="H106" s="63">
        <v>-3623135614</v>
      </c>
      <c r="I106" s="63">
        <v>-225139990</v>
      </c>
      <c r="J106" s="63">
        <v>-3848275604</v>
      </c>
      <c r="K106" s="64">
        <v>-5.671977208935676E-3</v>
      </c>
    </row>
    <row r="107" spans="1:11">
      <c r="A107" s="63" t="s">
        <v>218</v>
      </c>
      <c r="B107" s="63">
        <v>0</v>
      </c>
      <c r="C107" s="63">
        <v>-3482584855</v>
      </c>
      <c r="D107" s="63">
        <v>1137247563</v>
      </c>
      <c r="E107" s="63">
        <v>-2345337292</v>
      </c>
      <c r="F107" s="64">
        <v>3.4854472217074658E-3</v>
      </c>
      <c r="G107" s="63">
        <v>0</v>
      </c>
      <c r="H107" s="63">
        <v>7830782099</v>
      </c>
      <c r="I107" s="63">
        <v>1450000742</v>
      </c>
      <c r="J107" s="63">
        <v>9280782841</v>
      </c>
      <c r="K107" s="64">
        <v>1.3678954984543589E-2</v>
      </c>
    </row>
    <row r="108" spans="1:11">
      <c r="A108" s="63" t="s">
        <v>380</v>
      </c>
      <c r="B108" s="63">
        <v>0</v>
      </c>
      <c r="C108" s="63">
        <v>-752290791</v>
      </c>
      <c r="D108" s="63">
        <v>0</v>
      </c>
      <c r="E108" s="63">
        <v>-752290791</v>
      </c>
      <c r="F108" s="64">
        <v>1.1179926470921702E-3</v>
      </c>
      <c r="G108" s="63">
        <v>0</v>
      </c>
      <c r="H108" s="63">
        <v>1974650459</v>
      </c>
      <c r="I108" s="63">
        <v>0</v>
      </c>
      <c r="J108" s="63">
        <v>1974650459</v>
      </c>
      <c r="K108" s="64">
        <v>2.9104392594492489E-3</v>
      </c>
    </row>
    <row r="109" spans="1:11">
      <c r="A109" s="63" t="s">
        <v>245</v>
      </c>
      <c r="B109" s="63">
        <v>0</v>
      </c>
      <c r="C109" s="63">
        <v>-591640988</v>
      </c>
      <c r="D109" s="63">
        <v>0</v>
      </c>
      <c r="E109" s="63">
        <v>-591640988</v>
      </c>
      <c r="F109" s="64">
        <v>8.7924813411991755E-4</v>
      </c>
      <c r="G109" s="63">
        <v>0</v>
      </c>
      <c r="H109" s="63">
        <v>-25819186</v>
      </c>
      <c r="I109" s="63">
        <v>996775833</v>
      </c>
      <c r="J109" s="63">
        <v>970956647</v>
      </c>
      <c r="K109" s="64">
        <v>1.4310939598307945E-3</v>
      </c>
    </row>
    <row r="110" spans="1:11">
      <c r="A110" s="63" t="s">
        <v>381</v>
      </c>
      <c r="B110" s="63">
        <v>0</v>
      </c>
      <c r="C110" s="63">
        <v>-2508541703</v>
      </c>
      <c r="D110" s="63">
        <v>0</v>
      </c>
      <c r="E110" s="63">
        <v>-2508541703</v>
      </c>
      <c r="F110" s="64">
        <v>3.7279881828010709E-3</v>
      </c>
      <c r="G110" s="63">
        <v>0</v>
      </c>
      <c r="H110" s="63">
        <v>-5069051821</v>
      </c>
      <c r="I110" s="63">
        <v>0</v>
      </c>
      <c r="J110" s="63">
        <v>-5069051821</v>
      </c>
      <c r="K110" s="64">
        <v>-7.4712804794284391E-3</v>
      </c>
    </row>
    <row r="111" spans="1:11">
      <c r="A111" s="63" t="s">
        <v>254</v>
      </c>
      <c r="B111" s="63">
        <v>0</v>
      </c>
      <c r="C111" s="63">
        <v>-5344429999</v>
      </c>
      <c r="D111" s="63">
        <v>-427316004</v>
      </c>
      <c r="E111" s="63">
        <v>-5771746003</v>
      </c>
      <c r="F111" s="64">
        <v>8.5774937955310181E-3</v>
      </c>
      <c r="G111" s="63">
        <v>4080000000</v>
      </c>
      <c r="H111" s="63">
        <v>-2783506975</v>
      </c>
      <c r="I111" s="63">
        <v>-427316004</v>
      </c>
      <c r="J111" s="63">
        <v>869177021</v>
      </c>
      <c r="K111" s="64">
        <v>1.2810808686670679E-3</v>
      </c>
    </row>
    <row r="112" spans="1:11">
      <c r="A112" s="63" t="s">
        <v>291</v>
      </c>
      <c r="B112" s="63">
        <v>0</v>
      </c>
      <c r="C112" s="63">
        <v>-1821553843</v>
      </c>
      <c r="D112" s="63">
        <v>1442244741</v>
      </c>
      <c r="E112" s="63">
        <v>-379309102</v>
      </c>
      <c r="F112" s="64">
        <v>5.6369796371883796E-4</v>
      </c>
      <c r="G112" s="63">
        <v>0</v>
      </c>
      <c r="H112" s="63">
        <v>-148369783</v>
      </c>
      <c r="I112" s="63">
        <v>1442244741</v>
      </c>
      <c r="J112" s="63">
        <v>1293874958</v>
      </c>
      <c r="K112" s="64">
        <v>1.9070435769622193E-3</v>
      </c>
    </row>
    <row r="113" spans="1:11">
      <c r="A113" s="63" t="s">
        <v>382</v>
      </c>
      <c r="B113" s="63">
        <v>0</v>
      </c>
      <c r="C113" s="63">
        <v>1898031090</v>
      </c>
      <c r="D113" s="63">
        <v>0</v>
      </c>
      <c r="E113" s="63">
        <v>1898031090</v>
      </c>
      <c r="F113" s="64">
        <v>-2.8206975653013635E-3</v>
      </c>
      <c r="G113" s="63">
        <v>0</v>
      </c>
      <c r="H113" s="63">
        <v>1898031090</v>
      </c>
      <c r="I113" s="63">
        <v>0</v>
      </c>
      <c r="J113" s="63">
        <v>1898031090</v>
      </c>
      <c r="K113" s="64">
        <v>2.7975098958976066E-3</v>
      </c>
    </row>
    <row r="114" spans="1:11">
      <c r="A114" s="63" t="s">
        <v>383</v>
      </c>
      <c r="B114" s="63">
        <v>0</v>
      </c>
      <c r="C114" s="63">
        <v>-2534528688</v>
      </c>
      <c r="D114" s="63">
        <v>0</v>
      </c>
      <c r="E114" s="63">
        <v>-2534528688</v>
      </c>
      <c r="F114" s="64">
        <v>3.7666079007315201E-3</v>
      </c>
      <c r="G114" s="63">
        <v>524156680</v>
      </c>
      <c r="H114" s="63">
        <v>-28200582</v>
      </c>
      <c r="I114" s="63">
        <v>0</v>
      </c>
      <c r="J114" s="63">
        <v>495956098</v>
      </c>
      <c r="K114" s="64">
        <v>7.3099018208693466E-4</v>
      </c>
    </row>
    <row r="115" spans="1:11">
      <c r="A115" s="63" t="s">
        <v>384</v>
      </c>
      <c r="B115" s="63">
        <v>0</v>
      </c>
      <c r="C115" s="63">
        <v>805995283</v>
      </c>
      <c r="D115" s="63">
        <v>780747400</v>
      </c>
      <c r="E115" s="63">
        <v>1586742683</v>
      </c>
      <c r="F115" s="64">
        <v>-2.3580863592165147E-3</v>
      </c>
      <c r="G115" s="63">
        <v>0</v>
      </c>
      <c r="H115" s="63">
        <v>15276678719</v>
      </c>
      <c r="I115" s="63">
        <v>4733803500</v>
      </c>
      <c r="J115" s="63">
        <v>20010482219</v>
      </c>
      <c r="K115" s="64">
        <v>2.9493469482281029E-2</v>
      </c>
    </row>
    <row r="116" spans="1:11">
      <c r="A116" s="63" t="s">
        <v>385</v>
      </c>
      <c r="B116" s="63">
        <v>0</v>
      </c>
      <c r="C116" s="63">
        <v>-5613567852</v>
      </c>
      <c r="D116" s="63">
        <v>514463294</v>
      </c>
      <c r="E116" s="63">
        <v>-5099104558</v>
      </c>
      <c r="F116" s="64">
        <v>7.5778694499507304E-3</v>
      </c>
      <c r="G116" s="63">
        <v>0</v>
      </c>
      <c r="H116" s="63">
        <v>3862943452</v>
      </c>
      <c r="I116" s="63">
        <v>3115887414</v>
      </c>
      <c r="J116" s="63">
        <v>6978830866</v>
      </c>
      <c r="K116" s="64">
        <v>1.0286105697789524E-2</v>
      </c>
    </row>
    <row r="117" spans="1:11">
      <c r="A117" s="63" t="s">
        <v>239</v>
      </c>
      <c r="B117" s="63">
        <v>0</v>
      </c>
      <c r="C117" s="63">
        <v>-1117692928</v>
      </c>
      <c r="D117" s="63">
        <v>0</v>
      </c>
      <c r="E117" s="63">
        <v>-1117692928</v>
      </c>
      <c r="F117" s="64">
        <v>1.6610232242108068E-3</v>
      </c>
      <c r="G117" s="63">
        <v>0</v>
      </c>
      <c r="H117" s="63">
        <v>3053721957</v>
      </c>
      <c r="I117" s="63">
        <v>429738070</v>
      </c>
      <c r="J117" s="63">
        <v>3483460027</v>
      </c>
      <c r="K117" s="64">
        <v>5.1342751701165465E-3</v>
      </c>
    </row>
    <row r="118" spans="1:11">
      <c r="A118" s="63" t="s">
        <v>211</v>
      </c>
      <c r="B118" s="63">
        <v>0</v>
      </c>
      <c r="C118" s="63">
        <v>-5162901797</v>
      </c>
      <c r="D118" s="63">
        <v>0</v>
      </c>
      <c r="E118" s="63">
        <v>-5162901797</v>
      </c>
      <c r="F118" s="64">
        <v>7.6726796549407075E-3</v>
      </c>
      <c r="G118" s="63">
        <v>0</v>
      </c>
      <c r="H118" s="63">
        <v>573082063</v>
      </c>
      <c r="I118" s="63">
        <v>946009529</v>
      </c>
      <c r="J118" s="63">
        <v>1519091592</v>
      </c>
      <c r="K118" s="64">
        <v>2.2389905959837829E-3</v>
      </c>
    </row>
    <row r="119" spans="1:11">
      <c r="A119" s="63" t="s">
        <v>263</v>
      </c>
      <c r="B119" s="63">
        <v>0</v>
      </c>
      <c r="C119" s="63">
        <v>452506377</v>
      </c>
      <c r="D119" s="63">
        <v>0</v>
      </c>
      <c r="E119" s="63">
        <v>452506377</v>
      </c>
      <c r="F119" s="64">
        <v>-6.7247772842711495E-4</v>
      </c>
      <c r="G119" s="63">
        <v>0</v>
      </c>
      <c r="H119" s="63">
        <v>2712767279</v>
      </c>
      <c r="I119" s="63">
        <v>6285992191</v>
      </c>
      <c r="J119" s="63">
        <v>8998759470</v>
      </c>
      <c r="K119" s="64">
        <v>1.3263280459819707E-2</v>
      </c>
    </row>
    <row r="120" spans="1:11">
      <c r="A120" s="63" t="s">
        <v>217</v>
      </c>
      <c r="B120" s="63">
        <v>0</v>
      </c>
      <c r="C120" s="63">
        <v>-3757223100</v>
      </c>
      <c r="D120" s="63">
        <v>677803474</v>
      </c>
      <c r="E120" s="63">
        <v>-3079419626</v>
      </c>
      <c r="F120" s="64">
        <v>4.5763799588759294E-3</v>
      </c>
      <c r="G120" s="63">
        <v>0</v>
      </c>
      <c r="H120" s="63">
        <v>2768123258</v>
      </c>
      <c r="I120" s="63">
        <v>5037744019</v>
      </c>
      <c r="J120" s="63">
        <v>7805867277</v>
      </c>
      <c r="K120" s="64">
        <v>1.1505075479807237E-2</v>
      </c>
    </row>
    <row r="121" spans="1:11">
      <c r="A121" s="63" t="s">
        <v>295</v>
      </c>
      <c r="B121" s="63">
        <v>0</v>
      </c>
      <c r="C121" s="63">
        <v>-416841713</v>
      </c>
      <c r="D121" s="63">
        <v>0</v>
      </c>
      <c r="E121" s="63">
        <v>-416841713</v>
      </c>
      <c r="F121" s="64">
        <v>6.1947584060656762E-4</v>
      </c>
      <c r="G121" s="63">
        <v>0</v>
      </c>
      <c r="H121" s="63">
        <v>-403660840</v>
      </c>
      <c r="I121" s="63">
        <v>-384615371</v>
      </c>
      <c r="J121" s="63">
        <v>-788276211</v>
      </c>
      <c r="K121" s="64">
        <v>-1.1618410850020215E-3</v>
      </c>
    </row>
    <row r="122" spans="1:11">
      <c r="A122" s="63" t="s">
        <v>253</v>
      </c>
      <c r="B122" s="63">
        <v>0</v>
      </c>
      <c r="C122" s="63">
        <v>-1657282055</v>
      </c>
      <c r="D122" s="63">
        <v>564193507</v>
      </c>
      <c r="E122" s="63">
        <v>-1093088548</v>
      </c>
      <c r="F122" s="64">
        <v>1.6244582200191477E-3</v>
      </c>
      <c r="G122" s="63">
        <v>0</v>
      </c>
      <c r="H122" s="63">
        <v>969998897</v>
      </c>
      <c r="I122" s="63">
        <v>1157101371</v>
      </c>
      <c r="J122" s="63">
        <v>2127100268</v>
      </c>
      <c r="K122" s="64">
        <v>3.135135183321181E-3</v>
      </c>
    </row>
    <row r="123" spans="1:11">
      <c r="A123" s="63" t="s">
        <v>386</v>
      </c>
      <c r="B123" s="63">
        <v>0</v>
      </c>
      <c r="C123" s="63">
        <v>-1241662141</v>
      </c>
      <c r="D123" s="63">
        <v>0</v>
      </c>
      <c r="E123" s="63">
        <v>-1241662141</v>
      </c>
      <c r="F123" s="64">
        <v>1.8452560637695235E-3</v>
      </c>
      <c r="G123" s="63">
        <v>0</v>
      </c>
      <c r="H123" s="63">
        <v>996626014</v>
      </c>
      <c r="I123" s="63">
        <v>0</v>
      </c>
      <c r="J123" s="63">
        <v>996626014</v>
      </c>
      <c r="K123" s="64">
        <v>1.4689280651740992E-3</v>
      </c>
    </row>
    <row r="124" spans="1:11">
      <c r="A124" s="63" t="s">
        <v>286</v>
      </c>
      <c r="B124" s="63">
        <v>0</v>
      </c>
      <c r="C124" s="63">
        <v>-6325075858</v>
      </c>
      <c r="D124" s="63">
        <v>0</v>
      </c>
      <c r="E124" s="63">
        <v>-6325075858</v>
      </c>
      <c r="F124" s="64">
        <v>9.3998070774525787E-3</v>
      </c>
      <c r="G124" s="63">
        <v>728479800</v>
      </c>
      <c r="H124" s="63">
        <v>-4897921173</v>
      </c>
      <c r="I124" s="63">
        <v>-386487517</v>
      </c>
      <c r="J124" s="63">
        <v>-4555928890</v>
      </c>
      <c r="K124" s="64">
        <v>-6.7149880852482762E-3</v>
      </c>
    </row>
    <row r="125" spans="1:11">
      <c r="A125" s="63" t="s">
        <v>228</v>
      </c>
      <c r="B125" s="63">
        <v>0</v>
      </c>
      <c r="C125" s="63">
        <v>-7750808279</v>
      </c>
      <c r="D125" s="63">
        <v>-26064204</v>
      </c>
      <c r="E125" s="63">
        <v>-7776872483</v>
      </c>
      <c r="F125" s="64">
        <v>1.1557347713654822E-2</v>
      </c>
      <c r="G125" s="63">
        <v>0</v>
      </c>
      <c r="H125" s="63">
        <v>-1257807082</v>
      </c>
      <c r="I125" s="63">
        <v>4426926564</v>
      </c>
      <c r="J125" s="63">
        <v>3169119482</v>
      </c>
      <c r="K125" s="64">
        <v>4.6709683307542115E-3</v>
      </c>
    </row>
    <row r="126" spans="1:11">
      <c r="A126" s="63" t="s">
        <v>240</v>
      </c>
      <c r="B126" s="63">
        <v>0</v>
      </c>
      <c r="C126" s="63">
        <v>-4212698110</v>
      </c>
      <c r="D126" s="63">
        <v>675803674</v>
      </c>
      <c r="E126" s="63">
        <v>-3536894436</v>
      </c>
      <c r="F126" s="64">
        <v>5.256241363440016E-3</v>
      </c>
      <c r="G126" s="63">
        <v>1015029840</v>
      </c>
      <c r="H126" s="63">
        <v>2081720850</v>
      </c>
      <c r="I126" s="63">
        <v>-2226939057</v>
      </c>
      <c r="J126" s="63">
        <v>869811633</v>
      </c>
      <c r="K126" s="64">
        <v>1.2820162239198921E-3</v>
      </c>
    </row>
    <row r="127" spans="1:11">
      <c r="A127" s="63" t="s">
        <v>387</v>
      </c>
      <c r="B127" s="63">
        <v>0</v>
      </c>
      <c r="C127" s="63">
        <v>-134080484</v>
      </c>
      <c r="D127" s="63">
        <v>0</v>
      </c>
      <c r="E127" s="63">
        <v>-134080484</v>
      </c>
      <c r="F127" s="64">
        <v>1.992593781871236E-4</v>
      </c>
      <c r="G127" s="63">
        <v>687500000</v>
      </c>
      <c r="H127" s="63">
        <v>-219481945</v>
      </c>
      <c r="I127" s="63">
        <v>0</v>
      </c>
      <c r="J127" s="63">
        <v>468018055</v>
      </c>
      <c r="K127" s="64">
        <v>6.8981227294925406E-4</v>
      </c>
    </row>
    <row r="128" spans="1:11">
      <c r="A128" s="63" t="s">
        <v>388</v>
      </c>
      <c r="B128" s="63">
        <v>0</v>
      </c>
      <c r="C128" s="63">
        <v>-347288943</v>
      </c>
      <c r="D128" s="63">
        <v>0</v>
      </c>
      <c r="E128" s="63">
        <v>-347288943</v>
      </c>
      <c r="F128" s="64">
        <v>5.1611223922374422E-4</v>
      </c>
      <c r="G128" s="63">
        <v>29499528</v>
      </c>
      <c r="H128" s="63">
        <v>-186668613</v>
      </c>
      <c r="I128" s="63">
        <v>0</v>
      </c>
      <c r="J128" s="63">
        <v>-157169085</v>
      </c>
      <c r="K128" s="64">
        <v>-2.3165166942374588E-4</v>
      </c>
    </row>
    <row r="129" spans="1:11">
      <c r="A129" s="63" t="s">
        <v>206</v>
      </c>
      <c r="B129" s="63">
        <v>0</v>
      </c>
      <c r="C129" s="63">
        <v>-667148567</v>
      </c>
      <c r="D129" s="63">
        <v>0</v>
      </c>
      <c r="E129" s="63">
        <v>-667148567</v>
      </c>
      <c r="F129" s="64">
        <v>9.9146128245517504E-4</v>
      </c>
      <c r="G129" s="63">
        <v>0</v>
      </c>
      <c r="H129" s="63">
        <v>5355093722</v>
      </c>
      <c r="I129" s="63">
        <v>3093732407</v>
      </c>
      <c r="J129" s="63">
        <v>8448826129</v>
      </c>
      <c r="K129" s="64">
        <v>1.2452733166028259E-2</v>
      </c>
    </row>
    <row r="130" spans="1:11">
      <c r="A130" s="63" t="s">
        <v>389</v>
      </c>
      <c r="B130" s="63">
        <v>0</v>
      </c>
      <c r="C130" s="63">
        <v>-301416479</v>
      </c>
      <c r="D130" s="63">
        <v>0</v>
      </c>
      <c r="E130" s="63">
        <v>-301416479</v>
      </c>
      <c r="F130" s="64">
        <v>4.479403593209896E-4</v>
      </c>
      <c r="G130" s="63">
        <v>204920550</v>
      </c>
      <c r="H130" s="63">
        <v>875824616</v>
      </c>
      <c r="I130" s="63">
        <v>0</v>
      </c>
      <c r="J130" s="63">
        <v>1080745166</v>
      </c>
      <c r="K130" s="64">
        <v>1.5929113662877363E-3</v>
      </c>
    </row>
    <row r="131" spans="1:11">
      <c r="A131" s="63" t="s">
        <v>319</v>
      </c>
      <c r="B131" s="63">
        <v>0</v>
      </c>
      <c r="C131" s="63">
        <v>2994121351</v>
      </c>
      <c r="D131" s="63">
        <v>1061896484</v>
      </c>
      <c r="E131" s="63">
        <v>4056017835</v>
      </c>
      <c r="F131" s="64">
        <v>-6.0277198262349892E-3</v>
      </c>
      <c r="G131" s="63">
        <v>1375942000</v>
      </c>
      <c r="H131" s="63">
        <v>8730474454</v>
      </c>
      <c r="I131" s="63">
        <v>1253761714</v>
      </c>
      <c r="J131" s="63">
        <v>11360178168</v>
      </c>
      <c r="K131" s="64">
        <v>1.674377780826548E-2</v>
      </c>
    </row>
    <row r="132" spans="1:11">
      <c r="A132" s="63" t="s">
        <v>306</v>
      </c>
      <c r="B132" s="63">
        <v>0</v>
      </c>
      <c r="C132" s="63">
        <v>-262575845</v>
      </c>
      <c r="D132" s="63">
        <v>99407840</v>
      </c>
      <c r="E132" s="63">
        <v>-163168005</v>
      </c>
      <c r="F132" s="64">
        <v>2.4248685749324618E-4</v>
      </c>
      <c r="G132" s="63">
        <v>0</v>
      </c>
      <c r="H132" s="63">
        <v>0</v>
      </c>
      <c r="I132" s="63">
        <v>3520139254</v>
      </c>
      <c r="J132" s="63">
        <v>3520139254</v>
      </c>
      <c r="K132" s="64">
        <v>5.1883367189747235E-3</v>
      </c>
    </row>
    <row r="133" spans="1:11">
      <c r="A133" s="63" t="s">
        <v>281</v>
      </c>
      <c r="B133" s="63">
        <v>0</v>
      </c>
      <c r="C133" s="63">
        <v>-1610320552</v>
      </c>
      <c r="D133" s="63">
        <v>0</v>
      </c>
      <c r="E133" s="63">
        <v>-1610320552</v>
      </c>
      <c r="F133" s="64">
        <v>2.3931258472595133E-3</v>
      </c>
      <c r="G133" s="63">
        <v>0</v>
      </c>
      <c r="H133" s="63">
        <v>1236025242</v>
      </c>
      <c r="I133" s="63">
        <v>17836431</v>
      </c>
      <c r="J133" s="63">
        <v>1253861673</v>
      </c>
      <c r="K133" s="64">
        <v>1.8480679567289009E-3</v>
      </c>
    </row>
    <row r="134" spans="1:11">
      <c r="A134" s="63" t="s">
        <v>390</v>
      </c>
      <c r="B134" s="63">
        <v>0</v>
      </c>
      <c r="C134" s="63">
        <v>-8067599617</v>
      </c>
      <c r="D134" s="63">
        <v>231740244</v>
      </c>
      <c r="E134" s="63">
        <v>-7835859373</v>
      </c>
      <c r="F134" s="64">
        <v>1.1645009173935591E-2</v>
      </c>
      <c r="G134" s="63">
        <v>0</v>
      </c>
      <c r="H134" s="63">
        <v>-621660210</v>
      </c>
      <c r="I134" s="63">
        <v>231740244</v>
      </c>
      <c r="J134" s="63">
        <v>-389919966</v>
      </c>
      <c r="K134" s="64">
        <v>-5.7470342253090184E-4</v>
      </c>
    </row>
    <row r="135" spans="1:11">
      <c r="A135" s="63" t="s">
        <v>292</v>
      </c>
      <c r="B135" s="63">
        <v>0</v>
      </c>
      <c r="C135" s="63">
        <v>-889488063</v>
      </c>
      <c r="D135" s="63">
        <v>0</v>
      </c>
      <c r="E135" s="63">
        <v>-889488063</v>
      </c>
      <c r="F135" s="64">
        <v>1.3218839390395476E-3</v>
      </c>
      <c r="G135" s="63">
        <v>0</v>
      </c>
      <c r="H135" s="63">
        <v>312437080</v>
      </c>
      <c r="I135" s="63">
        <v>278659863</v>
      </c>
      <c r="J135" s="63">
        <v>591096943</v>
      </c>
      <c r="K135" s="64">
        <v>8.712183673858174E-4</v>
      </c>
    </row>
    <row r="136" spans="1:11">
      <c r="A136" s="63" t="s">
        <v>226</v>
      </c>
      <c r="B136" s="63">
        <v>0</v>
      </c>
      <c r="C136" s="63">
        <v>-1732075089</v>
      </c>
      <c r="D136" s="63">
        <v>-707830257</v>
      </c>
      <c r="E136" s="63">
        <v>-2439905346</v>
      </c>
      <c r="F136" s="64">
        <v>3.6259864789822704E-3</v>
      </c>
      <c r="G136" s="63">
        <v>0</v>
      </c>
      <c r="H136" s="63">
        <v>-5356750975</v>
      </c>
      <c r="I136" s="63">
        <v>-707830257</v>
      </c>
      <c r="J136" s="63">
        <v>-6064581232</v>
      </c>
      <c r="K136" s="64">
        <v>-8.938592260359075E-3</v>
      </c>
    </row>
    <row r="137" spans="1:11">
      <c r="A137" s="63" t="s">
        <v>255</v>
      </c>
      <c r="B137" s="63">
        <v>0</v>
      </c>
      <c r="C137" s="63">
        <v>-2635459880</v>
      </c>
      <c r="D137" s="63">
        <v>0</v>
      </c>
      <c r="E137" s="63">
        <v>-2635459880</v>
      </c>
      <c r="F137" s="64">
        <v>3.9166035299060481E-3</v>
      </c>
      <c r="G137" s="63">
        <v>0</v>
      </c>
      <c r="H137" s="63">
        <v>3226312687</v>
      </c>
      <c r="I137" s="63">
        <v>3262392431</v>
      </c>
      <c r="J137" s="63">
        <v>6488705118</v>
      </c>
      <c r="K137" s="64">
        <v>9.5637088743190431E-3</v>
      </c>
    </row>
    <row r="138" spans="1:11">
      <c r="A138" s="63" t="s">
        <v>391</v>
      </c>
      <c r="B138" s="63">
        <v>0</v>
      </c>
      <c r="C138" s="63">
        <v>-12253178932</v>
      </c>
      <c r="D138" s="63">
        <v>3683328412</v>
      </c>
      <c r="E138" s="63">
        <v>-8569850520</v>
      </c>
      <c r="F138" s="64">
        <v>1.2735806396490915E-2</v>
      </c>
      <c r="G138" s="63">
        <v>0</v>
      </c>
      <c r="H138" s="63">
        <v>1071867051</v>
      </c>
      <c r="I138" s="63">
        <v>7584991141</v>
      </c>
      <c r="J138" s="63">
        <v>8656858192</v>
      </c>
      <c r="K138" s="64">
        <v>1.2759351828900896E-2</v>
      </c>
    </row>
    <row r="139" spans="1:11">
      <c r="A139" s="63" t="s">
        <v>271</v>
      </c>
      <c r="B139" s="63">
        <v>0</v>
      </c>
      <c r="C139" s="63">
        <v>-827618286</v>
      </c>
      <c r="D139" s="63">
        <v>0</v>
      </c>
      <c r="E139" s="63">
        <v>-827618286</v>
      </c>
      <c r="F139" s="64">
        <v>1.2299381694106431E-3</v>
      </c>
      <c r="G139" s="63">
        <v>0</v>
      </c>
      <c r="H139" s="63">
        <v>432647714</v>
      </c>
      <c r="I139" s="63">
        <v>164515011</v>
      </c>
      <c r="J139" s="63">
        <v>597162725</v>
      </c>
      <c r="K139" s="64">
        <v>8.8015872945931622E-4</v>
      </c>
    </row>
    <row r="140" spans="1:11">
      <c r="A140" s="63" t="s">
        <v>280</v>
      </c>
      <c r="B140" s="63">
        <v>0</v>
      </c>
      <c r="C140" s="63">
        <v>-2415138916</v>
      </c>
      <c r="D140" s="63">
        <v>0</v>
      </c>
      <c r="E140" s="63">
        <v>-2415138916</v>
      </c>
      <c r="F140" s="64">
        <v>3.5891806494201179E-3</v>
      </c>
      <c r="G140" s="63">
        <v>0</v>
      </c>
      <c r="H140" s="63">
        <v>3072977066</v>
      </c>
      <c r="I140" s="63">
        <v>2482078322</v>
      </c>
      <c r="J140" s="63">
        <v>5555055388</v>
      </c>
      <c r="K140" s="64">
        <v>8.1876016162566213E-3</v>
      </c>
    </row>
    <row r="141" spans="1:11">
      <c r="A141" s="63" t="s">
        <v>294</v>
      </c>
      <c r="B141" s="63">
        <v>0</v>
      </c>
      <c r="C141" s="63">
        <v>-3990439852</v>
      </c>
      <c r="D141" s="63">
        <v>0</v>
      </c>
      <c r="E141" s="63">
        <v>-3990439852</v>
      </c>
      <c r="F141" s="64">
        <v>5.930263226098121E-3</v>
      </c>
      <c r="G141" s="63">
        <v>0</v>
      </c>
      <c r="H141" s="63">
        <v>628942092</v>
      </c>
      <c r="I141" s="63">
        <v>1731255003</v>
      </c>
      <c r="J141" s="63">
        <v>2360197095</v>
      </c>
      <c r="K141" s="64">
        <v>3.4786968265790013E-3</v>
      </c>
    </row>
    <row r="142" spans="1:11">
      <c r="A142" s="63" t="s">
        <v>300</v>
      </c>
      <c r="B142" s="63">
        <v>0</v>
      </c>
      <c r="C142" s="63">
        <v>-6931850332</v>
      </c>
      <c r="D142" s="63">
        <v>0</v>
      </c>
      <c r="E142" s="63">
        <v>-6931850332</v>
      </c>
      <c r="F142" s="64">
        <v>1.0301545352719091E-2</v>
      </c>
      <c r="G142" s="63">
        <v>0</v>
      </c>
      <c r="H142" s="63">
        <v>-2023421193</v>
      </c>
      <c r="I142" s="63">
        <v>1232139538</v>
      </c>
      <c r="J142" s="63">
        <v>-791281655</v>
      </c>
      <c r="K142" s="64">
        <v>-1.1662708118783953E-3</v>
      </c>
    </row>
    <row r="143" spans="1:11">
      <c r="A143" s="63" t="s">
        <v>191</v>
      </c>
      <c r="B143" s="63">
        <v>0</v>
      </c>
      <c r="C143" s="63">
        <v>-2088675501</v>
      </c>
      <c r="D143" s="63">
        <v>-1497875083</v>
      </c>
      <c r="E143" s="63">
        <v>-3586550584</v>
      </c>
      <c r="F143" s="64">
        <v>5.3300362430411946E-3</v>
      </c>
      <c r="G143" s="63">
        <v>0</v>
      </c>
      <c r="H143" s="63">
        <v>-4979616115</v>
      </c>
      <c r="I143" s="63">
        <v>-2166952453</v>
      </c>
      <c r="J143" s="63">
        <v>-7146568568</v>
      </c>
      <c r="K143" s="64">
        <v>-1.0533334462235172E-2</v>
      </c>
    </row>
    <row r="144" spans="1:11">
      <c r="A144" s="63" t="s">
        <v>318</v>
      </c>
      <c r="B144" s="63">
        <v>0</v>
      </c>
      <c r="C144" s="63">
        <v>-2100437136</v>
      </c>
      <c r="D144" s="63">
        <v>0</v>
      </c>
      <c r="E144" s="63">
        <v>-2100437136</v>
      </c>
      <c r="F144" s="64">
        <v>3.1214967693620702E-3</v>
      </c>
      <c r="G144" s="63">
        <v>0</v>
      </c>
      <c r="H144" s="63">
        <v>-324047248</v>
      </c>
      <c r="I144" s="63">
        <v>98277356</v>
      </c>
      <c r="J144" s="63">
        <v>-225769892</v>
      </c>
      <c r="K144" s="64">
        <v>-3.3276246653353496E-4</v>
      </c>
    </row>
    <row r="145" spans="1:11">
      <c r="A145" s="63" t="s">
        <v>392</v>
      </c>
      <c r="B145" s="63">
        <v>0</v>
      </c>
      <c r="C145" s="63">
        <v>-4632908630</v>
      </c>
      <c r="D145" s="63">
        <v>0</v>
      </c>
      <c r="E145" s="63">
        <v>-4632908630</v>
      </c>
      <c r="F145" s="64">
        <v>6.8850474377132971E-3</v>
      </c>
      <c r="G145" s="63">
        <v>0</v>
      </c>
      <c r="H145" s="63">
        <v>5336737677</v>
      </c>
      <c r="I145" s="63">
        <v>0</v>
      </c>
      <c r="J145" s="63">
        <v>5336737677</v>
      </c>
      <c r="K145" s="64">
        <v>7.8658229266503239E-3</v>
      </c>
    </row>
    <row r="146" spans="1:11">
      <c r="A146" s="63" t="s">
        <v>393</v>
      </c>
      <c r="B146" s="63">
        <v>0</v>
      </c>
      <c r="C146" s="63">
        <v>-2329699022</v>
      </c>
      <c r="D146" s="63">
        <v>0</v>
      </c>
      <c r="E146" s="63">
        <v>-2329699022</v>
      </c>
      <c r="F146" s="64">
        <v>3.4622069121324917E-3</v>
      </c>
      <c r="G146" s="63">
        <v>0</v>
      </c>
      <c r="H146" s="63">
        <v>4215899643</v>
      </c>
      <c r="I146" s="63">
        <v>3973131408</v>
      </c>
      <c r="J146" s="63">
        <v>8189031051</v>
      </c>
      <c r="K146" s="64">
        <v>1.2069820944284573E-2</v>
      </c>
    </row>
    <row r="147" spans="1:11">
      <c r="A147" s="63" t="s">
        <v>290</v>
      </c>
      <c r="B147" s="63">
        <v>0</v>
      </c>
      <c r="C147" s="63">
        <v>-2135268246</v>
      </c>
      <c r="D147" s="63">
        <v>136296375</v>
      </c>
      <c r="E147" s="63">
        <v>-1998971871</v>
      </c>
      <c r="F147" s="64">
        <v>2.9707074448583511E-3</v>
      </c>
      <c r="G147" s="63">
        <v>4379641700</v>
      </c>
      <c r="H147" s="63">
        <v>519866592</v>
      </c>
      <c r="I147" s="63">
        <v>-1058541498</v>
      </c>
      <c r="J147" s="63">
        <v>3840966794</v>
      </c>
      <c r="K147" s="64">
        <v>5.6612047466667696E-3</v>
      </c>
    </row>
    <row r="148" spans="1:11">
      <c r="A148" s="63" t="s">
        <v>316</v>
      </c>
      <c r="B148" s="63">
        <v>0</v>
      </c>
      <c r="C148" s="63">
        <v>-2096367372</v>
      </c>
      <c r="D148" s="63">
        <v>-524068903</v>
      </c>
      <c r="E148" s="63">
        <v>-2620436275</v>
      </c>
      <c r="F148" s="64">
        <v>3.8942766848565555E-3</v>
      </c>
      <c r="G148" s="63">
        <v>0</v>
      </c>
      <c r="H148" s="63">
        <v>-6243879927</v>
      </c>
      <c r="I148" s="63">
        <v>-6280803394</v>
      </c>
      <c r="J148" s="63">
        <v>-12524683321</v>
      </c>
      <c r="K148" s="64">
        <v>-1.8460143102019051E-2</v>
      </c>
    </row>
    <row r="149" spans="1:11">
      <c r="A149" s="63" t="s">
        <v>266</v>
      </c>
      <c r="B149" s="63">
        <v>0</v>
      </c>
      <c r="C149" s="63">
        <v>-6200014984</v>
      </c>
      <c r="D149" s="63">
        <v>-966771877</v>
      </c>
      <c r="E149" s="63">
        <v>-7166786861</v>
      </c>
      <c r="F149" s="64">
        <v>1.0650688682795234E-2</v>
      </c>
      <c r="G149" s="63">
        <v>7267946400</v>
      </c>
      <c r="H149" s="63">
        <v>-10346831993</v>
      </c>
      <c r="I149" s="63">
        <v>407609712</v>
      </c>
      <c r="J149" s="63">
        <v>-2671275881</v>
      </c>
      <c r="K149" s="64">
        <v>-3.937196156133616E-3</v>
      </c>
    </row>
    <row r="150" spans="1:11">
      <c r="A150" s="63" t="s">
        <v>293</v>
      </c>
      <c r="B150" s="63">
        <v>0</v>
      </c>
      <c r="C150" s="63">
        <v>-10858501673</v>
      </c>
      <c r="D150" s="63">
        <v>307575080</v>
      </c>
      <c r="E150" s="63">
        <v>-10550926593</v>
      </c>
      <c r="F150" s="64">
        <v>1.5679918579494138E-2</v>
      </c>
      <c r="G150" s="63">
        <v>0</v>
      </c>
      <c r="H150" s="63">
        <v>-3665386726</v>
      </c>
      <c r="I150" s="63">
        <v>307575080</v>
      </c>
      <c r="J150" s="63">
        <v>-3357811646</v>
      </c>
      <c r="K150" s="64">
        <v>-4.9490818974125602E-3</v>
      </c>
    </row>
    <row r="151" spans="1:11">
      <c r="A151" s="63" t="s">
        <v>283</v>
      </c>
      <c r="B151" s="63">
        <v>802105280</v>
      </c>
      <c r="C151" s="63">
        <v>-12636581630</v>
      </c>
      <c r="D151" s="63">
        <v>-310850094</v>
      </c>
      <c r="E151" s="63">
        <v>-12145326444</v>
      </c>
      <c r="F151" s="64">
        <v>1.8049384391475413E-2</v>
      </c>
      <c r="G151" s="63">
        <v>802105280</v>
      </c>
      <c r="H151" s="63">
        <v>-6980721915</v>
      </c>
      <c r="I151" s="63">
        <v>-18919098</v>
      </c>
      <c r="J151" s="63">
        <v>-6197535733</v>
      </c>
      <c r="K151" s="64">
        <v>-9.1345540305383128E-3</v>
      </c>
    </row>
    <row r="152" spans="1:11">
      <c r="A152" s="63" t="s">
        <v>394</v>
      </c>
      <c r="B152" s="63">
        <v>0</v>
      </c>
      <c r="C152" s="63">
        <v>-1261808635</v>
      </c>
      <c r="D152" s="63">
        <v>0</v>
      </c>
      <c r="E152" s="63">
        <v>-1261808635</v>
      </c>
      <c r="F152" s="64">
        <v>1.8751961247487979E-3</v>
      </c>
      <c r="G152" s="63">
        <v>0</v>
      </c>
      <c r="H152" s="63">
        <v>-312770159</v>
      </c>
      <c r="I152" s="63">
        <v>0</v>
      </c>
      <c r="J152" s="63">
        <v>-312770159</v>
      </c>
      <c r="K152" s="64">
        <v>-4.6099224588779935E-4</v>
      </c>
    </row>
    <row r="153" spans="1:11">
      <c r="A153" s="63" t="s">
        <v>395</v>
      </c>
      <c r="B153" s="63">
        <v>0</v>
      </c>
      <c r="C153" s="63">
        <v>-1225445170</v>
      </c>
      <c r="D153" s="63">
        <v>-2370331123</v>
      </c>
      <c r="E153" s="63">
        <v>-3595776293</v>
      </c>
      <c r="F153" s="64">
        <v>5.3437467323222097E-3</v>
      </c>
      <c r="G153" s="63">
        <v>94482130</v>
      </c>
      <c r="H153" s="63">
        <v>-4925940439</v>
      </c>
      <c r="I153" s="63">
        <v>-3376071211</v>
      </c>
      <c r="J153" s="63">
        <v>-8207529520</v>
      </c>
      <c r="K153" s="64">
        <v>-1.2097085855991818E-2</v>
      </c>
    </row>
    <row r="154" spans="1:11">
      <c r="A154" s="63" t="s">
        <v>349</v>
      </c>
      <c r="B154" s="63">
        <v>0</v>
      </c>
      <c r="C154" s="63">
        <v>-8954008446</v>
      </c>
      <c r="D154" s="63">
        <v>36312761</v>
      </c>
      <c r="E154" s="63">
        <v>-8917695685</v>
      </c>
      <c r="F154" s="64">
        <v>1.3252745247064407E-2</v>
      </c>
      <c r="G154" s="63">
        <v>0</v>
      </c>
      <c r="H154" s="63">
        <v>-2851467467</v>
      </c>
      <c r="I154" s="63">
        <v>841517759</v>
      </c>
      <c r="J154" s="63">
        <v>-2009949708</v>
      </c>
      <c r="K154" s="64">
        <v>-2.9624668573719226E-3</v>
      </c>
    </row>
    <row r="155" spans="1:11">
      <c r="A155" s="63" t="s">
        <v>396</v>
      </c>
      <c r="B155" s="63">
        <v>0</v>
      </c>
      <c r="C155" s="63">
        <v>-903908753</v>
      </c>
      <c r="D155" s="63">
        <v>0</v>
      </c>
      <c r="E155" s="63">
        <v>-903908753</v>
      </c>
      <c r="F155" s="64">
        <v>1.343314781446331E-3</v>
      </c>
      <c r="G155" s="63">
        <v>675475200</v>
      </c>
      <c r="H155" s="63">
        <v>3517080144</v>
      </c>
      <c r="I155" s="63">
        <v>1982564966</v>
      </c>
      <c r="J155" s="63">
        <v>6175120310</v>
      </c>
      <c r="K155" s="64">
        <v>9.1015159164665183E-3</v>
      </c>
    </row>
    <row r="156" spans="1:11">
      <c r="A156" s="63" t="s">
        <v>221</v>
      </c>
      <c r="B156" s="63">
        <v>0</v>
      </c>
      <c r="C156" s="63">
        <v>-8291817512</v>
      </c>
      <c r="D156" s="63">
        <v>171071704</v>
      </c>
      <c r="E156" s="63">
        <v>-8120745808</v>
      </c>
      <c r="F156" s="64">
        <v>1.2068383942571169E-2</v>
      </c>
      <c r="G156" s="63">
        <v>0</v>
      </c>
      <c r="H156" s="63">
        <v>-2703379037</v>
      </c>
      <c r="I156" s="63">
        <v>2061388576</v>
      </c>
      <c r="J156" s="63">
        <v>-641990461</v>
      </c>
      <c r="K156" s="64">
        <v>-9.4623037377083552E-4</v>
      </c>
    </row>
    <row r="157" spans="1:11">
      <c r="A157" s="63" t="s">
        <v>336</v>
      </c>
      <c r="B157" s="63">
        <v>0</v>
      </c>
      <c r="C157" s="63">
        <v>-2750349179</v>
      </c>
      <c r="D157" s="63">
        <v>0</v>
      </c>
      <c r="E157" s="63">
        <v>-2750349179</v>
      </c>
      <c r="F157" s="64">
        <v>4.0873425487113089E-3</v>
      </c>
      <c r="G157" s="63">
        <v>0</v>
      </c>
      <c r="H157" s="63">
        <v>2683378095</v>
      </c>
      <c r="I157" s="63">
        <v>-1173077</v>
      </c>
      <c r="J157" s="63">
        <v>2682205018</v>
      </c>
      <c r="K157" s="64">
        <v>3.9533046219391577E-3</v>
      </c>
    </row>
    <row r="158" spans="1:11">
      <c r="A158" s="63" t="s">
        <v>397</v>
      </c>
      <c r="B158" s="63">
        <v>0</v>
      </c>
      <c r="C158" s="63">
        <v>-143879150</v>
      </c>
      <c r="D158" s="63">
        <v>0</v>
      </c>
      <c r="E158" s="63">
        <v>-143879150</v>
      </c>
      <c r="F158" s="64">
        <v>2.1382134899730734E-4</v>
      </c>
      <c r="G158" s="63">
        <v>0</v>
      </c>
      <c r="H158" s="63">
        <v>420015538</v>
      </c>
      <c r="I158" s="63">
        <v>0</v>
      </c>
      <c r="J158" s="63">
        <v>420015538</v>
      </c>
      <c r="K158" s="64">
        <v>6.1906131579001541E-4</v>
      </c>
    </row>
    <row r="159" spans="1:11">
      <c r="A159" s="63" t="s">
        <v>289</v>
      </c>
      <c r="B159" s="63">
        <v>0</v>
      </c>
      <c r="C159" s="63">
        <v>-93521448</v>
      </c>
      <c r="D159" s="63">
        <v>0</v>
      </c>
      <c r="E159" s="63">
        <v>-93521448</v>
      </c>
      <c r="F159" s="64">
        <v>1.3898387759130862E-4</v>
      </c>
      <c r="G159" s="63">
        <v>552500000</v>
      </c>
      <c r="H159" s="63">
        <v>-317786229</v>
      </c>
      <c r="I159" s="63">
        <v>564732799</v>
      </c>
      <c r="J159" s="63">
        <v>799446570</v>
      </c>
      <c r="K159" s="64">
        <v>1.1783050881513215E-3</v>
      </c>
    </row>
    <row r="160" spans="1:11">
      <c r="A160" s="63" t="s">
        <v>343</v>
      </c>
      <c r="B160" s="63">
        <v>0</v>
      </c>
      <c r="C160" s="63">
        <v>-5615136858</v>
      </c>
      <c r="D160" s="63">
        <v>0</v>
      </c>
      <c r="E160" s="63">
        <v>-5615136858</v>
      </c>
      <c r="F160" s="64">
        <v>8.3447541758626034E-3</v>
      </c>
      <c r="G160" s="63">
        <v>0</v>
      </c>
      <c r="H160" s="63">
        <v>136673073</v>
      </c>
      <c r="I160" s="63">
        <v>1895518907</v>
      </c>
      <c r="J160" s="63">
        <v>2032191980</v>
      </c>
      <c r="K160" s="64">
        <v>2.9952497640140081E-3</v>
      </c>
    </row>
    <row r="161" spans="1:11">
      <c r="A161" s="63" t="s">
        <v>307</v>
      </c>
      <c r="B161" s="63">
        <v>0</v>
      </c>
      <c r="C161" s="63">
        <v>-10745305054</v>
      </c>
      <c r="D161" s="63">
        <v>-915202888</v>
      </c>
      <c r="E161" s="63">
        <v>-11660507942</v>
      </c>
      <c r="F161" s="64">
        <v>1.7328887042717837E-2</v>
      </c>
      <c r="G161" s="63">
        <v>0</v>
      </c>
      <c r="H161" s="63">
        <v>-6421896256</v>
      </c>
      <c r="I161" s="63">
        <v>-758884642</v>
      </c>
      <c r="J161" s="63">
        <v>-7180780898</v>
      </c>
      <c r="K161" s="64">
        <v>-1.0583760049171534E-2</v>
      </c>
    </row>
    <row r="162" spans="1:11">
      <c r="A162" s="63" t="s">
        <v>275</v>
      </c>
      <c r="B162" s="63">
        <v>0</v>
      </c>
      <c r="C162" s="63">
        <v>-2320561607</v>
      </c>
      <c r="D162" s="63">
        <v>0</v>
      </c>
      <c r="E162" s="63">
        <v>-2320561607</v>
      </c>
      <c r="F162" s="64">
        <v>3.4486276381261592E-3</v>
      </c>
      <c r="G162" s="63">
        <v>0</v>
      </c>
      <c r="H162" s="63">
        <v>-2184108661</v>
      </c>
      <c r="I162" s="63">
        <v>-148993256</v>
      </c>
      <c r="J162" s="63">
        <v>-2333101917</v>
      </c>
      <c r="K162" s="64">
        <v>-3.4387612169962801E-3</v>
      </c>
    </row>
    <row r="163" spans="1:11">
      <c r="A163" s="63" t="s">
        <v>238</v>
      </c>
      <c r="B163" s="63">
        <v>0</v>
      </c>
      <c r="C163" s="63">
        <v>-545884907</v>
      </c>
      <c r="D163" s="63">
        <v>175409982</v>
      </c>
      <c r="E163" s="63">
        <v>-370474925</v>
      </c>
      <c r="F163" s="64">
        <v>5.50569337066394E-4</v>
      </c>
      <c r="G163" s="63">
        <v>0</v>
      </c>
      <c r="H163" s="63">
        <v>2211028135</v>
      </c>
      <c r="I163" s="63">
        <v>230281971</v>
      </c>
      <c r="J163" s="63">
        <v>2441310106</v>
      </c>
      <c r="K163" s="64">
        <v>3.5982493735072772E-3</v>
      </c>
    </row>
    <row r="164" spans="1:11">
      <c r="A164" s="63" t="s">
        <v>398</v>
      </c>
      <c r="B164" s="63">
        <v>0</v>
      </c>
      <c r="C164" s="63">
        <v>-823614513</v>
      </c>
      <c r="D164" s="63">
        <v>0</v>
      </c>
      <c r="E164" s="63">
        <v>-823614513</v>
      </c>
      <c r="F164" s="64">
        <v>1.2239880915575351E-3</v>
      </c>
      <c r="G164" s="63">
        <v>0</v>
      </c>
      <c r="H164" s="63">
        <v>1396551712</v>
      </c>
      <c r="I164" s="63">
        <v>0</v>
      </c>
      <c r="J164" s="63">
        <v>1396551712</v>
      </c>
      <c r="K164" s="64">
        <v>2.0583789459701339E-3</v>
      </c>
    </row>
    <row r="165" spans="1:11">
      <c r="A165" s="63" t="s">
        <v>399</v>
      </c>
      <c r="B165" s="63">
        <v>0</v>
      </c>
      <c r="C165" s="63">
        <v>-1891282893</v>
      </c>
      <c r="D165" s="63">
        <v>0</v>
      </c>
      <c r="E165" s="63">
        <v>-1891282893</v>
      </c>
      <c r="F165" s="64">
        <v>2.8106689504128297E-3</v>
      </c>
      <c r="G165" s="63">
        <v>0</v>
      </c>
      <c r="H165" s="63">
        <v>3487679717</v>
      </c>
      <c r="I165" s="63">
        <v>0</v>
      </c>
      <c r="J165" s="63">
        <v>3487679717</v>
      </c>
      <c r="K165" s="64">
        <v>5.1404945753701341E-3</v>
      </c>
    </row>
    <row r="166" spans="1:11">
      <c r="A166" s="63" t="s">
        <v>400</v>
      </c>
      <c r="B166" s="63">
        <v>0</v>
      </c>
      <c r="C166" s="63">
        <v>-6272177766</v>
      </c>
      <c r="D166" s="63">
        <v>0</v>
      </c>
      <c r="E166" s="63">
        <v>-6272177766</v>
      </c>
      <c r="F166" s="64">
        <v>9.3211942875464412E-3</v>
      </c>
      <c r="G166" s="63">
        <v>0</v>
      </c>
      <c r="H166" s="63">
        <v>-4513827991</v>
      </c>
      <c r="I166" s="63">
        <v>269671863</v>
      </c>
      <c r="J166" s="63">
        <v>-4244156128</v>
      </c>
      <c r="K166" s="64">
        <v>-6.2554659037826763E-3</v>
      </c>
    </row>
    <row r="167" spans="1:11">
      <c r="A167" s="63" t="s">
        <v>189</v>
      </c>
      <c r="B167" s="63">
        <v>0</v>
      </c>
      <c r="C167" s="63">
        <v>-5732900884</v>
      </c>
      <c r="D167" s="63">
        <v>75291412</v>
      </c>
      <c r="E167" s="63">
        <v>-5657609472</v>
      </c>
      <c r="F167" s="64">
        <v>8.4078734785615825E-3</v>
      </c>
      <c r="G167" s="63">
        <v>0</v>
      </c>
      <c r="H167" s="63">
        <v>-3167731944</v>
      </c>
      <c r="I167" s="63">
        <v>75291412</v>
      </c>
      <c r="J167" s="63">
        <v>-3092440532</v>
      </c>
      <c r="K167" s="64">
        <v>-4.5579511507078943E-3</v>
      </c>
    </row>
    <row r="168" spans="1:11">
      <c r="A168" s="63" t="s">
        <v>401</v>
      </c>
      <c r="B168" s="63">
        <v>0</v>
      </c>
      <c r="C168" s="63">
        <v>-66757643</v>
      </c>
      <c r="D168" s="63">
        <v>0</v>
      </c>
      <c r="E168" s="63">
        <v>-66757643</v>
      </c>
      <c r="F168" s="64">
        <v>9.9209713722527915E-5</v>
      </c>
      <c r="G168" s="63">
        <v>0</v>
      </c>
      <c r="H168" s="63">
        <v>32288125</v>
      </c>
      <c r="I168" s="63">
        <v>0</v>
      </c>
      <c r="J168" s="63">
        <v>32288125</v>
      </c>
      <c r="K168" s="64">
        <v>4.7589499288696536E-5</v>
      </c>
    </row>
    <row r="169" spans="1:11">
      <c r="A169" s="63" t="s">
        <v>210</v>
      </c>
      <c r="B169" s="63">
        <v>0</v>
      </c>
      <c r="C169" s="63">
        <v>-5149941729</v>
      </c>
      <c r="D169" s="63">
        <v>0</v>
      </c>
      <c r="E169" s="63">
        <v>-5149941729</v>
      </c>
      <c r="F169" s="64">
        <v>7.6534194687159704E-3</v>
      </c>
      <c r="G169" s="63">
        <v>0</v>
      </c>
      <c r="H169" s="63">
        <v>9798587243</v>
      </c>
      <c r="I169" s="63">
        <v>304377639</v>
      </c>
      <c r="J169" s="63">
        <v>10102964882</v>
      </c>
      <c r="K169" s="64">
        <v>1.4890769905829621E-2</v>
      </c>
    </row>
    <row r="170" spans="1:11">
      <c r="A170" s="63" t="s">
        <v>208</v>
      </c>
      <c r="B170" s="63">
        <v>0</v>
      </c>
      <c r="C170" s="63">
        <v>-5596501953</v>
      </c>
      <c r="D170" s="63">
        <v>5605791403</v>
      </c>
      <c r="E170" s="63">
        <v>9289450</v>
      </c>
      <c r="F170" s="64">
        <v>-1.3805215908232964E-5</v>
      </c>
      <c r="G170" s="63">
        <v>0</v>
      </c>
      <c r="H170" s="63">
        <v>4453674579</v>
      </c>
      <c r="I170" s="63">
        <v>6863267302</v>
      </c>
      <c r="J170" s="63">
        <v>11316941881</v>
      </c>
      <c r="K170" s="64">
        <v>1.6680051802204974E-2</v>
      </c>
    </row>
    <row r="171" spans="1:11">
      <c r="A171" s="63" t="s">
        <v>341</v>
      </c>
      <c r="B171" s="63">
        <v>0</v>
      </c>
      <c r="C171" s="63">
        <v>-3274648127</v>
      </c>
      <c r="D171" s="63">
        <v>1620727630</v>
      </c>
      <c r="E171" s="63">
        <v>-1653920497</v>
      </c>
      <c r="F171" s="64">
        <v>2.4579204964919311E-3</v>
      </c>
      <c r="G171" s="63">
        <v>0</v>
      </c>
      <c r="H171" s="63">
        <v>4570024792</v>
      </c>
      <c r="I171" s="63">
        <v>6073561753</v>
      </c>
      <c r="J171" s="63">
        <v>10643586545</v>
      </c>
      <c r="K171" s="64">
        <v>1.56875927082312E-2</v>
      </c>
    </row>
    <row r="172" spans="1:11">
      <c r="A172" s="63" t="s">
        <v>323</v>
      </c>
      <c r="B172" s="63">
        <v>0</v>
      </c>
      <c r="C172" s="63">
        <v>-4196658584</v>
      </c>
      <c r="D172" s="63">
        <v>-322751232</v>
      </c>
      <c r="E172" s="63">
        <v>-4519409816</v>
      </c>
      <c r="F172" s="64">
        <v>6.7163748432541659E-3</v>
      </c>
      <c r="G172" s="63">
        <v>0</v>
      </c>
      <c r="H172" s="63">
        <v>-2029908718</v>
      </c>
      <c r="I172" s="63">
        <v>5847030134</v>
      </c>
      <c r="J172" s="63">
        <v>3817121416</v>
      </c>
      <c r="K172" s="64">
        <v>5.6260590205098717E-3</v>
      </c>
    </row>
    <row r="173" spans="1:11">
      <c r="A173" s="63" t="s">
        <v>402</v>
      </c>
      <c r="B173" s="63">
        <v>0</v>
      </c>
      <c r="C173" s="63">
        <v>-1728318521</v>
      </c>
      <c r="D173" s="63">
        <v>0</v>
      </c>
      <c r="E173" s="63">
        <v>-1728318521</v>
      </c>
      <c r="F173" s="64">
        <v>2.5684847155216795E-3</v>
      </c>
      <c r="G173" s="63">
        <v>4340424361</v>
      </c>
      <c r="H173" s="63">
        <v>-710342419</v>
      </c>
      <c r="I173" s="63">
        <v>785484174</v>
      </c>
      <c r="J173" s="63">
        <v>4415566116</v>
      </c>
      <c r="K173" s="64">
        <v>6.5081072541863152E-3</v>
      </c>
    </row>
    <row r="174" spans="1:11">
      <c r="A174" s="63" t="s">
        <v>220</v>
      </c>
      <c r="B174" s="63">
        <v>0</v>
      </c>
      <c r="C174" s="63">
        <v>-9622780259</v>
      </c>
      <c r="D174" s="63">
        <v>1636135628</v>
      </c>
      <c r="E174" s="63">
        <v>-7986644631</v>
      </c>
      <c r="F174" s="64">
        <v>1.1869093812150837E-2</v>
      </c>
      <c r="G174" s="63">
        <v>0</v>
      </c>
      <c r="H174" s="63">
        <v>12430130496</v>
      </c>
      <c r="I174" s="63">
        <v>3009755841</v>
      </c>
      <c r="J174" s="63">
        <v>15439886337</v>
      </c>
      <c r="K174" s="64">
        <v>2.2756863703055435E-2</v>
      </c>
    </row>
    <row r="175" spans="1:11">
      <c r="A175" s="63" t="s">
        <v>270</v>
      </c>
      <c r="B175" s="63">
        <v>0</v>
      </c>
      <c r="C175" s="63">
        <v>-4088270393</v>
      </c>
      <c r="D175" s="63">
        <v>0</v>
      </c>
      <c r="E175" s="63">
        <v>-4088270393</v>
      </c>
      <c r="F175" s="64">
        <v>6.0756509229934422E-3</v>
      </c>
      <c r="G175" s="63">
        <v>0</v>
      </c>
      <c r="H175" s="63">
        <v>318447143</v>
      </c>
      <c r="I175" s="63">
        <v>1194237210</v>
      </c>
      <c r="J175" s="63">
        <v>1512684353</v>
      </c>
      <c r="K175" s="64">
        <v>2.2295469601011477E-3</v>
      </c>
    </row>
    <row r="176" spans="1:11">
      <c r="A176" s="63" t="s">
        <v>169</v>
      </c>
      <c r="B176" s="63">
        <v>0</v>
      </c>
      <c r="C176" s="63">
        <v>-1041853828</v>
      </c>
      <c r="D176" s="63">
        <v>0</v>
      </c>
      <c r="E176" s="63">
        <v>-1041853828</v>
      </c>
      <c r="F176" s="64">
        <v>1.548317396655239E-3</v>
      </c>
      <c r="G176" s="63">
        <v>0</v>
      </c>
      <c r="H176" s="63">
        <v>3493032302</v>
      </c>
      <c r="I176" s="63">
        <v>2155115624</v>
      </c>
      <c r="J176" s="63">
        <v>5648147926</v>
      </c>
      <c r="K176" s="64">
        <v>8.3248107998476154E-3</v>
      </c>
    </row>
    <row r="177" spans="1:11">
      <c r="A177" s="63" t="s">
        <v>284</v>
      </c>
      <c r="B177" s="63">
        <v>0</v>
      </c>
      <c r="C177" s="63">
        <v>-365942097</v>
      </c>
      <c r="D177" s="63">
        <v>413204099</v>
      </c>
      <c r="E177" s="63">
        <v>47262002</v>
      </c>
      <c r="F177" s="64">
        <v>-7.0236896895439248E-5</v>
      </c>
      <c r="G177" s="63">
        <v>0</v>
      </c>
      <c r="H177" s="63">
        <v>2610573776</v>
      </c>
      <c r="I177" s="63">
        <v>3244736173</v>
      </c>
      <c r="J177" s="63">
        <v>5855309949</v>
      </c>
      <c r="K177" s="64">
        <v>8.6301471099059866E-3</v>
      </c>
    </row>
    <row r="178" spans="1:11">
      <c r="A178" s="63" t="s">
        <v>337</v>
      </c>
      <c r="B178" s="63">
        <v>0</v>
      </c>
      <c r="C178" s="63">
        <v>-1903970931</v>
      </c>
      <c r="D178" s="63">
        <v>-59489173</v>
      </c>
      <c r="E178" s="63">
        <v>-1963460104</v>
      </c>
      <c r="F178" s="64">
        <v>2.9179327799731467E-3</v>
      </c>
      <c r="G178" s="63">
        <v>0</v>
      </c>
      <c r="H178" s="63">
        <v>-440167635</v>
      </c>
      <c r="I178" s="63">
        <v>-35208578</v>
      </c>
      <c r="J178" s="63">
        <v>-475376213</v>
      </c>
      <c r="K178" s="64">
        <v>-7.0065746928404027E-4</v>
      </c>
    </row>
    <row r="179" spans="1:11">
      <c r="A179" s="63" t="s">
        <v>309</v>
      </c>
      <c r="B179" s="63">
        <v>0</v>
      </c>
      <c r="C179" s="63">
        <v>3421932210</v>
      </c>
      <c r="D179" s="63">
        <v>1711202344</v>
      </c>
      <c r="E179" s="63">
        <v>5133134554</v>
      </c>
      <c r="F179" s="64">
        <v>-7.6284420287510155E-3</v>
      </c>
      <c r="G179" s="63">
        <v>0</v>
      </c>
      <c r="H179" s="63">
        <v>11153772416</v>
      </c>
      <c r="I179" s="63">
        <v>1711202344</v>
      </c>
      <c r="J179" s="63">
        <v>12864974760</v>
      </c>
      <c r="K179" s="64">
        <v>1.8961698989647707E-2</v>
      </c>
    </row>
    <row r="180" spans="1:11">
      <c r="A180" s="63" t="s">
        <v>315</v>
      </c>
      <c r="B180" s="63">
        <v>0</v>
      </c>
      <c r="C180" s="63">
        <v>-6104107452</v>
      </c>
      <c r="D180" s="63">
        <v>467718224</v>
      </c>
      <c r="E180" s="63">
        <v>-5636389228</v>
      </c>
      <c r="F180" s="64">
        <v>8.3763376987204315E-3</v>
      </c>
      <c r="G180" s="63">
        <v>3268000000</v>
      </c>
      <c r="H180" s="63">
        <v>78678536</v>
      </c>
      <c r="I180" s="63">
        <v>2731550205</v>
      </c>
      <c r="J180" s="63">
        <v>6078228741</v>
      </c>
      <c r="K180" s="64">
        <v>8.9587073373370036E-3</v>
      </c>
    </row>
    <row r="181" spans="1:11">
      <c r="A181" s="63" t="s">
        <v>296</v>
      </c>
      <c r="B181" s="63">
        <v>0</v>
      </c>
      <c r="C181" s="63">
        <v>-80276846</v>
      </c>
      <c r="D181" s="63">
        <v>0</v>
      </c>
      <c r="E181" s="63">
        <v>-80276846</v>
      </c>
      <c r="F181" s="64">
        <v>1.1930084035782179E-4</v>
      </c>
      <c r="G181" s="63">
        <v>0</v>
      </c>
      <c r="H181" s="63">
        <v>8433169502</v>
      </c>
      <c r="I181" s="63">
        <v>445423398</v>
      </c>
      <c r="J181" s="63">
        <v>8878592900</v>
      </c>
      <c r="K181" s="64">
        <v>1.3086166833756251E-2</v>
      </c>
    </row>
    <row r="182" spans="1:11">
      <c r="A182" s="63" t="s">
        <v>197</v>
      </c>
      <c r="B182" s="63">
        <v>0</v>
      </c>
      <c r="C182" s="63">
        <v>-3567179815</v>
      </c>
      <c r="D182" s="63">
        <v>-445777508</v>
      </c>
      <c r="E182" s="63">
        <v>-4012957323</v>
      </c>
      <c r="F182" s="64">
        <v>5.9637268379225429E-3</v>
      </c>
      <c r="G182" s="63">
        <v>13040000000</v>
      </c>
      <c r="H182" s="63">
        <v>-6620837645</v>
      </c>
      <c r="I182" s="63">
        <v>-3961327156</v>
      </c>
      <c r="J182" s="63">
        <v>2457835199</v>
      </c>
      <c r="K182" s="64">
        <v>3.6226057243814499E-3</v>
      </c>
    </row>
    <row r="183" spans="1:11">
      <c r="A183" s="63" t="s">
        <v>303</v>
      </c>
      <c r="B183" s="63">
        <v>0</v>
      </c>
      <c r="C183" s="63">
        <v>-2648463550</v>
      </c>
      <c r="D183" s="63">
        <v>0</v>
      </c>
      <c r="E183" s="63">
        <v>-2648463550</v>
      </c>
      <c r="F183" s="64">
        <v>3.9359285138339892E-3</v>
      </c>
      <c r="G183" s="63">
        <v>3237484320</v>
      </c>
      <c r="H183" s="63">
        <v>4988654346</v>
      </c>
      <c r="I183" s="63">
        <v>-5374334342</v>
      </c>
      <c r="J183" s="63">
        <v>2851804324</v>
      </c>
      <c r="K183" s="64">
        <v>4.2032772063568171E-3</v>
      </c>
    </row>
    <row r="184" spans="1:11">
      <c r="A184" s="63" t="s">
        <v>202</v>
      </c>
      <c r="B184" s="63">
        <v>0</v>
      </c>
      <c r="C184" s="63">
        <v>-5285040580</v>
      </c>
      <c r="D184" s="63">
        <v>0</v>
      </c>
      <c r="E184" s="63">
        <v>-5285040580</v>
      </c>
      <c r="F184" s="64">
        <v>7.8541922601093467E-3</v>
      </c>
      <c r="G184" s="63">
        <v>0</v>
      </c>
      <c r="H184" s="63">
        <v>-5321260082</v>
      </c>
      <c r="I184" s="63">
        <v>-1246348478</v>
      </c>
      <c r="J184" s="63">
        <v>-6567608560</v>
      </c>
      <c r="K184" s="64">
        <v>-9.6800047353185498E-3</v>
      </c>
    </row>
    <row r="185" spans="1:11">
      <c r="A185" s="63" t="s">
        <v>310</v>
      </c>
      <c r="B185" s="63">
        <v>0</v>
      </c>
      <c r="C185" s="63">
        <v>-1007875946</v>
      </c>
      <c r="D185" s="63">
        <v>0</v>
      </c>
      <c r="E185" s="63">
        <v>-1007875946</v>
      </c>
      <c r="F185" s="64">
        <v>1.4978222653918743E-3</v>
      </c>
      <c r="G185" s="63">
        <v>0</v>
      </c>
      <c r="H185" s="63">
        <v>3737612354</v>
      </c>
      <c r="I185" s="63">
        <v>912829265</v>
      </c>
      <c r="J185" s="63">
        <v>4650441619</v>
      </c>
      <c r="K185" s="64">
        <v>6.8542904897551426E-3</v>
      </c>
    </row>
    <row r="186" spans="1:11">
      <c r="A186" s="63" t="s">
        <v>237</v>
      </c>
      <c r="B186" s="63">
        <v>0</v>
      </c>
      <c r="C186" s="63">
        <v>-6551140618</v>
      </c>
      <c r="D186" s="63">
        <v>-265194118</v>
      </c>
      <c r="E186" s="63">
        <v>-6816334736</v>
      </c>
      <c r="F186" s="64">
        <v>1.0129875582867461E-2</v>
      </c>
      <c r="G186" s="63">
        <v>1113775480</v>
      </c>
      <c r="H186" s="63">
        <v>-14058899638</v>
      </c>
      <c r="I186" s="63">
        <v>-8995928837</v>
      </c>
      <c r="J186" s="63">
        <v>-21941052995</v>
      </c>
      <c r="K186" s="64">
        <v>-3.2338939653473391E-2</v>
      </c>
    </row>
    <row r="187" spans="1:11">
      <c r="A187" s="63" t="s">
        <v>214</v>
      </c>
      <c r="B187" s="63">
        <v>0</v>
      </c>
      <c r="C187" s="63">
        <v>-3308989306</v>
      </c>
      <c r="D187" s="63">
        <v>0</v>
      </c>
      <c r="E187" s="63">
        <v>-3308989306</v>
      </c>
      <c r="F187" s="64">
        <v>4.9175475197524021E-3</v>
      </c>
      <c r="G187" s="63">
        <v>420000000</v>
      </c>
      <c r="H187" s="63">
        <v>-3806273116</v>
      </c>
      <c r="I187" s="63">
        <v>12939991662</v>
      </c>
      <c r="J187" s="63">
        <v>9553718546</v>
      </c>
      <c r="K187" s="64">
        <v>1.4081235189385382E-2</v>
      </c>
    </row>
    <row r="188" spans="1:11">
      <c r="A188" s="63" t="s">
        <v>246</v>
      </c>
      <c r="B188" s="63">
        <v>0</v>
      </c>
      <c r="C188" s="63">
        <v>-5390034454</v>
      </c>
      <c r="D188" s="63">
        <v>0</v>
      </c>
      <c r="E188" s="63">
        <v>-5390034454</v>
      </c>
      <c r="F188" s="64">
        <v>8.0102255128435568E-3</v>
      </c>
      <c r="G188" s="63">
        <v>883388000</v>
      </c>
      <c r="H188" s="63">
        <v>-3096459871</v>
      </c>
      <c r="I188" s="63">
        <v>-21602322</v>
      </c>
      <c r="J188" s="63">
        <v>-2234674193</v>
      </c>
      <c r="K188" s="64">
        <v>-3.2936884974968969E-3</v>
      </c>
    </row>
    <row r="189" spans="1:11">
      <c r="A189" s="63" t="s">
        <v>267</v>
      </c>
      <c r="B189" s="63">
        <v>0</v>
      </c>
      <c r="C189" s="63">
        <v>-4984520576</v>
      </c>
      <c r="D189" s="63">
        <v>0</v>
      </c>
      <c r="E189" s="63">
        <v>-4984520576</v>
      </c>
      <c r="F189" s="64">
        <v>7.40758416813802E-3</v>
      </c>
      <c r="G189" s="63">
        <v>600000000</v>
      </c>
      <c r="H189" s="63">
        <v>-4844467118</v>
      </c>
      <c r="I189" s="63">
        <v>68148055</v>
      </c>
      <c r="J189" s="63">
        <v>-4176319063</v>
      </c>
      <c r="K189" s="64">
        <v>-6.1554807867600942E-3</v>
      </c>
    </row>
    <row r="190" spans="1:11">
      <c r="A190" s="63" t="s">
        <v>183</v>
      </c>
      <c r="B190" s="63">
        <v>0</v>
      </c>
      <c r="C190" s="63">
        <v>-3668309730</v>
      </c>
      <c r="D190" s="63">
        <v>-798243833</v>
      </c>
      <c r="E190" s="63">
        <v>-4466553563</v>
      </c>
      <c r="F190" s="64">
        <v>6.6378242310257572E-3</v>
      </c>
      <c r="G190" s="63">
        <v>2642052540</v>
      </c>
      <c r="H190" s="63">
        <v>-4521746557</v>
      </c>
      <c r="I190" s="63">
        <v>22046496798</v>
      </c>
      <c r="J190" s="63">
        <v>20166802781</v>
      </c>
      <c r="K190" s="64">
        <v>2.9723870512818034E-2</v>
      </c>
    </row>
    <row r="191" spans="1:11">
      <c r="A191" s="63" t="s">
        <v>241</v>
      </c>
      <c r="B191" s="63">
        <v>0</v>
      </c>
      <c r="C191" s="63">
        <v>-3633628602</v>
      </c>
      <c r="D191" s="63">
        <v>0</v>
      </c>
      <c r="E191" s="63">
        <v>-3633628602</v>
      </c>
      <c r="F191" s="64">
        <v>5.3999997180608867E-3</v>
      </c>
      <c r="G191" s="63">
        <v>228464012</v>
      </c>
      <c r="H191" s="63">
        <v>-96070888</v>
      </c>
      <c r="I191" s="63">
        <v>-442113031</v>
      </c>
      <c r="J191" s="63">
        <v>-309719907</v>
      </c>
      <c r="K191" s="64">
        <v>-4.5649647645602391E-4</v>
      </c>
    </row>
    <row r="192" spans="1:11">
      <c r="A192" s="63" t="s">
        <v>313</v>
      </c>
      <c r="B192" s="63">
        <v>0</v>
      </c>
      <c r="C192" s="63">
        <v>3694496346</v>
      </c>
      <c r="D192" s="63">
        <v>250157280</v>
      </c>
      <c r="E192" s="63">
        <v>3944653626</v>
      </c>
      <c r="F192" s="64">
        <v>-5.8622195060120934E-3</v>
      </c>
      <c r="G192" s="63">
        <v>0</v>
      </c>
      <c r="H192" s="63">
        <v>8744693423</v>
      </c>
      <c r="I192" s="63">
        <v>2309591054</v>
      </c>
      <c r="J192" s="63">
        <v>11054284477</v>
      </c>
      <c r="K192" s="64">
        <v>1.6292920795346295E-2</v>
      </c>
    </row>
    <row r="193" spans="1:11">
      <c r="A193" s="63" t="s">
        <v>403</v>
      </c>
      <c r="B193" s="63">
        <v>0</v>
      </c>
      <c r="C193" s="63">
        <v>-522431296</v>
      </c>
      <c r="D193" s="63">
        <v>0</v>
      </c>
      <c r="E193" s="63">
        <v>-522431296</v>
      </c>
      <c r="F193" s="64">
        <v>7.7639438701946446E-4</v>
      </c>
      <c r="G193" s="63">
        <v>0</v>
      </c>
      <c r="H193" s="63">
        <v>6755539058</v>
      </c>
      <c r="I193" s="63">
        <v>0</v>
      </c>
      <c r="J193" s="63">
        <v>6755539058</v>
      </c>
      <c r="K193" s="64">
        <v>9.9569956817081411E-3</v>
      </c>
    </row>
    <row r="194" spans="1:11">
      <c r="A194" s="63" t="s">
        <v>231</v>
      </c>
      <c r="B194" s="63">
        <v>0</v>
      </c>
      <c r="C194" s="63">
        <v>-221398855</v>
      </c>
      <c r="D194" s="63">
        <v>0</v>
      </c>
      <c r="E194" s="63">
        <v>-221398855</v>
      </c>
      <c r="F194" s="64">
        <v>3.2902475336113153E-4</v>
      </c>
      <c r="G194" s="63">
        <v>0</v>
      </c>
      <c r="H194" s="63">
        <v>5959559561</v>
      </c>
      <c r="I194" s="63">
        <v>654358263</v>
      </c>
      <c r="J194" s="63">
        <v>6613917824</v>
      </c>
      <c r="K194" s="64">
        <v>9.7482600052107484E-3</v>
      </c>
    </row>
    <row r="195" spans="1:11">
      <c r="A195" s="63" t="s">
        <v>404</v>
      </c>
      <c r="B195" s="63">
        <v>0</v>
      </c>
      <c r="C195" s="63">
        <v>-9667879800</v>
      </c>
      <c r="D195" s="63">
        <v>-3926</v>
      </c>
      <c r="E195" s="63">
        <v>-9667883726</v>
      </c>
      <c r="F195" s="64">
        <v>1.4367612960199127E-2</v>
      </c>
      <c r="G195" s="63">
        <v>0</v>
      </c>
      <c r="H195" s="63">
        <v>4271898762</v>
      </c>
      <c r="I195" s="63">
        <v>-3926</v>
      </c>
      <c r="J195" s="63">
        <v>4271894836</v>
      </c>
      <c r="K195" s="64">
        <v>6.2963500128672195E-3</v>
      </c>
    </row>
    <row r="196" spans="1:11">
      <c r="A196" s="63" t="s">
        <v>405</v>
      </c>
      <c r="B196" s="63">
        <v>0</v>
      </c>
      <c r="C196" s="63">
        <v>-5874650643</v>
      </c>
      <c r="D196" s="63">
        <v>2435317479</v>
      </c>
      <c r="E196" s="63">
        <v>-3439333164</v>
      </c>
      <c r="F196" s="64">
        <v>5.1112538319670175E-3</v>
      </c>
      <c r="G196" s="63">
        <v>0</v>
      </c>
      <c r="H196" s="63">
        <v>-1053627053</v>
      </c>
      <c r="I196" s="63">
        <v>2435317479</v>
      </c>
      <c r="J196" s="63">
        <v>1381690426</v>
      </c>
      <c r="K196" s="64">
        <v>2.0364748818745533E-3</v>
      </c>
    </row>
    <row r="197" spans="1:11">
      <c r="A197" s="63" t="s">
        <v>244</v>
      </c>
      <c r="B197" s="63">
        <v>0</v>
      </c>
      <c r="C197" s="63">
        <v>-1426666705</v>
      </c>
      <c r="D197" s="63">
        <v>0</v>
      </c>
      <c r="E197" s="63">
        <v>-1426666705</v>
      </c>
      <c r="F197" s="64">
        <v>2.1201946177235795E-3</v>
      </c>
      <c r="G197" s="63">
        <v>0</v>
      </c>
      <c r="H197" s="63">
        <v>-4121758406</v>
      </c>
      <c r="I197" s="63">
        <v>-480944458</v>
      </c>
      <c r="J197" s="63">
        <v>-4602702864</v>
      </c>
      <c r="K197" s="64">
        <v>-6.7839282916678963E-3</v>
      </c>
    </row>
    <row r="198" spans="1:11">
      <c r="A198" s="63" t="s">
        <v>209</v>
      </c>
      <c r="B198" s="63">
        <v>0</v>
      </c>
      <c r="C198" s="63">
        <v>-2990830715</v>
      </c>
      <c r="D198" s="63">
        <v>0</v>
      </c>
      <c r="E198" s="63">
        <v>-2990830715</v>
      </c>
      <c r="F198" s="64">
        <v>4.4447264117412517E-3</v>
      </c>
      <c r="G198" s="63">
        <v>0</v>
      </c>
      <c r="H198" s="63">
        <v>8321996368</v>
      </c>
      <c r="I198" s="63">
        <v>3583169353</v>
      </c>
      <c r="J198" s="63">
        <v>11905165721</v>
      </c>
      <c r="K198" s="64">
        <v>1.7547035500244869E-2</v>
      </c>
    </row>
    <row r="199" spans="1:11">
      <c r="A199" s="63" t="s">
        <v>234</v>
      </c>
      <c r="B199" s="63">
        <v>0</v>
      </c>
      <c r="C199" s="63">
        <v>-3217021599</v>
      </c>
      <c r="D199" s="63">
        <v>0</v>
      </c>
      <c r="E199" s="63">
        <v>-3217021599</v>
      </c>
      <c r="F199" s="64">
        <v>4.7808726841356425E-3</v>
      </c>
      <c r="G199" s="63">
        <v>0</v>
      </c>
      <c r="H199" s="63">
        <v>6243178645</v>
      </c>
      <c r="I199" s="63">
        <v>1002097997</v>
      </c>
      <c r="J199" s="63">
        <v>7245276642</v>
      </c>
      <c r="K199" s="64">
        <v>1.0678820389876111E-2</v>
      </c>
    </row>
    <row r="200" spans="1:11">
      <c r="A200" s="63" t="s">
        <v>252</v>
      </c>
      <c r="B200" s="63">
        <v>0</v>
      </c>
      <c r="C200" s="63">
        <v>-8648887148</v>
      </c>
      <c r="D200" s="63">
        <v>-341275363</v>
      </c>
      <c r="E200" s="63">
        <v>-8990162511</v>
      </c>
      <c r="F200" s="64">
        <v>1.336043947859742E-2</v>
      </c>
      <c r="G200" s="63">
        <v>0</v>
      </c>
      <c r="H200" s="63">
        <v>-4630329806</v>
      </c>
      <c r="I200" s="63">
        <v>532836365</v>
      </c>
      <c r="J200" s="63">
        <v>-4097493441</v>
      </c>
      <c r="K200" s="64">
        <v>-6.0392996247353543E-3</v>
      </c>
    </row>
    <row r="201" spans="1:11">
      <c r="A201" s="63" t="s">
        <v>287</v>
      </c>
      <c r="B201" s="63">
        <v>4253799800</v>
      </c>
      <c r="C201" s="63">
        <v>-3995651741</v>
      </c>
      <c r="D201" s="63">
        <v>-47314310</v>
      </c>
      <c r="E201" s="63">
        <v>210833749</v>
      </c>
      <c r="F201" s="64">
        <v>-3.1332376251416347E-4</v>
      </c>
      <c r="G201" s="63">
        <v>4253799800</v>
      </c>
      <c r="H201" s="63">
        <v>-5032785548</v>
      </c>
      <c r="I201" s="63">
        <v>-1695430449</v>
      </c>
      <c r="J201" s="63">
        <v>-2474416197</v>
      </c>
      <c r="K201" s="64">
        <v>-3.6470444736902709E-3</v>
      </c>
    </row>
    <row r="202" spans="1:11">
      <c r="A202" s="63" t="s">
        <v>224</v>
      </c>
      <c r="B202" s="63">
        <v>0</v>
      </c>
      <c r="C202" s="63">
        <v>525463584</v>
      </c>
      <c r="D202" s="63">
        <v>128190453</v>
      </c>
      <c r="E202" s="63">
        <v>653654037</v>
      </c>
      <c r="F202" s="64">
        <v>-9.7140682280146809E-4</v>
      </c>
      <c r="G202" s="63">
        <v>1925903250</v>
      </c>
      <c r="H202" s="63">
        <v>7454809875</v>
      </c>
      <c r="I202" s="63">
        <v>5364140700</v>
      </c>
      <c r="J202" s="63">
        <v>14744853825</v>
      </c>
      <c r="K202" s="64">
        <v>2.1732454597991425E-2</v>
      </c>
    </row>
    <row r="203" spans="1:11">
      <c r="A203" s="63" t="s">
        <v>408</v>
      </c>
      <c r="B203" s="63">
        <v>0</v>
      </c>
      <c r="C203" s="63">
        <v>-4107997800</v>
      </c>
      <c r="D203" s="63">
        <v>0</v>
      </c>
      <c r="E203" s="63">
        <v>-4107997800</v>
      </c>
      <c r="F203" s="64">
        <v>6.1049681713713959E-3</v>
      </c>
      <c r="G203" s="63">
        <v>0</v>
      </c>
      <c r="H203" s="63">
        <v>2797506360</v>
      </c>
      <c r="I203" s="63">
        <v>0</v>
      </c>
      <c r="J203" s="63">
        <v>2797506360</v>
      </c>
      <c r="K203" s="64">
        <v>4.1232473836540226E-3</v>
      </c>
    </row>
    <row r="204" spans="1:11">
      <c r="A204" s="63" t="s">
        <v>334</v>
      </c>
      <c r="B204" s="63">
        <v>0</v>
      </c>
      <c r="C204" s="63">
        <v>804048929</v>
      </c>
      <c r="D204" s="63">
        <v>1862644817</v>
      </c>
      <c r="E204" s="63">
        <v>2666693746</v>
      </c>
      <c r="F204" s="64">
        <v>-3.9630207304700016E-3</v>
      </c>
      <c r="G204" s="63">
        <v>0</v>
      </c>
      <c r="H204" s="63">
        <v>10336206293</v>
      </c>
      <c r="I204" s="63">
        <v>2648701708</v>
      </c>
      <c r="J204" s="63">
        <v>12984908001</v>
      </c>
      <c r="K204" s="64">
        <v>1.913846871186789E-2</v>
      </c>
    </row>
    <row r="205" spans="1:11">
      <c r="A205" s="63" t="s">
        <v>411</v>
      </c>
      <c r="B205" s="63">
        <v>0</v>
      </c>
      <c r="C205" s="63">
        <v>-5924155557</v>
      </c>
      <c r="D205" s="63">
        <v>773031442</v>
      </c>
      <c r="E205" s="63">
        <v>-5151124115</v>
      </c>
      <c r="F205" s="64">
        <v>7.6551766334584338E-3</v>
      </c>
      <c r="G205" s="63">
        <v>0</v>
      </c>
      <c r="H205" s="63">
        <v>473386050</v>
      </c>
      <c r="I205" s="63">
        <v>937256073</v>
      </c>
      <c r="J205" s="63">
        <v>1410642123</v>
      </c>
      <c r="K205" s="64">
        <v>2.0791468166427708E-3</v>
      </c>
    </row>
    <row r="206" spans="1:11">
      <c r="A206" s="63" t="s">
        <v>178</v>
      </c>
      <c r="B206" s="63">
        <v>0</v>
      </c>
      <c r="C206" s="63">
        <v>-152353652</v>
      </c>
      <c r="D206" s="63">
        <v>0</v>
      </c>
      <c r="E206" s="63">
        <v>-152353652</v>
      </c>
      <c r="F206" s="64">
        <v>2.2641545627220006E-4</v>
      </c>
      <c r="G206" s="63">
        <v>0</v>
      </c>
      <c r="H206" s="63">
        <v>-125230546</v>
      </c>
      <c r="I206" s="63">
        <v>4291181199</v>
      </c>
      <c r="J206" s="63">
        <v>4165950653</v>
      </c>
      <c r="K206" s="64">
        <v>6.1401987770329913E-3</v>
      </c>
    </row>
    <row r="207" spans="1:11">
      <c r="A207" s="63" t="s">
        <v>236</v>
      </c>
      <c r="B207" s="63">
        <v>0</v>
      </c>
      <c r="C207" s="63">
        <v>602766805</v>
      </c>
      <c r="D207" s="63">
        <v>-2339555223</v>
      </c>
      <c r="E207" s="63">
        <v>-1736788418</v>
      </c>
      <c r="F207" s="64">
        <v>2.5810719792246431E-3</v>
      </c>
      <c r="G207" s="63">
        <v>0</v>
      </c>
      <c r="H207" s="63">
        <v>-190997651</v>
      </c>
      <c r="I207" s="63">
        <v>-2772364123</v>
      </c>
      <c r="J207" s="63">
        <v>-2963361774</v>
      </c>
      <c r="K207" s="64">
        <v>-4.367701841959652E-3</v>
      </c>
    </row>
    <row r="208" spans="1:11">
      <c r="A208" s="63" t="s">
        <v>297</v>
      </c>
      <c r="B208" s="63">
        <v>0</v>
      </c>
      <c r="C208" s="63">
        <v>-3725250767</v>
      </c>
      <c r="D208" s="63">
        <v>-1716699045</v>
      </c>
      <c r="E208" s="63">
        <v>-5441949812</v>
      </c>
      <c r="F208" s="64">
        <v>8.087377844374832E-3</v>
      </c>
      <c r="G208" s="63">
        <v>22120000000</v>
      </c>
      <c r="H208" s="63">
        <v>-8602130928</v>
      </c>
      <c r="I208" s="63">
        <v>-41687600417</v>
      </c>
      <c r="J208" s="63">
        <v>-28169731345</v>
      </c>
      <c r="K208" s="64">
        <v>-4.1519394817929191E-2</v>
      </c>
    </row>
    <row r="209" spans="1:11">
      <c r="A209" s="63" t="s">
        <v>229</v>
      </c>
      <c r="B209" s="63">
        <v>0</v>
      </c>
      <c r="C209" s="63">
        <v>-2482928247</v>
      </c>
      <c r="D209" s="63">
        <v>0</v>
      </c>
      <c r="E209" s="63">
        <v>-2482928247</v>
      </c>
      <c r="F209" s="64">
        <v>3.6899235729225504E-3</v>
      </c>
      <c r="G209" s="63">
        <v>58108700</v>
      </c>
      <c r="H209" s="63">
        <v>3207604410</v>
      </c>
      <c r="I209" s="63">
        <v>-1044938080</v>
      </c>
      <c r="J209" s="63">
        <v>2220775030</v>
      </c>
      <c r="K209" s="64">
        <v>3.2732025074401201E-3</v>
      </c>
    </row>
    <row r="210" spans="1:11">
      <c r="A210" s="63" t="s">
        <v>264</v>
      </c>
      <c r="B210" s="63">
        <v>0</v>
      </c>
      <c r="C210" s="63">
        <v>-3296182278</v>
      </c>
      <c r="D210" s="63">
        <v>-949550724</v>
      </c>
      <c r="E210" s="63">
        <v>-4245733002</v>
      </c>
      <c r="F210" s="64">
        <v>6.3096588906038677E-3</v>
      </c>
      <c r="G210" s="63">
        <v>0</v>
      </c>
      <c r="H210" s="63">
        <v>-2092584277</v>
      </c>
      <c r="I210" s="63">
        <v>966376231</v>
      </c>
      <c r="J210" s="63">
        <v>-1126208046</v>
      </c>
      <c r="K210" s="64">
        <v>-1.6599191499674047E-3</v>
      </c>
    </row>
    <row r="211" spans="1:11">
      <c r="A211" s="63" t="s">
        <v>424</v>
      </c>
      <c r="B211" s="63">
        <v>0</v>
      </c>
      <c r="C211" s="63">
        <v>-920905003</v>
      </c>
      <c r="D211" s="63">
        <v>0</v>
      </c>
      <c r="E211" s="63">
        <v>-920905003</v>
      </c>
      <c r="F211" s="64">
        <v>1.3685732091121567E-3</v>
      </c>
      <c r="G211" s="63">
        <v>29476195</v>
      </c>
      <c r="H211" s="63">
        <v>-2651077415</v>
      </c>
      <c r="I211" s="63">
        <v>0</v>
      </c>
      <c r="J211" s="63">
        <v>-2621601220</v>
      </c>
      <c r="K211" s="64">
        <v>-3.8639806242832609E-3</v>
      </c>
    </row>
    <row r="212" spans="1:11">
      <c r="A212" s="63" t="s">
        <v>406</v>
      </c>
      <c r="B212" s="63">
        <v>0</v>
      </c>
      <c r="C212" s="63">
        <v>-496135000</v>
      </c>
      <c r="D212" s="63">
        <v>0</v>
      </c>
      <c r="E212" s="63">
        <v>-496135000</v>
      </c>
      <c r="F212" s="64">
        <v>7.3731499654243915E-4</v>
      </c>
      <c r="G212" s="63">
        <v>199000000</v>
      </c>
      <c r="H212" s="63">
        <v>-42027050</v>
      </c>
      <c r="I212" s="63">
        <v>0</v>
      </c>
      <c r="J212" s="63">
        <v>156972950</v>
      </c>
      <c r="K212" s="64">
        <v>2.3136258585376501E-4</v>
      </c>
    </row>
    <row r="213" spans="1:11">
      <c r="A213" s="63" t="s">
        <v>212</v>
      </c>
      <c r="B213" s="63">
        <v>0</v>
      </c>
      <c r="C213" s="63">
        <v>-5816953919</v>
      </c>
      <c r="D213" s="63">
        <v>3363643851</v>
      </c>
      <c r="E213" s="63">
        <v>-2453310068</v>
      </c>
      <c r="F213" s="64">
        <v>3.6459074733791227E-3</v>
      </c>
      <c r="G213" s="63">
        <v>2334080700</v>
      </c>
      <c r="H213" s="63">
        <v>8856312356</v>
      </c>
      <c r="I213" s="63">
        <v>8965114327</v>
      </c>
      <c r="J213" s="63">
        <v>20155507383</v>
      </c>
      <c r="K213" s="64">
        <v>2.9707222214563286E-2</v>
      </c>
    </row>
    <row r="214" spans="1:11">
      <c r="A214" s="63" t="s">
        <v>436</v>
      </c>
      <c r="B214" s="63">
        <v>0</v>
      </c>
      <c r="C214" s="63">
        <v>-5119098822</v>
      </c>
      <c r="D214" s="63">
        <v>0</v>
      </c>
      <c r="E214" s="63">
        <v>-5119098822</v>
      </c>
      <c r="F214" s="64">
        <v>7.6075832792351561E-3</v>
      </c>
      <c r="G214" s="63">
        <v>0</v>
      </c>
      <c r="H214" s="63">
        <v>5370906517</v>
      </c>
      <c r="I214" s="63">
        <v>0</v>
      </c>
      <c r="J214" s="63">
        <v>5370906517</v>
      </c>
      <c r="K214" s="64">
        <v>7.9161844136327857E-3</v>
      </c>
    </row>
    <row r="215" spans="1:11">
      <c r="A215" s="63" t="s">
        <v>332</v>
      </c>
      <c r="B215" s="63">
        <v>0</v>
      </c>
      <c r="C215" s="63">
        <v>-1760148816</v>
      </c>
      <c r="D215" s="63">
        <v>1362398035</v>
      </c>
      <c r="E215" s="63">
        <v>-397750781</v>
      </c>
      <c r="F215" s="64">
        <v>5.911044689807562E-4</v>
      </c>
      <c r="G215" s="63">
        <v>0</v>
      </c>
      <c r="H215" s="63">
        <v>1521940653</v>
      </c>
      <c r="I215" s="63">
        <v>3089098883</v>
      </c>
      <c r="J215" s="63">
        <v>4611039536</v>
      </c>
      <c r="K215" s="64">
        <v>6.7962157207525553E-3</v>
      </c>
    </row>
    <row r="216" spans="1:11">
      <c r="A216" s="63" t="s">
        <v>443</v>
      </c>
      <c r="B216" s="63">
        <v>0</v>
      </c>
      <c r="C216" s="63">
        <v>-541779420</v>
      </c>
      <c r="D216" s="63">
        <v>0</v>
      </c>
      <c r="E216" s="63">
        <v>-541779420</v>
      </c>
      <c r="F216" s="64">
        <v>8.0514797622434353E-4</v>
      </c>
      <c r="G216" s="63">
        <v>505400000</v>
      </c>
      <c r="H216" s="63">
        <v>2865386930</v>
      </c>
      <c r="I216" s="63">
        <v>0</v>
      </c>
      <c r="J216" s="63">
        <v>3370786930</v>
      </c>
      <c r="K216" s="64">
        <v>4.9682061812998607E-3</v>
      </c>
    </row>
    <row r="217" spans="1:11">
      <c r="A217" s="63" t="s">
        <v>447</v>
      </c>
      <c r="B217" s="63">
        <v>0</v>
      </c>
      <c r="C217" s="63">
        <v>-2134381701</v>
      </c>
      <c r="D217" s="63">
        <v>0</v>
      </c>
      <c r="E217" s="63">
        <v>-2134381701</v>
      </c>
      <c r="F217" s="64">
        <v>3.1719423876425982E-3</v>
      </c>
      <c r="G217" s="63">
        <v>0</v>
      </c>
      <c r="H217" s="63">
        <v>-2128493328</v>
      </c>
      <c r="I217" s="63">
        <v>0</v>
      </c>
      <c r="J217" s="63">
        <v>-2128493328</v>
      </c>
      <c r="K217" s="64">
        <v>-3.13718841582939E-3</v>
      </c>
    </row>
    <row r="218" spans="1:11">
      <c r="A218" s="63" t="s">
        <v>450</v>
      </c>
      <c r="B218" s="63">
        <v>0</v>
      </c>
      <c r="C218" s="63">
        <v>543971840</v>
      </c>
      <c r="D218" s="63">
        <v>0</v>
      </c>
      <c r="E218" s="63">
        <v>543971840</v>
      </c>
      <c r="F218" s="64">
        <v>-8.0840617035440811E-4</v>
      </c>
      <c r="G218" s="63">
        <v>0</v>
      </c>
      <c r="H218" s="63">
        <v>6651299350</v>
      </c>
      <c r="I218" s="63">
        <v>0</v>
      </c>
      <c r="J218" s="63">
        <v>6651299350</v>
      </c>
      <c r="K218" s="64">
        <v>9.8033566732578219E-3</v>
      </c>
    </row>
    <row r="219" spans="1:11">
      <c r="A219" s="63" t="s">
        <v>282</v>
      </c>
      <c r="B219" s="63">
        <v>0</v>
      </c>
      <c r="C219" s="63">
        <v>-4447383236</v>
      </c>
      <c r="D219" s="63">
        <v>2684360470</v>
      </c>
      <c r="E219" s="63">
        <v>-1763022766</v>
      </c>
      <c r="F219" s="64">
        <v>2.6200593076834561E-3</v>
      </c>
      <c r="G219" s="63">
        <v>0</v>
      </c>
      <c r="H219" s="63">
        <v>6551048801</v>
      </c>
      <c r="I219" s="63">
        <v>2684360470</v>
      </c>
      <c r="J219" s="63">
        <v>9235409271</v>
      </c>
      <c r="K219" s="64">
        <v>1.3612078834961022E-2</v>
      </c>
    </row>
    <row r="220" spans="1:11">
      <c r="A220" s="63" t="s">
        <v>456</v>
      </c>
      <c r="B220" s="63">
        <v>0</v>
      </c>
      <c r="C220" s="63">
        <v>-4769407586</v>
      </c>
      <c r="D220" s="63">
        <v>-43658907</v>
      </c>
      <c r="E220" s="63">
        <v>-4813066493</v>
      </c>
      <c r="F220" s="64">
        <v>7.15278322360814E-3</v>
      </c>
      <c r="G220" s="63">
        <v>0</v>
      </c>
      <c r="H220" s="63">
        <v>-5963066665</v>
      </c>
      <c r="I220" s="63">
        <v>-807086408</v>
      </c>
      <c r="J220" s="63">
        <v>-6770153073</v>
      </c>
      <c r="K220" s="64">
        <v>-9.9785352928328953E-3</v>
      </c>
    </row>
    <row r="221" spans="1:11">
      <c r="A221" s="63" t="s">
        <v>458</v>
      </c>
      <c r="B221" s="63">
        <v>0</v>
      </c>
      <c r="C221" s="63">
        <v>-12333688918</v>
      </c>
      <c r="D221" s="63">
        <v>2478141434</v>
      </c>
      <c r="E221" s="63">
        <v>-9855547484</v>
      </c>
      <c r="F221" s="64">
        <v>1.4646503389378505E-2</v>
      </c>
      <c r="G221" s="63">
        <v>0</v>
      </c>
      <c r="H221" s="63">
        <v>6112509983</v>
      </c>
      <c r="I221" s="63">
        <v>8215273278</v>
      </c>
      <c r="J221" s="63">
        <v>14327783261</v>
      </c>
      <c r="K221" s="64">
        <v>2.111773388228513E-2</v>
      </c>
    </row>
    <row r="222" spans="1:11">
      <c r="A222" s="63" t="s">
        <v>460</v>
      </c>
      <c r="B222" s="63">
        <v>0</v>
      </c>
      <c r="C222" s="63">
        <v>-1998814023</v>
      </c>
      <c r="D222" s="63">
        <v>-1084246432</v>
      </c>
      <c r="E222" s="63">
        <v>-3083060455</v>
      </c>
      <c r="F222" s="64">
        <v>4.5817906592327809E-3</v>
      </c>
      <c r="G222" s="63">
        <v>813578800</v>
      </c>
      <c r="H222" s="63">
        <v>-1548369687</v>
      </c>
      <c r="I222" s="63">
        <v>-783613773</v>
      </c>
      <c r="J222" s="63">
        <v>-1518404660</v>
      </c>
      <c r="K222" s="64">
        <v>-2.2379781262313468E-3</v>
      </c>
    </row>
    <row r="223" spans="1:11">
      <c r="A223" s="63" t="s">
        <v>351</v>
      </c>
      <c r="B223" s="63">
        <v>0</v>
      </c>
      <c r="C223" s="63">
        <v>-4274444847</v>
      </c>
      <c r="D223" s="63">
        <v>-1287908558</v>
      </c>
      <c r="E223" s="63">
        <v>-5562353405</v>
      </c>
      <c r="F223" s="64">
        <v>8.2663117530015016E-3</v>
      </c>
      <c r="G223" s="63">
        <v>0</v>
      </c>
      <c r="H223" s="63">
        <v>-6215049376</v>
      </c>
      <c r="I223" s="63">
        <v>-1814075352</v>
      </c>
      <c r="J223" s="63">
        <v>-8029124728</v>
      </c>
      <c r="K223" s="64">
        <v>-1.183413485707243E-2</v>
      </c>
    </row>
    <row r="224" spans="1:11">
      <c r="A224" s="63" t="s">
        <v>299</v>
      </c>
      <c r="B224" s="63">
        <v>0</v>
      </c>
      <c r="C224" s="63">
        <v>0</v>
      </c>
      <c r="D224" s="63">
        <v>0</v>
      </c>
      <c r="E224" s="63">
        <v>0</v>
      </c>
      <c r="F224" s="64">
        <v>0</v>
      </c>
      <c r="G224" s="63">
        <v>5683165600</v>
      </c>
      <c r="H224" s="63">
        <v>0</v>
      </c>
      <c r="I224" s="63">
        <v>-14873095043</v>
      </c>
      <c r="J224" s="63">
        <v>-9189929443</v>
      </c>
      <c r="K224" s="64">
        <v>-1.3545046071607435E-2</v>
      </c>
    </row>
    <row r="225" spans="1:11">
      <c r="A225" s="63" t="s">
        <v>308</v>
      </c>
      <c r="B225" s="63">
        <v>0</v>
      </c>
      <c r="C225" s="63">
        <v>0</v>
      </c>
      <c r="D225" s="63">
        <v>0</v>
      </c>
      <c r="E225" s="63">
        <v>0</v>
      </c>
      <c r="F225" s="64">
        <v>0</v>
      </c>
      <c r="G225" s="63">
        <v>669713695</v>
      </c>
      <c r="H225" s="63">
        <v>0</v>
      </c>
      <c r="I225" s="63">
        <v>-18354862646</v>
      </c>
      <c r="J225" s="63">
        <v>-17685148951</v>
      </c>
      <c r="K225" s="64">
        <v>-2.6066158484709369E-2</v>
      </c>
    </row>
    <row r="226" spans="1:11">
      <c r="A226" s="63" t="s">
        <v>340</v>
      </c>
      <c r="B226" s="63">
        <v>0</v>
      </c>
      <c r="C226" s="63">
        <v>0</v>
      </c>
      <c r="D226" s="63">
        <v>0</v>
      </c>
      <c r="E226" s="63">
        <v>0</v>
      </c>
      <c r="F226" s="64">
        <v>0</v>
      </c>
      <c r="G226" s="63">
        <v>712500000</v>
      </c>
      <c r="H226" s="63">
        <v>0</v>
      </c>
      <c r="I226" s="63">
        <v>-2779810960</v>
      </c>
      <c r="J226" s="63">
        <v>-2067310960</v>
      </c>
      <c r="K226" s="64">
        <v>-3.0470116632797519E-3</v>
      </c>
    </row>
    <row r="227" spans="1:11">
      <c r="A227" s="63" t="s">
        <v>180</v>
      </c>
      <c r="B227" s="63">
        <v>0</v>
      </c>
      <c r="C227" s="63">
        <v>0</v>
      </c>
      <c r="D227" s="63">
        <v>0</v>
      </c>
      <c r="E227" s="63">
        <v>0</v>
      </c>
      <c r="F227" s="64">
        <v>0</v>
      </c>
      <c r="G227" s="63">
        <v>0</v>
      </c>
      <c r="H227" s="63">
        <v>0</v>
      </c>
      <c r="I227" s="63">
        <v>12189774494</v>
      </c>
      <c r="J227" s="63">
        <v>12189774494</v>
      </c>
      <c r="K227" s="64">
        <v>1.7966520651526968E-2</v>
      </c>
    </row>
    <row r="228" spans="1:11">
      <c r="A228" s="63" t="s">
        <v>268</v>
      </c>
      <c r="B228" s="63">
        <v>0</v>
      </c>
      <c r="C228" s="63">
        <v>0</v>
      </c>
      <c r="D228" s="63">
        <v>0</v>
      </c>
      <c r="E228" s="63">
        <v>0</v>
      </c>
      <c r="F228" s="64">
        <v>0</v>
      </c>
      <c r="G228" s="63">
        <v>0</v>
      </c>
      <c r="H228" s="63">
        <v>0</v>
      </c>
      <c r="I228" s="63">
        <v>336281</v>
      </c>
      <c r="J228" s="63">
        <v>336281</v>
      </c>
      <c r="K228" s="64">
        <v>4.9564489763038763E-7</v>
      </c>
    </row>
    <row r="229" spans="1:11">
      <c r="A229" s="63" t="s">
        <v>475</v>
      </c>
      <c r="B229" s="63">
        <v>0</v>
      </c>
      <c r="C229" s="63">
        <v>0</v>
      </c>
      <c r="D229" s="63">
        <v>0</v>
      </c>
      <c r="E229" s="63">
        <v>0</v>
      </c>
      <c r="F229" s="64">
        <v>0</v>
      </c>
      <c r="G229" s="63">
        <v>0</v>
      </c>
      <c r="H229" s="63">
        <v>0</v>
      </c>
      <c r="I229" s="63">
        <v>-2241134913</v>
      </c>
      <c r="J229" s="63">
        <v>-2241134913</v>
      </c>
      <c r="K229" s="64">
        <v>-3.3032109590781893E-3</v>
      </c>
    </row>
    <row r="230" spans="1:11">
      <c r="A230" s="63" t="s">
        <v>288</v>
      </c>
      <c r="B230" s="63">
        <v>0</v>
      </c>
      <c r="C230" s="63">
        <v>0</v>
      </c>
      <c r="D230" s="63">
        <v>0</v>
      </c>
      <c r="E230" s="63">
        <v>0</v>
      </c>
      <c r="F230" s="64">
        <v>0</v>
      </c>
      <c r="G230" s="63">
        <v>3140568600</v>
      </c>
      <c r="H230" s="63">
        <v>0</v>
      </c>
      <c r="I230" s="63">
        <v>-10727845278</v>
      </c>
      <c r="J230" s="63">
        <v>-7587276678</v>
      </c>
      <c r="K230" s="64">
        <v>-1.1182894580308543E-2</v>
      </c>
    </row>
    <row r="231" spans="1:11">
      <c r="A231" s="63" t="s">
        <v>170</v>
      </c>
      <c r="B231" s="63">
        <v>0</v>
      </c>
      <c r="C231" s="63">
        <v>0</v>
      </c>
      <c r="D231" s="63">
        <v>0</v>
      </c>
      <c r="E231" s="63">
        <v>0</v>
      </c>
      <c r="F231" s="64">
        <v>0</v>
      </c>
      <c r="G231" s="63">
        <v>117135</v>
      </c>
      <c r="H231" s="63">
        <v>0</v>
      </c>
      <c r="I231" s="63">
        <v>108816</v>
      </c>
      <c r="J231" s="63">
        <v>225951</v>
      </c>
      <c r="K231" s="64">
        <v>3.3302940179339216E-7</v>
      </c>
    </row>
    <row r="232" spans="1:11">
      <c r="A232" s="63" t="s">
        <v>258</v>
      </c>
      <c r="B232" s="63">
        <v>0</v>
      </c>
      <c r="C232" s="63">
        <v>0</v>
      </c>
      <c r="D232" s="63">
        <v>0</v>
      </c>
      <c r="E232" s="63">
        <v>0</v>
      </c>
      <c r="F232" s="64">
        <v>0</v>
      </c>
      <c r="G232" s="63">
        <v>584000000</v>
      </c>
      <c r="H232" s="63">
        <v>0</v>
      </c>
      <c r="I232" s="63">
        <v>-1158523048</v>
      </c>
      <c r="J232" s="63">
        <v>-574523048</v>
      </c>
      <c r="K232" s="64">
        <v>-8.4679008719570317E-4</v>
      </c>
    </row>
    <row r="233" spans="1:11">
      <c r="A233" s="63" t="s">
        <v>305</v>
      </c>
      <c r="B233" s="63">
        <v>0</v>
      </c>
      <c r="C233" s="63">
        <v>0</v>
      </c>
      <c r="D233" s="63">
        <v>0</v>
      </c>
      <c r="E233" s="63">
        <v>0</v>
      </c>
      <c r="F233" s="64">
        <v>0</v>
      </c>
      <c r="G233" s="63">
        <v>1169457258</v>
      </c>
      <c r="H233" s="63">
        <v>0</v>
      </c>
      <c r="I233" s="63">
        <v>-2912771308</v>
      </c>
      <c r="J233" s="63">
        <v>-1743314050</v>
      </c>
      <c r="K233" s="64">
        <v>-2.569472298018224E-3</v>
      </c>
    </row>
    <row r="234" spans="1:11">
      <c r="A234" s="63" t="s">
        <v>215</v>
      </c>
      <c r="B234" s="63">
        <v>0</v>
      </c>
      <c r="C234" s="63">
        <v>0</v>
      </c>
      <c r="D234" s="63">
        <v>0</v>
      </c>
      <c r="E234" s="63">
        <v>0</v>
      </c>
      <c r="F234" s="64">
        <v>0</v>
      </c>
      <c r="G234" s="63">
        <v>8079063930</v>
      </c>
      <c r="H234" s="63">
        <v>0</v>
      </c>
      <c r="I234" s="63">
        <v>3747512487</v>
      </c>
      <c r="J234" s="63">
        <v>11826576417</v>
      </c>
      <c r="K234" s="64">
        <v>1.7431202647553448E-2</v>
      </c>
    </row>
    <row r="235" spans="1:11" ht="16.5" thickBot="1">
      <c r="A235" s="63" t="s">
        <v>2</v>
      </c>
      <c r="B235" s="74">
        <f t="shared" ref="B235:K235" si="0">SUM(B11:B234)</f>
        <v>9291721832</v>
      </c>
      <c r="C235" s="74">
        <f t="shared" si="0"/>
        <v>-716121626773</v>
      </c>
      <c r="D235" s="74">
        <f t="shared" si="0"/>
        <v>31797217999</v>
      </c>
      <c r="E235" s="74">
        <f t="shared" si="0"/>
        <v>-675032686942</v>
      </c>
      <c r="F235" s="76">
        <f t="shared" si="0"/>
        <v>1.0031780125140826</v>
      </c>
      <c r="G235" s="74">
        <f t="shared" si="0"/>
        <v>278760010767</v>
      </c>
      <c r="H235" s="74">
        <f t="shared" si="0"/>
        <v>190162541058</v>
      </c>
      <c r="I235" s="74">
        <f t="shared" si="0"/>
        <v>193465243043</v>
      </c>
      <c r="J235" s="74">
        <f t="shared" si="0"/>
        <v>662387794868</v>
      </c>
      <c r="K235" s="76">
        <f t="shared" si="0"/>
        <v>0.97629402428019374</v>
      </c>
    </row>
    <row r="236" spans="1:11" ht="16.5" thickTop="1"/>
  </sheetData>
  <mergeCells count="15">
    <mergeCell ref="G7:K7"/>
    <mergeCell ref="B7:F7"/>
    <mergeCell ref="A8:A10"/>
    <mergeCell ref="A1:K1"/>
    <mergeCell ref="A2:K2"/>
    <mergeCell ref="A3:K3"/>
    <mergeCell ref="B8:B9"/>
    <mergeCell ref="C8:C9"/>
    <mergeCell ref="D8:D9"/>
    <mergeCell ref="G8:G9"/>
    <mergeCell ref="H8:H9"/>
    <mergeCell ref="I8:I9"/>
    <mergeCell ref="E8:F9"/>
    <mergeCell ref="J8:K9"/>
    <mergeCell ref="A5:K5"/>
  </mergeCells>
  <pageMargins left="0.7" right="0.7" top="0.75" bottom="0.75" header="0.3" footer="0.3"/>
  <pageSetup scale="6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0"/>
  <sheetViews>
    <sheetView rightToLeft="1" view="pageBreakPreview" zoomScale="110" zoomScaleNormal="100" zoomScaleSheetLayoutView="110" workbookViewId="0">
      <selection sqref="A1:XFD1048576"/>
    </sheetView>
  </sheetViews>
  <sheetFormatPr defaultColWidth="9.140625" defaultRowHeight="15.75"/>
  <cols>
    <col min="1" max="1" width="33.140625" style="6" customWidth="1"/>
    <col min="2" max="2" width="21.85546875" style="6" customWidth="1"/>
    <col min="3" max="3" width="20.5703125" style="6" customWidth="1"/>
    <col min="4" max="4" width="21" style="6" customWidth="1"/>
    <col min="5" max="5" width="20.42578125" style="6" customWidth="1"/>
    <col min="6" max="6" width="12.5703125" style="6" customWidth="1"/>
    <col min="7" max="8" width="21.28515625" style="6" customWidth="1"/>
    <col min="9" max="9" width="25.85546875" style="6" customWidth="1"/>
    <col min="10" max="10" width="22.42578125" style="6" customWidth="1"/>
    <col min="11" max="11" width="10.5703125" style="6" customWidth="1"/>
    <col min="12" max="16384" width="9.140625" style="6"/>
  </cols>
  <sheetData>
    <row r="1" spans="1:11" ht="21">
      <c r="A1" s="96" t="s">
        <v>155</v>
      </c>
      <c r="B1" s="96"/>
      <c r="C1" s="96"/>
      <c r="D1" s="96"/>
      <c r="E1" s="96"/>
      <c r="F1" s="96"/>
      <c r="G1" s="96"/>
      <c r="H1" s="96"/>
      <c r="I1" s="96"/>
      <c r="J1" s="96"/>
      <c r="K1" s="96"/>
    </row>
    <row r="2" spans="1:11" ht="21">
      <c r="A2" s="96" t="s">
        <v>82</v>
      </c>
      <c r="B2" s="96"/>
      <c r="C2" s="96"/>
      <c r="D2" s="96"/>
      <c r="E2" s="96"/>
      <c r="F2" s="96"/>
      <c r="G2" s="96"/>
      <c r="H2" s="96"/>
      <c r="I2" s="96"/>
      <c r="J2" s="96"/>
      <c r="K2" s="96"/>
    </row>
    <row r="3" spans="1:11" ht="21">
      <c r="A3" s="96" t="s">
        <v>154</v>
      </c>
      <c r="B3" s="96"/>
      <c r="C3" s="96"/>
      <c r="D3" s="96"/>
      <c r="E3" s="96"/>
      <c r="F3" s="96"/>
      <c r="G3" s="96"/>
      <c r="H3" s="96"/>
      <c r="I3" s="96"/>
      <c r="J3" s="96"/>
      <c r="K3" s="96"/>
    </row>
    <row r="5" spans="1:11" ht="21">
      <c r="A5" s="97" t="s">
        <v>119</v>
      </c>
      <c r="B5" s="97"/>
      <c r="C5" s="97"/>
      <c r="D5" s="97"/>
      <c r="E5" s="97"/>
      <c r="F5" s="97"/>
      <c r="G5" s="97"/>
      <c r="H5" s="97"/>
      <c r="I5" s="97"/>
      <c r="J5" s="97"/>
      <c r="K5" s="97"/>
    </row>
    <row r="7" spans="1:11" ht="19.5" customHeight="1" thickBot="1">
      <c r="A7" s="4"/>
      <c r="B7" s="113" t="s">
        <v>134</v>
      </c>
      <c r="C7" s="113"/>
      <c r="D7" s="113"/>
      <c r="E7" s="113"/>
      <c r="F7" s="113"/>
      <c r="G7" s="113" t="s">
        <v>156</v>
      </c>
      <c r="H7" s="113"/>
      <c r="I7" s="113"/>
      <c r="J7" s="113"/>
      <c r="K7" s="113"/>
    </row>
    <row r="8" spans="1:11" ht="19.5" customHeight="1">
      <c r="A8" s="114" t="s">
        <v>113</v>
      </c>
      <c r="B8" s="116" t="s">
        <v>120</v>
      </c>
      <c r="C8" s="116" t="s">
        <v>16</v>
      </c>
      <c r="D8" s="116" t="s">
        <v>17</v>
      </c>
      <c r="E8" s="116" t="s">
        <v>2</v>
      </c>
      <c r="F8" s="116"/>
      <c r="G8" s="116" t="s">
        <v>120</v>
      </c>
      <c r="H8" s="116" t="s">
        <v>16</v>
      </c>
      <c r="I8" s="116" t="s">
        <v>17</v>
      </c>
      <c r="J8" s="116" t="s">
        <v>2</v>
      </c>
      <c r="K8" s="116"/>
    </row>
    <row r="9" spans="1:11" ht="18.75" customHeight="1" thickBot="1">
      <c r="A9" s="114"/>
      <c r="B9" s="117"/>
      <c r="C9" s="117"/>
      <c r="D9" s="117"/>
      <c r="E9" s="113"/>
      <c r="F9" s="113"/>
      <c r="G9" s="117"/>
      <c r="H9" s="117"/>
      <c r="I9" s="117"/>
      <c r="J9" s="113"/>
      <c r="K9" s="113"/>
    </row>
    <row r="10" spans="1:11" ht="28.5" customHeight="1" thickBot="1">
      <c r="A10" s="115"/>
      <c r="B10" s="25" t="s">
        <v>85</v>
      </c>
      <c r="C10" s="25" t="s">
        <v>85</v>
      </c>
      <c r="D10" s="25" t="s">
        <v>85</v>
      </c>
      <c r="E10" s="58" t="s">
        <v>6</v>
      </c>
      <c r="F10" s="58" t="s">
        <v>18</v>
      </c>
      <c r="G10" s="25" t="s">
        <v>85</v>
      </c>
      <c r="H10" s="25" t="s">
        <v>85</v>
      </c>
      <c r="I10" s="25" t="s">
        <v>85</v>
      </c>
      <c r="J10" s="58" t="s">
        <v>6</v>
      </c>
      <c r="K10" s="58" t="s">
        <v>18</v>
      </c>
    </row>
  </sheetData>
  <mergeCells count="15">
    <mergeCell ref="A1:K1"/>
    <mergeCell ref="A2:K2"/>
    <mergeCell ref="A3:K3"/>
    <mergeCell ref="A5:K5"/>
    <mergeCell ref="B7:F7"/>
    <mergeCell ref="G7:K7"/>
    <mergeCell ref="G8:G9"/>
    <mergeCell ref="H8:H9"/>
    <mergeCell ref="I8:I9"/>
    <mergeCell ref="J8:K9"/>
    <mergeCell ref="A8:A10"/>
    <mergeCell ref="B8:B9"/>
    <mergeCell ref="C8:C9"/>
    <mergeCell ref="D8:D9"/>
    <mergeCell ref="E8:F9"/>
  </mergeCells>
  <pageMargins left="0.7" right="0.7" top="0.75" bottom="0.75" header="0.3" footer="0.3"/>
  <pageSetup scale="52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9"/>
  <sheetViews>
    <sheetView rightToLeft="1" view="pageBreakPreview" zoomScale="90" zoomScaleNormal="100" zoomScaleSheetLayoutView="90" workbookViewId="0">
      <selection sqref="A1:XFD1048576"/>
    </sheetView>
  </sheetViews>
  <sheetFormatPr defaultColWidth="9.140625" defaultRowHeight="18"/>
  <cols>
    <col min="1" max="1" width="22.5703125" style="8" customWidth="1"/>
    <col min="2" max="3" width="20.85546875" style="8" customWidth="1"/>
    <col min="4" max="4" width="18" style="8" customWidth="1"/>
    <col min="5" max="5" width="17.140625" style="8" customWidth="1"/>
    <col min="6" max="6" width="16.28515625" style="8" customWidth="1"/>
    <col min="7" max="8" width="15.42578125" style="8" customWidth="1"/>
    <col min="9" max="9" width="17.7109375" style="8" customWidth="1"/>
    <col min="10" max="10" width="15.28515625" style="8" customWidth="1"/>
    <col min="11" max="11" width="16" style="8" customWidth="1"/>
    <col min="12" max="16384" width="9.140625" style="8"/>
  </cols>
  <sheetData>
    <row r="1" spans="1:11" ht="21">
      <c r="A1" s="96" t="s">
        <v>155</v>
      </c>
      <c r="B1" s="96"/>
      <c r="C1" s="96"/>
      <c r="D1" s="96"/>
      <c r="E1" s="96"/>
      <c r="F1" s="96"/>
      <c r="G1" s="96"/>
      <c r="H1" s="96"/>
      <c r="I1" s="96"/>
      <c r="J1" s="96"/>
      <c r="K1" s="96"/>
    </row>
    <row r="2" spans="1:11" ht="21">
      <c r="A2" s="96" t="s">
        <v>82</v>
      </c>
      <c r="B2" s="96"/>
      <c r="C2" s="96"/>
      <c r="D2" s="96"/>
      <c r="E2" s="96"/>
      <c r="F2" s="96"/>
      <c r="G2" s="96"/>
      <c r="H2" s="96"/>
      <c r="I2" s="96"/>
      <c r="J2" s="96"/>
      <c r="K2" s="96"/>
    </row>
    <row r="3" spans="1:11" ht="21">
      <c r="A3" s="96" t="s">
        <v>154</v>
      </c>
      <c r="B3" s="96"/>
      <c r="C3" s="96"/>
      <c r="D3" s="96"/>
      <c r="E3" s="96"/>
      <c r="F3" s="96"/>
      <c r="G3" s="96"/>
      <c r="H3" s="96"/>
      <c r="I3" s="96"/>
      <c r="J3" s="96"/>
      <c r="K3" s="96"/>
    </row>
    <row r="4" spans="1:11" ht="21">
      <c r="A4" s="97" t="s">
        <v>117</v>
      </c>
      <c r="B4" s="97"/>
      <c r="C4" s="97"/>
      <c r="D4" s="97"/>
      <c r="E4" s="97"/>
      <c r="F4" s="97"/>
      <c r="G4" s="97"/>
      <c r="H4" s="97"/>
      <c r="I4" s="97"/>
      <c r="J4" s="97"/>
      <c r="K4" s="97"/>
    </row>
    <row r="6" spans="1:11" ht="19.5" customHeight="1" thickBot="1">
      <c r="A6" s="7"/>
      <c r="B6" s="7"/>
      <c r="C6" s="113" t="s">
        <v>134</v>
      </c>
      <c r="D6" s="113"/>
      <c r="E6" s="113"/>
      <c r="F6" s="113"/>
      <c r="G6" s="53"/>
      <c r="H6" s="113" t="s">
        <v>156</v>
      </c>
      <c r="I6" s="113"/>
      <c r="J6" s="113"/>
      <c r="K6" s="113"/>
    </row>
    <row r="7" spans="1:11" ht="20.25" customHeight="1">
      <c r="A7" s="118"/>
      <c r="B7" s="116" t="s">
        <v>19</v>
      </c>
      <c r="C7" s="116" t="s">
        <v>145</v>
      </c>
      <c r="D7" s="116" t="s">
        <v>16</v>
      </c>
      <c r="E7" s="116" t="s">
        <v>17</v>
      </c>
      <c r="F7" s="116" t="s">
        <v>2</v>
      </c>
      <c r="G7" s="116" t="s">
        <v>19</v>
      </c>
      <c r="H7" s="116" t="s">
        <v>145</v>
      </c>
      <c r="I7" s="116" t="s">
        <v>16</v>
      </c>
      <c r="J7" s="116" t="s">
        <v>17</v>
      </c>
      <c r="K7" s="116" t="s">
        <v>2</v>
      </c>
    </row>
    <row r="8" spans="1:11" ht="20.25" customHeight="1">
      <c r="A8" s="119"/>
      <c r="B8" s="117"/>
      <c r="C8" s="117"/>
      <c r="D8" s="117"/>
      <c r="E8" s="117"/>
      <c r="F8" s="117"/>
      <c r="G8" s="117"/>
      <c r="H8" s="117"/>
      <c r="I8" s="117"/>
      <c r="J8" s="117"/>
      <c r="K8" s="117"/>
    </row>
    <row r="9" spans="1:11" ht="18.75" thickBot="1">
      <c r="A9" s="119"/>
      <c r="B9" s="24" t="s">
        <v>85</v>
      </c>
      <c r="C9" s="24" t="s">
        <v>85</v>
      </c>
      <c r="D9" s="24" t="s">
        <v>84</v>
      </c>
      <c r="E9" s="24" t="s">
        <v>85</v>
      </c>
      <c r="F9" s="113"/>
      <c r="G9" s="24" t="s">
        <v>85</v>
      </c>
      <c r="H9" s="24" t="s">
        <v>85</v>
      </c>
      <c r="I9" s="24" t="s">
        <v>85</v>
      </c>
      <c r="J9" s="24" t="s">
        <v>85</v>
      </c>
      <c r="K9" s="113"/>
    </row>
  </sheetData>
  <mergeCells count="17">
    <mergeCell ref="A7:A9"/>
    <mergeCell ref="K7:K9"/>
    <mergeCell ref="F7:F9"/>
    <mergeCell ref="B7:B8"/>
    <mergeCell ref="G7:G8"/>
    <mergeCell ref="A1:K1"/>
    <mergeCell ref="A2:K2"/>
    <mergeCell ref="A3:K3"/>
    <mergeCell ref="C7:C8"/>
    <mergeCell ref="D7:D8"/>
    <mergeCell ref="E7:E8"/>
    <mergeCell ref="H7:H8"/>
    <mergeCell ref="I7:I8"/>
    <mergeCell ref="J7:J8"/>
    <mergeCell ref="A4:K4"/>
    <mergeCell ref="C6:F6"/>
    <mergeCell ref="H6:K6"/>
  </mergeCells>
  <pageMargins left="0.7" right="0.7" top="0.75" bottom="0.75" header="0.3" footer="0.3"/>
  <pageSetup scale="5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66053-6D8B-4C15-85DA-2DE36E3ED8D7}">
  <dimension ref="A1:K9"/>
  <sheetViews>
    <sheetView rightToLeft="1" view="pageBreakPreview" zoomScale="90" zoomScaleNormal="100" zoomScaleSheetLayoutView="90" workbookViewId="0">
      <selection sqref="A1:XFD1048576"/>
    </sheetView>
  </sheetViews>
  <sheetFormatPr defaultColWidth="9.140625" defaultRowHeight="18"/>
  <cols>
    <col min="1" max="1" width="22.5703125" style="8" customWidth="1"/>
    <col min="2" max="3" width="20.85546875" style="8" customWidth="1"/>
    <col min="4" max="4" width="18" style="8" customWidth="1"/>
    <col min="5" max="5" width="17.140625" style="8" customWidth="1"/>
    <col min="6" max="6" width="16.28515625" style="8" customWidth="1"/>
    <col min="7" max="8" width="15.42578125" style="8" customWidth="1"/>
    <col min="9" max="9" width="17.7109375" style="8" customWidth="1"/>
    <col min="10" max="10" width="15.28515625" style="8" customWidth="1"/>
    <col min="11" max="11" width="16" style="8" customWidth="1"/>
    <col min="12" max="16384" width="9.140625" style="8"/>
  </cols>
  <sheetData>
    <row r="1" spans="1:11" ht="21">
      <c r="A1" s="96" t="s">
        <v>155</v>
      </c>
      <c r="B1" s="96"/>
      <c r="C1" s="96"/>
      <c r="D1" s="96"/>
      <c r="E1" s="96"/>
      <c r="F1" s="96"/>
      <c r="G1" s="96"/>
      <c r="H1" s="96"/>
      <c r="I1" s="96"/>
      <c r="J1" s="96"/>
      <c r="K1" s="96"/>
    </row>
    <row r="2" spans="1:11" ht="21">
      <c r="A2" s="96" t="s">
        <v>82</v>
      </c>
      <c r="B2" s="96"/>
      <c r="C2" s="96"/>
      <c r="D2" s="96"/>
      <c r="E2" s="96"/>
      <c r="F2" s="96"/>
      <c r="G2" s="96"/>
      <c r="H2" s="96"/>
      <c r="I2" s="96"/>
      <c r="J2" s="96"/>
      <c r="K2" s="96"/>
    </row>
    <row r="3" spans="1:11" ht="21">
      <c r="A3" s="96" t="s">
        <v>154</v>
      </c>
      <c r="B3" s="96"/>
      <c r="C3" s="96"/>
      <c r="D3" s="96"/>
      <c r="E3" s="96"/>
      <c r="F3" s="96"/>
      <c r="G3" s="96"/>
      <c r="H3" s="96"/>
      <c r="I3" s="96"/>
      <c r="J3" s="96"/>
      <c r="K3" s="96"/>
    </row>
    <row r="4" spans="1:11" ht="21">
      <c r="A4" s="97" t="s">
        <v>152</v>
      </c>
      <c r="B4" s="97"/>
      <c r="C4" s="97"/>
      <c r="D4" s="97"/>
      <c r="E4" s="97"/>
      <c r="F4" s="97"/>
      <c r="G4" s="97"/>
      <c r="H4" s="97"/>
      <c r="I4" s="97"/>
      <c r="J4" s="97"/>
      <c r="K4" s="97"/>
    </row>
    <row r="6" spans="1:11" ht="19.5" customHeight="1" thickBot="1">
      <c r="A6" s="7"/>
      <c r="B6" s="7"/>
      <c r="C6" s="113" t="s">
        <v>134</v>
      </c>
      <c r="D6" s="113"/>
      <c r="E6" s="113"/>
      <c r="F6" s="113"/>
      <c r="G6" s="53"/>
      <c r="H6" s="113" t="s">
        <v>156</v>
      </c>
      <c r="I6" s="113"/>
      <c r="J6" s="113"/>
      <c r="K6" s="113"/>
    </row>
    <row r="7" spans="1:11" ht="20.25" customHeight="1">
      <c r="A7" s="118"/>
      <c r="B7" s="116" t="s">
        <v>19</v>
      </c>
      <c r="C7" s="116" t="s">
        <v>145</v>
      </c>
      <c r="D7" s="116" t="s">
        <v>16</v>
      </c>
      <c r="E7" s="116" t="s">
        <v>17</v>
      </c>
      <c r="F7" s="116" t="s">
        <v>2</v>
      </c>
      <c r="G7" s="116" t="s">
        <v>19</v>
      </c>
      <c r="H7" s="116" t="s">
        <v>145</v>
      </c>
      <c r="I7" s="116" t="s">
        <v>16</v>
      </c>
      <c r="J7" s="116" t="s">
        <v>17</v>
      </c>
      <c r="K7" s="116" t="s">
        <v>2</v>
      </c>
    </row>
    <row r="8" spans="1:11" ht="20.25" customHeight="1">
      <c r="A8" s="119"/>
      <c r="B8" s="117"/>
      <c r="C8" s="117"/>
      <c r="D8" s="117"/>
      <c r="E8" s="117"/>
      <c r="F8" s="117"/>
      <c r="G8" s="117"/>
      <c r="H8" s="117"/>
      <c r="I8" s="117"/>
      <c r="J8" s="117"/>
      <c r="K8" s="117"/>
    </row>
    <row r="9" spans="1:11" ht="18.75" thickBot="1">
      <c r="A9" s="119"/>
      <c r="B9" s="24" t="s">
        <v>85</v>
      </c>
      <c r="C9" s="24" t="s">
        <v>85</v>
      </c>
      <c r="D9" s="24" t="s">
        <v>84</v>
      </c>
      <c r="E9" s="24" t="s">
        <v>85</v>
      </c>
      <c r="F9" s="113"/>
      <c r="G9" s="24" t="s">
        <v>85</v>
      </c>
      <c r="H9" s="24" t="s">
        <v>85</v>
      </c>
      <c r="I9" s="24" t="s">
        <v>85</v>
      </c>
      <c r="J9" s="24" t="s">
        <v>85</v>
      </c>
      <c r="K9" s="113"/>
    </row>
  </sheetData>
  <mergeCells count="17">
    <mergeCell ref="H7:H8"/>
    <mergeCell ref="I7:I8"/>
    <mergeCell ref="J7:J8"/>
    <mergeCell ref="K7:K9"/>
    <mergeCell ref="F7:F9"/>
    <mergeCell ref="G7:G8"/>
    <mergeCell ref="A1:K1"/>
    <mergeCell ref="A2:K2"/>
    <mergeCell ref="A3:K3"/>
    <mergeCell ref="A4:K4"/>
    <mergeCell ref="C6:F6"/>
    <mergeCell ref="H6:K6"/>
    <mergeCell ref="A7:A9"/>
    <mergeCell ref="B7:B8"/>
    <mergeCell ref="C7:C8"/>
    <mergeCell ref="D7:D8"/>
    <mergeCell ref="E7:E8"/>
  </mergeCells>
  <pageMargins left="0.7" right="0.7" top="0.75" bottom="0.75" header="0.3" footer="0.3"/>
  <pageSetup scale="5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8"/>
  <sheetViews>
    <sheetView rightToLeft="1" view="pageBreakPreview" zoomScale="60" zoomScaleNormal="100" workbookViewId="0">
      <selection sqref="A1:XFD1048576"/>
    </sheetView>
  </sheetViews>
  <sheetFormatPr defaultRowHeight="18"/>
  <cols>
    <col min="1" max="1" width="17.7109375" style="8" bestFit="1" customWidth="1"/>
    <col min="2" max="2" width="18.28515625" style="8" bestFit="1" customWidth="1"/>
    <col min="3" max="3" width="10.140625" style="8" customWidth="1"/>
    <col min="4" max="4" width="5.85546875" style="8" bestFit="1" customWidth="1"/>
    <col min="5" max="5" width="11" style="8" bestFit="1" customWidth="1"/>
    <col min="6" max="6" width="16.28515625" style="8" bestFit="1" customWidth="1"/>
    <col min="7" max="7" width="5.42578125" style="8" bestFit="1" customWidth="1"/>
    <col min="8" max="8" width="16.85546875" style="8" bestFit="1" customWidth="1"/>
    <col min="9" max="16384" width="9.140625" style="8"/>
  </cols>
  <sheetData>
    <row r="1" spans="1:17" ht="21">
      <c r="A1" s="112" t="s">
        <v>74</v>
      </c>
      <c r="B1" s="112"/>
      <c r="C1" s="112"/>
      <c r="D1" s="112"/>
      <c r="E1" s="112"/>
      <c r="F1" s="112"/>
      <c r="G1" s="112"/>
      <c r="H1" s="112"/>
      <c r="I1" s="26"/>
      <c r="J1" s="26"/>
      <c r="K1" s="26"/>
      <c r="L1" s="26"/>
      <c r="M1" s="26"/>
      <c r="N1" s="26"/>
      <c r="O1" s="26"/>
      <c r="P1" s="26"/>
      <c r="Q1" s="26"/>
    </row>
    <row r="2" spans="1:17" ht="21">
      <c r="A2" s="112" t="s">
        <v>82</v>
      </c>
      <c r="B2" s="112"/>
      <c r="C2" s="112"/>
      <c r="D2" s="112"/>
      <c r="E2" s="112"/>
      <c r="F2" s="112"/>
      <c r="G2" s="112"/>
      <c r="H2" s="112"/>
      <c r="I2" s="26"/>
      <c r="J2" s="26"/>
      <c r="K2" s="26"/>
      <c r="L2" s="26"/>
      <c r="M2" s="26"/>
      <c r="N2" s="26"/>
      <c r="O2" s="26"/>
      <c r="P2" s="26"/>
      <c r="Q2" s="26"/>
    </row>
    <row r="3" spans="1:17" ht="21">
      <c r="A3" s="112" t="s">
        <v>76</v>
      </c>
      <c r="B3" s="112"/>
      <c r="C3" s="112"/>
      <c r="D3" s="112"/>
      <c r="E3" s="112"/>
      <c r="F3" s="112"/>
      <c r="G3" s="112"/>
      <c r="H3" s="112"/>
      <c r="I3" s="26"/>
      <c r="J3" s="26"/>
      <c r="K3" s="26"/>
      <c r="L3" s="26"/>
      <c r="M3" s="26"/>
      <c r="N3" s="26"/>
      <c r="O3" s="26"/>
      <c r="P3" s="26"/>
      <c r="Q3" s="26"/>
    </row>
    <row r="5" spans="1:17" ht="21">
      <c r="A5" s="97" t="s">
        <v>118</v>
      </c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</row>
    <row r="7" spans="1:17" ht="40.5">
      <c r="A7" s="67" t="s">
        <v>87</v>
      </c>
      <c r="B7" s="67" t="s">
        <v>88</v>
      </c>
      <c r="C7" s="67" t="s">
        <v>89</v>
      </c>
      <c r="D7" s="67" t="s">
        <v>90</v>
      </c>
      <c r="E7" s="67" t="s">
        <v>91</v>
      </c>
      <c r="F7" s="68" t="s">
        <v>92</v>
      </c>
      <c r="G7" s="67" t="s">
        <v>93</v>
      </c>
      <c r="H7" s="68" t="s">
        <v>94</v>
      </c>
    </row>
    <row r="8" spans="1:17">
      <c r="A8" s="121" t="s">
        <v>492</v>
      </c>
      <c r="B8" s="122" t="s">
        <v>95</v>
      </c>
      <c r="C8" s="69" t="s">
        <v>96</v>
      </c>
      <c r="D8" s="69"/>
      <c r="E8" s="69"/>
      <c r="F8" s="69"/>
      <c r="G8" s="69"/>
      <c r="H8" s="69"/>
    </row>
    <row r="9" spans="1:17">
      <c r="A9" s="121"/>
      <c r="B9" s="122"/>
      <c r="C9" s="69" t="s">
        <v>97</v>
      </c>
      <c r="D9" s="69"/>
      <c r="E9" s="69"/>
      <c r="F9" s="69"/>
      <c r="G9" s="69"/>
      <c r="H9" s="69"/>
    </row>
    <row r="10" spans="1:17">
      <c r="A10" s="121" t="s">
        <v>492</v>
      </c>
      <c r="B10" s="122" t="s">
        <v>98</v>
      </c>
      <c r="C10" s="69" t="s">
        <v>96</v>
      </c>
      <c r="D10" s="69"/>
      <c r="E10" s="69"/>
      <c r="F10" s="69"/>
      <c r="G10" s="69"/>
      <c r="H10" s="69"/>
    </row>
    <row r="11" spans="1:17">
      <c r="A11" s="121"/>
      <c r="B11" s="122"/>
      <c r="C11" s="69" t="s">
        <v>99</v>
      </c>
      <c r="D11" s="69"/>
      <c r="E11" s="69"/>
      <c r="F11" s="69"/>
      <c r="G11" s="69"/>
      <c r="H11" s="69"/>
    </row>
    <row r="12" spans="1:17" ht="71.25">
      <c r="A12" s="70" t="s">
        <v>493</v>
      </c>
      <c r="B12" s="71" t="s">
        <v>100</v>
      </c>
      <c r="C12" s="69" t="s">
        <v>101</v>
      </c>
      <c r="D12" s="69"/>
      <c r="E12" s="69"/>
      <c r="F12" s="69"/>
      <c r="G12" s="69"/>
      <c r="H12" s="69"/>
    </row>
    <row r="13" spans="1:17">
      <c r="A13" s="121" t="s">
        <v>102</v>
      </c>
      <c r="B13" s="121" t="s">
        <v>102</v>
      </c>
      <c r="C13" s="69" t="s">
        <v>103</v>
      </c>
      <c r="D13" s="69"/>
      <c r="E13" s="69"/>
      <c r="F13" s="69"/>
      <c r="G13" s="69"/>
      <c r="H13" s="69"/>
    </row>
    <row r="14" spans="1:17">
      <c r="A14" s="121"/>
      <c r="B14" s="121"/>
      <c r="C14" s="69" t="s">
        <v>104</v>
      </c>
      <c r="D14" s="69"/>
      <c r="E14" s="69"/>
      <c r="F14" s="69"/>
      <c r="G14" s="69"/>
      <c r="H14" s="69"/>
    </row>
    <row r="15" spans="1:17">
      <c r="A15" s="121"/>
      <c r="B15" s="121"/>
      <c r="C15" s="69" t="s">
        <v>105</v>
      </c>
      <c r="D15" s="69"/>
      <c r="E15" s="69"/>
      <c r="F15" s="69"/>
      <c r="G15" s="69"/>
      <c r="H15" s="69"/>
    </row>
    <row r="16" spans="1:17">
      <c r="A16" s="121"/>
      <c r="B16" s="121"/>
      <c r="C16" s="69" t="s">
        <v>106</v>
      </c>
      <c r="D16" s="69"/>
      <c r="E16" s="69"/>
      <c r="F16" s="69"/>
      <c r="G16" s="69"/>
      <c r="H16" s="69"/>
    </row>
    <row r="18" spans="1:6">
      <c r="A18" s="120" t="s">
        <v>107</v>
      </c>
      <c r="B18" s="120"/>
      <c r="C18" s="120"/>
      <c r="D18" s="120"/>
      <c r="E18" s="120"/>
      <c r="F18" s="120"/>
    </row>
  </sheetData>
  <mergeCells count="11">
    <mergeCell ref="A3:H3"/>
    <mergeCell ref="A18:F18"/>
    <mergeCell ref="A5:Q5"/>
    <mergeCell ref="A1:H1"/>
    <mergeCell ref="A2:H2"/>
    <mergeCell ref="A8:A9"/>
    <mergeCell ref="B8:B9"/>
    <mergeCell ref="A10:A11"/>
    <mergeCell ref="B10:B11"/>
    <mergeCell ref="A13:A16"/>
    <mergeCell ref="B13:B16"/>
  </mergeCells>
  <pageMargins left="0.7" right="0.7" top="0.75" bottom="0.75" header="0.3" footer="0.3"/>
  <pageSetup scale="83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7"/>
  <sheetViews>
    <sheetView rightToLeft="1" view="pageBreakPreview" zoomScaleNormal="100" zoomScaleSheetLayoutView="100" workbookViewId="0">
      <selection sqref="A1:XFD1048576"/>
    </sheetView>
  </sheetViews>
  <sheetFormatPr defaultColWidth="9.140625" defaultRowHeight="15.75"/>
  <cols>
    <col min="1" max="1" width="23.7109375" style="6" customWidth="1"/>
    <col min="2" max="2" width="29.42578125" style="6" customWidth="1"/>
    <col min="3" max="3" width="12.5703125" style="6" customWidth="1"/>
    <col min="4" max="4" width="22.42578125" style="6" customWidth="1"/>
    <col min="5" max="5" width="10.28515625" style="6" customWidth="1"/>
    <col min="6" max="16384" width="9.140625" style="6"/>
  </cols>
  <sheetData>
    <row r="1" spans="1:6" ht="21">
      <c r="A1" s="96" t="s">
        <v>155</v>
      </c>
      <c r="B1" s="96"/>
      <c r="C1" s="96"/>
      <c r="D1" s="96"/>
      <c r="E1" s="96"/>
    </row>
    <row r="2" spans="1:6" ht="21">
      <c r="A2" s="96" t="s">
        <v>82</v>
      </c>
      <c r="B2" s="96"/>
      <c r="C2" s="96"/>
      <c r="D2" s="96"/>
      <c r="E2" s="96"/>
    </row>
    <row r="3" spans="1:6" ht="21">
      <c r="A3" s="96" t="s">
        <v>154</v>
      </c>
      <c r="B3" s="96"/>
      <c r="C3" s="96"/>
      <c r="D3" s="96"/>
      <c r="E3" s="96"/>
    </row>
    <row r="4" spans="1:6" ht="21">
      <c r="A4" s="97" t="s">
        <v>148</v>
      </c>
      <c r="B4" s="97"/>
      <c r="C4" s="97"/>
      <c r="D4" s="97"/>
      <c r="E4" s="97"/>
    </row>
    <row r="5" spans="1:6" ht="16.5" thickBot="1">
      <c r="A5" s="4"/>
      <c r="B5" s="4"/>
      <c r="C5" s="4"/>
      <c r="D5" s="4"/>
      <c r="E5" s="4"/>
    </row>
    <row r="6" spans="1:6" ht="37.5" customHeight="1" thickBot="1">
      <c r="A6" s="58" t="s">
        <v>24</v>
      </c>
      <c r="B6" s="123" t="s">
        <v>134</v>
      </c>
      <c r="C6" s="123"/>
      <c r="D6" s="124" t="s">
        <v>156</v>
      </c>
      <c r="E6" s="124"/>
      <c r="F6" s="5"/>
    </row>
    <row r="7" spans="1:6" ht="59.25" customHeight="1">
      <c r="A7" s="55" t="s">
        <v>20</v>
      </c>
      <c r="B7" s="56" t="s">
        <v>21</v>
      </c>
      <c r="C7" s="56" t="s">
        <v>22</v>
      </c>
      <c r="D7" s="56" t="s">
        <v>21</v>
      </c>
      <c r="E7" s="56" t="s">
        <v>22</v>
      </c>
      <c r="F7" s="57"/>
    </row>
    <row r="8" spans="1:6" ht="22.5" customHeight="1" thickBot="1">
      <c r="A8" s="53"/>
      <c r="B8" s="24" t="s">
        <v>85</v>
      </c>
      <c r="C8" s="53"/>
      <c r="D8" s="24" t="s">
        <v>85</v>
      </c>
      <c r="E8" s="53"/>
      <c r="F8" s="57"/>
    </row>
    <row r="9" spans="1:6">
      <c r="A9" s="63" t="s">
        <v>162</v>
      </c>
      <c r="B9" s="63">
        <v>3181</v>
      </c>
      <c r="C9" s="64">
        <f>B9/B16</f>
        <v>1.4875172652893014E-6</v>
      </c>
      <c r="D9" s="63">
        <v>3175695</v>
      </c>
      <c r="E9" s="64">
        <f>D9/D16</f>
        <v>1.974464637700162E-4</v>
      </c>
    </row>
    <row r="10" spans="1:6">
      <c r="A10" s="63" t="s">
        <v>163</v>
      </c>
      <c r="B10" s="63">
        <v>64756</v>
      </c>
      <c r="C10" s="64">
        <f>B10/B16</f>
        <v>3.0281568070127E-5</v>
      </c>
      <c r="D10" s="63">
        <v>734322</v>
      </c>
      <c r="E10" s="64">
        <f>D10/D16</f>
        <v>4.5655921670225203E-5</v>
      </c>
    </row>
    <row r="11" spans="1:6">
      <c r="A11" s="63" t="s">
        <v>164</v>
      </c>
      <c r="B11" s="63">
        <v>35154</v>
      </c>
      <c r="C11" s="64">
        <f>B11/B16</f>
        <v>1.6438912902854477E-5</v>
      </c>
      <c r="D11" s="63">
        <v>393568</v>
      </c>
      <c r="E11" s="64">
        <f>D11/D16</f>
        <v>2.4469796329004432E-5</v>
      </c>
    </row>
    <row r="12" spans="1:6">
      <c r="A12" s="63" t="s">
        <v>165</v>
      </c>
      <c r="B12" s="63">
        <v>3507</v>
      </c>
      <c r="C12" s="64">
        <f>B12/B16</f>
        <v>1.6399632346336308E-6</v>
      </c>
      <c r="D12" s="63">
        <v>11371852</v>
      </c>
      <c r="E12" s="64">
        <f>D12/D16</f>
        <v>7.0703640113927379E-4</v>
      </c>
    </row>
    <row r="13" spans="1:6">
      <c r="A13" s="63" t="s">
        <v>166</v>
      </c>
      <c r="B13" s="63">
        <v>2138350634</v>
      </c>
      <c r="C13" s="64">
        <f>B13/B16</f>
        <v>0.99994765398218277</v>
      </c>
      <c r="D13" s="63">
        <v>16063707129</v>
      </c>
      <c r="E13" s="64">
        <f>D13/D16</f>
        <v>0.99874898806662771</v>
      </c>
    </row>
    <row r="14" spans="1:6">
      <c r="A14" s="63" t="s">
        <v>167</v>
      </c>
      <c r="B14" s="63">
        <v>5342</v>
      </c>
      <c r="C14" s="64">
        <f>B14/B16</f>
        <v>2.4980563442865287E-6</v>
      </c>
      <c r="D14" s="63">
        <v>4116693</v>
      </c>
      <c r="E14" s="64">
        <f>D14/D16</f>
        <v>2.5595231131351695E-4</v>
      </c>
    </row>
    <row r="15" spans="1:6">
      <c r="A15" s="63" t="s">
        <v>168</v>
      </c>
      <c r="D15" s="63">
        <v>328931</v>
      </c>
      <c r="E15" s="64">
        <f>D15/D16</f>
        <v>2.0451039150275826E-5</v>
      </c>
    </row>
    <row r="16" spans="1:6" ht="16.5" thickBot="1">
      <c r="A16" s="63" t="s">
        <v>2</v>
      </c>
      <c r="B16" s="74">
        <f>SUM(B9:B15)</f>
        <v>2138462574</v>
      </c>
      <c r="C16" s="76">
        <f>SUM(C9:C15)</f>
        <v>1</v>
      </c>
      <c r="D16" s="74">
        <f>SUM(D9:D15)</f>
        <v>16083828190</v>
      </c>
      <c r="E16" s="76">
        <f>SUM(E9:E15)</f>
        <v>1</v>
      </c>
    </row>
    <row r="17" ht="16.5" thickTop="1"/>
  </sheetData>
  <mergeCells count="6">
    <mergeCell ref="B6:C6"/>
    <mergeCell ref="A4:E4"/>
    <mergeCell ref="D6:E6"/>
    <mergeCell ref="A1:E1"/>
    <mergeCell ref="A2:E2"/>
    <mergeCell ref="A3:E3"/>
  </mergeCells>
  <pageMargins left="0.7" right="0.7" top="0.75" bottom="0.75" header="0.3" footer="0.3"/>
  <pageSetup scale="91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FFB87-ACDE-4332-A683-1A3C8B5D683E}">
  <dimension ref="A1:I7"/>
  <sheetViews>
    <sheetView rightToLeft="1" view="pageBreakPreview" zoomScale="60" zoomScaleNormal="100" workbookViewId="0">
      <selection sqref="A1:XFD1048576"/>
    </sheetView>
  </sheetViews>
  <sheetFormatPr defaultRowHeight="18"/>
  <cols>
    <col min="1" max="1" width="23.42578125" style="8" customWidth="1"/>
    <col min="2" max="2" width="23" style="8" customWidth="1"/>
    <col min="3" max="3" width="21.85546875" style="8" customWidth="1"/>
    <col min="4" max="16384" width="9.140625" style="8"/>
  </cols>
  <sheetData>
    <row r="1" spans="1:9" ht="21">
      <c r="A1" s="96" t="s">
        <v>155</v>
      </c>
      <c r="B1" s="96"/>
      <c r="C1" s="96"/>
      <c r="D1" s="96"/>
      <c r="E1" s="96"/>
      <c r="F1" s="77"/>
      <c r="G1" s="77"/>
      <c r="H1" s="77"/>
      <c r="I1" s="77"/>
    </row>
    <row r="2" spans="1:9" ht="21">
      <c r="A2" s="96" t="s">
        <v>82</v>
      </c>
      <c r="B2" s="96"/>
      <c r="C2" s="96"/>
      <c r="D2" s="96"/>
      <c r="E2" s="96"/>
      <c r="F2" s="77"/>
      <c r="G2" s="77"/>
      <c r="H2" s="77"/>
      <c r="I2" s="77"/>
    </row>
    <row r="3" spans="1:9" ht="21">
      <c r="A3" s="96" t="s">
        <v>154</v>
      </c>
      <c r="B3" s="96"/>
      <c r="C3" s="96"/>
      <c r="D3" s="96"/>
      <c r="E3" s="96"/>
      <c r="F3" s="77"/>
      <c r="G3" s="77"/>
      <c r="H3" s="77"/>
      <c r="I3" s="77"/>
    </row>
    <row r="4" spans="1:9" ht="21">
      <c r="A4" s="97" t="s">
        <v>149</v>
      </c>
      <c r="B4" s="97"/>
      <c r="C4" s="97"/>
      <c r="D4" s="97"/>
      <c r="E4" s="97"/>
      <c r="F4" s="97"/>
      <c r="G4" s="97"/>
      <c r="H4" s="97"/>
      <c r="I4" s="97"/>
    </row>
    <row r="5" spans="1:9">
      <c r="A5" s="6"/>
      <c r="B5" s="6"/>
      <c r="C5" s="6"/>
      <c r="D5" s="6"/>
      <c r="E5" s="6"/>
      <c r="F5" s="6"/>
      <c r="G5" s="6"/>
      <c r="H5" s="6"/>
      <c r="I5" s="6"/>
    </row>
    <row r="6" spans="1:9">
      <c r="A6" s="5"/>
      <c r="B6" s="34" t="s">
        <v>139</v>
      </c>
      <c r="C6" s="34" t="s">
        <v>156</v>
      </c>
      <c r="D6" s="35"/>
      <c r="E6" s="35"/>
      <c r="F6" s="5"/>
      <c r="G6" s="5"/>
      <c r="H6" s="5"/>
      <c r="I6" s="5"/>
    </row>
    <row r="7" spans="1:9" ht="18.75" thickBot="1">
      <c r="A7" s="43" t="s">
        <v>141</v>
      </c>
      <c r="B7" s="36" t="s">
        <v>140</v>
      </c>
      <c r="C7" s="36" t="s">
        <v>140</v>
      </c>
      <c r="D7" s="5"/>
      <c r="E7" s="57"/>
      <c r="F7" s="5"/>
      <c r="G7" s="5"/>
      <c r="H7" s="5"/>
      <c r="I7" s="57"/>
    </row>
  </sheetData>
  <mergeCells count="4">
    <mergeCell ref="A4:I4"/>
    <mergeCell ref="A1:E1"/>
    <mergeCell ref="A2:E2"/>
    <mergeCell ref="A3:E3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34516-2072-42A8-877E-37BB5BACA214}">
  <dimension ref="A1:K12"/>
  <sheetViews>
    <sheetView rightToLeft="1" view="pageBreakPreview" zoomScale="60" zoomScaleNormal="100" workbookViewId="0">
      <selection sqref="A1:XFD1048576"/>
    </sheetView>
  </sheetViews>
  <sheetFormatPr defaultRowHeight="18"/>
  <cols>
    <col min="1" max="1" width="27.28515625" style="8" customWidth="1"/>
    <col min="2" max="2" width="20.42578125" style="8" customWidth="1"/>
    <col min="3" max="3" width="22" style="8" customWidth="1"/>
    <col min="4" max="5" width="20.85546875" style="8" customWidth="1"/>
    <col min="6" max="6" width="16.140625" style="8" customWidth="1"/>
    <col min="7" max="7" width="22.42578125" style="8" customWidth="1"/>
    <col min="8" max="8" width="20.42578125" style="8" customWidth="1"/>
    <col min="9" max="9" width="22.28515625" style="8" customWidth="1"/>
    <col min="10" max="10" width="18.85546875" style="8" customWidth="1"/>
    <col min="11" max="16384" width="9.140625" style="8"/>
  </cols>
  <sheetData>
    <row r="1" spans="1:11" ht="21">
      <c r="A1" s="96" t="s">
        <v>155</v>
      </c>
      <c r="B1" s="96"/>
      <c r="C1" s="96"/>
      <c r="D1" s="96"/>
      <c r="E1" s="96"/>
      <c r="F1" s="96"/>
      <c r="G1" s="96"/>
      <c r="H1" s="96"/>
      <c r="I1" s="96"/>
      <c r="J1" s="96"/>
    </row>
    <row r="2" spans="1:11" ht="21">
      <c r="A2" s="96" t="s">
        <v>144</v>
      </c>
      <c r="B2" s="96"/>
      <c r="C2" s="96"/>
      <c r="D2" s="96"/>
      <c r="E2" s="96"/>
      <c r="F2" s="96"/>
      <c r="G2" s="96"/>
      <c r="H2" s="96"/>
      <c r="I2" s="96"/>
    </row>
    <row r="3" spans="1:11" ht="21">
      <c r="A3" s="96" t="s">
        <v>154</v>
      </c>
      <c r="B3" s="96"/>
      <c r="C3" s="96"/>
      <c r="D3" s="96"/>
      <c r="E3" s="96"/>
      <c r="F3" s="96"/>
      <c r="G3" s="96"/>
      <c r="H3" s="96"/>
      <c r="I3" s="96"/>
    </row>
    <row r="4" spans="1:11" ht="21">
      <c r="A4" s="97" t="s">
        <v>150</v>
      </c>
      <c r="B4" s="97"/>
      <c r="C4" s="97"/>
      <c r="D4" s="97"/>
      <c r="E4" s="97"/>
      <c r="F4" s="97"/>
      <c r="G4" s="97"/>
      <c r="H4" s="97"/>
      <c r="I4" s="97"/>
    </row>
    <row r="5" spans="1:11">
      <c r="B5" s="37"/>
      <c r="C5" s="37"/>
      <c r="D5" s="37"/>
      <c r="E5" s="37"/>
    </row>
    <row r="6" spans="1:11" ht="18.75" thickBot="1">
      <c r="A6" s="4"/>
      <c r="B6" s="113" t="s">
        <v>134</v>
      </c>
      <c r="C6" s="113"/>
      <c r="D6" s="113"/>
      <c r="E6" s="113"/>
      <c r="F6" s="113"/>
      <c r="G6" s="113" t="s">
        <v>156</v>
      </c>
      <c r="H6" s="113"/>
      <c r="I6" s="113"/>
      <c r="J6" s="113"/>
      <c r="K6" s="113"/>
    </row>
    <row r="7" spans="1:11" ht="15" customHeight="1">
      <c r="A7" s="103" t="s">
        <v>142</v>
      </c>
      <c r="B7" s="125" t="s">
        <v>19</v>
      </c>
      <c r="C7" s="125" t="s">
        <v>16</v>
      </c>
      <c r="D7" s="116" t="s">
        <v>17</v>
      </c>
      <c r="E7" s="116" t="s">
        <v>2</v>
      </c>
      <c r="F7" s="116"/>
      <c r="G7" s="116" t="s">
        <v>19</v>
      </c>
      <c r="H7" s="116" t="s">
        <v>16</v>
      </c>
      <c r="I7" s="116" t="s">
        <v>17</v>
      </c>
      <c r="J7" s="116" t="s">
        <v>2</v>
      </c>
      <c r="K7" s="116"/>
    </row>
    <row r="8" spans="1:11" ht="15.75" customHeight="1" thickBot="1">
      <c r="A8" s="105"/>
      <c r="B8" s="126"/>
      <c r="C8" s="126"/>
      <c r="D8" s="117"/>
      <c r="E8" s="113"/>
      <c r="F8" s="113"/>
      <c r="G8" s="117"/>
      <c r="H8" s="117"/>
      <c r="I8" s="117"/>
      <c r="J8" s="113"/>
      <c r="K8" s="113"/>
    </row>
    <row r="9" spans="1:11" ht="32.25" thickBot="1">
      <c r="A9" s="104"/>
      <c r="B9" s="25" t="s">
        <v>85</v>
      </c>
      <c r="C9" s="25" t="s">
        <v>85</v>
      </c>
      <c r="D9" s="25" t="s">
        <v>85</v>
      </c>
      <c r="E9" s="58" t="s">
        <v>6</v>
      </c>
      <c r="F9" s="58" t="s">
        <v>18</v>
      </c>
      <c r="G9" s="25" t="s">
        <v>85</v>
      </c>
      <c r="H9" s="25" t="s">
        <v>85</v>
      </c>
      <c r="I9" s="25" t="s">
        <v>85</v>
      </c>
      <c r="J9" s="58" t="s">
        <v>6</v>
      </c>
      <c r="K9" s="58" t="s">
        <v>18</v>
      </c>
    </row>
    <row r="10" spans="1:11">
      <c r="B10" s="38"/>
      <c r="C10" s="38"/>
      <c r="D10" s="38"/>
      <c r="E10" s="38"/>
    </row>
    <row r="11" spans="1:11">
      <c r="B11" s="39"/>
      <c r="C11" s="39"/>
      <c r="D11" s="39"/>
      <c r="E11" s="39"/>
      <c r="F11" s="41"/>
      <c r="G11" s="40"/>
      <c r="H11" s="41"/>
      <c r="I11" s="40"/>
    </row>
    <row r="12" spans="1:11">
      <c r="B12" s="39"/>
      <c r="C12" s="39"/>
      <c r="D12" s="39"/>
      <c r="E12" s="39"/>
      <c r="F12" s="41"/>
      <c r="G12" s="40"/>
      <c r="H12" s="42"/>
      <c r="I12" s="40"/>
    </row>
  </sheetData>
  <mergeCells count="15">
    <mergeCell ref="G7:G8"/>
    <mergeCell ref="H7:H8"/>
    <mergeCell ref="I7:I8"/>
    <mergeCell ref="J7:K8"/>
    <mergeCell ref="A7:A9"/>
    <mergeCell ref="B7:B8"/>
    <mergeCell ref="C7:C8"/>
    <mergeCell ref="D7:D8"/>
    <mergeCell ref="E7:F8"/>
    <mergeCell ref="B6:F6"/>
    <mergeCell ref="G6:K6"/>
    <mergeCell ref="A1:J1"/>
    <mergeCell ref="A2:I2"/>
    <mergeCell ref="A3:I3"/>
    <mergeCell ref="A4:I4"/>
  </mergeCells>
  <conditionalFormatting sqref="H9:H12 H1:H5">
    <cfRule type="duplicateValues" dxfId="2" priority="4"/>
    <cfRule type="duplicateValues" dxfId="1" priority="5"/>
  </conditionalFormatting>
  <conditionalFormatting sqref="H1:I5 A6:C6 H9:I12">
    <cfRule type="cellIs" dxfId="0" priority="1" operator="equal">
      <formula>-3000000000000</formula>
    </cfRule>
  </conditionalFormatting>
  <pageMargins left="0.7" right="0.7" top="0.75" bottom="0.75" header="0.3" footer="0.3"/>
  <pageSetup scale="4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"/>
  <sheetViews>
    <sheetView rightToLeft="1" view="pageBreakPreview" zoomScaleNormal="100" zoomScaleSheetLayoutView="100" workbookViewId="0">
      <selection sqref="A1:XFD1048576"/>
    </sheetView>
  </sheetViews>
  <sheetFormatPr defaultRowHeight="18"/>
  <cols>
    <col min="1" max="1" width="27.28515625" style="8" customWidth="1"/>
    <col min="2" max="2" width="13.28515625" style="8" customWidth="1"/>
    <col min="3" max="3" width="13.7109375" style="8" customWidth="1"/>
    <col min="4" max="16384" width="9.140625" style="8"/>
  </cols>
  <sheetData>
    <row r="1" spans="1:3">
      <c r="A1" s="127" t="s">
        <v>155</v>
      </c>
      <c r="B1" s="127"/>
      <c r="C1" s="127"/>
    </row>
    <row r="2" spans="1:3">
      <c r="A2" s="127" t="s">
        <v>82</v>
      </c>
      <c r="B2" s="127"/>
      <c r="C2" s="127"/>
    </row>
    <row r="3" spans="1:3">
      <c r="A3" s="127" t="s">
        <v>154</v>
      </c>
      <c r="B3" s="127"/>
      <c r="C3" s="127"/>
    </row>
    <row r="4" spans="1:3" ht="21">
      <c r="A4" s="97" t="s">
        <v>151</v>
      </c>
      <c r="B4" s="97"/>
      <c r="C4" s="97"/>
    </row>
    <row r="5" spans="1:3" ht="18.75" thickBot="1">
      <c r="A5" s="7"/>
      <c r="B5" s="53" t="s">
        <v>134</v>
      </c>
      <c r="C5" s="53" t="s">
        <v>156</v>
      </c>
    </row>
    <row r="6" spans="1:3" ht="16.5" customHeight="1">
      <c r="A6" s="118" t="s">
        <v>36</v>
      </c>
      <c r="B6" s="116" t="s">
        <v>6</v>
      </c>
      <c r="C6" s="116" t="s">
        <v>6</v>
      </c>
    </row>
    <row r="7" spans="1:3" ht="18.75" thickBot="1">
      <c r="A7" s="119"/>
      <c r="B7" s="113"/>
      <c r="C7" s="113"/>
    </row>
    <row r="8" spans="1:3">
      <c r="A8" s="63" t="s">
        <v>161</v>
      </c>
      <c r="B8" s="63">
        <v>3680</v>
      </c>
      <c r="C8" s="63">
        <v>3721</v>
      </c>
    </row>
    <row r="9" spans="1:3" ht="18.75" thickBot="1">
      <c r="A9" s="63" t="s">
        <v>2</v>
      </c>
      <c r="B9" s="74">
        <f>SUM(B8:B8)</f>
        <v>3680</v>
      </c>
      <c r="C9" s="74">
        <f>SUM(C8:C8)</f>
        <v>3721</v>
      </c>
    </row>
    <row r="10" spans="1:3" ht="18.75" thickTop="1"/>
  </sheetData>
  <mergeCells count="7">
    <mergeCell ref="A1:C1"/>
    <mergeCell ref="A2:C2"/>
    <mergeCell ref="A3:C3"/>
    <mergeCell ref="C6:C7"/>
    <mergeCell ref="B6:B7"/>
    <mergeCell ref="A4:C4"/>
    <mergeCell ref="A6:A7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93"/>
  <sheetViews>
    <sheetView rightToLeft="1" view="pageBreakPreview" topLeftCell="A9" zoomScale="98" zoomScaleNormal="100" zoomScaleSheetLayoutView="98" workbookViewId="0">
      <selection sqref="A1:XFD1048576"/>
    </sheetView>
  </sheetViews>
  <sheetFormatPr defaultColWidth="9.140625" defaultRowHeight="15.75"/>
  <cols>
    <col min="1" max="1" width="23.28515625" style="6" customWidth="1"/>
    <col min="2" max="2" width="14.28515625" style="6" customWidth="1"/>
    <col min="3" max="3" width="21.140625" style="6" customWidth="1"/>
    <col min="4" max="4" width="22.28515625" style="6" customWidth="1"/>
    <col min="5" max="6" width="17.5703125" style="6" customWidth="1"/>
    <col min="7" max="7" width="16" style="6" customWidth="1"/>
    <col min="8" max="8" width="19.42578125" style="6" customWidth="1"/>
    <col min="9" max="9" width="17.5703125" style="6" customWidth="1"/>
    <col min="10" max="10" width="16.140625" style="6" customWidth="1"/>
    <col min="11" max="16384" width="9.140625" style="6"/>
  </cols>
  <sheetData>
    <row r="1" spans="1:13" ht="21">
      <c r="A1" s="96" t="s">
        <v>155</v>
      </c>
      <c r="B1" s="96"/>
      <c r="C1" s="96"/>
      <c r="D1" s="96"/>
      <c r="E1" s="96"/>
      <c r="F1" s="96"/>
      <c r="G1" s="96"/>
      <c r="H1" s="96"/>
      <c r="I1" s="96"/>
      <c r="J1" s="96"/>
    </row>
    <row r="2" spans="1:13" ht="21">
      <c r="A2" s="96" t="s">
        <v>82</v>
      </c>
      <c r="B2" s="96"/>
      <c r="C2" s="96"/>
      <c r="D2" s="96"/>
      <c r="E2" s="96"/>
      <c r="F2" s="96"/>
      <c r="G2" s="96"/>
      <c r="H2" s="96"/>
      <c r="I2" s="96"/>
      <c r="J2" s="96"/>
    </row>
    <row r="3" spans="1:13" ht="21">
      <c r="A3" s="96" t="s">
        <v>154</v>
      </c>
      <c r="B3" s="96"/>
      <c r="C3" s="96"/>
      <c r="D3" s="96"/>
      <c r="E3" s="96"/>
      <c r="F3" s="96"/>
      <c r="G3" s="96"/>
      <c r="H3" s="96"/>
      <c r="I3" s="96"/>
      <c r="J3" s="96"/>
    </row>
    <row r="4" spans="1:13" ht="21">
      <c r="A4" s="97" t="s">
        <v>15</v>
      </c>
      <c r="B4" s="97"/>
      <c r="C4" s="97"/>
      <c r="D4" s="97"/>
      <c r="E4" s="97"/>
      <c r="F4" s="97"/>
      <c r="G4" s="97"/>
      <c r="H4" s="97"/>
      <c r="I4" s="97"/>
      <c r="J4" s="97"/>
      <c r="K4" s="66"/>
      <c r="L4" s="66"/>
      <c r="M4" s="66"/>
    </row>
    <row r="5" spans="1:13" ht="16.5" customHeight="1" thickBot="1">
      <c r="B5" s="107" t="s">
        <v>61</v>
      </c>
      <c r="C5" s="107"/>
      <c r="D5" s="107"/>
      <c r="E5" s="113" t="s">
        <v>134</v>
      </c>
      <c r="F5" s="113"/>
      <c r="G5" s="113"/>
      <c r="H5" s="113" t="s">
        <v>156</v>
      </c>
      <c r="I5" s="113"/>
      <c r="J5" s="113"/>
      <c r="K5" s="5"/>
      <c r="L5" s="5"/>
      <c r="M5" s="5"/>
    </row>
    <row r="6" spans="1:13" ht="47.25" customHeight="1" thickBot="1">
      <c r="A6" s="31" t="s">
        <v>40</v>
      </c>
      <c r="B6" s="19" t="s">
        <v>55</v>
      </c>
      <c r="C6" s="18" t="s">
        <v>60</v>
      </c>
      <c r="D6" s="18" t="s">
        <v>56</v>
      </c>
      <c r="E6" s="18" t="s">
        <v>57</v>
      </c>
      <c r="F6" s="54" t="s">
        <v>58</v>
      </c>
      <c r="G6" s="18" t="s">
        <v>59</v>
      </c>
      <c r="H6" s="18" t="s">
        <v>57</v>
      </c>
      <c r="I6" s="20" t="s">
        <v>58</v>
      </c>
      <c r="J6" s="18" t="s">
        <v>59</v>
      </c>
    </row>
    <row r="7" spans="1:13">
      <c r="A7" s="63" t="s">
        <v>406</v>
      </c>
      <c r="B7" s="63" t="s">
        <v>407</v>
      </c>
      <c r="C7" s="63">
        <v>50000</v>
      </c>
      <c r="D7" s="63">
        <v>3980</v>
      </c>
      <c r="H7" s="63">
        <v>199000000</v>
      </c>
      <c r="I7" s="63">
        <v>0</v>
      </c>
      <c r="J7" s="63">
        <v>199000000</v>
      </c>
    </row>
    <row r="8" spans="1:13">
      <c r="A8" s="63" t="s">
        <v>376</v>
      </c>
      <c r="B8" s="63" t="s">
        <v>409</v>
      </c>
      <c r="C8" s="63">
        <v>245000</v>
      </c>
      <c r="D8" s="63">
        <v>100</v>
      </c>
      <c r="H8" s="63">
        <v>24500000</v>
      </c>
      <c r="I8" s="63">
        <v>0</v>
      </c>
      <c r="J8" s="63">
        <v>24500000</v>
      </c>
    </row>
    <row r="9" spans="1:13">
      <c r="A9" s="63" t="s">
        <v>304</v>
      </c>
      <c r="B9" s="63" t="s">
        <v>410</v>
      </c>
      <c r="C9" s="63">
        <v>6813853</v>
      </c>
      <c r="D9" s="63">
        <v>637</v>
      </c>
      <c r="H9" s="63">
        <v>4340424361</v>
      </c>
      <c r="I9" s="63">
        <v>0</v>
      </c>
      <c r="J9" s="63">
        <v>4340424361</v>
      </c>
    </row>
    <row r="10" spans="1:13">
      <c r="A10" s="63" t="s">
        <v>325</v>
      </c>
      <c r="B10" s="63" t="s">
        <v>412</v>
      </c>
      <c r="C10" s="63">
        <v>2498170</v>
      </c>
      <c r="D10" s="63">
        <v>1500</v>
      </c>
      <c r="E10" s="63">
        <v>3747255000</v>
      </c>
      <c r="F10" s="63">
        <v>-116868603</v>
      </c>
      <c r="G10" s="63">
        <v>3630386397</v>
      </c>
      <c r="H10" s="63">
        <v>3747255000</v>
      </c>
      <c r="I10" s="63">
        <v>-99554442</v>
      </c>
      <c r="J10" s="63">
        <v>3647700558</v>
      </c>
    </row>
    <row r="11" spans="1:13">
      <c r="A11" s="63" t="s">
        <v>308</v>
      </c>
      <c r="B11" s="63" t="s">
        <v>413</v>
      </c>
      <c r="C11" s="63">
        <v>19134677</v>
      </c>
      <c r="D11" s="63">
        <v>35</v>
      </c>
      <c r="H11" s="63">
        <v>669713695</v>
      </c>
      <c r="I11" s="63">
        <v>0</v>
      </c>
      <c r="J11" s="63">
        <v>669713695</v>
      </c>
    </row>
    <row r="12" spans="1:13">
      <c r="A12" s="63" t="s">
        <v>193</v>
      </c>
      <c r="B12" s="63" t="s">
        <v>414</v>
      </c>
      <c r="C12" s="63">
        <v>2291471</v>
      </c>
      <c r="D12" s="63">
        <v>1940</v>
      </c>
      <c r="H12" s="63">
        <v>4445453740</v>
      </c>
      <c r="I12" s="63">
        <v>0</v>
      </c>
      <c r="J12" s="63">
        <v>4445453740</v>
      </c>
    </row>
    <row r="13" spans="1:13">
      <c r="A13" s="63" t="s">
        <v>224</v>
      </c>
      <c r="B13" s="63" t="s">
        <v>415</v>
      </c>
      <c r="C13" s="63">
        <v>14265950</v>
      </c>
      <c r="D13" s="63">
        <v>135</v>
      </c>
      <c r="H13" s="63">
        <v>1925903250</v>
      </c>
      <c r="I13" s="63">
        <v>0</v>
      </c>
      <c r="J13" s="63">
        <v>1925903250</v>
      </c>
    </row>
    <row r="14" spans="1:13">
      <c r="A14" s="63" t="s">
        <v>340</v>
      </c>
      <c r="B14" s="63" t="s">
        <v>416</v>
      </c>
      <c r="C14" s="63">
        <v>500000</v>
      </c>
      <c r="D14" s="63">
        <v>1425</v>
      </c>
      <c r="H14" s="63">
        <v>712500000</v>
      </c>
      <c r="I14" s="63">
        <v>0</v>
      </c>
      <c r="J14" s="63">
        <v>712500000</v>
      </c>
    </row>
    <row r="15" spans="1:13">
      <c r="A15" s="63" t="s">
        <v>361</v>
      </c>
      <c r="B15" s="63" t="s">
        <v>417</v>
      </c>
      <c r="C15" s="63">
        <v>1750000</v>
      </c>
      <c r="D15" s="63">
        <v>400</v>
      </c>
      <c r="H15" s="63">
        <v>700000000</v>
      </c>
      <c r="I15" s="63">
        <v>0</v>
      </c>
      <c r="J15" s="63">
        <v>700000000</v>
      </c>
    </row>
    <row r="16" spans="1:13">
      <c r="A16" s="63" t="s">
        <v>175</v>
      </c>
      <c r="B16" s="63" t="s">
        <v>418</v>
      </c>
      <c r="C16" s="63">
        <v>13509504</v>
      </c>
      <c r="D16" s="63">
        <v>50</v>
      </c>
      <c r="H16" s="63">
        <v>675475200</v>
      </c>
      <c r="I16" s="63">
        <v>0</v>
      </c>
      <c r="J16" s="63">
        <v>675475200</v>
      </c>
    </row>
    <row r="17" spans="1:10">
      <c r="A17" s="63" t="s">
        <v>419</v>
      </c>
      <c r="B17" s="63" t="s">
        <v>420</v>
      </c>
      <c r="C17" s="63">
        <v>1562500</v>
      </c>
      <c r="D17" s="63">
        <v>440</v>
      </c>
      <c r="H17" s="63">
        <v>687500000</v>
      </c>
      <c r="I17" s="63">
        <v>0</v>
      </c>
      <c r="J17" s="63">
        <v>687500000</v>
      </c>
    </row>
    <row r="18" spans="1:10">
      <c r="A18" s="63" t="s">
        <v>214</v>
      </c>
      <c r="B18" s="63" t="s">
        <v>421</v>
      </c>
      <c r="C18" s="63">
        <v>8400000</v>
      </c>
      <c r="D18" s="63">
        <v>50</v>
      </c>
      <c r="H18" s="63">
        <v>420000000</v>
      </c>
      <c r="I18" s="63">
        <v>0</v>
      </c>
      <c r="J18" s="63">
        <v>420000000</v>
      </c>
    </row>
    <row r="19" spans="1:10">
      <c r="A19" s="63" t="s">
        <v>276</v>
      </c>
      <c r="B19" s="63" t="s">
        <v>422</v>
      </c>
      <c r="C19" s="63">
        <v>18000000</v>
      </c>
      <c r="D19" s="63">
        <v>1000</v>
      </c>
      <c r="H19" s="63">
        <v>18000000000</v>
      </c>
      <c r="I19" s="63">
        <v>0</v>
      </c>
      <c r="J19" s="63">
        <v>18000000000</v>
      </c>
    </row>
    <row r="20" spans="1:10">
      <c r="A20" s="63" t="s">
        <v>223</v>
      </c>
      <c r="B20" s="63" t="s">
        <v>423</v>
      </c>
      <c r="C20" s="63">
        <v>4739606</v>
      </c>
      <c r="D20" s="63">
        <v>460</v>
      </c>
      <c r="H20" s="63">
        <v>2180218760</v>
      </c>
      <c r="I20" s="63">
        <v>0</v>
      </c>
      <c r="J20" s="63">
        <v>2180218760</v>
      </c>
    </row>
    <row r="21" spans="1:10">
      <c r="A21" s="63" t="s">
        <v>201</v>
      </c>
      <c r="B21" s="63" t="s">
        <v>416</v>
      </c>
      <c r="C21" s="63">
        <v>9127149</v>
      </c>
      <c r="D21" s="63">
        <v>167</v>
      </c>
      <c r="H21" s="63">
        <v>1524233883</v>
      </c>
      <c r="I21" s="63">
        <v>0</v>
      </c>
      <c r="J21" s="63">
        <v>1524233883</v>
      </c>
    </row>
    <row r="22" spans="1:10">
      <c r="A22" s="63" t="s">
        <v>424</v>
      </c>
      <c r="B22" s="63" t="s">
        <v>425</v>
      </c>
      <c r="C22" s="63">
        <v>842177</v>
      </c>
      <c r="D22" s="63">
        <v>35</v>
      </c>
      <c r="H22" s="63">
        <v>29476195</v>
      </c>
      <c r="I22" s="63">
        <v>0</v>
      </c>
      <c r="J22" s="63">
        <v>29476195</v>
      </c>
    </row>
    <row r="23" spans="1:10">
      <c r="A23" s="63" t="s">
        <v>322</v>
      </c>
      <c r="B23" s="63" t="s">
        <v>426</v>
      </c>
      <c r="C23" s="63">
        <v>6645110</v>
      </c>
      <c r="D23" s="63">
        <v>1600</v>
      </c>
      <c r="H23" s="63">
        <v>10632176000</v>
      </c>
      <c r="I23" s="63">
        <v>0</v>
      </c>
      <c r="J23" s="63">
        <v>10632176000</v>
      </c>
    </row>
    <row r="24" spans="1:10">
      <c r="A24" s="63" t="s">
        <v>267</v>
      </c>
      <c r="B24" s="63" t="s">
        <v>427</v>
      </c>
      <c r="C24" s="63">
        <v>1000000</v>
      </c>
      <c r="D24" s="63">
        <v>600</v>
      </c>
      <c r="H24" s="63">
        <v>600000000</v>
      </c>
      <c r="I24" s="63">
        <v>0</v>
      </c>
      <c r="J24" s="63">
        <v>600000000</v>
      </c>
    </row>
    <row r="25" spans="1:10">
      <c r="A25" s="63" t="s">
        <v>331</v>
      </c>
      <c r="B25" s="63" t="s">
        <v>428</v>
      </c>
      <c r="C25" s="63">
        <v>31806527</v>
      </c>
      <c r="D25" s="63">
        <v>120</v>
      </c>
      <c r="H25" s="63">
        <v>3816783240</v>
      </c>
      <c r="I25" s="63">
        <v>0</v>
      </c>
      <c r="J25" s="63">
        <v>3816783240</v>
      </c>
    </row>
    <row r="26" spans="1:10">
      <c r="A26" s="63" t="s">
        <v>227</v>
      </c>
      <c r="B26" s="63" t="s">
        <v>429</v>
      </c>
      <c r="C26" s="63">
        <v>4807801</v>
      </c>
      <c r="D26" s="63">
        <v>1055</v>
      </c>
      <c r="H26" s="63">
        <v>5072230055</v>
      </c>
      <c r="I26" s="63">
        <v>-121326239</v>
      </c>
      <c r="J26" s="63">
        <v>4950903816</v>
      </c>
    </row>
    <row r="27" spans="1:10">
      <c r="A27" s="63" t="s">
        <v>188</v>
      </c>
      <c r="B27" s="63" t="s">
        <v>430</v>
      </c>
      <c r="C27" s="63">
        <v>236747</v>
      </c>
      <c r="D27" s="63">
        <v>2300</v>
      </c>
      <c r="H27" s="63">
        <v>544518100</v>
      </c>
      <c r="I27" s="63">
        <v>0</v>
      </c>
      <c r="J27" s="63">
        <v>544518100</v>
      </c>
    </row>
    <row r="28" spans="1:10">
      <c r="A28" s="63" t="s">
        <v>204</v>
      </c>
      <c r="B28" s="63" t="s">
        <v>420</v>
      </c>
      <c r="C28" s="63">
        <v>2773715</v>
      </c>
      <c r="D28" s="63">
        <v>5375</v>
      </c>
      <c r="H28" s="63">
        <v>14908718125</v>
      </c>
      <c r="I28" s="63">
        <v>0</v>
      </c>
      <c r="J28" s="63">
        <v>14908718125</v>
      </c>
    </row>
    <row r="29" spans="1:10">
      <c r="A29" s="63" t="s">
        <v>327</v>
      </c>
      <c r="B29" s="63" t="s">
        <v>431</v>
      </c>
      <c r="C29" s="63">
        <v>122374</v>
      </c>
      <c r="D29" s="63">
        <v>2400</v>
      </c>
      <c r="H29" s="63">
        <v>293697600</v>
      </c>
      <c r="I29" s="63">
        <v>0</v>
      </c>
      <c r="J29" s="63">
        <v>293697600</v>
      </c>
    </row>
    <row r="30" spans="1:10">
      <c r="A30" s="63" t="s">
        <v>321</v>
      </c>
      <c r="B30" s="63" t="s">
        <v>432</v>
      </c>
      <c r="C30" s="63">
        <v>2672602</v>
      </c>
      <c r="D30" s="63">
        <v>1150</v>
      </c>
      <c r="H30" s="63">
        <v>3073492300</v>
      </c>
      <c r="I30" s="63">
        <v>0</v>
      </c>
      <c r="J30" s="63">
        <v>3073492300</v>
      </c>
    </row>
    <row r="31" spans="1:10">
      <c r="A31" s="63" t="s">
        <v>237</v>
      </c>
      <c r="B31" s="63" t="s">
        <v>433</v>
      </c>
      <c r="C31" s="63">
        <v>27844387</v>
      </c>
      <c r="D31" s="63">
        <v>40</v>
      </c>
      <c r="H31" s="63">
        <v>1113775480</v>
      </c>
      <c r="I31" s="63">
        <v>0</v>
      </c>
      <c r="J31" s="63">
        <v>1113775480</v>
      </c>
    </row>
    <row r="32" spans="1:10">
      <c r="A32" s="63" t="s">
        <v>243</v>
      </c>
      <c r="B32" s="63" t="s">
        <v>410</v>
      </c>
      <c r="C32" s="63">
        <v>15167887</v>
      </c>
      <c r="D32" s="63">
        <v>266</v>
      </c>
      <c r="H32" s="63">
        <v>4034657942</v>
      </c>
      <c r="I32" s="63">
        <v>0</v>
      </c>
      <c r="J32" s="63">
        <v>4034657942</v>
      </c>
    </row>
    <row r="33" spans="1:10">
      <c r="A33" s="63" t="s">
        <v>305</v>
      </c>
      <c r="B33" s="63" t="s">
        <v>425</v>
      </c>
      <c r="C33" s="63">
        <v>10258397</v>
      </c>
      <c r="D33" s="63">
        <v>114</v>
      </c>
      <c r="H33" s="63">
        <v>1169457258</v>
      </c>
      <c r="I33" s="63">
        <v>0</v>
      </c>
      <c r="J33" s="63">
        <v>1169457258</v>
      </c>
    </row>
    <row r="34" spans="1:10">
      <c r="A34" s="63" t="s">
        <v>315</v>
      </c>
      <c r="B34" s="63" t="s">
        <v>434</v>
      </c>
      <c r="C34" s="63">
        <v>17200000</v>
      </c>
      <c r="D34" s="63">
        <v>190</v>
      </c>
      <c r="H34" s="63">
        <v>3268000000</v>
      </c>
      <c r="I34" s="63">
        <v>0</v>
      </c>
      <c r="J34" s="63">
        <v>3268000000</v>
      </c>
    </row>
    <row r="35" spans="1:10">
      <c r="A35" s="63" t="s">
        <v>312</v>
      </c>
      <c r="B35" s="63" t="s">
        <v>435</v>
      </c>
      <c r="C35" s="63">
        <v>717391</v>
      </c>
      <c r="D35" s="63">
        <v>3870</v>
      </c>
      <c r="H35" s="63">
        <v>2776303170</v>
      </c>
      <c r="I35" s="63">
        <v>0</v>
      </c>
      <c r="J35" s="63">
        <v>2776303170</v>
      </c>
    </row>
    <row r="36" spans="1:10">
      <c r="A36" s="63" t="s">
        <v>289</v>
      </c>
      <c r="B36" s="63" t="s">
        <v>437</v>
      </c>
      <c r="C36" s="63">
        <v>3250000</v>
      </c>
      <c r="D36" s="63">
        <v>170</v>
      </c>
      <c r="H36" s="63">
        <v>552500000</v>
      </c>
      <c r="I36" s="63">
        <v>0</v>
      </c>
      <c r="J36" s="63">
        <v>552500000</v>
      </c>
    </row>
    <row r="37" spans="1:10">
      <c r="A37" s="63" t="s">
        <v>215</v>
      </c>
      <c r="B37" s="63" t="s">
        <v>438</v>
      </c>
      <c r="C37" s="63">
        <v>1186353</v>
      </c>
      <c r="D37" s="63">
        <v>6810</v>
      </c>
      <c r="H37" s="63">
        <v>8079063930</v>
      </c>
      <c r="I37" s="63">
        <v>0</v>
      </c>
      <c r="J37" s="63">
        <v>8079063930</v>
      </c>
    </row>
    <row r="38" spans="1:10">
      <c r="A38" s="63" t="s">
        <v>174</v>
      </c>
      <c r="B38" s="63" t="s">
        <v>439</v>
      </c>
      <c r="C38" s="63">
        <v>100000</v>
      </c>
      <c r="D38" s="63">
        <v>14500</v>
      </c>
      <c r="H38" s="63">
        <v>1450000000</v>
      </c>
      <c r="I38" s="63">
        <v>0</v>
      </c>
      <c r="J38" s="63">
        <v>1450000000</v>
      </c>
    </row>
    <row r="39" spans="1:10">
      <c r="A39" s="63" t="s">
        <v>187</v>
      </c>
      <c r="B39" s="63" t="s">
        <v>422</v>
      </c>
      <c r="C39" s="63">
        <v>5530564</v>
      </c>
      <c r="D39" s="63">
        <v>1050</v>
      </c>
      <c r="H39" s="63">
        <v>5807092200</v>
      </c>
      <c r="I39" s="63">
        <v>0</v>
      </c>
      <c r="J39" s="63">
        <v>5807092200</v>
      </c>
    </row>
    <row r="40" spans="1:10">
      <c r="A40" s="63" t="s">
        <v>181</v>
      </c>
      <c r="B40" s="63" t="s">
        <v>440</v>
      </c>
      <c r="C40" s="63">
        <v>5799792</v>
      </c>
      <c r="D40" s="63">
        <v>1076</v>
      </c>
      <c r="H40" s="63">
        <v>6240576192</v>
      </c>
      <c r="I40" s="63">
        <v>0</v>
      </c>
      <c r="J40" s="63">
        <v>6240576192</v>
      </c>
    </row>
    <row r="41" spans="1:10">
      <c r="A41" s="63" t="s">
        <v>183</v>
      </c>
      <c r="B41" s="63" t="s">
        <v>441</v>
      </c>
      <c r="C41" s="63">
        <v>1518421</v>
      </c>
      <c r="D41" s="63">
        <v>1740</v>
      </c>
      <c r="H41" s="63">
        <v>2642052540</v>
      </c>
      <c r="I41" s="63">
        <v>-5417743</v>
      </c>
      <c r="J41" s="63">
        <v>2636634797</v>
      </c>
    </row>
    <row r="42" spans="1:10">
      <c r="A42" s="63" t="s">
        <v>287</v>
      </c>
      <c r="B42" s="63" t="s">
        <v>442</v>
      </c>
      <c r="C42" s="63">
        <v>512506</v>
      </c>
      <c r="D42" s="63">
        <v>8300</v>
      </c>
      <c r="E42" s="63">
        <v>4253799800</v>
      </c>
      <c r="F42" s="63">
        <v>-287932809</v>
      </c>
      <c r="G42" s="63">
        <v>3965866991</v>
      </c>
      <c r="H42" s="63">
        <v>4253799800</v>
      </c>
      <c r="I42" s="63">
        <v>-287932809</v>
      </c>
      <c r="J42" s="63">
        <v>3965866991</v>
      </c>
    </row>
    <row r="43" spans="1:10">
      <c r="A43" s="63" t="s">
        <v>247</v>
      </c>
      <c r="B43" s="63" t="s">
        <v>444</v>
      </c>
      <c r="C43" s="63">
        <v>11000000</v>
      </c>
      <c r="D43" s="63">
        <v>150</v>
      </c>
      <c r="H43" s="63">
        <v>1650000000</v>
      </c>
      <c r="I43" s="63">
        <v>0</v>
      </c>
      <c r="J43" s="63">
        <v>1650000000</v>
      </c>
    </row>
    <row r="44" spans="1:10">
      <c r="A44" s="63" t="s">
        <v>246</v>
      </c>
      <c r="B44" s="63" t="s">
        <v>445</v>
      </c>
      <c r="C44" s="63">
        <v>324775</v>
      </c>
      <c r="D44" s="63">
        <v>2720</v>
      </c>
      <c r="H44" s="63">
        <v>883388000</v>
      </c>
      <c r="I44" s="63">
        <v>0</v>
      </c>
      <c r="J44" s="63">
        <v>883388000</v>
      </c>
    </row>
    <row r="45" spans="1:10">
      <c r="A45" s="63" t="s">
        <v>194</v>
      </c>
      <c r="B45" s="63" t="s">
        <v>432</v>
      </c>
      <c r="C45" s="63">
        <v>9448213</v>
      </c>
      <c r="D45" s="63">
        <v>10</v>
      </c>
      <c r="H45" s="63">
        <v>94482130</v>
      </c>
      <c r="I45" s="63">
        <v>0</v>
      </c>
      <c r="J45" s="63">
        <v>94482130</v>
      </c>
    </row>
    <row r="46" spans="1:10">
      <c r="A46" s="63" t="s">
        <v>299</v>
      </c>
      <c r="B46" s="63" t="s">
        <v>446</v>
      </c>
      <c r="C46" s="63">
        <v>10148510</v>
      </c>
      <c r="D46" s="63">
        <v>560</v>
      </c>
      <c r="H46" s="63">
        <v>5683165600</v>
      </c>
      <c r="I46" s="63">
        <v>0</v>
      </c>
      <c r="J46" s="63">
        <v>5683165600</v>
      </c>
    </row>
    <row r="47" spans="1:10">
      <c r="A47" s="63" t="s">
        <v>388</v>
      </c>
      <c r="B47" s="63" t="s">
        <v>448</v>
      </c>
      <c r="C47" s="63">
        <v>249996</v>
      </c>
      <c r="D47" s="63">
        <v>118</v>
      </c>
      <c r="H47" s="63">
        <v>29499528</v>
      </c>
      <c r="I47" s="63">
        <v>0</v>
      </c>
      <c r="J47" s="63">
        <v>29499528</v>
      </c>
    </row>
    <row r="48" spans="1:10">
      <c r="A48" s="63" t="s">
        <v>320</v>
      </c>
      <c r="B48" s="63" t="s">
        <v>422</v>
      </c>
      <c r="C48" s="63">
        <v>3600000</v>
      </c>
      <c r="D48" s="63">
        <v>300</v>
      </c>
      <c r="H48" s="63">
        <v>1080000000</v>
      </c>
      <c r="I48" s="63">
        <v>0</v>
      </c>
      <c r="J48" s="63">
        <v>1080000000</v>
      </c>
    </row>
    <row r="49" spans="1:10">
      <c r="A49" s="63" t="s">
        <v>338</v>
      </c>
      <c r="B49" s="63" t="s">
        <v>448</v>
      </c>
      <c r="C49" s="63">
        <v>22264729</v>
      </c>
      <c r="D49" s="63">
        <v>310</v>
      </c>
      <c r="H49" s="63">
        <v>6902065990</v>
      </c>
      <c r="I49" s="63">
        <v>0</v>
      </c>
      <c r="J49" s="63">
        <v>6902065990</v>
      </c>
    </row>
    <row r="50" spans="1:10">
      <c r="A50" s="63" t="s">
        <v>200</v>
      </c>
      <c r="B50" s="63" t="s">
        <v>449</v>
      </c>
      <c r="C50" s="63">
        <v>9664654</v>
      </c>
      <c r="D50" s="63">
        <v>1430</v>
      </c>
      <c r="H50" s="63">
        <v>13820455220</v>
      </c>
      <c r="I50" s="63">
        <v>0</v>
      </c>
      <c r="J50" s="63">
        <v>13820455220</v>
      </c>
    </row>
    <row r="51" spans="1:10">
      <c r="A51" s="63" t="s">
        <v>250</v>
      </c>
      <c r="B51" s="63" t="s">
        <v>425</v>
      </c>
      <c r="C51" s="63">
        <v>14021442</v>
      </c>
      <c r="D51" s="63">
        <v>500</v>
      </c>
      <c r="H51" s="63">
        <v>7010721000</v>
      </c>
      <c r="I51" s="63">
        <v>0</v>
      </c>
      <c r="J51" s="63">
        <v>7010721000</v>
      </c>
    </row>
    <row r="52" spans="1:10">
      <c r="A52" s="63" t="s">
        <v>258</v>
      </c>
      <c r="B52" s="63" t="s">
        <v>451</v>
      </c>
      <c r="C52" s="63">
        <v>800000</v>
      </c>
      <c r="D52" s="63">
        <v>730</v>
      </c>
      <c r="H52" s="63">
        <v>584000000</v>
      </c>
      <c r="I52" s="63">
        <v>0</v>
      </c>
      <c r="J52" s="63">
        <v>584000000</v>
      </c>
    </row>
    <row r="53" spans="1:10">
      <c r="A53" s="63" t="s">
        <v>298</v>
      </c>
      <c r="B53" s="63" t="s">
        <v>452</v>
      </c>
      <c r="C53" s="63">
        <v>2038313</v>
      </c>
      <c r="D53" s="63">
        <v>144</v>
      </c>
      <c r="E53" s="63">
        <v>293517072</v>
      </c>
      <c r="F53" s="63">
        <v>-16685725</v>
      </c>
      <c r="G53" s="63">
        <v>276831347</v>
      </c>
      <c r="H53" s="63">
        <v>293517072</v>
      </c>
      <c r="I53" s="63">
        <v>-16685725</v>
      </c>
      <c r="J53" s="63">
        <v>276831347</v>
      </c>
    </row>
    <row r="54" spans="1:10">
      <c r="A54" s="63" t="s">
        <v>182</v>
      </c>
      <c r="B54" s="63" t="s">
        <v>453</v>
      </c>
      <c r="C54" s="63">
        <v>200000</v>
      </c>
      <c r="D54" s="63">
        <v>500</v>
      </c>
      <c r="H54" s="63">
        <v>100000000</v>
      </c>
      <c r="I54" s="63">
        <v>0</v>
      </c>
      <c r="J54" s="63">
        <v>100000000</v>
      </c>
    </row>
    <row r="55" spans="1:10">
      <c r="A55" s="63" t="s">
        <v>272</v>
      </c>
      <c r="B55" s="63" t="s">
        <v>454</v>
      </c>
      <c r="C55" s="63">
        <v>8231319</v>
      </c>
      <c r="D55" s="63">
        <v>400</v>
      </c>
      <c r="H55" s="63">
        <v>3292527600</v>
      </c>
      <c r="I55" s="63">
        <v>0</v>
      </c>
      <c r="J55" s="63">
        <v>3292527600</v>
      </c>
    </row>
    <row r="56" spans="1:10">
      <c r="A56" s="63" t="s">
        <v>319</v>
      </c>
      <c r="B56" s="63" t="s">
        <v>455</v>
      </c>
      <c r="C56" s="63">
        <v>1375942</v>
      </c>
      <c r="D56" s="63">
        <v>1000</v>
      </c>
      <c r="H56" s="63">
        <v>1375942000</v>
      </c>
      <c r="I56" s="63">
        <v>-11216918</v>
      </c>
      <c r="J56" s="63">
        <v>1364725082</v>
      </c>
    </row>
    <row r="57" spans="1:10">
      <c r="A57" s="63" t="s">
        <v>290</v>
      </c>
      <c r="B57" s="63" t="s">
        <v>422</v>
      </c>
      <c r="C57" s="63">
        <v>6256631</v>
      </c>
      <c r="D57" s="63">
        <v>700</v>
      </c>
      <c r="H57" s="63">
        <v>4379641700</v>
      </c>
      <c r="I57" s="63">
        <v>0</v>
      </c>
      <c r="J57" s="63">
        <v>4379641700</v>
      </c>
    </row>
    <row r="58" spans="1:10">
      <c r="A58" s="63" t="s">
        <v>389</v>
      </c>
      <c r="B58" s="63" t="s">
        <v>457</v>
      </c>
      <c r="C58" s="63">
        <v>241083</v>
      </c>
      <c r="D58" s="63">
        <v>850</v>
      </c>
      <c r="H58" s="63">
        <v>204920550</v>
      </c>
      <c r="I58" s="63">
        <v>-1808532</v>
      </c>
      <c r="J58" s="63">
        <v>203112018</v>
      </c>
    </row>
    <row r="59" spans="1:10">
      <c r="A59" s="63" t="s">
        <v>241</v>
      </c>
      <c r="B59" s="63" t="s">
        <v>418</v>
      </c>
      <c r="C59" s="63">
        <v>3129644</v>
      </c>
      <c r="D59" s="63">
        <v>73</v>
      </c>
      <c r="H59" s="63">
        <v>228464012</v>
      </c>
      <c r="I59" s="63">
        <v>0</v>
      </c>
      <c r="J59" s="63">
        <v>228464012</v>
      </c>
    </row>
    <row r="60" spans="1:10">
      <c r="A60" s="63" t="s">
        <v>197</v>
      </c>
      <c r="B60" s="63" t="s">
        <v>422</v>
      </c>
      <c r="C60" s="63">
        <v>16300000</v>
      </c>
      <c r="D60" s="63">
        <v>800</v>
      </c>
      <c r="H60" s="63">
        <v>13040000000</v>
      </c>
      <c r="I60" s="63">
        <v>-53369714</v>
      </c>
      <c r="J60" s="63">
        <v>12986630286</v>
      </c>
    </row>
    <row r="61" spans="1:10">
      <c r="A61" s="63" t="s">
        <v>229</v>
      </c>
      <c r="B61" s="63" t="s">
        <v>427</v>
      </c>
      <c r="C61" s="63">
        <v>44699</v>
      </c>
      <c r="D61" s="63">
        <v>1300</v>
      </c>
      <c r="H61" s="63">
        <v>58108700</v>
      </c>
      <c r="I61" s="63">
        <v>0</v>
      </c>
      <c r="J61" s="63">
        <v>58108700</v>
      </c>
    </row>
    <row r="62" spans="1:10">
      <c r="A62" s="63" t="s">
        <v>225</v>
      </c>
      <c r="B62" s="63" t="s">
        <v>417</v>
      </c>
      <c r="C62" s="63">
        <v>4274063</v>
      </c>
      <c r="D62" s="63">
        <v>670</v>
      </c>
      <c r="H62" s="63">
        <v>2863622210</v>
      </c>
      <c r="I62" s="63">
        <v>0</v>
      </c>
      <c r="J62" s="63">
        <v>2863622210</v>
      </c>
    </row>
    <row r="63" spans="1:10">
      <c r="A63" s="63" t="s">
        <v>259</v>
      </c>
      <c r="B63" s="63" t="s">
        <v>459</v>
      </c>
      <c r="C63" s="63">
        <v>250000</v>
      </c>
      <c r="D63" s="63">
        <v>1480</v>
      </c>
      <c r="H63" s="63">
        <v>370000000</v>
      </c>
      <c r="I63" s="63">
        <v>0</v>
      </c>
      <c r="J63" s="63">
        <v>370000000</v>
      </c>
    </row>
    <row r="64" spans="1:10">
      <c r="A64" s="63" t="s">
        <v>297</v>
      </c>
      <c r="B64" s="63" t="s">
        <v>423</v>
      </c>
      <c r="C64" s="63">
        <v>15800000</v>
      </c>
      <c r="D64" s="63">
        <v>1400</v>
      </c>
      <c r="H64" s="63">
        <v>22120000000</v>
      </c>
      <c r="I64" s="63">
        <v>0</v>
      </c>
      <c r="J64" s="63">
        <v>22120000000</v>
      </c>
    </row>
    <row r="65" spans="1:10">
      <c r="A65" s="63" t="s">
        <v>212</v>
      </c>
      <c r="B65" s="63" t="s">
        <v>461</v>
      </c>
      <c r="C65" s="63">
        <v>6668802</v>
      </c>
      <c r="D65" s="63">
        <v>350</v>
      </c>
      <c r="H65" s="63">
        <v>2334080700</v>
      </c>
      <c r="I65" s="63">
        <v>0</v>
      </c>
      <c r="J65" s="63">
        <v>2334080700</v>
      </c>
    </row>
    <row r="66" spans="1:10">
      <c r="A66" s="63" t="s">
        <v>273</v>
      </c>
      <c r="B66" s="63" t="s">
        <v>422</v>
      </c>
      <c r="C66" s="63">
        <v>5155597</v>
      </c>
      <c r="D66" s="63">
        <v>380</v>
      </c>
      <c r="H66" s="63">
        <v>1959126860</v>
      </c>
      <c r="I66" s="63">
        <v>0</v>
      </c>
      <c r="J66" s="63">
        <v>1959126860</v>
      </c>
    </row>
    <row r="67" spans="1:10">
      <c r="A67" s="63" t="s">
        <v>230</v>
      </c>
      <c r="B67" s="63" t="s">
        <v>462</v>
      </c>
      <c r="C67" s="63">
        <v>2851893</v>
      </c>
      <c r="D67" s="63">
        <v>1050</v>
      </c>
      <c r="H67" s="63">
        <v>2994487650</v>
      </c>
      <c r="I67" s="63">
        <v>0</v>
      </c>
      <c r="J67" s="63">
        <v>2994487650</v>
      </c>
    </row>
    <row r="68" spans="1:10">
      <c r="A68" s="63" t="s">
        <v>288</v>
      </c>
      <c r="B68" s="63" t="s">
        <v>463</v>
      </c>
      <c r="C68" s="63">
        <v>1207911</v>
      </c>
      <c r="D68" s="63">
        <v>2600</v>
      </c>
      <c r="H68" s="63">
        <v>3140568600</v>
      </c>
      <c r="I68" s="63">
        <v>0</v>
      </c>
      <c r="J68" s="63">
        <v>3140568600</v>
      </c>
    </row>
    <row r="69" spans="1:10">
      <c r="A69" s="63" t="s">
        <v>170</v>
      </c>
      <c r="B69" s="63" t="s">
        <v>464</v>
      </c>
      <c r="C69" s="63">
        <v>411</v>
      </c>
      <c r="D69" s="63">
        <v>285</v>
      </c>
      <c r="H69" s="63">
        <v>117135</v>
      </c>
      <c r="I69" s="63">
        <v>0</v>
      </c>
      <c r="J69" s="63">
        <v>117135</v>
      </c>
    </row>
    <row r="70" spans="1:10">
      <c r="A70" s="63" t="s">
        <v>333</v>
      </c>
      <c r="B70" s="63" t="s">
        <v>409</v>
      </c>
      <c r="C70" s="63">
        <v>8036726</v>
      </c>
      <c r="D70" s="63">
        <v>410</v>
      </c>
      <c r="H70" s="63">
        <v>3295057660</v>
      </c>
      <c r="I70" s="63">
        <v>0</v>
      </c>
      <c r="J70" s="63">
        <v>3295057660</v>
      </c>
    </row>
    <row r="71" spans="1:10">
      <c r="A71" s="63" t="s">
        <v>443</v>
      </c>
      <c r="B71" s="63" t="s">
        <v>465</v>
      </c>
      <c r="C71" s="63">
        <v>700000</v>
      </c>
      <c r="D71" s="63">
        <v>722</v>
      </c>
      <c r="H71" s="63">
        <v>505400000</v>
      </c>
      <c r="I71" s="63">
        <v>0</v>
      </c>
      <c r="J71" s="63">
        <v>505400000</v>
      </c>
    </row>
    <row r="72" spans="1:10">
      <c r="A72" s="63" t="s">
        <v>283</v>
      </c>
      <c r="B72" s="63" t="s">
        <v>157</v>
      </c>
      <c r="C72" s="63">
        <v>10026316</v>
      </c>
      <c r="D72" s="63">
        <v>80</v>
      </c>
      <c r="E72" s="63">
        <v>802105280</v>
      </c>
      <c r="F72" s="63">
        <v>-41667807</v>
      </c>
      <c r="G72" s="63">
        <v>760437473</v>
      </c>
      <c r="H72" s="63">
        <v>802105280</v>
      </c>
      <c r="I72" s="63">
        <v>0</v>
      </c>
      <c r="J72" s="63">
        <v>802105280</v>
      </c>
    </row>
    <row r="73" spans="1:10">
      <c r="A73" s="63" t="s">
        <v>279</v>
      </c>
      <c r="B73" s="63" t="s">
        <v>448</v>
      </c>
      <c r="C73" s="63">
        <v>10319249</v>
      </c>
      <c r="D73" s="63">
        <v>1000</v>
      </c>
      <c r="H73" s="63">
        <v>10319249000</v>
      </c>
      <c r="I73" s="63">
        <v>0</v>
      </c>
      <c r="J73" s="63">
        <v>10319249000</v>
      </c>
    </row>
    <row r="74" spans="1:10">
      <c r="A74" s="63" t="s">
        <v>171</v>
      </c>
      <c r="B74" s="63" t="s">
        <v>466</v>
      </c>
      <c r="C74" s="63">
        <v>1999999</v>
      </c>
      <c r="D74" s="63">
        <v>50</v>
      </c>
      <c r="H74" s="63">
        <v>99999950</v>
      </c>
      <c r="I74" s="63">
        <v>0</v>
      </c>
      <c r="J74" s="63">
        <v>99999950</v>
      </c>
    </row>
    <row r="75" spans="1:10">
      <c r="A75" s="63" t="s">
        <v>266</v>
      </c>
      <c r="B75" s="63" t="s">
        <v>410</v>
      </c>
      <c r="C75" s="63">
        <v>18635760</v>
      </c>
      <c r="D75" s="63">
        <v>390</v>
      </c>
      <c r="H75" s="63">
        <v>7267946400</v>
      </c>
      <c r="I75" s="63">
        <v>0</v>
      </c>
      <c r="J75" s="63">
        <v>7267946400</v>
      </c>
    </row>
    <row r="76" spans="1:10">
      <c r="A76" s="63" t="s">
        <v>339</v>
      </c>
      <c r="B76" s="63" t="s">
        <v>467</v>
      </c>
      <c r="C76" s="63">
        <v>8601572</v>
      </c>
      <c r="D76" s="63">
        <v>290</v>
      </c>
      <c r="H76" s="63">
        <v>2494455880</v>
      </c>
      <c r="I76" s="63">
        <v>-77796567</v>
      </c>
      <c r="J76" s="63">
        <v>2416659313</v>
      </c>
    </row>
    <row r="77" spans="1:10">
      <c r="A77" s="63" t="s">
        <v>383</v>
      </c>
      <c r="B77" s="63" t="s">
        <v>468</v>
      </c>
      <c r="C77" s="63">
        <v>845414</v>
      </c>
      <c r="D77" s="63">
        <v>620</v>
      </c>
      <c r="H77" s="63">
        <v>524156680</v>
      </c>
      <c r="I77" s="63">
        <v>0</v>
      </c>
      <c r="J77" s="63">
        <v>524156680</v>
      </c>
    </row>
    <row r="78" spans="1:10">
      <c r="A78" s="63" t="s">
        <v>286</v>
      </c>
      <c r="B78" s="63" t="s">
        <v>461</v>
      </c>
      <c r="C78" s="63">
        <v>177678</v>
      </c>
      <c r="D78" s="63">
        <v>4100</v>
      </c>
      <c r="H78" s="63">
        <v>728479800</v>
      </c>
      <c r="I78" s="63">
        <v>0</v>
      </c>
      <c r="J78" s="63">
        <v>728479800</v>
      </c>
    </row>
    <row r="79" spans="1:10">
      <c r="A79" s="63" t="s">
        <v>347</v>
      </c>
      <c r="B79" s="63" t="s">
        <v>469</v>
      </c>
      <c r="C79" s="63">
        <v>123</v>
      </c>
      <c r="D79" s="63">
        <v>400</v>
      </c>
      <c r="H79" s="63">
        <v>49200</v>
      </c>
      <c r="I79" s="63">
        <v>0</v>
      </c>
      <c r="J79" s="63">
        <v>49200</v>
      </c>
    </row>
    <row r="80" spans="1:10">
      <c r="A80" s="63" t="s">
        <v>335</v>
      </c>
      <c r="B80" s="63" t="s">
        <v>453</v>
      </c>
      <c r="C80" s="63">
        <v>2570924</v>
      </c>
      <c r="D80" s="63">
        <v>936</v>
      </c>
      <c r="H80" s="63">
        <v>2406384864</v>
      </c>
      <c r="I80" s="63">
        <v>0</v>
      </c>
      <c r="J80" s="63">
        <v>2406384864</v>
      </c>
    </row>
    <row r="81" spans="1:10">
      <c r="A81" s="63" t="s">
        <v>235</v>
      </c>
      <c r="B81" s="63" t="s">
        <v>470</v>
      </c>
      <c r="C81" s="63">
        <v>162629</v>
      </c>
      <c r="D81" s="63">
        <v>8700</v>
      </c>
      <c r="H81" s="63">
        <v>1414872300</v>
      </c>
      <c r="I81" s="63">
        <v>0</v>
      </c>
      <c r="J81" s="63">
        <v>1414872300</v>
      </c>
    </row>
    <row r="82" spans="1:10">
      <c r="A82" s="63" t="s">
        <v>240</v>
      </c>
      <c r="B82" s="63" t="s">
        <v>471</v>
      </c>
      <c r="C82" s="63">
        <v>4613772</v>
      </c>
      <c r="D82" s="63">
        <v>220</v>
      </c>
      <c r="H82" s="63">
        <v>1015029840</v>
      </c>
      <c r="I82" s="63">
        <v>0</v>
      </c>
      <c r="J82" s="63">
        <v>1015029840</v>
      </c>
    </row>
    <row r="83" spans="1:10">
      <c r="A83" s="63" t="s">
        <v>303</v>
      </c>
      <c r="B83" s="63" t="s">
        <v>472</v>
      </c>
      <c r="C83" s="63">
        <v>6744759</v>
      </c>
      <c r="D83" s="63">
        <v>480</v>
      </c>
      <c r="H83" s="63">
        <v>3237484320</v>
      </c>
      <c r="I83" s="63">
        <v>0</v>
      </c>
      <c r="J83" s="63">
        <v>3237484320</v>
      </c>
    </row>
    <row r="84" spans="1:10">
      <c r="A84" s="63" t="s">
        <v>232</v>
      </c>
      <c r="B84" s="63" t="s">
        <v>422</v>
      </c>
      <c r="C84" s="63">
        <v>3500000</v>
      </c>
      <c r="D84" s="63">
        <v>2280</v>
      </c>
      <c r="H84" s="63">
        <v>7980000000</v>
      </c>
      <c r="I84" s="63">
        <v>0</v>
      </c>
      <c r="J84" s="63">
        <v>7980000000</v>
      </c>
    </row>
    <row r="85" spans="1:10">
      <c r="A85" s="63" t="s">
        <v>285</v>
      </c>
      <c r="B85" s="63" t="s">
        <v>473</v>
      </c>
      <c r="C85" s="63">
        <v>48341</v>
      </c>
      <c r="D85" s="63">
        <v>11000</v>
      </c>
      <c r="H85" s="63">
        <v>3010453000</v>
      </c>
      <c r="I85" s="63">
        <v>0</v>
      </c>
      <c r="J85" s="63">
        <v>3010453000</v>
      </c>
    </row>
    <row r="86" spans="1:10">
      <c r="A86" s="63" t="s">
        <v>348</v>
      </c>
      <c r="B86" s="63" t="s">
        <v>474</v>
      </c>
      <c r="C86" s="63">
        <v>1947948</v>
      </c>
      <c r="D86" s="63">
        <v>5330</v>
      </c>
      <c r="H86" s="63">
        <v>10382562840</v>
      </c>
      <c r="I86" s="63">
        <v>0</v>
      </c>
      <c r="J86" s="63">
        <v>10382562840</v>
      </c>
    </row>
    <row r="87" spans="1:10">
      <c r="A87" s="63" t="s">
        <v>359</v>
      </c>
      <c r="B87" s="63" t="s">
        <v>448</v>
      </c>
      <c r="C87" s="63">
        <v>450000</v>
      </c>
      <c r="D87" s="63">
        <v>45</v>
      </c>
      <c r="H87" s="63">
        <v>20250000</v>
      </c>
      <c r="I87" s="63">
        <v>0</v>
      </c>
      <c r="J87" s="63">
        <v>20250000</v>
      </c>
    </row>
    <row r="88" spans="1:10">
      <c r="A88" s="63" t="s">
        <v>311</v>
      </c>
      <c r="B88" s="63" t="s">
        <v>434</v>
      </c>
      <c r="C88" s="63">
        <v>4067894</v>
      </c>
      <c r="D88" s="63">
        <v>200</v>
      </c>
      <c r="H88" s="63">
        <v>813578800</v>
      </c>
      <c r="I88" s="63">
        <v>0</v>
      </c>
      <c r="J88" s="63">
        <v>813578800</v>
      </c>
    </row>
    <row r="89" spans="1:10">
      <c r="A89" s="63" t="s">
        <v>326</v>
      </c>
      <c r="B89" s="63" t="s">
        <v>476</v>
      </c>
      <c r="C89" s="63">
        <v>2800000</v>
      </c>
      <c r="D89" s="63">
        <v>380</v>
      </c>
      <c r="H89" s="63">
        <v>1064000000</v>
      </c>
      <c r="I89" s="63">
        <v>0</v>
      </c>
      <c r="J89" s="63">
        <v>1064000000</v>
      </c>
    </row>
    <row r="90" spans="1:10">
      <c r="A90" s="63" t="s">
        <v>477</v>
      </c>
      <c r="B90" s="63" t="s">
        <v>478</v>
      </c>
      <c r="C90" s="63">
        <v>9752234</v>
      </c>
      <c r="D90" s="63">
        <v>20</v>
      </c>
      <c r="E90" s="63">
        <v>195044680</v>
      </c>
      <c r="F90" s="63">
        <v>-2114305</v>
      </c>
      <c r="G90" s="63">
        <v>192930375</v>
      </c>
      <c r="H90" s="63">
        <v>195044680</v>
      </c>
      <c r="I90" s="63">
        <v>-2114305</v>
      </c>
      <c r="J90" s="63">
        <v>192930375</v>
      </c>
    </row>
    <row r="91" spans="1:10">
      <c r="A91" s="63" t="s">
        <v>254</v>
      </c>
      <c r="B91" s="63" t="s">
        <v>470</v>
      </c>
      <c r="C91" s="63">
        <v>6800000</v>
      </c>
      <c r="D91" s="63">
        <v>600</v>
      </c>
      <c r="H91" s="63">
        <v>4080000000</v>
      </c>
      <c r="I91" s="63">
        <v>0</v>
      </c>
      <c r="J91" s="63">
        <v>4080000000</v>
      </c>
    </row>
    <row r="92" spans="1:10" ht="16.5" thickBot="1">
      <c r="A92" s="63" t="s">
        <v>2</v>
      </c>
      <c r="B92" s="74">
        <f t="shared" ref="B92:J92" si="0">SUM(B7:B91)</f>
        <v>0</v>
      </c>
      <c r="C92" s="74">
        <f t="shared" si="0"/>
        <v>501230596</v>
      </c>
      <c r="D92" s="74">
        <f t="shared" si="0"/>
        <v>124143</v>
      </c>
      <c r="E92" s="74">
        <f t="shared" si="0"/>
        <v>9291721832</v>
      </c>
      <c r="F92" s="74">
        <f t="shared" si="0"/>
        <v>-465269249</v>
      </c>
      <c r="G92" s="74">
        <f t="shared" si="0"/>
        <v>8826452583</v>
      </c>
      <c r="H92" s="74">
        <f t="shared" si="0"/>
        <v>278760010767</v>
      </c>
      <c r="I92" s="74">
        <f t="shared" si="0"/>
        <v>-677222994</v>
      </c>
      <c r="J92" s="74">
        <f t="shared" si="0"/>
        <v>278082787773</v>
      </c>
    </row>
    <row r="93" spans="1:10" ht="16.5" thickTop="1"/>
  </sheetData>
  <mergeCells count="7">
    <mergeCell ref="B5:D5"/>
    <mergeCell ref="E5:G5"/>
    <mergeCell ref="H5:J5"/>
    <mergeCell ref="A1:J1"/>
    <mergeCell ref="A2:J2"/>
    <mergeCell ref="A3:J3"/>
    <mergeCell ref="A4:J4"/>
  </mergeCells>
  <pageMargins left="0.7" right="0.7" top="0.75" bottom="0.75" header="0.3" footer="0.3"/>
  <pageSetup scale="66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6"/>
  <sheetViews>
    <sheetView rightToLeft="1" view="pageBreakPreview" zoomScale="106" zoomScaleNormal="100" zoomScaleSheetLayoutView="106" workbookViewId="0">
      <selection sqref="A1:XFD1048576"/>
    </sheetView>
  </sheetViews>
  <sheetFormatPr defaultColWidth="9.140625" defaultRowHeight="15.75"/>
  <cols>
    <col min="1" max="1" width="29.42578125" style="52" customWidth="1"/>
    <col min="2" max="2" width="10.5703125" style="52" customWidth="1"/>
    <col min="3" max="3" width="19.140625" style="52" customWidth="1"/>
    <col min="4" max="4" width="20.140625" style="52" customWidth="1"/>
    <col min="5" max="5" width="19.7109375" style="52" customWidth="1"/>
    <col min="6" max="6" width="18.5703125" style="52" customWidth="1"/>
    <col min="7" max="16384" width="9.140625" style="52"/>
  </cols>
  <sheetData>
    <row r="1" spans="1:10" ht="21">
      <c r="A1" s="112" t="s">
        <v>155</v>
      </c>
      <c r="B1" s="112"/>
      <c r="C1" s="112"/>
      <c r="D1" s="112"/>
      <c r="E1" s="112"/>
      <c r="F1" s="112"/>
      <c r="G1" s="65"/>
    </row>
    <row r="2" spans="1:10" ht="21">
      <c r="A2" s="112" t="s">
        <v>82</v>
      </c>
      <c r="B2" s="112"/>
      <c r="C2" s="112"/>
      <c r="D2" s="112"/>
      <c r="E2" s="112"/>
      <c r="F2" s="112"/>
      <c r="G2" s="65"/>
    </row>
    <row r="3" spans="1:10" ht="21">
      <c r="A3" s="112" t="s">
        <v>154</v>
      </c>
      <c r="B3" s="112"/>
      <c r="C3" s="112"/>
      <c r="D3" s="112"/>
      <c r="E3" s="112"/>
      <c r="F3" s="112"/>
      <c r="G3" s="65"/>
    </row>
    <row r="4" spans="1:10" ht="21">
      <c r="A4" s="97" t="s">
        <v>120</v>
      </c>
      <c r="B4" s="97"/>
      <c r="C4" s="97"/>
      <c r="D4" s="97"/>
      <c r="E4" s="97"/>
      <c r="F4" s="97"/>
      <c r="G4" s="66"/>
      <c r="H4" s="66"/>
      <c r="I4" s="66"/>
      <c r="J4" s="66"/>
    </row>
    <row r="5" spans="1:10" ht="16.5" thickBot="1">
      <c r="A5" s="28"/>
      <c r="B5" s="28"/>
      <c r="C5" s="28"/>
      <c r="D5" s="28"/>
      <c r="E5" s="7" t="s">
        <v>134</v>
      </c>
      <c r="F5" s="7" t="s">
        <v>156</v>
      </c>
      <c r="G5" s="56"/>
    </row>
    <row r="6" spans="1:10" ht="47.25" customHeight="1" thickBot="1">
      <c r="A6" s="32" t="s">
        <v>123</v>
      </c>
      <c r="B6" s="32" t="s">
        <v>124</v>
      </c>
      <c r="C6" s="32" t="s">
        <v>128</v>
      </c>
      <c r="D6" s="32" t="s">
        <v>125</v>
      </c>
      <c r="E6" s="54" t="s">
        <v>129</v>
      </c>
      <c r="F6" s="54" t="s">
        <v>129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  <pageSetup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6"/>
  <sheetViews>
    <sheetView rightToLeft="1" view="pageBreakPreview" zoomScale="60" zoomScaleNormal="100" workbookViewId="0">
      <selection sqref="A1:XFD1048576"/>
    </sheetView>
  </sheetViews>
  <sheetFormatPr defaultRowHeight="18"/>
  <cols>
    <col min="1" max="1" width="20.140625" style="8" customWidth="1"/>
    <col min="2" max="2" width="12.5703125" style="8" customWidth="1"/>
    <col min="3" max="3" width="12.42578125" style="8" customWidth="1"/>
    <col min="4" max="4" width="10.7109375" style="8" customWidth="1"/>
    <col min="5" max="16384" width="9.140625" style="8"/>
  </cols>
  <sheetData>
    <row r="1" spans="1:10" ht="19.5">
      <c r="A1" s="129" t="s">
        <v>155</v>
      </c>
      <c r="B1" s="129"/>
      <c r="C1" s="129"/>
      <c r="D1" s="129"/>
      <c r="E1" s="129"/>
      <c r="F1" s="129"/>
      <c r="G1" s="129"/>
      <c r="H1" s="129"/>
      <c r="I1" s="129"/>
      <c r="J1" s="129"/>
    </row>
    <row r="2" spans="1:10" ht="19.5">
      <c r="A2" s="129" t="s">
        <v>82</v>
      </c>
      <c r="B2" s="129"/>
      <c r="C2" s="129"/>
      <c r="D2" s="129"/>
      <c r="E2" s="129"/>
      <c r="F2" s="129"/>
      <c r="G2" s="129"/>
      <c r="H2" s="129"/>
      <c r="I2" s="129"/>
      <c r="J2" s="129"/>
    </row>
    <row r="3" spans="1:10" ht="19.5">
      <c r="A3" s="129" t="s">
        <v>154</v>
      </c>
      <c r="B3" s="129"/>
      <c r="C3" s="129"/>
      <c r="D3" s="129"/>
      <c r="E3" s="129"/>
      <c r="F3" s="129"/>
      <c r="G3" s="129"/>
      <c r="H3" s="129"/>
      <c r="I3" s="129"/>
      <c r="J3" s="129"/>
    </row>
    <row r="4" spans="1:10" ht="21">
      <c r="A4" s="97" t="s">
        <v>131</v>
      </c>
      <c r="B4" s="97"/>
      <c r="C4" s="97"/>
      <c r="D4" s="97"/>
      <c r="E4" s="97"/>
      <c r="F4" s="97"/>
      <c r="G4" s="97"/>
      <c r="H4" s="97"/>
      <c r="I4" s="97"/>
      <c r="J4" s="97"/>
    </row>
    <row r="5" spans="1:10" ht="16.5" customHeight="1" thickBot="1">
      <c r="A5" s="14"/>
      <c r="B5" s="128"/>
      <c r="C5" s="128"/>
      <c r="D5" s="128"/>
      <c r="E5" s="113" t="s">
        <v>134</v>
      </c>
      <c r="F5" s="113"/>
      <c r="G5" s="113"/>
      <c r="H5" s="113" t="s">
        <v>156</v>
      </c>
      <c r="I5" s="113"/>
      <c r="J5" s="113"/>
    </row>
    <row r="6" spans="1:10" ht="38.25" customHeight="1" thickBot="1">
      <c r="A6" s="29" t="s">
        <v>53</v>
      </c>
      <c r="B6" s="21" t="s">
        <v>62</v>
      </c>
      <c r="C6" s="21" t="s">
        <v>29</v>
      </c>
      <c r="D6" s="21" t="s">
        <v>51</v>
      </c>
      <c r="E6" s="21" t="s">
        <v>83</v>
      </c>
      <c r="F6" s="21" t="s">
        <v>58</v>
      </c>
      <c r="G6" s="21" t="s">
        <v>63</v>
      </c>
      <c r="H6" s="21" t="s">
        <v>83</v>
      </c>
      <c r="I6" s="21" t="s">
        <v>58</v>
      </c>
      <c r="J6" s="21" t="s">
        <v>63</v>
      </c>
    </row>
  </sheetData>
  <mergeCells count="7">
    <mergeCell ref="B5:D5"/>
    <mergeCell ref="E5:G5"/>
    <mergeCell ref="H5:J5"/>
    <mergeCell ref="A1:J1"/>
    <mergeCell ref="A2:J2"/>
    <mergeCell ref="A3:J3"/>
    <mergeCell ref="A4:J4"/>
  </mergeCells>
  <pageMargins left="0.7" right="0.7" top="0.75" bottom="0.75" header="0.3" footer="0.3"/>
  <pageSetup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5"/>
  <sheetViews>
    <sheetView rightToLeft="1" view="pageBreakPreview" zoomScale="89" zoomScaleNormal="100" zoomScaleSheetLayoutView="89" workbookViewId="0">
      <selection sqref="A1:XFD1048576"/>
    </sheetView>
  </sheetViews>
  <sheetFormatPr defaultRowHeight="18"/>
  <cols>
    <col min="1" max="1" width="25" style="8" customWidth="1"/>
    <col min="2" max="2" width="23.7109375" style="8" customWidth="1"/>
    <col min="3" max="3" width="20.28515625" style="8" customWidth="1"/>
    <col min="4" max="4" width="22" style="8" customWidth="1"/>
    <col min="5" max="5" width="21.42578125" style="8" customWidth="1"/>
    <col min="6" max="6" width="16.5703125" style="8" customWidth="1"/>
    <col min="7" max="7" width="21.28515625" style="8" customWidth="1"/>
    <col min="8" max="16384" width="9.140625" style="8"/>
  </cols>
  <sheetData>
    <row r="1" spans="1:7" ht="19.5">
      <c r="A1" s="129" t="s">
        <v>155</v>
      </c>
      <c r="B1" s="129"/>
      <c r="C1" s="129"/>
      <c r="D1" s="129"/>
      <c r="E1" s="129"/>
      <c r="F1" s="129"/>
      <c r="G1" s="129"/>
    </row>
    <row r="2" spans="1:7" ht="19.5">
      <c r="A2" s="129" t="s">
        <v>82</v>
      </c>
      <c r="B2" s="129"/>
      <c r="C2" s="129"/>
      <c r="D2" s="129"/>
      <c r="E2" s="129"/>
      <c r="F2" s="129"/>
      <c r="G2" s="129"/>
    </row>
    <row r="3" spans="1:7" ht="19.5">
      <c r="A3" s="129" t="s">
        <v>154</v>
      </c>
      <c r="B3" s="129"/>
      <c r="C3" s="129"/>
      <c r="D3" s="129"/>
      <c r="E3" s="129"/>
      <c r="F3" s="129"/>
      <c r="G3" s="129"/>
    </row>
    <row r="4" spans="1:7" ht="21">
      <c r="A4" s="97" t="s">
        <v>132</v>
      </c>
      <c r="B4" s="97"/>
      <c r="C4" s="97"/>
      <c r="D4" s="97"/>
      <c r="E4" s="97"/>
      <c r="F4" s="97"/>
      <c r="G4" s="97"/>
    </row>
    <row r="5" spans="1:7" ht="16.5" customHeight="1" thickBot="1">
      <c r="A5" s="14"/>
      <c r="B5" s="113" t="s">
        <v>134</v>
      </c>
      <c r="C5" s="113"/>
      <c r="D5" s="113"/>
      <c r="E5" s="113" t="s">
        <v>156</v>
      </c>
      <c r="F5" s="113"/>
      <c r="G5" s="113"/>
    </row>
    <row r="6" spans="1:7" ht="38.25" customHeight="1" thickBot="1">
      <c r="A6" s="29" t="s">
        <v>53</v>
      </c>
      <c r="B6" s="21" t="s">
        <v>83</v>
      </c>
      <c r="C6" s="21" t="s">
        <v>58</v>
      </c>
      <c r="D6" s="21" t="s">
        <v>63</v>
      </c>
      <c r="E6" s="21" t="s">
        <v>83</v>
      </c>
      <c r="F6" s="21" t="s">
        <v>58</v>
      </c>
      <c r="G6" s="21" t="s">
        <v>63</v>
      </c>
    </row>
    <row r="7" spans="1:7">
      <c r="A7" s="63" t="s">
        <v>165</v>
      </c>
      <c r="B7" s="63">
        <v>3507</v>
      </c>
      <c r="C7" s="63">
        <v>0</v>
      </c>
      <c r="D7" s="63">
        <v>3507</v>
      </c>
      <c r="E7" s="63">
        <v>11371852</v>
      </c>
      <c r="F7" s="63">
        <v>0</v>
      </c>
      <c r="G7" s="63">
        <v>11371852</v>
      </c>
    </row>
    <row r="8" spans="1:7">
      <c r="A8" s="63" t="s">
        <v>163</v>
      </c>
      <c r="B8" s="63">
        <v>64756</v>
      </c>
      <c r="C8" s="63">
        <v>0</v>
      </c>
      <c r="D8" s="63">
        <v>64756</v>
      </c>
      <c r="E8" s="63">
        <v>734322</v>
      </c>
      <c r="F8" s="63">
        <v>0</v>
      </c>
      <c r="G8" s="63">
        <v>734322</v>
      </c>
    </row>
    <row r="9" spans="1:7">
      <c r="A9" s="63" t="s">
        <v>162</v>
      </c>
      <c r="B9" s="63">
        <v>3181</v>
      </c>
      <c r="C9" s="63">
        <v>0</v>
      </c>
      <c r="D9" s="63">
        <v>3181</v>
      </c>
      <c r="E9" s="63">
        <v>3175695</v>
      </c>
      <c r="F9" s="63">
        <v>0</v>
      </c>
      <c r="G9" s="63">
        <v>3175695</v>
      </c>
    </row>
    <row r="10" spans="1:7">
      <c r="A10" s="63" t="s">
        <v>164</v>
      </c>
      <c r="B10" s="63">
        <v>35154</v>
      </c>
      <c r="C10" s="63">
        <v>0</v>
      </c>
      <c r="D10" s="63">
        <v>35154</v>
      </c>
      <c r="E10" s="63">
        <v>393568</v>
      </c>
      <c r="F10" s="63">
        <v>0</v>
      </c>
      <c r="G10" s="63">
        <v>393568</v>
      </c>
    </row>
    <row r="11" spans="1:7">
      <c r="A11" s="63" t="s">
        <v>167</v>
      </c>
      <c r="B11" s="63">
        <v>5342</v>
      </c>
      <c r="C11" s="63">
        <v>0</v>
      </c>
      <c r="D11" s="63">
        <v>5342</v>
      </c>
      <c r="E11" s="63">
        <v>4116693</v>
      </c>
      <c r="F11" s="63">
        <v>0</v>
      </c>
      <c r="G11" s="63">
        <v>4116693</v>
      </c>
    </row>
    <row r="12" spans="1:7">
      <c r="A12" s="63" t="s">
        <v>166</v>
      </c>
      <c r="B12" s="63">
        <v>2138350634</v>
      </c>
      <c r="C12" s="63">
        <v>0</v>
      </c>
      <c r="D12" s="63">
        <v>2138350634</v>
      </c>
      <c r="E12" s="63">
        <v>16063707129</v>
      </c>
      <c r="F12" s="63">
        <v>0</v>
      </c>
      <c r="G12" s="63">
        <v>16063707129</v>
      </c>
    </row>
    <row r="13" spans="1:7">
      <c r="A13" s="63" t="s">
        <v>168</v>
      </c>
      <c r="E13" s="63">
        <v>328931</v>
      </c>
      <c r="F13" s="63">
        <v>0</v>
      </c>
      <c r="G13" s="63">
        <v>328931</v>
      </c>
    </row>
    <row r="14" spans="1:7" ht="18.75" thickBot="1">
      <c r="A14" s="63" t="s">
        <v>2</v>
      </c>
      <c r="B14" s="74">
        <f t="shared" ref="B14:G14" si="0">SUM(B7:B13)</f>
        <v>2138462574</v>
      </c>
      <c r="C14" s="74">
        <f t="shared" si="0"/>
        <v>0</v>
      </c>
      <c r="D14" s="74">
        <f t="shared" si="0"/>
        <v>2138462574</v>
      </c>
      <c r="E14" s="74">
        <f t="shared" si="0"/>
        <v>16083828190</v>
      </c>
      <c r="F14" s="74">
        <f t="shared" si="0"/>
        <v>0</v>
      </c>
      <c r="G14" s="74">
        <f t="shared" si="0"/>
        <v>16083828190</v>
      </c>
    </row>
    <row r="15" spans="1:7" ht="18.75" thickTop="1"/>
  </sheetData>
  <mergeCells count="6">
    <mergeCell ref="A1:G1"/>
    <mergeCell ref="A2:G2"/>
    <mergeCell ref="A3:G3"/>
    <mergeCell ref="A4:G4"/>
    <mergeCell ref="B5:D5"/>
    <mergeCell ref="E5:G5"/>
  </mergeCells>
  <pageMargins left="0.7" right="0.7" top="0.75" bottom="0.75" header="0.3" footer="0.3"/>
  <pageSetup scale="76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95"/>
  <sheetViews>
    <sheetView rightToLeft="1" view="pageBreakPreview" topLeftCell="A137" zoomScale="87" zoomScaleNormal="100" zoomScaleSheetLayoutView="87" workbookViewId="0">
      <selection sqref="A1:XFD1048576"/>
    </sheetView>
  </sheetViews>
  <sheetFormatPr defaultRowHeight="18"/>
  <cols>
    <col min="1" max="1" width="34.7109375" style="8" customWidth="1"/>
    <col min="2" max="2" width="16.5703125" style="8" customWidth="1"/>
    <col min="3" max="3" width="19.85546875" style="8" customWidth="1"/>
    <col min="4" max="4" width="19.5703125" style="8" customWidth="1"/>
    <col min="5" max="5" width="20.7109375" style="8" customWidth="1"/>
    <col min="6" max="6" width="14.42578125" style="8" customWidth="1"/>
    <col min="7" max="7" width="20.5703125" style="8" customWidth="1"/>
    <col min="8" max="8" width="20.28515625" style="8" customWidth="1"/>
    <col min="9" max="9" width="23.140625" style="8" customWidth="1"/>
    <col min="10" max="16384" width="9.140625" style="8"/>
  </cols>
  <sheetData>
    <row r="1" spans="1:9" ht="21">
      <c r="A1" s="96" t="s">
        <v>155</v>
      </c>
      <c r="B1" s="96"/>
      <c r="C1" s="96"/>
      <c r="D1" s="96"/>
      <c r="E1" s="96"/>
      <c r="F1" s="96"/>
      <c r="G1" s="96"/>
      <c r="H1" s="96"/>
      <c r="I1" s="96"/>
    </row>
    <row r="2" spans="1:9" ht="21">
      <c r="A2" s="96" t="s">
        <v>82</v>
      </c>
      <c r="B2" s="96"/>
      <c r="C2" s="96"/>
      <c r="D2" s="96"/>
      <c r="E2" s="96"/>
      <c r="F2" s="96"/>
      <c r="G2" s="96"/>
      <c r="H2" s="96"/>
      <c r="I2" s="96"/>
    </row>
    <row r="3" spans="1:9" ht="21">
      <c r="A3" s="96" t="s">
        <v>154</v>
      </c>
      <c r="B3" s="96"/>
      <c r="C3" s="96"/>
      <c r="D3" s="96"/>
      <c r="E3" s="96"/>
      <c r="F3" s="96"/>
      <c r="G3" s="96"/>
      <c r="H3" s="96"/>
      <c r="I3" s="96"/>
    </row>
    <row r="4" spans="1:9" ht="21">
      <c r="A4" s="97" t="s">
        <v>72</v>
      </c>
      <c r="B4" s="97"/>
      <c r="C4" s="97"/>
      <c r="D4" s="97"/>
      <c r="E4" s="97"/>
      <c r="F4" s="97"/>
      <c r="G4" s="97"/>
      <c r="H4" s="97"/>
      <c r="I4" s="97"/>
    </row>
    <row r="5" spans="1:9" ht="16.5" customHeight="1" thickBot="1">
      <c r="B5" s="113" t="s">
        <v>134</v>
      </c>
      <c r="C5" s="113"/>
      <c r="D5" s="113"/>
      <c r="E5" s="113"/>
      <c r="F5" s="113" t="s">
        <v>156</v>
      </c>
      <c r="G5" s="113"/>
      <c r="H5" s="113"/>
      <c r="I5" s="113"/>
    </row>
    <row r="6" spans="1:9" ht="18.75" thickBot="1">
      <c r="A6" s="30" t="s">
        <v>53</v>
      </c>
      <c r="B6" s="15" t="s">
        <v>3</v>
      </c>
      <c r="C6" s="17" t="s">
        <v>67</v>
      </c>
      <c r="D6" s="15" t="s">
        <v>65</v>
      </c>
      <c r="E6" s="22" t="s">
        <v>68</v>
      </c>
      <c r="F6" s="15" t="s">
        <v>3</v>
      </c>
      <c r="G6" s="17" t="s">
        <v>27</v>
      </c>
      <c r="H6" s="15" t="s">
        <v>65</v>
      </c>
      <c r="I6" s="22" t="s">
        <v>68</v>
      </c>
    </row>
    <row r="7" spans="1:9">
      <c r="A7" s="63" t="s">
        <v>169</v>
      </c>
      <c r="B7" s="63">
        <v>0</v>
      </c>
      <c r="C7" s="63">
        <v>0</v>
      </c>
      <c r="D7" s="63">
        <v>0</v>
      </c>
      <c r="E7" s="63">
        <v>0</v>
      </c>
      <c r="F7" s="63">
        <v>2902774</v>
      </c>
      <c r="G7" s="63">
        <v>6006479169</v>
      </c>
      <c r="H7" s="63">
        <v>3851363545</v>
      </c>
      <c r="I7" s="63">
        <v>2155115624</v>
      </c>
    </row>
    <row r="8" spans="1:9">
      <c r="A8" s="63" t="s">
        <v>170</v>
      </c>
      <c r="B8" s="63">
        <v>0</v>
      </c>
      <c r="C8" s="63">
        <v>0</v>
      </c>
      <c r="D8" s="63">
        <v>0</v>
      </c>
      <c r="E8" s="63">
        <v>0</v>
      </c>
      <c r="F8" s="63">
        <v>411</v>
      </c>
      <c r="G8" s="63">
        <v>1101466</v>
      </c>
      <c r="H8" s="63">
        <v>992650</v>
      </c>
      <c r="I8" s="63">
        <v>108816</v>
      </c>
    </row>
    <row r="9" spans="1:9">
      <c r="A9" s="63" t="s">
        <v>171</v>
      </c>
      <c r="B9" s="63">
        <v>0</v>
      </c>
      <c r="C9" s="63">
        <v>0</v>
      </c>
      <c r="D9" s="63">
        <v>0</v>
      </c>
      <c r="E9" s="63">
        <v>0</v>
      </c>
      <c r="F9" s="63">
        <v>1000000</v>
      </c>
      <c r="G9" s="63">
        <v>4284006369</v>
      </c>
      <c r="H9" s="63">
        <v>3549955462</v>
      </c>
      <c r="I9" s="63">
        <v>734050907</v>
      </c>
    </row>
    <row r="10" spans="1:9">
      <c r="A10" s="63" t="s">
        <v>172</v>
      </c>
      <c r="B10" s="63">
        <v>1134242</v>
      </c>
      <c r="C10" s="63">
        <v>5966628419</v>
      </c>
      <c r="D10" s="63">
        <v>5734888175</v>
      </c>
      <c r="E10" s="63">
        <v>231740244</v>
      </c>
      <c r="F10" s="63">
        <v>1134242</v>
      </c>
      <c r="G10" s="63">
        <v>5966628419</v>
      </c>
      <c r="H10" s="63">
        <v>5734888175</v>
      </c>
      <c r="I10" s="63">
        <v>231740244</v>
      </c>
    </row>
    <row r="11" spans="1:9">
      <c r="A11" s="63" t="s">
        <v>173</v>
      </c>
      <c r="B11" s="63">
        <v>0</v>
      </c>
      <c r="C11" s="63">
        <v>0</v>
      </c>
      <c r="D11" s="63">
        <v>0</v>
      </c>
      <c r="E11" s="63">
        <v>0</v>
      </c>
      <c r="F11" s="63">
        <v>202395</v>
      </c>
      <c r="G11" s="63">
        <v>307531647</v>
      </c>
      <c r="H11" s="63">
        <v>263370866</v>
      </c>
      <c r="I11" s="63">
        <v>44160781</v>
      </c>
    </row>
    <row r="12" spans="1:9">
      <c r="A12" s="63" t="s">
        <v>174</v>
      </c>
      <c r="B12" s="63">
        <v>0</v>
      </c>
      <c r="C12" s="63">
        <v>0</v>
      </c>
      <c r="D12" s="63">
        <v>0</v>
      </c>
      <c r="E12" s="63">
        <v>0</v>
      </c>
      <c r="F12" s="63">
        <v>15118</v>
      </c>
      <c r="G12" s="63">
        <v>1570544571</v>
      </c>
      <c r="H12" s="63">
        <v>1359504255</v>
      </c>
      <c r="I12" s="63">
        <v>211040316</v>
      </c>
    </row>
    <row r="13" spans="1:9">
      <c r="A13" s="63" t="s">
        <v>175</v>
      </c>
      <c r="B13" s="63">
        <v>0</v>
      </c>
      <c r="C13" s="63">
        <v>0</v>
      </c>
      <c r="D13" s="63">
        <v>0</v>
      </c>
      <c r="E13" s="63">
        <v>0</v>
      </c>
      <c r="F13" s="63">
        <v>14400000</v>
      </c>
      <c r="G13" s="63">
        <v>20314924338</v>
      </c>
      <c r="H13" s="63">
        <v>18332359372</v>
      </c>
      <c r="I13" s="63">
        <v>1982564966</v>
      </c>
    </row>
    <row r="14" spans="1:9">
      <c r="A14" s="63" t="s">
        <v>176</v>
      </c>
      <c r="B14" s="63">
        <v>1074274</v>
      </c>
      <c r="C14" s="63">
        <v>32245588631</v>
      </c>
      <c r="D14" s="63">
        <v>29810271152</v>
      </c>
      <c r="E14" s="63">
        <v>2435317479</v>
      </c>
      <c r="F14" s="63">
        <v>1074274</v>
      </c>
      <c r="G14" s="63">
        <v>32245588631</v>
      </c>
      <c r="H14" s="63">
        <v>29810271152</v>
      </c>
      <c r="I14" s="63">
        <v>2435317479</v>
      </c>
    </row>
    <row r="15" spans="1:9">
      <c r="A15" s="63" t="s">
        <v>177</v>
      </c>
      <c r="B15" s="63">
        <v>0</v>
      </c>
      <c r="C15" s="63">
        <v>0</v>
      </c>
      <c r="D15" s="63">
        <v>0</v>
      </c>
      <c r="E15" s="63">
        <v>0</v>
      </c>
      <c r="F15" s="63">
        <v>42800000</v>
      </c>
      <c r="G15" s="63">
        <v>22012078684</v>
      </c>
      <c r="H15" s="63">
        <v>22064287788</v>
      </c>
      <c r="I15" s="63">
        <v>-52209104</v>
      </c>
    </row>
    <row r="16" spans="1:9">
      <c r="A16" s="63" t="s">
        <v>178</v>
      </c>
      <c r="B16" s="63">
        <v>0</v>
      </c>
      <c r="C16" s="63">
        <v>0</v>
      </c>
      <c r="D16" s="63">
        <v>0</v>
      </c>
      <c r="E16" s="63">
        <v>0</v>
      </c>
      <c r="F16" s="63">
        <v>1117921</v>
      </c>
      <c r="G16" s="63">
        <v>62403028244</v>
      </c>
      <c r="H16" s="63">
        <v>58111847045</v>
      </c>
      <c r="I16" s="63">
        <v>4291181199</v>
      </c>
    </row>
    <row r="17" spans="1:9">
      <c r="A17" s="63" t="s">
        <v>179</v>
      </c>
      <c r="B17" s="63">
        <v>0</v>
      </c>
      <c r="C17" s="63">
        <v>0</v>
      </c>
      <c r="D17" s="63">
        <v>0</v>
      </c>
      <c r="E17" s="63">
        <v>0</v>
      </c>
      <c r="F17" s="63">
        <v>1600000</v>
      </c>
      <c r="G17" s="63">
        <v>2982545370</v>
      </c>
      <c r="H17" s="63">
        <v>3187487570</v>
      </c>
      <c r="I17" s="63">
        <v>-204942200</v>
      </c>
    </row>
    <row r="18" spans="1:9">
      <c r="A18" s="63" t="s">
        <v>180</v>
      </c>
      <c r="B18" s="63">
        <v>0</v>
      </c>
      <c r="C18" s="63">
        <v>0</v>
      </c>
      <c r="D18" s="63">
        <v>0</v>
      </c>
      <c r="E18" s="63">
        <v>0</v>
      </c>
      <c r="F18" s="63">
        <v>198085</v>
      </c>
      <c r="G18" s="63">
        <v>51727620588</v>
      </c>
      <c r="H18" s="63">
        <v>39537846094</v>
      </c>
      <c r="I18" s="63">
        <v>12189774494</v>
      </c>
    </row>
    <row r="19" spans="1:9">
      <c r="A19" s="63" t="s">
        <v>181</v>
      </c>
      <c r="B19" s="63">
        <v>200000</v>
      </c>
      <c r="C19" s="63">
        <v>1472528700</v>
      </c>
      <c r="D19" s="63">
        <v>1707362721</v>
      </c>
      <c r="E19" s="63">
        <v>-234834021</v>
      </c>
      <c r="F19" s="63">
        <v>5003951</v>
      </c>
      <c r="G19" s="63">
        <v>40933056399</v>
      </c>
      <c r="H19" s="63">
        <v>41554477812</v>
      </c>
      <c r="I19" s="63">
        <v>-621421413</v>
      </c>
    </row>
    <row r="20" spans="1:9">
      <c r="A20" s="63" t="s">
        <v>182</v>
      </c>
      <c r="B20" s="63">
        <v>200000</v>
      </c>
      <c r="C20" s="63">
        <v>960517366</v>
      </c>
      <c r="D20" s="63">
        <v>1092334760</v>
      </c>
      <c r="E20" s="63">
        <v>-131817394</v>
      </c>
      <c r="F20" s="63">
        <v>4728850</v>
      </c>
      <c r="G20" s="63">
        <v>28203660611</v>
      </c>
      <c r="H20" s="63">
        <v>23510092208</v>
      </c>
      <c r="I20" s="63">
        <v>4693568403</v>
      </c>
    </row>
    <row r="21" spans="1:9">
      <c r="A21" s="63" t="s">
        <v>183</v>
      </c>
      <c r="B21" s="63">
        <v>828935</v>
      </c>
      <c r="C21" s="63">
        <v>7981824114</v>
      </c>
      <c r="D21" s="63">
        <v>8780067947</v>
      </c>
      <c r="E21" s="63">
        <v>-798243833</v>
      </c>
      <c r="F21" s="63">
        <v>5449186</v>
      </c>
      <c r="G21" s="63">
        <v>85881809328</v>
      </c>
      <c r="H21" s="63">
        <v>63835312530</v>
      </c>
      <c r="I21" s="63">
        <v>22046496798</v>
      </c>
    </row>
    <row r="22" spans="1:9">
      <c r="A22" s="63" t="s">
        <v>184</v>
      </c>
      <c r="B22" s="63">
        <v>0</v>
      </c>
      <c r="C22" s="63">
        <v>0</v>
      </c>
      <c r="D22" s="63">
        <v>0</v>
      </c>
      <c r="E22" s="63">
        <v>0</v>
      </c>
      <c r="F22" s="63">
        <v>200000</v>
      </c>
      <c r="G22" s="63">
        <v>5291690299</v>
      </c>
      <c r="H22" s="63">
        <v>4664218559</v>
      </c>
      <c r="I22" s="63">
        <v>627471740</v>
      </c>
    </row>
    <row r="23" spans="1:9">
      <c r="A23" s="63" t="s">
        <v>185</v>
      </c>
      <c r="B23" s="63">
        <v>200000</v>
      </c>
      <c r="C23" s="63">
        <v>1848996102</v>
      </c>
      <c r="D23" s="63">
        <v>1334532808</v>
      </c>
      <c r="E23" s="63">
        <v>514463294</v>
      </c>
      <c r="F23" s="63">
        <v>879966</v>
      </c>
      <c r="G23" s="63">
        <v>8614396419</v>
      </c>
      <c r="H23" s="63">
        <v>5498509005</v>
      </c>
      <c r="I23" s="63">
        <v>3115887414</v>
      </c>
    </row>
    <row r="24" spans="1:9">
      <c r="A24" s="63" t="s">
        <v>186</v>
      </c>
      <c r="B24" s="63">
        <v>0</v>
      </c>
      <c r="C24" s="63">
        <v>0</v>
      </c>
      <c r="D24" s="63">
        <v>0</v>
      </c>
      <c r="E24" s="63">
        <v>0</v>
      </c>
      <c r="F24" s="63">
        <v>1400000</v>
      </c>
      <c r="G24" s="63">
        <v>8712404671</v>
      </c>
      <c r="H24" s="63">
        <v>7757896707</v>
      </c>
      <c r="I24" s="63">
        <v>954507964</v>
      </c>
    </row>
    <row r="25" spans="1:9">
      <c r="A25" s="63" t="s">
        <v>187</v>
      </c>
      <c r="B25" s="63">
        <v>800000</v>
      </c>
      <c r="C25" s="63">
        <v>6175888524</v>
      </c>
      <c r="D25" s="63">
        <v>6877837409</v>
      </c>
      <c r="E25" s="63">
        <v>-701948885</v>
      </c>
      <c r="F25" s="63">
        <v>6533426</v>
      </c>
      <c r="G25" s="63">
        <v>63648133916</v>
      </c>
      <c r="H25" s="63">
        <v>53628688450</v>
      </c>
      <c r="I25" s="63">
        <v>10019445466</v>
      </c>
    </row>
    <row r="26" spans="1:9">
      <c r="A26" s="63" t="s">
        <v>188</v>
      </c>
      <c r="B26" s="63">
        <v>11907</v>
      </c>
      <c r="C26" s="63">
        <v>286030640</v>
      </c>
      <c r="D26" s="63">
        <v>252825586</v>
      </c>
      <c r="E26" s="63">
        <v>33205054</v>
      </c>
      <c r="F26" s="63">
        <v>3645687</v>
      </c>
      <c r="G26" s="63">
        <v>92219444541</v>
      </c>
      <c r="H26" s="63">
        <v>76668673189</v>
      </c>
      <c r="I26" s="63">
        <v>15550771352</v>
      </c>
    </row>
    <row r="27" spans="1:9">
      <c r="A27" s="63" t="s">
        <v>189</v>
      </c>
      <c r="B27" s="63">
        <v>427348</v>
      </c>
      <c r="C27" s="63">
        <v>1337630483</v>
      </c>
      <c r="D27" s="63">
        <v>1262339071</v>
      </c>
      <c r="E27" s="63">
        <v>75291412</v>
      </c>
      <c r="F27" s="63">
        <v>427348</v>
      </c>
      <c r="G27" s="63">
        <v>1337630483</v>
      </c>
      <c r="H27" s="63">
        <v>1262339071</v>
      </c>
      <c r="I27" s="63">
        <v>75291412</v>
      </c>
    </row>
    <row r="28" spans="1:9">
      <c r="A28" s="63" t="s">
        <v>190</v>
      </c>
      <c r="B28" s="63">
        <v>0</v>
      </c>
      <c r="C28" s="63">
        <v>0</v>
      </c>
      <c r="D28" s="63">
        <v>0</v>
      </c>
      <c r="E28" s="63">
        <v>0</v>
      </c>
      <c r="F28" s="63">
        <v>324703</v>
      </c>
      <c r="G28" s="63">
        <v>4351143893</v>
      </c>
      <c r="H28" s="63">
        <v>3998814252</v>
      </c>
      <c r="I28" s="63">
        <v>352329641</v>
      </c>
    </row>
    <row r="29" spans="1:9">
      <c r="A29" s="63" t="s">
        <v>191</v>
      </c>
      <c r="B29" s="63">
        <v>1600000</v>
      </c>
      <c r="C29" s="63">
        <v>4321534334</v>
      </c>
      <c r="D29" s="63">
        <v>5819409417</v>
      </c>
      <c r="E29" s="63">
        <v>-1497875083</v>
      </c>
      <c r="F29" s="63">
        <v>2800000</v>
      </c>
      <c r="G29" s="63">
        <v>8013502058</v>
      </c>
      <c r="H29" s="63">
        <v>10180454511</v>
      </c>
      <c r="I29" s="63">
        <v>-2166952453</v>
      </c>
    </row>
    <row r="30" spans="1:9">
      <c r="A30" s="63" t="s">
        <v>192</v>
      </c>
      <c r="B30" s="63">
        <v>6400000</v>
      </c>
      <c r="C30" s="63">
        <v>11583974004</v>
      </c>
      <c r="D30" s="63">
        <v>10499383967</v>
      </c>
      <c r="E30" s="63">
        <v>1084590037</v>
      </c>
      <c r="F30" s="63">
        <v>22712413</v>
      </c>
      <c r="G30" s="63">
        <v>38101787729</v>
      </c>
      <c r="H30" s="63">
        <v>35226488598</v>
      </c>
      <c r="I30" s="63">
        <v>2875299131</v>
      </c>
    </row>
    <row r="31" spans="1:9">
      <c r="A31" s="63" t="s">
        <v>193</v>
      </c>
      <c r="B31" s="63">
        <v>200000</v>
      </c>
      <c r="C31" s="63">
        <v>3680329445</v>
      </c>
      <c r="D31" s="63">
        <v>3243113931</v>
      </c>
      <c r="E31" s="63">
        <v>437215514</v>
      </c>
      <c r="F31" s="63">
        <v>2925551</v>
      </c>
      <c r="G31" s="63">
        <v>45800799897</v>
      </c>
      <c r="H31" s="63">
        <v>45671754464</v>
      </c>
      <c r="I31" s="63">
        <v>129045433</v>
      </c>
    </row>
    <row r="32" spans="1:9">
      <c r="A32" s="63" t="s">
        <v>194</v>
      </c>
      <c r="B32" s="63">
        <v>11200000</v>
      </c>
      <c r="C32" s="63">
        <v>5346455072</v>
      </c>
      <c r="D32" s="63">
        <v>7716786195</v>
      </c>
      <c r="E32" s="63">
        <v>-2370331123</v>
      </c>
      <c r="F32" s="63">
        <v>19200000</v>
      </c>
      <c r="G32" s="63">
        <v>9847391852</v>
      </c>
      <c r="H32" s="63">
        <v>13223463063</v>
      </c>
      <c r="I32" s="63">
        <v>-3376071211</v>
      </c>
    </row>
    <row r="33" spans="1:9">
      <c r="A33" s="63" t="s">
        <v>195</v>
      </c>
      <c r="B33" s="63">
        <v>40749</v>
      </c>
      <c r="C33" s="63">
        <v>166539758</v>
      </c>
      <c r="D33" s="63">
        <v>210198665</v>
      </c>
      <c r="E33" s="63">
        <v>-43658907</v>
      </c>
      <c r="F33" s="63">
        <v>3481452</v>
      </c>
      <c r="G33" s="63">
        <v>16836507223</v>
      </c>
      <c r="H33" s="63">
        <v>17643593631</v>
      </c>
      <c r="I33" s="63">
        <v>-807086408</v>
      </c>
    </row>
    <row r="34" spans="1:9">
      <c r="A34" s="63" t="s">
        <v>196</v>
      </c>
      <c r="B34" s="63">
        <v>555091</v>
      </c>
      <c r="C34" s="63">
        <v>9126758444</v>
      </c>
      <c r="D34" s="63">
        <v>7421111463</v>
      </c>
      <c r="E34" s="63">
        <v>1705646981</v>
      </c>
      <c r="F34" s="63">
        <v>1915970</v>
      </c>
      <c r="G34" s="63">
        <v>29387183948</v>
      </c>
      <c r="H34" s="63">
        <v>24625676807</v>
      </c>
      <c r="I34" s="63">
        <v>4761507141</v>
      </c>
    </row>
    <row r="35" spans="1:9">
      <c r="A35" s="63" t="s">
        <v>197</v>
      </c>
      <c r="B35" s="63">
        <v>1200000</v>
      </c>
      <c r="C35" s="63">
        <v>4510562699</v>
      </c>
      <c r="D35" s="63">
        <v>4956340207</v>
      </c>
      <c r="E35" s="63">
        <v>-445777508</v>
      </c>
      <c r="F35" s="63">
        <v>13800006</v>
      </c>
      <c r="G35" s="63">
        <v>55960581029</v>
      </c>
      <c r="H35" s="63">
        <v>59921908185</v>
      </c>
      <c r="I35" s="63">
        <v>-3961327156</v>
      </c>
    </row>
    <row r="36" spans="1:9">
      <c r="A36" s="63" t="s">
        <v>198</v>
      </c>
      <c r="B36" s="63">
        <v>0</v>
      </c>
      <c r="C36" s="63">
        <v>0</v>
      </c>
      <c r="D36" s="63">
        <v>0</v>
      </c>
      <c r="E36" s="63">
        <v>0</v>
      </c>
      <c r="F36" s="63">
        <v>50075</v>
      </c>
      <c r="G36" s="63">
        <v>6692430562</v>
      </c>
      <c r="H36" s="63">
        <v>5728220250</v>
      </c>
      <c r="I36" s="63">
        <v>964210312</v>
      </c>
    </row>
    <row r="37" spans="1:9">
      <c r="A37" s="63" t="s">
        <v>199</v>
      </c>
      <c r="B37" s="63">
        <v>100000</v>
      </c>
      <c r="C37" s="63">
        <v>4004801756</v>
      </c>
      <c r="D37" s="63">
        <v>3062282220</v>
      </c>
      <c r="E37" s="63">
        <v>942519536</v>
      </c>
      <c r="F37" s="63">
        <v>304007</v>
      </c>
      <c r="G37" s="63">
        <v>9434216422</v>
      </c>
      <c r="H37" s="63">
        <v>8622623421</v>
      </c>
      <c r="I37" s="63">
        <v>811593001</v>
      </c>
    </row>
    <row r="38" spans="1:9">
      <c r="A38" s="63" t="s">
        <v>200</v>
      </c>
      <c r="B38" s="63">
        <v>0</v>
      </c>
      <c r="C38" s="63">
        <v>0</v>
      </c>
      <c r="D38" s="63">
        <v>0</v>
      </c>
      <c r="E38" s="63">
        <v>0</v>
      </c>
      <c r="F38" s="63">
        <v>10810714</v>
      </c>
      <c r="G38" s="63">
        <v>75431288688</v>
      </c>
      <c r="H38" s="63">
        <v>80797962603</v>
      </c>
      <c r="I38" s="63">
        <v>-5366673915</v>
      </c>
    </row>
    <row r="39" spans="1:9">
      <c r="A39" s="63" t="s">
        <v>201</v>
      </c>
      <c r="B39" s="63">
        <v>0</v>
      </c>
      <c r="C39" s="63">
        <v>0</v>
      </c>
      <c r="D39" s="63">
        <v>0</v>
      </c>
      <c r="E39" s="63">
        <v>0</v>
      </c>
      <c r="F39" s="63">
        <v>12527149</v>
      </c>
      <c r="G39" s="63">
        <v>26890007087</v>
      </c>
      <c r="H39" s="63">
        <v>23289249054</v>
      </c>
      <c r="I39" s="63">
        <v>3600758033</v>
      </c>
    </row>
    <row r="40" spans="1:9">
      <c r="A40" s="63" t="s">
        <v>202</v>
      </c>
      <c r="B40" s="63">
        <v>0</v>
      </c>
      <c r="C40" s="63">
        <v>0</v>
      </c>
      <c r="D40" s="63">
        <v>0</v>
      </c>
      <c r="E40" s="63">
        <v>0</v>
      </c>
      <c r="F40" s="63">
        <v>1141455</v>
      </c>
      <c r="G40" s="63">
        <v>19033059467</v>
      </c>
      <c r="H40" s="63">
        <v>20279407945</v>
      </c>
      <c r="I40" s="63">
        <v>-1246348478</v>
      </c>
    </row>
    <row r="41" spans="1:9">
      <c r="A41" s="63" t="s">
        <v>203</v>
      </c>
      <c r="B41" s="63">
        <v>160494</v>
      </c>
      <c r="C41" s="63">
        <v>849722475</v>
      </c>
      <c r="D41" s="63">
        <v>1166049129</v>
      </c>
      <c r="E41" s="63">
        <v>-316326654</v>
      </c>
      <c r="F41" s="63">
        <v>1160494</v>
      </c>
      <c r="G41" s="63">
        <v>7694151589</v>
      </c>
      <c r="H41" s="63">
        <v>8105779941</v>
      </c>
      <c r="I41" s="63">
        <v>-411628352</v>
      </c>
    </row>
    <row r="42" spans="1:9">
      <c r="A42" s="63" t="s">
        <v>204</v>
      </c>
      <c r="B42" s="63">
        <v>0</v>
      </c>
      <c r="C42" s="63">
        <v>0</v>
      </c>
      <c r="D42" s="63">
        <v>0</v>
      </c>
      <c r="E42" s="63">
        <v>0</v>
      </c>
      <c r="F42" s="63">
        <v>10829854</v>
      </c>
      <c r="G42" s="63">
        <v>54577326783</v>
      </c>
      <c r="H42" s="63">
        <v>44388251701</v>
      </c>
      <c r="I42" s="63">
        <v>10189075082</v>
      </c>
    </row>
    <row r="43" spans="1:9">
      <c r="A43" s="63" t="s">
        <v>205</v>
      </c>
      <c r="B43" s="63">
        <v>500000</v>
      </c>
      <c r="C43" s="63">
        <v>8577317071</v>
      </c>
      <c r="D43" s="63">
        <v>9984627317</v>
      </c>
      <c r="E43" s="63">
        <v>-1407310246</v>
      </c>
      <c r="F43" s="63">
        <v>1100000</v>
      </c>
      <c r="G43" s="63">
        <v>19574778400</v>
      </c>
      <c r="H43" s="63">
        <v>21960690466</v>
      </c>
      <c r="I43" s="63">
        <v>-2385912066</v>
      </c>
    </row>
    <row r="44" spans="1:9">
      <c r="A44" s="63" t="s">
        <v>206</v>
      </c>
      <c r="B44" s="63">
        <v>0</v>
      </c>
      <c r="C44" s="63">
        <v>0</v>
      </c>
      <c r="D44" s="63">
        <v>0</v>
      </c>
      <c r="E44" s="63">
        <v>0</v>
      </c>
      <c r="F44" s="63">
        <v>1662188</v>
      </c>
      <c r="G44" s="63">
        <v>13962229195</v>
      </c>
      <c r="H44" s="63">
        <v>10868496788</v>
      </c>
      <c r="I44" s="63">
        <v>3093732407</v>
      </c>
    </row>
    <row r="45" spans="1:9">
      <c r="A45" s="63" t="s">
        <v>207</v>
      </c>
      <c r="B45" s="63">
        <v>0</v>
      </c>
      <c r="C45" s="63">
        <v>0</v>
      </c>
      <c r="D45" s="63">
        <v>0</v>
      </c>
      <c r="E45" s="63">
        <v>0</v>
      </c>
      <c r="F45" s="63">
        <v>6852019</v>
      </c>
      <c r="G45" s="63">
        <v>39989178153</v>
      </c>
      <c r="H45" s="63">
        <v>37802629886</v>
      </c>
      <c r="I45" s="63">
        <v>2186548267</v>
      </c>
    </row>
    <row r="46" spans="1:9">
      <c r="A46" s="63" t="s">
        <v>208</v>
      </c>
      <c r="B46" s="63">
        <v>1015474</v>
      </c>
      <c r="C46" s="63">
        <v>23429735005</v>
      </c>
      <c r="D46" s="63">
        <v>17823943602</v>
      </c>
      <c r="E46" s="63">
        <v>5605791403</v>
      </c>
      <c r="F46" s="63">
        <v>1415474</v>
      </c>
      <c r="G46" s="63">
        <v>31359956929</v>
      </c>
      <c r="H46" s="63">
        <v>24496689627</v>
      </c>
      <c r="I46" s="63">
        <v>6863267302</v>
      </c>
    </row>
    <row r="47" spans="1:9">
      <c r="A47" s="63" t="s">
        <v>209</v>
      </c>
      <c r="B47" s="63">
        <v>0</v>
      </c>
      <c r="C47" s="63">
        <v>0</v>
      </c>
      <c r="D47" s="63">
        <v>0</v>
      </c>
      <c r="E47" s="63">
        <v>0</v>
      </c>
      <c r="F47" s="63">
        <v>2200000</v>
      </c>
      <c r="G47" s="63">
        <v>18870261630</v>
      </c>
      <c r="H47" s="63">
        <v>15287092277</v>
      </c>
      <c r="I47" s="63">
        <v>3583169353</v>
      </c>
    </row>
    <row r="48" spans="1:9">
      <c r="A48" s="63" t="s">
        <v>210</v>
      </c>
      <c r="B48" s="63">
        <v>0</v>
      </c>
      <c r="C48" s="63">
        <v>0</v>
      </c>
      <c r="D48" s="63">
        <v>0</v>
      </c>
      <c r="E48" s="63">
        <v>0</v>
      </c>
      <c r="F48" s="63">
        <v>4260000</v>
      </c>
      <c r="G48" s="63">
        <v>14770469820</v>
      </c>
      <c r="H48" s="63">
        <v>14466092181</v>
      </c>
      <c r="I48" s="63">
        <v>304377639</v>
      </c>
    </row>
    <row r="49" spans="1:9">
      <c r="A49" s="63" t="s">
        <v>211</v>
      </c>
      <c r="B49" s="63">
        <v>0</v>
      </c>
      <c r="C49" s="63">
        <v>0</v>
      </c>
      <c r="D49" s="63">
        <v>0</v>
      </c>
      <c r="E49" s="63">
        <v>0</v>
      </c>
      <c r="F49" s="63">
        <v>2000000</v>
      </c>
      <c r="G49" s="63">
        <v>13965387709</v>
      </c>
      <c r="H49" s="63">
        <v>13019378180</v>
      </c>
      <c r="I49" s="63">
        <v>946009529</v>
      </c>
    </row>
    <row r="50" spans="1:9">
      <c r="A50" s="63" t="s">
        <v>212</v>
      </c>
      <c r="B50" s="63">
        <v>2492374</v>
      </c>
      <c r="C50" s="63">
        <v>14351363517</v>
      </c>
      <c r="D50" s="63">
        <v>10987719666</v>
      </c>
      <c r="E50" s="63">
        <v>3363643851</v>
      </c>
      <c r="F50" s="63">
        <v>8188683</v>
      </c>
      <c r="G50" s="63">
        <v>41645561387</v>
      </c>
      <c r="H50" s="63">
        <v>32680447060</v>
      </c>
      <c r="I50" s="63">
        <v>8965114327</v>
      </c>
    </row>
    <row r="51" spans="1:9">
      <c r="A51" s="63" t="s">
        <v>213</v>
      </c>
      <c r="B51" s="63">
        <v>400000</v>
      </c>
      <c r="C51" s="63">
        <v>1329641817</v>
      </c>
      <c r="D51" s="63">
        <v>1016295444</v>
      </c>
      <c r="E51" s="63">
        <v>313346373</v>
      </c>
      <c r="F51" s="63">
        <v>5762092</v>
      </c>
      <c r="G51" s="63">
        <v>14310529866</v>
      </c>
      <c r="H51" s="63">
        <v>13872657815</v>
      </c>
      <c r="I51" s="63">
        <v>437872051</v>
      </c>
    </row>
    <row r="52" spans="1:9">
      <c r="A52" s="63" t="s">
        <v>214</v>
      </c>
      <c r="B52" s="63">
        <v>0</v>
      </c>
      <c r="C52" s="63">
        <v>0</v>
      </c>
      <c r="D52" s="63">
        <v>0</v>
      </c>
      <c r="E52" s="63">
        <v>0</v>
      </c>
      <c r="F52" s="63">
        <v>26868176</v>
      </c>
      <c r="G52" s="63">
        <v>108674319279</v>
      </c>
      <c r="H52" s="63">
        <v>95734327617</v>
      </c>
      <c r="I52" s="63">
        <v>12939991662</v>
      </c>
    </row>
    <row r="53" spans="1:9">
      <c r="A53" s="63" t="s">
        <v>215</v>
      </c>
      <c r="B53" s="63">
        <v>0</v>
      </c>
      <c r="C53" s="63">
        <v>0</v>
      </c>
      <c r="D53" s="63">
        <v>0</v>
      </c>
      <c r="E53" s="63">
        <v>0</v>
      </c>
      <c r="F53" s="63">
        <v>1186353</v>
      </c>
      <c r="G53" s="63">
        <v>60228986918</v>
      </c>
      <c r="H53" s="63">
        <v>56481474431</v>
      </c>
      <c r="I53" s="63">
        <v>3747512487</v>
      </c>
    </row>
    <row r="54" spans="1:9">
      <c r="A54" s="63" t="s">
        <v>216</v>
      </c>
      <c r="B54" s="63">
        <v>124981</v>
      </c>
      <c r="C54" s="63">
        <v>4158222045</v>
      </c>
      <c r="D54" s="63">
        <v>4217341689</v>
      </c>
      <c r="E54" s="63">
        <v>-59119644</v>
      </c>
      <c r="F54" s="63">
        <v>224981</v>
      </c>
      <c r="G54" s="63">
        <v>7643282208</v>
      </c>
      <c r="H54" s="63">
        <v>7590497238</v>
      </c>
      <c r="I54" s="63">
        <v>52784970</v>
      </c>
    </row>
    <row r="55" spans="1:9">
      <c r="A55" s="63" t="s">
        <v>217</v>
      </c>
      <c r="B55" s="63">
        <v>200000</v>
      </c>
      <c r="C55" s="63">
        <v>2693020821</v>
      </c>
      <c r="D55" s="63">
        <v>2015217347</v>
      </c>
      <c r="E55" s="63">
        <v>677803474</v>
      </c>
      <c r="F55" s="63">
        <v>1800000</v>
      </c>
      <c r="G55" s="63">
        <v>23201780175</v>
      </c>
      <c r="H55" s="63">
        <v>18164036156</v>
      </c>
      <c r="I55" s="63">
        <v>5037744019</v>
      </c>
    </row>
    <row r="56" spans="1:9">
      <c r="A56" s="63" t="s">
        <v>218</v>
      </c>
      <c r="B56" s="63">
        <v>800000</v>
      </c>
      <c r="C56" s="63">
        <v>3550739026</v>
      </c>
      <c r="D56" s="63">
        <v>2413491463</v>
      </c>
      <c r="E56" s="63">
        <v>1137247563</v>
      </c>
      <c r="F56" s="63">
        <v>1339409</v>
      </c>
      <c r="G56" s="63">
        <v>5497200062</v>
      </c>
      <c r="H56" s="63">
        <v>4047199320</v>
      </c>
      <c r="I56" s="63">
        <v>1450000742</v>
      </c>
    </row>
    <row r="57" spans="1:9">
      <c r="A57" s="63" t="s">
        <v>219</v>
      </c>
      <c r="B57" s="63">
        <v>5284045</v>
      </c>
      <c r="C57" s="63">
        <v>7085669285</v>
      </c>
      <c r="D57" s="63">
        <v>7582986066</v>
      </c>
      <c r="E57" s="63">
        <v>-497316781</v>
      </c>
      <c r="F57" s="63">
        <v>7990687</v>
      </c>
      <c r="G57" s="63">
        <v>11237999633</v>
      </c>
      <c r="H57" s="63">
        <v>11463139623</v>
      </c>
      <c r="I57" s="63">
        <v>-225139990</v>
      </c>
    </row>
    <row r="58" spans="1:9">
      <c r="A58" s="63" t="s">
        <v>220</v>
      </c>
      <c r="B58" s="63">
        <v>800000</v>
      </c>
      <c r="C58" s="63">
        <v>3644409278</v>
      </c>
      <c r="D58" s="63">
        <v>2008273650</v>
      </c>
      <c r="E58" s="63">
        <v>1636135628</v>
      </c>
      <c r="F58" s="63">
        <v>2000000</v>
      </c>
      <c r="G58" s="63">
        <v>7354179812</v>
      </c>
      <c r="H58" s="63">
        <v>4344423971</v>
      </c>
      <c r="I58" s="63">
        <v>3009755841</v>
      </c>
    </row>
    <row r="59" spans="1:9">
      <c r="A59" s="63" t="s">
        <v>221</v>
      </c>
      <c r="B59" s="63">
        <v>2800000</v>
      </c>
      <c r="C59" s="63">
        <v>10272871421</v>
      </c>
      <c r="D59" s="63">
        <v>10101799717</v>
      </c>
      <c r="E59" s="63">
        <v>171071704</v>
      </c>
      <c r="F59" s="63">
        <v>5065775</v>
      </c>
      <c r="G59" s="63">
        <v>19249792978</v>
      </c>
      <c r="H59" s="63">
        <v>17188404402</v>
      </c>
      <c r="I59" s="63">
        <v>2061388576</v>
      </c>
    </row>
    <row r="60" spans="1:9">
      <c r="A60" s="63" t="s">
        <v>222</v>
      </c>
      <c r="B60" s="63">
        <v>2742273</v>
      </c>
      <c r="C60" s="63">
        <v>6006477708</v>
      </c>
      <c r="D60" s="63">
        <v>6229678968</v>
      </c>
      <c r="E60" s="63">
        <v>-223201260</v>
      </c>
      <c r="F60" s="63">
        <v>8742273</v>
      </c>
      <c r="G60" s="63">
        <v>19211662605</v>
      </c>
      <c r="H60" s="63">
        <v>18387787800</v>
      </c>
      <c r="I60" s="63">
        <v>823874805</v>
      </c>
    </row>
    <row r="61" spans="1:9">
      <c r="A61" s="63" t="s">
        <v>223</v>
      </c>
      <c r="B61" s="63">
        <v>0</v>
      </c>
      <c r="C61" s="63">
        <v>0</v>
      </c>
      <c r="D61" s="63">
        <v>0</v>
      </c>
      <c r="E61" s="63">
        <v>0</v>
      </c>
      <c r="F61" s="63">
        <v>2838120</v>
      </c>
      <c r="G61" s="63">
        <v>11214374490</v>
      </c>
      <c r="H61" s="63">
        <v>12978257492</v>
      </c>
      <c r="I61" s="63">
        <v>-1763883002</v>
      </c>
    </row>
    <row r="62" spans="1:9">
      <c r="A62" s="63" t="s">
        <v>224</v>
      </c>
      <c r="B62" s="63">
        <v>400000</v>
      </c>
      <c r="C62" s="63">
        <v>950197758</v>
      </c>
      <c r="D62" s="63">
        <v>822007305</v>
      </c>
      <c r="E62" s="63">
        <v>128190453</v>
      </c>
      <c r="F62" s="63">
        <v>9334050</v>
      </c>
      <c r="G62" s="63">
        <v>27355886174</v>
      </c>
      <c r="H62" s="63">
        <v>21991745474</v>
      </c>
      <c r="I62" s="63">
        <v>5364140700</v>
      </c>
    </row>
    <row r="63" spans="1:9">
      <c r="A63" s="63" t="s">
        <v>225</v>
      </c>
      <c r="B63" s="63">
        <v>1000000</v>
      </c>
      <c r="C63" s="63">
        <v>8269578210</v>
      </c>
      <c r="D63" s="63">
        <v>6178079424</v>
      </c>
      <c r="E63" s="63">
        <v>2091498786</v>
      </c>
      <c r="F63" s="63">
        <v>4241607</v>
      </c>
      <c r="G63" s="63">
        <v>28282494473</v>
      </c>
      <c r="H63" s="63">
        <v>25835836701</v>
      </c>
      <c r="I63" s="63">
        <v>2446657772</v>
      </c>
    </row>
    <row r="64" spans="1:9">
      <c r="A64" s="63" t="s">
        <v>226</v>
      </c>
      <c r="B64" s="63">
        <v>100000</v>
      </c>
      <c r="C64" s="63">
        <v>2948034176</v>
      </c>
      <c r="D64" s="63">
        <v>3655864433</v>
      </c>
      <c r="E64" s="63">
        <v>-707830257</v>
      </c>
      <c r="F64" s="63">
        <v>100000</v>
      </c>
      <c r="G64" s="63">
        <v>2948034176</v>
      </c>
      <c r="H64" s="63">
        <v>3655864433</v>
      </c>
      <c r="I64" s="63">
        <v>-707830257</v>
      </c>
    </row>
    <row r="65" spans="1:9">
      <c r="A65" s="63" t="s">
        <v>227</v>
      </c>
      <c r="B65" s="63">
        <v>0</v>
      </c>
      <c r="C65" s="63">
        <v>0</v>
      </c>
      <c r="D65" s="63">
        <v>0</v>
      </c>
      <c r="E65" s="63">
        <v>0</v>
      </c>
      <c r="F65" s="63">
        <v>3029940</v>
      </c>
      <c r="G65" s="63">
        <v>16355089026</v>
      </c>
      <c r="H65" s="63">
        <v>19773097066</v>
      </c>
      <c r="I65" s="63">
        <v>-3418008040</v>
      </c>
    </row>
    <row r="66" spans="1:9">
      <c r="A66" s="63" t="s">
        <v>228</v>
      </c>
      <c r="B66" s="63">
        <v>1600000</v>
      </c>
      <c r="C66" s="63">
        <v>7244365461</v>
      </c>
      <c r="D66" s="63">
        <v>7270429665</v>
      </c>
      <c r="E66" s="63">
        <v>-26064204</v>
      </c>
      <c r="F66" s="63">
        <v>4817029</v>
      </c>
      <c r="G66" s="63">
        <v>25066650452</v>
      </c>
      <c r="H66" s="63">
        <v>20639723888</v>
      </c>
      <c r="I66" s="63">
        <v>4426926564</v>
      </c>
    </row>
    <row r="67" spans="1:9">
      <c r="A67" s="63" t="s">
        <v>229</v>
      </c>
      <c r="B67" s="63">
        <v>0</v>
      </c>
      <c r="C67" s="63">
        <v>0</v>
      </c>
      <c r="D67" s="63">
        <v>0</v>
      </c>
      <c r="E67" s="63">
        <v>0</v>
      </c>
      <c r="F67" s="63">
        <v>444699</v>
      </c>
      <c r="G67" s="63">
        <v>4647411119</v>
      </c>
      <c r="H67" s="63">
        <v>5692349199</v>
      </c>
      <c r="I67" s="63">
        <v>-1044938080</v>
      </c>
    </row>
    <row r="68" spans="1:9">
      <c r="A68" s="63" t="s">
        <v>230</v>
      </c>
      <c r="B68" s="63">
        <v>0</v>
      </c>
      <c r="C68" s="63">
        <v>0</v>
      </c>
      <c r="D68" s="63">
        <v>0</v>
      </c>
      <c r="E68" s="63">
        <v>0</v>
      </c>
      <c r="F68" s="63">
        <v>400000</v>
      </c>
      <c r="G68" s="63">
        <v>2992686332</v>
      </c>
      <c r="H68" s="63">
        <v>2394026855</v>
      </c>
      <c r="I68" s="63">
        <v>598659477</v>
      </c>
    </row>
    <row r="69" spans="1:9">
      <c r="A69" s="63" t="s">
        <v>231</v>
      </c>
      <c r="B69" s="63">
        <v>0</v>
      </c>
      <c r="C69" s="63">
        <v>0</v>
      </c>
      <c r="D69" s="63">
        <v>0</v>
      </c>
      <c r="E69" s="63">
        <v>0</v>
      </c>
      <c r="F69" s="63">
        <v>800000</v>
      </c>
      <c r="G69" s="63">
        <v>3268436423</v>
      </c>
      <c r="H69" s="63">
        <v>2614078160</v>
      </c>
      <c r="I69" s="63">
        <v>654358263</v>
      </c>
    </row>
    <row r="70" spans="1:9">
      <c r="A70" s="63" t="s">
        <v>232</v>
      </c>
      <c r="B70" s="63">
        <v>250000</v>
      </c>
      <c r="C70" s="63">
        <v>6601552277</v>
      </c>
      <c r="D70" s="63">
        <v>6439136013</v>
      </c>
      <c r="E70" s="63">
        <v>162416264</v>
      </c>
      <c r="F70" s="63">
        <v>5669976</v>
      </c>
      <c r="G70" s="63">
        <v>152684904350</v>
      </c>
      <c r="H70" s="63">
        <v>108138957553</v>
      </c>
      <c r="I70" s="63">
        <v>44545946797</v>
      </c>
    </row>
    <row r="71" spans="1:9">
      <c r="A71" s="63" t="s">
        <v>233</v>
      </c>
      <c r="B71" s="63">
        <v>50000</v>
      </c>
      <c r="C71" s="63">
        <v>5635171205</v>
      </c>
      <c r="D71" s="63">
        <v>7184927171</v>
      </c>
      <c r="E71" s="63">
        <v>-1549755966</v>
      </c>
      <c r="F71" s="63">
        <v>275000</v>
      </c>
      <c r="G71" s="63">
        <v>33343934010</v>
      </c>
      <c r="H71" s="63">
        <v>36184381179</v>
      </c>
      <c r="I71" s="63">
        <v>-2840447169</v>
      </c>
    </row>
    <row r="72" spans="1:9">
      <c r="A72" s="63" t="s">
        <v>234</v>
      </c>
      <c r="B72" s="63">
        <v>0</v>
      </c>
      <c r="C72" s="63">
        <v>0</v>
      </c>
      <c r="D72" s="63">
        <v>0</v>
      </c>
      <c r="E72" s="63">
        <v>0</v>
      </c>
      <c r="F72" s="63">
        <v>3600000</v>
      </c>
      <c r="G72" s="63">
        <v>5579356894</v>
      </c>
      <c r="H72" s="63">
        <v>4577258897</v>
      </c>
      <c r="I72" s="63">
        <v>1002097997</v>
      </c>
    </row>
    <row r="73" spans="1:9">
      <c r="A73" s="63" t="s">
        <v>235</v>
      </c>
      <c r="B73" s="63">
        <v>0</v>
      </c>
      <c r="C73" s="63">
        <v>0</v>
      </c>
      <c r="D73" s="63">
        <v>0</v>
      </c>
      <c r="E73" s="63">
        <v>0</v>
      </c>
      <c r="F73" s="63">
        <v>237371</v>
      </c>
      <c r="G73" s="63">
        <v>15624371286</v>
      </c>
      <c r="H73" s="63">
        <v>14297382485</v>
      </c>
      <c r="I73" s="63">
        <v>1326988801</v>
      </c>
    </row>
    <row r="74" spans="1:9">
      <c r="A74" s="63" t="s">
        <v>236</v>
      </c>
      <c r="B74" s="63">
        <v>3000000</v>
      </c>
      <c r="C74" s="63">
        <v>21469658964</v>
      </c>
      <c r="D74" s="63">
        <v>23809214187</v>
      </c>
      <c r="E74" s="63">
        <v>-2339555223</v>
      </c>
      <c r="F74" s="63">
        <v>3913777</v>
      </c>
      <c r="G74" s="63">
        <v>28303088521</v>
      </c>
      <c r="H74" s="63">
        <v>31075452644</v>
      </c>
      <c r="I74" s="63">
        <v>-2772364123</v>
      </c>
    </row>
    <row r="75" spans="1:9">
      <c r="A75" s="63" t="s">
        <v>237</v>
      </c>
      <c r="B75" s="63">
        <v>400000</v>
      </c>
      <c r="C75" s="63">
        <v>636782466</v>
      </c>
      <c r="D75" s="63">
        <v>901976584</v>
      </c>
      <c r="E75" s="63">
        <v>-265194118</v>
      </c>
      <c r="F75" s="63">
        <v>15145044</v>
      </c>
      <c r="G75" s="63">
        <v>25987212960</v>
      </c>
      <c r="H75" s="63">
        <v>34983141797</v>
      </c>
      <c r="I75" s="63">
        <v>-8995928837</v>
      </c>
    </row>
    <row r="76" spans="1:9">
      <c r="A76" s="63" t="s">
        <v>238</v>
      </c>
      <c r="B76" s="63">
        <v>2000000</v>
      </c>
      <c r="C76" s="63">
        <v>2385470717</v>
      </c>
      <c r="D76" s="63">
        <v>2210060735</v>
      </c>
      <c r="E76" s="63">
        <v>175409982</v>
      </c>
      <c r="F76" s="63">
        <v>2400000</v>
      </c>
      <c r="G76" s="63">
        <v>2838757544</v>
      </c>
      <c r="H76" s="63">
        <v>2608475573</v>
      </c>
      <c r="I76" s="63">
        <v>230281971</v>
      </c>
    </row>
    <row r="77" spans="1:9">
      <c r="A77" s="63" t="s">
        <v>239</v>
      </c>
      <c r="B77" s="63">
        <v>0</v>
      </c>
      <c r="C77" s="63">
        <v>0</v>
      </c>
      <c r="D77" s="63">
        <v>0</v>
      </c>
      <c r="E77" s="63">
        <v>0</v>
      </c>
      <c r="F77" s="63">
        <v>3600000</v>
      </c>
      <c r="G77" s="63">
        <v>1829029226</v>
      </c>
      <c r="H77" s="63">
        <v>1399291156</v>
      </c>
      <c r="I77" s="63">
        <v>429738070</v>
      </c>
    </row>
    <row r="78" spans="1:9">
      <c r="A78" s="63" t="s">
        <v>240</v>
      </c>
      <c r="B78" s="63">
        <v>400000</v>
      </c>
      <c r="C78" s="63">
        <v>3290367332</v>
      </c>
      <c r="D78" s="63">
        <v>2614563658</v>
      </c>
      <c r="E78" s="63">
        <v>675803674</v>
      </c>
      <c r="F78" s="63">
        <v>3546214</v>
      </c>
      <c r="G78" s="63">
        <v>21514228215</v>
      </c>
      <c r="H78" s="63">
        <v>23741167272</v>
      </c>
      <c r="I78" s="63">
        <v>-2226939057</v>
      </c>
    </row>
    <row r="79" spans="1:9">
      <c r="A79" s="63" t="s">
        <v>241</v>
      </c>
      <c r="B79" s="63">
        <v>0</v>
      </c>
      <c r="C79" s="63">
        <v>0</v>
      </c>
      <c r="D79" s="63">
        <v>0</v>
      </c>
      <c r="E79" s="63">
        <v>0</v>
      </c>
      <c r="F79" s="63">
        <v>1799522</v>
      </c>
      <c r="G79" s="63">
        <v>5404094896</v>
      </c>
      <c r="H79" s="63">
        <v>5846207927</v>
      </c>
      <c r="I79" s="63">
        <v>-442113031</v>
      </c>
    </row>
    <row r="80" spans="1:9">
      <c r="A80" s="63" t="s">
        <v>242</v>
      </c>
      <c r="B80" s="63">
        <v>1200000</v>
      </c>
      <c r="C80" s="63">
        <v>4477894410</v>
      </c>
      <c r="D80" s="63">
        <v>5520720935</v>
      </c>
      <c r="E80" s="63">
        <v>-1042826525</v>
      </c>
      <c r="F80" s="63">
        <v>2462547</v>
      </c>
      <c r="G80" s="63">
        <v>10207033250</v>
      </c>
      <c r="H80" s="63">
        <v>10718588366</v>
      </c>
      <c r="I80" s="63">
        <v>-511555116</v>
      </c>
    </row>
    <row r="81" spans="1:9">
      <c r="A81" s="63" t="s">
        <v>243</v>
      </c>
      <c r="B81" s="63">
        <v>0</v>
      </c>
      <c r="C81" s="63">
        <v>0</v>
      </c>
      <c r="D81" s="63">
        <v>0</v>
      </c>
      <c r="E81" s="63">
        <v>0</v>
      </c>
      <c r="F81" s="63">
        <v>9758132</v>
      </c>
      <c r="G81" s="63">
        <v>21015170026</v>
      </c>
      <c r="H81" s="63">
        <v>27832408260</v>
      </c>
      <c r="I81" s="63">
        <v>-6817238234</v>
      </c>
    </row>
    <row r="82" spans="1:9">
      <c r="A82" s="63" t="s">
        <v>244</v>
      </c>
      <c r="B82" s="63">
        <v>0</v>
      </c>
      <c r="C82" s="63">
        <v>0</v>
      </c>
      <c r="D82" s="63">
        <v>0</v>
      </c>
      <c r="E82" s="63">
        <v>0</v>
      </c>
      <c r="F82" s="63">
        <v>679682</v>
      </c>
      <c r="G82" s="63">
        <v>3840727940</v>
      </c>
      <c r="H82" s="63">
        <v>4321672398</v>
      </c>
      <c r="I82" s="63">
        <v>-480944458</v>
      </c>
    </row>
    <row r="83" spans="1:9">
      <c r="A83" s="63" t="s">
        <v>245</v>
      </c>
      <c r="B83" s="63">
        <v>0</v>
      </c>
      <c r="C83" s="63">
        <v>0</v>
      </c>
      <c r="D83" s="63">
        <v>0</v>
      </c>
      <c r="E83" s="63">
        <v>0</v>
      </c>
      <c r="F83" s="63">
        <v>562500</v>
      </c>
      <c r="G83" s="63">
        <v>5893474057</v>
      </c>
      <c r="H83" s="63">
        <v>4896698224</v>
      </c>
      <c r="I83" s="63">
        <v>996775833</v>
      </c>
    </row>
    <row r="84" spans="1:9">
      <c r="A84" s="63" t="s">
        <v>246</v>
      </c>
      <c r="B84" s="63">
        <v>0</v>
      </c>
      <c r="C84" s="63">
        <v>0</v>
      </c>
      <c r="D84" s="63">
        <v>0</v>
      </c>
      <c r="E84" s="63">
        <v>0</v>
      </c>
      <c r="F84" s="63">
        <v>6199</v>
      </c>
      <c r="G84" s="63">
        <v>156164327</v>
      </c>
      <c r="H84" s="63">
        <v>177766649</v>
      </c>
      <c r="I84" s="63">
        <v>-21602322</v>
      </c>
    </row>
    <row r="85" spans="1:9">
      <c r="A85" s="63" t="s">
        <v>247</v>
      </c>
      <c r="B85" s="63">
        <v>0</v>
      </c>
      <c r="C85" s="63">
        <v>0</v>
      </c>
      <c r="D85" s="63">
        <v>0</v>
      </c>
      <c r="E85" s="63">
        <v>0</v>
      </c>
      <c r="F85" s="63">
        <v>22951227</v>
      </c>
      <c r="G85" s="63">
        <v>37082872931</v>
      </c>
      <c r="H85" s="63">
        <v>36369532142</v>
      </c>
      <c r="I85" s="63">
        <v>713340789</v>
      </c>
    </row>
    <row r="86" spans="1:9">
      <c r="A86" s="63" t="s">
        <v>248</v>
      </c>
      <c r="B86" s="63">
        <v>0</v>
      </c>
      <c r="C86" s="63">
        <v>0</v>
      </c>
      <c r="D86" s="63">
        <v>0</v>
      </c>
      <c r="E86" s="63">
        <v>0</v>
      </c>
      <c r="F86" s="63">
        <v>200000</v>
      </c>
      <c r="G86" s="63">
        <v>1218507562</v>
      </c>
      <c r="H86" s="63">
        <v>775979448</v>
      </c>
      <c r="I86" s="63">
        <v>442528114</v>
      </c>
    </row>
    <row r="87" spans="1:9">
      <c r="A87" s="63" t="s">
        <v>249</v>
      </c>
      <c r="B87" s="63">
        <v>0</v>
      </c>
      <c r="C87" s="63">
        <v>0</v>
      </c>
      <c r="D87" s="63">
        <v>0</v>
      </c>
      <c r="E87" s="63">
        <v>0</v>
      </c>
      <c r="F87" s="63">
        <v>4400000</v>
      </c>
      <c r="G87" s="63">
        <v>14141872413</v>
      </c>
      <c r="H87" s="63">
        <v>15678405765</v>
      </c>
      <c r="I87" s="63">
        <v>-1536533352</v>
      </c>
    </row>
    <row r="88" spans="1:9">
      <c r="A88" s="63" t="s">
        <v>250</v>
      </c>
      <c r="B88" s="63">
        <v>0</v>
      </c>
      <c r="C88" s="63">
        <v>0</v>
      </c>
      <c r="D88" s="63">
        <v>0</v>
      </c>
      <c r="E88" s="63">
        <v>0</v>
      </c>
      <c r="F88" s="63">
        <v>8955528</v>
      </c>
      <c r="G88" s="63">
        <v>22114432065</v>
      </c>
      <c r="H88" s="63">
        <v>32934620744</v>
      </c>
      <c r="I88" s="63">
        <v>-10820188679</v>
      </c>
    </row>
    <row r="89" spans="1:9">
      <c r="A89" s="63" t="s">
        <v>251</v>
      </c>
      <c r="B89" s="63">
        <v>400000</v>
      </c>
      <c r="C89" s="63">
        <v>1797993250</v>
      </c>
      <c r="D89" s="63">
        <v>1651522413</v>
      </c>
      <c r="E89" s="63">
        <v>146470837</v>
      </c>
      <c r="F89" s="63">
        <v>1200000</v>
      </c>
      <c r="G89" s="63">
        <v>5868681710</v>
      </c>
      <c r="H89" s="63">
        <v>4950869199</v>
      </c>
      <c r="I89" s="63">
        <v>917812511</v>
      </c>
    </row>
    <row r="90" spans="1:9">
      <c r="A90" s="63" t="s">
        <v>252</v>
      </c>
      <c r="B90" s="63">
        <v>16000000</v>
      </c>
      <c r="C90" s="63">
        <v>9223143429</v>
      </c>
      <c r="D90" s="63">
        <v>9564418792</v>
      </c>
      <c r="E90" s="63">
        <v>-341275363</v>
      </c>
      <c r="F90" s="63">
        <v>30000000</v>
      </c>
      <c r="G90" s="63">
        <v>17773642714</v>
      </c>
      <c r="H90" s="63">
        <v>17240806349</v>
      </c>
      <c r="I90" s="63">
        <v>532836365</v>
      </c>
    </row>
    <row r="91" spans="1:9">
      <c r="A91" s="63" t="s">
        <v>253</v>
      </c>
      <c r="B91" s="63">
        <v>3200106</v>
      </c>
      <c r="C91" s="63">
        <v>6114650194</v>
      </c>
      <c r="D91" s="63">
        <v>5550456687</v>
      </c>
      <c r="E91" s="63">
        <v>564193507</v>
      </c>
      <c r="F91" s="63">
        <v>6177539</v>
      </c>
      <c r="G91" s="63">
        <v>11830355660</v>
      </c>
      <c r="H91" s="63">
        <v>10673254289</v>
      </c>
      <c r="I91" s="63">
        <v>1157101371</v>
      </c>
    </row>
    <row r="92" spans="1:9">
      <c r="A92" s="63" t="s">
        <v>254</v>
      </c>
      <c r="B92" s="63">
        <v>1600000</v>
      </c>
      <c r="C92" s="63">
        <v>5010126874</v>
      </c>
      <c r="D92" s="63">
        <v>5437442878</v>
      </c>
      <c r="E92" s="63">
        <v>-427316004</v>
      </c>
      <c r="F92" s="63">
        <v>1600000</v>
      </c>
      <c r="G92" s="63">
        <v>5010126874</v>
      </c>
      <c r="H92" s="63">
        <v>5437442878</v>
      </c>
      <c r="I92" s="63">
        <v>-427316004</v>
      </c>
    </row>
    <row r="93" spans="1:9">
      <c r="A93" s="63" t="s">
        <v>255</v>
      </c>
      <c r="B93" s="63">
        <v>0</v>
      </c>
      <c r="C93" s="63">
        <v>0</v>
      </c>
      <c r="D93" s="63">
        <v>0</v>
      </c>
      <c r="E93" s="63">
        <v>0</v>
      </c>
      <c r="F93" s="63">
        <v>9856287</v>
      </c>
      <c r="G93" s="63">
        <v>28338435472</v>
      </c>
      <c r="H93" s="63">
        <v>25076043041</v>
      </c>
      <c r="I93" s="63">
        <v>3262392431</v>
      </c>
    </row>
    <row r="94" spans="1:9">
      <c r="A94" s="63" t="s">
        <v>256</v>
      </c>
      <c r="B94" s="63">
        <v>1400000</v>
      </c>
      <c r="C94" s="63">
        <v>9280020807</v>
      </c>
      <c r="D94" s="63">
        <v>8691431882</v>
      </c>
      <c r="E94" s="63">
        <v>588588925</v>
      </c>
      <c r="F94" s="63">
        <v>3000000</v>
      </c>
      <c r="G94" s="63">
        <v>21038652257</v>
      </c>
      <c r="H94" s="63">
        <v>18618379893</v>
      </c>
      <c r="I94" s="63">
        <v>2420272364</v>
      </c>
    </row>
    <row r="95" spans="1:9">
      <c r="A95" s="63" t="s">
        <v>257</v>
      </c>
      <c r="B95" s="63">
        <v>0</v>
      </c>
      <c r="C95" s="63">
        <v>0</v>
      </c>
      <c r="D95" s="63">
        <v>0</v>
      </c>
      <c r="E95" s="63">
        <v>0</v>
      </c>
      <c r="F95" s="63">
        <v>4800000</v>
      </c>
      <c r="G95" s="63">
        <v>14629799689</v>
      </c>
      <c r="H95" s="63">
        <v>10656668281</v>
      </c>
      <c r="I95" s="63">
        <v>3973131408</v>
      </c>
    </row>
    <row r="96" spans="1:9">
      <c r="A96" s="63" t="s">
        <v>258</v>
      </c>
      <c r="B96" s="63">
        <v>0</v>
      </c>
      <c r="C96" s="63">
        <v>0</v>
      </c>
      <c r="D96" s="63">
        <v>0</v>
      </c>
      <c r="E96" s="63">
        <v>0</v>
      </c>
      <c r="F96" s="63">
        <v>800000</v>
      </c>
      <c r="G96" s="63">
        <v>5996109686</v>
      </c>
      <c r="H96" s="63">
        <v>7154632734</v>
      </c>
      <c r="I96" s="63">
        <v>-1158523048</v>
      </c>
    </row>
    <row r="97" spans="1:9">
      <c r="A97" s="63" t="s">
        <v>259</v>
      </c>
      <c r="B97" s="63">
        <v>0</v>
      </c>
      <c r="C97" s="63">
        <v>0</v>
      </c>
      <c r="D97" s="63">
        <v>0</v>
      </c>
      <c r="E97" s="63">
        <v>0</v>
      </c>
      <c r="F97" s="63">
        <v>863829</v>
      </c>
      <c r="G97" s="63">
        <v>10585984363</v>
      </c>
      <c r="H97" s="63">
        <v>9524082458</v>
      </c>
      <c r="I97" s="63">
        <v>1061901905</v>
      </c>
    </row>
    <row r="98" spans="1:9">
      <c r="A98" s="63" t="s">
        <v>260</v>
      </c>
      <c r="B98" s="63">
        <v>0</v>
      </c>
      <c r="C98" s="63">
        <v>0</v>
      </c>
      <c r="D98" s="63">
        <v>0</v>
      </c>
      <c r="E98" s="63">
        <v>0</v>
      </c>
      <c r="F98" s="63">
        <v>5328318</v>
      </c>
      <c r="G98" s="63">
        <v>12758386096</v>
      </c>
      <c r="H98" s="63">
        <v>11760734944</v>
      </c>
      <c r="I98" s="63">
        <v>997651152</v>
      </c>
    </row>
    <row r="99" spans="1:9">
      <c r="A99" s="63" t="s">
        <v>261</v>
      </c>
      <c r="B99" s="63">
        <v>1</v>
      </c>
      <c r="C99" s="63">
        <v>1</v>
      </c>
      <c r="D99" s="63">
        <v>3927</v>
      </c>
      <c r="E99" s="63">
        <v>-3926</v>
      </c>
      <c r="F99" s="63">
        <v>1</v>
      </c>
      <c r="G99" s="63">
        <v>1</v>
      </c>
      <c r="H99" s="63">
        <v>3927</v>
      </c>
      <c r="I99" s="63">
        <v>-3926</v>
      </c>
    </row>
    <row r="100" spans="1:9">
      <c r="A100" s="63" t="s">
        <v>262</v>
      </c>
      <c r="B100" s="63">
        <v>0</v>
      </c>
      <c r="C100" s="63">
        <v>0</v>
      </c>
      <c r="D100" s="63">
        <v>0</v>
      </c>
      <c r="E100" s="63">
        <v>0</v>
      </c>
      <c r="F100" s="63">
        <v>337057</v>
      </c>
      <c r="G100" s="63">
        <v>2200247831</v>
      </c>
      <c r="H100" s="63">
        <v>1922449803</v>
      </c>
      <c r="I100" s="63">
        <v>277798028</v>
      </c>
    </row>
    <row r="101" spans="1:9">
      <c r="A101" s="63" t="s">
        <v>263</v>
      </c>
      <c r="B101" s="63">
        <v>0</v>
      </c>
      <c r="C101" s="63">
        <v>0</v>
      </c>
      <c r="D101" s="63">
        <v>0</v>
      </c>
      <c r="E101" s="63">
        <v>0</v>
      </c>
      <c r="F101" s="63">
        <v>978839</v>
      </c>
      <c r="G101" s="63">
        <v>29871837159</v>
      </c>
      <c r="H101" s="63">
        <v>23585844968</v>
      </c>
      <c r="I101" s="63">
        <v>6285992191</v>
      </c>
    </row>
    <row r="102" spans="1:9">
      <c r="A102" s="63" t="s">
        <v>264</v>
      </c>
      <c r="B102" s="63">
        <v>324137</v>
      </c>
      <c r="C102" s="63">
        <v>13662001988</v>
      </c>
      <c r="D102" s="63">
        <v>14611552712</v>
      </c>
      <c r="E102" s="63">
        <v>-949550724</v>
      </c>
      <c r="F102" s="63">
        <v>1000914</v>
      </c>
      <c r="G102" s="63">
        <v>42681842278</v>
      </c>
      <c r="H102" s="63">
        <v>41715466047</v>
      </c>
      <c r="I102" s="63">
        <v>966376231</v>
      </c>
    </row>
    <row r="103" spans="1:9">
      <c r="A103" s="63" t="s">
        <v>265</v>
      </c>
      <c r="B103" s="63">
        <v>100000</v>
      </c>
      <c r="C103" s="63">
        <v>3113743265</v>
      </c>
      <c r="D103" s="63">
        <v>1855717673</v>
      </c>
      <c r="E103" s="63">
        <v>1258025592</v>
      </c>
      <c r="F103" s="63">
        <v>100000</v>
      </c>
      <c r="G103" s="63">
        <v>3113743265</v>
      </c>
      <c r="H103" s="63">
        <v>1855717673</v>
      </c>
      <c r="I103" s="63">
        <v>1258025592</v>
      </c>
    </row>
    <row r="104" spans="1:9">
      <c r="A104" s="63" t="s">
        <v>266</v>
      </c>
      <c r="B104" s="63">
        <v>1200000</v>
      </c>
      <c r="C104" s="63">
        <v>3039918412</v>
      </c>
      <c r="D104" s="63">
        <v>4006690289</v>
      </c>
      <c r="E104" s="63">
        <v>-966771877</v>
      </c>
      <c r="F104" s="63">
        <v>13914185</v>
      </c>
      <c r="G104" s="63">
        <v>44649759449</v>
      </c>
      <c r="H104" s="63">
        <v>44242149737</v>
      </c>
      <c r="I104" s="63">
        <v>407609712</v>
      </c>
    </row>
    <row r="105" spans="1:9">
      <c r="A105" s="63" t="s">
        <v>267</v>
      </c>
      <c r="B105" s="63">
        <v>0</v>
      </c>
      <c r="C105" s="63">
        <v>0</v>
      </c>
      <c r="D105" s="63">
        <v>0</v>
      </c>
      <c r="E105" s="63">
        <v>0</v>
      </c>
      <c r="F105" s="63">
        <v>1810386</v>
      </c>
      <c r="G105" s="63">
        <v>12602590809</v>
      </c>
      <c r="H105" s="63">
        <v>12534442754</v>
      </c>
      <c r="I105" s="63">
        <v>68148055</v>
      </c>
    </row>
    <row r="106" spans="1:9">
      <c r="A106" s="63" t="s">
        <v>268</v>
      </c>
      <c r="B106" s="63">
        <v>0</v>
      </c>
      <c r="C106" s="63">
        <v>0</v>
      </c>
      <c r="D106" s="63">
        <v>0</v>
      </c>
      <c r="E106" s="63">
        <v>0</v>
      </c>
      <c r="F106" s="63">
        <v>2283</v>
      </c>
      <c r="G106" s="63">
        <v>11846355</v>
      </c>
      <c r="H106" s="63">
        <v>11510074</v>
      </c>
      <c r="I106" s="63">
        <v>336281</v>
      </c>
    </row>
    <row r="107" spans="1:9">
      <c r="A107" s="63" t="s">
        <v>269</v>
      </c>
      <c r="B107" s="63">
        <v>400000</v>
      </c>
      <c r="C107" s="63">
        <v>1715833290</v>
      </c>
      <c r="D107" s="63">
        <v>1644952106</v>
      </c>
      <c r="E107" s="63">
        <v>70881184</v>
      </c>
      <c r="F107" s="63">
        <v>400000</v>
      </c>
      <c r="G107" s="63">
        <v>1715833290</v>
      </c>
      <c r="H107" s="63">
        <v>1644952106</v>
      </c>
      <c r="I107" s="63">
        <v>70881184</v>
      </c>
    </row>
    <row r="108" spans="1:9">
      <c r="A108" s="63" t="s">
        <v>270</v>
      </c>
      <c r="B108" s="63">
        <v>0</v>
      </c>
      <c r="C108" s="63">
        <v>0</v>
      </c>
      <c r="D108" s="63">
        <v>0</v>
      </c>
      <c r="E108" s="63">
        <v>0</v>
      </c>
      <c r="F108" s="63">
        <v>3200000</v>
      </c>
      <c r="G108" s="63">
        <v>5585289441</v>
      </c>
      <c r="H108" s="63">
        <v>4391052231</v>
      </c>
      <c r="I108" s="63">
        <v>1194237210</v>
      </c>
    </row>
    <row r="109" spans="1:9">
      <c r="A109" s="63" t="s">
        <v>271</v>
      </c>
      <c r="B109" s="63">
        <v>0</v>
      </c>
      <c r="C109" s="63">
        <v>0</v>
      </c>
      <c r="D109" s="63">
        <v>0</v>
      </c>
      <c r="E109" s="63">
        <v>0</v>
      </c>
      <c r="F109" s="63">
        <v>1466267</v>
      </c>
      <c r="G109" s="63">
        <v>5010614684</v>
      </c>
      <c r="H109" s="63">
        <v>4846099673</v>
      </c>
      <c r="I109" s="63">
        <v>164515011</v>
      </c>
    </row>
    <row r="110" spans="1:9">
      <c r="A110" s="63" t="s">
        <v>272</v>
      </c>
      <c r="B110" s="63">
        <v>0</v>
      </c>
      <c r="C110" s="63">
        <v>0</v>
      </c>
      <c r="D110" s="63">
        <v>0</v>
      </c>
      <c r="E110" s="63">
        <v>0</v>
      </c>
      <c r="F110" s="63">
        <v>3296006</v>
      </c>
      <c r="G110" s="63">
        <v>13580464920</v>
      </c>
      <c r="H110" s="63">
        <v>9537904341</v>
      </c>
      <c r="I110" s="63">
        <v>4042560579</v>
      </c>
    </row>
    <row r="111" spans="1:9">
      <c r="A111" s="63" t="s">
        <v>273</v>
      </c>
      <c r="B111" s="63">
        <v>0</v>
      </c>
      <c r="C111" s="63">
        <v>0</v>
      </c>
      <c r="D111" s="63">
        <v>0</v>
      </c>
      <c r="E111" s="63">
        <v>0</v>
      </c>
      <c r="F111" s="63">
        <v>3813925</v>
      </c>
      <c r="G111" s="63">
        <v>17420282417</v>
      </c>
      <c r="H111" s="63">
        <v>9642986119</v>
      </c>
      <c r="I111" s="63">
        <v>7777296298</v>
      </c>
    </row>
    <row r="112" spans="1:9">
      <c r="A112" s="63" t="s">
        <v>274</v>
      </c>
      <c r="B112" s="63">
        <v>2000000</v>
      </c>
      <c r="C112" s="63">
        <v>6672055268</v>
      </c>
      <c r="D112" s="63">
        <v>5899023826</v>
      </c>
      <c r="E112" s="63">
        <v>773031442</v>
      </c>
      <c r="F112" s="63">
        <v>2600000</v>
      </c>
      <c r="G112" s="63">
        <v>8533553788</v>
      </c>
      <c r="H112" s="63">
        <v>7596297715</v>
      </c>
      <c r="I112" s="63">
        <v>937256073</v>
      </c>
    </row>
    <row r="113" spans="1:9">
      <c r="A113" s="63" t="s">
        <v>275</v>
      </c>
      <c r="B113" s="63">
        <v>0</v>
      </c>
      <c r="C113" s="63">
        <v>0</v>
      </c>
      <c r="D113" s="63">
        <v>0</v>
      </c>
      <c r="E113" s="63">
        <v>0</v>
      </c>
      <c r="F113" s="63">
        <v>400000</v>
      </c>
      <c r="G113" s="63">
        <v>1637023421</v>
      </c>
      <c r="H113" s="63">
        <v>1786016677</v>
      </c>
      <c r="I113" s="63">
        <v>-148993256</v>
      </c>
    </row>
    <row r="114" spans="1:9">
      <c r="A114" s="63" t="s">
        <v>276</v>
      </c>
      <c r="B114" s="63">
        <v>1000000</v>
      </c>
      <c r="C114" s="63">
        <v>8563345497</v>
      </c>
      <c r="D114" s="63">
        <v>6287595832</v>
      </c>
      <c r="E114" s="63">
        <v>2275749665</v>
      </c>
      <c r="F114" s="63">
        <v>20088686</v>
      </c>
      <c r="G114" s="63">
        <v>144509739517</v>
      </c>
      <c r="H114" s="63">
        <v>124075733041</v>
      </c>
      <c r="I114" s="63">
        <v>20434006476</v>
      </c>
    </row>
    <row r="115" spans="1:9">
      <c r="A115" s="63" t="s">
        <v>277</v>
      </c>
      <c r="B115" s="63">
        <v>0</v>
      </c>
      <c r="C115" s="63">
        <v>0</v>
      </c>
      <c r="D115" s="63">
        <v>0</v>
      </c>
      <c r="E115" s="63">
        <v>0</v>
      </c>
      <c r="F115" s="63">
        <v>500000</v>
      </c>
      <c r="G115" s="63">
        <v>8820784209</v>
      </c>
      <c r="H115" s="63">
        <v>8014046651</v>
      </c>
      <c r="I115" s="63">
        <v>806737558</v>
      </c>
    </row>
    <row r="116" spans="1:9">
      <c r="A116" s="63" t="s">
        <v>278</v>
      </c>
      <c r="B116" s="63">
        <v>500000</v>
      </c>
      <c r="C116" s="63">
        <v>12825089775</v>
      </c>
      <c r="D116" s="63">
        <v>9141761363</v>
      </c>
      <c r="E116" s="63">
        <v>3683328412</v>
      </c>
      <c r="F116" s="63">
        <v>900000</v>
      </c>
      <c r="G116" s="63">
        <v>24032779452</v>
      </c>
      <c r="H116" s="63">
        <v>16447788311</v>
      </c>
      <c r="I116" s="63">
        <v>7584991141</v>
      </c>
    </row>
    <row r="117" spans="1:9">
      <c r="A117" s="63" t="s">
        <v>279</v>
      </c>
      <c r="B117" s="63">
        <v>200000</v>
      </c>
      <c r="C117" s="63">
        <v>1869436692</v>
      </c>
      <c r="D117" s="63">
        <v>1131854703</v>
      </c>
      <c r="E117" s="63">
        <v>737581989</v>
      </c>
      <c r="F117" s="63">
        <v>9790999</v>
      </c>
      <c r="G117" s="63">
        <v>100301046696</v>
      </c>
      <c r="H117" s="63">
        <v>86443417357</v>
      </c>
      <c r="I117" s="63">
        <v>13857629339</v>
      </c>
    </row>
    <row r="118" spans="1:9">
      <c r="A118" s="63" t="s">
        <v>280</v>
      </c>
      <c r="B118" s="63">
        <v>0</v>
      </c>
      <c r="C118" s="63">
        <v>0</v>
      </c>
      <c r="D118" s="63">
        <v>0</v>
      </c>
      <c r="E118" s="63">
        <v>0</v>
      </c>
      <c r="F118" s="63">
        <v>3200000</v>
      </c>
      <c r="G118" s="63">
        <v>14461074647</v>
      </c>
      <c r="H118" s="63">
        <v>11978996325</v>
      </c>
      <c r="I118" s="63">
        <v>2482078322</v>
      </c>
    </row>
    <row r="119" spans="1:9">
      <c r="A119" s="63" t="s">
        <v>281</v>
      </c>
      <c r="B119" s="63">
        <v>0</v>
      </c>
      <c r="C119" s="63">
        <v>0</v>
      </c>
      <c r="D119" s="63">
        <v>0</v>
      </c>
      <c r="E119" s="63">
        <v>0</v>
      </c>
      <c r="F119" s="63">
        <v>19621</v>
      </c>
      <c r="G119" s="63">
        <v>134338381</v>
      </c>
      <c r="H119" s="63">
        <v>116501950</v>
      </c>
      <c r="I119" s="63">
        <v>17836431</v>
      </c>
    </row>
    <row r="120" spans="1:9">
      <c r="A120" s="63" t="s">
        <v>282</v>
      </c>
      <c r="B120" s="63">
        <v>2512217</v>
      </c>
      <c r="C120" s="63">
        <v>7338849409</v>
      </c>
      <c r="D120" s="63">
        <v>4654488939</v>
      </c>
      <c r="E120" s="63">
        <v>2684360470</v>
      </c>
      <c r="F120" s="63">
        <v>2512217</v>
      </c>
      <c r="G120" s="63">
        <v>7338849409</v>
      </c>
      <c r="H120" s="63">
        <v>4654488939</v>
      </c>
      <c r="I120" s="63">
        <v>2684360470</v>
      </c>
    </row>
    <row r="121" spans="1:9">
      <c r="A121" s="63" t="s">
        <v>283</v>
      </c>
      <c r="B121" s="63">
        <v>800000</v>
      </c>
      <c r="C121" s="63">
        <v>3048253456</v>
      </c>
      <c r="D121" s="63">
        <v>3359103550</v>
      </c>
      <c r="E121" s="63">
        <v>-310850094</v>
      </c>
      <c r="F121" s="63">
        <v>2571473</v>
      </c>
      <c r="G121" s="63">
        <v>11444183064</v>
      </c>
      <c r="H121" s="63">
        <v>11463102162</v>
      </c>
      <c r="I121" s="63">
        <v>-18919098</v>
      </c>
    </row>
    <row r="122" spans="1:9">
      <c r="A122" s="63" t="s">
        <v>284</v>
      </c>
      <c r="B122" s="63">
        <v>800000</v>
      </c>
      <c r="C122" s="63">
        <v>2163577855</v>
      </c>
      <c r="D122" s="63">
        <v>1750373756</v>
      </c>
      <c r="E122" s="63">
        <v>413204099</v>
      </c>
      <c r="F122" s="63">
        <v>5125551</v>
      </c>
      <c r="G122" s="63">
        <v>14454656319</v>
      </c>
      <c r="H122" s="63">
        <v>11209920146</v>
      </c>
      <c r="I122" s="63">
        <v>3244736173</v>
      </c>
    </row>
    <row r="123" spans="1:9">
      <c r="A123" s="63" t="s">
        <v>285</v>
      </c>
      <c r="B123" s="63">
        <v>0</v>
      </c>
      <c r="C123" s="63">
        <v>0</v>
      </c>
      <c r="D123" s="63">
        <v>0</v>
      </c>
      <c r="E123" s="63">
        <v>0</v>
      </c>
      <c r="F123" s="63">
        <v>66888</v>
      </c>
      <c r="G123" s="63">
        <v>17351055718</v>
      </c>
      <c r="H123" s="63">
        <v>17114520081</v>
      </c>
      <c r="I123" s="63">
        <v>236535637</v>
      </c>
    </row>
    <row r="124" spans="1:9">
      <c r="A124" s="63" t="s">
        <v>286</v>
      </c>
      <c r="B124" s="63">
        <v>0</v>
      </c>
      <c r="C124" s="63">
        <v>0</v>
      </c>
      <c r="D124" s="63">
        <v>0</v>
      </c>
      <c r="E124" s="63">
        <v>0</v>
      </c>
      <c r="F124" s="63">
        <v>177678</v>
      </c>
      <c r="G124" s="63">
        <v>5989000605</v>
      </c>
      <c r="H124" s="63">
        <v>6375488122</v>
      </c>
      <c r="I124" s="63">
        <v>-386487517</v>
      </c>
    </row>
    <row r="125" spans="1:9">
      <c r="A125" s="63" t="s">
        <v>287</v>
      </c>
      <c r="B125" s="63">
        <v>100000</v>
      </c>
      <c r="C125" s="63">
        <v>4453307771</v>
      </c>
      <c r="D125" s="63">
        <v>4500622081</v>
      </c>
      <c r="E125" s="63">
        <v>-47314310</v>
      </c>
      <c r="F125" s="63">
        <v>602017</v>
      </c>
      <c r="G125" s="63">
        <v>25409983577</v>
      </c>
      <c r="H125" s="63">
        <v>27105414026</v>
      </c>
      <c r="I125" s="63">
        <v>-1695430449</v>
      </c>
    </row>
    <row r="126" spans="1:9">
      <c r="A126" s="63" t="s">
        <v>288</v>
      </c>
      <c r="B126" s="63">
        <v>0</v>
      </c>
      <c r="C126" s="63">
        <v>0</v>
      </c>
      <c r="D126" s="63">
        <v>0</v>
      </c>
      <c r="E126" s="63">
        <v>0</v>
      </c>
      <c r="F126" s="63">
        <v>1313770</v>
      </c>
      <c r="G126" s="63">
        <v>34590634395</v>
      </c>
      <c r="H126" s="63">
        <v>45318479673</v>
      </c>
      <c r="I126" s="63">
        <v>-10727845278</v>
      </c>
    </row>
    <row r="127" spans="1:9">
      <c r="A127" s="63" t="s">
        <v>289</v>
      </c>
      <c r="B127" s="63">
        <v>0</v>
      </c>
      <c r="C127" s="63">
        <v>0</v>
      </c>
      <c r="D127" s="63">
        <v>0</v>
      </c>
      <c r="E127" s="63">
        <v>0</v>
      </c>
      <c r="F127" s="63">
        <v>3250000</v>
      </c>
      <c r="G127" s="63">
        <v>4477257642</v>
      </c>
      <c r="H127" s="63">
        <v>3912524843</v>
      </c>
      <c r="I127" s="63">
        <v>564732799</v>
      </c>
    </row>
    <row r="128" spans="1:9">
      <c r="A128" s="63" t="s">
        <v>290</v>
      </c>
      <c r="B128" s="63">
        <v>400000</v>
      </c>
      <c r="C128" s="63">
        <v>2278251948</v>
      </c>
      <c r="D128" s="63">
        <v>2141955573</v>
      </c>
      <c r="E128" s="63">
        <v>136296375</v>
      </c>
      <c r="F128" s="63">
        <v>3010435</v>
      </c>
      <c r="G128" s="63">
        <v>14812999242</v>
      </c>
      <c r="H128" s="63">
        <v>15871540740</v>
      </c>
      <c r="I128" s="63">
        <v>-1058541498</v>
      </c>
    </row>
    <row r="129" spans="1:9">
      <c r="A129" s="63" t="s">
        <v>291</v>
      </c>
      <c r="B129" s="63">
        <v>1256501</v>
      </c>
      <c r="C129" s="63">
        <v>9681655815</v>
      </c>
      <c r="D129" s="63">
        <v>8239411074</v>
      </c>
      <c r="E129" s="63">
        <v>1442244741</v>
      </c>
      <c r="F129" s="63">
        <v>1256501</v>
      </c>
      <c r="G129" s="63">
        <v>9681655815</v>
      </c>
      <c r="H129" s="63">
        <v>8239411074</v>
      </c>
      <c r="I129" s="63">
        <v>1442244741</v>
      </c>
    </row>
    <row r="130" spans="1:9">
      <c r="A130" s="63" t="s">
        <v>292</v>
      </c>
      <c r="B130" s="63">
        <v>0</v>
      </c>
      <c r="C130" s="63">
        <v>0</v>
      </c>
      <c r="D130" s="63">
        <v>0</v>
      </c>
      <c r="E130" s="63">
        <v>0</v>
      </c>
      <c r="F130" s="63">
        <v>1871432</v>
      </c>
      <c r="G130" s="63">
        <v>8310873569</v>
      </c>
      <c r="H130" s="63">
        <v>8032213706</v>
      </c>
      <c r="I130" s="63">
        <v>278659863</v>
      </c>
    </row>
    <row r="131" spans="1:9">
      <c r="A131" s="63" t="s">
        <v>293</v>
      </c>
      <c r="B131" s="63">
        <v>1600000</v>
      </c>
      <c r="C131" s="63">
        <v>17388639886</v>
      </c>
      <c r="D131" s="63">
        <v>17081064806</v>
      </c>
      <c r="E131" s="63">
        <v>307575080</v>
      </c>
      <c r="F131" s="63">
        <v>1600000</v>
      </c>
      <c r="G131" s="63">
        <v>17388639886</v>
      </c>
      <c r="H131" s="63">
        <v>17081064806</v>
      </c>
      <c r="I131" s="63">
        <v>307575080</v>
      </c>
    </row>
    <row r="132" spans="1:9">
      <c r="A132" s="63" t="s">
        <v>294</v>
      </c>
      <c r="B132" s="63">
        <v>0</v>
      </c>
      <c r="C132" s="63">
        <v>0</v>
      </c>
      <c r="D132" s="63">
        <v>0</v>
      </c>
      <c r="E132" s="63">
        <v>0</v>
      </c>
      <c r="F132" s="63">
        <v>901985</v>
      </c>
      <c r="G132" s="63">
        <v>10292460458</v>
      </c>
      <c r="H132" s="63">
        <v>8561205455</v>
      </c>
      <c r="I132" s="63">
        <v>1731255003</v>
      </c>
    </row>
    <row r="133" spans="1:9">
      <c r="A133" s="63" t="s">
        <v>295</v>
      </c>
      <c r="B133" s="63">
        <v>0</v>
      </c>
      <c r="C133" s="63">
        <v>0</v>
      </c>
      <c r="D133" s="63">
        <v>0</v>
      </c>
      <c r="E133" s="63">
        <v>0</v>
      </c>
      <c r="F133" s="63">
        <v>100000</v>
      </c>
      <c r="G133" s="63">
        <v>12188816271</v>
      </c>
      <c r="H133" s="63">
        <v>12573431642</v>
      </c>
      <c r="I133" s="63">
        <v>-384615371</v>
      </c>
    </row>
    <row r="134" spans="1:9">
      <c r="A134" s="63" t="s">
        <v>296</v>
      </c>
      <c r="B134" s="63">
        <v>0</v>
      </c>
      <c r="C134" s="63">
        <v>0</v>
      </c>
      <c r="D134" s="63">
        <v>0</v>
      </c>
      <c r="E134" s="63">
        <v>0</v>
      </c>
      <c r="F134" s="63">
        <v>200000</v>
      </c>
      <c r="G134" s="63">
        <v>1805931406</v>
      </c>
      <c r="H134" s="63">
        <v>1360508008</v>
      </c>
      <c r="I134" s="63">
        <v>445423398</v>
      </c>
    </row>
    <row r="135" spans="1:9">
      <c r="A135" s="63" t="s">
        <v>297</v>
      </c>
      <c r="B135" s="63">
        <v>1300008</v>
      </c>
      <c r="C135" s="63">
        <v>8840406940</v>
      </c>
      <c r="D135" s="63">
        <v>10557105985</v>
      </c>
      <c r="E135" s="63">
        <v>-1716699045</v>
      </c>
      <c r="F135" s="63">
        <v>15531165</v>
      </c>
      <c r="G135" s="63">
        <v>97454612102</v>
      </c>
      <c r="H135" s="63">
        <v>139142212519</v>
      </c>
      <c r="I135" s="63">
        <v>-41687600417</v>
      </c>
    </row>
    <row r="136" spans="1:9">
      <c r="A136" s="63" t="s">
        <v>298</v>
      </c>
      <c r="B136" s="63">
        <v>0</v>
      </c>
      <c r="C136" s="63">
        <v>0</v>
      </c>
      <c r="D136" s="63">
        <v>0</v>
      </c>
      <c r="E136" s="63">
        <v>0</v>
      </c>
      <c r="F136" s="63">
        <v>204953</v>
      </c>
      <c r="G136" s="63">
        <v>4006347223</v>
      </c>
      <c r="H136" s="63">
        <v>2976994813</v>
      </c>
      <c r="I136" s="63">
        <v>1029352410</v>
      </c>
    </row>
    <row r="137" spans="1:9">
      <c r="A137" s="63" t="s">
        <v>299</v>
      </c>
      <c r="B137" s="63">
        <v>0</v>
      </c>
      <c r="C137" s="63">
        <v>0</v>
      </c>
      <c r="D137" s="63">
        <v>0</v>
      </c>
      <c r="E137" s="63">
        <v>0</v>
      </c>
      <c r="F137" s="63">
        <v>10148510</v>
      </c>
      <c r="G137" s="63">
        <v>23061457106</v>
      </c>
      <c r="H137" s="63">
        <v>37934552149</v>
      </c>
      <c r="I137" s="63">
        <v>-14873095043</v>
      </c>
    </row>
    <row r="138" spans="1:9">
      <c r="A138" s="63" t="s">
        <v>300</v>
      </c>
      <c r="B138" s="63">
        <v>0</v>
      </c>
      <c r="C138" s="63">
        <v>0</v>
      </c>
      <c r="D138" s="63">
        <v>0</v>
      </c>
      <c r="E138" s="63">
        <v>0</v>
      </c>
      <c r="F138" s="63">
        <v>14800000</v>
      </c>
      <c r="G138" s="63">
        <v>8039625892</v>
      </c>
      <c r="H138" s="63">
        <v>6807486354</v>
      </c>
      <c r="I138" s="63">
        <v>1232139538</v>
      </c>
    </row>
    <row r="139" spans="1:9">
      <c r="A139" s="63" t="s">
        <v>301</v>
      </c>
      <c r="B139" s="63">
        <v>0</v>
      </c>
      <c r="C139" s="63">
        <v>0</v>
      </c>
      <c r="D139" s="63">
        <v>0</v>
      </c>
      <c r="E139" s="63">
        <v>0</v>
      </c>
      <c r="F139" s="63">
        <v>5631276</v>
      </c>
      <c r="G139" s="63">
        <v>22453358867</v>
      </c>
      <c r="H139" s="63">
        <v>20160560496</v>
      </c>
      <c r="I139" s="63">
        <v>2292798371</v>
      </c>
    </row>
    <row r="140" spans="1:9">
      <c r="A140" s="63" t="s">
        <v>302</v>
      </c>
      <c r="B140" s="63">
        <v>0</v>
      </c>
      <c r="C140" s="63">
        <v>0</v>
      </c>
      <c r="D140" s="63">
        <v>0</v>
      </c>
      <c r="E140" s="63">
        <v>0</v>
      </c>
      <c r="F140" s="63">
        <v>4659613</v>
      </c>
      <c r="G140" s="63">
        <v>9127032716</v>
      </c>
      <c r="H140" s="63">
        <v>7389342435</v>
      </c>
      <c r="I140" s="63">
        <v>1737690281</v>
      </c>
    </row>
    <row r="141" spans="1:9">
      <c r="A141" s="63" t="s">
        <v>303</v>
      </c>
      <c r="B141" s="63">
        <v>0</v>
      </c>
      <c r="C141" s="63">
        <v>0</v>
      </c>
      <c r="D141" s="63">
        <v>0</v>
      </c>
      <c r="E141" s="63">
        <v>0</v>
      </c>
      <c r="F141" s="63">
        <v>4021192</v>
      </c>
      <c r="G141" s="63">
        <v>22550550705</v>
      </c>
      <c r="H141" s="63">
        <v>27924885047</v>
      </c>
      <c r="I141" s="63">
        <v>-5374334342</v>
      </c>
    </row>
    <row r="142" spans="1:9">
      <c r="A142" s="63" t="s">
        <v>304</v>
      </c>
      <c r="B142" s="63">
        <v>0</v>
      </c>
      <c r="C142" s="63">
        <v>0</v>
      </c>
      <c r="D142" s="63">
        <v>0</v>
      </c>
      <c r="E142" s="63">
        <v>0</v>
      </c>
      <c r="F142" s="63">
        <v>6847087</v>
      </c>
      <c r="G142" s="63">
        <v>29901025067</v>
      </c>
      <c r="H142" s="63">
        <v>29115540893</v>
      </c>
      <c r="I142" s="63">
        <v>785484174</v>
      </c>
    </row>
    <row r="143" spans="1:9">
      <c r="A143" s="63" t="s">
        <v>305</v>
      </c>
      <c r="B143" s="63">
        <v>0</v>
      </c>
      <c r="C143" s="63">
        <v>0</v>
      </c>
      <c r="D143" s="63">
        <v>0</v>
      </c>
      <c r="E143" s="63">
        <v>0</v>
      </c>
      <c r="F143" s="63">
        <v>10258397</v>
      </c>
      <c r="G143" s="63">
        <v>17418477479</v>
      </c>
      <c r="H143" s="63">
        <v>20331248787</v>
      </c>
      <c r="I143" s="63">
        <v>-2912771308</v>
      </c>
    </row>
    <row r="144" spans="1:9">
      <c r="A144" s="63" t="s">
        <v>306</v>
      </c>
      <c r="B144" s="63">
        <v>120369</v>
      </c>
      <c r="C144" s="63">
        <v>3596213084</v>
      </c>
      <c r="D144" s="63">
        <v>3496805244</v>
      </c>
      <c r="E144" s="63">
        <v>99407840</v>
      </c>
      <c r="F144" s="63">
        <v>1000000</v>
      </c>
      <c r="G144" s="63">
        <v>32000731270</v>
      </c>
      <c r="H144" s="63">
        <v>28480592016</v>
      </c>
      <c r="I144" s="63">
        <v>3520139254</v>
      </c>
    </row>
    <row r="145" spans="1:9">
      <c r="A145" s="63" t="s">
        <v>307</v>
      </c>
      <c r="B145" s="63">
        <v>2200268</v>
      </c>
      <c r="C145" s="63">
        <v>9008506390</v>
      </c>
      <c r="D145" s="63">
        <v>9923709278</v>
      </c>
      <c r="E145" s="63">
        <v>-915202888</v>
      </c>
      <c r="F145" s="63">
        <v>3400268</v>
      </c>
      <c r="G145" s="63">
        <v>14484646087</v>
      </c>
      <c r="H145" s="63">
        <v>15243530729</v>
      </c>
      <c r="I145" s="63">
        <v>-758884642</v>
      </c>
    </row>
    <row r="146" spans="1:9">
      <c r="A146" s="63" t="s">
        <v>308</v>
      </c>
      <c r="B146" s="63">
        <v>0</v>
      </c>
      <c r="C146" s="63">
        <v>0</v>
      </c>
      <c r="D146" s="63">
        <v>0</v>
      </c>
      <c r="E146" s="63">
        <v>0</v>
      </c>
      <c r="F146" s="63">
        <v>19134677</v>
      </c>
      <c r="G146" s="63">
        <v>44742024865</v>
      </c>
      <c r="H146" s="63">
        <v>63096887511</v>
      </c>
      <c r="I146" s="63">
        <v>-18354862646</v>
      </c>
    </row>
    <row r="147" spans="1:9">
      <c r="A147" s="63" t="s">
        <v>309</v>
      </c>
      <c r="B147" s="63">
        <v>2400000</v>
      </c>
      <c r="C147" s="63">
        <v>6851214489</v>
      </c>
      <c r="D147" s="63">
        <v>5140012145</v>
      </c>
      <c r="E147" s="63">
        <v>1711202344</v>
      </c>
      <c r="F147" s="63">
        <v>2400000</v>
      </c>
      <c r="G147" s="63">
        <v>6851214489</v>
      </c>
      <c r="H147" s="63">
        <v>5140012145</v>
      </c>
      <c r="I147" s="63">
        <v>1711202344</v>
      </c>
    </row>
    <row r="148" spans="1:9">
      <c r="A148" s="63" t="s">
        <v>310</v>
      </c>
      <c r="B148" s="63">
        <v>0</v>
      </c>
      <c r="C148" s="63">
        <v>0</v>
      </c>
      <c r="D148" s="63">
        <v>0</v>
      </c>
      <c r="E148" s="63">
        <v>0</v>
      </c>
      <c r="F148" s="63">
        <v>600000</v>
      </c>
      <c r="G148" s="63">
        <v>6358466227</v>
      </c>
      <c r="H148" s="63">
        <v>5445636962</v>
      </c>
      <c r="I148" s="63">
        <v>912829265</v>
      </c>
    </row>
    <row r="149" spans="1:9">
      <c r="A149" s="63" t="s">
        <v>311</v>
      </c>
      <c r="B149" s="63">
        <v>3200000</v>
      </c>
      <c r="C149" s="63">
        <v>10892949626</v>
      </c>
      <c r="D149" s="63">
        <v>11977196058</v>
      </c>
      <c r="E149" s="63">
        <v>-1084246432</v>
      </c>
      <c r="F149" s="63">
        <v>5200000</v>
      </c>
      <c r="G149" s="63">
        <v>17185200405</v>
      </c>
      <c r="H149" s="63">
        <v>17968814178</v>
      </c>
      <c r="I149" s="63">
        <v>-783613773</v>
      </c>
    </row>
    <row r="150" spans="1:9">
      <c r="A150" s="63" t="s">
        <v>312</v>
      </c>
      <c r="B150" s="63">
        <v>0</v>
      </c>
      <c r="C150" s="63">
        <v>0</v>
      </c>
      <c r="D150" s="63">
        <v>0</v>
      </c>
      <c r="E150" s="63">
        <v>0</v>
      </c>
      <c r="F150" s="63">
        <v>200000</v>
      </c>
      <c r="G150" s="63">
        <v>8314800312</v>
      </c>
      <c r="H150" s="63">
        <v>6531753654</v>
      </c>
      <c r="I150" s="63">
        <v>1783046658</v>
      </c>
    </row>
    <row r="151" spans="1:9">
      <c r="A151" s="63" t="s">
        <v>313</v>
      </c>
      <c r="B151" s="63">
        <v>200000</v>
      </c>
      <c r="C151" s="63">
        <v>2010339026</v>
      </c>
      <c r="D151" s="63">
        <v>1760181746</v>
      </c>
      <c r="E151" s="63">
        <v>250157280</v>
      </c>
      <c r="F151" s="63">
        <v>2008073</v>
      </c>
      <c r="G151" s="63">
        <v>26921445697</v>
      </c>
      <c r="H151" s="63">
        <v>24611854643</v>
      </c>
      <c r="I151" s="63">
        <v>2309591054</v>
      </c>
    </row>
    <row r="152" spans="1:9">
      <c r="A152" s="63" t="s">
        <v>314</v>
      </c>
      <c r="B152" s="63">
        <v>0</v>
      </c>
      <c r="C152" s="63">
        <v>0</v>
      </c>
      <c r="D152" s="63">
        <v>0</v>
      </c>
      <c r="E152" s="63">
        <v>0</v>
      </c>
      <c r="F152" s="63">
        <v>5200000</v>
      </c>
      <c r="G152" s="63">
        <v>25764534866</v>
      </c>
      <c r="H152" s="63">
        <v>28005669779</v>
      </c>
      <c r="I152" s="63">
        <v>-2241134913</v>
      </c>
    </row>
    <row r="153" spans="1:9">
      <c r="A153" s="63" t="s">
        <v>315</v>
      </c>
      <c r="B153" s="63">
        <v>11200000</v>
      </c>
      <c r="C153" s="63">
        <v>18556243017</v>
      </c>
      <c r="D153" s="63">
        <v>18088524793</v>
      </c>
      <c r="E153" s="63">
        <v>467718224</v>
      </c>
      <c r="F153" s="63">
        <v>29140929</v>
      </c>
      <c r="G153" s="63">
        <v>47568910745</v>
      </c>
      <c r="H153" s="63">
        <v>44837360540</v>
      </c>
      <c r="I153" s="63">
        <v>2731550205</v>
      </c>
    </row>
    <row r="154" spans="1:9">
      <c r="A154" s="63" t="s">
        <v>316</v>
      </c>
      <c r="B154" s="63">
        <v>2400000</v>
      </c>
      <c r="C154" s="63">
        <v>2526619921</v>
      </c>
      <c r="D154" s="63">
        <v>3050688824</v>
      </c>
      <c r="E154" s="63">
        <v>-524068903</v>
      </c>
      <c r="F154" s="63">
        <v>27985437</v>
      </c>
      <c r="G154" s="63">
        <v>30011019628</v>
      </c>
      <c r="H154" s="63">
        <v>36291823022</v>
      </c>
      <c r="I154" s="63">
        <v>-6280803394</v>
      </c>
    </row>
    <row r="155" spans="1:9">
      <c r="A155" s="63" t="s">
        <v>317</v>
      </c>
      <c r="B155" s="63">
        <v>0</v>
      </c>
      <c r="C155" s="63">
        <v>0</v>
      </c>
      <c r="D155" s="63">
        <v>0</v>
      </c>
      <c r="E155" s="63">
        <v>0</v>
      </c>
      <c r="F155" s="63">
        <v>1400000</v>
      </c>
      <c r="G155" s="63">
        <v>11758568235</v>
      </c>
      <c r="H155" s="63">
        <v>11488896372</v>
      </c>
      <c r="I155" s="63">
        <v>269671863</v>
      </c>
    </row>
    <row r="156" spans="1:9">
      <c r="A156" s="63" t="s">
        <v>318</v>
      </c>
      <c r="B156" s="63">
        <v>0</v>
      </c>
      <c r="C156" s="63">
        <v>0</v>
      </c>
      <c r="D156" s="63">
        <v>0</v>
      </c>
      <c r="E156" s="63">
        <v>0</v>
      </c>
      <c r="F156" s="63">
        <v>400000</v>
      </c>
      <c r="G156" s="63">
        <v>1218904474</v>
      </c>
      <c r="H156" s="63">
        <v>1120627118</v>
      </c>
      <c r="I156" s="63">
        <v>98277356</v>
      </c>
    </row>
    <row r="157" spans="1:9">
      <c r="A157" s="63" t="s">
        <v>319</v>
      </c>
      <c r="B157" s="63">
        <v>544012</v>
      </c>
      <c r="C157" s="63">
        <v>6157588851</v>
      </c>
      <c r="D157" s="63">
        <v>5095692367</v>
      </c>
      <c r="E157" s="63">
        <v>1061896484</v>
      </c>
      <c r="F157" s="63">
        <v>656262</v>
      </c>
      <c r="G157" s="63">
        <v>7401096403</v>
      </c>
      <c r="H157" s="63">
        <v>6147334689</v>
      </c>
      <c r="I157" s="63">
        <v>1253761714</v>
      </c>
    </row>
    <row r="158" spans="1:9">
      <c r="A158" s="63" t="s">
        <v>320</v>
      </c>
      <c r="B158" s="63">
        <v>0</v>
      </c>
      <c r="C158" s="63">
        <v>0</v>
      </c>
      <c r="D158" s="63">
        <v>0</v>
      </c>
      <c r="E158" s="63">
        <v>0</v>
      </c>
      <c r="F158" s="63">
        <v>1875000</v>
      </c>
      <c r="G158" s="63">
        <v>6181102605</v>
      </c>
      <c r="H158" s="63">
        <v>5874615480</v>
      </c>
      <c r="I158" s="63">
        <v>306487125</v>
      </c>
    </row>
    <row r="159" spans="1:9">
      <c r="A159" s="63" t="s">
        <v>321</v>
      </c>
      <c r="B159" s="63">
        <v>0</v>
      </c>
      <c r="C159" s="63">
        <v>0</v>
      </c>
      <c r="D159" s="63">
        <v>0</v>
      </c>
      <c r="E159" s="63">
        <v>0</v>
      </c>
      <c r="F159" s="63">
        <v>1547356</v>
      </c>
      <c r="G159" s="63">
        <v>14217825552</v>
      </c>
      <c r="H159" s="63">
        <v>23203362482</v>
      </c>
      <c r="I159" s="63">
        <v>-8985536930</v>
      </c>
    </row>
    <row r="160" spans="1:9">
      <c r="A160" s="63" t="s">
        <v>322</v>
      </c>
      <c r="B160" s="63">
        <v>600000</v>
      </c>
      <c r="C160" s="63">
        <v>10816735359</v>
      </c>
      <c r="D160" s="63">
        <v>7258727724</v>
      </c>
      <c r="E160" s="63">
        <v>3558007635</v>
      </c>
      <c r="F160" s="63">
        <v>4816904</v>
      </c>
      <c r="G160" s="63">
        <v>57362339349</v>
      </c>
      <c r="H160" s="63">
        <v>55170823741</v>
      </c>
      <c r="I160" s="63">
        <v>2191515608</v>
      </c>
    </row>
    <row r="161" spans="1:9">
      <c r="A161" s="63" t="s">
        <v>323</v>
      </c>
      <c r="B161" s="63">
        <v>5200000</v>
      </c>
      <c r="C161" s="63">
        <v>6713698906</v>
      </c>
      <c r="D161" s="63">
        <v>7036450138</v>
      </c>
      <c r="E161" s="63">
        <v>-322751232</v>
      </c>
      <c r="F161" s="63">
        <v>39341220</v>
      </c>
      <c r="G161" s="63">
        <v>53939317415</v>
      </c>
      <c r="H161" s="63">
        <v>48092287281</v>
      </c>
      <c r="I161" s="63">
        <v>5847030134</v>
      </c>
    </row>
    <row r="162" spans="1:9">
      <c r="A162" s="63" t="s">
        <v>324</v>
      </c>
      <c r="B162" s="63">
        <v>0</v>
      </c>
      <c r="C162" s="63">
        <v>0</v>
      </c>
      <c r="D162" s="63">
        <v>0</v>
      </c>
      <c r="E162" s="63">
        <v>0</v>
      </c>
      <c r="F162" s="63">
        <v>2400000</v>
      </c>
      <c r="G162" s="63">
        <v>13582522587</v>
      </c>
      <c r="H162" s="63">
        <v>8106919558</v>
      </c>
      <c r="I162" s="63">
        <v>5475603029</v>
      </c>
    </row>
    <row r="163" spans="1:9">
      <c r="A163" s="63" t="s">
        <v>325</v>
      </c>
      <c r="B163" s="63">
        <v>0</v>
      </c>
      <c r="C163" s="63">
        <v>0</v>
      </c>
      <c r="D163" s="63">
        <v>0</v>
      </c>
      <c r="E163" s="63">
        <v>0</v>
      </c>
      <c r="F163" s="63">
        <v>1097410</v>
      </c>
      <c r="G163" s="63">
        <v>11788732522</v>
      </c>
      <c r="H163" s="63">
        <v>9417853969</v>
      </c>
      <c r="I163" s="63">
        <v>2370878553</v>
      </c>
    </row>
    <row r="164" spans="1:9">
      <c r="A164" s="63" t="s">
        <v>326</v>
      </c>
      <c r="B164" s="63">
        <v>3600000</v>
      </c>
      <c r="C164" s="63">
        <v>9121704911</v>
      </c>
      <c r="D164" s="63">
        <v>9621976308</v>
      </c>
      <c r="E164" s="63">
        <v>-500271397</v>
      </c>
      <c r="F164" s="63">
        <v>9600000</v>
      </c>
      <c r="G164" s="63">
        <v>24136768128</v>
      </c>
      <c r="H164" s="63">
        <v>25035622193</v>
      </c>
      <c r="I164" s="63">
        <v>-898854065</v>
      </c>
    </row>
    <row r="165" spans="1:9">
      <c r="A165" s="63" t="s">
        <v>327</v>
      </c>
      <c r="B165" s="63">
        <v>100000</v>
      </c>
      <c r="C165" s="63">
        <v>1010130866</v>
      </c>
      <c r="D165" s="63">
        <v>621673758</v>
      </c>
      <c r="E165" s="63">
        <v>388457108</v>
      </c>
      <c r="F165" s="63">
        <v>250126</v>
      </c>
      <c r="G165" s="63">
        <v>5949099256</v>
      </c>
      <c r="H165" s="63">
        <v>4651241856</v>
      </c>
      <c r="I165" s="63">
        <v>1297857400</v>
      </c>
    </row>
    <row r="166" spans="1:9">
      <c r="A166" s="63" t="s">
        <v>328</v>
      </c>
      <c r="B166" s="63">
        <v>400000</v>
      </c>
      <c r="C166" s="63">
        <v>1532064885</v>
      </c>
      <c r="D166" s="63">
        <v>751317485</v>
      </c>
      <c r="E166" s="63">
        <v>780747400</v>
      </c>
      <c r="F166" s="63">
        <v>3844129</v>
      </c>
      <c r="G166" s="63">
        <v>11980664108</v>
      </c>
      <c r="H166" s="63">
        <v>7246860608</v>
      </c>
      <c r="I166" s="63">
        <v>4733803500</v>
      </c>
    </row>
    <row r="167" spans="1:9">
      <c r="A167" s="63" t="s">
        <v>329</v>
      </c>
      <c r="B167" s="63">
        <v>0</v>
      </c>
      <c r="C167" s="63">
        <v>0</v>
      </c>
      <c r="D167" s="63">
        <v>0</v>
      </c>
      <c r="E167" s="63">
        <v>0</v>
      </c>
      <c r="F167" s="63">
        <v>1473767</v>
      </c>
      <c r="G167" s="63">
        <v>4458085477</v>
      </c>
      <c r="H167" s="63">
        <v>4804881175</v>
      </c>
      <c r="I167" s="63">
        <v>-346795698</v>
      </c>
    </row>
    <row r="168" spans="1:9">
      <c r="A168" s="63" t="s">
        <v>330</v>
      </c>
      <c r="B168" s="63">
        <v>751201</v>
      </c>
      <c r="C168" s="63">
        <v>4735540654</v>
      </c>
      <c r="D168" s="63">
        <v>4042395819</v>
      </c>
      <c r="E168" s="63">
        <v>693144835</v>
      </c>
      <c r="F168" s="63">
        <v>2170038</v>
      </c>
      <c r="G168" s="63">
        <v>13222542090</v>
      </c>
      <c r="H168" s="63">
        <v>10334674906</v>
      </c>
      <c r="I168" s="63">
        <v>2887867184</v>
      </c>
    </row>
    <row r="169" spans="1:9">
      <c r="A169" s="63" t="s">
        <v>331</v>
      </c>
      <c r="B169" s="63">
        <v>400000</v>
      </c>
      <c r="C169" s="63">
        <v>763650998</v>
      </c>
      <c r="D169" s="63">
        <v>707846096</v>
      </c>
      <c r="E169" s="63">
        <v>55804902</v>
      </c>
      <c r="F169" s="63">
        <v>12613645</v>
      </c>
      <c r="G169" s="63">
        <v>21755085138</v>
      </c>
      <c r="H169" s="63">
        <v>21943486597</v>
      </c>
      <c r="I169" s="63">
        <v>-188401459</v>
      </c>
    </row>
    <row r="170" spans="1:9">
      <c r="A170" s="63" t="s">
        <v>332</v>
      </c>
      <c r="B170" s="63">
        <v>3200000</v>
      </c>
      <c r="C170" s="63">
        <v>12548643410</v>
      </c>
      <c r="D170" s="63">
        <v>11186245375</v>
      </c>
      <c r="E170" s="63">
        <v>1362398035</v>
      </c>
      <c r="F170" s="63">
        <v>5620673</v>
      </c>
      <c r="G170" s="63">
        <v>22373918449</v>
      </c>
      <c r="H170" s="63">
        <v>19284819566</v>
      </c>
      <c r="I170" s="63">
        <v>3089098883</v>
      </c>
    </row>
    <row r="171" spans="1:9">
      <c r="A171" s="63" t="s">
        <v>333</v>
      </c>
      <c r="B171" s="63">
        <v>0</v>
      </c>
      <c r="C171" s="63">
        <v>0</v>
      </c>
      <c r="D171" s="63">
        <v>0</v>
      </c>
      <c r="E171" s="63">
        <v>0</v>
      </c>
      <c r="F171" s="63">
        <v>4253402</v>
      </c>
      <c r="G171" s="63">
        <v>16067077867</v>
      </c>
      <c r="H171" s="63">
        <v>14489972071</v>
      </c>
      <c r="I171" s="63">
        <v>1577105796</v>
      </c>
    </row>
    <row r="172" spans="1:9">
      <c r="A172" s="63" t="s">
        <v>334</v>
      </c>
      <c r="B172" s="63">
        <v>1302714</v>
      </c>
      <c r="C172" s="63">
        <v>6521424037</v>
      </c>
      <c r="D172" s="63">
        <v>4658779220</v>
      </c>
      <c r="E172" s="63">
        <v>1862644817</v>
      </c>
      <c r="F172" s="63">
        <v>2212667</v>
      </c>
      <c r="G172" s="63">
        <v>10378460704</v>
      </c>
      <c r="H172" s="63">
        <v>7729758996</v>
      </c>
      <c r="I172" s="63">
        <v>2648701708</v>
      </c>
    </row>
    <row r="173" spans="1:9">
      <c r="A173" s="63" t="s">
        <v>335</v>
      </c>
      <c r="B173" s="63">
        <v>600000</v>
      </c>
      <c r="C173" s="63">
        <v>4973257277</v>
      </c>
      <c r="D173" s="63">
        <v>1811322611</v>
      </c>
      <c r="E173" s="63">
        <v>3161934666</v>
      </c>
      <c r="F173" s="63">
        <v>3609494</v>
      </c>
      <c r="G173" s="63">
        <v>33383448064</v>
      </c>
      <c r="H173" s="63">
        <v>28745053145</v>
      </c>
      <c r="I173" s="63">
        <v>4638394919</v>
      </c>
    </row>
    <row r="174" spans="1:9">
      <c r="A174" s="63" t="s">
        <v>336</v>
      </c>
      <c r="B174" s="63">
        <v>0</v>
      </c>
      <c r="C174" s="63">
        <v>0</v>
      </c>
      <c r="D174" s="63">
        <v>0</v>
      </c>
      <c r="E174" s="63">
        <v>0</v>
      </c>
      <c r="F174" s="63">
        <v>750</v>
      </c>
      <c r="G174" s="63">
        <v>34443835</v>
      </c>
      <c r="H174" s="63">
        <v>35616912</v>
      </c>
      <c r="I174" s="63">
        <v>-1173077</v>
      </c>
    </row>
    <row r="175" spans="1:9">
      <c r="A175" s="63" t="s">
        <v>337</v>
      </c>
      <c r="B175" s="63">
        <v>4400000</v>
      </c>
      <c r="C175" s="63">
        <v>6779599325</v>
      </c>
      <c r="D175" s="63">
        <v>6839088498</v>
      </c>
      <c r="E175" s="63">
        <v>-59489173</v>
      </c>
      <c r="F175" s="63">
        <v>4775521</v>
      </c>
      <c r="G175" s="63">
        <v>7387339654</v>
      </c>
      <c r="H175" s="63">
        <v>7422548232</v>
      </c>
      <c r="I175" s="63">
        <v>-35208578</v>
      </c>
    </row>
    <row r="176" spans="1:9">
      <c r="A176" s="63" t="s">
        <v>338</v>
      </c>
      <c r="B176" s="63">
        <v>2420594</v>
      </c>
      <c r="C176" s="63">
        <v>6052655180</v>
      </c>
      <c r="D176" s="63">
        <v>7368646821</v>
      </c>
      <c r="E176" s="63">
        <v>-1315991641</v>
      </c>
      <c r="F176" s="63">
        <v>19290180</v>
      </c>
      <c r="G176" s="63">
        <v>59829482450</v>
      </c>
      <c r="H176" s="63">
        <v>80770699412</v>
      </c>
      <c r="I176" s="63">
        <v>-20941216962</v>
      </c>
    </row>
    <row r="177" spans="1:9">
      <c r="A177" s="63" t="s">
        <v>339</v>
      </c>
      <c r="B177" s="63">
        <v>400000</v>
      </c>
      <c r="C177" s="63">
        <v>846207864</v>
      </c>
      <c r="D177" s="63">
        <v>760309881</v>
      </c>
      <c r="E177" s="63">
        <v>85897983</v>
      </c>
      <c r="F177" s="63">
        <v>19200000</v>
      </c>
      <c r="G177" s="63">
        <v>28937919617</v>
      </c>
      <c r="H177" s="63">
        <v>30007296547</v>
      </c>
      <c r="I177" s="63">
        <v>-1069376930</v>
      </c>
    </row>
    <row r="178" spans="1:9">
      <c r="A178" s="63" t="s">
        <v>340</v>
      </c>
      <c r="B178" s="63">
        <v>0</v>
      </c>
      <c r="C178" s="63">
        <v>0</v>
      </c>
      <c r="D178" s="63">
        <v>0</v>
      </c>
      <c r="E178" s="63">
        <v>0</v>
      </c>
      <c r="F178" s="63">
        <v>500000</v>
      </c>
      <c r="G178" s="63">
        <v>6011371915</v>
      </c>
      <c r="H178" s="63">
        <v>8791182875</v>
      </c>
      <c r="I178" s="63">
        <v>-2779810960</v>
      </c>
    </row>
    <row r="179" spans="1:9">
      <c r="A179" s="63" t="s">
        <v>341</v>
      </c>
      <c r="B179" s="63">
        <v>300000</v>
      </c>
      <c r="C179" s="63">
        <v>4457276895</v>
      </c>
      <c r="D179" s="63">
        <v>2836549265</v>
      </c>
      <c r="E179" s="63">
        <v>1620727630</v>
      </c>
      <c r="F179" s="63">
        <v>2556635</v>
      </c>
      <c r="G179" s="63">
        <v>30091637060</v>
      </c>
      <c r="H179" s="63">
        <v>24018075307</v>
      </c>
      <c r="I179" s="63">
        <v>6073561753</v>
      </c>
    </row>
    <row r="180" spans="1:9">
      <c r="A180" s="63" t="s">
        <v>342</v>
      </c>
      <c r="B180" s="63">
        <v>0</v>
      </c>
      <c r="C180" s="63">
        <v>0</v>
      </c>
      <c r="D180" s="63">
        <v>0</v>
      </c>
      <c r="E180" s="63">
        <v>0</v>
      </c>
      <c r="F180" s="63">
        <v>313138</v>
      </c>
      <c r="G180" s="63">
        <v>13117119461</v>
      </c>
      <c r="H180" s="63">
        <v>10224651314</v>
      </c>
      <c r="I180" s="63">
        <v>2892468147</v>
      </c>
    </row>
    <row r="181" spans="1:9">
      <c r="A181" s="63" t="s">
        <v>343</v>
      </c>
      <c r="B181" s="63">
        <v>0</v>
      </c>
      <c r="C181" s="63">
        <v>0</v>
      </c>
      <c r="D181" s="63">
        <v>0</v>
      </c>
      <c r="E181" s="63">
        <v>0</v>
      </c>
      <c r="F181" s="63">
        <v>200000</v>
      </c>
      <c r="G181" s="63">
        <v>8771871187</v>
      </c>
      <c r="H181" s="63">
        <v>6876352280</v>
      </c>
      <c r="I181" s="63">
        <v>1895518907</v>
      </c>
    </row>
    <row r="182" spans="1:9">
      <c r="A182" s="63" t="s">
        <v>344</v>
      </c>
      <c r="B182" s="63">
        <v>0</v>
      </c>
      <c r="C182" s="63">
        <v>0</v>
      </c>
      <c r="D182" s="63">
        <v>0</v>
      </c>
      <c r="E182" s="63">
        <v>0</v>
      </c>
      <c r="F182" s="63">
        <v>3670216</v>
      </c>
      <c r="G182" s="63">
        <v>28005729951</v>
      </c>
      <c r="H182" s="63">
        <v>19864293654</v>
      </c>
      <c r="I182" s="63">
        <v>8141436297</v>
      </c>
    </row>
    <row r="183" spans="1:9">
      <c r="A183" s="63" t="s">
        <v>345</v>
      </c>
      <c r="B183" s="63">
        <v>2313326</v>
      </c>
      <c r="C183" s="63">
        <v>9153811090</v>
      </c>
      <c r="D183" s="63">
        <v>9149449392</v>
      </c>
      <c r="E183" s="63">
        <v>4361698</v>
      </c>
      <c r="F183" s="63">
        <v>3913326</v>
      </c>
      <c r="G183" s="63">
        <v>16009034799</v>
      </c>
      <c r="H183" s="63">
        <v>15473536416</v>
      </c>
      <c r="I183" s="63">
        <v>535498383</v>
      </c>
    </row>
    <row r="184" spans="1:9">
      <c r="A184" s="63" t="s">
        <v>346</v>
      </c>
      <c r="B184" s="63">
        <v>0</v>
      </c>
      <c r="C184" s="63">
        <v>0</v>
      </c>
      <c r="D184" s="63">
        <v>0</v>
      </c>
      <c r="E184" s="63">
        <v>0</v>
      </c>
      <c r="F184" s="63">
        <v>400000</v>
      </c>
      <c r="G184" s="63">
        <v>2171154321</v>
      </c>
      <c r="H184" s="63">
        <v>1961995973</v>
      </c>
      <c r="I184" s="63">
        <v>209158348</v>
      </c>
    </row>
    <row r="185" spans="1:9">
      <c r="A185" s="63" t="s">
        <v>347</v>
      </c>
      <c r="B185" s="63">
        <v>0</v>
      </c>
      <c r="C185" s="63">
        <v>0</v>
      </c>
      <c r="D185" s="63">
        <v>0</v>
      </c>
      <c r="E185" s="63">
        <v>0</v>
      </c>
      <c r="F185" s="63">
        <v>321245</v>
      </c>
      <c r="G185" s="63">
        <v>11230388337</v>
      </c>
      <c r="H185" s="63">
        <v>11705306197</v>
      </c>
      <c r="I185" s="63">
        <v>-474917860</v>
      </c>
    </row>
    <row r="186" spans="1:9">
      <c r="A186" s="63" t="s">
        <v>348</v>
      </c>
      <c r="B186" s="63">
        <v>0</v>
      </c>
      <c r="C186" s="63">
        <v>0</v>
      </c>
      <c r="D186" s="63">
        <v>0</v>
      </c>
      <c r="E186" s="63">
        <v>0</v>
      </c>
      <c r="F186" s="63">
        <v>17238636</v>
      </c>
      <c r="G186" s="63">
        <v>40568951218</v>
      </c>
      <c r="H186" s="63">
        <v>39256683796</v>
      </c>
      <c r="I186" s="63">
        <v>1312267422</v>
      </c>
    </row>
    <row r="187" spans="1:9">
      <c r="A187" s="63" t="s">
        <v>349</v>
      </c>
      <c r="B187" s="63">
        <v>400000</v>
      </c>
      <c r="C187" s="63">
        <v>1427495614</v>
      </c>
      <c r="D187" s="63">
        <v>1391182853</v>
      </c>
      <c r="E187" s="63">
        <v>36312761</v>
      </c>
      <c r="F187" s="63">
        <v>3103715</v>
      </c>
      <c r="G187" s="63">
        <v>11631778527</v>
      </c>
      <c r="H187" s="63">
        <v>10790260768</v>
      </c>
      <c r="I187" s="63">
        <v>841517759</v>
      </c>
    </row>
    <row r="188" spans="1:9">
      <c r="A188" s="63" t="s">
        <v>350</v>
      </c>
      <c r="B188" s="63">
        <v>300000</v>
      </c>
      <c r="C188" s="63">
        <v>6351520296</v>
      </c>
      <c r="D188" s="63">
        <v>3873378862</v>
      </c>
      <c r="E188" s="63">
        <v>2478141434</v>
      </c>
      <c r="F188" s="63">
        <v>743914</v>
      </c>
      <c r="G188" s="63">
        <v>19470976840</v>
      </c>
      <c r="H188" s="63">
        <v>11255703562</v>
      </c>
      <c r="I188" s="63">
        <v>8215273278</v>
      </c>
    </row>
    <row r="189" spans="1:9">
      <c r="A189" s="63" t="s">
        <v>351</v>
      </c>
      <c r="B189" s="63">
        <v>6807824</v>
      </c>
      <c r="C189" s="63">
        <v>10952929756</v>
      </c>
      <c r="D189" s="63">
        <v>12240838314</v>
      </c>
      <c r="E189" s="63">
        <v>-1287908558</v>
      </c>
      <c r="F189" s="63">
        <v>9868326</v>
      </c>
      <c r="G189" s="63">
        <v>15929303937</v>
      </c>
      <c r="H189" s="63">
        <v>17743379289</v>
      </c>
      <c r="I189" s="63">
        <v>-1814075352</v>
      </c>
    </row>
    <row r="190" spans="1:9">
      <c r="A190" s="63" t="s">
        <v>352</v>
      </c>
      <c r="B190" s="63">
        <v>500000</v>
      </c>
      <c r="C190" s="63">
        <v>8137609831</v>
      </c>
      <c r="D190" s="63">
        <v>9244639686</v>
      </c>
      <c r="E190" s="63">
        <v>-1107029855</v>
      </c>
      <c r="F190" s="63">
        <v>700000</v>
      </c>
      <c r="G190" s="63">
        <v>11470615969</v>
      </c>
      <c r="H190" s="63">
        <v>12537173280</v>
      </c>
      <c r="I190" s="63">
        <v>-1066557311</v>
      </c>
    </row>
    <row r="191" spans="1:9">
      <c r="A191" s="63" t="s">
        <v>353</v>
      </c>
      <c r="B191" s="63">
        <v>0</v>
      </c>
      <c r="C191" s="63">
        <v>0</v>
      </c>
      <c r="D191" s="63">
        <v>0</v>
      </c>
      <c r="E191" s="63">
        <v>0</v>
      </c>
      <c r="F191" s="63">
        <v>100000</v>
      </c>
      <c r="G191" s="63">
        <v>3252661073</v>
      </c>
      <c r="H191" s="63">
        <v>3214579960</v>
      </c>
      <c r="I191" s="63">
        <v>38081113</v>
      </c>
    </row>
    <row r="192" spans="1:9">
      <c r="A192" s="63" t="s">
        <v>354</v>
      </c>
      <c r="B192" s="63">
        <v>200000</v>
      </c>
      <c r="C192" s="63">
        <v>3805355498</v>
      </c>
      <c r="D192" s="63">
        <v>3831252545</v>
      </c>
      <c r="E192" s="63">
        <v>-25897047</v>
      </c>
      <c r="F192" s="63">
        <v>230180</v>
      </c>
      <c r="G192" s="63">
        <v>4393589308</v>
      </c>
      <c r="H192" s="63">
        <v>4394477993</v>
      </c>
      <c r="I192" s="63">
        <v>-888685</v>
      </c>
    </row>
    <row r="193" spans="1:9">
      <c r="A193" s="63" t="s">
        <v>355</v>
      </c>
      <c r="B193" s="63">
        <v>0</v>
      </c>
      <c r="C193" s="63">
        <v>0</v>
      </c>
      <c r="D193" s="63">
        <v>0</v>
      </c>
      <c r="E193" s="63">
        <v>0</v>
      </c>
      <c r="F193" s="63">
        <v>56789</v>
      </c>
      <c r="G193" s="63">
        <v>619763896</v>
      </c>
      <c r="H193" s="63">
        <v>555196950</v>
      </c>
      <c r="I193" s="63">
        <v>64566946</v>
      </c>
    </row>
    <row r="194" spans="1:9" ht="18.75" thickBot="1">
      <c r="A194" s="63" t="s">
        <v>2</v>
      </c>
      <c r="B194" s="74">
        <f t="shared" ref="B194:I194" si="0">SUM(B7:B193)</f>
        <v>147445465</v>
      </c>
      <c r="C194" s="74">
        <f t="shared" si="0"/>
        <v>565256139814</v>
      </c>
      <c r="D194" s="74">
        <f t="shared" si="0"/>
        <v>533458921815</v>
      </c>
      <c r="E194" s="74">
        <f t="shared" si="0"/>
        <v>31797217999</v>
      </c>
      <c r="F194" s="74">
        <f t="shared" si="0"/>
        <v>914265081</v>
      </c>
      <c r="G194" s="74">
        <f t="shared" si="0"/>
        <v>3918921571720</v>
      </c>
      <c r="H194" s="74">
        <f t="shared" si="0"/>
        <v>3725456328677</v>
      </c>
      <c r="I194" s="74">
        <f t="shared" si="0"/>
        <v>193465243043</v>
      </c>
    </row>
    <row r="195" spans="1:9" ht="18.75" thickTop="1"/>
  </sheetData>
  <mergeCells count="7">
    <mergeCell ref="A1:I1"/>
    <mergeCell ref="A2:I2"/>
    <mergeCell ref="A3:I3"/>
    <mergeCell ref="B5:E5"/>
    <mergeCell ref="F5:I5"/>
    <mergeCell ref="A4:E4"/>
    <mergeCell ref="F4:I4"/>
  </mergeCells>
  <pageMargins left="0.7" right="0.7" top="0.75" bottom="0.75" header="0.3" footer="0.3"/>
  <pageSetup scale="64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28"/>
  <sheetViews>
    <sheetView rightToLeft="1" view="pageBreakPreview" zoomScaleNormal="100" zoomScaleSheetLayoutView="100" workbookViewId="0">
      <selection sqref="A1:XFD1048576"/>
    </sheetView>
  </sheetViews>
  <sheetFormatPr defaultRowHeight="18"/>
  <cols>
    <col min="1" max="1" width="32.5703125" style="8" customWidth="1"/>
    <col min="2" max="2" width="21.5703125" style="8" customWidth="1"/>
    <col min="3" max="3" width="20.7109375" style="8" customWidth="1"/>
    <col min="4" max="4" width="23" style="8" customWidth="1"/>
    <col min="5" max="5" width="18.7109375" style="8" customWidth="1"/>
    <col min="6" max="6" width="24.28515625" style="8" customWidth="1"/>
    <col min="7" max="7" width="21.5703125" style="8" customWidth="1"/>
    <col min="8" max="8" width="28.7109375" style="8" customWidth="1"/>
    <col min="9" max="9" width="25.7109375" style="8" customWidth="1"/>
    <col min="10" max="16384" width="9.140625" style="8"/>
  </cols>
  <sheetData>
    <row r="1" spans="1:9" ht="21">
      <c r="A1" s="96" t="s">
        <v>155</v>
      </c>
      <c r="B1" s="96"/>
      <c r="C1" s="96"/>
      <c r="D1" s="96"/>
      <c r="E1" s="96"/>
      <c r="F1" s="96"/>
      <c r="G1" s="96"/>
      <c r="H1" s="96"/>
      <c r="I1" s="96"/>
    </row>
    <row r="2" spans="1:9" ht="21">
      <c r="A2" s="96" t="s">
        <v>82</v>
      </c>
      <c r="B2" s="96"/>
      <c r="C2" s="96"/>
      <c r="D2" s="96"/>
      <c r="E2" s="96"/>
      <c r="F2" s="96"/>
      <c r="G2" s="96"/>
      <c r="H2" s="96"/>
      <c r="I2" s="96"/>
    </row>
    <row r="3" spans="1:9" ht="21">
      <c r="A3" s="96" t="s">
        <v>154</v>
      </c>
      <c r="B3" s="96"/>
      <c r="C3" s="96"/>
      <c r="D3" s="96"/>
      <c r="E3" s="96"/>
      <c r="F3" s="96"/>
      <c r="G3" s="96"/>
      <c r="H3" s="96"/>
      <c r="I3" s="96"/>
    </row>
    <row r="4" spans="1:9" ht="21">
      <c r="A4" s="97" t="s">
        <v>64</v>
      </c>
      <c r="B4" s="97"/>
      <c r="C4" s="97"/>
      <c r="D4" s="97"/>
    </row>
    <row r="5" spans="1:9" ht="16.5" customHeight="1" thickBot="1">
      <c r="B5" s="128" t="s">
        <v>134</v>
      </c>
      <c r="C5" s="128"/>
      <c r="D5" s="128"/>
      <c r="E5" s="128"/>
      <c r="F5" s="113" t="s">
        <v>156</v>
      </c>
      <c r="G5" s="113"/>
      <c r="H5" s="113"/>
      <c r="I5" s="113"/>
    </row>
    <row r="6" spans="1:9" ht="53.25" customHeight="1" thickBot="1">
      <c r="A6" s="30" t="s">
        <v>53</v>
      </c>
      <c r="B6" s="15" t="s">
        <v>3</v>
      </c>
      <c r="C6" s="17" t="s">
        <v>27</v>
      </c>
      <c r="D6" s="15" t="s">
        <v>65</v>
      </c>
      <c r="E6" s="22" t="s">
        <v>66</v>
      </c>
      <c r="F6" s="15" t="s">
        <v>3</v>
      </c>
      <c r="G6" s="17" t="s">
        <v>27</v>
      </c>
      <c r="H6" s="15" t="s">
        <v>65</v>
      </c>
      <c r="I6" s="22" t="s">
        <v>66</v>
      </c>
    </row>
    <row r="7" spans="1:9">
      <c r="A7" s="63" t="s">
        <v>244</v>
      </c>
      <c r="B7" s="63">
        <v>5751123</v>
      </c>
      <c r="C7" s="63">
        <v>32699200874</v>
      </c>
      <c r="D7" s="63">
        <v>34125867579</v>
      </c>
      <c r="E7" s="63">
        <v>-1426666705</v>
      </c>
      <c r="F7" s="63">
        <v>5751123</v>
      </c>
      <c r="G7" s="63">
        <v>32699200874</v>
      </c>
      <c r="H7" s="63">
        <v>36820959280</v>
      </c>
      <c r="I7" s="63">
        <v>-4121758406</v>
      </c>
    </row>
    <row r="8" spans="1:9">
      <c r="A8" s="63" t="s">
        <v>355</v>
      </c>
      <c r="B8" s="63">
        <v>6933039</v>
      </c>
      <c r="C8" s="63">
        <v>49256837717</v>
      </c>
      <c r="D8" s="63">
        <v>50591559163</v>
      </c>
      <c r="E8" s="63">
        <v>-1334721446</v>
      </c>
      <c r="F8" s="63">
        <v>6933039</v>
      </c>
      <c r="G8" s="63">
        <v>49256837717</v>
      </c>
      <c r="H8" s="63">
        <v>47175320652</v>
      </c>
      <c r="I8" s="63">
        <v>2081517065</v>
      </c>
    </row>
    <row r="9" spans="1:9">
      <c r="A9" s="63" t="s">
        <v>198</v>
      </c>
      <c r="B9" s="63">
        <v>158909</v>
      </c>
      <c r="C9" s="63">
        <v>19585511478</v>
      </c>
      <c r="D9" s="63">
        <v>21722084061</v>
      </c>
      <c r="E9" s="63">
        <v>-2136572583</v>
      </c>
      <c r="F9" s="63">
        <v>158909</v>
      </c>
      <c r="G9" s="63">
        <v>19585511478</v>
      </c>
      <c r="H9" s="63">
        <v>18355763158</v>
      </c>
      <c r="I9" s="63">
        <v>1229748320</v>
      </c>
    </row>
    <row r="10" spans="1:9">
      <c r="A10" s="63" t="s">
        <v>262</v>
      </c>
      <c r="B10" s="63">
        <v>2862943</v>
      </c>
      <c r="C10" s="63">
        <v>16817609708</v>
      </c>
      <c r="D10" s="63">
        <v>19345932789</v>
      </c>
      <c r="E10" s="63">
        <v>-2528323081</v>
      </c>
      <c r="F10" s="63">
        <v>2862943</v>
      </c>
      <c r="G10" s="63">
        <v>16817609708</v>
      </c>
      <c r="H10" s="63">
        <v>16474768843</v>
      </c>
      <c r="I10" s="63">
        <v>342840865</v>
      </c>
    </row>
    <row r="11" spans="1:9">
      <c r="A11" s="63" t="s">
        <v>406</v>
      </c>
      <c r="B11" s="63">
        <v>50000</v>
      </c>
      <c r="C11" s="63">
        <v>1262663575</v>
      </c>
      <c r="D11" s="63">
        <v>1758798575</v>
      </c>
      <c r="E11" s="63">
        <v>-496135000</v>
      </c>
      <c r="F11" s="63">
        <v>50000</v>
      </c>
      <c r="G11" s="63">
        <v>1262663575</v>
      </c>
      <c r="H11" s="63">
        <v>1304690625</v>
      </c>
      <c r="I11" s="63">
        <v>-42027050</v>
      </c>
    </row>
    <row r="12" spans="1:9">
      <c r="A12" s="63" t="s">
        <v>292</v>
      </c>
      <c r="B12" s="63">
        <v>3814542</v>
      </c>
      <c r="C12" s="63">
        <v>16885132989</v>
      </c>
      <c r="D12" s="63">
        <v>17774621052</v>
      </c>
      <c r="E12" s="63">
        <v>-889488063</v>
      </c>
      <c r="F12" s="63">
        <v>3814542</v>
      </c>
      <c r="G12" s="63">
        <v>16885132989</v>
      </c>
      <c r="H12" s="63">
        <v>16572695909</v>
      </c>
      <c r="I12" s="63">
        <v>312437080</v>
      </c>
    </row>
    <row r="13" spans="1:9">
      <c r="A13" s="63" t="s">
        <v>376</v>
      </c>
      <c r="B13" s="63">
        <v>245000</v>
      </c>
      <c r="C13" s="63">
        <v>2479682730</v>
      </c>
      <c r="D13" s="63">
        <v>2610960051</v>
      </c>
      <c r="E13" s="63">
        <v>-131277321</v>
      </c>
      <c r="F13" s="63">
        <v>245000</v>
      </c>
      <c r="G13" s="63">
        <v>2479682730</v>
      </c>
      <c r="H13" s="63">
        <v>1736456242</v>
      </c>
      <c r="I13" s="63">
        <v>743226488</v>
      </c>
    </row>
    <row r="14" spans="1:9">
      <c r="A14" s="63" t="s">
        <v>304</v>
      </c>
      <c r="B14" s="63">
        <v>2124125</v>
      </c>
      <c r="C14" s="63">
        <v>8093589173</v>
      </c>
      <c r="D14" s="63">
        <v>9821907694</v>
      </c>
      <c r="E14" s="63">
        <v>-1728318521</v>
      </c>
      <c r="F14" s="63">
        <v>2124125</v>
      </c>
      <c r="G14" s="63">
        <v>8093589173</v>
      </c>
      <c r="H14" s="63">
        <v>8803931592</v>
      </c>
      <c r="I14" s="63">
        <v>-710342419</v>
      </c>
    </row>
    <row r="15" spans="1:9">
      <c r="A15" s="63" t="s">
        <v>325</v>
      </c>
      <c r="B15" s="63">
        <v>2498170</v>
      </c>
      <c r="C15" s="63">
        <v>28358148629</v>
      </c>
      <c r="D15" s="63">
        <v>36092189164</v>
      </c>
      <c r="E15" s="63">
        <v>-7734040535</v>
      </c>
      <c r="F15" s="63">
        <v>2498170</v>
      </c>
      <c r="G15" s="63">
        <v>28358148629</v>
      </c>
      <c r="H15" s="63">
        <v>23211388650</v>
      </c>
      <c r="I15" s="63">
        <v>5146759979</v>
      </c>
    </row>
    <row r="16" spans="1:9">
      <c r="A16" s="63" t="s">
        <v>280</v>
      </c>
      <c r="B16" s="63">
        <v>8948358</v>
      </c>
      <c r="C16" s="63">
        <v>17420965272</v>
      </c>
      <c r="D16" s="63">
        <v>19836104188</v>
      </c>
      <c r="E16" s="63">
        <v>-2415138916</v>
      </c>
      <c r="F16" s="63">
        <v>8948358</v>
      </c>
      <c r="G16" s="63">
        <v>17420965272</v>
      </c>
      <c r="H16" s="63">
        <v>14347988206</v>
      </c>
      <c r="I16" s="63">
        <v>3072977066</v>
      </c>
    </row>
    <row r="17" spans="1:9">
      <c r="A17" s="63" t="s">
        <v>307</v>
      </c>
      <c r="B17" s="63">
        <v>8421427</v>
      </c>
      <c r="C17" s="63">
        <v>31829258568</v>
      </c>
      <c r="D17" s="63">
        <v>42574563622</v>
      </c>
      <c r="E17" s="63">
        <v>-10745305054</v>
      </c>
      <c r="F17" s="63">
        <v>8421427</v>
      </c>
      <c r="G17" s="63">
        <v>31829258568</v>
      </c>
      <c r="H17" s="63">
        <v>38251154824</v>
      </c>
      <c r="I17" s="63">
        <v>-6421896256</v>
      </c>
    </row>
    <row r="18" spans="1:9">
      <c r="A18" s="63" t="s">
        <v>193</v>
      </c>
      <c r="B18" s="63">
        <v>1705609</v>
      </c>
      <c r="C18" s="63">
        <v>30886749724</v>
      </c>
      <c r="D18" s="63">
        <v>33921798411</v>
      </c>
      <c r="E18" s="63">
        <v>-3035048687</v>
      </c>
      <c r="F18" s="63">
        <v>1705609</v>
      </c>
      <c r="G18" s="63">
        <v>30886749724</v>
      </c>
      <c r="H18" s="63">
        <v>27901925335</v>
      </c>
      <c r="I18" s="63">
        <v>2984824389</v>
      </c>
    </row>
    <row r="19" spans="1:9">
      <c r="A19" s="63" t="s">
        <v>381</v>
      </c>
      <c r="B19" s="63">
        <v>10403637</v>
      </c>
      <c r="C19" s="63">
        <v>23464671982</v>
      </c>
      <c r="D19" s="63">
        <v>25973213685</v>
      </c>
      <c r="E19" s="63">
        <v>-2508541703</v>
      </c>
      <c r="F19" s="63">
        <v>10403637</v>
      </c>
      <c r="G19" s="63">
        <v>23464671982</v>
      </c>
      <c r="H19" s="63">
        <v>28533723803</v>
      </c>
      <c r="I19" s="63">
        <v>-5069051821</v>
      </c>
    </row>
    <row r="20" spans="1:9">
      <c r="A20" s="63" t="s">
        <v>224</v>
      </c>
      <c r="B20" s="63">
        <v>22471939</v>
      </c>
      <c r="C20" s="63">
        <v>54050911730</v>
      </c>
      <c r="D20" s="63">
        <v>53525448146</v>
      </c>
      <c r="E20" s="63">
        <v>525463584</v>
      </c>
      <c r="F20" s="63">
        <v>22471939</v>
      </c>
      <c r="G20" s="63">
        <v>54050911730</v>
      </c>
      <c r="H20" s="63">
        <v>46596101855</v>
      </c>
      <c r="I20" s="63">
        <v>7454809875</v>
      </c>
    </row>
    <row r="21" spans="1:9">
      <c r="A21" s="63" t="s">
        <v>300</v>
      </c>
      <c r="B21" s="63">
        <v>63507736</v>
      </c>
      <c r="C21" s="63">
        <v>31634444243</v>
      </c>
      <c r="D21" s="63">
        <v>38566294575</v>
      </c>
      <c r="E21" s="63">
        <v>-6931850332</v>
      </c>
      <c r="F21" s="63">
        <v>63507736</v>
      </c>
      <c r="G21" s="63">
        <v>31634444243</v>
      </c>
      <c r="H21" s="63">
        <v>33657865436</v>
      </c>
      <c r="I21" s="63">
        <v>-2023421193</v>
      </c>
    </row>
    <row r="22" spans="1:9">
      <c r="A22" s="63" t="s">
        <v>361</v>
      </c>
      <c r="B22" s="63">
        <v>1750000</v>
      </c>
      <c r="C22" s="63">
        <v>4601652125</v>
      </c>
      <c r="D22" s="63">
        <v>6492670677</v>
      </c>
      <c r="E22" s="63">
        <v>-1891018552</v>
      </c>
      <c r="F22" s="63">
        <v>1750000</v>
      </c>
      <c r="G22" s="63">
        <v>4601652125</v>
      </c>
      <c r="H22" s="63">
        <v>4695146662</v>
      </c>
      <c r="I22" s="63">
        <v>-93494537</v>
      </c>
    </row>
    <row r="23" spans="1:9">
      <c r="A23" s="63" t="s">
        <v>175</v>
      </c>
      <c r="B23" s="63">
        <v>9109504</v>
      </c>
      <c r="C23" s="63">
        <v>15212784320</v>
      </c>
      <c r="D23" s="63">
        <v>16116693073</v>
      </c>
      <c r="E23" s="63">
        <v>-903908753</v>
      </c>
      <c r="F23" s="63">
        <v>9109504</v>
      </c>
      <c r="G23" s="63">
        <v>15212784320</v>
      </c>
      <c r="H23" s="63">
        <v>11695704176</v>
      </c>
      <c r="I23" s="63">
        <v>3517080144</v>
      </c>
    </row>
    <row r="24" spans="1:9">
      <c r="A24" s="63" t="s">
        <v>177</v>
      </c>
      <c r="B24" s="63">
        <v>33702691</v>
      </c>
      <c r="C24" s="63">
        <v>13610962864</v>
      </c>
      <c r="D24" s="63">
        <v>17925002690</v>
      </c>
      <c r="E24" s="63">
        <v>-4314039826</v>
      </c>
      <c r="F24" s="63">
        <v>33702691</v>
      </c>
      <c r="G24" s="63">
        <v>13610962864</v>
      </c>
      <c r="H24" s="63">
        <v>17509466015</v>
      </c>
      <c r="I24" s="63">
        <v>-3898503151</v>
      </c>
    </row>
    <row r="25" spans="1:9">
      <c r="A25" s="63" t="s">
        <v>318</v>
      </c>
      <c r="B25" s="63">
        <v>5600000</v>
      </c>
      <c r="C25" s="63">
        <v>15497669768</v>
      </c>
      <c r="D25" s="63">
        <v>17598106904</v>
      </c>
      <c r="E25" s="63">
        <v>-2100437136</v>
      </c>
      <c r="F25" s="63">
        <v>5600000</v>
      </c>
      <c r="G25" s="63">
        <v>15497669768</v>
      </c>
      <c r="H25" s="63">
        <v>15821717016</v>
      </c>
      <c r="I25" s="63">
        <v>-324047248</v>
      </c>
    </row>
    <row r="26" spans="1:9">
      <c r="A26" s="63" t="s">
        <v>191</v>
      </c>
      <c r="B26" s="63">
        <v>5392254</v>
      </c>
      <c r="C26" s="63">
        <v>14746176092</v>
      </c>
      <c r="D26" s="63">
        <v>16834851593</v>
      </c>
      <c r="E26" s="63">
        <v>-2088675501</v>
      </c>
      <c r="F26" s="63">
        <v>5392254</v>
      </c>
      <c r="G26" s="63">
        <v>14746176092</v>
      </c>
      <c r="H26" s="63">
        <v>19725792207</v>
      </c>
      <c r="I26" s="63">
        <v>-4979616115</v>
      </c>
    </row>
    <row r="27" spans="1:9">
      <c r="A27" s="63" t="s">
        <v>252</v>
      </c>
      <c r="B27" s="63">
        <v>45323085</v>
      </c>
      <c r="C27" s="63">
        <v>22666259727</v>
      </c>
      <c r="D27" s="63">
        <v>31315146875</v>
      </c>
      <c r="E27" s="63">
        <v>-8648887148</v>
      </c>
      <c r="F27" s="63">
        <v>45323085</v>
      </c>
      <c r="G27" s="63">
        <v>22666259727</v>
      </c>
      <c r="H27" s="63">
        <v>27296589533</v>
      </c>
      <c r="I27" s="63">
        <v>-4630329806</v>
      </c>
    </row>
    <row r="28" spans="1:9">
      <c r="A28" s="63" t="s">
        <v>323</v>
      </c>
      <c r="B28" s="63">
        <v>17508571</v>
      </c>
      <c r="C28" s="63">
        <v>21838149791</v>
      </c>
      <c r="D28" s="63">
        <v>26034808375</v>
      </c>
      <c r="E28" s="63">
        <v>-4196658584</v>
      </c>
      <c r="F28" s="63">
        <v>17508571</v>
      </c>
      <c r="G28" s="63">
        <v>21838149791</v>
      </c>
      <c r="H28" s="63">
        <v>23868058509</v>
      </c>
      <c r="I28" s="63">
        <v>-2029908718</v>
      </c>
    </row>
    <row r="29" spans="1:9">
      <c r="A29" s="63" t="s">
        <v>228</v>
      </c>
      <c r="B29" s="63">
        <v>5952212</v>
      </c>
      <c r="C29" s="63">
        <v>25999098568</v>
      </c>
      <c r="D29" s="63">
        <v>33749906847</v>
      </c>
      <c r="E29" s="63">
        <v>-7750808279</v>
      </c>
      <c r="F29" s="63">
        <v>5952212</v>
      </c>
      <c r="G29" s="63">
        <v>25999098568</v>
      </c>
      <c r="H29" s="63">
        <v>27256905650</v>
      </c>
      <c r="I29" s="63">
        <v>-1257807082</v>
      </c>
    </row>
    <row r="30" spans="1:9">
      <c r="A30" s="63" t="s">
        <v>192</v>
      </c>
      <c r="B30" s="63">
        <v>22445192</v>
      </c>
      <c r="C30" s="63">
        <v>34543392223</v>
      </c>
      <c r="D30" s="63">
        <v>35159885608</v>
      </c>
      <c r="E30" s="63">
        <v>-616493385</v>
      </c>
      <c r="F30" s="63">
        <v>22445192</v>
      </c>
      <c r="G30" s="63">
        <v>34543392223</v>
      </c>
      <c r="H30" s="63">
        <v>30293640914</v>
      </c>
      <c r="I30" s="63">
        <v>4249751309</v>
      </c>
    </row>
    <row r="31" spans="1:9">
      <c r="A31" s="63" t="s">
        <v>169</v>
      </c>
      <c r="B31" s="63">
        <v>9210264</v>
      </c>
      <c r="C31" s="63">
        <v>18524892172</v>
      </c>
      <c r="D31" s="63">
        <v>19566746000</v>
      </c>
      <c r="E31" s="63">
        <v>-1041853828</v>
      </c>
      <c r="F31" s="63">
        <v>9210264</v>
      </c>
      <c r="G31" s="63">
        <v>18524892172</v>
      </c>
      <c r="H31" s="63">
        <v>15031859870</v>
      </c>
      <c r="I31" s="63">
        <v>3493032302</v>
      </c>
    </row>
    <row r="32" spans="1:9">
      <c r="A32" s="63" t="s">
        <v>260</v>
      </c>
      <c r="B32" s="63">
        <v>7041661</v>
      </c>
      <c r="C32" s="63">
        <v>15022542265</v>
      </c>
      <c r="D32" s="63">
        <v>16063639380</v>
      </c>
      <c r="E32" s="63">
        <v>-1041097115</v>
      </c>
      <c r="F32" s="63">
        <v>7041661</v>
      </c>
      <c r="G32" s="63">
        <v>15022542265</v>
      </c>
      <c r="H32" s="63">
        <v>16060551276</v>
      </c>
      <c r="I32" s="63">
        <v>-1038009011</v>
      </c>
    </row>
    <row r="33" spans="1:9">
      <c r="A33" s="63" t="s">
        <v>419</v>
      </c>
      <c r="B33" s="63">
        <v>2875000</v>
      </c>
      <c r="C33" s="63">
        <v>5674171961</v>
      </c>
      <c r="D33" s="63">
        <v>5808252445</v>
      </c>
      <c r="E33" s="63">
        <v>-134080484</v>
      </c>
      <c r="F33" s="63">
        <v>2875000</v>
      </c>
      <c r="G33" s="63">
        <v>5674171961</v>
      </c>
      <c r="H33" s="63">
        <v>5893653906</v>
      </c>
      <c r="I33" s="63">
        <v>-219481945</v>
      </c>
    </row>
    <row r="34" spans="1:9">
      <c r="A34" s="63" t="s">
        <v>173</v>
      </c>
      <c r="B34" s="63">
        <v>10263245</v>
      </c>
      <c r="C34" s="63">
        <v>12617864634</v>
      </c>
      <c r="D34" s="63">
        <v>15092554792</v>
      </c>
      <c r="E34" s="63">
        <v>-2474690158</v>
      </c>
      <c r="F34" s="63">
        <v>10263245</v>
      </c>
      <c r="G34" s="63">
        <v>12617864634</v>
      </c>
      <c r="H34" s="63">
        <v>14354875783</v>
      </c>
      <c r="I34" s="63">
        <v>-1737011149</v>
      </c>
    </row>
    <row r="35" spans="1:9">
      <c r="A35" s="63" t="s">
        <v>284</v>
      </c>
      <c r="B35" s="63">
        <v>3665469</v>
      </c>
      <c r="C35" s="63">
        <v>10707725218</v>
      </c>
      <c r="D35" s="63">
        <v>11073667315</v>
      </c>
      <c r="E35" s="63">
        <v>-365942097</v>
      </c>
      <c r="F35" s="63">
        <v>3665469</v>
      </c>
      <c r="G35" s="63">
        <v>10707725218</v>
      </c>
      <c r="H35" s="63">
        <v>8097151442</v>
      </c>
      <c r="I35" s="63">
        <v>2610573776</v>
      </c>
    </row>
    <row r="36" spans="1:9">
      <c r="A36" s="63" t="s">
        <v>337</v>
      </c>
      <c r="B36" s="63">
        <v>11217878</v>
      </c>
      <c r="C36" s="63">
        <v>17130861093</v>
      </c>
      <c r="D36" s="63">
        <v>19034832024</v>
      </c>
      <c r="E36" s="63">
        <v>-1903970931</v>
      </c>
      <c r="F36" s="63">
        <v>11217878</v>
      </c>
      <c r="G36" s="63">
        <v>17130861093</v>
      </c>
      <c r="H36" s="63">
        <v>17571028728</v>
      </c>
      <c r="I36" s="63">
        <v>-440167635</v>
      </c>
    </row>
    <row r="37" spans="1:9">
      <c r="A37" s="63" t="s">
        <v>214</v>
      </c>
      <c r="B37" s="63">
        <v>4264408</v>
      </c>
      <c r="C37" s="63">
        <v>12135781754</v>
      </c>
      <c r="D37" s="63">
        <v>15444771060</v>
      </c>
      <c r="E37" s="63">
        <v>-3308989306</v>
      </c>
      <c r="F37" s="63">
        <v>4264408</v>
      </c>
      <c r="G37" s="63">
        <v>12135781754</v>
      </c>
      <c r="H37" s="63">
        <v>15942054870</v>
      </c>
      <c r="I37" s="63">
        <v>-3806273116</v>
      </c>
    </row>
    <row r="38" spans="1:9">
      <c r="A38" s="63" t="s">
        <v>276</v>
      </c>
      <c r="B38" s="63">
        <v>3275356</v>
      </c>
      <c r="C38" s="63">
        <v>26617807110</v>
      </c>
      <c r="D38" s="63">
        <v>35729384276</v>
      </c>
      <c r="E38" s="63">
        <v>-9111577166</v>
      </c>
      <c r="F38" s="63">
        <v>3275356</v>
      </c>
      <c r="G38" s="63">
        <v>26617807110</v>
      </c>
      <c r="H38" s="63">
        <v>20812614630</v>
      </c>
      <c r="I38" s="63">
        <v>5805192480</v>
      </c>
    </row>
    <row r="39" spans="1:9">
      <c r="A39" s="63" t="s">
        <v>328</v>
      </c>
      <c r="B39" s="63">
        <v>5516183</v>
      </c>
      <c r="C39" s="63">
        <v>25802281256</v>
      </c>
      <c r="D39" s="63">
        <v>24996285973</v>
      </c>
      <c r="E39" s="63">
        <v>805995283</v>
      </c>
      <c r="F39" s="63">
        <v>5516183</v>
      </c>
      <c r="G39" s="63">
        <v>25802281256</v>
      </c>
      <c r="H39" s="63">
        <v>10525602537</v>
      </c>
      <c r="I39" s="63">
        <v>15276678719</v>
      </c>
    </row>
    <row r="40" spans="1:9">
      <c r="A40" s="63" t="s">
        <v>223</v>
      </c>
      <c r="B40" s="63">
        <v>4316567</v>
      </c>
      <c r="C40" s="63">
        <v>12168571021</v>
      </c>
      <c r="D40" s="63">
        <v>15483767773</v>
      </c>
      <c r="E40" s="63">
        <v>-3315196752</v>
      </c>
      <c r="F40" s="63">
        <v>4316567</v>
      </c>
      <c r="G40" s="63">
        <v>12168571021</v>
      </c>
      <c r="H40" s="63">
        <v>19034240181</v>
      </c>
      <c r="I40" s="63">
        <v>-6865669160</v>
      </c>
    </row>
    <row r="41" spans="1:9">
      <c r="A41" s="63" t="s">
        <v>201</v>
      </c>
      <c r="B41" s="63">
        <v>13400000</v>
      </c>
      <c r="C41" s="63">
        <v>29385083780</v>
      </c>
      <c r="D41" s="63">
        <v>35647696658</v>
      </c>
      <c r="E41" s="63">
        <v>-6262612878</v>
      </c>
      <c r="F41" s="63">
        <v>13400000</v>
      </c>
      <c r="G41" s="63">
        <v>29385083780</v>
      </c>
      <c r="H41" s="63">
        <v>30265407227</v>
      </c>
      <c r="I41" s="63">
        <v>-880323447</v>
      </c>
    </row>
    <row r="42" spans="1:9">
      <c r="A42" s="63" t="s">
        <v>345</v>
      </c>
      <c r="B42" s="63">
        <v>7502508</v>
      </c>
      <c r="C42" s="63">
        <v>32108187214</v>
      </c>
      <c r="D42" s="63">
        <v>34657749681</v>
      </c>
      <c r="E42" s="63">
        <v>-2549562467</v>
      </c>
      <c r="F42" s="63">
        <v>7502508</v>
      </c>
      <c r="G42" s="63">
        <v>32108187214</v>
      </c>
      <c r="H42" s="63">
        <v>29904484096</v>
      </c>
      <c r="I42" s="63">
        <v>2203703118</v>
      </c>
    </row>
    <row r="43" spans="1:9">
      <c r="A43" s="63" t="s">
        <v>424</v>
      </c>
      <c r="B43" s="63">
        <v>842177</v>
      </c>
      <c r="C43" s="63">
        <v>2673298643</v>
      </c>
      <c r="D43" s="63">
        <v>3594203646</v>
      </c>
      <c r="E43" s="63">
        <v>-920905003</v>
      </c>
      <c r="F43" s="63">
        <v>842177</v>
      </c>
      <c r="G43" s="63">
        <v>2673298643</v>
      </c>
      <c r="H43" s="63">
        <v>5324376058</v>
      </c>
      <c r="I43" s="63">
        <v>-2651077415</v>
      </c>
    </row>
    <row r="44" spans="1:9">
      <c r="A44" s="63" t="s">
        <v>336</v>
      </c>
      <c r="B44" s="63">
        <v>285750</v>
      </c>
      <c r="C44" s="63">
        <v>16331970384</v>
      </c>
      <c r="D44" s="63">
        <v>19082319563</v>
      </c>
      <c r="E44" s="63">
        <v>-2750349179</v>
      </c>
      <c r="F44" s="63">
        <v>285750</v>
      </c>
      <c r="G44" s="63">
        <v>16331970384</v>
      </c>
      <c r="H44" s="63">
        <v>13648592289</v>
      </c>
      <c r="I44" s="63">
        <v>2683378095</v>
      </c>
    </row>
    <row r="45" spans="1:9">
      <c r="A45" s="63" t="s">
        <v>253</v>
      </c>
      <c r="B45" s="63">
        <v>11278863</v>
      </c>
      <c r="C45" s="63">
        <v>14123896865</v>
      </c>
      <c r="D45" s="63">
        <v>15781178920</v>
      </c>
      <c r="E45" s="63">
        <v>-1657282055</v>
      </c>
      <c r="F45" s="63">
        <v>11278863</v>
      </c>
      <c r="G45" s="63">
        <v>14123896865</v>
      </c>
      <c r="H45" s="63">
        <v>13153897968</v>
      </c>
      <c r="I45" s="63">
        <v>969998897</v>
      </c>
    </row>
    <row r="46" spans="1:9">
      <c r="A46" s="63" t="s">
        <v>380</v>
      </c>
      <c r="B46" s="63">
        <v>1648155</v>
      </c>
      <c r="C46" s="63">
        <v>13884671328</v>
      </c>
      <c r="D46" s="63">
        <v>14636962119</v>
      </c>
      <c r="E46" s="63">
        <v>-752290791</v>
      </c>
      <c r="F46" s="63">
        <v>1648155</v>
      </c>
      <c r="G46" s="63">
        <v>13884671328</v>
      </c>
      <c r="H46" s="63">
        <v>11910020869</v>
      </c>
      <c r="I46" s="63">
        <v>1974650459</v>
      </c>
    </row>
    <row r="47" spans="1:9">
      <c r="A47" s="63" t="s">
        <v>397</v>
      </c>
      <c r="B47" s="63">
        <v>250000</v>
      </c>
      <c r="C47" s="63">
        <v>1230414800</v>
      </c>
      <c r="D47" s="63">
        <v>1374293950</v>
      </c>
      <c r="E47" s="63">
        <v>-143879150</v>
      </c>
      <c r="F47" s="63">
        <v>250000</v>
      </c>
      <c r="G47" s="63">
        <v>1230414800</v>
      </c>
      <c r="H47" s="63">
        <v>810399262</v>
      </c>
      <c r="I47" s="63">
        <v>420015538</v>
      </c>
    </row>
    <row r="48" spans="1:9">
      <c r="A48" s="63" t="s">
        <v>251</v>
      </c>
      <c r="B48" s="63">
        <v>3860139</v>
      </c>
      <c r="C48" s="63">
        <v>18347137601</v>
      </c>
      <c r="D48" s="63">
        <v>20527313496</v>
      </c>
      <c r="E48" s="63">
        <v>-2180175895</v>
      </c>
      <c r="F48" s="63">
        <v>3860139</v>
      </c>
      <c r="G48" s="63">
        <v>18347137601</v>
      </c>
      <c r="H48" s="63">
        <v>16072935194</v>
      </c>
      <c r="I48" s="63">
        <v>2274202407</v>
      </c>
    </row>
    <row r="49" spans="1:9">
      <c r="A49" s="63" t="s">
        <v>233</v>
      </c>
      <c r="B49" s="63">
        <v>189400</v>
      </c>
      <c r="C49" s="63">
        <v>22073075918</v>
      </c>
      <c r="D49" s="63">
        <v>26610091127</v>
      </c>
      <c r="E49" s="63">
        <v>-4537015209</v>
      </c>
      <c r="F49" s="63">
        <v>189400</v>
      </c>
      <c r="G49" s="63">
        <v>22073075918</v>
      </c>
      <c r="H49" s="63">
        <v>27382794088</v>
      </c>
      <c r="I49" s="63">
        <v>-5309718170</v>
      </c>
    </row>
    <row r="50" spans="1:9">
      <c r="A50" s="63" t="s">
        <v>322</v>
      </c>
      <c r="B50" s="63">
        <v>2428206</v>
      </c>
      <c r="C50" s="63">
        <v>39129240114</v>
      </c>
      <c r="D50" s="63">
        <v>51370759922</v>
      </c>
      <c r="E50" s="63">
        <v>-12241519808</v>
      </c>
      <c r="F50" s="63">
        <v>2428206</v>
      </c>
      <c r="G50" s="63">
        <v>39129240114</v>
      </c>
      <c r="H50" s="63">
        <v>29717163524</v>
      </c>
      <c r="I50" s="63">
        <v>9412076590</v>
      </c>
    </row>
    <row r="51" spans="1:9">
      <c r="A51" s="63" t="s">
        <v>267</v>
      </c>
      <c r="B51" s="63">
        <v>3283236</v>
      </c>
      <c r="C51" s="63">
        <v>18243996880</v>
      </c>
      <c r="D51" s="63">
        <v>23228517456</v>
      </c>
      <c r="E51" s="63">
        <v>-4984520576</v>
      </c>
      <c r="F51" s="63">
        <v>3283236</v>
      </c>
      <c r="G51" s="63">
        <v>18243996880</v>
      </c>
      <c r="H51" s="63">
        <v>23088463998</v>
      </c>
      <c r="I51" s="63">
        <v>-4844467118</v>
      </c>
    </row>
    <row r="52" spans="1:9">
      <c r="A52" s="63" t="s">
        <v>360</v>
      </c>
      <c r="B52" s="63">
        <v>9760615</v>
      </c>
      <c r="C52" s="63">
        <v>17026520854</v>
      </c>
      <c r="D52" s="63">
        <v>25152374663</v>
      </c>
      <c r="E52" s="63">
        <v>-8125853809</v>
      </c>
      <c r="F52" s="63">
        <v>9760615</v>
      </c>
      <c r="G52" s="63">
        <v>17026520854</v>
      </c>
      <c r="H52" s="63">
        <v>23853455812</v>
      </c>
      <c r="I52" s="63">
        <v>-6826934958</v>
      </c>
    </row>
    <row r="53" spans="1:9">
      <c r="A53" s="63" t="s">
        <v>331</v>
      </c>
      <c r="B53" s="63">
        <v>23592882</v>
      </c>
      <c r="C53" s="63">
        <v>42162326749</v>
      </c>
      <c r="D53" s="63">
        <v>49281780648</v>
      </c>
      <c r="E53" s="63">
        <v>-7119453899</v>
      </c>
      <c r="F53" s="63">
        <v>23592882</v>
      </c>
      <c r="G53" s="63">
        <v>42162326749</v>
      </c>
      <c r="H53" s="63">
        <v>42101208811</v>
      </c>
      <c r="I53" s="63">
        <v>61117938</v>
      </c>
    </row>
    <row r="54" spans="1:9">
      <c r="A54" s="63" t="s">
        <v>242</v>
      </c>
      <c r="B54" s="63">
        <v>3641112</v>
      </c>
      <c r="C54" s="63">
        <v>12533379763</v>
      </c>
      <c r="D54" s="63">
        <v>16709499436</v>
      </c>
      <c r="E54" s="63">
        <v>-4176119673</v>
      </c>
      <c r="F54" s="63">
        <v>3641112</v>
      </c>
      <c r="G54" s="63">
        <v>12533379763</v>
      </c>
      <c r="H54" s="63">
        <v>16857149000</v>
      </c>
      <c r="I54" s="63">
        <v>-4323769237</v>
      </c>
    </row>
    <row r="55" spans="1:9">
      <c r="A55" s="63" t="s">
        <v>227</v>
      </c>
      <c r="B55" s="63">
        <v>4607801</v>
      </c>
      <c r="C55" s="63">
        <v>38040560050</v>
      </c>
      <c r="D55" s="63">
        <v>36623183413</v>
      </c>
      <c r="E55" s="63">
        <v>1417376637</v>
      </c>
      <c r="F55" s="63">
        <v>4607801</v>
      </c>
      <c r="G55" s="63">
        <v>38040560050</v>
      </c>
      <c r="H55" s="63">
        <v>29853988691</v>
      </c>
      <c r="I55" s="63">
        <v>8186571359</v>
      </c>
    </row>
    <row r="56" spans="1:9">
      <c r="A56" s="63" t="s">
        <v>188</v>
      </c>
      <c r="B56" s="63">
        <v>1150032</v>
      </c>
      <c r="C56" s="63">
        <v>27022248543</v>
      </c>
      <c r="D56" s="63">
        <v>31289855511</v>
      </c>
      <c r="E56" s="63">
        <v>-4267606968</v>
      </c>
      <c r="F56" s="63">
        <v>1150032</v>
      </c>
      <c r="G56" s="63">
        <v>27022248543</v>
      </c>
      <c r="H56" s="63">
        <v>24634251050</v>
      </c>
      <c r="I56" s="63">
        <v>2387997493</v>
      </c>
    </row>
    <row r="57" spans="1:9">
      <c r="A57" s="63" t="s">
        <v>334</v>
      </c>
      <c r="B57" s="63">
        <v>5580504</v>
      </c>
      <c r="C57" s="63">
        <v>30510890539</v>
      </c>
      <c r="D57" s="63">
        <v>29706841610</v>
      </c>
      <c r="E57" s="63">
        <v>804048929</v>
      </c>
      <c r="F57" s="63">
        <v>5580504</v>
      </c>
      <c r="G57" s="63">
        <v>30510890539</v>
      </c>
      <c r="H57" s="63">
        <v>20174684246</v>
      </c>
      <c r="I57" s="63">
        <v>10336206293</v>
      </c>
    </row>
    <row r="58" spans="1:9">
      <c r="A58" s="63" t="s">
        <v>353</v>
      </c>
      <c r="B58" s="63">
        <v>940025</v>
      </c>
      <c r="C58" s="63">
        <v>24354327222</v>
      </c>
      <c r="D58" s="63">
        <v>31928327109</v>
      </c>
      <c r="E58" s="63">
        <v>-7573999887</v>
      </c>
      <c r="F58" s="63">
        <v>940025</v>
      </c>
      <c r="G58" s="63">
        <v>24354327222</v>
      </c>
      <c r="H58" s="63">
        <v>30456047518</v>
      </c>
      <c r="I58" s="63">
        <v>-6101720296</v>
      </c>
    </row>
    <row r="59" spans="1:9">
      <c r="A59" s="63" t="s">
        <v>330</v>
      </c>
      <c r="B59" s="63">
        <v>5700797</v>
      </c>
      <c r="C59" s="63">
        <v>30263504640</v>
      </c>
      <c r="D59" s="63">
        <v>44768920048</v>
      </c>
      <c r="E59" s="63">
        <v>-14505415408</v>
      </c>
      <c r="F59" s="63">
        <v>5700797</v>
      </c>
      <c r="G59" s="63">
        <v>30263504640</v>
      </c>
      <c r="H59" s="63">
        <v>30957339263</v>
      </c>
      <c r="I59" s="63">
        <v>-693834623</v>
      </c>
    </row>
    <row r="60" spans="1:9">
      <c r="A60" s="63" t="s">
        <v>204</v>
      </c>
      <c r="B60" s="63">
        <v>5129408</v>
      </c>
      <c r="C60" s="63">
        <v>29978672713</v>
      </c>
      <c r="D60" s="63">
        <v>35628303733</v>
      </c>
      <c r="E60" s="63">
        <v>-5649631020</v>
      </c>
      <c r="F60" s="63">
        <v>5129408</v>
      </c>
      <c r="G60" s="63">
        <v>29978672713</v>
      </c>
      <c r="H60" s="63">
        <v>21188688737</v>
      </c>
      <c r="I60" s="63">
        <v>8789983976</v>
      </c>
    </row>
    <row r="61" spans="1:9">
      <c r="A61" s="63" t="s">
        <v>185</v>
      </c>
      <c r="B61" s="63">
        <v>2428938</v>
      </c>
      <c r="C61" s="63">
        <v>20245363398</v>
      </c>
      <c r="D61" s="63">
        <v>25858931250</v>
      </c>
      <c r="E61" s="63">
        <v>-5613567852</v>
      </c>
      <c r="F61" s="63">
        <v>2428938</v>
      </c>
      <c r="G61" s="63">
        <v>20245363398</v>
      </c>
      <c r="H61" s="63">
        <v>16382419946</v>
      </c>
      <c r="I61" s="63">
        <v>3862943452</v>
      </c>
    </row>
    <row r="62" spans="1:9">
      <c r="A62" s="63" t="s">
        <v>293</v>
      </c>
      <c r="B62" s="63">
        <v>2649593</v>
      </c>
      <c r="C62" s="63">
        <v>24845105056</v>
      </c>
      <c r="D62" s="63">
        <v>35703606729</v>
      </c>
      <c r="E62" s="63">
        <v>-10858501673</v>
      </c>
      <c r="F62" s="63">
        <v>2649593</v>
      </c>
      <c r="G62" s="63">
        <v>24845105056</v>
      </c>
      <c r="H62" s="63">
        <v>28510491782</v>
      </c>
      <c r="I62" s="63">
        <v>-3665386726</v>
      </c>
    </row>
    <row r="63" spans="1:9">
      <c r="A63" s="63" t="s">
        <v>327</v>
      </c>
      <c r="B63" s="63">
        <v>1133693</v>
      </c>
      <c r="C63" s="63">
        <v>9978125136</v>
      </c>
      <c r="D63" s="63">
        <v>11918061777</v>
      </c>
      <c r="E63" s="63">
        <v>-1939936641</v>
      </c>
      <c r="F63" s="63">
        <v>1133693</v>
      </c>
      <c r="G63" s="63">
        <v>9978125136</v>
      </c>
      <c r="H63" s="63">
        <v>7137083695</v>
      </c>
      <c r="I63" s="63">
        <v>2841041441</v>
      </c>
    </row>
    <row r="64" spans="1:9">
      <c r="A64" s="63" t="s">
        <v>351</v>
      </c>
      <c r="B64" s="63">
        <v>21254222</v>
      </c>
      <c r="C64" s="63">
        <v>32267588102</v>
      </c>
      <c r="D64" s="63">
        <v>36542032949</v>
      </c>
      <c r="E64" s="63">
        <v>-4274444847</v>
      </c>
      <c r="F64" s="63">
        <v>21254222</v>
      </c>
      <c r="G64" s="63">
        <v>32267588102</v>
      </c>
      <c r="H64" s="63">
        <v>38482637478</v>
      </c>
      <c r="I64" s="63">
        <v>-6215049376</v>
      </c>
    </row>
    <row r="65" spans="1:9">
      <c r="A65" s="63" t="s">
        <v>321</v>
      </c>
      <c r="B65" s="63">
        <v>1125246</v>
      </c>
      <c r="C65" s="63">
        <v>14503956551</v>
      </c>
      <c r="D65" s="63">
        <v>18824996724</v>
      </c>
      <c r="E65" s="63">
        <v>-4321040173</v>
      </c>
      <c r="F65" s="63">
        <v>1125246</v>
      </c>
      <c r="G65" s="63">
        <v>14503956551</v>
      </c>
      <c r="H65" s="63">
        <v>16940751284</v>
      </c>
      <c r="I65" s="63">
        <v>-2436794733</v>
      </c>
    </row>
    <row r="66" spans="1:9">
      <c r="A66" s="63" t="s">
        <v>237</v>
      </c>
      <c r="B66" s="63">
        <v>20386036</v>
      </c>
      <c r="C66" s="63">
        <v>32163238587</v>
      </c>
      <c r="D66" s="63">
        <v>38714379205</v>
      </c>
      <c r="E66" s="63">
        <v>-6551140618</v>
      </c>
      <c r="F66" s="63">
        <v>20386036</v>
      </c>
      <c r="G66" s="63">
        <v>32163238587</v>
      </c>
      <c r="H66" s="63">
        <v>46222138225</v>
      </c>
      <c r="I66" s="63">
        <v>-14058899638</v>
      </c>
    </row>
    <row r="67" spans="1:9">
      <c r="A67" s="63" t="s">
        <v>243</v>
      </c>
      <c r="B67" s="63">
        <v>14209755</v>
      </c>
      <c r="C67" s="63">
        <v>24167251900</v>
      </c>
      <c r="D67" s="63">
        <v>32190102735</v>
      </c>
      <c r="E67" s="63">
        <v>-8022850835</v>
      </c>
      <c r="F67" s="63">
        <v>14209755</v>
      </c>
      <c r="G67" s="63">
        <v>24167251900</v>
      </c>
      <c r="H67" s="63">
        <v>38545187769</v>
      </c>
      <c r="I67" s="63">
        <v>-14377935869</v>
      </c>
    </row>
    <row r="68" spans="1:9">
      <c r="A68" s="63" t="s">
        <v>221</v>
      </c>
      <c r="B68" s="63">
        <v>9569674</v>
      </c>
      <c r="C68" s="63">
        <v>32095467420</v>
      </c>
      <c r="D68" s="63">
        <v>40387284932</v>
      </c>
      <c r="E68" s="63">
        <v>-8291817512</v>
      </c>
      <c r="F68" s="63">
        <v>9569674</v>
      </c>
      <c r="G68" s="63">
        <v>32095467420</v>
      </c>
      <c r="H68" s="63">
        <v>34798846457</v>
      </c>
      <c r="I68" s="63">
        <v>-2703379037</v>
      </c>
    </row>
    <row r="69" spans="1:9">
      <c r="A69" s="63" t="s">
        <v>245</v>
      </c>
      <c r="B69" s="63">
        <v>562500</v>
      </c>
      <c r="C69" s="63">
        <v>4906154981</v>
      </c>
      <c r="D69" s="63">
        <v>5497795969</v>
      </c>
      <c r="E69" s="63">
        <v>-591640988</v>
      </c>
      <c r="F69" s="63">
        <v>562500</v>
      </c>
      <c r="G69" s="63">
        <v>4906154981</v>
      </c>
      <c r="H69" s="63">
        <v>4931974167</v>
      </c>
      <c r="I69" s="63">
        <v>-25819186</v>
      </c>
    </row>
    <row r="70" spans="1:9">
      <c r="A70" s="63" t="s">
        <v>394</v>
      </c>
      <c r="B70" s="63">
        <v>3973870</v>
      </c>
      <c r="C70" s="63">
        <v>20819842480</v>
      </c>
      <c r="D70" s="63">
        <v>22081651115</v>
      </c>
      <c r="E70" s="63">
        <v>-1261808635</v>
      </c>
      <c r="F70" s="63">
        <v>3973870</v>
      </c>
      <c r="G70" s="63">
        <v>20819842480</v>
      </c>
      <c r="H70" s="63">
        <v>21132612639</v>
      </c>
      <c r="I70" s="63">
        <v>-312770159</v>
      </c>
    </row>
    <row r="71" spans="1:9">
      <c r="A71" s="63" t="s">
        <v>239</v>
      </c>
      <c r="B71" s="63">
        <v>25600000</v>
      </c>
      <c r="C71" s="63">
        <v>13082087680</v>
      </c>
      <c r="D71" s="63">
        <v>14199780608</v>
      </c>
      <c r="E71" s="63">
        <v>-1117692928</v>
      </c>
      <c r="F71" s="63">
        <v>25600000</v>
      </c>
      <c r="G71" s="63">
        <v>13082087680</v>
      </c>
      <c r="H71" s="63">
        <v>10028365723</v>
      </c>
      <c r="I71" s="63">
        <v>3053721957</v>
      </c>
    </row>
    <row r="72" spans="1:9">
      <c r="A72" s="63" t="s">
        <v>213</v>
      </c>
      <c r="B72" s="63">
        <v>11440020</v>
      </c>
      <c r="C72" s="63">
        <v>33498538093</v>
      </c>
      <c r="D72" s="63">
        <v>45039201720</v>
      </c>
      <c r="E72" s="63">
        <v>-11540663627</v>
      </c>
      <c r="F72" s="63">
        <v>11440020</v>
      </c>
      <c r="G72" s="63">
        <v>33498538093</v>
      </c>
      <c r="H72" s="63">
        <v>29362345072</v>
      </c>
      <c r="I72" s="63">
        <v>4136193021</v>
      </c>
    </row>
    <row r="73" spans="1:9">
      <c r="A73" s="63" t="s">
        <v>487</v>
      </c>
      <c r="B73" s="63">
        <v>0</v>
      </c>
      <c r="C73" s="63">
        <v>0</v>
      </c>
      <c r="D73" s="63">
        <v>0</v>
      </c>
      <c r="E73" s="63">
        <v>0</v>
      </c>
      <c r="F73" s="63">
        <v>0</v>
      </c>
      <c r="G73" s="63">
        <v>0</v>
      </c>
      <c r="H73" s="63">
        <v>-3981368184</v>
      </c>
      <c r="I73" s="63">
        <v>3981368184</v>
      </c>
    </row>
    <row r="74" spans="1:9">
      <c r="A74" s="63" t="s">
        <v>190</v>
      </c>
      <c r="B74" s="63">
        <v>7640317</v>
      </c>
      <c r="C74" s="63">
        <v>41469477702</v>
      </c>
      <c r="D74" s="63">
        <v>36589661495</v>
      </c>
      <c r="E74" s="63">
        <v>4879816207</v>
      </c>
      <c r="F74" s="63">
        <v>7640317</v>
      </c>
      <c r="G74" s="63">
        <v>41469477702</v>
      </c>
      <c r="H74" s="63">
        <v>29107496818</v>
      </c>
      <c r="I74" s="63">
        <v>12361980884</v>
      </c>
    </row>
    <row r="75" spans="1:9">
      <c r="A75" s="63" t="s">
        <v>479</v>
      </c>
      <c r="B75" s="63">
        <v>0</v>
      </c>
      <c r="C75" s="63">
        <v>0</v>
      </c>
      <c r="D75" s="63">
        <v>892310148</v>
      </c>
      <c r="E75" s="63">
        <v>-892310148</v>
      </c>
      <c r="F75" s="63">
        <v>0</v>
      </c>
      <c r="G75" s="63">
        <v>0</v>
      </c>
      <c r="H75" s="63">
        <v>0</v>
      </c>
      <c r="I75" s="63">
        <v>0</v>
      </c>
    </row>
    <row r="76" spans="1:9">
      <c r="A76" s="63" t="s">
        <v>315</v>
      </c>
      <c r="B76" s="63">
        <v>12459071</v>
      </c>
      <c r="C76" s="63">
        <v>20361469642</v>
      </c>
      <c r="D76" s="63">
        <v>26465577094</v>
      </c>
      <c r="E76" s="63">
        <v>-6104107452</v>
      </c>
      <c r="F76" s="63">
        <v>12459071</v>
      </c>
      <c r="G76" s="63">
        <v>20361469642</v>
      </c>
      <c r="H76" s="63">
        <v>20282791106</v>
      </c>
      <c r="I76" s="63">
        <v>78678536</v>
      </c>
    </row>
    <row r="77" spans="1:9">
      <c r="A77" s="63" t="s">
        <v>186</v>
      </c>
      <c r="B77" s="63">
        <v>3380920</v>
      </c>
      <c r="C77" s="63">
        <v>21336435706</v>
      </c>
      <c r="D77" s="63">
        <v>19558399397</v>
      </c>
      <c r="E77" s="63">
        <v>1778036309</v>
      </c>
      <c r="F77" s="63">
        <v>3380920</v>
      </c>
      <c r="G77" s="63">
        <v>21336435706</v>
      </c>
      <c r="H77" s="63">
        <v>16767735799</v>
      </c>
      <c r="I77" s="63">
        <v>4568699907</v>
      </c>
    </row>
    <row r="78" spans="1:9">
      <c r="A78" s="63" t="s">
        <v>217</v>
      </c>
      <c r="B78" s="63">
        <v>874591</v>
      </c>
      <c r="C78" s="63">
        <v>11672319036</v>
      </c>
      <c r="D78" s="63">
        <v>15429542136</v>
      </c>
      <c r="E78" s="63">
        <v>-3757223100</v>
      </c>
      <c r="F78" s="63">
        <v>874591</v>
      </c>
      <c r="G78" s="63">
        <v>11672319036</v>
      </c>
      <c r="H78" s="63">
        <v>8904195778</v>
      </c>
      <c r="I78" s="63">
        <v>2768123258</v>
      </c>
    </row>
    <row r="79" spans="1:9">
      <c r="A79" s="63" t="s">
        <v>341</v>
      </c>
      <c r="B79" s="63">
        <v>860136</v>
      </c>
      <c r="C79" s="63">
        <v>12802307231</v>
      </c>
      <c r="D79" s="63">
        <v>16076955358</v>
      </c>
      <c r="E79" s="63">
        <v>-3274648127</v>
      </c>
      <c r="F79" s="63">
        <v>860136</v>
      </c>
      <c r="G79" s="63">
        <v>12802307231</v>
      </c>
      <c r="H79" s="63">
        <v>8232282439</v>
      </c>
      <c r="I79" s="63">
        <v>4570024792</v>
      </c>
    </row>
    <row r="80" spans="1:9">
      <c r="A80" s="63" t="s">
        <v>312</v>
      </c>
      <c r="B80" s="63">
        <v>517391</v>
      </c>
      <c r="C80" s="63">
        <v>17706875165</v>
      </c>
      <c r="D80" s="63">
        <v>22738112528</v>
      </c>
      <c r="E80" s="63">
        <v>-5031237363</v>
      </c>
      <c r="F80" s="63">
        <v>517391</v>
      </c>
      <c r="G80" s="63">
        <v>17706875165</v>
      </c>
      <c r="H80" s="63">
        <v>17064920422</v>
      </c>
      <c r="I80" s="63">
        <v>641954743</v>
      </c>
    </row>
    <row r="81" spans="1:9">
      <c r="A81" s="63" t="s">
        <v>248</v>
      </c>
      <c r="B81" s="63">
        <v>3534630</v>
      </c>
      <c r="C81" s="63">
        <v>18799167182</v>
      </c>
      <c r="D81" s="63">
        <v>19886432448</v>
      </c>
      <c r="E81" s="63">
        <v>-1087265266</v>
      </c>
      <c r="F81" s="63">
        <v>3534630</v>
      </c>
      <c r="G81" s="63">
        <v>18799167182</v>
      </c>
      <c r="H81" s="63">
        <v>13881762462</v>
      </c>
      <c r="I81" s="63">
        <v>4917404720</v>
      </c>
    </row>
    <row r="82" spans="1:9">
      <c r="A82" s="63" t="s">
        <v>289</v>
      </c>
      <c r="B82" s="63">
        <v>3250000</v>
      </c>
      <c r="C82" s="63">
        <v>3621537432</v>
      </c>
      <c r="D82" s="63">
        <v>3715058880</v>
      </c>
      <c r="E82" s="63">
        <v>-93521448</v>
      </c>
      <c r="F82" s="63">
        <v>3250000</v>
      </c>
      <c r="G82" s="63">
        <v>3621537432</v>
      </c>
      <c r="H82" s="63">
        <v>3939323661</v>
      </c>
      <c r="I82" s="63">
        <v>-317786229</v>
      </c>
    </row>
    <row r="83" spans="1:9">
      <c r="A83" s="63" t="s">
        <v>195</v>
      </c>
      <c r="B83" s="63">
        <v>4215293</v>
      </c>
      <c r="C83" s="63">
        <v>15915206927</v>
      </c>
      <c r="D83" s="63">
        <v>20684614513</v>
      </c>
      <c r="E83" s="63">
        <v>-4769407586</v>
      </c>
      <c r="F83" s="63">
        <v>4215293</v>
      </c>
      <c r="G83" s="63">
        <v>15915206927</v>
      </c>
      <c r="H83" s="63">
        <v>21878273592</v>
      </c>
      <c r="I83" s="63">
        <v>-5963066665</v>
      </c>
    </row>
    <row r="84" spans="1:9">
      <c r="A84" s="63" t="s">
        <v>211</v>
      </c>
      <c r="B84" s="63">
        <v>2874653</v>
      </c>
      <c r="C84" s="63">
        <v>19824401930</v>
      </c>
      <c r="D84" s="63">
        <v>24987303727</v>
      </c>
      <c r="E84" s="63">
        <v>-5162901797</v>
      </c>
      <c r="F84" s="63">
        <v>2874653</v>
      </c>
      <c r="G84" s="63">
        <v>19824401930</v>
      </c>
      <c r="H84" s="63">
        <v>19251319867</v>
      </c>
      <c r="I84" s="63">
        <v>573082063</v>
      </c>
    </row>
    <row r="85" spans="1:9">
      <c r="A85" s="63" t="s">
        <v>174</v>
      </c>
      <c r="B85" s="63">
        <v>84882</v>
      </c>
      <c r="C85" s="63">
        <v>10251129681</v>
      </c>
      <c r="D85" s="63">
        <v>10621723474</v>
      </c>
      <c r="E85" s="63">
        <v>-370593793</v>
      </c>
      <c r="F85" s="63">
        <v>84882</v>
      </c>
      <c r="G85" s="63">
        <v>10251129681</v>
      </c>
      <c r="H85" s="63">
        <v>7685896566</v>
      </c>
      <c r="I85" s="63">
        <v>2565233115</v>
      </c>
    </row>
    <row r="86" spans="1:9">
      <c r="A86" s="63" t="s">
        <v>226</v>
      </c>
      <c r="B86" s="63">
        <v>712681</v>
      </c>
      <c r="C86" s="63">
        <v>20861573288</v>
      </c>
      <c r="D86" s="63">
        <v>22593648377</v>
      </c>
      <c r="E86" s="63">
        <v>-1732075089</v>
      </c>
      <c r="F86" s="63">
        <v>712681</v>
      </c>
      <c r="G86" s="63">
        <v>20861573288</v>
      </c>
      <c r="H86" s="63">
        <v>26218324263</v>
      </c>
      <c r="I86" s="63">
        <v>-5356750975</v>
      </c>
    </row>
    <row r="87" spans="1:9">
      <c r="A87" s="63" t="s">
        <v>447</v>
      </c>
      <c r="B87" s="63">
        <v>3983350</v>
      </c>
      <c r="C87" s="63">
        <v>14497985328</v>
      </c>
      <c r="D87" s="63">
        <v>16632367029</v>
      </c>
      <c r="E87" s="63">
        <v>-2134381701</v>
      </c>
      <c r="F87" s="63">
        <v>3983350</v>
      </c>
      <c r="G87" s="63">
        <v>14497985328</v>
      </c>
      <c r="H87" s="63">
        <v>16626478656</v>
      </c>
      <c r="I87" s="63">
        <v>-2128493328</v>
      </c>
    </row>
    <row r="88" spans="1:9">
      <c r="A88" s="63" t="s">
        <v>187</v>
      </c>
      <c r="B88" s="63">
        <v>2830564</v>
      </c>
      <c r="C88" s="63">
        <v>23087380345</v>
      </c>
      <c r="D88" s="63">
        <v>26397173713</v>
      </c>
      <c r="E88" s="63">
        <v>-3309793368</v>
      </c>
      <c r="F88" s="63">
        <v>2830564</v>
      </c>
      <c r="G88" s="63">
        <v>23087380345</v>
      </c>
      <c r="H88" s="63">
        <v>24505426975</v>
      </c>
      <c r="I88" s="63">
        <v>-1418046630</v>
      </c>
    </row>
    <row r="89" spans="1:9">
      <c r="A89" s="63" t="s">
        <v>206</v>
      </c>
      <c r="B89" s="63">
        <v>2401235</v>
      </c>
      <c r="C89" s="63">
        <v>21205793736</v>
      </c>
      <c r="D89" s="63">
        <v>21872942303</v>
      </c>
      <c r="E89" s="63">
        <v>-667148567</v>
      </c>
      <c r="F89" s="63">
        <v>2401235</v>
      </c>
      <c r="G89" s="63">
        <v>21205793736</v>
      </c>
      <c r="H89" s="63">
        <v>15850700014</v>
      </c>
      <c r="I89" s="63">
        <v>5355093722</v>
      </c>
    </row>
    <row r="90" spans="1:9">
      <c r="A90" s="63" t="s">
        <v>275</v>
      </c>
      <c r="B90" s="63">
        <v>5476907</v>
      </c>
      <c r="C90" s="63">
        <v>22357823074</v>
      </c>
      <c r="D90" s="63">
        <v>24678384681</v>
      </c>
      <c r="E90" s="63">
        <v>-2320561607</v>
      </c>
      <c r="F90" s="63">
        <v>5476907</v>
      </c>
      <c r="G90" s="63">
        <v>22357823074</v>
      </c>
      <c r="H90" s="63">
        <v>24541931735</v>
      </c>
      <c r="I90" s="63">
        <v>-2184108661</v>
      </c>
    </row>
    <row r="91" spans="1:9">
      <c r="A91" s="63" t="s">
        <v>181</v>
      </c>
      <c r="B91" s="63">
        <v>2800000</v>
      </c>
      <c r="C91" s="63">
        <v>20921020680</v>
      </c>
      <c r="D91" s="63">
        <v>23851963879</v>
      </c>
      <c r="E91" s="63">
        <v>-2930943199</v>
      </c>
      <c r="F91" s="63">
        <v>2800000</v>
      </c>
      <c r="G91" s="63">
        <v>20921020680</v>
      </c>
      <c r="H91" s="63">
        <v>24063676301</v>
      </c>
      <c r="I91" s="63">
        <v>-3142655621</v>
      </c>
    </row>
    <row r="92" spans="1:9">
      <c r="A92" s="63" t="s">
        <v>183</v>
      </c>
      <c r="B92" s="63">
        <v>3078835</v>
      </c>
      <c r="C92" s="63">
        <v>28320180063</v>
      </c>
      <c r="D92" s="63">
        <v>31988489793</v>
      </c>
      <c r="E92" s="63">
        <v>-3668309730</v>
      </c>
      <c r="F92" s="63">
        <v>3078835</v>
      </c>
      <c r="G92" s="63">
        <v>28320180063</v>
      </c>
      <c r="H92" s="63">
        <v>32841926620</v>
      </c>
      <c r="I92" s="63">
        <v>-4521746557</v>
      </c>
    </row>
    <row r="93" spans="1:9">
      <c r="A93" s="63" t="s">
        <v>184</v>
      </c>
      <c r="B93" s="63">
        <v>1209154</v>
      </c>
      <c r="C93" s="63">
        <v>15441519173</v>
      </c>
      <c r="D93" s="63">
        <v>15765467128</v>
      </c>
      <c r="E93" s="63">
        <v>-323947955</v>
      </c>
      <c r="F93" s="63">
        <v>1209154</v>
      </c>
      <c r="G93" s="63">
        <v>15441519173</v>
      </c>
      <c r="H93" s="63">
        <v>13559690174</v>
      </c>
      <c r="I93" s="63">
        <v>1881828999</v>
      </c>
    </row>
    <row r="94" spans="1:9">
      <c r="A94" s="63" t="s">
        <v>480</v>
      </c>
      <c r="B94" s="63">
        <v>1813731</v>
      </c>
      <c r="C94" s="63">
        <v>12543984690</v>
      </c>
      <c r="D94" s="63">
        <v>21848489833</v>
      </c>
      <c r="E94" s="63">
        <v>-9304505143</v>
      </c>
      <c r="F94" s="63">
        <v>1813731</v>
      </c>
      <c r="G94" s="63">
        <v>12543984690</v>
      </c>
      <c r="H94" s="63">
        <v>18525804260</v>
      </c>
      <c r="I94" s="63">
        <v>-5981819570</v>
      </c>
    </row>
    <row r="95" spans="1:9">
      <c r="A95" s="63" t="s">
        <v>386</v>
      </c>
      <c r="B95" s="63">
        <v>104452</v>
      </c>
      <c r="C95" s="63">
        <v>13022942236</v>
      </c>
      <c r="D95" s="63">
        <v>14264604377</v>
      </c>
      <c r="E95" s="63">
        <v>-1241662141</v>
      </c>
      <c r="F95" s="63">
        <v>104452</v>
      </c>
      <c r="G95" s="63">
        <v>13022942236</v>
      </c>
      <c r="H95" s="63">
        <v>12026316222</v>
      </c>
      <c r="I95" s="63">
        <v>996626014</v>
      </c>
    </row>
    <row r="96" spans="1:9">
      <c r="A96" s="63" t="s">
        <v>236</v>
      </c>
      <c r="B96" s="63">
        <v>144247</v>
      </c>
      <c r="C96" s="63">
        <v>961846843</v>
      </c>
      <c r="D96" s="63">
        <v>359080038</v>
      </c>
      <c r="E96" s="63">
        <v>602766805</v>
      </c>
      <c r="F96" s="63">
        <v>144247</v>
      </c>
      <c r="G96" s="63">
        <v>961846843</v>
      </c>
      <c r="H96" s="63">
        <v>1152844494</v>
      </c>
      <c r="I96" s="63">
        <v>-190997651</v>
      </c>
    </row>
    <row r="97" spans="1:9">
      <c r="A97" s="63" t="s">
        <v>216</v>
      </c>
      <c r="B97" s="63">
        <v>336344</v>
      </c>
      <c r="C97" s="63">
        <v>10923443113</v>
      </c>
      <c r="D97" s="63">
        <v>12458466884</v>
      </c>
      <c r="E97" s="63">
        <v>-1535023771</v>
      </c>
      <c r="F97" s="63">
        <v>336344</v>
      </c>
      <c r="G97" s="63">
        <v>10923443113</v>
      </c>
      <c r="H97" s="63">
        <v>11436721532</v>
      </c>
      <c r="I97" s="63">
        <v>-513278419</v>
      </c>
    </row>
    <row r="98" spans="1:9">
      <c r="A98" s="63" t="s">
        <v>352</v>
      </c>
      <c r="B98" s="63">
        <v>1924791</v>
      </c>
      <c r="C98" s="63">
        <v>29641839914</v>
      </c>
      <c r="D98" s="63">
        <v>33471488805</v>
      </c>
      <c r="E98" s="63">
        <v>-3829648891</v>
      </c>
      <c r="F98" s="63">
        <v>1924791</v>
      </c>
      <c r="G98" s="63">
        <v>29641839914</v>
      </c>
      <c r="H98" s="63">
        <v>35832037661</v>
      </c>
      <c r="I98" s="63">
        <v>-6190197747</v>
      </c>
    </row>
    <row r="99" spans="1:9">
      <c r="A99" s="63" t="s">
        <v>403</v>
      </c>
      <c r="B99" s="63">
        <v>1504289</v>
      </c>
      <c r="C99" s="63">
        <v>15896838010</v>
      </c>
      <c r="D99" s="63">
        <v>16419269306</v>
      </c>
      <c r="E99" s="63">
        <v>-522431296</v>
      </c>
      <c r="F99" s="63">
        <v>1504289</v>
      </c>
      <c r="G99" s="63">
        <v>15896838010</v>
      </c>
      <c r="H99" s="63">
        <v>9141298952</v>
      </c>
      <c r="I99" s="63">
        <v>6755539058</v>
      </c>
    </row>
    <row r="100" spans="1:9">
      <c r="A100" s="63" t="s">
        <v>287</v>
      </c>
      <c r="B100" s="63">
        <v>512506</v>
      </c>
      <c r="C100" s="63">
        <v>18210972408</v>
      </c>
      <c r="D100" s="63">
        <v>22206624149</v>
      </c>
      <c r="E100" s="63">
        <v>-3995651741</v>
      </c>
      <c r="F100" s="63">
        <v>512506</v>
      </c>
      <c r="G100" s="63">
        <v>18210972408</v>
      </c>
      <c r="H100" s="63">
        <v>23243757956</v>
      </c>
      <c r="I100" s="63">
        <v>-5032785548</v>
      </c>
    </row>
    <row r="101" spans="1:9">
      <c r="A101" s="63" t="s">
        <v>295</v>
      </c>
      <c r="B101" s="63">
        <v>21110</v>
      </c>
      <c r="C101" s="63">
        <v>2270635255</v>
      </c>
      <c r="D101" s="63">
        <v>2687476968</v>
      </c>
      <c r="E101" s="63">
        <v>-416841713</v>
      </c>
      <c r="F101" s="63">
        <v>21110</v>
      </c>
      <c r="G101" s="63">
        <v>2270635255</v>
      </c>
      <c r="H101" s="63">
        <v>2674296095</v>
      </c>
      <c r="I101" s="63">
        <v>-403660840</v>
      </c>
    </row>
    <row r="102" spans="1:9">
      <c r="A102" s="63" t="s">
        <v>302</v>
      </c>
      <c r="B102" s="63">
        <v>7961644</v>
      </c>
      <c r="C102" s="63">
        <v>16906215053</v>
      </c>
      <c r="D102" s="63">
        <v>21156469117</v>
      </c>
      <c r="E102" s="63">
        <v>-4250254064</v>
      </c>
      <c r="F102" s="63">
        <v>7961644</v>
      </c>
      <c r="G102" s="63">
        <v>16906215053</v>
      </c>
      <c r="H102" s="63">
        <v>12738109491</v>
      </c>
      <c r="I102" s="63">
        <v>4168105562</v>
      </c>
    </row>
    <row r="103" spans="1:9">
      <c r="A103" s="63" t="s">
        <v>343</v>
      </c>
      <c r="B103" s="63">
        <v>552625</v>
      </c>
      <c r="C103" s="63">
        <v>21884776561</v>
      </c>
      <c r="D103" s="63">
        <v>27499913419</v>
      </c>
      <c r="E103" s="63">
        <v>-5615136858</v>
      </c>
      <c r="F103" s="63">
        <v>552625</v>
      </c>
      <c r="G103" s="63">
        <v>21884776561</v>
      </c>
      <c r="H103" s="63">
        <v>21748103488</v>
      </c>
      <c r="I103" s="63">
        <v>136673073</v>
      </c>
    </row>
    <row r="104" spans="1:9">
      <c r="A104" s="63" t="s">
        <v>296</v>
      </c>
      <c r="B104" s="63">
        <v>1155746</v>
      </c>
      <c r="C104" s="63">
        <v>16376476551</v>
      </c>
      <c r="D104" s="63">
        <v>16456753397</v>
      </c>
      <c r="E104" s="63">
        <v>-80276846</v>
      </c>
      <c r="F104" s="63">
        <v>1155746</v>
      </c>
      <c r="G104" s="63">
        <v>16376476551</v>
      </c>
      <c r="H104" s="63">
        <v>7943307049</v>
      </c>
      <c r="I104" s="63">
        <v>8433169502</v>
      </c>
    </row>
    <row r="105" spans="1:9">
      <c r="A105" s="63" t="s">
        <v>257</v>
      </c>
      <c r="B105" s="63">
        <v>3019851</v>
      </c>
      <c r="C105" s="63">
        <v>9148337556</v>
      </c>
      <c r="D105" s="63">
        <v>12071672397</v>
      </c>
      <c r="E105" s="63">
        <v>-2923334841</v>
      </c>
      <c r="F105" s="63">
        <v>3019851</v>
      </c>
      <c r="G105" s="63">
        <v>9148337556</v>
      </c>
      <c r="H105" s="63">
        <v>5526073732</v>
      </c>
      <c r="I105" s="63">
        <v>3622263824</v>
      </c>
    </row>
    <row r="106" spans="1:9">
      <c r="A106" s="63" t="s">
        <v>481</v>
      </c>
      <c r="B106" s="63">
        <v>532915</v>
      </c>
      <c r="C106" s="63">
        <v>1035910516</v>
      </c>
      <c r="D106" s="63">
        <v>442274697</v>
      </c>
      <c r="E106" s="63">
        <v>593635819</v>
      </c>
      <c r="F106" s="63">
        <v>532915</v>
      </c>
      <c r="G106" s="63">
        <v>1035910516</v>
      </c>
      <c r="H106" s="63">
        <v>442274697</v>
      </c>
      <c r="I106" s="63">
        <v>593635819</v>
      </c>
    </row>
    <row r="107" spans="1:9">
      <c r="A107" s="63" t="s">
        <v>281</v>
      </c>
      <c r="B107" s="63">
        <v>3863965</v>
      </c>
      <c r="C107" s="63">
        <v>24384854061</v>
      </c>
      <c r="D107" s="63">
        <v>25995174613</v>
      </c>
      <c r="E107" s="63">
        <v>-1610320552</v>
      </c>
      <c r="F107" s="63">
        <v>3863965</v>
      </c>
      <c r="G107" s="63">
        <v>24384854061</v>
      </c>
      <c r="H107" s="63">
        <v>23148828819</v>
      </c>
      <c r="I107" s="63">
        <v>1236025242</v>
      </c>
    </row>
    <row r="108" spans="1:9">
      <c r="A108" s="63" t="s">
        <v>277</v>
      </c>
      <c r="B108" s="63">
        <v>1467107</v>
      </c>
      <c r="C108" s="63">
        <v>24354969578</v>
      </c>
      <c r="D108" s="63">
        <v>26989906514</v>
      </c>
      <c r="E108" s="63">
        <v>-2634936936</v>
      </c>
      <c r="F108" s="63">
        <v>1467107</v>
      </c>
      <c r="G108" s="63">
        <v>24354969578</v>
      </c>
      <c r="H108" s="63">
        <v>23716554717</v>
      </c>
      <c r="I108" s="63">
        <v>638414861</v>
      </c>
    </row>
    <row r="109" spans="1:9">
      <c r="A109" s="63" t="s">
        <v>294</v>
      </c>
      <c r="B109" s="63">
        <v>2298015</v>
      </c>
      <c r="C109" s="63">
        <v>23463786330</v>
      </c>
      <c r="D109" s="63">
        <v>27454226182</v>
      </c>
      <c r="E109" s="63">
        <v>-3990439852</v>
      </c>
      <c r="F109" s="63">
        <v>2298015</v>
      </c>
      <c r="G109" s="63">
        <v>23463786330</v>
      </c>
      <c r="H109" s="63">
        <v>22834844238</v>
      </c>
      <c r="I109" s="63">
        <v>628942092</v>
      </c>
    </row>
    <row r="110" spans="1:9">
      <c r="A110" s="63" t="s">
        <v>247</v>
      </c>
      <c r="B110" s="63">
        <v>24072042</v>
      </c>
      <c r="C110" s="63">
        <v>45192245998</v>
      </c>
      <c r="D110" s="63">
        <v>41967640708</v>
      </c>
      <c r="E110" s="63">
        <v>3224605290</v>
      </c>
      <c r="F110" s="63">
        <v>24072042</v>
      </c>
      <c r="G110" s="63">
        <v>45192245998</v>
      </c>
      <c r="H110" s="63">
        <v>43145393249</v>
      </c>
      <c r="I110" s="63">
        <v>2046852749</v>
      </c>
    </row>
    <row r="111" spans="1:9">
      <c r="A111" s="63" t="s">
        <v>246</v>
      </c>
      <c r="B111" s="63">
        <v>835696</v>
      </c>
      <c r="C111" s="63">
        <v>22248403756</v>
      </c>
      <c r="D111" s="63">
        <v>27638438210</v>
      </c>
      <c r="E111" s="63">
        <v>-5390034454</v>
      </c>
      <c r="F111" s="63">
        <v>835696</v>
      </c>
      <c r="G111" s="63">
        <v>22248403756</v>
      </c>
      <c r="H111" s="63">
        <v>25344863627</v>
      </c>
      <c r="I111" s="63">
        <v>-3096459871</v>
      </c>
    </row>
    <row r="112" spans="1:9">
      <c r="A112" s="63" t="s">
        <v>378</v>
      </c>
      <c r="B112" s="63">
        <v>200000</v>
      </c>
      <c r="C112" s="63">
        <v>1224461180</v>
      </c>
      <c r="D112" s="63">
        <v>1605492860</v>
      </c>
      <c r="E112" s="63">
        <v>-381031680</v>
      </c>
      <c r="F112" s="63">
        <v>200000</v>
      </c>
      <c r="G112" s="63">
        <v>1224461180</v>
      </c>
      <c r="H112" s="63">
        <v>1501990667</v>
      </c>
      <c r="I112" s="63">
        <v>-277529487</v>
      </c>
    </row>
    <row r="113" spans="1:9">
      <c r="A113" s="63" t="s">
        <v>482</v>
      </c>
      <c r="B113" s="63">
        <v>2478</v>
      </c>
      <c r="C113" s="63">
        <v>666469954</v>
      </c>
      <c r="D113" s="63">
        <v>733227597</v>
      </c>
      <c r="E113" s="63">
        <v>-66757643</v>
      </c>
      <c r="F113" s="63">
        <v>2478</v>
      </c>
      <c r="G113" s="63">
        <v>666469954</v>
      </c>
      <c r="H113" s="63">
        <v>634181829</v>
      </c>
      <c r="I113" s="63">
        <v>32288125</v>
      </c>
    </row>
    <row r="114" spans="1:9">
      <c r="A114" s="63" t="s">
        <v>194</v>
      </c>
      <c r="B114" s="63">
        <v>19848213</v>
      </c>
      <c r="C114" s="63">
        <v>8823264268</v>
      </c>
      <c r="D114" s="63">
        <v>10048709438</v>
      </c>
      <c r="E114" s="63">
        <v>-1225445170</v>
      </c>
      <c r="F114" s="63">
        <v>19848213</v>
      </c>
      <c r="G114" s="63">
        <v>8823264268</v>
      </c>
      <c r="H114" s="63">
        <v>13749204707</v>
      </c>
      <c r="I114" s="63">
        <v>-4925940439</v>
      </c>
    </row>
    <row r="115" spans="1:9">
      <c r="A115" s="63" t="s">
        <v>388</v>
      </c>
      <c r="B115" s="63">
        <v>249996</v>
      </c>
      <c r="C115" s="63">
        <v>1545435798</v>
      </c>
      <c r="D115" s="63">
        <v>1892724741</v>
      </c>
      <c r="E115" s="63">
        <v>-347288943</v>
      </c>
      <c r="F115" s="63">
        <v>249996</v>
      </c>
      <c r="G115" s="63">
        <v>1545435798</v>
      </c>
      <c r="H115" s="63">
        <v>1732104411</v>
      </c>
      <c r="I115" s="63">
        <v>-186668613</v>
      </c>
    </row>
    <row r="116" spans="1:9">
      <c r="A116" s="63" t="s">
        <v>189</v>
      </c>
      <c r="B116" s="63">
        <v>13972652</v>
      </c>
      <c r="C116" s="63">
        <v>38446656148</v>
      </c>
      <c r="D116" s="63">
        <v>44179557032</v>
      </c>
      <c r="E116" s="63">
        <v>-5732900884</v>
      </c>
      <c r="F116" s="63">
        <v>13972652</v>
      </c>
      <c r="G116" s="63">
        <v>38446656148</v>
      </c>
      <c r="H116" s="63">
        <v>41614388092</v>
      </c>
      <c r="I116" s="63">
        <v>-3167731944</v>
      </c>
    </row>
    <row r="117" spans="1:9">
      <c r="A117" s="63" t="s">
        <v>320</v>
      </c>
      <c r="B117" s="63">
        <v>1875000</v>
      </c>
      <c r="C117" s="63">
        <v>6818755406</v>
      </c>
      <c r="D117" s="63">
        <v>8069015606</v>
      </c>
      <c r="E117" s="63">
        <v>-1250260200</v>
      </c>
      <c r="F117" s="63">
        <v>1875000</v>
      </c>
      <c r="G117" s="63">
        <v>6818755406</v>
      </c>
      <c r="H117" s="63">
        <v>5911612875</v>
      </c>
      <c r="I117" s="63">
        <v>907142531</v>
      </c>
    </row>
    <row r="118" spans="1:9">
      <c r="A118" s="63" t="s">
        <v>372</v>
      </c>
      <c r="B118" s="63">
        <v>23792</v>
      </c>
      <c r="C118" s="63">
        <v>1534525710</v>
      </c>
      <c r="D118" s="63">
        <v>1826085594</v>
      </c>
      <c r="E118" s="63">
        <v>-291559884</v>
      </c>
      <c r="F118" s="63">
        <v>23792</v>
      </c>
      <c r="G118" s="63">
        <v>1534525710</v>
      </c>
      <c r="H118" s="63">
        <v>1265552380</v>
      </c>
      <c r="I118" s="63">
        <v>268973330</v>
      </c>
    </row>
    <row r="119" spans="1:9">
      <c r="A119" s="63" t="s">
        <v>379</v>
      </c>
      <c r="B119" s="63">
        <v>943421</v>
      </c>
      <c r="C119" s="63">
        <v>16709891149</v>
      </c>
      <c r="D119" s="63">
        <v>22654306207</v>
      </c>
      <c r="E119" s="63">
        <v>-5944415058</v>
      </c>
      <c r="F119" s="63">
        <v>943421</v>
      </c>
      <c r="G119" s="63">
        <v>16709891149</v>
      </c>
      <c r="H119" s="63">
        <v>12470037471</v>
      </c>
      <c r="I119" s="63">
        <v>4239853678</v>
      </c>
    </row>
    <row r="120" spans="1:9">
      <c r="A120" s="63" t="s">
        <v>369</v>
      </c>
      <c r="B120" s="63">
        <v>3733986</v>
      </c>
      <c r="C120" s="63">
        <v>30863668661</v>
      </c>
      <c r="D120" s="63">
        <v>29603927083</v>
      </c>
      <c r="E120" s="63">
        <v>1259741578</v>
      </c>
      <c r="F120" s="63">
        <v>3733986</v>
      </c>
      <c r="G120" s="63">
        <v>30863668661</v>
      </c>
      <c r="H120" s="63">
        <v>14066948730</v>
      </c>
      <c r="I120" s="63">
        <v>16796719931</v>
      </c>
    </row>
    <row r="121" spans="1:9">
      <c r="A121" s="63" t="s">
        <v>338</v>
      </c>
      <c r="B121" s="63">
        <v>7083396</v>
      </c>
      <c r="C121" s="63">
        <v>19820768604</v>
      </c>
      <c r="D121" s="63">
        <v>17886298099</v>
      </c>
      <c r="E121" s="63">
        <v>1934470505</v>
      </c>
      <c r="F121" s="63">
        <v>7083396</v>
      </c>
      <c r="G121" s="63">
        <v>19820768604</v>
      </c>
      <c r="H121" s="63">
        <v>21700886395</v>
      </c>
      <c r="I121" s="63">
        <v>-1880117791</v>
      </c>
    </row>
    <row r="122" spans="1:9">
      <c r="A122" s="63" t="s">
        <v>200</v>
      </c>
      <c r="B122" s="63">
        <v>3429795</v>
      </c>
      <c r="C122" s="63">
        <v>22121337450</v>
      </c>
      <c r="D122" s="63">
        <v>24673799464</v>
      </c>
      <c r="E122" s="63">
        <v>-2552462014</v>
      </c>
      <c r="F122" s="63">
        <v>3429795</v>
      </c>
      <c r="G122" s="63">
        <v>22121337450</v>
      </c>
      <c r="H122" s="63">
        <v>25843996755</v>
      </c>
      <c r="I122" s="63">
        <v>-3722659305</v>
      </c>
    </row>
    <row r="123" spans="1:9">
      <c r="A123" s="63" t="s">
        <v>220</v>
      </c>
      <c r="B123" s="63">
        <v>6557463</v>
      </c>
      <c r="C123" s="63">
        <v>29124319578</v>
      </c>
      <c r="D123" s="63">
        <v>38747099837</v>
      </c>
      <c r="E123" s="63">
        <v>-9622780259</v>
      </c>
      <c r="F123" s="63">
        <v>6557463</v>
      </c>
      <c r="G123" s="63">
        <v>29124319578</v>
      </c>
      <c r="H123" s="63">
        <v>16694189082</v>
      </c>
      <c r="I123" s="63">
        <v>12430130496</v>
      </c>
    </row>
    <row r="124" spans="1:9">
      <c r="A124" s="63" t="s">
        <v>309</v>
      </c>
      <c r="B124" s="63">
        <v>12931711</v>
      </c>
      <c r="C124" s="63">
        <v>39136834066</v>
      </c>
      <c r="D124" s="63">
        <v>35714901856</v>
      </c>
      <c r="E124" s="63">
        <v>3421932210</v>
      </c>
      <c r="F124" s="63">
        <v>12931711</v>
      </c>
      <c r="G124" s="63">
        <v>39136834066</v>
      </c>
      <c r="H124" s="63">
        <v>27983061650</v>
      </c>
      <c r="I124" s="63">
        <v>11153772416</v>
      </c>
    </row>
    <row r="125" spans="1:9">
      <c r="A125" s="63" t="s">
        <v>250</v>
      </c>
      <c r="B125" s="63">
        <v>5065914</v>
      </c>
      <c r="C125" s="63">
        <v>14567534497</v>
      </c>
      <c r="D125" s="63">
        <v>16362085848</v>
      </c>
      <c r="E125" s="63">
        <v>-1794551351</v>
      </c>
      <c r="F125" s="63">
        <v>5065914</v>
      </c>
      <c r="G125" s="63">
        <v>14567534497</v>
      </c>
      <c r="H125" s="63">
        <v>18707892280</v>
      </c>
      <c r="I125" s="63">
        <v>-4140357783</v>
      </c>
    </row>
    <row r="126" spans="1:9">
      <c r="A126" s="63" t="s">
        <v>274</v>
      </c>
      <c r="B126" s="63">
        <v>8180289</v>
      </c>
      <c r="C126" s="63">
        <v>24813838254</v>
      </c>
      <c r="D126" s="63">
        <v>30737993811</v>
      </c>
      <c r="E126" s="63">
        <v>-5924155557</v>
      </c>
      <c r="F126" s="63">
        <v>8180289</v>
      </c>
      <c r="G126" s="63">
        <v>24813838254</v>
      </c>
      <c r="H126" s="63">
        <v>24340452204</v>
      </c>
      <c r="I126" s="63">
        <v>473386050</v>
      </c>
    </row>
    <row r="127" spans="1:9">
      <c r="A127" s="63" t="s">
        <v>301</v>
      </c>
      <c r="B127" s="63">
        <v>4489661</v>
      </c>
      <c r="C127" s="63">
        <v>15971016975</v>
      </c>
      <c r="D127" s="63">
        <v>20225499879</v>
      </c>
      <c r="E127" s="63">
        <v>-4254482904</v>
      </c>
      <c r="F127" s="63">
        <v>4489661</v>
      </c>
      <c r="G127" s="63">
        <v>15971016975</v>
      </c>
      <c r="H127" s="63">
        <v>16992352373</v>
      </c>
      <c r="I127" s="63">
        <v>-1021335398</v>
      </c>
    </row>
    <row r="128" spans="1:9">
      <c r="A128" s="63" t="s">
        <v>298</v>
      </c>
      <c r="B128" s="63">
        <v>2038313</v>
      </c>
      <c r="C128" s="63">
        <v>28659630430</v>
      </c>
      <c r="D128" s="63">
        <v>32704744111</v>
      </c>
      <c r="E128" s="63">
        <v>-4045113681</v>
      </c>
      <c r="F128" s="63">
        <v>2038313</v>
      </c>
      <c r="G128" s="63">
        <v>28659630430</v>
      </c>
      <c r="H128" s="63">
        <v>35612740710</v>
      </c>
      <c r="I128" s="63">
        <v>-6953110280</v>
      </c>
    </row>
    <row r="129" spans="1:9">
      <c r="A129" s="63" t="s">
        <v>218</v>
      </c>
      <c r="B129" s="63">
        <v>7154828</v>
      </c>
      <c r="C129" s="63">
        <v>26076541293</v>
      </c>
      <c r="D129" s="63">
        <v>29559126148</v>
      </c>
      <c r="E129" s="63">
        <v>-3482584855</v>
      </c>
      <c r="F129" s="63">
        <v>7154828</v>
      </c>
      <c r="G129" s="63">
        <v>26076541293</v>
      </c>
      <c r="H129" s="63">
        <v>18245759194</v>
      </c>
      <c r="I129" s="63">
        <v>7830782099</v>
      </c>
    </row>
    <row r="130" spans="1:9">
      <c r="A130" s="63" t="s">
        <v>231</v>
      </c>
      <c r="B130" s="63">
        <v>2789045</v>
      </c>
      <c r="C130" s="63">
        <v>15663968961</v>
      </c>
      <c r="D130" s="63">
        <v>15885367816</v>
      </c>
      <c r="E130" s="63">
        <v>-221398855</v>
      </c>
      <c r="F130" s="63">
        <v>2789045</v>
      </c>
      <c r="G130" s="63">
        <v>15663968961</v>
      </c>
      <c r="H130" s="63">
        <v>9704409400</v>
      </c>
      <c r="I130" s="63">
        <v>5959559561</v>
      </c>
    </row>
    <row r="131" spans="1:9">
      <c r="A131" s="63" t="s">
        <v>196</v>
      </c>
      <c r="B131" s="63">
        <v>1500163</v>
      </c>
      <c r="C131" s="63">
        <v>19351367620</v>
      </c>
      <c r="D131" s="63">
        <v>26402066766</v>
      </c>
      <c r="E131" s="63">
        <v>-7050699146</v>
      </c>
      <c r="F131" s="63">
        <v>1500163</v>
      </c>
      <c r="G131" s="63">
        <v>19351367620</v>
      </c>
      <c r="H131" s="63">
        <v>20248099076</v>
      </c>
      <c r="I131" s="63">
        <v>-896731456</v>
      </c>
    </row>
    <row r="132" spans="1:9">
      <c r="A132" s="63" t="s">
        <v>310</v>
      </c>
      <c r="B132" s="63">
        <v>2116099</v>
      </c>
      <c r="C132" s="63">
        <v>23118154518</v>
      </c>
      <c r="D132" s="63">
        <v>24126030464</v>
      </c>
      <c r="E132" s="63">
        <v>-1007875946</v>
      </c>
      <c r="F132" s="63">
        <v>2116099</v>
      </c>
      <c r="G132" s="63">
        <v>23118154518</v>
      </c>
      <c r="H132" s="63">
        <v>19380542164</v>
      </c>
      <c r="I132" s="63">
        <v>3737612354</v>
      </c>
    </row>
    <row r="133" spans="1:9">
      <c r="A133" s="63" t="s">
        <v>263</v>
      </c>
      <c r="B133" s="63">
        <v>304021</v>
      </c>
      <c r="C133" s="63">
        <v>10477030971</v>
      </c>
      <c r="D133" s="63">
        <v>10024524594</v>
      </c>
      <c r="E133" s="63">
        <v>452506377</v>
      </c>
      <c r="F133" s="63">
        <v>304021</v>
      </c>
      <c r="G133" s="63">
        <v>10477030971</v>
      </c>
      <c r="H133" s="63">
        <v>7764263692</v>
      </c>
      <c r="I133" s="63">
        <v>2712767279</v>
      </c>
    </row>
    <row r="134" spans="1:9">
      <c r="A134" s="63" t="s">
        <v>182</v>
      </c>
      <c r="B134" s="63">
        <v>4967900</v>
      </c>
      <c r="C134" s="63">
        <v>20960226062</v>
      </c>
      <c r="D134" s="63">
        <v>32898505248</v>
      </c>
      <c r="E134" s="63">
        <v>-11938279186</v>
      </c>
      <c r="F134" s="63">
        <v>4967900</v>
      </c>
      <c r="G134" s="63">
        <v>20960226062</v>
      </c>
      <c r="H134" s="63">
        <v>27318914165</v>
      </c>
      <c r="I134" s="63">
        <v>-6358688103</v>
      </c>
    </row>
    <row r="135" spans="1:9">
      <c r="A135" s="63" t="s">
        <v>179</v>
      </c>
      <c r="B135" s="63">
        <v>19600000</v>
      </c>
      <c r="C135" s="63">
        <v>27519616180</v>
      </c>
      <c r="D135" s="63">
        <v>35668534328</v>
      </c>
      <c r="E135" s="63">
        <v>-8148918148</v>
      </c>
      <c r="F135" s="63">
        <v>19600000</v>
      </c>
      <c r="G135" s="63">
        <v>27519616180</v>
      </c>
      <c r="H135" s="63">
        <v>39331346955</v>
      </c>
      <c r="I135" s="63">
        <v>-11811730775</v>
      </c>
    </row>
    <row r="136" spans="1:9">
      <c r="A136" s="63" t="s">
        <v>271</v>
      </c>
      <c r="B136" s="63">
        <v>3915801</v>
      </c>
      <c r="C136" s="63">
        <v>13459482357</v>
      </c>
      <c r="D136" s="63">
        <v>14287100643</v>
      </c>
      <c r="E136" s="63">
        <v>-827618286</v>
      </c>
      <c r="F136" s="63">
        <v>3915801</v>
      </c>
      <c r="G136" s="63">
        <v>13459482357</v>
      </c>
      <c r="H136" s="63">
        <v>13026834643</v>
      </c>
      <c r="I136" s="63">
        <v>432647714</v>
      </c>
    </row>
    <row r="137" spans="1:9">
      <c r="A137" s="63" t="s">
        <v>366</v>
      </c>
      <c r="B137" s="63">
        <v>540150</v>
      </c>
      <c r="C137" s="63">
        <v>9647543529</v>
      </c>
      <c r="D137" s="63">
        <v>10242475380</v>
      </c>
      <c r="E137" s="63">
        <v>-594931851</v>
      </c>
      <c r="F137" s="63">
        <v>540150</v>
      </c>
      <c r="G137" s="63">
        <v>9647543529</v>
      </c>
      <c r="H137" s="63">
        <v>8499361036</v>
      </c>
      <c r="I137" s="63">
        <v>1148182493</v>
      </c>
    </row>
    <row r="138" spans="1:9">
      <c r="A138" s="63" t="s">
        <v>234</v>
      </c>
      <c r="B138" s="63">
        <v>8858150</v>
      </c>
      <c r="C138" s="63">
        <v>17588142678</v>
      </c>
      <c r="D138" s="63">
        <v>20805164277</v>
      </c>
      <c r="E138" s="63">
        <v>-3217021599</v>
      </c>
      <c r="F138" s="63">
        <v>8858150</v>
      </c>
      <c r="G138" s="63">
        <v>17588142678</v>
      </c>
      <c r="H138" s="63">
        <v>11344964033</v>
      </c>
      <c r="I138" s="63">
        <v>6243178645</v>
      </c>
    </row>
    <row r="139" spans="1:9">
      <c r="A139" s="63" t="s">
        <v>392</v>
      </c>
      <c r="B139" s="63">
        <v>5800000</v>
      </c>
      <c r="C139" s="63">
        <v>26675194410</v>
      </c>
      <c r="D139" s="63">
        <v>31308103040</v>
      </c>
      <c r="E139" s="63">
        <v>-4632908630</v>
      </c>
      <c r="F139" s="63">
        <v>5800000</v>
      </c>
      <c r="G139" s="63">
        <v>26675194410</v>
      </c>
      <c r="H139" s="63">
        <v>21338456733</v>
      </c>
      <c r="I139" s="63">
        <v>5336737677</v>
      </c>
    </row>
    <row r="140" spans="1:9">
      <c r="A140" s="63" t="s">
        <v>255</v>
      </c>
      <c r="B140" s="63">
        <v>4441456</v>
      </c>
      <c r="C140" s="63">
        <v>14852006347</v>
      </c>
      <c r="D140" s="63">
        <v>17487466227</v>
      </c>
      <c r="E140" s="63">
        <v>-2635459880</v>
      </c>
      <c r="F140" s="63">
        <v>4441456</v>
      </c>
      <c r="G140" s="63">
        <v>14852006347</v>
      </c>
      <c r="H140" s="63">
        <v>11625693660</v>
      </c>
      <c r="I140" s="63">
        <v>3226312687</v>
      </c>
    </row>
    <row r="141" spans="1:9">
      <c r="A141" s="63" t="s">
        <v>272</v>
      </c>
      <c r="B141" s="63">
        <v>6186321</v>
      </c>
      <c r="C141" s="63">
        <v>28857091972</v>
      </c>
      <c r="D141" s="63">
        <v>29857667593</v>
      </c>
      <c r="E141" s="63">
        <v>-1000575621</v>
      </c>
      <c r="F141" s="63">
        <v>6186321</v>
      </c>
      <c r="G141" s="63">
        <v>28857091972</v>
      </c>
      <c r="H141" s="63">
        <v>15165695990</v>
      </c>
      <c r="I141" s="63">
        <v>13691395982</v>
      </c>
    </row>
    <row r="142" spans="1:9">
      <c r="A142" s="63" t="s">
        <v>238</v>
      </c>
      <c r="B142" s="63">
        <v>19209541</v>
      </c>
      <c r="C142" s="63">
        <v>23616642496</v>
      </c>
      <c r="D142" s="63">
        <v>24162527403</v>
      </c>
      <c r="E142" s="63">
        <v>-545884907</v>
      </c>
      <c r="F142" s="63">
        <v>19209541</v>
      </c>
      <c r="G142" s="63">
        <v>23616642496</v>
      </c>
      <c r="H142" s="63">
        <v>21405614361</v>
      </c>
      <c r="I142" s="63">
        <v>2211028135</v>
      </c>
    </row>
    <row r="143" spans="1:9">
      <c r="A143" s="63" t="s">
        <v>375</v>
      </c>
      <c r="B143" s="63">
        <v>1447708</v>
      </c>
      <c r="C143" s="63">
        <v>11721980492</v>
      </c>
      <c r="D143" s="63">
        <v>11520868082</v>
      </c>
      <c r="E143" s="63">
        <v>201112410</v>
      </c>
      <c r="F143" s="63">
        <v>1447708</v>
      </c>
      <c r="G143" s="63">
        <v>11721980492</v>
      </c>
      <c r="H143" s="63">
        <v>7589659743</v>
      </c>
      <c r="I143" s="63">
        <v>4132320749</v>
      </c>
    </row>
    <row r="144" spans="1:9">
      <c r="A144" s="63" t="s">
        <v>319</v>
      </c>
      <c r="B144" s="63">
        <v>2874109</v>
      </c>
      <c r="C144" s="63">
        <v>35905322010</v>
      </c>
      <c r="D144" s="63">
        <v>32911200659</v>
      </c>
      <c r="E144" s="63">
        <v>2994121351</v>
      </c>
      <c r="F144" s="63">
        <v>2874109</v>
      </c>
      <c r="G144" s="63">
        <v>35905322010</v>
      </c>
      <c r="H144" s="63">
        <v>27174847556</v>
      </c>
      <c r="I144" s="63">
        <v>8730474454</v>
      </c>
    </row>
    <row r="145" spans="1:9">
      <c r="A145" s="63" t="s">
        <v>290</v>
      </c>
      <c r="B145" s="63">
        <v>5309272</v>
      </c>
      <c r="C145" s="63">
        <v>29186001554</v>
      </c>
      <c r="D145" s="63">
        <v>31321269800</v>
      </c>
      <c r="E145" s="63">
        <v>-2135268246</v>
      </c>
      <c r="F145" s="63">
        <v>5309272</v>
      </c>
      <c r="G145" s="63">
        <v>29186001554</v>
      </c>
      <c r="H145" s="63">
        <v>28666134962</v>
      </c>
      <c r="I145" s="63">
        <v>519866592</v>
      </c>
    </row>
    <row r="146" spans="1:9">
      <c r="A146" s="63" t="s">
        <v>389</v>
      </c>
      <c r="B146" s="63">
        <v>241083</v>
      </c>
      <c r="C146" s="63">
        <v>2841926810</v>
      </c>
      <c r="D146" s="63">
        <v>3143343289</v>
      </c>
      <c r="E146" s="63">
        <v>-301416479</v>
      </c>
      <c r="F146" s="63">
        <v>241083</v>
      </c>
      <c r="G146" s="63">
        <v>2841926810</v>
      </c>
      <c r="H146" s="63">
        <v>1966102194</v>
      </c>
      <c r="I146" s="63">
        <v>875824616</v>
      </c>
    </row>
    <row r="147" spans="1:9">
      <c r="A147" s="63" t="s">
        <v>241</v>
      </c>
      <c r="B147" s="63">
        <v>5849737</v>
      </c>
      <c r="C147" s="63">
        <v>19265197011</v>
      </c>
      <c r="D147" s="63">
        <v>22898825613</v>
      </c>
      <c r="E147" s="63">
        <v>-3633628602</v>
      </c>
      <c r="F147" s="63">
        <v>5849737</v>
      </c>
      <c r="G147" s="63">
        <v>19265197011</v>
      </c>
      <c r="H147" s="63">
        <v>19361267899</v>
      </c>
      <c r="I147" s="63">
        <v>-96070888</v>
      </c>
    </row>
    <row r="148" spans="1:9">
      <c r="A148" s="63" t="s">
        <v>282</v>
      </c>
      <c r="B148" s="63">
        <v>10684873</v>
      </c>
      <c r="C148" s="63">
        <v>26590515561</v>
      </c>
      <c r="D148" s="63">
        <v>31037898797</v>
      </c>
      <c r="E148" s="63">
        <v>-4447383236</v>
      </c>
      <c r="F148" s="63">
        <v>10684873</v>
      </c>
      <c r="G148" s="63">
        <v>26590515561</v>
      </c>
      <c r="H148" s="63">
        <v>20039466760</v>
      </c>
      <c r="I148" s="63">
        <v>6551048801</v>
      </c>
    </row>
    <row r="149" spans="1:9">
      <c r="A149" s="63" t="s">
        <v>197</v>
      </c>
      <c r="B149" s="63">
        <v>14665640</v>
      </c>
      <c r="C149" s="63">
        <v>54381850191</v>
      </c>
      <c r="D149" s="63">
        <v>57949030006</v>
      </c>
      <c r="E149" s="63">
        <v>-3567179815</v>
      </c>
      <c r="F149" s="63">
        <v>14665640</v>
      </c>
      <c r="G149" s="63">
        <v>54381850191</v>
      </c>
      <c r="H149" s="63">
        <v>61002687836</v>
      </c>
      <c r="I149" s="63">
        <v>-6620837645</v>
      </c>
    </row>
    <row r="150" spans="1:9">
      <c r="A150" s="63" t="s">
        <v>219</v>
      </c>
      <c r="B150" s="63">
        <v>21893355</v>
      </c>
      <c r="C150" s="63">
        <v>28024113982</v>
      </c>
      <c r="D150" s="63">
        <v>35806165640</v>
      </c>
      <c r="E150" s="63">
        <v>-7782051658</v>
      </c>
      <c r="F150" s="63">
        <v>21893355</v>
      </c>
      <c r="G150" s="63">
        <v>28024113982</v>
      </c>
      <c r="H150" s="63">
        <v>31647249596</v>
      </c>
      <c r="I150" s="63">
        <v>-3623135614</v>
      </c>
    </row>
    <row r="151" spans="1:9">
      <c r="A151" s="63" t="s">
        <v>317</v>
      </c>
      <c r="B151" s="63">
        <v>3740260</v>
      </c>
      <c r="C151" s="63">
        <v>26424796266</v>
      </c>
      <c r="D151" s="63">
        <v>32696974032</v>
      </c>
      <c r="E151" s="63">
        <v>-6272177766</v>
      </c>
      <c r="F151" s="63">
        <v>3740260</v>
      </c>
      <c r="G151" s="63">
        <v>26424796266</v>
      </c>
      <c r="H151" s="63">
        <v>30938624257</v>
      </c>
      <c r="I151" s="63">
        <v>-4513827991</v>
      </c>
    </row>
    <row r="152" spans="1:9">
      <c r="A152" s="63" t="s">
        <v>229</v>
      </c>
      <c r="B152" s="63">
        <v>862852</v>
      </c>
      <c r="C152" s="63">
        <v>10984817036</v>
      </c>
      <c r="D152" s="63">
        <v>13467745283</v>
      </c>
      <c r="E152" s="63">
        <v>-2482928247</v>
      </c>
      <c r="F152" s="63">
        <v>862852</v>
      </c>
      <c r="G152" s="63">
        <v>10984817036</v>
      </c>
      <c r="H152" s="63">
        <v>7777212626</v>
      </c>
      <c r="I152" s="63">
        <v>3207604410</v>
      </c>
    </row>
    <row r="153" spans="1:9">
      <c r="A153" s="63" t="s">
        <v>225</v>
      </c>
      <c r="B153" s="63">
        <v>3684284</v>
      </c>
      <c r="C153" s="63">
        <v>29867922640</v>
      </c>
      <c r="D153" s="63">
        <v>34985919465</v>
      </c>
      <c r="E153" s="63">
        <v>-5117996825</v>
      </c>
      <c r="F153" s="63">
        <v>3684284</v>
      </c>
      <c r="G153" s="63">
        <v>29867922640</v>
      </c>
      <c r="H153" s="63">
        <v>22999147341</v>
      </c>
      <c r="I153" s="63">
        <v>6868775299</v>
      </c>
    </row>
    <row r="154" spans="1:9">
      <c r="A154" s="63" t="s">
        <v>259</v>
      </c>
      <c r="B154" s="63">
        <v>881085</v>
      </c>
      <c r="C154" s="63">
        <v>4808508171</v>
      </c>
      <c r="D154" s="63">
        <v>6032170606</v>
      </c>
      <c r="E154" s="63">
        <v>-1223662435</v>
      </c>
      <c r="F154" s="63">
        <v>881085</v>
      </c>
      <c r="G154" s="63">
        <v>4808508171</v>
      </c>
      <c r="H154" s="63">
        <v>4471783787</v>
      </c>
      <c r="I154" s="63">
        <v>336724384</v>
      </c>
    </row>
    <row r="155" spans="1:9">
      <c r="A155" s="63" t="s">
        <v>483</v>
      </c>
      <c r="B155" s="63">
        <v>1321627</v>
      </c>
      <c r="C155" s="63">
        <v>5901348705</v>
      </c>
      <c r="D155" s="63">
        <v>5324651420</v>
      </c>
      <c r="E155" s="63">
        <v>576697285</v>
      </c>
      <c r="F155" s="63">
        <v>1321627</v>
      </c>
      <c r="G155" s="63">
        <v>5901348705</v>
      </c>
      <c r="H155" s="63">
        <v>5324651420</v>
      </c>
      <c r="I155" s="63">
        <v>576697285</v>
      </c>
    </row>
    <row r="156" spans="1:9">
      <c r="A156" s="63" t="s">
        <v>297</v>
      </c>
      <c r="B156" s="63">
        <v>4568835</v>
      </c>
      <c r="C156" s="63">
        <v>28742503521</v>
      </c>
      <c r="D156" s="63">
        <v>32467754288</v>
      </c>
      <c r="E156" s="63">
        <v>-3725250767</v>
      </c>
      <c r="F156" s="63">
        <v>4568835</v>
      </c>
      <c r="G156" s="63">
        <v>28742503521</v>
      </c>
      <c r="H156" s="63">
        <v>37344634449</v>
      </c>
      <c r="I156" s="63">
        <v>-8602130928</v>
      </c>
    </row>
    <row r="157" spans="1:9">
      <c r="A157" s="63" t="s">
        <v>399</v>
      </c>
      <c r="B157" s="63">
        <v>1764830</v>
      </c>
      <c r="C157" s="63">
        <v>20243731709</v>
      </c>
      <c r="D157" s="63">
        <v>22135014602</v>
      </c>
      <c r="E157" s="63">
        <v>-1891282893</v>
      </c>
      <c r="F157" s="63">
        <v>1764830</v>
      </c>
      <c r="G157" s="63">
        <v>20243731709</v>
      </c>
      <c r="H157" s="63">
        <v>16756051992</v>
      </c>
      <c r="I157" s="63">
        <v>3487679717</v>
      </c>
    </row>
    <row r="158" spans="1:9">
      <c r="A158" s="63" t="s">
        <v>346</v>
      </c>
      <c r="B158" s="63">
        <v>3600000</v>
      </c>
      <c r="C158" s="63">
        <v>23219118000</v>
      </c>
      <c r="D158" s="63">
        <v>26755568280</v>
      </c>
      <c r="E158" s="63">
        <v>-3536450280</v>
      </c>
      <c r="F158" s="63">
        <v>3600000</v>
      </c>
      <c r="G158" s="63">
        <v>23219118000</v>
      </c>
      <c r="H158" s="63">
        <v>19417906724</v>
      </c>
      <c r="I158" s="63">
        <v>3801211276</v>
      </c>
    </row>
    <row r="159" spans="1:9">
      <c r="A159" s="63" t="s">
        <v>212</v>
      </c>
      <c r="B159" s="63">
        <v>6855522</v>
      </c>
      <c r="C159" s="63">
        <v>39386641839</v>
      </c>
      <c r="D159" s="63">
        <v>45203595758</v>
      </c>
      <c r="E159" s="63">
        <v>-5816953919</v>
      </c>
      <c r="F159" s="63">
        <v>6855522</v>
      </c>
      <c r="G159" s="63">
        <v>39386641839</v>
      </c>
      <c r="H159" s="63">
        <v>30530329483</v>
      </c>
      <c r="I159" s="63">
        <v>8856312356</v>
      </c>
    </row>
    <row r="160" spans="1:9">
      <c r="A160" s="63" t="s">
        <v>273</v>
      </c>
      <c r="B160" s="63">
        <v>2141672</v>
      </c>
      <c r="C160" s="63">
        <v>12091915021</v>
      </c>
      <c r="D160" s="63">
        <v>12559440734</v>
      </c>
      <c r="E160" s="63">
        <v>-467525713</v>
      </c>
      <c r="F160" s="63">
        <v>2141672</v>
      </c>
      <c r="G160" s="63">
        <v>12091915021</v>
      </c>
      <c r="H160" s="63">
        <v>5543199042</v>
      </c>
      <c r="I160" s="63">
        <v>6548715979</v>
      </c>
    </row>
    <row r="161" spans="1:9">
      <c r="A161" s="63" t="s">
        <v>270</v>
      </c>
      <c r="B161" s="63">
        <v>9904132</v>
      </c>
      <c r="C161" s="63">
        <v>14043601902</v>
      </c>
      <c r="D161" s="63">
        <v>18131872295</v>
      </c>
      <c r="E161" s="63">
        <v>-4088270393</v>
      </c>
      <c r="F161" s="63">
        <v>9904132</v>
      </c>
      <c r="G161" s="63">
        <v>14043601902</v>
      </c>
      <c r="H161" s="63">
        <v>13725154759</v>
      </c>
      <c r="I161" s="63">
        <v>318447143</v>
      </c>
    </row>
    <row r="162" spans="1:9">
      <c r="A162" s="63" t="s">
        <v>230</v>
      </c>
      <c r="B162" s="63">
        <v>2451893</v>
      </c>
      <c r="C162" s="63">
        <v>13527145661</v>
      </c>
      <c r="D162" s="63">
        <v>17882108023</v>
      </c>
      <c r="E162" s="63">
        <v>-4354962362</v>
      </c>
      <c r="F162" s="63">
        <v>2451893</v>
      </c>
      <c r="G162" s="63">
        <v>13527145661</v>
      </c>
      <c r="H162" s="63">
        <v>14817650768</v>
      </c>
      <c r="I162" s="63">
        <v>-1290505107</v>
      </c>
    </row>
    <row r="163" spans="1:9">
      <c r="A163" s="63" t="s">
        <v>207</v>
      </c>
      <c r="B163" s="63">
        <v>3867933</v>
      </c>
      <c r="C163" s="63">
        <v>25753207321</v>
      </c>
      <c r="D163" s="63">
        <v>28516591713</v>
      </c>
      <c r="E163" s="63">
        <v>-2763384392</v>
      </c>
      <c r="F163" s="63">
        <v>3867933</v>
      </c>
      <c r="G163" s="63">
        <v>25753207321</v>
      </c>
      <c r="H163" s="63">
        <v>21817444904</v>
      </c>
      <c r="I163" s="63">
        <v>3935762417</v>
      </c>
    </row>
    <row r="164" spans="1:9">
      <c r="A164" s="63" t="s">
        <v>363</v>
      </c>
      <c r="B164" s="63">
        <v>267500</v>
      </c>
      <c r="C164" s="63">
        <v>10245683885</v>
      </c>
      <c r="D164" s="63">
        <v>11161425061</v>
      </c>
      <c r="E164" s="63">
        <v>-915741176</v>
      </c>
      <c r="F164" s="63">
        <v>267500</v>
      </c>
      <c r="G164" s="63">
        <v>10245683885</v>
      </c>
      <c r="H164" s="63">
        <v>7375699925</v>
      </c>
      <c r="I164" s="63">
        <v>2869983960</v>
      </c>
    </row>
    <row r="165" spans="1:9">
      <c r="A165" s="63" t="s">
        <v>333</v>
      </c>
      <c r="B165" s="63">
        <v>5918151</v>
      </c>
      <c r="C165" s="63">
        <v>24435071766</v>
      </c>
      <c r="D165" s="63">
        <v>26880861793</v>
      </c>
      <c r="E165" s="63">
        <v>-2445790027</v>
      </c>
      <c r="F165" s="63">
        <v>5918151</v>
      </c>
      <c r="G165" s="63">
        <v>24435071766</v>
      </c>
      <c r="H165" s="63">
        <v>21816185249</v>
      </c>
      <c r="I165" s="63">
        <v>2618886517</v>
      </c>
    </row>
    <row r="166" spans="1:9">
      <c r="A166" s="63" t="s">
        <v>291</v>
      </c>
      <c r="B166" s="63">
        <v>1256499</v>
      </c>
      <c r="C166" s="63">
        <v>8166450021</v>
      </c>
      <c r="D166" s="63">
        <v>9988003864</v>
      </c>
      <c r="E166" s="63">
        <v>-1821553843</v>
      </c>
      <c r="F166" s="63">
        <v>1256499</v>
      </c>
      <c r="G166" s="63">
        <v>8166450021</v>
      </c>
      <c r="H166" s="63">
        <v>8314819804</v>
      </c>
      <c r="I166" s="63">
        <v>-148369783</v>
      </c>
    </row>
    <row r="167" spans="1:9">
      <c r="A167" s="63" t="s">
        <v>443</v>
      </c>
      <c r="B167" s="63">
        <v>700000</v>
      </c>
      <c r="C167" s="63">
        <v>12447034880</v>
      </c>
      <c r="D167" s="63">
        <v>12988814300</v>
      </c>
      <c r="E167" s="63">
        <v>-541779420</v>
      </c>
      <c r="F167" s="63">
        <v>700000</v>
      </c>
      <c r="G167" s="63">
        <v>12447034880</v>
      </c>
      <c r="H167" s="63">
        <v>9581647950</v>
      </c>
      <c r="I167" s="63">
        <v>2865386930</v>
      </c>
    </row>
    <row r="168" spans="1:9">
      <c r="A168" s="63" t="s">
        <v>283</v>
      </c>
      <c r="B168" s="63">
        <v>9226316</v>
      </c>
      <c r="C168" s="63">
        <v>32033333024</v>
      </c>
      <c r="D168" s="63">
        <v>44669914654</v>
      </c>
      <c r="E168" s="63">
        <v>-12636581630</v>
      </c>
      <c r="F168" s="63">
        <v>9226316</v>
      </c>
      <c r="G168" s="63">
        <v>32033333024</v>
      </c>
      <c r="H168" s="63">
        <v>39014054939</v>
      </c>
      <c r="I168" s="63">
        <v>-6980721915</v>
      </c>
    </row>
    <row r="169" spans="1:9">
      <c r="A169" s="63" t="s">
        <v>209</v>
      </c>
      <c r="B169" s="63">
        <v>1293618</v>
      </c>
      <c r="C169" s="63">
        <v>17380192227</v>
      </c>
      <c r="D169" s="63">
        <v>20371022942</v>
      </c>
      <c r="E169" s="63">
        <v>-2990830715</v>
      </c>
      <c r="F169" s="63">
        <v>1293618</v>
      </c>
      <c r="G169" s="63">
        <v>17380192227</v>
      </c>
      <c r="H169" s="63">
        <v>9058195859</v>
      </c>
      <c r="I169" s="63">
        <v>8321996368</v>
      </c>
    </row>
    <row r="170" spans="1:9">
      <c r="A170" s="63" t="s">
        <v>172</v>
      </c>
      <c r="B170" s="63">
        <v>8154486</v>
      </c>
      <c r="C170" s="63">
        <v>40942746225</v>
      </c>
      <c r="D170" s="63">
        <v>49010345842</v>
      </c>
      <c r="E170" s="63">
        <v>-8067599617</v>
      </c>
      <c r="F170" s="63">
        <v>8154486</v>
      </c>
      <c r="G170" s="63">
        <v>40942746225</v>
      </c>
      <c r="H170" s="63">
        <v>41564406435</v>
      </c>
      <c r="I170" s="63">
        <v>-621660210</v>
      </c>
    </row>
    <row r="171" spans="1:9">
      <c r="A171" s="63" t="s">
        <v>279</v>
      </c>
      <c r="B171" s="63">
        <v>2470314</v>
      </c>
      <c r="C171" s="63">
        <v>19658772152</v>
      </c>
      <c r="D171" s="63">
        <v>28768384207</v>
      </c>
      <c r="E171" s="63">
        <v>-9109612055</v>
      </c>
      <c r="F171" s="63">
        <v>2470314</v>
      </c>
      <c r="G171" s="63">
        <v>19658772152</v>
      </c>
      <c r="H171" s="63">
        <v>14160062309</v>
      </c>
      <c r="I171" s="63">
        <v>5498709843</v>
      </c>
    </row>
    <row r="172" spans="1:9">
      <c r="A172" s="63" t="s">
        <v>171</v>
      </c>
      <c r="B172" s="63">
        <v>1483336</v>
      </c>
      <c r="C172" s="63">
        <v>4739420797</v>
      </c>
      <c r="D172" s="63">
        <v>4597182313</v>
      </c>
      <c r="E172" s="63">
        <v>142238484</v>
      </c>
      <c r="F172" s="63">
        <v>1483336</v>
      </c>
      <c r="G172" s="63">
        <v>4739420797</v>
      </c>
      <c r="H172" s="63">
        <v>3575594274</v>
      </c>
      <c r="I172" s="63">
        <v>1163826523</v>
      </c>
    </row>
    <row r="173" spans="1:9">
      <c r="A173" s="63" t="s">
        <v>350</v>
      </c>
      <c r="B173" s="63">
        <v>1086071</v>
      </c>
      <c r="C173" s="63">
        <v>20314186402</v>
      </c>
      <c r="D173" s="63">
        <v>32647875320</v>
      </c>
      <c r="E173" s="63">
        <v>-12333688918</v>
      </c>
      <c r="F173" s="63">
        <v>1086071</v>
      </c>
      <c r="G173" s="63">
        <v>20314186402</v>
      </c>
      <c r="H173" s="63">
        <v>14201676419</v>
      </c>
      <c r="I173" s="63">
        <v>6112509983</v>
      </c>
    </row>
    <row r="174" spans="1:9">
      <c r="A174" s="63" t="s">
        <v>266</v>
      </c>
      <c r="B174" s="63">
        <v>10955401</v>
      </c>
      <c r="C174" s="63">
        <v>26448451420</v>
      </c>
      <c r="D174" s="63">
        <v>32648466404</v>
      </c>
      <c r="E174" s="63">
        <v>-6200014984</v>
      </c>
      <c r="F174" s="63">
        <v>10955401</v>
      </c>
      <c r="G174" s="63">
        <v>26448451420</v>
      </c>
      <c r="H174" s="63">
        <v>36795283413</v>
      </c>
      <c r="I174" s="63">
        <v>-10346831993</v>
      </c>
    </row>
    <row r="175" spans="1:9">
      <c r="A175" s="63" t="s">
        <v>339</v>
      </c>
      <c r="B175" s="63">
        <v>15001572</v>
      </c>
      <c r="C175" s="63">
        <v>29815876526</v>
      </c>
      <c r="D175" s="63">
        <v>33766072065</v>
      </c>
      <c r="E175" s="63">
        <v>-3950195539</v>
      </c>
      <c r="F175" s="63">
        <v>15001572</v>
      </c>
      <c r="G175" s="63">
        <v>29815876526</v>
      </c>
      <c r="H175" s="63">
        <v>28761839566</v>
      </c>
      <c r="I175" s="63">
        <v>1054036960</v>
      </c>
    </row>
    <row r="176" spans="1:9">
      <c r="A176" s="63" t="s">
        <v>383</v>
      </c>
      <c r="B176" s="63">
        <v>1145414</v>
      </c>
      <c r="C176" s="63">
        <v>14491139360</v>
      </c>
      <c r="D176" s="63">
        <v>17025668048</v>
      </c>
      <c r="E176" s="63">
        <v>-2534528688</v>
      </c>
      <c r="F176" s="63">
        <v>1145414</v>
      </c>
      <c r="G176" s="63">
        <v>14491139360</v>
      </c>
      <c r="H176" s="63">
        <v>14519339942</v>
      </c>
      <c r="I176" s="63">
        <v>-28200582</v>
      </c>
    </row>
    <row r="177" spans="1:9">
      <c r="A177" s="63" t="s">
        <v>286</v>
      </c>
      <c r="B177" s="63">
        <v>604777</v>
      </c>
      <c r="C177" s="63">
        <v>32615547710</v>
      </c>
      <c r="D177" s="63">
        <v>38940623568</v>
      </c>
      <c r="E177" s="63">
        <v>-6325075858</v>
      </c>
      <c r="F177" s="63">
        <v>604777</v>
      </c>
      <c r="G177" s="63">
        <v>32615547710</v>
      </c>
      <c r="H177" s="63">
        <v>37513468883</v>
      </c>
      <c r="I177" s="63">
        <v>-4897921173</v>
      </c>
    </row>
    <row r="178" spans="1:9">
      <c r="A178" s="63" t="s">
        <v>354</v>
      </c>
      <c r="B178" s="63">
        <v>795841</v>
      </c>
      <c r="C178" s="63">
        <v>15004093832</v>
      </c>
      <c r="D178" s="63">
        <v>16494851824</v>
      </c>
      <c r="E178" s="63">
        <v>-1490757992</v>
      </c>
      <c r="F178" s="63">
        <v>795841</v>
      </c>
      <c r="G178" s="63">
        <v>15004093832</v>
      </c>
      <c r="H178" s="63">
        <v>15363300834</v>
      </c>
      <c r="I178" s="63">
        <v>-359207002</v>
      </c>
    </row>
    <row r="179" spans="1:9">
      <c r="A179" s="63" t="s">
        <v>347</v>
      </c>
      <c r="B179" s="63">
        <v>823913</v>
      </c>
      <c r="C179" s="63">
        <v>30682432044</v>
      </c>
      <c r="D179" s="63">
        <v>27444957200</v>
      </c>
      <c r="E179" s="63">
        <v>3237474844</v>
      </c>
      <c r="F179" s="63">
        <v>823913</v>
      </c>
      <c r="G179" s="63">
        <v>30682432044</v>
      </c>
      <c r="H179" s="63">
        <v>30505344457</v>
      </c>
      <c r="I179" s="63">
        <v>177087587</v>
      </c>
    </row>
    <row r="180" spans="1:9">
      <c r="A180" s="63" t="s">
        <v>349</v>
      </c>
      <c r="B180" s="63">
        <v>10334418</v>
      </c>
      <c r="C180" s="63">
        <v>33378504749</v>
      </c>
      <c r="D180" s="63">
        <v>42332513195</v>
      </c>
      <c r="E180" s="63">
        <v>-8954008446</v>
      </c>
      <c r="F180" s="63">
        <v>10334418</v>
      </c>
      <c r="G180" s="63">
        <v>33378504749</v>
      </c>
      <c r="H180" s="63">
        <v>36229972216</v>
      </c>
      <c r="I180" s="63">
        <v>-2851467467</v>
      </c>
    </row>
    <row r="181" spans="1:9">
      <c r="A181" s="63" t="s">
        <v>202</v>
      </c>
      <c r="B181" s="63">
        <v>1842980</v>
      </c>
      <c r="C181" s="63">
        <v>27851615235</v>
      </c>
      <c r="D181" s="63">
        <v>33136655815</v>
      </c>
      <c r="E181" s="63">
        <v>-5285040580</v>
      </c>
      <c r="F181" s="63">
        <v>1842980</v>
      </c>
      <c r="G181" s="63">
        <v>27851615235</v>
      </c>
      <c r="H181" s="63">
        <v>33172875317</v>
      </c>
      <c r="I181" s="63">
        <v>-5321260082</v>
      </c>
    </row>
    <row r="182" spans="1:9">
      <c r="A182" s="63" t="s">
        <v>210</v>
      </c>
      <c r="B182" s="63">
        <v>3052977</v>
      </c>
      <c r="C182" s="63">
        <v>19175959498</v>
      </c>
      <c r="D182" s="63">
        <v>24325901227</v>
      </c>
      <c r="E182" s="63">
        <v>-5149941729</v>
      </c>
      <c r="F182" s="63">
        <v>3052977</v>
      </c>
      <c r="G182" s="63">
        <v>19175959498</v>
      </c>
      <c r="H182" s="63">
        <v>9377372255</v>
      </c>
      <c r="I182" s="63">
        <v>9798587243</v>
      </c>
    </row>
    <row r="183" spans="1:9">
      <c r="A183" s="63" t="s">
        <v>335</v>
      </c>
      <c r="B183" s="63">
        <v>4665617</v>
      </c>
      <c r="C183" s="63">
        <v>34906820426</v>
      </c>
      <c r="D183" s="63">
        <v>45592151794</v>
      </c>
      <c r="E183" s="63">
        <v>-10685331368</v>
      </c>
      <c r="F183" s="63">
        <v>4665617</v>
      </c>
      <c r="G183" s="63">
        <v>34906820426</v>
      </c>
      <c r="H183" s="63">
        <v>14386160455</v>
      </c>
      <c r="I183" s="63">
        <v>20520659971</v>
      </c>
    </row>
    <row r="184" spans="1:9">
      <c r="A184" s="63" t="s">
        <v>208</v>
      </c>
      <c r="B184" s="63">
        <v>1726440</v>
      </c>
      <c r="C184" s="63">
        <v>35067046847</v>
      </c>
      <c r="D184" s="63">
        <v>40663548800</v>
      </c>
      <c r="E184" s="63">
        <v>-5596501953</v>
      </c>
      <c r="F184" s="63">
        <v>1726440</v>
      </c>
      <c r="G184" s="63">
        <v>35067046847</v>
      </c>
      <c r="H184" s="63">
        <v>30613372268</v>
      </c>
      <c r="I184" s="63">
        <v>4453674579</v>
      </c>
    </row>
    <row r="185" spans="1:9">
      <c r="A185" s="63" t="s">
        <v>265</v>
      </c>
      <c r="B185" s="63">
        <v>935048</v>
      </c>
      <c r="C185" s="63">
        <v>25310931754</v>
      </c>
      <c r="D185" s="63">
        <v>36582938699</v>
      </c>
      <c r="E185" s="63">
        <v>-11272006945</v>
      </c>
      <c r="F185" s="63">
        <v>935048</v>
      </c>
      <c r="G185" s="63">
        <v>25310931754</v>
      </c>
      <c r="H185" s="63">
        <v>17578663099</v>
      </c>
      <c r="I185" s="63">
        <v>7732268655</v>
      </c>
    </row>
    <row r="186" spans="1:9">
      <c r="A186" s="63" t="s">
        <v>408</v>
      </c>
      <c r="B186" s="63">
        <v>3600000</v>
      </c>
      <c r="C186" s="63">
        <v>28934593200</v>
      </c>
      <c r="D186" s="63">
        <v>33042591000</v>
      </c>
      <c r="E186" s="63">
        <v>-4107997800</v>
      </c>
      <c r="F186" s="63">
        <v>3600000</v>
      </c>
      <c r="G186" s="63">
        <v>28934593200</v>
      </c>
      <c r="H186" s="63">
        <v>26137086840</v>
      </c>
      <c r="I186" s="63">
        <v>2797506360</v>
      </c>
    </row>
    <row r="187" spans="1:9">
      <c r="A187" s="63" t="s">
        <v>176</v>
      </c>
      <c r="B187" s="63">
        <v>275726</v>
      </c>
      <c r="C187" s="63">
        <v>6662029436</v>
      </c>
      <c r="D187" s="63">
        <v>12536680079</v>
      </c>
      <c r="E187" s="63">
        <v>-5874650643</v>
      </c>
      <c r="F187" s="63">
        <v>275726</v>
      </c>
      <c r="G187" s="63">
        <v>6662029436</v>
      </c>
      <c r="H187" s="63">
        <v>7715656489</v>
      </c>
      <c r="I187" s="63">
        <v>-1053627053</v>
      </c>
    </row>
    <row r="188" spans="1:9">
      <c r="A188" s="63" t="s">
        <v>235</v>
      </c>
      <c r="B188" s="63">
        <v>487887</v>
      </c>
      <c r="C188" s="63">
        <v>13516508487</v>
      </c>
      <c r="D188" s="63">
        <v>12407883686</v>
      </c>
      <c r="E188" s="63">
        <v>1108624801</v>
      </c>
      <c r="F188" s="63">
        <v>487887</v>
      </c>
      <c r="G188" s="63">
        <v>13516508487</v>
      </c>
      <c r="H188" s="63">
        <v>9859579712</v>
      </c>
      <c r="I188" s="63">
        <v>3656928775</v>
      </c>
    </row>
    <row r="189" spans="1:9">
      <c r="A189" s="63" t="s">
        <v>240</v>
      </c>
      <c r="B189" s="63">
        <v>1667558</v>
      </c>
      <c r="C189" s="63">
        <v>13088422113</v>
      </c>
      <c r="D189" s="63">
        <v>17301120223</v>
      </c>
      <c r="E189" s="63">
        <v>-4212698110</v>
      </c>
      <c r="F189" s="63">
        <v>1667558</v>
      </c>
      <c r="G189" s="63">
        <v>13088422113</v>
      </c>
      <c r="H189" s="63">
        <v>11006701263</v>
      </c>
      <c r="I189" s="63">
        <v>2081720850</v>
      </c>
    </row>
    <row r="190" spans="1:9">
      <c r="A190" s="63" t="s">
        <v>203</v>
      </c>
      <c r="B190" s="63">
        <v>5116431</v>
      </c>
      <c r="C190" s="63">
        <v>25643325872</v>
      </c>
      <c r="D190" s="63">
        <v>33124011508</v>
      </c>
      <c r="E190" s="63">
        <v>-7480685636</v>
      </c>
      <c r="F190" s="63">
        <v>5116431</v>
      </c>
      <c r="G190" s="63">
        <v>25643325872</v>
      </c>
      <c r="H190" s="63">
        <v>37383815268</v>
      </c>
      <c r="I190" s="63">
        <v>-11740489396</v>
      </c>
    </row>
    <row r="191" spans="1:9">
      <c r="A191" s="63" t="s">
        <v>205</v>
      </c>
      <c r="B191" s="63">
        <v>828772</v>
      </c>
      <c r="C191" s="63">
        <v>13527913996</v>
      </c>
      <c r="D191" s="63">
        <v>14868214831</v>
      </c>
      <c r="E191" s="63">
        <v>-1340300835</v>
      </c>
      <c r="F191" s="63">
        <v>828772</v>
      </c>
      <c r="G191" s="63">
        <v>13527913996</v>
      </c>
      <c r="H191" s="63">
        <v>16660714616</v>
      </c>
      <c r="I191" s="63">
        <v>-3132800620</v>
      </c>
    </row>
    <row r="192" spans="1:9">
      <c r="A192" s="63" t="s">
        <v>332</v>
      </c>
      <c r="B192" s="63">
        <v>4033345</v>
      </c>
      <c r="C192" s="63">
        <v>15744525935</v>
      </c>
      <c r="D192" s="63">
        <v>17504674751</v>
      </c>
      <c r="E192" s="63">
        <v>-1760148816</v>
      </c>
      <c r="F192" s="63">
        <v>4033345</v>
      </c>
      <c r="G192" s="63">
        <v>15744525935</v>
      </c>
      <c r="H192" s="63">
        <v>14222585282</v>
      </c>
      <c r="I192" s="63">
        <v>1521940653</v>
      </c>
    </row>
    <row r="193" spans="1:9">
      <c r="A193" s="63" t="s">
        <v>303</v>
      </c>
      <c r="B193" s="63">
        <v>2723567</v>
      </c>
      <c r="C193" s="63">
        <v>23998322785</v>
      </c>
      <c r="D193" s="63">
        <v>26646786335</v>
      </c>
      <c r="E193" s="63">
        <v>-2648463550</v>
      </c>
      <c r="F193" s="63">
        <v>2723567</v>
      </c>
      <c r="G193" s="63">
        <v>23998322785</v>
      </c>
      <c r="H193" s="63">
        <v>19009668439</v>
      </c>
      <c r="I193" s="63">
        <v>4988654346</v>
      </c>
    </row>
    <row r="194" spans="1:9">
      <c r="A194" s="63" t="s">
        <v>306</v>
      </c>
      <c r="B194" s="63">
        <v>0</v>
      </c>
      <c r="C194" s="63">
        <v>0</v>
      </c>
      <c r="D194" s="63">
        <v>262575845</v>
      </c>
      <c r="E194" s="63">
        <v>-262575845</v>
      </c>
      <c r="F194" s="63">
        <v>0</v>
      </c>
      <c r="G194" s="63">
        <v>0</v>
      </c>
      <c r="H194" s="63">
        <v>0</v>
      </c>
      <c r="I194" s="63">
        <v>0</v>
      </c>
    </row>
    <row r="195" spans="1:9">
      <c r="A195" s="63" t="s">
        <v>484</v>
      </c>
      <c r="B195" s="63">
        <v>3014987</v>
      </c>
      <c r="C195" s="63">
        <v>14264335726</v>
      </c>
      <c r="D195" s="63">
        <v>16274745459</v>
      </c>
      <c r="E195" s="63">
        <v>-2010409733</v>
      </c>
      <c r="F195" s="63">
        <v>3014987</v>
      </c>
      <c r="G195" s="63">
        <v>14264335726</v>
      </c>
      <c r="H195" s="63">
        <v>14987389690</v>
      </c>
      <c r="I195" s="63">
        <v>-723053964</v>
      </c>
    </row>
    <row r="196" spans="1:9">
      <c r="A196" s="63" t="s">
        <v>371</v>
      </c>
      <c r="B196" s="63">
        <v>2241424</v>
      </c>
      <c r="C196" s="63">
        <v>12121332969</v>
      </c>
      <c r="D196" s="63">
        <v>13010972086</v>
      </c>
      <c r="E196" s="63">
        <v>-889639117</v>
      </c>
      <c r="F196" s="63">
        <v>2241424</v>
      </c>
      <c r="G196" s="63">
        <v>12121332969</v>
      </c>
      <c r="H196" s="63">
        <v>11616275685</v>
      </c>
      <c r="I196" s="63">
        <v>505057284</v>
      </c>
    </row>
    <row r="197" spans="1:9">
      <c r="A197" s="63" t="s">
        <v>344</v>
      </c>
      <c r="B197" s="63">
        <v>2586957</v>
      </c>
      <c r="C197" s="63">
        <v>18174075543</v>
      </c>
      <c r="D197" s="63">
        <v>19431885855</v>
      </c>
      <c r="E197" s="63">
        <v>-1257810312</v>
      </c>
      <c r="F197" s="63">
        <v>2586957</v>
      </c>
      <c r="G197" s="63">
        <v>18174075543</v>
      </c>
      <c r="H197" s="63">
        <v>14869302601</v>
      </c>
      <c r="I197" s="63">
        <v>3304772942</v>
      </c>
    </row>
    <row r="198" spans="1:9">
      <c r="A198" s="63" t="s">
        <v>329</v>
      </c>
      <c r="B198" s="63">
        <v>7969322</v>
      </c>
      <c r="C198" s="63">
        <v>19769297852</v>
      </c>
      <c r="D198" s="63">
        <v>23802234614</v>
      </c>
      <c r="E198" s="63">
        <v>-4032936762</v>
      </c>
      <c r="F198" s="63">
        <v>7969322</v>
      </c>
      <c r="G198" s="63">
        <v>19769297852</v>
      </c>
      <c r="H198" s="63">
        <v>26169954207</v>
      </c>
      <c r="I198" s="63">
        <v>-6400656355</v>
      </c>
    </row>
    <row r="199" spans="1:9">
      <c r="A199" s="63" t="s">
        <v>264</v>
      </c>
      <c r="B199" s="63">
        <v>506895</v>
      </c>
      <c r="C199" s="63">
        <v>20923830789</v>
      </c>
      <c r="D199" s="63">
        <v>24220013067</v>
      </c>
      <c r="E199" s="63">
        <v>-3296182278</v>
      </c>
      <c r="F199" s="63">
        <v>506895</v>
      </c>
      <c r="G199" s="63">
        <v>20923830789</v>
      </c>
      <c r="H199" s="63">
        <v>23016415066</v>
      </c>
      <c r="I199" s="63">
        <v>-2092584277</v>
      </c>
    </row>
    <row r="200" spans="1:9">
      <c r="A200" s="63" t="s">
        <v>324</v>
      </c>
      <c r="B200" s="63">
        <v>3683366</v>
      </c>
      <c r="C200" s="63">
        <v>20284659374</v>
      </c>
      <c r="D200" s="63">
        <v>21198382769</v>
      </c>
      <c r="E200" s="63">
        <v>-913723395</v>
      </c>
      <c r="F200" s="63">
        <v>3683366</v>
      </c>
      <c r="G200" s="63">
        <v>20284659374</v>
      </c>
      <c r="H200" s="63">
        <v>10573465274</v>
      </c>
      <c r="I200" s="63">
        <v>9711194100</v>
      </c>
    </row>
    <row r="201" spans="1:9">
      <c r="A201" s="63" t="s">
        <v>232</v>
      </c>
      <c r="B201" s="63">
        <v>1132048</v>
      </c>
      <c r="C201" s="63">
        <v>31789312712</v>
      </c>
      <c r="D201" s="63">
        <v>36775995025</v>
      </c>
      <c r="E201" s="63">
        <v>-4986682313</v>
      </c>
      <c r="F201" s="63">
        <v>1132048</v>
      </c>
      <c r="G201" s="63">
        <v>31789312712</v>
      </c>
      <c r="H201" s="63">
        <v>29390517424</v>
      </c>
      <c r="I201" s="63">
        <v>2398795288</v>
      </c>
    </row>
    <row r="202" spans="1:9">
      <c r="A202" s="63" t="s">
        <v>178</v>
      </c>
      <c r="B202" s="63">
        <v>11191</v>
      </c>
      <c r="C202" s="63">
        <v>519912389</v>
      </c>
      <c r="D202" s="63">
        <v>672266041</v>
      </c>
      <c r="E202" s="63">
        <v>-152353652</v>
      </c>
      <c r="F202" s="63">
        <v>11191</v>
      </c>
      <c r="G202" s="63">
        <v>519912389</v>
      </c>
      <c r="H202" s="63">
        <v>645142935</v>
      </c>
      <c r="I202" s="63">
        <v>-125230546</v>
      </c>
    </row>
    <row r="203" spans="1:9">
      <c r="A203" s="63" t="s">
        <v>364</v>
      </c>
      <c r="B203" s="63">
        <v>938593</v>
      </c>
      <c r="C203" s="63">
        <v>36372461603</v>
      </c>
      <c r="D203" s="63">
        <v>36753852071</v>
      </c>
      <c r="E203" s="63">
        <v>-381390468</v>
      </c>
      <c r="F203" s="63">
        <v>938593</v>
      </c>
      <c r="G203" s="63">
        <v>36372461603</v>
      </c>
      <c r="H203" s="63">
        <v>36753852071</v>
      </c>
      <c r="I203" s="63">
        <v>-381390468</v>
      </c>
    </row>
    <row r="204" spans="1:9">
      <c r="A204" s="63" t="s">
        <v>199</v>
      </c>
      <c r="B204" s="63">
        <v>995993</v>
      </c>
      <c r="C204" s="63">
        <v>35044904322</v>
      </c>
      <c r="D204" s="63">
        <v>43679783148</v>
      </c>
      <c r="E204" s="63">
        <v>-8634878826</v>
      </c>
      <c r="F204" s="63">
        <v>995993</v>
      </c>
      <c r="G204" s="63">
        <v>35044904322</v>
      </c>
      <c r="H204" s="63">
        <v>30810848883</v>
      </c>
      <c r="I204" s="63">
        <v>4234055439</v>
      </c>
    </row>
    <row r="205" spans="1:9">
      <c r="A205" s="63" t="s">
        <v>342</v>
      </c>
      <c r="B205" s="63">
        <v>392921</v>
      </c>
      <c r="C205" s="63">
        <v>17989234872</v>
      </c>
      <c r="D205" s="63">
        <v>23662043007</v>
      </c>
      <c r="E205" s="63">
        <v>-5672808135</v>
      </c>
      <c r="F205" s="63">
        <v>392921</v>
      </c>
      <c r="G205" s="63">
        <v>17989234872</v>
      </c>
      <c r="H205" s="63">
        <v>15618857021</v>
      </c>
      <c r="I205" s="63">
        <v>2370377851</v>
      </c>
    </row>
    <row r="206" spans="1:9">
      <c r="A206" s="63" t="s">
        <v>285</v>
      </c>
      <c r="B206" s="63">
        <v>48341</v>
      </c>
      <c r="C206" s="63">
        <v>25217861283</v>
      </c>
      <c r="D206" s="63">
        <v>29064840674</v>
      </c>
      <c r="E206" s="63">
        <v>-3846979391</v>
      </c>
      <c r="F206" s="63">
        <v>48341</v>
      </c>
      <c r="G206" s="63">
        <v>25217861283</v>
      </c>
      <c r="H206" s="63">
        <v>13238121345</v>
      </c>
      <c r="I206" s="63">
        <v>11979739938</v>
      </c>
    </row>
    <row r="207" spans="1:9">
      <c r="A207" s="63" t="s">
        <v>278</v>
      </c>
      <c r="B207" s="63">
        <v>1036013</v>
      </c>
      <c r="C207" s="63">
        <v>20220850866</v>
      </c>
      <c r="D207" s="63">
        <v>32474029798</v>
      </c>
      <c r="E207" s="63">
        <v>-12253178932</v>
      </c>
      <c r="F207" s="63">
        <v>1036013</v>
      </c>
      <c r="G207" s="63">
        <v>20220850866</v>
      </c>
      <c r="H207" s="63">
        <v>19148983815</v>
      </c>
      <c r="I207" s="63">
        <v>1071867051</v>
      </c>
    </row>
    <row r="208" spans="1:9">
      <c r="A208" s="63" t="s">
        <v>261</v>
      </c>
      <c r="B208" s="63">
        <v>4658472</v>
      </c>
      <c r="C208" s="63">
        <v>26856504286</v>
      </c>
      <c r="D208" s="63">
        <v>34992037427</v>
      </c>
      <c r="E208" s="63">
        <v>-8135533141</v>
      </c>
      <c r="F208" s="63">
        <v>4658472</v>
      </c>
      <c r="G208" s="63">
        <v>26856504286</v>
      </c>
      <c r="H208" s="63">
        <v>22952966108</v>
      </c>
      <c r="I208" s="63">
        <v>3903538178</v>
      </c>
    </row>
    <row r="209" spans="1:9">
      <c r="A209" s="63" t="s">
        <v>485</v>
      </c>
      <c r="B209" s="63">
        <v>733277</v>
      </c>
      <c r="C209" s="63">
        <v>3248045544</v>
      </c>
      <c r="D209" s="63">
        <v>4780392203</v>
      </c>
      <c r="E209" s="63">
        <v>-1532346659</v>
      </c>
      <c r="F209" s="63">
        <v>733277</v>
      </c>
      <c r="G209" s="63">
        <v>3248045544</v>
      </c>
      <c r="H209" s="63">
        <v>2879684960</v>
      </c>
      <c r="I209" s="63">
        <v>368360584</v>
      </c>
    </row>
    <row r="210" spans="1:9">
      <c r="A210" s="63" t="s">
        <v>348</v>
      </c>
      <c r="B210" s="63">
        <v>14595002</v>
      </c>
      <c r="C210" s="63">
        <v>41549381978</v>
      </c>
      <c r="D210" s="63">
        <v>45140963272</v>
      </c>
      <c r="E210" s="63">
        <v>-3591581294</v>
      </c>
      <c r="F210" s="63">
        <v>14595002</v>
      </c>
      <c r="G210" s="63">
        <v>41549381978</v>
      </c>
      <c r="H210" s="63">
        <v>35460184000</v>
      </c>
      <c r="I210" s="63">
        <v>6089197978</v>
      </c>
    </row>
    <row r="211" spans="1:9">
      <c r="A211" s="63" t="s">
        <v>313</v>
      </c>
      <c r="B211" s="63">
        <v>5272036</v>
      </c>
      <c r="C211" s="63">
        <v>55556227177</v>
      </c>
      <c r="D211" s="63">
        <v>51861730831</v>
      </c>
      <c r="E211" s="63">
        <v>3694496346</v>
      </c>
      <c r="F211" s="63">
        <v>5272036</v>
      </c>
      <c r="G211" s="63">
        <v>55556227177</v>
      </c>
      <c r="H211" s="63">
        <v>46811533754</v>
      </c>
      <c r="I211" s="63">
        <v>8744693423</v>
      </c>
    </row>
    <row r="212" spans="1:9">
      <c r="A212" s="63" t="s">
        <v>359</v>
      </c>
      <c r="B212" s="63">
        <v>450000</v>
      </c>
      <c r="C212" s="63">
        <v>4983179940</v>
      </c>
      <c r="D212" s="63">
        <v>6470096535</v>
      </c>
      <c r="E212" s="63">
        <v>-1486916595</v>
      </c>
      <c r="F212" s="63">
        <v>450000</v>
      </c>
      <c r="G212" s="63">
        <v>4983179940</v>
      </c>
      <c r="H212" s="63">
        <v>8423082675</v>
      </c>
      <c r="I212" s="63">
        <v>-3439902735</v>
      </c>
    </row>
    <row r="213" spans="1:9">
      <c r="A213" s="63" t="s">
        <v>256</v>
      </c>
      <c r="B213" s="63">
        <v>0</v>
      </c>
      <c r="C213" s="63">
        <v>0</v>
      </c>
      <c r="D213" s="63">
        <v>1599542725</v>
      </c>
      <c r="E213" s="63">
        <v>-1599542725</v>
      </c>
      <c r="F213" s="63">
        <v>0</v>
      </c>
      <c r="G213" s="63">
        <v>0</v>
      </c>
      <c r="H213" s="63">
        <v>0</v>
      </c>
      <c r="I213" s="63">
        <v>0</v>
      </c>
    </row>
    <row r="214" spans="1:9">
      <c r="A214" s="63" t="s">
        <v>436</v>
      </c>
      <c r="B214" s="63">
        <v>1405716</v>
      </c>
      <c r="C214" s="63">
        <v>13348712733</v>
      </c>
      <c r="D214" s="63">
        <v>18467811555</v>
      </c>
      <c r="E214" s="63">
        <v>-5119098822</v>
      </c>
      <c r="F214" s="63">
        <v>1405716</v>
      </c>
      <c r="G214" s="63">
        <v>13348712733</v>
      </c>
      <c r="H214" s="63">
        <v>7977806216</v>
      </c>
      <c r="I214" s="63">
        <v>5370906517</v>
      </c>
    </row>
    <row r="215" spans="1:9">
      <c r="A215" s="63" t="s">
        <v>311</v>
      </c>
      <c r="B215" s="63">
        <v>5658733</v>
      </c>
      <c r="C215" s="63">
        <v>19781613272</v>
      </c>
      <c r="D215" s="63">
        <v>21780427295</v>
      </c>
      <c r="E215" s="63">
        <v>-1998814023</v>
      </c>
      <c r="F215" s="63">
        <v>5658733</v>
      </c>
      <c r="G215" s="63">
        <v>19781613272</v>
      </c>
      <c r="H215" s="63">
        <v>21329982959</v>
      </c>
      <c r="I215" s="63">
        <v>-1548369687</v>
      </c>
    </row>
    <row r="216" spans="1:9">
      <c r="A216" s="63" t="s">
        <v>398</v>
      </c>
      <c r="B216" s="63">
        <v>2024465</v>
      </c>
      <c r="C216" s="63">
        <v>18380665353</v>
      </c>
      <c r="D216" s="63">
        <v>19204279866</v>
      </c>
      <c r="E216" s="63">
        <v>-823614513</v>
      </c>
      <c r="F216" s="63">
        <v>2024465</v>
      </c>
      <c r="G216" s="63">
        <v>18380665353</v>
      </c>
      <c r="H216" s="63">
        <v>16984113641</v>
      </c>
      <c r="I216" s="63">
        <v>1396551712</v>
      </c>
    </row>
    <row r="217" spans="1:9">
      <c r="A217" s="63" t="s">
        <v>450</v>
      </c>
      <c r="B217" s="63">
        <v>2192838</v>
      </c>
      <c r="C217" s="63">
        <v>22999129419</v>
      </c>
      <c r="D217" s="63">
        <v>22455157579</v>
      </c>
      <c r="E217" s="63">
        <v>543971840</v>
      </c>
      <c r="F217" s="63">
        <v>2192838</v>
      </c>
      <c r="G217" s="63">
        <v>22999129419</v>
      </c>
      <c r="H217" s="63">
        <v>16347830069</v>
      </c>
      <c r="I217" s="63">
        <v>6651299350</v>
      </c>
    </row>
    <row r="218" spans="1:9">
      <c r="A218" s="63" t="s">
        <v>269</v>
      </c>
      <c r="B218" s="63">
        <v>6511043</v>
      </c>
      <c r="C218" s="63">
        <v>26999318113</v>
      </c>
      <c r="D218" s="63">
        <v>28790564068</v>
      </c>
      <c r="E218" s="63">
        <v>-1791245955</v>
      </c>
      <c r="F218" s="63">
        <v>6511043</v>
      </c>
      <c r="G218" s="63">
        <v>26999318113</v>
      </c>
      <c r="H218" s="63">
        <v>26993462798</v>
      </c>
      <c r="I218" s="63">
        <v>5855315</v>
      </c>
    </row>
    <row r="219" spans="1:9">
      <c r="A219" s="63" t="s">
        <v>326</v>
      </c>
      <c r="B219" s="63">
        <v>14136047</v>
      </c>
      <c r="C219" s="63">
        <v>35291366797</v>
      </c>
      <c r="D219" s="63">
        <v>43631774289</v>
      </c>
      <c r="E219" s="63">
        <v>-8340407492</v>
      </c>
      <c r="F219" s="63">
        <v>14136047</v>
      </c>
      <c r="G219" s="63">
        <v>35291366797</v>
      </c>
      <c r="H219" s="63">
        <v>38061448702</v>
      </c>
      <c r="I219" s="63">
        <v>-2770081905</v>
      </c>
    </row>
    <row r="220" spans="1:9">
      <c r="A220" s="63" t="s">
        <v>477</v>
      </c>
      <c r="B220" s="63">
        <v>9752234</v>
      </c>
      <c r="C220" s="63">
        <v>14515273847</v>
      </c>
      <c r="D220" s="63">
        <v>16934486155</v>
      </c>
      <c r="E220" s="63">
        <v>-2419212308</v>
      </c>
      <c r="F220" s="63">
        <v>9752234</v>
      </c>
      <c r="G220" s="63">
        <v>14515273847</v>
      </c>
      <c r="H220" s="63">
        <v>13415884464</v>
      </c>
      <c r="I220" s="63">
        <v>1099389383</v>
      </c>
    </row>
    <row r="221" spans="1:9">
      <c r="A221" s="63" t="s">
        <v>486</v>
      </c>
      <c r="B221" s="63">
        <v>1500000</v>
      </c>
      <c r="C221" s="63">
        <v>14095195350</v>
      </c>
      <c r="D221" s="63">
        <v>12197164260</v>
      </c>
      <c r="E221" s="63">
        <v>1898031090</v>
      </c>
      <c r="F221" s="63">
        <v>1500000</v>
      </c>
      <c r="G221" s="63">
        <v>14095195350</v>
      </c>
      <c r="H221" s="63">
        <v>12197164260</v>
      </c>
      <c r="I221" s="63">
        <v>1898031090</v>
      </c>
    </row>
    <row r="222" spans="1:9">
      <c r="A222" s="63" t="s">
        <v>316</v>
      </c>
      <c r="B222" s="63">
        <v>28959394</v>
      </c>
      <c r="C222" s="63">
        <v>30804496612</v>
      </c>
      <c r="D222" s="63">
        <v>32900863984</v>
      </c>
      <c r="E222" s="63">
        <v>-2096367372</v>
      </c>
      <c r="F222" s="63">
        <v>28959394</v>
      </c>
      <c r="G222" s="63">
        <v>30804496612</v>
      </c>
      <c r="H222" s="63">
        <v>37048376539</v>
      </c>
      <c r="I222" s="63">
        <v>-6243879927</v>
      </c>
    </row>
    <row r="223" spans="1:9">
      <c r="A223" s="63" t="s">
        <v>254</v>
      </c>
      <c r="B223" s="63">
        <v>5200000</v>
      </c>
      <c r="C223" s="63">
        <v>15015029640</v>
      </c>
      <c r="D223" s="63">
        <v>20359459639</v>
      </c>
      <c r="E223" s="63">
        <v>-5344429999</v>
      </c>
      <c r="F223" s="63">
        <v>5200000</v>
      </c>
      <c r="G223" s="63">
        <v>15015029640</v>
      </c>
      <c r="H223" s="63">
        <v>17798536615</v>
      </c>
      <c r="I223" s="63">
        <v>-2783506975</v>
      </c>
    </row>
    <row r="224" spans="1:9">
      <c r="A224" s="63" t="s">
        <v>222</v>
      </c>
      <c r="B224" s="63">
        <v>14442355</v>
      </c>
      <c r="C224" s="63">
        <v>29693242715</v>
      </c>
      <c r="D224" s="63">
        <v>36816016526</v>
      </c>
      <c r="E224" s="63">
        <v>-7122773811</v>
      </c>
      <c r="F224" s="63">
        <v>14442355</v>
      </c>
      <c r="G224" s="63">
        <v>29693242715</v>
      </c>
      <c r="H224" s="63">
        <v>30937209528</v>
      </c>
      <c r="I224" s="63">
        <v>-1243966813</v>
      </c>
    </row>
    <row r="225" spans="1:9">
      <c r="A225" s="63" t="s">
        <v>249</v>
      </c>
      <c r="B225" s="63">
        <v>8335761</v>
      </c>
      <c r="C225" s="63">
        <v>24623736214</v>
      </c>
      <c r="D225" s="63">
        <v>29768500717</v>
      </c>
      <c r="E225" s="63">
        <v>-5144764503</v>
      </c>
      <c r="F225" s="63">
        <v>8335761</v>
      </c>
      <c r="G225" s="63">
        <v>24623736214</v>
      </c>
      <c r="H225" s="63">
        <v>29911313360</v>
      </c>
      <c r="I225" s="63">
        <v>-5287577146</v>
      </c>
    </row>
    <row r="226" spans="1:9" ht="18.75" thickBot="1">
      <c r="A226" s="63" t="s">
        <v>2</v>
      </c>
      <c r="B226" s="74">
        <f t="shared" ref="B226:I226" si="0">SUM(B7:B225)</f>
        <v>1221516596</v>
      </c>
      <c r="C226" s="74">
        <f t="shared" si="0"/>
        <v>4449045952907</v>
      </c>
      <c r="D226" s="74">
        <f t="shared" si="0"/>
        <v>5165167579680</v>
      </c>
      <c r="E226" s="74">
        <f t="shared" si="0"/>
        <v>-716121626773</v>
      </c>
      <c r="F226" s="74">
        <f t="shared" si="0"/>
        <v>1221516596</v>
      </c>
      <c r="G226" s="74">
        <f t="shared" si="0"/>
        <v>4449045952907</v>
      </c>
      <c r="H226" s="74">
        <f t="shared" si="0"/>
        <v>4258883411849</v>
      </c>
      <c r="I226" s="74">
        <f t="shared" si="0"/>
        <v>190162541058</v>
      </c>
    </row>
    <row r="227" spans="1:9" ht="18.75" thickTop="1"/>
    <row r="228" spans="1:9">
      <c r="A228" s="63" t="s">
        <v>488</v>
      </c>
    </row>
  </sheetData>
  <mergeCells count="6">
    <mergeCell ref="B5:E5"/>
    <mergeCell ref="F5:I5"/>
    <mergeCell ref="A4:D4"/>
    <mergeCell ref="A1:I1"/>
    <mergeCell ref="A2:I2"/>
    <mergeCell ref="A3:I3"/>
  </mergeCells>
  <pageMargins left="0.7" right="0.7" top="0.75" bottom="0.75" header="0.3" footer="0.3"/>
  <pageSetup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21</vt:i4>
      </vt:variant>
    </vt:vector>
  </HeadingPairs>
  <TitlesOfParts>
    <vt:vector size="45" baseType="lpstr">
      <vt:lpstr>0</vt:lpstr>
      <vt:lpstr> سهام</vt:lpstr>
      <vt:lpstr>اوراق مشتقه</vt:lpstr>
      <vt:lpstr>واحدهای صندوق</vt:lpstr>
      <vt:lpstr>اوراق</vt:lpstr>
      <vt:lpstr>گواهی سپرده کالا</vt:lpstr>
      <vt:lpstr>تعدیل قیمت</vt:lpstr>
      <vt:lpstr>سپرده</vt:lpstr>
      <vt:lpstr>درآمدها</vt:lpstr>
      <vt:lpstr>درآمد سرمایه گذاری در سهام </vt:lpstr>
      <vt:lpstr>درآمد سرمایه گذاری در صندوق</vt:lpstr>
      <vt:lpstr>درآمد سرمایه گذاری در اوراق بها</vt:lpstr>
      <vt:lpstr>درآمد سرمایه گذاری در گواهی سپر</vt:lpstr>
      <vt:lpstr>مبالغ تخصیصی اوراق </vt:lpstr>
      <vt:lpstr>درآمد سپرده بانکی</vt:lpstr>
      <vt:lpstr>درآمد بازارگردانی</vt:lpstr>
      <vt:lpstr>درآمد سرمایه گذاری مشتقه </vt:lpstr>
      <vt:lpstr>سایر درآمدها</vt:lpstr>
      <vt:lpstr>درآمد سود سهام</vt:lpstr>
      <vt:lpstr>درآمد سود صندوق</vt:lpstr>
      <vt:lpstr>سود اوراق بهادار</vt:lpstr>
      <vt:lpstr>سود  سپرده بانکی</vt:lpstr>
      <vt:lpstr>درآمد ناشی ازفروش</vt:lpstr>
      <vt:lpstr>درآمد ناشی از تغییر قیمت اوراق </vt:lpstr>
      <vt:lpstr>' سهام'!Print_Area</vt:lpstr>
      <vt:lpstr>اوراق!Print_Area</vt:lpstr>
      <vt:lpstr>'تعدیل قیمت'!Print_Area</vt:lpstr>
      <vt:lpstr>'درآمد بازارگردانی'!Print_Area</vt:lpstr>
      <vt:lpstr>'درآمد سپرده بانکی'!Print_Area</vt:lpstr>
      <vt:lpstr>'درآمد سرمایه گذاری در اوراق بها'!Print_Area</vt:lpstr>
      <vt:lpstr>'درآمد سرمایه گذاری در سهام '!Print_Area</vt:lpstr>
      <vt:lpstr>'درآمد سرمایه گذاری در گواهی سپر'!Print_Area</vt:lpstr>
      <vt:lpstr>'درآمد سود سهام'!Print_Area</vt:lpstr>
      <vt:lpstr>'درآمد ناشی از تغییر قیمت اوراق '!Print_Area</vt:lpstr>
      <vt:lpstr>'درآمد ناشی ازفروش'!Print_Area</vt:lpstr>
      <vt:lpstr>درآمدها!Print_Area</vt:lpstr>
      <vt:lpstr>سپرده!Print_Area</vt:lpstr>
      <vt:lpstr>'گواهی سپرده کالا'!Print_Area</vt:lpstr>
      <vt:lpstr>'مبالغ تخصیصی اوراق '!Print_Area</vt:lpstr>
      <vt:lpstr>'واحدهای صندوق'!Print_Area</vt:lpstr>
      <vt:lpstr>' سهام'!Print_Titles</vt:lpstr>
      <vt:lpstr>'درآمد سرمایه گذاری در سهام '!Print_Titles</vt:lpstr>
      <vt:lpstr>'درآمد سود سهام'!Print_Titles</vt:lpstr>
      <vt:lpstr>'درآمد ناشی از تغییر قیمت اوراق '!Print_Titles</vt:lpstr>
      <vt:lpstr>'درآمد ناشی ازفروش'!Print_Titles</vt:lpstr>
    </vt:vector>
  </TitlesOfParts>
  <Company>15KHODAEI-A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Akbar Iranshahi</dc:creator>
  <cp:lastModifiedBy>Fatemeh Rezaei</cp:lastModifiedBy>
  <cp:lastPrinted>2026-02-21T12:28:26Z</cp:lastPrinted>
  <dcterms:created xsi:type="dcterms:W3CDTF">2017-11-22T14:26:20Z</dcterms:created>
  <dcterms:modified xsi:type="dcterms:W3CDTF">2026-02-21T12:28:39Z</dcterms:modified>
</cp:coreProperties>
</file>