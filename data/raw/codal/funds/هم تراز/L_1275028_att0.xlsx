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zaei\پرتفو\پرتفوی1403.08.30\پرتفوی مشترک 1403.08.30\"/>
    </mc:Choice>
  </mc:AlternateContent>
  <xr:revisionPtr revIDLastSave="0" documentId="13_ncr:1_{8598B2A9-CEC7-4626-ADBD-062F496AC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9 (2)" sheetId="17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definedNames>
    <definedName name="_xlnm.Print_Area" localSheetId="5">'5'!$A$1:$K$16</definedName>
    <definedName name="_xlnm.Print_Titles" localSheetId="1">'1'!$1:$10</definedName>
    <definedName name="_xlnm.Print_Titles" localSheetId="10">'10'!$1:$8</definedName>
    <definedName name="_xlnm.Print_Titles" localSheetId="11">'11'!$1:$8</definedName>
    <definedName name="_xlnm.Print_Titles" localSheetId="12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M10" i="17" l="1"/>
  <c r="K10" i="17"/>
  <c r="I10" i="17"/>
  <c r="G10" i="17"/>
  <c r="E10" i="17"/>
  <c r="C10" i="17"/>
  <c r="G9" i="8"/>
  <c r="G10" i="8"/>
  <c r="G11" i="8"/>
  <c r="G12" i="8"/>
  <c r="G8" i="8"/>
  <c r="E10" i="16" l="1"/>
  <c r="C10" i="16"/>
  <c r="G10" i="15"/>
  <c r="C10" i="15"/>
  <c r="Q10" i="14"/>
  <c r="O10" i="14"/>
  <c r="M10" i="14"/>
  <c r="K10" i="14"/>
  <c r="I10" i="14"/>
  <c r="G10" i="14"/>
  <c r="E10" i="14"/>
  <c r="C10" i="14"/>
  <c r="U95" i="13"/>
  <c r="S95" i="13"/>
  <c r="Q95" i="13"/>
  <c r="O95" i="13"/>
  <c r="M95" i="13"/>
  <c r="K95" i="13"/>
  <c r="I95" i="13"/>
  <c r="G95" i="13"/>
  <c r="E95" i="13"/>
  <c r="C95" i="13"/>
  <c r="Q80" i="12"/>
  <c r="O80" i="12"/>
  <c r="M80" i="12"/>
  <c r="K80" i="12"/>
  <c r="I80" i="12"/>
  <c r="G80" i="12"/>
  <c r="E80" i="12"/>
  <c r="C80" i="12"/>
  <c r="Q68" i="11"/>
  <c r="O68" i="11"/>
  <c r="M68" i="11"/>
  <c r="K68" i="11"/>
  <c r="I68" i="11"/>
  <c r="G68" i="11"/>
  <c r="E68" i="11"/>
  <c r="C68" i="11"/>
  <c r="S10" i="10"/>
  <c r="Q10" i="10"/>
  <c r="O10" i="10"/>
  <c r="M10" i="10"/>
  <c r="K10" i="10"/>
  <c r="I10" i="10"/>
  <c r="S69" i="9"/>
  <c r="Q69" i="9"/>
  <c r="O69" i="9"/>
  <c r="M69" i="9"/>
  <c r="K69" i="9"/>
  <c r="I69" i="9"/>
  <c r="E13" i="8"/>
  <c r="I13" i="8"/>
  <c r="K10" i="6"/>
  <c r="I10" i="6"/>
  <c r="G10" i="6"/>
  <c r="E10" i="6"/>
  <c r="C10" i="6"/>
  <c r="K10" i="5"/>
  <c r="AI11" i="4"/>
  <c r="AG11" i="4"/>
  <c r="AE11" i="4"/>
  <c r="AC11" i="4"/>
  <c r="AA11" i="4"/>
  <c r="Y11" i="4"/>
  <c r="X11" i="4"/>
  <c r="V11" i="4"/>
  <c r="U11" i="4"/>
  <c r="S11" i="4"/>
  <c r="Q11" i="4"/>
  <c r="O11" i="4"/>
  <c r="Q9" i="3"/>
  <c r="M9" i="3"/>
  <c r="K9" i="3"/>
  <c r="I9" i="3"/>
  <c r="E9" i="3"/>
  <c r="C9" i="3"/>
  <c r="W81" i="2"/>
  <c r="U81" i="2"/>
  <c r="S81" i="2"/>
  <c r="Q81" i="2"/>
  <c r="O81" i="2"/>
  <c r="M81" i="2"/>
  <c r="L81" i="2"/>
  <c r="J81" i="2"/>
  <c r="I81" i="2"/>
  <c r="G81" i="2"/>
  <c r="E81" i="2"/>
  <c r="C81" i="2"/>
  <c r="I10" i="15" l="1"/>
  <c r="E10" i="15"/>
  <c r="G13" i="8"/>
</calcChain>
</file>

<file path=xl/sharedStrings.xml><?xml version="1.0" encoding="utf-8"?>
<sst xmlns="http://schemas.openxmlformats.org/spreadsheetml/2006/main" count="681" uniqueCount="240">
  <si>
    <t>‫مشترک کاریزما</t>
  </si>
  <si>
    <t>‫صورت وضعیت پورتفوی</t>
  </si>
  <si>
    <t>‫برای ماه منتهی به 1403/08/30</t>
  </si>
  <si>
    <t>‫1- سرمایه گذاری ها</t>
  </si>
  <si>
    <t>‫1-1- سرمایه گذاری در سهام و حق تقدم سهام</t>
  </si>
  <si>
    <t>‫1403/07/30</t>
  </si>
  <si>
    <t>‫تغییرات طی دوره</t>
  </si>
  <si>
    <t>‫1403/08/30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</si>
  <si>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</si>
  <si>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</si>
  <si>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</si>
  <si>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</si>
  <si>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</si>
  <si>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</si>
  <si>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</si>
  <si>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</si>
  <si>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</si>
  <si>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‫آنتي بيوتيك سازي ايران</t>
  </si>
  <si>
    <t>‫ارتباطات سیار</t>
  </si>
  <si>
    <t>‫افست</t>
  </si>
  <si>
    <t>‫الكتريك خودرو</t>
  </si>
  <si>
    <t>‫املاح ايران</t>
  </si>
  <si>
    <t>‫املاح ايران (تقدم)</t>
  </si>
  <si>
    <t>‫ايران ترانسفو</t>
  </si>
  <si>
    <t>‫ایرکا پارت صنعت</t>
  </si>
  <si>
    <t>‫بيمه اتكايي ايران معين</t>
  </si>
  <si>
    <t>‫بيمه زندگي كاريزما50%تاديه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</si>
  <si>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</si>
  <si>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</si>
  <si>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</si>
  <si>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</si>
  <si>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</si>
  <si>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‫توليدات پتروشيمي قائد بصير</t>
  </si>
  <si>
    <t>‫توليدي و صنعتي گوهرفام</t>
  </si>
  <si>
    <t>‫توليدي چدن سازان</t>
  </si>
  <si>
    <t>‫جنرال مكانيك</t>
  </si>
  <si>
    <t>‫خاك چيني</t>
  </si>
  <si>
    <t>‫داروسازي فارابي</t>
  </si>
  <si>
    <t>‫دارويي ره آورد تامين</t>
  </si>
  <si>
    <t>‫دريايي سينا</t>
  </si>
  <si>
    <t>‫رادياتور</t>
  </si>
  <si>
    <t>‫ريخته گري تراكتورسازي</t>
  </si>
  <si>
    <t>‫ريل سير كوثر</t>
  </si>
  <si>
    <t>‫زامياد</t>
  </si>
  <si>
    <t>‫سبحان_دارو</t>
  </si>
  <si>
    <t>‫سيمان آبيك</t>
  </si>
  <si>
    <t>‫سيمان تهران</t>
  </si>
  <si>
    <t>‫سيمان ساوه</t>
  </si>
  <si>
    <t>‫شركت خميرمايه رضوي</t>
  </si>
  <si>
    <t>‫شيشه همدان</t>
  </si>
  <si>
    <t>‫شيشه و گاز</t>
  </si>
  <si>
    <t>‫شيميايي ايران</t>
  </si>
  <si>
    <t>‫شیشه قزوین</t>
  </si>
  <si>
    <t>‫صبا فولاد خليج فارس</t>
  </si>
  <si>
    <t>‫صنعتي آما</t>
  </si>
  <si>
    <t>‫صنعتي بارز</t>
  </si>
  <si>
    <t>‫صنعتي سپاهان</t>
  </si>
  <si>
    <t>‫صنعتي مينو</t>
  </si>
  <si>
    <t>‫فرآوري زغال سنگ پروده طبس</t>
  </si>
  <si>
    <t>‫فنر خاور</t>
  </si>
  <si>
    <t>‫فولاد اميركبير</t>
  </si>
  <si>
    <t>‫قاسم ايران</t>
  </si>
  <si>
    <t>‫قند هكمتان</t>
  </si>
  <si>
    <t>‫كاشي الوند</t>
  </si>
  <si>
    <t>‫كاشي وسراميك سينا</t>
  </si>
  <si>
    <t>‫كاشي پارس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</si>
  <si>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</si>
  <si>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</si>
  <si>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</si>
  <si>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</si>
  <si>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</si>
  <si>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</si>
  <si>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‫مس شهيد باهنر</t>
  </si>
  <si>
    <t>‫ملي شيمي كشاورز</t>
  </si>
  <si>
    <t>‫مهرام</t>
  </si>
  <si>
    <t>‫موتورسازان</t>
  </si>
  <si>
    <t>‫موتوژن</t>
  </si>
  <si>
    <t>‫مگسال</t>
  </si>
  <si>
    <t>‫نورد قطعات</t>
  </si>
  <si>
    <t>‫نگين طبس</t>
  </si>
  <si>
    <t>‫پارس فولاد سبزوار</t>
  </si>
  <si>
    <t>‫پاکدیس</t>
  </si>
  <si>
    <t>‫پخش هجرت</t>
  </si>
  <si>
    <t>‫پرتو بار فرابر خليج فارس</t>
  </si>
  <si>
    <t>‫پويا زركان آق دره</t>
  </si>
  <si>
    <t>‫گروه انتخاب الكترونيك آرمان</t>
  </si>
  <si>
    <t>‫گلتاش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</si>
  <si>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</si>
  <si>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</si>
  <si>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</si>
  <si>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</si>
  <si>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</si>
  <si>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</si>
  <si>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مؤثر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</si>
  <si>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</si>
  <si>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</si>
  <si>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</si>
  <si>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</si>
  <si>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</si>
  <si>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</si>
  <si>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</si>
  <si>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</si>
  <si>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‫قیمت بازار هر ورقه</t>
  </si>
  <si>
    <t>‫صكوك مرابحه پتاير703-بدون ضامن</t>
  </si>
  <si>
    <t>‫بلی</t>
  </si>
  <si>
    <t>‫بورس</t>
  </si>
  <si>
    <t>‫1403/03/06</t>
  </si>
  <si>
    <t>‫1407/03/06</t>
  </si>
  <si>
    <t>‫26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</si>
  <si>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</si>
  <si>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</si>
  <si>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</si>
  <si>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</si>
  <si>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</si>
  <si>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</si>
  <si>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</si>
  <si>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</si>
  <si>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</si>
  <si>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‫نرخ سود علی الحساب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</si>
  <si>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</si>
  <si>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</si>
  <si>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</si>
  <si>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</si>
  <si>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</si>
  <si>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</si>
  <si>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</si>
  <si>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</si>
  <si>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</si>
  <si>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</si>
  <si>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</si>
  <si>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</si>
  <si>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</si>
  <si>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</si>
  <si>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</si>
  <si>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</si>
  <si>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</si>
  <si>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</si>
  <si>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</si>
  <si>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</si>
  <si>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</si>
  <si>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</si>
  <si>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‫1403/02/24</t>
  </si>
  <si>
    <t>‫1403/05/23</t>
  </si>
  <si>
    <t>‫بهمن دیزل</t>
  </si>
  <si>
    <t>‫1403/03/30</t>
  </si>
  <si>
    <t>‫1403/04/23</t>
  </si>
  <si>
    <t>‫1403/04/11</t>
  </si>
  <si>
    <t>‫1403/04/16</t>
  </si>
  <si>
    <t>‫تراكتور سازي</t>
  </si>
  <si>
    <t>‫1403/04/17</t>
  </si>
  <si>
    <t>‫1403/03/19</t>
  </si>
  <si>
    <t>‫1403/04/27</t>
  </si>
  <si>
    <t>‫1403/03/01</t>
  </si>
  <si>
    <t>‫1403/04/28</t>
  </si>
  <si>
    <t>‫1403/03/22</t>
  </si>
  <si>
    <t>‫1403/03/07</t>
  </si>
  <si>
    <t>‫1403/02/18</t>
  </si>
  <si>
    <t>‫دوده صنعتي پارس</t>
  </si>
  <si>
    <t>‫1403/04/13</t>
  </si>
  <si>
    <t>‫1403/03/09</t>
  </si>
  <si>
    <t>‫1403/02/30</t>
  </si>
  <si>
    <t>‫1403/03/13</t>
  </si>
  <si>
    <t>‫1403/04/31</t>
  </si>
  <si>
    <t>‫سيمان هگمتان</t>
  </si>
  <si>
    <t>‫1403/02/26</t>
  </si>
  <si>
    <t>‫1403/07/28</t>
  </si>
  <si>
    <t>‫1402/12/28</t>
  </si>
  <si>
    <t>‫ص. معدني كيمياي زنجان گستران</t>
  </si>
  <si>
    <t>‫1403/01/29</t>
  </si>
  <si>
    <t>‫1403/04/30</t>
  </si>
  <si>
    <t>‫صنعتي زر ماكارون</t>
  </si>
  <si>
    <t>‫1403/03/23</t>
  </si>
  <si>
    <t>‫1403/04/03</t>
  </si>
  <si>
    <t>‫1403/02/31</t>
  </si>
  <si>
    <t>‫فولاد ارفع</t>
  </si>
  <si>
    <t>‫1403/03/12</t>
  </si>
  <si>
    <t>‫فولاد شاهرود</t>
  </si>
  <si>
    <t>‫فولاد كاوه</t>
  </si>
  <si>
    <t>‫1403/03/31</t>
  </si>
  <si>
    <t>‫1403/03/02</t>
  </si>
  <si>
    <t>‫1403/03/26</t>
  </si>
  <si>
    <t>‫1403/04/24</t>
  </si>
  <si>
    <t>‫1403/04/02</t>
  </si>
  <si>
    <t>‫1403/04/19</t>
  </si>
  <si>
    <t>‫1403/04/12</t>
  </si>
  <si>
    <t>‫محصولات كاغذي لطيف</t>
  </si>
  <si>
    <t>‫نشاسته و گلوكز آردينه</t>
  </si>
  <si>
    <t>‫1403/04/04</t>
  </si>
  <si>
    <t>‫1403/02/17</t>
  </si>
  <si>
    <t>‫تاریخ دریافت سود</t>
  </si>
  <si>
    <t>‫درآمد سود</t>
  </si>
  <si>
    <t>‫خالص درآمد</t>
  </si>
  <si>
    <t>‫1403/09/06</t>
  </si>
  <si>
    <t>‫سود(زیان) حاصل از فروش اوراق بهادار</t>
  </si>
  <si>
    <t>‫ارزش دفتری</t>
  </si>
  <si>
    <t>‫سود و زیان ناشی از فروش</t>
  </si>
  <si>
    <t>‫ايران خودرو ديزل</t>
  </si>
  <si>
    <t>‫تجهيزات ‌هپكو</t>
  </si>
  <si>
    <t>‫فروسيليس</t>
  </si>
  <si>
    <t>‫فنرسازي زر</t>
  </si>
  <si>
    <t>‫كالسيمين</t>
  </si>
  <si>
    <t>‫كشتيراني ايران</t>
  </si>
  <si>
    <t>‫پشم شيشه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</si>
  <si>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</si>
  <si>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</si>
  <si>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</si>
  <si>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</si>
  <si>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</si>
  <si>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</si>
  <si>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</si>
  <si>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</si>
  <si>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</si>
  <si>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</si>
  <si>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</si>
  <si>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‫شيشه قزوين</t>
  </si>
  <si>
    <t>‫پاكديس</t>
  </si>
  <si>
    <t>‫بهمن ديزل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</si>
  <si>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</si>
  <si>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</si>
  <si>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</si>
  <si>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</si>
  <si>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</si>
  <si>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</si>
  <si>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</si>
  <si>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</si>
  <si>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‫كاريزما</t>
  </si>
  <si>
    <t>صندوق سرمایه گذاری  مشترک کاریزما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</si>
  <si>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</si>
  <si>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آبان 1403</t>
  </si>
  <si>
    <t xml:space="preserve">‫سپرده بانکی 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</si>
  <si>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</si>
  <si>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</si>
  <si>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</si>
  <si>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</si>
  <si>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</si>
  <si>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</si>
  <si>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</si>
  <si>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 xml:space="preserve">‫سود اوراق بهادار با درآمد ثابت </t>
  </si>
  <si>
    <t>‫سود سپرده بانکی</t>
  </si>
  <si>
    <t>سپرده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</si>
</sst>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b/>
      <sz val="22"/>
      <color rgb="FFFF0000"/>
      <name val="B Nazanin"/>
      <charset val="178"/>
    </font>
    <font>
      <b/>
      <sz val="14"/>
      <name val="B Nazanin"/>
      <charset val="178"/>
    </font>
    <font>
      <sz val="22"/>
      <color rgb="FFFF0000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4">
    <xf numFmtId="0" fontId="0" fillId="0" borderId="0" xfId="0"/>
    <xf numFmtId="0" fontId="2" fillId="3" borderId="6" xfId="1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8" fillId="3" borderId="6" xfId="1" applyFont="1" applyFill="1" applyAlignment="1">
      <alignment horizontal="center" vertical="center" wrapText="1"/>
    </xf>
    <xf numFmtId="0" fontId="7" fillId="3" borderId="6" xfId="1" applyFont="1" applyFill="1"/>
    <xf numFmtId="0" fontId="9" fillId="3" borderId="6" xfId="1" applyFont="1" applyFill="1" applyAlignment="1">
      <alignment horizontal="center"/>
    </xf>
    <xf numFmtId="0" fontId="10" fillId="3" borderId="6" xfId="1" applyFont="1" applyFill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/>
    <xf numFmtId="37" fontId="13" fillId="0" borderId="0" xfId="0" applyNumberFormat="1" applyFont="1" applyAlignment="1">
      <alignment horizontal="right" vertical="center"/>
    </xf>
    <xf numFmtId="37" fontId="13" fillId="0" borderId="1" xfId="0" applyNumberFormat="1" applyFont="1" applyBorder="1" applyAlignment="1">
      <alignment horizontal="center" vertical="center"/>
    </xf>
    <xf numFmtId="0" fontId="12" fillId="2" borderId="2" xfId="0" applyFont="1" applyFill="1" applyBorder="1"/>
    <xf numFmtId="0" fontId="14" fillId="0" borderId="0" xfId="0" applyFont="1" applyAlignment="1">
      <alignment horizontal="center" vertical="center"/>
    </xf>
    <xf numFmtId="37" fontId="14" fillId="0" borderId="0" xfId="0" applyNumberFormat="1" applyFont="1" applyAlignment="1">
      <alignment horizontal="center" vertical="center" wrapText="1"/>
    </xf>
    <xf numFmtId="37" fontId="14" fillId="0" borderId="1" xfId="0" applyNumberFormat="1" applyFont="1" applyBorder="1" applyAlignment="1">
      <alignment horizontal="center" vertical="center"/>
    </xf>
    <xf numFmtId="37" fontId="14" fillId="0" borderId="1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 wrapText="1"/>
    </xf>
    <xf numFmtId="3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37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37" fontId="14" fillId="0" borderId="4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 wrapText="1"/>
    </xf>
    <xf numFmtId="37" fontId="14" fillId="0" borderId="0" xfId="0" applyNumberFormat="1" applyFont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7" fontId="14" fillId="0" borderId="5" xfId="0" applyNumberFormat="1" applyFont="1" applyBorder="1" applyAlignment="1">
      <alignment horizontal="center" vertical="center"/>
    </xf>
    <xf numFmtId="0" fontId="12" fillId="2" borderId="7" xfId="0" applyFont="1" applyFill="1" applyBorder="1"/>
    <xf numFmtId="0" fontId="12" fillId="2" borderId="8" xfId="0" applyFont="1" applyFill="1" applyBorder="1"/>
    <xf numFmtId="37" fontId="13" fillId="0" borderId="0" xfId="0" applyNumberFormat="1" applyFont="1" applyAlignment="1">
      <alignment horizontal="right" vertical="center"/>
    </xf>
    <xf numFmtId="3" fontId="12" fillId="0" borderId="0" xfId="0" applyNumberFormat="1" applyFont="1"/>
    <xf numFmtId="0" fontId="12" fillId="0" borderId="6" xfId="0" applyFont="1" applyBorder="1"/>
    <xf numFmtId="37" fontId="14" fillId="0" borderId="6" xfId="0" applyNumberFormat="1" applyFont="1" applyBorder="1" applyAlignment="1">
      <alignment horizontal="center" vertical="center"/>
    </xf>
    <xf numFmtId="10" fontId="14" fillId="0" borderId="6" xfId="0" applyNumberFormat="1" applyFont="1" applyBorder="1" applyAlignment="1">
      <alignment horizontal="center" vertical="center"/>
    </xf>
    <xf numFmtId="37" fontId="12" fillId="0" borderId="0" xfId="0" applyNumberFormat="1" applyFont="1" applyAlignment="1">
      <alignment horizontal="right" vertical="center" wrapText="1"/>
    </xf>
    <xf numFmtId="37" fontId="15" fillId="0" borderId="0" xfId="0" applyNumberFormat="1" applyFont="1" applyAlignment="1">
      <alignment horizontal="right" vertical="center"/>
    </xf>
    <xf numFmtId="0" fontId="15" fillId="0" borderId="0" xfId="0" applyFont="1"/>
    <xf numFmtId="37" fontId="1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AB62254C-25FE-4914-968C-0DCCB2D83B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sqref="A1:W1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226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47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25">
      <c r="A15" s="7" t="s">
        <v>228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26.2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24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39.950000000000003" customHeight="1" x14ac:dyDescent="0.6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39.950000000000003" customHeight="1" x14ac:dyDescent="0.6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15" customHeight="1" x14ac:dyDescent="0.25">
      <c r="A25" s="10" t="s">
        <v>227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2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.5703125" style="13" bestFit="1" customWidth="1"/>
    <col min="2" max="2" width="1.42578125" style="13" customWidth="1"/>
    <col min="3" max="3" width="14" style="13" bestFit="1" customWidth="1"/>
    <col min="4" max="4" width="1.42578125" style="13" customWidth="1"/>
    <col min="5" max="5" width="19.42578125" style="13" bestFit="1" customWidth="1"/>
    <col min="6" max="6" width="1.42578125" style="13" customWidth="1"/>
    <col min="7" max="7" width="19.140625" style="13" bestFit="1" customWidth="1"/>
    <col min="8" max="8" width="1.42578125" style="13" customWidth="1"/>
    <col min="9" max="9" width="12.7109375" style="13" bestFit="1" customWidth="1"/>
    <col min="10" max="10" width="17.5703125" style="13" bestFit="1" customWidth="1"/>
    <col min="11" max="11" width="1.42578125" style="13" customWidth="1"/>
    <col min="12" max="12" width="12.5703125" style="13" bestFit="1" customWidth="1"/>
    <col min="13" max="13" width="17.5703125" style="13" bestFit="1" customWidth="1"/>
    <col min="14" max="14" width="1.42578125" style="13" customWidth="1"/>
    <col min="15" max="15" width="13.42578125" style="13" bestFit="1" customWidth="1"/>
    <col min="16" max="16" width="1.42578125" style="13" customWidth="1"/>
    <col min="17" max="17" width="14.85546875" style="13" bestFit="1" customWidth="1"/>
    <col min="18" max="18" width="1.42578125" style="13" customWidth="1"/>
    <col min="19" max="19" width="19.7109375" style="13" bestFit="1" customWidth="1"/>
    <col min="20" max="20" width="1.42578125" style="13" customWidth="1"/>
    <col min="21" max="21" width="19.140625" style="13" bestFit="1" customWidth="1"/>
    <col min="22" max="22" width="1.42578125" style="13" customWidth="1"/>
    <col min="23" max="23" width="17.28515625" style="13" bestFit="1" customWidth="1"/>
    <col min="24" max="26" width="9.140625" style="13"/>
    <col min="27" max="27" width="15.85546875" style="13" bestFit="1" customWidth="1"/>
    <col min="28" max="16384" width="9.140625" style="13"/>
  </cols>
  <sheetData>
    <row r="1" spans="1:2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7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1:27" ht="21" x14ac:dyDescent="0.45">
      <c r="A5" s="14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7" ht="21" x14ac:dyDescent="0.45">
      <c r="A6" s="14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7" x14ac:dyDescent="0.45">
      <c r="AA7" s="36"/>
    </row>
    <row r="8" spans="1:27" ht="21" x14ac:dyDescent="0.45">
      <c r="C8" s="15" t="s">
        <v>5</v>
      </c>
      <c r="D8" s="16"/>
      <c r="E8" s="16"/>
      <c r="F8" s="16"/>
      <c r="G8" s="16"/>
      <c r="I8" s="15" t="s">
        <v>6</v>
      </c>
      <c r="J8" s="16"/>
      <c r="K8" s="16"/>
      <c r="L8" s="16"/>
      <c r="M8" s="16"/>
      <c r="O8" s="15" t="s">
        <v>7</v>
      </c>
      <c r="P8" s="16"/>
      <c r="Q8" s="16"/>
      <c r="R8" s="16"/>
      <c r="S8" s="16"/>
      <c r="T8" s="16"/>
      <c r="U8" s="16"/>
      <c r="V8" s="16"/>
      <c r="W8" s="16"/>
    </row>
    <row r="9" spans="1:27" ht="18.75" x14ac:dyDescent="0.45">
      <c r="A9" s="17" t="s">
        <v>8</v>
      </c>
      <c r="C9" s="17" t="s">
        <v>9</v>
      </c>
      <c r="E9" s="17" t="s">
        <v>10</v>
      </c>
      <c r="G9" s="17" t="s">
        <v>11</v>
      </c>
      <c r="I9" s="17" t="s">
        <v>12</v>
      </c>
      <c r="J9" s="12"/>
      <c r="L9" s="17" t="s">
        <v>13</v>
      </c>
      <c r="M9" s="12"/>
      <c r="O9" s="17" t="s">
        <v>9</v>
      </c>
      <c r="Q9" s="18" t="s">
        <v>14</v>
      </c>
      <c r="S9" s="17" t="s">
        <v>10</v>
      </c>
      <c r="U9" s="17" t="s">
        <v>11</v>
      </c>
      <c r="W9" s="18" t="s">
        <v>15</v>
      </c>
    </row>
    <row r="10" spans="1:27" ht="18.75" x14ac:dyDescent="0.45">
      <c r="A10" s="19"/>
      <c r="C10" s="19"/>
      <c r="E10" s="19"/>
      <c r="G10" s="19"/>
      <c r="I10" s="20" t="s">
        <v>9</v>
      </c>
      <c r="J10" s="20" t="s">
        <v>10</v>
      </c>
      <c r="L10" s="20" t="s">
        <v>9</v>
      </c>
      <c r="M10" s="20" t="s">
        <v>16</v>
      </c>
      <c r="O10" s="19"/>
      <c r="Q10" s="19"/>
      <c r="S10" s="19"/>
      <c r="U10" s="19"/>
      <c r="W10" s="19"/>
    </row>
    <row r="11" spans="1:27" ht="37.5" x14ac:dyDescent="0.45">
      <c r="A11" s="21" t="s">
        <v>17</v>
      </c>
      <c r="C11" s="22">
        <v>50000</v>
      </c>
      <c r="E11" s="22">
        <v>1000908000</v>
      </c>
      <c r="G11" s="22">
        <v>1088484750</v>
      </c>
      <c r="N11" s="23"/>
      <c r="O11" s="22">
        <v>50000</v>
      </c>
      <c r="Q11" s="22">
        <v>26600</v>
      </c>
      <c r="S11" s="22">
        <v>1000908000</v>
      </c>
      <c r="U11" s="22">
        <v>1322086500</v>
      </c>
      <c r="W11" s="24">
        <v>4.3602494462602261E-4</v>
      </c>
    </row>
    <row r="12" spans="1:27" ht="18.75" x14ac:dyDescent="0.45">
      <c r="A12" s="21" t="s">
        <v>18</v>
      </c>
      <c r="C12" s="22">
        <v>9200000</v>
      </c>
      <c r="E12" s="22">
        <v>34347755845</v>
      </c>
      <c r="G12" s="22">
        <v>33590539980</v>
      </c>
      <c r="N12" s="23"/>
      <c r="O12" s="22">
        <v>9200000</v>
      </c>
      <c r="Q12" s="22">
        <v>4044</v>
      </c>
      <c r="S12" s="22">
        <v>34347755845</v>
      </c>
      <c r="U12" s="22">
        <v>36983431440</v>
      </c>
      <c r="W12" s="24">
        <v>1.2197158541219734E-2</v>
      </c>
    </row>
    <row r="13" spans="1:27" ht="18.75" x14ac:dyDescent="0.45">
      <c r="A13" s="21" t="s">
        <v>19</v>
      </c>
      <c r="C13" s="22">
        <v>1895580</v>
      </c>
      <c r="E13" s="22">
        <v>18383781995</v>
      </c>
      <c r="G13" s="22">
        <v>14433747950</v>
      </c>
      <c r="N13" s="23"/>
      <c r="O13" s="22">
        <v>1895580</v>
      </c>
      <c r="Q13" s="22">
        <v>8590</v>
      </c>
      <c r="S13" s="22">
        <v>18383781995</v>
      </c>
      <c r="U13" s="22">
        <v>16186148158</v>
      </c>
      <c r="W13" s="24">
        <v>5.338201664036769E-3</v>
      </c>
    </row>
    <row r="14" spans="1:27" ht="18.75" x14ac:dyDescent="0.45">
      <c r="A14" s="21" t="s">
        <v>20</v>
      </c>
      <c r="H14" s="23"/>
      <c r="I14" s="22">
        <v>1950000</v>
      </c>
      <c r="J14" s="22">
        <v>10414772629</v>
      </c>
      <c r="L14" s="22">
        <v>0</v>
      </c>
      <c r="M14" s="22">
        <v>0</v>
      </c>
      <c r="O14" s="22">
        <v>1950000</v>
      </c>
      <c r="Q14" s="22">
        <v>5323</v>
      </c>
      <c r="S14" s="22">
        <v>10414772629</v>
      </c>
      <c r="U14" s="22">
        <v>10318089892</v>
      </c>
      <c r="W14" s="24">
        <v>3.4029124219978222E-3</v>
      </c>
    </row>
    <row r="15" spans="1:27" ht="18.75" x14ac:dyDescent="0.45">
      <c r="A15" s="21" t="s">
        <v>21</v>
      </c>
      <c r="C15" s="22">
        <v>1291395</v>
      </c>
      <c r="E15" s="22">
        <v>32426441591</v>
      </c>
      <c r="G15" s="22">
        <v>26123522915</v>
      </c>
      <c r="N15" s="23"/>
      <c r="O15" s="22">
        <v>1664464</v>
      </c>
      <c r="Q15" s="22">
        <v>14911</v>
      </c>
      <c r="S15" s="22">
        <v>23074802770</v>
      </c>
      <c r="U15" s="22">
        <v>24671150709</v>
      </c>
      <c r="W15" s="24">
        <v>8.1365607482959575E-3</v>
      </c>
    </row>
    <row r="16" spans="1:27" ht="18.75" x14ac:dyDescent="0.45">
      <c r="A16" s="21" t="s">
        <v>22</v>
      </c>
      <c r="H16" s="23"/>
      <c r="N16" s="23"/>
      <c r="O16" s="22">
        <v>727007</v>
      </c>
      <c r="Q16" s="22">
        <v>13911</v>
      </c>
      <c r="S16" s="22">
        <v>9351638821</v>
      </c>
      <c r="U16" s="22">
        <v>10053219680</v>
      </c>
      <c r="W16" s="24">
        <v>3.31555806241516E-3</v>
      </c>
    </row>
    <row r="17" spans="1:23" ht="18.75" x14ac:dyDescent="0.45">
      <c r="A17" s="21" t="s">
        <v>23</v>
      </c>
      <c r="C17" s="22">
        <v>22000000</v>
      </c>
      <c r="E17" s="22">
        <v>40077157120</v>
      </c>
      <c r="G17" s="22">
        <v>47215386900</v>
      </c>
      <c r="N17" s="23"/>
      <c r="O17" s="22">
        <v>22000000</v>
      </c>
      <c r="Q17" s="22">
        <v>2464</v>
      </c>
      <c r="S17" s="22">
        <v>40077157120</v>
      </c>
      <c r="U17" s="22">
        <v>53885462400</v>
      </c>
      <c r="W17" s="24">
        <v>1.7771458795704836E-2</v>
      </c>
    </row>
    <row r="18" spans="1:23" ht="18.75" x14ac:dyDescent="0.45">
      <c r="A18" s="21" t="s">
        <v>24</v>
      </c>
      <c r="C18" s="22">
        <v>4693440</v>
      </c>
      <c r="E18" s="22">
        <v>14030262999</v>
      </c>
      <c r="G18" s="22">
        <v>13189408168</v>
      </c>
      <c r="N18" s="23"/>
      <c r="O18" s="22">
        <v>4693440</v>
      </c>
      <c r="Q18" s="22">
        <v>2782</v>
      </c>
      <c r="S18" s="22">
        <v>14030262999</v>
      </c>
      <c r="U18" s="22">
        <v>12979460037</v>
      </c>
      <c r="W18" s="24">
        <v>4.280633940297097E-3</v>
      </c>
    </row>
    <row r="19" spans="1:23" ht="37.5" x14ac:dyDescent="0.45">
      <c r="A19" s="21" t="s">
        <v>25</v>
      </c>
      <c r="C19" s="22">
        <v>1562500</v>
      </c>
      <c r="E19" s="22">
        <v>3937321845</v>
      </c>
      <c r="G19" s="22">
        <v>3437238516</v>
      </c>
      <c r="N19" s="23"/>
      <c r="O19" s="22">
        <v>1562500</v>
      </c>
      <c r="Q19" s="22">
        <v>2531</v>
      </c>
      <c r="S19" s="22">
        <v>3937321845</v>
      </c>
      <c r="U19" s="22">
        <v>3931157109</v>
      </c>
      <c r="W19" s="24">
        <v>1.2964980436362674E-3</v>
      </c>
    </row>
    <row r="20" spans="1:23" ht="37.5" x14ac:dyDescent="0.45">
      <c r="A20" s="21" t="s">
        <v>26</v>
      </c>
      <c r="C20" s="22">
        <v>5317185</v>
      </c>
      <c r="E20" s="22">
        <v>2658592500</v>
      </c>
      <c r="G20" s="22">
        <v>14662109456</v>
      </c>
      <c r="N20" s="23"/>
      <c r="O20" s="22">
        <v>5317185</v>
      </c>
      <c r="Q20" s="22">
        <v>2934</v>
      </c>
      <c r="S20" s="22">
        <v>2658592500</v>
      </c>
      <c r="U20" s="22">
        <v>15507797096</v>
      </c>
      <c r="W20" s="24">
        <v>5.1144810646315455E-3</v>
      </c>
    </row>
    <row r="21" spans="1:23" ht="18.75" x14ac:dyDescent="0.45">
      <c r="A21" s="21" t="s">
        <v>27</v>
      </c>
      <c r="C21" s="22">
        <v>5943279</v>
      </c>
      <c r="E21" s="22">
        <v>33613887434</v>
      </c>
      <c r="G21" s="22">
        <v>24878236339</v>
      </c>
      <c r="I21" s="22">
        <v>8817242</v>
      </c>
      <c r="J21" s="22">
        <v>37563083567</v>
      </c>
      <c r="L21" s="22">
        <v>0</v>
      </c>
      <c r="M21" s="22">
        <v>0</v>
      </c>
      <c r="O21" s="22">
        <v>14760521</v>
      </c>
      <c r="Q21" s="22">
        <v>4670</v>
      </c>
      <c r="S21" s="22">
        <v>71176971001</v>
      </c>
      <c r="U21" s="22">
        <v>68521489853</v>
      </c>
      <c r="W21" s="24">
        <v>2.2598429693402734E-2</v>
      </c>
    </row>
    <row r="22" spans="1:23" ht="18.75" x14ac:dyDescent="0.45">
      <c r="A22" s="21" t="s">
        <v>28</v>
      </c>
      <c r="C22" s="22">
        <v>16301669</v>
      </c>
      <c r="E22" s="22">
        <v>87878068252</v>
      </c>
      <c r="G22" s="22">
        <v>111650204339</v>
      </c>
      <c r="I22" s="22">
        <v>0</v>
      </c>
      <c r="J22" s="22">
        <v>0</v>
      </c>
      <c r="L22" s="22">
        <v>1</v>
      </c>
      <c r="M22" s="22">
        <v>1</v>
      </c>
      <c r="O22" s="22">
        <v>23094030</v>
      </c>
      <c r="Q22" s="22">
        <v>5195</v>
      </c>
      <c r="S22" s="22">
        <v>87878064447</v>
      </c>
      <c r="U22" s="22">
        <v>119259643609</v>
      </c>
      <c r="W22" s="24">
        <v>3.9331904153573474E-2</v>
      </c>
    </row>
    <row r="23" spans="1:23" ht="18.75" x14ac:dyDescent="0.45">
      <c r="A23" s="21" t="s">
        <v>29</v>
      </c>
      <c r="C23" s="22">
        <v>2845363</v>
      </c>
      <c r="E23" s="22">
        <v>28777678147</v>
      </c>
      <c r="G23" s="22">
        <v>29274282483</v>
      </c>
      <c r="N23" s="23"/>
      <c r="O23" s="22">
        <v>2845363</v>
      </c>
      <c r="Q23" s="22">
        <v>12300</v>
      </c>
      <c r="S23" s="22">
        <v>28777678147</v>
      </c>
      <c r="U23" s="22">
        <v>34789727009</v>
      </c>
      <c r="W23" s="24">
        <v>1.1473673464371406E-2</v>
      </c>
    </row>
    <row r="24" spans="1:23" ht="18.75" x14ac:dyDescent="0.45">
      <c r="A24" s="21" t="s">
        <v>30</v>
      </c>
      <c r="C24" s="22">
        <v>2139629</v>
      </c>
      <c r="E24" s="22">
        <v>81270928834</v>
      </c>
      <c r="G24" s="22">
        <v>39113658035</v>
      </c>
      <c r="N24" s="23"/>
      <c r="O24" s="22">
        <v>2139629</v>
      </c>
      <c r="Q24" s="22">
        <v>21100</v>
      </c>
      <c r="S24" s="22">
        <v>81270928834</v>
      </c>
      <c r="U24" s="22">
        <v>44877552177</v>
      </c>
      <c r="W24" s="24">
        <v>1.4800644438111927E-2</v>
      </c>
    </row>
    <row r="25" spans="1:23" ht="37.5" x14ac:dyDescent="0.45">
      <c r="A25" s="21" t="s">
        <v>31</v>
      </c>
      <c r="C25" s="22">
        <v>842177</v>
      </c>
      <c r="E25" s="22">
        <v>2001916090</v>
      </c>
      <c r="G25" s="22">
        <v>9024649985</v>
      </c>
      <c r="N25" s="23"/>
      <c r="O25" s="22">
        <v>842177</v>
      </c>
      <c r="Q25" s="22">
        <v>10690</v>
      </c>
      <c r="S25" s="22">
        <v>2001916090</v>
      </c>
      <c r="U25" s="22">
        <v>8949305041</v>
      </c>
      <c r="W25" s="24">
        <v>2.9514863323567785E-3</v>
      </c>
    </row>
    <row r="26" spans="1:23" ht="37.5" x14ac:dyDescent="0.45">
      <c r="A26" s="21" t="s">
        <v>32</v>
      </c>
      <c r="C26" s="22">
        <v>1200461</v>
      </c>
      <c r="E26" s="22">
        <v>15907279629</v>
      </c>
      <c r="G26" s="22">
        <v>15727934628</v>
      </c>
      <c r="I26" s="22">
        <v>2800000</v>
      </c>
      <c r="J26" s="22">
        <v>41309474913</v>
      </c>
      <c r="L26" s="22">
        <v>0</v>
      </c>
      <c r="M26" s="22">
        <v>0</v>
      </c>
      <c r="O26" s="22">
        <v>4000461</v>
      </c>
      <c r="Q26" s="22">
        <v>15540</v>
      </c>
      <c r="S26" s="22">
        <v>57216754542</v>
      </c>
      <c r="U26" s="22">
        <v>61797269315</v>
      </c>
      <c r="W26" s="24">
        <v>2.0380777605029838E-2</v>
      </c>
    </row>
    <row r="27" spans="1:23" ht="37.5" x14ac:dyDescent="0.45">
      <c r="A27" s="21" t="s">
        <v>33</v>
      </c>
      <c r="C27" s="22">
        <v>1793579</v>
      </c>
      <c r="E27" s="22">
        <v>19708139220</v>
      </c>
      <c r="G27" s="22">
        <v>16830644015</v>
      </c>
      <c r="I27" s="22">
        <v>0</v>
      </c>
      <c r="J27" s="22">
        <v>0</v>
      </c>
      <c r="L27" s="22">
        <v>1793579</v>
      </c>
      <c r="M27" s="22">
        <v>16344927111</v>
      </c>
      <c r="W27" s="24">
        <v>0</v>
      </c>
    </row>
    <row r="28" spans="1:23" ht="18.75" x14ac:dyDescent="0.45">
      <c r="A28" s="21" t="s">
        <v>34</v>
      </c>
      <c r="C28" s="22">
        <v>9986992</v>
      </c>
      <c r="E28" s="22">
        <v>19205508998</v>
      </c>
      <c r="G28" s="22">
        <v>14524034029</v>
      </c>
      <c r="I28" s="22">
        <v>15819535</v>
      </c>
      <c r="J28" s="22">
        <v>26568142822</v>
      </c>
      <c r="L28" s="22">
        <v>0</v>
      </c>
      <c r="M28" s="22">
        <v>0</v>
      </c>
      <c r="O28" s="22">
        <v>25806527</v>
      </c>
      <c r="Q28" s="22">
        <v>1699</v>
      </c>
      <c r="S28" s="22">
        <v>45773651820</v>
      </c>
      <c r="U28" s="22">
        <v>43584409901</v>
      </c>
      <c r="W28" s="24">
        <v>1.4374165316445933E-2</v>
      </c>
    </row>
    <row r="29" spans="1:23" ht="18.75" x14ac:dyDescent="0.45">
      <c r="A29" s="21" t="s">
        <v>35</v>
      </c>
      <c r="C29" s="22">
        <v>1800000</v>
      </c>
      <c r="E29" s="22">
        <v>19473665998</v>
      </c>
      <c r="G29" s="22">
        <v>19556939700</v>
      </c>
      <c r="N29" s="23"/>
      <c r="O29" s="22">
        <v>1800000</v>
      </c>
      <c r="Q29" s="22">
        <v>13080</v>
      </c>
      <c r="S29" s="22">
        <v>19473665998</v>
      </c>
      <c r="U29" s="22">
        <v>23403913200</v>
      </c>
      <c r="W29" s="24">
        <v>7.7186250347932904E-3</v>
      </c>
    </row>
    <row r="30" spans="1:23" ht="18.75" x14ac:dyDescent="0.45">
      <c r="A30" s="21" t="s">
        <v>36</v>
      </c>
      <c r="C30" s="22">
        <v>3929304</v>
      </c>
      <c r="E30" s="22">
        <v>65268475220</v>
      </c>
      <c r="G30" s="22">
        <v>58823225096</v>
      </c>
      <c r="N30" s="23"/>
      <c r="O30" s="22">
        <v>3929304</v>
      </c>
      <c r="Q30" s="22">
        <v>17190</v>
      </c>
      <c r="S30" s="22">
        <v>65268475220</v>
      </c>
      <c r="U30" s="22">
        <v>67142844582</v>
      </c>
      <c r="W30" s="24">
        <v>2.2143751631152873E-2</v>
      </c>
    </row>
    <row r="31" spans="1:23" ht="18.75" x14ac:dyDescent="0.45">
      <c r="A31" s="21" t="s">
        <v>37</v>
      </c>
      <c r="C31" s="22">
        <v>3273715</v>
      </c>
      <c r="E31" s="22">
        <v>91708304832</v>
      </c>
      <c r="G31" s="22">
        <v>74945064194</v>
      </c>
      <c r="N31" s="23"/>
      <c r="O31" s="22">
        <v>3273715</v>
      </c>
      <c r="Q31" s="22">
        <v>25770</v>
      </c>
      <c r="S31" s="22">
        <v>91708304832</v>
      </c>
      <c r="U31" s="22">
        <v>83861671918</v>
      </c>
      <c r="W31" s="24">
        <v>2.765763121724004E-2</v>
      </c>
    </row>
    <row r="32" spans="1:23" ht="18.75" x14ac:dyDescent="0.45">
      <c r="A32" s="21" t="s">
        <v>38</v>
      </c>
      <c r="C32" s="22">
        <v>614525</v>
      </c>
      <c r="E32" s="22">
        <v>49949365751</v>
      </c>
      <c r="G32" s="22">
        <v>55191975864</v>
      </c>
      <c r="N32" s="23"/>
      <c r="O32" s="22">
        <v>614525</v>
      </c>
      <c r="Q32" s="22">
        <v>104500</v>
      </c>
      <c r="S32" s="22">
        <v>49949365751</v>
      </c>
      <c r="U32" s="22">
        <v>63835766218</v>
      </c>
      <c r="W32" s="24">
        <v>2.1053075143240004E-2</v>
      </c>
    </row>
    <row r="33" spans="1:23" ht="18.75" x14ac:dyDescent="0.45">
      <c r="A33" s="21" t="s">
        <v>39</v>
      </c>
      <c r="C33" s="22">
        <v>1900739</v>
      </c>
      <c r="E33" s="22">
        <v>70638814774</v>
      </c>
      <c r="G33" s="22">
        <v>102784970400</v>
      </c>
      <c r="I33" s="22">
        <v>0</v>
      </c>
      <c r="J33" s="22">
        <v>0</v>
      </c>
      <c r="L33" s="22">
        <v>1559397</v>
      </c>
      <c r="M33" s="22">
        <v>90077313473</v>
      </c>
      <c r="O33" s="22">
        <v>341342</v>
      </c>
      <c r="Q33" s="22">
        <v>52350</v>
      </c>
      <c r="S33" s="22">
        <v>12685589296</v>
      </c>
      <c r="U33" s="22">
        <v>17762931640</v>
      </c>
      <c r="W33" s="24">
        <v>5.8582258307053473E-3</v>
      </c>
    </row>
    <row r="34" spans="1:23" ht="18.75" x14ac:dyDescent="0.45">
      <c r="A34" s="21" t="s">
        <v>40</v>
      </c>
      <c r="C34" s="22">
        <v>7048964</v>
      </c>
      <c r="E34" s="22">
        <v>19951752189</v>
      </c>
      <c r="G34" s="22">
        <v>21203250582</v>
      </c>
      <c r="N34" s="23"/>
      <c r="O34" s="22">
        <v>7048964</v>
      </c>
      <c r="Q34" s="22">
        <v>3617</v>
      </c>
      <c r="S34" s="22">
        <v>19951752189</v>
      </c>
      <c r="U34" s="22">
        <v>25344400976</v>
      </c>
      <c r="W34" s="24">
        <v>8.3585991023583661E-3</v>
      </c>
    </row>
    <row r="35" spans="1:23" ht="37.5" x14ac:dyDescent="0.45">
      <c r="A35" s="21" t="s">
        <v>41</v>
      </c>
      <c r="C35" s="22">
        <v>6986817</v>
      </c>
      <c r="E35" s="22">
        <v>36649310457</v>
      </c>
      <c r="G35" s="22">
        <v>30614641894</v>
      </c>
      <c r="N35" s="23"/>
      <c r="O35" s="22">
        <v>6986817</v>
      </c>
      <c r="Q35" s="22">
        <v>5080</v>
      </c>
      <c r="S35" s="22">
        <v>36649310457</v>
      </c>
      <c r="U35" s="22">
        <v>35281846829</v>
      </c>
      <c r="W35" s="24">
        <v>1.1635974885091509E-2</v>
      </c>
    </row>
    <row r="36" spans="1:23" ht="18.75" x14ac:dyDescent="0.45">
      <c r="A36" s="21" t="s">
        <v>42</v>
      </c>
      <c r="C36" s="22">
        <v>1200000</v>
      </c>
      <c r="E36" s="22">
        <v>15324198878</v>
      </c>
      <c r="G36" s="22">
        <v>13610532600</v>
      </c>
      <c r="N36" s="23"/>
      <c r="O36" s="22">
        <v>1200000</v>
      </c>
      <c r="Q36" s="22">
        <v>12320</v>
      </c>
      <c r="S36" s="22">
        <v>15324198878</v>
      </c>
      <c r="U36" s="22">
        <v>14696035200</v>
      </c>
      <c r="W36" s="24">
        <v>4.8467614897376825E-3</v>
      </c>
    </row>
    <row r="37" spans="1:23" ht="18.75" x14ac:dyDescent="0.45">
      <c r="A37" s="21" t="s">
        <v>43</v>
      </c>
      <c r="C37" s="22">
        <v>5641064</v>
      </c>
      <c r="E37" s="22">
        <v>27693957457</v>
      </c>
      <c r="G37" s="22">
        <v>18431851413</v>
      </c>
      <c r="N37" s="23"/>
      <c r="O37" s="22">
        <v>5641064</v>
      </c>
      <c r="Q37" s="22">
        <v>4092</v>
      </c>
      <c r="S37" s="22">
        <v>27693957457</v>
      </c>
      <c r="U37" s="22">
        <v>22945888646</v>
      </c>
      <c r="W37" s="24">
        <v>7.5675682538676788E-3</v>
      </c>
    </row>
    <row r="38" spans="1:23" ht="18.75" x14ac:dyDescent="0.45">
      <c r="A38" s="21" t="s">
        <v>44</v>
      </c>
      <c r="C38" s="22">
        <v>5719893</v>
      </c>
      <c r="E38" s="22">
        <v>32245989428</v>
      </c>
      <c r="G38" s="22">
        <v>22919700195</v>
      </c>
      <c r="I38" s="22">
        <v>0</v>
      </c>
      <c r="J38" s="22">
        <v>0</v>
      </c>
      <c r="L38" s="22">
        <v>110835</v>
      </c>
      <c r="M38" s="22">
        <v>417568593</v>
      </c>
      <c r="O38" s="22">
        <v>5609058</v>
      </c>
      <c r="Q38" s="22">
        <v>3954</v>
      </c>
      <c r="S38" s="22">
        <v>31621155320</v>
      </c>
      <c r="U38" s="22">
        <v>22046254951</v>
      </c>
      <c r="W38" s="24">
        <v>7.2708685053670483E-3</v>
      </c>
    </row>
    <row r="39" spans="1:23" ht="18.75" x14ac:dyDescent="0.45">
      <c r="A39" s="21" t="s">
        <v>45</v>
      </c>
      <c r="C39" s="22">
        <v>2029694</v>
      </c>
      <c r="E39" s="22">
        <v>44505016348</v>
      </c>
      <c r="G39" s="22">
        <v>58410021434</v>
      </c>
      <c r="N39" s="23"/>
      <c r="O39" s="22">
        <v>2029694</v>
      </c>
      <c r="Q39" s="22">
        <v>34390</v>
      </c>
      <c r="S39" s="22">
        <v>44505016348</v>
      </c>
      <c r="U39" s="22">
        <v>69385859659</v>
      </c>
      <c r="W39" s="24">
        <v>2.2883499389521375E-2</v>
      </c>
    </row>
    <row r="40" spans="1:23" ht="18.75" x14ac:dyDescent="0.45">
      <c r="A40" s="21" t="s">
        <v>46</v>
      </c>
      <c r="C40" s="22">
        <v>15312202</v>
      </c>
      <c r="E40" s="22">
        <v>96050798879</v>
      </c>
      <c r="G40" s="22">
        <v>78388636150</v>
      </c>
      <c r="I40" s="22">
        <v>0</v>
      </c>
      <c r="J40" s="22">
        <v>0</v>
      </c>
      <c r="L40" s="22">
        <v>800000</v>
      </c>
      <c r="M40" s="22">
        <v>4676011262</v>
      </c>
      <c r="O40" s="22">
        <v>14512202</v>
      </c>
      <c r="Q40" s="22">
        <v>5980</v>
      </c>
      <c r="S40" s="22">
        <v>91032537031</v>
      </c>
      <c r="U40" s="22">
        <v>86266609301</v>
      </c>
      <c r="W40" s="24">
        <v>2.8450781052180209E-2</v>
      </c>
    </row>
    <row r="41" spans="1:23" ht="18.75" x14ac:dyDescent="0.45">
      <c r="A41" s="21" t="s">
        <v>47</v>
      </c>
      <c r="C41" s="22">
        <v>8351092</v>
      </c>
      <c r="E41" s="22">
        <v>44413969614</v>
      </c>
      <c r="G41" s="22">
        <v>45491688454</v>
      </c>
      <c r="N41" s="23"/>
      <c r="O41" s="22">
        <v>8351092</v>
      </c>
      <c r="Q41" s="22">
        <v>6310</v>
      </c>
      <c r="S41" s="22">
        <v>44413969614</v>
      </c>
      <c r="U41" s="22">
        <v>52381852946</v>
      </c>
      <c r="W41" s="24">
        <v>1.7275567468685377E-2</v>
      </c>
    </row>
    <row r="42" spans="1:23" ht="37.5" x14ac:dyDescent="0.45">
      <c r="A42" s="21" t="s">
        <v>48</v>
      </c>
      <c r="C42" s="22">
        <v>3799421</v>
      </c>
      <c r="E42" s="22">
        <v>32912118835</v>
      </c>
      <c r="G42" s="22">
        <v>43999888285</v>
      </c>
      <c r="I42" s="22">
        <v>0</v>
      </c>
      <c r="J42" s="22">
        <v>0</v>
      </c>
      <c r="L42" s="22">
        <v>1146291</v>
      </c>
      <c r="M42" s="22">
        <v>12277018288</v>
      </c>
      <c r="O42" s="22">
        <v>2653130</v>
      </c>
      <c r="Q42" s="22">
        <v>10840</v>
      </c>
      <c r="S42" s="22">
        <v>22982483343</v>
      </c>
      <c r="U42" s="22">
        <v>28588807621</v>
      </c>
      <c r="W42" s="24">
        <v>9.428606418619763E-3</v>
      </c>
    </row>
    <row r="43" spans="1:23" ht="18.75" x14ac:dyDescent="0.45">
      <c r="A43" s="21" t="s">
        <v>49</v>
      </c>
      <c r="C43" s="22">
        <v>17343799</v>
      </c>
      <c r="E43" s="22">
        <v>58383892224</v>
      </c>
      <c r="G43" s="22">
        <v>39308575743</v>
      </c>
      <c r="N43" s="23"/>
      <c r="O43" s="22">
        <v>17343799</v>
      </c>
      <c r="Q43" s="22">
        <v>2387</v>
      </c>
      <c r="S43" s="22">
        <v>58383892224</v>
      </c>
      <c r="U43" s="22">
        <v>41153320306</v>
      </c>
      <c r="W43" s="24">
        <v>1.3572390465828537E-2</v>
      </c>
    </row>
    <row r="44" spans="1:23" ht="18.75" x14ac:dyDescent="0.45">
      <c r="A44" s="21" t="s">
        <v>50</v>
      </c>
      <c r="C44" s="22">
        <v>800000</v>
      </c>
      <c r="E44" s="22">
        <v>25875990584</v>
      </c>
      <c r="G44" s="22">
        <v>23157388800</v>
      </c>
      <c r="N44" s="23"/>
      <c r="O44" s="22">
        <v>800000</v>
      </c>
      <c r="Q44" s="22">
        <v>36150</v>
      </c>
      <c r="S44" s="22">
        <v>25875990584</v>
      </c>
      <c r="U44" s="22">
        <v>28747926000</v>
      </c>
      <c r="W44" s="24">
        <v>9.4810837583342664E-3</v>
      </c>
    </row>
    <row r="45" spans="1:23" ht="18.75" x14ac:dyDescent="0.45">
      <c r="A45" s="21" t="s">
        <v>51</v>
      </c>
      <c r="C45" s="22">
        <v>187302</v>
      </c>
      <c r="E45" s="22">
        <v>809708050</v>
      </c>
      <c r="G45" s="22">
        <v>823879922</v>
      </c>
      <c r="I45" s="22">
        <v>0</v>
      </c>
      <c r="J45" s="22">
        <v>0</v>
      </c>
      <c r="L45" s="22">
        <v>187302</v>
      </c>
      <c r="M45" s="22">
        <v>820726472</v>
      </c>
      <c r="W45" s="24">
        <v>0</v>
      </c>
    </row>
    <row r="46" spans="1:23" ht="18.75" x14ac:dyDescent="0.45">
      <c r="A46" s="21" t="s">
        <v>52</v>
      </c>
      <c r="C46" s="22">
        <v>28421426</v>
      </c>
      <c r="E46" s="22">
        <v>46301235774</v>
      </c>
      <c r="G46" s="22">
        <v>29128140389</v>
      </c>
      <c r="I46" s="22">
        <v>0</v>
      </c>
      <c r="J46" s="22">
        <v>0</v>
      </c>
      <c r="L46" s="22">
        <v>1200000</v>
      </c>
      <c r="M46" s="22">
        <v>1310089835</v>
      </c>
      <c r="O46" s="22">
        <v>27221426</v>
      </c>
      <c r="Q46" s="22">
        <v>1119</v>
      </c>
      <c r="S46" s="22">
        <v>44346320390</v>
      </c>
      <c r="U46" s="22">
        <v>30279534079</v>
      </c>
      <c r="W46" s="24">
        <v>9.9862090491792625E-3</v>
      </c>
    </row>
    <row r="47" spans="1:23" ht="18.75" x14ac:dyDescent="0.45">
      <c r="A47" s="21" t="s">
        <v>53</v>
      </c>
      <c r="C47" s="22">
        <v>10646044</v>
      </c>
      <c r="E47" s="22">
        <v>51525908854</v>
      </c>
      <c r="G47" s="22">
        <v>36277495731</v>
      </c>
      <c r="I47" s="22">
        <v>102466</v>
      </c>
      <c r="J47" s="22">
        <v>377417249</v>
      </c>
      <c r="L47" s="22">
        <v>0</v>
      </c>
      <c r="M47" s="22">
        <v>0</v>
      </c>
      <c r="O47" s="22">
        <v>10748510</v>
      </c>
      <c r="Q47" s="22">
        <v>3890</v>
      </c>
      <c r="S47" s="22">
        <v>51903326103</v>
      </c>
      <c r="U47" s="22">
        <v>41562924262</v>
      </c>
      <c r="W47" s="24">
        <v>1.3707478103614341E-2</v>
      </c>
    </row>
    <row r="48" spans="1:23" ht="18.75" x14ac:dyDescent="0.45">
      <c r="A48" s="21" t="s">
        <v>54</v>
      </c>
      <c r="C48" s="22">
        <v>15189799</v>
      </c>
      <c r="E48" s="22">
        <v>123718407507</v>
      </c>
      <c r="G48" s="22">
        <v>93314413721</v>
      </c>
      <c r="N48" s="23"/>
      <c r="O48" s="22">
        <v>15189799</v>
      </c>
      <c r="Q48" s="22">
        <v>7200</v>
      </c>
      <c r="S48" s="22">
        <v>123718407507</v>
      </c>
      <c r="U48" s="22">
        <v>108715821811</v>
      </c>
      <c r="W48" s="24">
        <v>3.585454520949561E-2</v>
      </c>
    </row>
    <row r="49" spans="1:23" ht="18.75" x14ac:dyDescent="0.45">
      <c r="A49" s="21" t="s">
        <v>55</v>
      </c>
      <c r="C49" s="22">
        <v>1215189</v>
      </c>
      <c r="E49" s="22">
        <v>27134882738</v>
      </c>
      <c r="G49" s="22">
        <v>24751072235</v>
      </c>
      <c r="I49" s="22">
        <v>100000</v>
      </c>
      <c r="J49" s="22">
        <v>2320151104</v>
      </c>
      <c r="L49" s="22">
        <v>0</v>
      </c>
      <c r="M49" s="22">
        <v>0</v>
      </c>
      <c r="O49" s="22">
        <v>1315189</v>
      </c>
      <c r="Q49" s="22">
        <v>22410</v>
      </c>
      <c r="S49" s="22">
        <v>29455033842</v>
      </c>
      <c r="U49" s="22">
        <v>29298018846</v>
      </c>
      <c r="W49" s="24">
        <v>9.6625047188510869E-3</v>
      </c>
    </row>
    <row r="50" spans="1:23" ht="18.75" x14ac:dyDescent="0.45">
      <c r="A50" s="21" t="s">
        <v>56</v>
      </c>
      <c r="C50" s="22">
        <v>5608577</v>
      </c>
      <c r="E50" s="22">
        <v>48395249821</v>
      </c>
      <c r="G50" s="22">
        <v>45103416272</v>
      </c>
      <c r="N50" s="23"/>
      <c r="O50" s="22">
        <v>5608577</v>
      </c>
      <c r="Q50" s="22">
        <v>9570</v>
      </c>
      <c r="S50" s="22">
        <v>48395249821</v>
      </c>
      <c r="U50" s="22">
        <v>53354721103</v>
      </c>
      <c r="W50" s="24">
        <v>1.7596419988005669E-2</v>
      </c>
    </row>
    <row r="51" spans="1:23" ht="18.75" x14ac:dyDescent="0.45">
      <c r="A51" s="21" t="s">
        <v>57</v>
      </c>
      <c r="C51" s="22">
        <v>2488715</v>
      </c>
      <c r="E51" s="22">
        <v>26854909997</v>
      </c>
      <c r="G51" s="22">
        <v>16773090448</v>
      </c>
      <c r="N51" s="23"/>
      <c r="O51" s="22">
        <v>2488715</v>
      </c>
      <c r="Q51" s="22">
        <v>7290</v>
      </c>
      <c r="S51" s="22">
        <v>26854909997</v>
      </c>
      <c r="U51" s="22">
        <v>18034783093</v>
      </c>
      <c r="W51" s="24">
        <v>5.9478826078835645E-3</v>
      </c>
    </row>
    <row r="52" spans="1:23" ht="37.5" x14ac:dyDescent="0.45">
      <c r="A52" s="21" t="s">
        <v>58</v>
      </c>
      <c r="C52" s="22">
        <v>1377410</v>
      </c>
      <c r="E52" s="22">
        <v>16830765661</v>
      </c>
      <c r="G52" s="22">
        <v>10830485987</v>
      </c>
      <c r="I52" s="22">
        <v>0</v>
      </c>
      <c r="J52" s="22">
        <v>0</v>
      </c>
      <c r="L52" s="22">
        <v>1377410</v>
      </c>
      <c r="M52" s="22">
        <v>9958368124</v>
      </c>
      <c r="W52" s="24">
        <v>0</v>
      </c>
    </row>
    <row r="53" spans="1:23" ht="18.75" x14ac:dyDescent="0.45">
      <c r="A53" s="21" t="s">
        <v>59</v>
      </c>
      <c r="C53" s="22">
        <v>1400000</v>
      </c>
      <c r="E53" s="22">
        <v>10603785257</v>
      </c>
      <c r="G53" s="22">
        <v>8809271100</v>
      </c>
      <c r="N53" s="23"/>
      <c r="O53" s="22">
        <v>2240000</v>
      </c>
      <c r="Q53" s="22">
        <v>3996</v>
      </c>
      <c r="S53" s="22">
        <v>10603785257</v>
      </c>
      <c r="U53" s="22">
        <v>8897781312</v>
      </c>
      <c r="W53" s="24">
        <v>2.9344937746957245E-3</v>
      </c>
    </row>
    <row r="54" spans="1:23" ht="18.75" x14ac:dyDescent="0.45">
      <c r="A54" s="21" t="s">
        <v>60</v>
      </c>
      <c r="C54" s="22">
        <v>1715474</v>
      </c>
      <c r="E54" s="22">
        <v>8326488323</v>
      </c>
      <c r="G54" s="22">
        <v>5364769761</v>
      </c>
      <c r="I54" s="22">
        <v>0</v>
      </c>
      <c r="J54" s="22">
        <v>0</v>
      </c>
      <c r="L54" s="22">
        <v>1715474</v>
      </c>
      <c r="M54" s="22">
        <v>5251264761</v>
      </c>
      <c r="W54" s="24">
        <v>0</v>
      </c>
    </row>
    <row r="55" spans="1:23" ht="18.75" x14ac:dyDescent="0.45">
      <c r="A55" s="21" t="s">
        <v>61</v>
      </c>
      <c r="C55" s="22">
        <v>23552607</v>
      </c>
      <c r="E55" s="22">
        <v>147656415847</v>
      </c>
      <c r="G55" s="22">
        <v>82411890839</v>
      </c>
      <c r="I55" s="22">
        <v>600000</v>
      </c>
      <c r="J55" s="22">
        <v>2188985772</v>
      </c>
      <c r="L55" s="22">
        <v>0</v>
      </c>
      <c r="M55" s="22">
        <v>0</v>
      </c>
      <c r="O55" s="22">
        <v>24152607</v>
      </c>
      <c r="Q55" s="22">
        <v>3631</v>
      </c>
      <c r="S55" s="22">
        <v>149845401619</v>
      </c>
      <c r="U55" s="22">
        <v>87176312227</v>
      </c>
      <c r="W55" s="24">
        <v>2.8750801639286484E-2</v>
      </c>
    </row>
    <row r="56" spans="1:23" ht="18.75" x14ac:dyDescent="0.45">
      <c r="A56" s="21" t="s">
        <v>62</v>
      </c>
      <c r="C56" s="22">
        <v>2407205</v>
      </c>
      <c r="E56" s="22">
        <v>27541293958</v>
      </c>
      <c r="G56" s="22">
        <v>27302785106</v>
      </c>
      <c r="I56" s="22">
        <v>0</v>
      </c>
      <c r="J56" s="22">
        <v>0</v>
      </c>
      <c r="L56" s="22">
        <v>33570</v>
      </c>
      <c r="M56" s="22">
        <v>355498638</v>
      </c>
      <c r="O56" s="22">
        <v>2373635</v>
      </c>
      <c r="Q56" s="22">
        <v>11160</v>
      </c>
      <c r="S56" s="22">
        <v>27157213151</v>
      </c>
      <c r="U56" s="22">
        <v>26332152489</v>
      </c>
      <c r="W56" s="24">
        <v>8.6843601616839808E-3</v>
      </c>
    </row>
    <row r="57" spans="1:23" ht="18.75" x14ac:dyDescent="0.45">
      <c r="A57" s="21" t="s">
        <v>63</v>
      </c>
      <c r="C57" s="22">
        <v>16880723</v>
      </c>
      <c r="E57" s="22">
        <v>84950508459</v>
      </c>
      <c r="G57" s="22">
        <v>75460931294</v>
      </c>
      <c r="I57" s="22">
        <v>800000</v>
      </c>
      <c r="J57" s="22">
        <v>3651979945</v>
      </c>
      <c r="L57" s="22">
        <v>0</v>
      </c>
      <c r="M57" s="22">
        <v>0</v>
      </c>
      <c r="O57" s="22">
        <v>17680723</v>
      </c>
      <c r="Q57" s="22">
        <v>4600</v>
      </c>
      <c r="S57" s="22">
        <v>88602488404</v>
      </c>
      <c r="U57" s="22">
        <v>80847404411</v>
      </c>
      <c r="W57" s="24">
        <v>2.6663523930895543E-2</v>
      </c>
    </row>
    <row r="58" spans="1:23" ht="18.75" x14ac:dyDescent="0.45">
      <c r="A58" s="21" t="s">
        <v>64</v>
      </c>
      <c r="C58" s="22">
        <v>372076</v>
      </c>
      <c r="E58" s="22">
        <v>7888099502</v>
      </c>
      <c r="G58" s="22">
        <v>5555329460</v>
      </c>
      <c r="N58" s="23"/>
      <c r="O58" s="22">
        <v>372076</v>
      </c>
      <c r="Q58" s="22">
        <v>16870</v>
      </c>
      <c r="S58" s="22">
        <v>7888099502</v>
      </c>
      <c r="U58" s="22">
        <v>6239574433</v>
      </c>
      <c r="W58" s="24">
        <v>2.057815503477852E-3</v>
      </c>
    </row>
    <row r="59" spans="1:23" ht="18.75" x14ac:dyDescent="0.45">
      <c r="A59" s="21" t="s">
        <v>65</v>
      </c>
      <c r="C59" s="22">
        <v>3882657</v>
      </c>
      <c r="E59" s="22">
        <v>49025595916</v>
      </c>
      <c r="G59" s="22">
        <v>27827392926</v>
      </c>
      <c r="N59" s="23"/>
      <c r="O59" s="22">
        <v>3882657</v>
      </c>
      <c r="Q59" s="22">
        <v>7490</v>
      </c>
      <c r="S59" s="22">
        <v>49025595916</v>
      </c>
      <c r="U59" s="22">
        <v>28908068379</v>
      </c>
      <c r="W59" s="24">
        <v>9.5338988138815046E-3</v>
      </c>
    </row>
    <row r="60" spans="1:23" ht="18.75" x14ac:dyDescent="0.45">
      <c r="A60" s="21" t="s">
        <v>66</v>
      </c>
      <c r="C60" s="22">
        <v>21351279</v>
      </c>
      <c r="E60" s="22">
        <v>110128787308</v>
      </c>
      <c r="G60" s="22">
        <v>157483852563</v>
      </c>
      <c r="N60" s="23"/>
      <c r="O60" s="22">
        <v>21351279</v>
      </c>
      <c r="Q60" s="22">
        <v>8110</v>
      </c>
      <c r="S60" s="22">
        <v>110128787308</v>
      </c>
      <c r="U60" s="22">
        <v>172128577397</v>
      </c>
      <c r="W60" s="24">
        <v>5.6768111184920936E-2</v>
      </c>
    </row>
    <row r="61" spans="1:23" ht="37.5" x14ac:dyDescent="0.45">
      <c r="A61" s="21" t="s">
        <v>67</v>
      </c>
      <c r="C61" s="22">
        <v>8068802</v>
      </c>
      <c r="E61" s="22">
        <v>27135791667</v>
      </c>
      <c r="G61" s="22">
        <v>25089039341</v>
      </c>
      <c r="N61" s="23"/>
      <c r="O61" s="22">
        <v>8068802</v>
      </c>
      <c r="Q61" s="22">
        <v>3611</v>
      </c>
      <c r="S61" s="22">
        <v>27135791667</v>
      </c>
      <c r="U61" s="22">
        <v>28963082180</v>
      </c>
      <c r="W61" s="24">
        <v>9.552042399444698E-3</v>
      </c>
    </row>
    <row r="62" spans="1:23" ht="18.75" x14ac:dyDescent="0.45">
      <c r="A62" s="21" t="s">
        <v>68</v>
      </c>
      <c r="C62" s="22">
        <v>4955597</v>
      </c>
      <c r="E62" s="22">
        <v>8318945687</v>
      </c>
      <c r="G62" s="22">
        <v>10231532958</v>
      </c>
      <c r="N62" s="23"/>
      <c r="O62" s="22">
        <v>4955597</v>
      </c>
      <c r="Q62" s="22">
        <v>2607</v>
      </c>
      <c r="S62" s="22">
        <v>8318945687</v>
      </c>
      <c r="U62" s="22">
        <v>12842371893</v>
      </c>
      <c r="W62" s="24">
        <v>4.2354221856982233E-3</v>
      </c>
    </row>
    <row r="63" spans="1:23" ht="18.75" x14ac:dyDescent="0.45">
      <c r="A63" s="21" t="s">
        <v>69</v>
      </c>
      <c r="C63" s="22">
        <v>5666467</v>
      </c>
      <c r="E63" s="22">
        <v>28707359622</v>
      </c>
      <c r="G63" s="22">
        <v>27600482455</v>
      </c>
      <c r="N63" s="23"/>
      <c r="O63" s="22">
        <v>5666467</v>
      </c>
      <c r="Q63" s="22">
        <v>5800</v>
      </c>
      <c r="S63" s="22">
        <v>28707359622</v>
      </c>
      <c r="U63" s="22">
        <v>32669958824</v>
      </c>
      <c r="W63" s="24">
        <v>1.0774572607139578E-2</v>
      </c>
    </row>
    <row r="64" spans="1:23" ht="18.75" x14ac:dyDescent="0.45">
      <c r="A64" s="21" t="s">
        <v>70</v>
      </c>
      <c r="C64" s="22">
        <v>534674</v>
      </c>
      <c r="E64" s="22">
        <v>27105671626</v>
      </c>
      <c r="G64" s="22">
        <v>35509026599</v>
      </c>
      <c r="N64" s="23"/>
      <c r="O64" s="22">
        <v>534674</v>
      </c>
      <c r="Q64" s="22">
        <v>79680</v>
      </c>
      <c r="S64" s="22">
        <v>27105671626</v>
      </c>
      <c r="U64" s="22">
        <v>42349337515</v>
      </c>
      <c r="W64" s="24">
        <v>1.3966837680383709E-2</v>
      </c>
    </row>
    <row r="65" spans="1:23" ht="37.5" x14ac:dyDescent="0.45">
      <c r="A65" s="21" t="s">
        <v>71</v>
      </c>
      <c r="C65" s="22">
        <v>7539161</v>
      </c>
      <c r="E65" s="22">
        <v>30227577878</v>
      </c>
      <c r="G65" s="22">
        <v>23374731032</v>
      </c>
      <c r="N65" s="23"/>
      <c r="O65" s="22">
        <v>7539161</v>
      </c>
      <c r="Q65" s="22">
        <v>3815</v>
      </c>
      <c r="S65" s="22">
        <v>30227577878</v>
      </c>
      <c r="U65" s="22">
        <v>28590765915</v>
      </c>
      <c r="W65" s="24">
        <v>9.4292522651910071E-3</v>
      </c>
    </row>
    <row r="66" spans="1:23" ht="18.75" x14ac:dyDescent="0.45">
      <c r="A66" s="21" t="s">
        <v>72</v>
      </c>
      <c r="C66" s="22">
        <v>305861</v>
      </c>
      <c r="E66" s="22">
        <v>1588891700</v>
      </c>
      <c r="G66" s="22">
        <v>1593175506</v>
      </c>
      <c r="I66" s="22">
        <v>0</v>
      </c>
      <c r="J66" s="22">
        <v>0</v>
      </c>
      <c r="L66" s="22">
        <v>305861</v>
      </c>
      <c r="M66" s="22">
        <v>2015792683</v>
      </c>
      <c r="W66" s="24">
        <v>0</v>
      </c>
    </row>
    <row r="67" spans="1:23" ht="18.75" x14ac:dyDescent="0.45">
      <c r="A67" s="21" t="s">
        <v>73</v>
      </c>
      <c r="C67" s="22">
        <v>4700000</v>
      </c>
      <c r="E67" s="22">
        <v>26085714195</v>
      </c>
      <c r="G67" s="22">
        <v>23687217450</v>
      </c>
      <c r="N67" s="23"/>
      <c r="O67" s="22">
        <v>4700000</v>
      </c>
      <c r="Q67" s="22">
        <v>5309</v>
      </c>
      <c r="S67" s="22">
        <v>26085714195</v>
      </c>
      <c r="U67" s="22">
        <v>24803833815</v>
      </c>
      <c r="W67" s="24">
        <v>8.1803197186405292E-3</v>
      </c>
    </row>
    <row r="68" spans="1:23" ht="18.75" x14ac:dyDescent="0.45">
      <c r="A68" s="21" t="s">
        <v>74</v>
      </c>
      <c r="C68" s="22">
        <v>12447027</v>
      </c>
      <c r="E68" s="22">
        <v>94257059223</v>
      </c>
      <c r="G68" s="22">
        <v>86239581310</v>
      </c>
      <c r="N68" s="23"/>
      <c r="O68" s="22">
        <v>12447027</v>
      </c>
      <c r="Q68" s="22">
        <v>8050</v>
      </c>
      <c r="S68" s="22">
        <v>94257059223</v>
      </c>
      <c r="U68" s="22">
        <v>99602385874</v>
      </c>
      <c r="W68" s="24">
        <v>3.284892840622046E-2</v>
      </c>
    </row>
    <row r="69" spans="1:23" ht="18.75" x14ac:dyDescent="0.45">
      <c r="A69" s="21" t="s">
        <v>75</v>
      </c>
      <c r="C69" s="22">
        <v>19623071</v>
      </c>
      <c r="E69" s="22">
        <v>79707307685</v>
      </c>
      <c r="G69" s="22">
        <v>70320260988</v>
      </c>
      <c r="I69" s="22">
        <v>0</v>
      </c>
      <c r="J69" s="22">
        <v>0</v>
      </c>
      <c r="L69" s="22">
        <v>3400000</v>
      </c>
      <c r="M69" s="22">
        <v>16982151508</v>
      </c>
      <c r="O69" s="22">
        <v>16223071</v>
      </c>
      <c r="Q69" s="22">
        <v>4785</v>
      </c>
      <c r="S69" s="22">
        <v>65896786074</v>
      </c>
      <c r="U69" s="22">
        <v>77165511736</v>
      </c>
      <c r="W69" s="24">
        <v>2.5449233451614622E-2</v>
      </c>
    </row>
    <row r="70" spans="1:23" ht="18.75" x14ac:dyDescent="0.45">
      <c r="A70" s="21" t="s">
        <v>76</v>
      </c>
      <c r="C70" s="22">
        <v>26480781</v>
      </c>
      <c r="E70" s="22">
        <v>52367233699</v>
      </c>
      <c r="G70" s="22">
        <v>40537759344</v>
      </c>
      <c r="N70" s="23"/>
      <c r="O70" s="22">
        <v>26480781</v>
      </c>
      <c r="Q70" s="22">
        <v>1847</v>
      </c>
      <c r="S70" s="22">
        <v>52367233699</v>
      </c>
      <c r="U70" s="22">
        <v>48618987992</v>
      </c>
      <c r="W70" s="24">
        <v>1.6034572281756948E-2</v>
      </c>
    </row>
    <row r="71" spans="1:23" ht="18.75" x14ac:dyDescent="0.45">
      <c r="A71" s="21" t="s">
        <v>77</v>
      </c>
      <c r="C71" s="22">
        <v>277678</v>
      </c>
      <c r="E71" s="22">
        <v>10451767203</v>
      </c>
      <c r="G71" s="22">
        <v>10339927064</v>
      </c>
      <c r="N71" s="23"/>
      <c r="O71" s="22">
        <v>277678</v>
      </c>
      <c r="Q71" s="22">
        <v>33810</v>
      </c>
      <c r="S71" s="22">
        <v>10451767203</v>
      </c>
      <c r="U71" s="22">
        <v>9332432836</v>
      </c>
      <c r="W71" s="24">
        <v>3.0778421158849855E-3</v>
      </c>
    </row>
    <row r="72" spans="1:23" ht="18.75" x14ac:dyDescent="0.45">
      <c r="A72" s="21" t="s">
        <v>78</v>
      </c>
      <c r="C72" s="22">
        <v>6013772</v>
      </c>
      <c r="E72" s="22">
        <v>56399565140</v>
      </c>
      <c r="G72" s="22">
        <v>41188351490</v>
      </c>
      <c r="I72" s="22">
        <v>0</v>
      </c>
      <c r="J72" s="22">
        <v>0</v>
      </c>
      <c r="L72" s="22">
        <v>1400000</v>
      </c>
      <c r="M72" s="22">
        <v>9310272350</v>
      </c>
      <c r="O72" s="22">
        <v>4613772</v>
      </c>
      <c r="Q72" s="22">
        <v>8730</v>
      </c>
      <c r="S72" s="22">
        <v>43269803786</v>
      </c>
      <c r="U72" s="22">
        <v>40038574094</v>
      </c>
      <c r="W72" s="24">
        <v>1.3204746476301855E-2</v>
      </c>
    </row>
    <row r="73" spans="1:23" ht="18.75" x14ac:dyDescent="0.45">
      <c r="A73" s="21" t="s">
        <v>79</v>
      </c>
      <c r="C73" s="22">
        <v>5686897</v>
      </c>
      <c r="E73" s="22">
        <v>45538770945</v>
      </c>
      <c r="G73" s="22">
        <v>27343851040</v>
      </c>
      <c r="N73" s="23"/>
      <c r="O73" s="22">
        <v>5686897</v>
      </c>
      <c r="Q73" s="22">
        <v>4979</v>
      </c>
      <c r="S73" s="22">
        <v>45538770945</v>
      </c>
      <c r="U73" s="22">
        <v>28146585555</v>
      </c>
      <c r="W73" s="24">
        <v>9.2827613080010141E-3</v>
      </c>
    </row>
    <row r="74" spans="1:23" ht="18.75" x14ac:dyDescent="0.45">
      <c r="A74" s="21" t="s">
        <v>80</v>
      </c>
      <c r="C74" s="22">
        <v>407809</v>
      </c>
      <c r="E74" s="22">
        <v>15540146852</v>
      </c>
      <c r="G74" s="22">
        <v>15201845117</v>
      </c>
      <c r="N74" s="23"/>
      <c r="O74" s="22">
        <v>407809</v>
      </c>
      <c r="Q74" s="22">
        <v>43680</v>
      </c>
      <c r="S74" s="22">
        <v>15540146852</v>
      </c>
      <c r="U74" s="22">
        <v>17707109192</v>
      </c>
      <c r="W74" s="24">
        <v>5.8398155528618864E-3</v>
      </c>
    </row>
    <row r="75" spans="1:23" ht="18.75" x14ac:dyDescent="0.45">
      <c r="A75" s="21" t="s">
        <v>81</v>
      </c>
      <c r="C75" s="22">
        <v>5962105</v>
      </c>
      <c r="E75" s="22">
        <v>87687286817</v>
      </c>
      <c r="G75" s="22">
        <v>96485544137</v>
      </c>
      <c r="I75" s="22">
        <v>33324</v>
      </c>
      <c r="J75" s="22">
        <v>588702636</v>
      </c>
      <c r="L75" s="22">
        <v>0</v>
      </c>
      <c r="M75" s="22">
        <v>0</v>
      </c>
      <c r="O75" s="22">
        <v>5995429</v>
      </c>
      <c r="Q75" s="22">
        <v>18270</v>
      </c>
      <c r="S75" s="22">
        <v>88275989453</v>
      </c>
      <c r="U75" s="22">
        <v>108884745727</v>
      </c>
      <c r="W75" s="24">
        <v>3.591025642137162E-2</v>
      </c>
    </row>
    <row r="76" spans="1:23" ht="18.75" x14ac:dyDescent="0.45">
      <c r="A76" s="21" t="s">
        <v>82</v>
      </c>
      <c r="C76" s="22">
        <v>4900000</v>
      </c>
      <c r="E76" s="22">
        <v>172898384028</v>
      </c>
      <c r="G76" s="22">
        <v>121040498250</v>
      </c>
      <c r="I76" s="22">
        <v>405016</v>
      </c>
      <c r="J76" s="22">
        <v>10752115290</v>
      </c>
      <c r="L76" s="22">
        <v>0</v>
      </c>
      <c r="M76" s="22">
        <v>0</v>
      </c>
      <c r="O76" s="22">
        <v>5305016</v>
      </c>
      <c r="Q76" s="22">
        <v>25950</v>
      </c>
      <c r="S76" s="22">
        <v>183650499318</v>
      </c>
      <c r="U76" s="22">
        <v>136846057467</v>
      </c>
      <c r="W76" s="24">
        <v>4.5131914310703708E-2</v>
      </c>
    </row>
    <row r="77" spans="1:23" ht="37.5" x14ac:dyDescent="0.45">
      <c r="A77" s="21" t="s">
        <v>83</v>
      </c>
      <c r="C77" s="22">
        <v>450000</v>
      </c>
      <c r="E77" s="22">
        <v>2252043000</v>
      </c>
      <c r="G77" s="22">
        <v>3184936200</v>
      </c>
      <c r="N77" s="23"/>
      <c r="O77" s="22">
        <v>450000</v>
      </c>
      <c r="Q77" s="22">
        <v>7240</v>
      </c>
      <c r="S77" s="22">
        <v>2252043000</v>
      </c>
      <c r="U77" s="22">
        <v>3238614900</v>
      </c>
      <c r="W77" s="24">
        <v>1.0680971951816404E-3</v>
      </c>
    </row>
    <row r="78" spans="1:23" ht="18.75" x14ac:dyDescent="0.45">
      <c r="A78" s="21" t="s">
        <v>84</v>
      </c>
      <c r="C78" s="22">
        <v>3007571</v>
      </c>
      <c r="E78" s="22">
        <v>71076581489</v>
      </c>
      <c r="G78" s="22">
        <v>96118081874</v>
      </c>
      <c r="I78" s="22">
        <v>0</v>
      </c>
      <c r="J78" s="22">
        <v>0</v>
      </c>
      <c r="L78" s="22">
        <v>1207571</v>
      </c>
      <c r="M78" s="22">
        <v>39950057749</v>
      </c>
      <c r="O78" s="22">
        <v>1800000</v>
      </c>
      <c r="Q78" s="22">
        <v>33200</v>
      </c>
      <c r="S78" s="22">
        <v>42538595658</v>
      </c>
      <c r="U78" s="22">
        <v>59404428000</v>
      </c>
      <c r="W78" s="24">
        <v>1.9591617060790309E-2</v>
      </c>
    </row>
    <row r="79" spans="1:23" ht="37.5" x14ac:dyDescent="0.45">
      <c r="A79" s="21" t="s">
        <v>85</v>
      </c>
      <c r="H79" s="23"/>
      <c r="I79" s="22">
        <v>21600000</v>
      </c>
      <c r="J79" s="22">
        <v>27959586333</v>
      </c>
      <c r="L79" s="22">
        <v>0</v>
      </c>
      <c r="M79" s="22">
        <v>0</v>
      </c>
      <c r="O79" s="22">
        <v>21600000</v>
      </c>
      <c r="Q79" s="22">
        <v>1444</v>
      </c>
      <c r="S79" s="22">
        <v>27959586333</v>
      </c>
      <c r="U79" s="22">
        <v>31004817120</v>
      </c>
      <c r="W79" s="24">
        <v>1.0225407844258268E-2</v>
      </c>
    </row>
    <row r="80" spans="1:23" ht="18.75" x14ac:dyDescent="0.45">
      <c r="A80" s="21" t="s">
        <v>86</v>
      </c>
      <c r="C80" s="22">
        <v>5752754</v>
      </c>
      <c r="E80" s="22">
        <v>48938253767</v>
      </c>
      <c r="G80" s="22">
        <v>25230132802</v>
      </c>
      <c r="I80" s="22">
        <v>0</v>
      </c>
      <c r="J80" s="22">
        <v>0</v>
      </c>
      <c r="L80" s="22">
        <v>193502</v>
      </c>
      <c r="M80" s="22">
        <v>876591888</v>
      </c>
      <c r="O80" s="22">
        <v>5559252</v>
      </c>
      <c r="Q80" s="22">
        <v>5101</v>
      </c>
      <c r="S80" s="22">
        <v>47292146532</v>
      </c>
      <c r="U80" s="22">
        <v>28189015873</v>
      </c>
      <c r="W80" s="24">
        <v>9.2967548530953886E-3</v>
      </c>
    </row>
    <row r="81" spans="1:23" ht="18.75" x14ac:dyDescent="0.45">
      <c r="A81" s="25" t="s">
        <v>87</v>
      </c>
      <c r="C81" s="25">
        <f>SUM(C11:$C$80)</f>
        <v>432290988</v>
      </c>
      <c r="E81" s="25">
        <f>SUM(E11:$E$80)</f>
        <v>2840247645162</v>
      </c>
      <c r="G81" s="25">
        <f>SUM(G11:$G$80)</f>
        <v>2549136626003</v>
      </c>
      <c r="I81" s="25">
        <f>SUM(I11:$I$80)</f>
        <v>53027583</v>
      </c>
      <c r="J81" s="25">
        <f>SUM(J11:$J$80)</f>
        <v>163694412260</v>
      </c>
      <c r="L81" s="25">
        <f>SUM(L11:$L$80)</f>
        <v>16430793</v>
      </c>
      <c r="M81" s="25">
        <f>SUM(M11:$M$80)</f>
        <v>210623652736</v>
      </c>
      <c r="O81" s="25">
        <f>SUM(O11:$O$80)</f>
        <v>477620216</v>
      </c>
      <c r="Q81" s="25">
        <f>SUM(Q11:$Q$80)</f>
        <v>898538</v>
      </c>
      <c r="S81" s="25">
        <f>SUM(S11:$S$80)</f>
        <v>2823688731515</v>
      </c>
      <c r="U81" s="25">
        <f>SUM(U11:$U$80)</f>
        <v>2800637620269</v>
      </c>
      <c r="W81" s="26">
        <f>SUM(W11:$W$80)</f>
        <v>0.92365201769728844</v>
      </c>
    </row>
    <row r="82" spans="1:23" ht="18.75" x14ac:dyDescent="0.45">
      <c r="C82" s="27"/>
      <c r="E82" s="27"/>
      <c r="G82" s="27"/>
      <c r="I82" s="27"/>
      <c r="J82" s="27"/>
      <c r="L82" s="27"/>
      <c r="M82" s="27"/>
      <c r="O82" s="27"/>
      <c r="Q82" s="27"/>
      <c r="S82" s="27"/>
      <c r="U82" s="27"/>
      <c r="W82" s="27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7" fitToHeight="0" orientation="landscape" r:id="rId1"/>
  <rowBreaks count="2" manualBreakCount="2">
    <brk id="30" max="16383" man="1"/>
    <brk id="5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0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4.140625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4.140625" style="13" customWidth="1"/>
    <col min="8" max="8" width="1.42578125" style="13" customWidth="1"/>
    <col min="9" max="9" width="14.140625" style="13" customWidth="1"/>
    <col min="10" max="10" width="1.42578125" style="13" customWidth="1"/>
    <col min="11" max="11" width="14.140625" style="13" customWidth="1"/>
    <col min="12" max="12" width="1.42578125" style="13" customWidth="1"/>
    <col min="13" max="13" width="14.140625" style="13" customWidth="1"/>
    <col min="14" max="14" width="1.42578125" style="13" customWidth="1"/>
    <col min="15" max="15" width="14.140625" style="13" customWidth="1"/>
    <col min="16" max="16" width="1.42578125" style="13" customWidth="1"/>
    <col min="17" max="17" width="14.140625" style="13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88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5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21" x14ac:dyDescent="0.45">
      <c r="A8" s="28" t="s">
        <v>89</v>
      </c>
      <c r="C8" s="28" t="s">
        <v>90</v>
      </c>
      <c r="E8" s="28" t="s">
        <v>91</v>
      </c>
      <c r="G8" s="28" t="s">
        <v>92</v>
      </c>
      <c r="I8" s="28" t="s">
        <v>93</v>
      </c>
      <c r="K8" s="28" t="s">
        <v>90</v>
      </c>
      <c r="M8" s="28" t="s">
        <v>91</v>
      </c>
      <c r="O8" s="28" t="s">
        <v>92</v>
      </c>
      <c r="Q8" s="28" t="s">
        <v>93</v>
      </c>
    </row>
    <row r="9" spans="1:17" ht="18.75" x14ac:dyDescent="0.45">
      <c r="A9" s="25" t="s">
        <v>87</v>
      </c>
      <c r="C9" s="25">
        <f>SUM($C$8)</f>
        <v>0</v>
      </c>
      <c r="E9" s="25">
        <f>SUM($E$8)</f>
        <v>0</v>
      </c>
      <c r="I9" s="25">
        <f>SUM($I$8)</f>
        <v>0</v>
      </c>
      <c r="K9" s="25">
        <f>SUM($K$8)</f>
        <v>0</v>
      </c>
      <c r="M9" s="25">
        <f>SUM($M$8)</f>
        <v>0</v>
      </c>
      <c r="Q9" s="25">
        <f>SUM($Q$8)</f>
        <v>0</v>
      </c>
    </row>
    <row r="10" spans="1:17" ht="18.75" x14ac:dyDescent="0.45">
      <c r="C10" s="27"/>
      <c r="E10" s="27"/>
      <c r="I10" s="27"/>
      <c r="K10" s="27"/>
      <c r="M10" s="27"/>
      <c r="Q10" s="27"/>
    </row>
  </sheetData>
  <mergeCells count="6">
    <mergeCell ref="A1:Q1"/>
    <mergeCell ref="A2:Q2"/>
    <mergeCell ref="A3:Q3"/>
    <mergeCell ref="A5:Q5"/>
    <mergeCell ref="C7:I7"/>
    <mergeCell ref="K7:Q7"/>
  </mergeCells>
  <pageMargins left="0.2" right="0.2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2"/>
  <sheetViews>
    <sheetView rightToLeft="1" view="pageBreakPreview" zoomScale="86" zoomScaleNormal="100" zoomScaleSheetLayoutView="86" workbookViewId="0">
      <selection sqref="A1:W1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8.5703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1.42578125" style="13" customWidth="1"/>
    <col min="10" max="10" width="1.42578125" style="13" customWidth="1"/>
    <col min="11" max="11" width="7.140625" style="13" customWidth="1"/>
    <col min="12" max="12" width="1.42578125" style="13" customWidth="1"/>
    <col min="13" max="13" width="7.140625" style="13" customWidth="1"/>
    <col min="14" max="14" width="1.42578125" style="13" customWidth="1"/>
    <col min="15" max="15" width="11.42578125" style="13" customWidth="1"/>
    <col min="16" max="16" width="1.42578125" style="13" customWidth="1"/>
    <col min="17" max="17" width="18.42578125" style="13" customWidth="1"/>
    <col min="18" max="18" width="1.42578125" style="13" customWidth="1"/>
    <col min="19" max="19" width="18.42578125" style="13" customWidth="1"/>
    <col min="20" max="20" width="1.42578125" style="13" customWidth="1"/>
    <col min="21" max="21" width="11.42578125" style="13" customWidth="1"/>
    <col min="22" max="22" width="18.42578125" style="13" customWidth="1"/>
    <col min="23" max="23" width="1.42578125" style="13" customWidth="1"/>
    <col min="24" max="24" width="11.42578125" style="13" customWidth="1"/>
    <col min="25" max="25" width="18.42578125" style="13" customWidth="1"/>
    <col min="26" max="26" width="1.42578125" style="13" customWidth="1"/>
    <col min="27" max="27" width="11.42578125" style="13" customWidth="1"/>
    <col min="28" max="28" width="1.42578125" style="13" customWidth="1"/>
    <col min="29" max="29" width="11.42578125" style="13" customWidth="1"/>
    <col min="30" max="30" width="1.42578125" style="13" customWidth="1"/>
    <col min="31" max="31" width="18.42578125" style="13" customWidth="1"/>
    <col min="32" max="32" width="1.42578125" style="13" customWidth="1"/>
    <col min="33" max="33" width="18.42578125" style="13" customWidth="1"/>
    <col min="34" max="34" width="1.42578125" style="13" customWidth="1"/>
    <col min="35" max="35" width="8.5703125" style="13" customWidth="1"/>
    <col min="36" max="16384" width="9.140625" style="13"/>
  </cols>
  <sheetData>
    <row r="1" spans="1:35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 x14ac:dyDescent="0.45">
      <c r="AI4" s="36"/>
    </row>
    <row r="5" spans="1:35" ht="21" x14ac:dyDescent="0.45">
      <c r="A5" s="14" t="s">
        <v>94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7" spans="1:35" ht="21" x14ac:dyDescent="0.45">
      <c r="C7" s="15" t="s">
        <v>95</v>
      </c>
      <c r="D7" s="16"/>
      <c r="E7" s="16"/>
      <c r="F7" s="16"/>
      <c r="G7" s="16"/>
      <c r="H7" s="16"/>
      <c r="I7" s="16"/>
      <c r="J7" s="16"/>
      <c r="K7" s="16"/>
      <c r="L7" s="16"/>
      <c r="M7" s="16"/>
      <c r="O7" s="15" t="s">
        <v>5</v>
      </c>
      <c r="P7" s="16"/>
      <c r="Q7" s="16"/>
      <c r="R7" s="16"/>
      <c r="S7" s="16"/>
      <c r="U7" s="15" t="s">
        <v>6</v>
      </c>
      <c r="V7" s="16"/>
      <c r="W7" s="16"/>
      <c r="X7" s="16"/>
      <c r="Y7" s="16"/>
      <c r="AA7" s="15" t="s">
        <v>7</v>
      </c>
      <c r="AB7" s="16"/>
      <c r="AC7" s="16"/>
      <c r="AD7" s="16"/>
      <c r="AE7" s="16"/>
      <c r="AF7" s="16"/>
      <c r="AG7" s="16"/>
      <c r="AH7" s="16"/>
      <c r="AI7" s="16"/>
    </row>
    <row r="8" spans="1:35" ht="18.75" x14ac:dyDescent="0.45">
      <c r="A8" s="17" t="s">
        <v>96</v>
      </c>
      <c r="C8" s="18" t="s">
        <v>97</v>
      </c>
      <c r="E8" s="18" t="s">
        <v>98</v>
      </c>
      <c r="G8" s="18" t="s">
        <v>99</v>
      </c>
      <c r="I8" s="18" t="s">
        <v>100</v>
      </c>
      <c r="K8" s="18" t="s">
        <v>101</v>
      </c>
      <c r="M8" s="18" t="s">
        <v>93</v>
      </c>
      <c r="O8" s="17" t="s">
        <v>9</v>
      </c>
      <c r="Q8" s="17" t="s">
        <v>10</v>
      </c>
      <c r="S8" s="17" t="s">
        <v>11</v>
      </c>
      <c r="U8" s="17" t="s">
        <v>12</v>
      </c>
      <c r="V8" s="12"/>
      <c r="X8" s="17" t="s">
        <v>13</v>
      </c>
      <c r="Y8" s="12"/>
      <c r="AA8" s="17" t="s">
        <v>9</v>
      </c>
      <c r="AC8" s="18" t="s">
        <v>102</v>
      </c>
      <c r="AE8" s="17" t="s">
        <v>10</v>
      </c>
      <c r="AG8" s="17" t="s">
        <v>11</v>
      </c>
      <c r="AI8" s="18" t="s">
        <v>15</v>
      </c>
    </row>
    <row r="9" spans="1:35" ht="18.75" x14ac:dyDescent="0.45">
      <c r="A9" s="19"/>
      <c r="C9" s="19"/>
      <c r="E9" s="19"/>
      <c r="G9" s="19"/>
      <c r="I9" s="19"/>
      <c r="K9" s="19"/>
      <c r="M9" s="19"/>
      <c r="O9" s="19"/>
      <c r="Q9" s="19"/>
      <c r="S9" s="19"/>
      <c r="U9" s="20" t="s">
        <v>9</v>
      </c>
      <c r="V9" s="20" t="s">
        <v>10</v>
      </c>
      <c r="X9" s="20" t="s">
        <v>9</v>
      </c>
      <c r="Y9" s="20" t="s">
        <v>16</v>
      </c>
      <c r="AA9" s="19"/>
      <c r="AC9" s="19"/>
      <c r="AE9" s="19"/>
      <c r="AG9" s="19"/>
      <c r="AI9" s="19"/>
    </row>
    <row r="10" spans="1:35" ht="37.5" x14ac:dyDescent="0.45">
      <c r="A10" s="21" t="s">
        <v>103</v>
      </c>
      <c r="C10" s="23" t="s">
        <v>104</v>
      </c>
      <c r="E10" s="23" t="s">
        <v>105</v>
      </c>
      <c r="G10" s="23" t="s">
        <v>106</v>
      </c>
      <c r="I10" s="23" t="s">
        <v>107</v>
      </c>
      <c r="K10" s="23" t="s">
        <v>108</v>
      </c>
      <c r="O10" s="22">
        <v>100470</v>
      </c>
      <c r="Q10" s="22">
        <v>100488210187</v>
      </c>
      <c r="S10" s="22">
        <v>100451789812</v>
      </c>
      <c r="U10" s="22">
        <v>33650</v>
      </c>
      <c r="V10" s="22">
        <v>33656099062</v>
      </c>
      <c r="X10" s="22">
        <v>121310</v>
      </c>
      <c r="Y10" s="22">
        <v>121290512563</v>
      </c>
      <c r="AA10" s="22">
        <v>12810</v>
      </c>
      <c r="AC10" s="22">
        <v>1000000</v>
      </c>
      <c r="AE10" s="22">
        <v>12812321812</v>
      </c>
      <c r="AG10" s="22">
        <v>12807678187</v>
      </c>
      <c r="AI10" s="24">
        <v>4.2239801800219518E-3</v>
      </c>
    </row>
    <row r="11" spans="1:35" ht="18.75" x14ac:dyDescent="0.45">
      <c r="A11" s="25" t="s">
        <v>87</v>
      </c>
      <c r="O11" s="25">
        <f>SUM(O10:$O$10)</f>
        <v>100470</v>
      </c>
      <c r="Q11" s="25">
        <f>SUM(Q10:$Q$10)</f>
        <v>100488210187</v>
      </c>
      <c r="S11" s="25">
        <f>SUM(S10:$S$10)</f>
        <v>100451789812</v>
      </c>
      <c r="U11" s="25">
        <f>SUM(U10:$U$10)</f>
        <v>33650</v>
      </c>
      <c r="V11" s="25">
        <f>SUM(V10:$V$10)</f>
        <v>33656099062</v>
      </c>
      <c r="X11" s="25">
        <f>SUM(X10:$X$10)</f>
        <v>121310</v>
      </c>
      <c r="Y11" s="25">
        <f>SUM(Y10:$Y$10)</f>
        <v>121290512563</v>
      </c>
      <c r="AA11" s="25">
        <f>SUM(AA10:$AA$10)</f>
        <v>12810</v>
      </c>
      <c r="AC11" s="25">
        <f>SUM(AC10:$AC$10)</f>
        <v>1000000</v>
      </c>
      <c r="AE11" s="25">
        <f>SUM(AE10:$AE$10)</f>
        <v>12812321812</v>
      </c>
      <c r="AG11" s="25">
        <f>SUM(AG10:$AG$10)</f>
        <v>12807678187</v>
      </c>
      <c r="AI11" s="26">
        <f>SUM(AI10:$AI$10)</f>
        <v>4.2239801800219518E-3</v>
      </c>
    </row>
    <row r="12" spans="1:35" ht="18.75" x14ac:dyDescent="0.45">
      <c r="O12" s="27"/>
      <c r="Q12" s="27"/>
      <c r="S12" s="27"/>
      <c r="U12" s="27"/>
      <c r="V12" s="27"/>
      <c r="X12" s="27"/>
      <c r="Y12" s="27"/>
      <c r="AA12" s="27"/>
      <c r="AC12" s="27"/>
      <c r="AE12" s="27"/>
      <c r="AG12" s="27"/>
      <c r="AI12" s="27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8.42578125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4.140625" style="13" customWidth="1"/>
    <col min="8" max="8" width="1.42578125" style="13" customWidth="1"/>
    <col min="9" max="9" width="8.5703125" style="13" customWidth="1"/>
    <col min="10" max="10" width="1.42578125" style="13" customWidth="1"/>
    <col min="11" max="11" width="21.28515625" style="13" customWidth="1"/>
    <col min="12" max="12" width="1.42578125" style="13" customWidth="1"/>
    <col min="13" max="13" width="28.42578125" style="13" customWidth="1"/>
    <col min="14" max="16384" width="9.140625" style="13"/>
  </cols>
  <sheetData>
    <row r="1" spans="1:13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21" x14ac:dyDescent="0.45">
      <c r="A5" s="14" t="s">
        <v>109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ht="21" x14ac:dyDescent="0.45">
      <c r="A6" s="14" t="s">
        <v>110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8" spans="1:13" ht="21" x14ac:dyDescent="0.45">
      <c r="C8" s="15" t="s">
        <v>7</v>
      </c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42" x14ac:dyDescent="0.45">
      <c r="A9" s="28" t="s">
        <v>111</v>
      </c>
      <c r="C9" s="28" t="s">
        <v>9</v>
      </c>
      <c r="E9" s="28" t="s">
        <v>112</v>
      </c>
      <c r="G9" s="28" t="s">
        <v>113</v>
      </c>
      <c r="I9" s="28" t="s">
        <v>114</v>
      </c>
      <c r="K9" s="29" t="s">
        <v>115</v>
      </c>
      <c r="M9" s="28" t="s">
        <v>116</v>
      </c>
    </row>
    <row r="10" spans="1:13" ht="18.75" x14ac:dyDescent="0.45">
      <c r="A10" s="25" t="s">
        <v>87</v>
      </c>
      <c r="K10" s="25">
        <f>SUM($K$9)</f>
        <v>0</v>
      </c>
    </row>
    <row r="11" spans="1:13" ht="18.75" x14ac:dyDescent="0.45">
      <c r="K11" s="27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6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8.42578125" style="13" customWidth="1"/>
    <col min="6" max="6" width="1.42578125" style="13" customWidth="1"/>
    <col min="7" max="7" width="18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0.7109375" style="13" customWidth="1"/>
    <col min="12" max="16384" width="9.140625" style="13"/>
  </cols>
  <sheetData>
    <row r="1" spans="1:15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5" ht="20.100000000000001" customHeight="1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5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5" ht="19.5" x14ac:dyDescent="0.5">
      <c r="A5" s="41" t="s">
        <v>230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7" spans="1:15" ht="21" x14ac:dyDescent="0.45">
      <c r="C7" s="28" t="s">
        <v>5</v>
      </c>
      <c r="E7" s="15" t="s">
        <v>6</v>
      </c>
      <c r="F7" s="16"/>
      <c r="G7" s="16"/>
      <c r="I7" s="15" t="s">
        <v>7</v>
      </c>
      <c r="J7" s="16"/>
      <c r="K7" s="16"/>
      <c r="O7" s="36"/>
    </row>
    <row r="8" spans="1:15" ht="63" x14ac:dyDescent="0.45">
      <c r="A8" s="28" t="s">
        <v>117</v>
      </c>
      <c r="C8" s="28" t="s">
        <v>119</v>
      </c>
      <c r="E8" s="28" t="s">
        <v>120</v>
      </c>
      <c r="G8" s="28" t="s">
        <v>121</v>
      </c>
      <c r="I8" s="28" t="s">
        <v>119</v>
      </c>
      <c r="K8" s="29" t="s">
        <v>15</v>
      </c>
    </row>
    <row r="9" spans="1:15" ht="18.75" x14ac:dyDescent="0.45">
      <c r="A9" s="40" t="s">
        <v>229</v>
      </c>
      <c r="C9" s="22">
        <v>42522114195</v>
      </c>
      <c r="E9" s="22">
        <v>491268145968</v>
      </c>
      <c r="G9" s="22">
        <v>386863579443</v>
      </c>
      <c r="I9" s="22">
        <v>146926680720</v>
      </c>
      <c r="K9" s="24">
        <v>4.8456510088427121E-2</v>
      </c>
    </row>
    <row r="10" spans="1:15" ht="19.5" thickBot="1" x14ac:dyDescent="0.5">
      <c r="A10" s="25" t="s">
        <v>87</v>
      </c>
      <c r="C10" s="25">
        <f>SUM(C9:$C$9)</f>
        <v>42522114195</v>
      </c>
      <c r="E10" s="25">
        <f>SUM(E9:$E$9)</f>
        <v>491268145968</v>
      </c>
      <c r="G10" s="25">
        <f>SUM(G9:$G$9)</f>
        <v>386863579443</v>
      </c>
      <c r="I10" s="25">
        <f>SUM(I9:$I$9)</f>
        <v>146926680720</v>
      </c>
      <c r="K10" s="26">
        <f>SUM(K9:$K$9)</f>
        <v>4.8456510088427121E-2</v>
      </c>
    </row>
    <row r="11" spans="1:15" ht="19.5" thickTop="1" x14ac:dyDescent="0.45">
      <c r="C11" s="27"/>
      <c r="E11" s="27"/>
      <c r="G11" s="27"/>
      <c r="I11" s="27"/>
      <c r="K11" s="27"/>
    </row>
    <row r="13" spans="1:15" x14ac:dyDescent="0.45"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spans="1:15" ht="18.75" x14ac:dyDescent="0.45">
      <c r="C14" s="38"/>
      <c r="D14" s="37"/>
      <c r="E14" s="38"/>
      <c r="F14" s="37"/>
      <c r="G14" s="38"/>
      <c r="H14" s="37"/>
      <c r="I14" s="38"/>
      <c r="J14" s="37"/>
      <c r="K14" s="39"/>
      <c r="L14" s="37"/>
    </row>
    <row r="15" spans="1:15" x14ac:dyDescent="0.45"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5" x14ac:dyDescent="0.45">
      <c r="C16" s="37"/>
      <c r="D16" s="37"/>
      <c r="E16" s="37"/>
      <c r="F16" s="37"/>
      <c r="G16" s="37"/>
      <c r="H16" s="37"/>
      <c r="I16" s="37"/>
      <c r="J16" s="37"/>
      <c r="K16" s="37"/>
      <c r="L16" s="37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4"/>
  <sheetViews>
    <sheetView rightToLeft="1" workbookViewId="0">
      <selection sqref="A1:W1"/>
    </sheetView>
  </sheetViews>
  <sheetFormatPr defaultRowHeight="18" x14ac:dyDescent="0.45"/>
  <cols>
    <col min="1" max="1" width="57.5703125" style="13" bestFit="1" customWidth="1"/>
    <col min="2" max="2" width="1.42578125" style="13" customWidth="1"/>
    <col min="3" max="3" width="11.42578125" style="13" customWidth="1"/>
    <col min="4" max="4" width="1.42578125" style="13" customWidth="1"/>
    <col min="5" max="5" width="21.285156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1.42578125" style="13" customWidth="1"/>
    <col min="10" max="16384" width="9.140625" style="13"/>
  </cols>
  <sheetData>
    <row r="1" spans="1:12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2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</row>
    <row r="3" spans="1:12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</row>
    <row r="5" spans="1:12" ht="21" x14ac:dyDescent="0.45">
      <c r="A5" s="14" t="s">
        <v>123</v>
      </c>
      <c r="B5" s="12"/>
      <c r="C5" s="12"/>
      <c r="D5" s="12"/>
      <c r="E5" s="12"/>
      <c r="F5" s="12"/>
      <c r="G5" s="12"/>
      <c r="H5" s="12"/>
      <c r="I5" s="12"/>
    </row>
    <row r="7" spans="1:12" ht="42" x14ac:dyDescent="0.45">
      <c r="A7" s="28" t="s">
        <v>124</v>
      </c>
      <c r="C7" s="28" t="s">
        <v>125</v>
      </c>
      <c r="E7" s="28" t="s">
        <v>119</v>
      </c>
      <c r="G7" s="29" t="s">
        <v>126</v>
      </c>
      <c r="I7" s="29" t="s">
        <v>127</v>
      </c>
    </row>
    <row r="8" spans="1:12" ht="21" x14ac:dyDescent="0.45">
      <c r="A8" s="35" t="s">
        <v>128</v>
      </c>
      <c r="C8" s="23" t="s">
        <v>231</v>
      </c>
      <c r="E8" s="22">
        <v>171040118246</v>
      </c>
      <c r="G8" s="24">
        <f>E8/$E$13</f>
        <v>0.98232589781772683</v>
      </c>
      <c r="I8" s="24">
        <v>5.6409136684355002E-2</v>
      </c>
      <c r="L8" s="36"/>
    </row>
    <row r="9" spans="1:12" ht="21" x14ac:dyDescent="0.45">
      <c r="A9" s="35" t="s">
        <v>232</v>
      </c>
      <c r="C9" s="23" t="s">
        <v>233</v>
      </c>
      <c r="E9" s="22">
        <v>0</v>
      </c>
      <c r="G9" s="24">
        <f t="shared" ref="G9:G12" si="0">E9/$E$13</f>
        <v>0</v>
      </c>
      <c r="I9" s="24">
        <v>0</v>
      </c>
    </row>
    <row r="10" spans="1:12" ht="21" x14ac:dyDescent="0.45">
      <c r="A10" s="35" t="s">
        <v>129</v>
      </c>
      <c r="C10" s="23" t="s">
        <v>234</v>
      </c>
      <c r="E10" s="22">
        <v>2668098232</v>
      </c>
      <c r="G10" s="24">
        <f t="shared" si="0"/>
        <v>1.5323551094870597E-2</v>
      </c>
      <c r="I10" s="24">
        <v>8.799404455492048E-4</v>
      </c>
    </row>
    <row r="11" spans="1:12" ht="21" x14ac:dyDescent="0.45">
      <c r="A11" s="35" t="s">
        <v>130</v>
      </c>
      <c r="C11" s="23" t="s">
        <v>235</v>
      </c>
      <c r="E11" s="22">
        <v>293262068</v>
      </c>
      <c r="G11" s="24">
        <f t="shared" si="0"/>
        <v>1.6842769240234688E-3</v>
      </c>
      <c r="I11" s="24">
        <v>9.6718011234978095E-5</v>
      </c>
    </row>
    <row r="12" spans="1:12" ht="21" x14ac:dyDescent="0.45">
      <c r="A12" s="35" t="s">
        <v>131</v>
      </c>
      <c r="C12" s="23" t="s">
        <v>236</v>
      </c>
      <c r="E12" s="22">
        <v>116009984</v>
      </c>
      <c r="G12" s="24">
        <f t="shared" si="0"/>
        <v>6.6627416337912415E-4</v>
      </c>
      <c r="I12" s="24">
        <v>3.8260164406539031E-5</v>
      </c>
    </row>
    <row r="13" spans="1:12" ht="21" x14ac:dyDescent="0.45">
      <c r="A13" s="28" t="s">
        <v>87</v>
      </c>
      <c r="E13" s="25">
        <f>SUM(E8:$E$12)</f>
        <v>174117488530</v>
      </c>
      <c r="G13" s="26">
        <f>SUM(G8:$G$12)</f>
        <v>1</v>
      </c>
      <c r="I13" s="26">
        <f>SUM(I8:$I$12)</f>
        <v>5.7424055305545729E-2</v>
      </c>
    </row>
    <row r="14" spans="1:12" ht="18.75" x14ac:dyDescent="0.45">
      <c r="E14" s="27"/>
      <c r="G14" s="27"/>
      <c r="I14" s="27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0"/>
  <sheetViews>
    <sheetView rightToLeft="1" view="pageBreakPreview" topLeftCell="A34" zoomScale="60" zoomScaleNormal="100" workbookViewId="0">
      <selection sqref="A1:W1"/>
    </sheetView>
  </sheetViews>
  <sheetFormatPr defaultRowHeight="18" x14ac:dyDescent="0.45"/>
  <cols>
    <col min="1" max="1" width="17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2.710937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1.85546875" style="13" bestFit="1" customWidth="1"/>
    <col min="12" max="12" width="1.42578125" style="13" customWidth="1"/>
    <col min="13" max="13" width="18.42578125" style="13" customWidth="1"/>
    <col min="14" max="14" width="1.42578125" style="13" customWidth="1"/>
    <col min="15" max="15" width="18.42578125" style="13" customWidth="1"/>
    <col min="16" max="16" width="1.42578125" style="13" customWidth="1"/>
    <col min="17" max="17" width="16.28515625" style="13" bestFit="1" customWidth="1"/>
    <col min="18" max="18" width="1.42578125" style="13" customWidth="1"/>
    <col min="19" max="19" width="18.42578125" style="13" customWidth="1"/>
    <col min="20" max="16384" width="9.140625" style="13"/>
  </cols>
  <sheetData>
    <row r="1" spans="1:1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1:19" ht="21" x14ac:dyDescent="0.45">
      <c r="A5" s="14" t="s">
        <v>132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7" spans="1:19" ht="21" x14ac:dyDescent="0.45">
      <c r="C7" s="15" t="s">
        <v>133</v>
      </c>
      <c r="D7" s="16"/>
      <c r="E7" s="16"/>
      <c r="F7" s="16"/>
      <c r="G7" s="16"/>
      <c r="I7" s="15" t="s">
        <v>134</v>
      </c>
      <c r="J7" s="16"/>
      <c r="K7" s="16"/>
      <c r="L7" s="16"/>
      <c r="M7" s="16"/>
      <c r="O7" s="15" t="s">
        <v>7</v>
      </c>
      <c r="P7" s="16"/>
      <c r="Q7" s="16"/>
      <c r="R7" s="16"/>
      <c r="S7" s="16"/>
    </row>
    <row r="8" spans="1:19" ht="63" x14ac:dyDescent="0.45">
      <c r="A8" s="28" t="s">
        <v>89</v>
      </c>
      <c r="C8" s="29" t="s">
        <v>135</v>
      </c>
      <c r="E8" s="29" t="s">
        <v>136</v>
      </c>
      <c r="G8" s="29" t="s">
        <v>137</v>
      </c>
      <c r="I8" s="29" t="s">
        <v>138</v>
      </c>
      <c r="K8" s="29" t="s">
        <v>139</v>
      </c>
      <c r="M8" s="29" t="s">
        <v>140</v>
      </c>
      <c r="O8" s="29" t="s">
        <v>138</v>
      </c>
      <c r="Q8" s="29" t="s">
        <v>139</v>
      </c>
      <c r="S8" s="29" t="s">
        <v>140</v>
      </c>
    </row>
    <row r="9" spans="1:19" ht="37.5" x14ac:dyDescent="0.45">
      <c r="A9" s="30" t="s">
        <v>17</v>
      </c>
      <c r="C9" s="23" t="s">
        <v>141</v>
      </c>
      <c r="E9" s="22">
        <v>50000</v>
      </c>
      <c r="G9" s="22">
        <v>1920</v>
      </c>
      <c r="N9" s="23"/>
      <c r="O9" s="22">
        <v>96000000</v>
      </c>
      <c r="Q9" s="22">
        <v>0</v>
      </c>
      <c r="S9" s="22">
        <v>96000000</v>
      </c>
    </row>
    <row r="10" spans="1:19" ht="18.75" x14ac:dyDescent="0.45">
      <c r="A10" s="30" t="s">
        <v>24</v>
      </c>
      <c r="C10" s="23" t="s">
        <v>142</v>
      </c>
      <c r="E10" s="22">
        <v>3093440</v>
      </c>
      <c r="G10" s="22">
        <v>70</v>
      </c>
      <c r="N10" s="23"/>
      <c r="O10" s="22">
        <v>216540800</v>
      </c>
      <c r="Q10" s="22">
        <v>-2056697</v>
      </c>
      <c r="S10" s="22">
        <v>214484103</v>
      </c>
    </row>
    <row r="11" spans="1:19" ht="18.75" x14ac:dyDescent="0.45">
      <c r="A11" s="30" t="s">
        <v>143</v>
      </c>
      <c r="C11" s="23" t="s">
        <v>144</v>
      </c>
      <c r="E11" s="22">
        <v>2580626</v>
      </c>
      <c r="G11" s="22">
        <v>310</v>
      </c>
      <c r="N11" s="23"/>
      <c r="O11" s="22">
        <v>799994060</v>
      </c>
      <c r="Q11" s="22">
        <v>0</v>
      </c>
      <c r="S11" s="22">
        <v>799994060</v>
      </c>
    </row>
    <row r="12" spans="1:19" ht="37.5" x14ac:dyDescent="0.45">
      <c r="A12" s="30" t="s">
        <v>25</v>
      </c>
      <c r="C12" s="23" t="s">
        <v>145</v>
      </c>
      <c r="E12" s="22">
        <v>1621954</v>
      </c>
      <c r="G12" s="22">
        <v>320</v>
      </c>
      <c r="N12" s="23"/>
      <c r="O12" s="22">
        <v>519025280</v>
      </c>
      <c r="Q12" s="22">
        <v>0</v>
      </c>
      <c r="S12" s="22">
        <v>519025280</v>
      </c>
    </row>
    <row r="13" spans="1:19" ht="37.5" x14ac:dyDescent="0.45">
      <c r="A13" s="30" t="s">
        <v>26</v>
      </c>
      <c r="C13" s="23" t="s">
        <v>146</v>
      </c>
      <c r="E13" s="22">
        <v>5417185</v>
      </c>
      <c r="G13" s="22">
        <v>20</v>
      </c>
      <c r="N13" s="23"/>
      <c r="O13" s="22">
        <v>108343700</v>
      </c>
      <c r="Q13" s="22">
        <v>0</v>
      </c>
      <c r="S13" s="22">
        <v>108343700</v>
      </c>
    </row>
    <row r="14" spans="1:19" ht="18.75" x14ac:dyDescent="0.45">
      <c r="A14" s="30" t="s">
        <v>28</v>
      </c>
      <c r="C14" s="23" t="s">
        <v>147</v>
      </c>
      <c r="E14" s="22">
        <v>16400000</v>
      </c>
      <c r="G14" s="22">
        <v>630</v>
      </c>
      <c r="N14" s="23"/>
      <c r="O14" s="22">
        <v>10332000000</v>
      </c>
      <c r="Q14" s="22">
        <v>0</v>
      </c>
      <c r="S14" s="22">
        <v>10332000000</v>
      </c>
    </row>
    <row r="15" spans="1:19" ht="18.75" x14ac:dyDescent="0.45">
      <c r="A15" s="30" t="s">
        <v>148</v>
      </c>
      <c r="C15" s="23" t="s">
        <v>149</v>
      </c>
      <c r="E15" s="22">
        <v>1032456</v>
      </c>
      <c r="G15" s="22">
        <v>500</v>
      </c>
      <c r="N15" s="23"/>
      <c r="O15" s="22">
        <v>516228000</v>
      </c>
      <c r="Q15" s="22">
        <v>0</v>
      </c>
      <c r="S15" s="22">
        <v>516228000</v>
      </c>
    </row>
    <row r="16" spans="1:19" ht="18.75" x14ac:dyDescent="0.45">
      <c r="A16" s="30" t="s">
        <v>30</v>
      </c>
      <c r="C16" s="23" t="s">
        <v>150</v>
      </c>
      <c r="E16" s="22">
        <v>2339629</v>
      </c>
      <c r="G16" s="22">
        <v>1950</v>
      </c>
      <c r="N16" s="23"/>
      <c r="O16" s="22">
        <v>4562276550</v>
      </c>
      <c r="Q16" s="22">
        <v>-46396033</v>
      </c>
      <c r="S16" s="22">
        <v>4515880517</v>
      </c>
    </row>
    <row r="17" spans="1:19" ht="37.5" x14ac:dyDescent="0.45">
      <c r="A17" s="30" t="s">
        <v>31</v>
      </c>
      <c r="C17" s="23" t="s">
        <v>151</v>
      </c>
      <c r="E17" s="22">
        <v>442500</v>
      </c>
      <c r="G17" s="22">
        <v>69</v>
      </c>
      <c r="N17" s="23"/>
      <c r="O17" s="22">
        <v>30532500</v>
      </c>
      <c r="Q17" s="22">
        <v>0</v>
      </c>
      <c r="S17" s="22">
        <v>30532500</v>
      </c>
    </row>
    <row r="18" spans="1:19" ht="37.5" x14ac:dyDescent="0.45">
      <c r="A18" s="30" t="s">
        <v>33</v>
      </c>
      <c r="C18" s="23" t="s">
        <v>152</v>
      </c>
      <c r="E18" s="22">
        <v>500000</v>
      </c>
      <c r="G18" s="22">
        <v>3000</v>
      </c>
      <c r="N18" s="23"/>
      <c r="O18" s="22">
        <v>1500000000</v>
      </c>
      <c r="Q18" s="22">
        <v>0</v>
      </c>
      <c r="S18" s="22">
        <v>1500000000</v>
      </c>
    </row>
    <row r="19" spans="1:19" ht="18.75" x14ac:dyDescent="0.45">
      <c r="A19" s="30" t="s">
        <v>34</v>
      </c>
      <c r="C19" s="23" t="s">
        <v>153</v>
      </c>
      <c r="E19" s="22">
        <v>4224582</v>
      </c>
      <c r="G19" s="22">
        <v>120</v>
      </c>
      <c r="N19" s="23"/>
      <c r="O19" s="22">
        <v>506949840</v>
      </c>
      <c r="Q19" s="22">
        <v>0</v>
      </c>
      <c r="S19" s="22">
        <v>506949840</v>
      </c>
    </row>
    <row r="20" spans="1:19" ht="18.75" x14ac:dyDescent="0.45">
      <c r="A20" s="30" t="s">
        <v>36</v>
      </c>
      <c r="C20" s="23" t="s">
        <v>154</v>
      </c>
      <c r="E20" s="22">
        <v>3200000</v>
      </c>
      <c r="G20" s="22">
        <v>1830</v>
      </c>
      <c r="N20" s="23"/>
      <c r="O20" s="22">
        <v>5856000000</v>
      </c>
      <c r="Q20" s="22">
        <v>0</v>
      </c>
      <c r="S20" s="22">
        <v>5856000000</v>
      </c>
    </row>
    <row r="21" spans="1:19" ht="18.75" x14ac:dyDescent="0.45">
      <c r="A21" s="30" t="s">
        <v>37</v>
      </c>
      <c r="C21" s="23" t="s">
        <v>155</v>
      </c>
      <c r="E21" s="22">
        <v>3273715</v>
      </c>
      <c r="G21" s="22">
        <v>3500</v>
      </c>
      <c r="N21" s="23"/>
      <c r="O21" s="22">
        <v>11458002500</v>
      </c>
      <c r="Q21" s="22">
        <v>-39105811</v>
      </c>
      <c r="S21" s="22">
        <v>11418896689</v>
      </c>
    </row>
    <row r="22" spans="1:19" ht="18.75" x14ac:dyDescent="0.45">
      <c r="A22" s="30" t="s">
        <v>38</v>
      </c>
      <c r="C22" s="23" t="s">
        <v>156</v>
      </c>
      <c r="E22" s="22">
        <v>628197</v>
      </c>
      <c r="G22" s="22">
        <v>8700</v>
      </c>
      <c r="N22" s="23"/>
      <c r="O22" s="22">
        <v>5465313900</v>
      </c>
      <c r="Q22" s="22">
        <v>0</v>
      </c>
      <c r="S22" s="22">
        <v>5465313900</v>
      </c>
    </row>
    <row r="23" spans="1:19" ht="18.75" x14ac:dyDescent="0.45">
      <c r="A23" s="30" t="s">
        <v>39</v>
      </c>
      <c r="C23" s="23" t="s">
        <v>153</v>
      </c>
      <c r="E23" s="22">
        <v>1800000</v>
      </c>
      <c r="G23" s="22">
        <v>4150</v>
      </c>
      <c r="N23" s="23"/>
      <c r="O23" s="22">
        <v>7470000000</v>
      </c>
      <c r="Q23" s="22">
        <v>0</v>
      </c>
      <c r="S23" s="22">
        <v>7470000000</v>
      </c>
    </row>
    <row r="24" spans="1:19" ht="18.75" x14ac:dyDescent="0.45">
      <c r="A24" s="30" t="s">
        <v>157</v>
      </c>
      <c r="C24" s="23" t="s">
        <v>156</v>
      </c>
      <c r="E24" s="22">
        <v>3260353</v>
      </c>
      <c r="G24" s="22">
        <v>700</v>
      </c>
      <c r="N24" s="23"/>
      <c r="O24" s="22">
        <v>2282247100</v>
      </c>
      <c r="Q24" s="22">
        <v>0</v>
      </c>
      <c r="S24" s="22">
        <v>2282247100</v>
      </c>
    </row>
    <row r="25" spans="1:19" ht="18.75" x14ac:dyDescent="0.45">
      <c r="A25" s="30" t="s">
        <v>40</v>
      </c>
      <c r="C25" s="23" t="s">
        <v>158</v>
      </c>
      <c r="E25" s="22">
        <v>6818560</v>
      </c>
      <c r="G25" s="22">
        <v>52</v>
      </c>
      <c r="N25" s="23"/>
      <c r="O25" s="22">
        <v>354565120</v>
      </c>
      <c r="Q25" s="22">
        <v>0</v>
      </c>
      <c r="S25" s="22">
        <v>354565120</v>
      </c>
    </row>
    <row r="26" spans="1:19" ht="37.5" x14ac:dyDescent="0.45">
      <c r="A26" s="30" t="s">
        <v>41</v>
      </c>
      <c r="C26" s="23" t="s">
        <v>159</v>
      </c>
      <c r="E26" s="22">
        <v>6186817</v>
      </c>
      <c r="G26" s="22">
        <v>210</v>
      </c>
      <c r="N26" s="23"/>
      <c r="O26" s="22">
        <v>1299231570</v>
      </c>
      <c r="Q26" s="22">
        <v>0</v>
      </c>
      <c r="S26" s="22">
        <v>1299231570</v>
      </c>
    </row>
    <row r="27" spans="1:19" ht="18.75" x14ac:dyDescent="0.45">
      <c r="A27" s="30" t="s">
        <v>43</v>
      </c>
      <c r="C27" s="23" t="s">
        <v>145</v>
      </c>
      <c r="E27" s="22">
        <v>6441064</v>
      </c>
      <c r="G27" s="22">
        <v>103</v>
      </c>
      <c r="N27" s="23"/>
      <c r="O27" s="22">
        <v>663429592</v>
      </c>
      <c r="Q27" s="22">
        <v>0</v>
      </c>
      <c r="S27" s="22">
        <v>663429592</v>
      </c>
    </row>
    <row r="28" spans="1:19" ht="18.75" x14ac:dyDescent="0.45">
      <c r="A28" s="30" t="s">
        <v>44</v>
      </c>
      <c r="C28" s="23" t="s">
        <v>160</v>
      </c>
      <c r="E28" s="22">
        <v>8429307</v>
      </c>
      <c r="G28" s="22">
        <v>590</v>
      </c>
      <c r="N28" s="23"/>
      <c r="O28" s="22">
        <v>4973291130</v>
      </c>
      <c r="Q28" s="22">
        <v>-180548523</v>
      </c>
      <c r="S28" s="22">
        <v>4792742607</v>
      </c>
    </row>
    <row r="29" spans="1:19" ht="18.75" x14ac:dyDescent="0.45">
      <c r="A29" s="30" t="s">
        <v>45</v>
      </c>
      <c r="C29" s="23" t="s">
        <v>161</v>
      </c>
      <c r="E29" s="22">
        <v>2029694</v>
      </c>
      <c r="G29" s="22">
        <v>4070</v>
      </c>
      <c r="N29" s="23"/>
      <c r="O29" s="22">
        <v>8260854580</v>
      </c>
      <c r="Q29" s="22">
        <v>0</v>
      </c>
      <c r="S29" s="22">
        <v>8260854580</v>
      </c>
    </row>
    <row r="30" spans="1:19" ht="18.75" x14ac:dyDescent="0.45">
      <c r="A30" s="30" t="s">
        <v>46</v>
      </c>
      <c r="C30" s="23" t="s">
        <v>162</v>
      </c>
      <c r="E30" s="22">
        <v>16712202</v>
      </c>
      <c r="G30" s="22">
        <v>680</v>
      </c>
      <c r="N30" s="23"/>
      <c r="O30" s="22">
        <v>11364297360</v>
      </c>
      <c r="Q30" s="22">
        <v>0</v>
      </c>
      <c r="S30" s="22">
        <v>11364297360</v>
      </c>
    </row>
    <row r="31" spans="1:19" ht="18.75" x14ac:dyDescent="0.45">
      <c r="A31" s="30" t="s">
        <v>47</v>
      </c>
      <c r="C31" s="23" t="s">
        <v>160</v>
      </c>
      <c r="E31" s="22">
        <v>697177</v>
      </c>
      <c r="G31" s="22">
        <v>22200</v>
      </c>
      <c r="N31" s="23"/>
      <c r="O31" s="22">
        <v>15477329400</v>
      </c>
      <c r="Q31" s="22">
        <v>0</v>
      </c>
      <c r="S31" s="22">
        <v>15477329400</v>
      </c>
    </row>
    <row r="32" spans="1:19" ht="18.75" x14ac:dyDescent="0.45">
      <c r="A32" s="30" t="s">
        <v>163</v>
      </c>
      <c r="C32" s="23" t="s">
        <v>164</v>
      </c>
      <c r="E32" s="22">
        <v>783101</v>
      </c>
      <c r="G32" s="22">
        <v>7500</v>
      </c>
      <c r="N32" s="23"/>
      <c r="O32" s="22">
        <v>5873257500</v>
      </c>
      <c r="Q32" s="22">
        <v>0</v>
      </c>
      <c r="S32" s="22">
        <v>5873257500</v>
      </c>
    </row>
    <row r="33" spans="1:19" ht="37.5" x14ac:dyDescent="0.45">
      <c r="A33" s="30" t="s">
        <v>48</v>
      </c>
      <c r="C33" s="23" t="s">
        <v>153</v>
      </c>
      <c r="E33" s="22">
        <v>4428885</v>
      </c>
      <c r="G33" s="22">
        <v>400</v>
      </c>
      <c r="N33" s="23"/>
      <c r="O33" s="22">
        <v>1771554000</v>
      </c>
      <c r="Q33" s="22">
        <v>0</v>
      </c>
      <c r="S33" s="22">
        <v>1771554000</v>
      </c>
    </row>
    <row r="34" spans="1:19" ht="18.75" x14ac:dyDescent="0.45">
      <c r="A34" s="30" t="s">
        <v>49</v>
      </c>
      <c r="C34" s="23" t="s">
        <v>165</v>
      </c>
      <c r="E34" s="22">
        <v>17343799</v>
      </c>
      <c r="G34" s="22">
        <v>125</v>
      </c>
      <c r="N34" s="23"/>
      <c r="O34" s="22">
        <v>2167974875</v>
      </c>
      <c r="Q34" s="22">
        <v>-105360400</v>
      </c>
      <c r="S34" s="22">
        <v>2062614475</v>
      </c>
    </row>
    <row r="35" spans="1:19" ht="18.75" x14ac:dyDescent="0.45">
      <c r="A35" s="30" t="s">
        <v>51</v>
      </c>
      <c r="C35" s="23" t="s">
        <v>166</v>
      </c>
      <c r="E35" s="22">
        <v>6310177</v>
      </c>
      <c r="G35" s="22">
        <v>470</v>
      </c>
      <c r="N35" s="23"/>
      <c r="O35" s="22">
        <v>2965783190</v>
      </c>
      <c r="Q35" s="22">
        <v>0</v>
      </c>
      <c r="S35" s="22">
        <v>2965783190</v>
      </c>
    </row>
    <row r="36" spans="1:19" ht="18.75" x14ac:dyDescent="0.45">
      <c r="A36" s="30" t="s">
        <v>52</v>
      </c>
      <c r="C36" s="23" t="s">
        <v>151</v>
      </c>
      <c r="E36" s="22">
        <v>40821426</v>
      </c>
      <c r="G36" s="22">
        <v>45</v>
      </c>
      <c r="N36" s="23"/>
      <c r="O36" s="22">
        <v>1836964170</v>
      </c>
      <c r="Q36" s="22">
        <v>-72511744</v>
      </c>
      <c r="S36" s="22">
        <v>1764452426</v>
      </c>
    </row>
    <row r="37" spans="1:19" ht="37.5" x14ac:dyDescent="0.45">
      <c r="A37" s="30" t="s">
        <v>167</v>
      </c>
      <c r="C37" s="23" t="s">
        <v>149</v>
      </c>
      <c r="E37" s="22">
        <v>8440622</v>
      </c>
      <c r="G37" s="22">
        <v>150</v>
      </c>
      <c r="N37" s="23"/>
      <c r="O37" s="22">
        <v>1266093300</v>
      </c>
      <c r="Q37" s="22">
        <v>0</v>
      </c>
      <c r="S37" s="22">
        <v>1266093300</v>
      </c>
    </row>
    <row r="38" spans="1:19" ht="18.75" x14ac:dyDescent="0.45">
      <c r="A38" s="30" t="s">
        <v>53</v>
      </c>
      <c r="C38" s="23" t="s">
        <v>168</v>
      </c>
      <c r="E38" s="22">
        <v>10646044</v>
      </c>
      <c r="G38" s="22">
        <v>700</v>
      </c>
      <c r="N38" s="23"/>
      <c r="O38" s="22">
        <v>7452230800</v>
      </c>
      <c r="Q38" s="22">
        <v>0</v>
      </c>
      <c r="S38" s="22">
        <v>7452230800</v>
      </c>
    </row>
    <row r="39" spans="1:19" ht="18.75" x14ac:dyDescent="0.45">
      <c r="A39" s="30" t="s">
        <v>54</v>
      </c>
      <c r="C39" s="23" t="s">
        <v>169</v>
      </c>
      <c r="E39" s="22">
        <v>14731919</v>
      </c>
      <c r="G39" s="22">
        <v>630</v>
      </c>
      <c r="N39" s="23"/>
      <c r="O39" s="22">
        <v>9281108970</v>
      </c>
      <c r="Q39" s="22">
        <v>0</v>
      </c>
      <c r="S39" s="22">
        <v>9281108970</v>
      </c>
    </row>
    <row r="40" spans="1:19" ht="18.75" x14ac:dyDescent="0.45">
      <c r="A40" s="30" t="s">
        <v>170</v>
      </c>
      <c r="C40" s="23" t="s">
        <v>169</v>
      </c>
      <c r="E40" s="22">
        <v>12268462</v>
      </c>
      <c r="G40" s="22">
        <v>34</v>
      </c>
      <c r="N40" s="23"/>
      <c r="O40" s="22">
        <v>417127708</v>
      </c>
      <c r="Q40" s="22">
        <v>0</v>
      </c>
      <c r="S40" s="22">
        <v>417127708</v>
      </c>
    </row>
    <row r="41" spans="1:19" ht="18.75" x14ac:dyDescent="0.45">
      <c r="A41" s="30" t="s">
        <v>56</v>
      </c>
      <c r="C41" s="23" t="s">
        <v>162</v>
      </c>
      <c r="E41" s="22">
        <v>5208577</v>
      </c>
      <c r="G41" s="22">
        <v>1000</v>
      </c>
      <c r="N41" s="23"/>
      <c r="O41" s="22">
        <v>5208577000</v>
      </c>
      <c r="Q41" s="22">
        <v>0</v>
      </c>
      <c r="S41" s="22">
        <v>5208577000</v>
      </c>
    </row>
    <row r="42" spans="1:19" ht="18.75" x14ac:dyDescent="0.45">
      <c r="A42" s="30" t="s">
        <v>57</v>
      </c>
      <c r="C42" s="23" t="s">
        <v>171</v>
      </c>
      <c r="E42" s="22">
        <v>2372939</v>
      </c>
      <c r="G42" s="22">
        <v>930</v>
      </c>
      <c r="N42" s="23"/>
      <c r="O42" s="22">
        <v>2206833270</v>
      </c>
      <c r="Q42" s="22">
        <v>0</v>
      </c>
      <c r="S42" s="22">
        <v>2206833270</v>
      </c>
    </row>
    <row r="43" spans="1:19" ht="37.5" x14ac:dyDescent="0.45">
      <c r="A43" s="30" t="s">
        <v>58</v>
      </c>
      <c r="C43" s="23" t="s">
        <v>172</v>
      </c>
      <c r="E43" s="22">
        <v>2393112</v>
      </c>
      <c r="G43" s="22">
        <v>1100</v>
      </c>
      <c r="N43" s="23"/>
      <c r="O43" s="22">
        <v>2632423200</v>
      </c>
      <c r="Q43" s="22">
        <v>0</v>
      </c>
      <c r="S43" s="22">
        <v>2632423200</v>
      </c>
    </row>
    <row r="44" spans="1:19" ht="18.75" x14ac:dyDescent="0.45">
      <c r="A44" s="30" t="s">
        <v>59</v>
      </c>
      <c r="C44" s="23" t="s">
        <v>173</v>
      </c>
      <c r="E44" s="22">
        <v>6226087</v>
      </c>
      <c r="G44" s="22">
        <v>250</v>
      </c>
      <c r="N44" s="23"/>
      <c r="O44" s="22">
        <v>1556521750</v>
      </c>
      <c r="Q44" s="22">
        <v>0</v>
      </c>
      <c r="S44" s="22">
        <v>1556521750</v>
      </c>
    </row>
    <row r="45" spans="1:19" ht="18.75" x14ac:dyDescent="0.45">
      <c r="A45" s="30" t="s">
        <v>174</v>
      </c>
      <c r="C45" s="23" t="s">
        <v>175</v>
      </c>
      <c r="E45" s="22">
        <v>1163735</v>
      </c>
      <c r="G45" s="22">
        <v>3920</v>
      </c>
      <c r="N45" s="23"/>
      <c r="O45" s="22">
        <v>4561841200</v>
      </c>
      <c r="Q45" s="22">
        <v>0</v>
      </c>
      <c r="S45" s="22">
        <v>4561841200</v>
      </c>
    </row>
    <row r="46" spans="1:19" ht="18.75" x14ac:dyDescent="0.45">
      <c r="A46" s="30" t="s">
        <v>60</v>
      </c>
      <c r="C46" s="23" t="s">
        <v>106</v>
      </c>
      <c r="E46" s="22">
        <v>8489353</v>
      </c>
      <c r="G46" s="22">
        <v>850</v>
      </c>
      <c r="N46" s="23"/>
      <c r="O46" s="22">
        <v>7215950050</v>
      </c>
      <c r="Q46" s="22">
        <v>0</v>
      </c>
      <c r="S46" s="22">
        <v>7215950050</v>
      </c>
    </row>
    <row r="47" spans="1:19" ht="18.75" x14ac:dyDescent="0.45">
      <c r="A47" s="30" t="s">
        <v>176</v>
      </c>
      <c r="C47" s="23" t="s">
        <v>175</v>
      </c>
      <c r="E47" s="22">
        <v>1000000</v>
      </c>
      <c r="G47" s="22">
        <v>500</v>
      </c>
      <c r="N47" s="23"/>
      <c r="O47" s="22">
        <v>500000000</v>
      </c>
      <c r="Q47" s="22">
        <v>0</v>
      </c>
      <c r="S47" s="22">
        <v>500000000</v>
      </c>
    </row>
    <row r="48" spans="1:19" ht="18.75" x14ac:dyDescent="0.45">
      <c r="A48" s="30" t="s">
        <v>177</v>
      </c>
      <c r="C48" s="23" t="s">
        <v>178</v>
      </c>
      <c r="E48" s="22">
        <v>6310411</v>
      </c>
      <c r="G48" s="22">
        <v>1630</v>
      </c>
      <c r="N48" s="23"/>
      <c r="O48" s="22">
        <v>10285969930</v>
      </c>
      <c r="Q48" s="22">
        <v>0</v>
      </c>
      <c r="S48" s="22">
        <v>10285969930</v>
      </c>
    </row>
    <row r="49" spans="1:19" ht="18.75" x14ac:dyDescent="0.45">
      <c r="A49" s="30" t="s">
        <v>61</v>
      </c>
      <c r="C49" s="23" t="s">
        <v>179</v>
      </c>
      <c r="E49" s="22">
        <v>23813083</v>
      </c>
      <c r="G49" s="22">
        <v>420</v>
      </c>
      <c r="N49" s="23"/>
      <c r="O49" s="22">
        <v>10001494860</v>
      </c>
      <c r="Q49" s="22">
        <v>0</v>
      </c>
      <c r="S49" s="22">
        <v>10001494860</v>
      </c>
    </row>
    <row r="50" spans="1:19" ht="18.75" x14ac:dyDescent="0.45">
      <c r="A50" s="30" t="s">
        <v>62</v>
      </c>
      <c r="C50" s="23" t="s">
        <v>147</v>
      </c>
      <c r="E50" s="22">
        <v>2828124</v>
      </c>
      <c r="G50" s="22">
        <v>187</v>
      </c>
      <c r="N50" s="23"/>
      <c r="O50" s="22">
        <v>528859188</v>
      </c>
      <c r="Q50" s="22">
        <v>0</v>
      </c>
      <c r="S50" s="22">
        <v>528859188</v>
      </c>
    </row>
    <row r="51" spans="1:19" ht="18.75" x14ac:dyDescent="0.45">
      <c r="A51" s="30" t="s">
        <v>63</v>
      </c>
      <c r="C51" s="23" t="s">
        <v>180</v>
      </c>
      <c r="E51" s="22">
        <v>15875158</v>
      </c>
      <c r="G51" s="22">
        <v>682</v>
      </c>
      <c r="N51" s="23"/>
      <c r="O51" s="22">
        <v>10826857756</v>
      </c>
      <c r="Q51" s="22">
        <v>-575747300</v>
      </c>
      <c r="S51" s="22">
        <v>10251110456</v>
      </c>
    </row>
    <row r="52" spans="1:19" ht="18.75" x14ac:dyDescent="0.45">
      <c r="A52" s="30" t="s">
        <v>64</v>
      </c>
      <c r="C52" s="23" t="s">
        <v>181</v>
      </c>
      <c r="E52" s="22">
        <v>407076</v>
      </c>
      <c r="G52" s="22">
        <v>2150</v>
      </c>
      <c r="N52" s="23"/>
      <c r="O52" s="22">
        <v>875213400</v>
      </c>
      <c r="Q52" s="22">
        <v>0</v>
      </c>
      <c r="S52" s="22">
        <v>875213400</v>
      </c>
    </row>
    <row r="53" spans="1:19" ht="18.75" x14ac:dyDescent="0.45">
      <c r="A53" s="30" t="s">
        <v>65</v>
      </c>
      <c r="C53" s="23" t="s">
        <v>179</v>
      </c>
      <c r="E53" s="22">
        <v>3882657</v>
      </c>
      <c r="G53" s="22">
        <v>1110</v>
      </c>
      <c r="N53" s="23"/>
      <c r="O53" s="22">
        <v>4309749270</v>
      </c>
      <c r="Q53" s="22">
        <v>0</v>
      </c>
      <c r="S53" s="22">
        <v>4309749270</v>
      </c>
    </row>
    <row r="54" spans="1:19" ht="18.75" x14ac:dyDescent="0.45">
      <c r="A54" s="30" t="s">
        <v>66</v>
      </c>
      <c r="C54" s="23" t="s">
        <v>169</v>
      </c>
      <c r="E54" s="22">
        <v>22083031</v>
      </c>
      <c r="G54" s="22">
        <v>960</v>
      </c>
      <c r="N54" s="23"/>
      <c r="O54" s="22">
        <v>21199709760</v>
      </c>
      <c r="Q54" s="22">
        <v>0</v>
      </c>
      <c r="S54" s="22">
        <v>21199709760</v>
      </c>
    </row>
    <row r="55" spans="1:19" ht="37.5" x14ac:dyDescent="0.45">
      <c r="A55" s="30" t="s">
        <v>67</v>
      </c>
      <c r="C55" s="23" t="s">
        <v>145</v>
      </c>
      <c r="E55" s="22">
        <v>8068802</v>
      </c>
      <c r="G55" s="22">
        <v>450</v>
      </c>
      <c r="N55" s="23"/>
      <c r="O55" s="22">
        <v>3630960900</v>
      </c>
      <c r="Q55" s="22">
        <v>0</v>
      </c>
      <c r="S55" s="22">
        <v>3630960900</v>
      </c>
    </row>
    <row r="56" spans="1:19" ht="18.75" x14ac:dyDescent="0.45">
      <c r="A56" s="30" t="s">
        <v>68</v>
      </c>
      <c r="C56" s="23" t="s">
        <v>182</v>
      </c>
      <c r="E56" s="22">
        <v>612298</v>
      </c>
      <c r="G56" s="22">
        <v>1603</v>
      </c>
      <c r="N56" s="23"/>
      <c r="O56" s="22">
        <v>981513694</v>
      </c>
      <c r="Q56" s="22">
        <v>0</v>
      </c>
      <c r="S56" s="22">
        <v>981513694</v>
      </c>
    </row>
    <row r="57" spans="1:19" ht="18.75" x14ac:dyDescent="0.45">
      <c r="A57" s="30" t="s">
        <v>70</v>
      </c>
      <c r="C57" s="23" t="s">
        <v>183</v>
      </c>
      <c r="E57" s="22">
        <v>524142</v>
      </c>
      <c r="G57" s="22">
        <v>6500</v>
      </c>
      <c r="N57" s="23"/>
      <c r="O57" s="22">
        <v>3406923000</v>
      </c>
      <c r="Q57" s="22">
        <v>0</v>
      </c>
      <c r="S57" s="22">
        <v>3406923000</v>
      </c>
    </row>
    <row r="58" spans="1:19" ht="37.5" x14ac:dyDescent="0.45">
      <c r="A58" s="30" t="s">
        <v>71</v>
      </c>
      <c r="C58" s="23" t="s">
        <v>184</v>
      </c>
      <c r="E58" s="22">
        <v>7539161</v>
      </c>
      <c r="G58" s="22">
        <v>488</v>
      </c>
      <c r="N58" s="23"/>
      <c r="O58" s="22">
        <v>3679110568</v>
      </c>
      <c r="Q58" s="22">
        <v>0</v>
      </c>
      <c r="S58" s="22">
        <v>3679110568</v>
      </c>
    </row>
    <row r="59" spans="1:19" ht="37.5" x14ac:dyDescent="0.45">
      <c r="A59" s="30" t="s">
        <v>185</v>
      </c>
      <c r="C59" s="23" t="s">
        <v>155</v>
      </c>
      <c r="E59" s="22">
        <v>336632</v>
      </c>
      <c r="G59" s="22">
        <v>9000</v>
      </c>
      <c r="N59" s="23"/>
      <c r="O59" s="22">
        <v>3029688000</v>
      </c>
      <c r="Q59" s="22">
        <v>0</v>
      </c>
      <c r="S59" s="22">
        <v>3029688000</v>
      </c>
    </row>
    <row r="60" spans="1:19" ht="18.75" x14ac:dyDescent="0.45">
      <c r="A60" s="30" t="s">
        <v>74</v>
      </c>
      <c r="C60" s="23" t="s">
        <v>162</v>
      </c>
      <c r="E60" s="22">
        <v>12890068</v>
      </c>
      <c r="G60" s="22">
        <v>750</v>
      </c>
      <c r="N60" s="23"/>
      <c r="O60" s="22">
        <v>9667551000</v>
      </c>
      <c r="Q60" s="22">
        <v>0</v>
      </c>
      <c r="S60" s="22">
        <v>9667551000</v>
      </c>
    </row>
    <row r="61" spans="1:19" ht="18.75" x14ac:dyDescent="0.45">
      <c r="A61" s="30" t="s">
        <v>75</v>
      </c>
      <c r="C61" s="23" t="s">
        <v>159</v>
      </c>
      <c r="E61" s="22">
        <v>7338094</v>
      </c>
      <c r="G61" s="22">
        <v>160</v>
      </c>
      <c r="N61" s="23"/>
      <c r="O61" s="22">
        <v>1174095040</v>
      </c>
      <c r="Q61" s="22">
        <v>0</v>
      </c>
      <c r="S61" s="22">
        <v>1174095040</v>
      </c>
    </row>
    <row r="62" spans="1:19" ht="18.75" x14ac:dyDescent="0.45">
      <c r="A62" s="30" t="s">
        <v>77</v>
      </c>
      <c r="C62" s="23" t="s">
        <v>146</v>
      </c>
      <c r="E62" s="22">
        <v>564486</v>
      </c>
      <c r="G62" s="22">
        <v>2950</v>
      </c>
      <c r="N62" s="23"/>
      <c r="O62" s="22">
        <v>1665233700</v>
      </c>
      <c r="Q62" s="22">
        <v>0</v>
      </c>
      <c r="S62" s="22">
        <v>1665233700</v>
      </c>
    </row>
    <row r="63" spans="1:19" ht="37.5" x14ac:dyDescent="0.45">
      <c r="A63" s="30" t="s">
        <v>186</v>
      </c>
      <c r="C63" s="23" t="s">
        <v>159</v>
      </c>
      <c r="E63" s="22">
        <v>996335</v>
      </c>
      <c r="G63" s="22">
        <v>1350</v>
      </c>
      <c r="N63" s="23"/>
      <c r="O63" s="22">
        <v>1345052250</v>
      </c>
      <c r="Q63" s="22">
        <v>0</v>
      </c>
      <c r="S63" s="22">
        <v>1345052250</v>
      </c>
    </row>
    <row r="64" spans="1:19" ht="18.75" x14ac:dyDescent="0.45">
      <c r="A64" s="30" t="s">
        <v>78</v>
      </c>
      <c r="C64" s="23" t="s">
        <v>159</v>
      </c>
      <c r="E64" s="22">
        <v>6013772</v>
      </c>
      <c r="G64" s="22">
        <v>1700</v>
      </c>
      <c r="N64" s="23"/>
      <c r="O64" s="22">
        <v>10223412400</v>
      </c>
      <c r="Q64" s="22">
        <v>0</v>
      </c>
      <c r="S64" s="22">
        <v>10223412400</v>
      </c>
    </row>
    <row r="65" spans="1:19" ht="18.75" x14ac:dyDescent="0.45">
      <c r="A65" s="30" t="s">
        <v>79</v>
      </c>
      <c r="C65" s="23" t="s">
        <v>187</v>
      </c>
      <c r="E65" s="22">
        <v>6377671</v>
      </c>
      <c r="G65" s="22">
        <v>480</v>
      </c>
      <c r="N65" s="23"/>
      <c r="O65" s="22">
        <v>3061282080</v>
      </c>
      <c r="Q65" s="22">
        <v>0</v>
      </c>
      <c r="S65" s="22">
        <v>3061282080</v>
      </c>
    </row>
    <row r="66" spans="1:19" ht="18.75" x14ac:dyDescent="0.45">
      <c r="A66" s="30" t="s">
        <v>81</v>
      </c>
      <c r="C66" s="23" t="s">
        <v>172</v>
      </c>
      <c r="E66" s="22">
        <v>5637509</v>
      </c>
      <c r="G66" s="22">
        <v>1930</v>
      </c>
      <c r="N66" s="23"/>
      <c r="O66" s="22">
        <v>10880392370</v>
      </c>
      <c r="Q66" s="22">
        <v>-154279703</v>
      </c>
      <c r="S66" s="22">
        <v>10726112667</v>
      </c>
    </row>
    <row r="67" spans="1:19" ht="18.75" x14ac:dyDescent="0.45">
      <c r="A67" s="30" t="s">
        <v>82</v>
      </c>
      <c r="C67" s="23" t="s">
        <v>188</v>
      </c>
      <c r="E67" s="22">
        <v>4994975</v>
      </c>
      <c r="G67" s="22">
        <v>3100</v>
      </c>
      <c r="N67" s="23"/>
      <c r="O67" s="22">
        <v>15484422500</v>
      </c>
      <c r="Q67" s="22">
        <v>-291373542</v>
      </c>
      <c r="S67" s="22">
        <v>15193048958</v>
      </c>
    </row>
    <row r="68" spans="1:19" ht="37.5" x14ac:dyDescent="0.45">
      <c r="A68" s="30" t="s">
        <v>83</v>
      </c>
      <c r="C68" s="23" t="s">
        <v>169</v>
      </c>
      <c r="E68" s="22">
        <v>450000</v>
      </c>
      <c r="G68" s="22">
        <v>40</v>
      </c>
      <c r="N68" s="23"/>
      <c r="O68" s="22">
        <v>18000000</v>
      </c>
      <c r="Q68" s="22">
        <v>0</v>
      </c>
      <c r="S68" s="22">
        <v>18000000</v>
      </c>
    </row>
    <row r="69" spans="1:19" ht="18.75" x14ac:dyDescent="0.45">
      <c r="A69" s="25" t="s">
        <v>87</v>
      </c>
      <c r="I69" s="25">
        <f>SUM(I9:$I$68)</f>
        <v>0</v>
      </c>
      <c r="K69" s="25">
        <f>SUM(K9:$K$68)</f>
        <v>0</v>
      </c>
      <c r="M69" s="25">
        <f>SUM(M9:$M$68)</f>
        <v>0</v>
      </c>
      <c r="O69" s="25">
        <f>SUM(O9:$O$68)</f>
        <v>277302185631</v>
      </c>
      <c r="Q69" s="25">
        <f>SUM(Q9:$Q$68)</f>
        <v>-1467379753</v>
      </c>
      <c r="S69" s="25">
        <f>SUM(S9:$S$68)</f>
        <v>275834805878</v>
      </c>
    </row>
    <row r="70" spans="1:19" ht="18.75" x14ac:dyDescent="0.45">
      <c r="I70" s="27"/>
      <c r="K70" s="27"/>
      <c r="M70" s="27"/>
      <c r="O70" s="27"/>
      <c r="Q70" s="27"/>
      <c r="S70" s="27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8" fitToHeight="0" orientation="landscape" r:id="rId1"/>
  <rowBreaks count="3" manualBreakCount="3">
    <brk id="20" max="16383" man="1"/>
    <brk id="37" max="16383" man="1"/>
    <brk id="5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1"/>
  <sheetViews>
    <sheetView rightToLeft="1" zoomScaleNormal="100" workbookViewId="0">
      <selection sqref="A1:W1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1.42578125" style="13" customWidth="1"/>
    <col min="4" max="4" width="1.42578125" style="13" customWidth="1"/>
    <col min="5" max="5" width="11.42578125" style="13" customWidth="1"/>
    <col min="6" max="6" width="1.42578125" style="13" customWidth="1"/>
    <col min="7" max="7" width="11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4.140625" style="13" customWidth="1"/>
    <col min="12" max="12" width="1.42578125" style="13" customWidth="1"/>
    <col min="13" max="13" width="18.42578125" style="13" customWidth="1"/>
    <col min="14" max="14" width="1.42578125" style="13" customWidth="1"/>
    <col min="15" max="15" width="18.42578125" style="13" customWidth="1"/>
    <col min="16" max="16" width="1.42578125" style="13" customWidth="1"/>
    <col min="17" max="17" width="14.140625" style="13" customWidth="1"/>
    <col min="18" max="18" width="1.42578125" style="13" customWidth="1"/>
    <col min="19" max="19" width="18.42578125" style="13" customWidth="1"/>
    <col min="20" max="16384" width="9.140625" style="13"/>
  </cols>
  <sheetData>
    <row r="1" spans="1:1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1:19" ht="19.5" x14ac:dyDescent="0.5">
      <c r="A5" s="41" t="s">
        <v>237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7" spans="1:19" ht="21" x14ac:dyDescent="0.45">
      <c r="I7" s="15" t="s">
        <v>134</v>
      </c>
      <c r="J7" s="16"/>
      <c r="K7" s="16"/>
      <c r="L7" s="16"/>
      <c r="M7" s="16"/>
      <c r="O7" s="15" t="s">
        <v>7</v>
      </c>
      <c r="P7" s="16"/>
      <c r="Q7" s="16"/>
      <c r="R7" s="16"/>
      <c r="S7" s="16"/>
    </row>
    <row r="8" spans="1:19" ht="42" x14ac:dyDescent="0.45">
      <c r="A8" s="31" t="s">
        <v>124</v>
      </c>
      <c r="C8" s="29" t="s">
        <v>189</v>
      </c>
      <c r="E8" s="29" t="s">
        <v>100</v>
      </c>
      <c r="G8" s="29" t="s">
        <v>118</v>
      </c>
      <c r="I8" s="29" t="s">
        <v>190</v>
      </c>
      <c r="K8" s="29" t="s">
        <v>139</v>
      </c>
      <c r="M8" s="29" t="s">
        <v>191</v>
      </c>
      <c r="O8" s="29" t="s">
        <v>190</v>
      </c>
      <c r="Q8" s="29" t="s">
        <v>139</v>
      </c>
      <c r="S8" s="29" t="s">
        <v>191</v>
      </c>
    </row>
    <row r="9" spans="1:19" ht="37.5" x14ac:dyDescent="0.45">
      <c r="A9" s="30" t="s">
        <v>103</v>
      </c>
      <c r="C9" s="23" t="s">
        <v>192</v>
      </c>
      <c r="E9" s="23" t="s">
        <v>107</v>
      </c>
      <c r="G9" s="23" t="s">
        <v>108</v>
      </c>
      <c r="I9" s="22">
        <v>1336674206</v>
      </c>
      <c r="K9" s="22">
        <v>0</v>
      </c>
      <c r="M9" s="22">
        <v>1336674206</v>
      </c>
      <c r="O9" s="22">
        <v>2694729294</v>
      </c>
      <c r="Q9" s="22">
        <v>0</v>
      </c>
      <c r="S9" s="22">
        <v>2694729294</v>
      </c>
    </row>
    <row r="10" spans="1:19" ht="19.5" thickBot="1" x14ac:dyDescent="0.5">
      <c r="A10" s="25" t="s">
        <v>87</v>
      </c>
      <c r="I10" s="25">
        <f>SUM(I9:$I$9)</f>
        <v>1336674206</v>
      </c>
      <c r="K10" s="25">
        <f>SUM(K9:$K$9)</f>
        <v>0</v>
      </c>
      <c r="M10" s="25">
        <f>SUM(M9:$M$9)</f>
        <v>1336674206</v>
      </c>
      <c r="O10" s="25">
        <f>SUM(O9:$O$9)</f>
        <v>2694729294</v>
      </c>
      <c r="Q10" s="25">
        <f>SUM(Q9:$Q$9)</f>
        <v>0</v>
      </c>
      <c r="S10" s="25">
        <f>SUM(S9:$S$9)</f>
        <v>2694729294</v>
      </c>
    </row>
    <row r="11" spans="1:19" ht="18.75" x14ac:dyDescent="0.45">
      <c r="I11" s="27"/>
      <c r="K11" s="27"/>
      <c r="M11" s="27"/>
      <c r="O11" s="27"/>
      <c r="Q11" s="27"/>
      <c r="S11" s="27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66EB-9CBD-40F9-BF33-8E40D2F84BF2}">
  <sheetPr>
    <pageSetUpPr fitToPage="1"/>
  </sheetPr>
  <dimension ref="A1:M15"/>
  <sheetViews>
    <sheetView rightToLeft="1" zoomScaleNormal="100" workbookViewId="0">
      <selection sqref="A1:W1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8.42578125" style="13" customWidth="1"/>
    <col min="8" max="8" width="1.42578125" style="13" customWidth="1"/>
    <col min="9" max="9" width="18.42578125" style="13" customWidth="1"/>
    <col min="10" max="10" width="1.42578125" style="13" customWidth="1"/>
    <col min="11" max="11" width="14.140625" style="13" customWidth="1"/>
    <col min="12" max="12" width="1.42578125" style="13" customWidth="1"/>
    <col min="13" max="13" width="18.42578125" style="13" customWidth="1"/>
    <col min="14" max="16384" width="9.140625" style="13"/>
  </cols>
  <sheetData>
    <row r="1" spans="1:13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19.5" x14ac:dyDescent="0.5">
      <c r="A5" s="41" t="s">
        <v>238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7" spans="1:13" ht="21" x14ac:dyDescent="0.45">
      <c r="C7" s="15" t="s">
        <v>134</v>
      </c>
      <c r="D7" s="16"/>
      <c r="E7" s="16"/>
      <c r="F7" s="16"/>
      <c r="G7" s="16"/>
      <c r="I7" s="15" t="s">
        <v>7</v>
      </c>
      <c r="J7" s="16"/>
      <c r="K7" s="16"/>
      <c r="L7" s="16"/>
      <c r="M7" s="16"/>
    </row>
    <row r="8" spans="1:13" ht="21" x14ac:dyDescent="0.45">
      <c r="A8" s="31" t="s">
        <v>124</v>
      </c>
      <c r="C8" s="29" t="s">
        <v>190</v>
      </c>
      <c r="E8" s="29" t="s">
        <v>139</v>
      </c>
      <c r="G8" s="29" t="s">
        <v>191</v>
      </c>
      <c r="I8" s="29" t="s">
        <v>190</v>
      </c>
      <c r="K8" s="29" t="s">
        <v>139</v>
      </c>
      <c r="M8" s="29" t="s">
        <v>191</v>
      </c>
    </row>
    <row r="9" spans="1:13" ht="18.75" x14ac:dyDescent="0.45">
      <c r="A9" s="43" t="s">
        <v>239</v>
      </c>
      <c r="C9" s="22">
        <v>14134049</v>
      </c>
      <c r="E9" s="22">
        <v>0</v>
      </c>
      <c r="G9" s="22">
        <v>14134049</v>
      </c>
      <c r="I9" s="22">
        <v>293262068</v>
      </c>
      <c r="K9" s="22">
        <v>0</v>
      </c>
      <c r="M9" s="22">
        <v>293262068</v>
      </c>
    </row>
    <row r="10" spans="1:13" ht="19.5" thickBot="1" x14ac:dyDescent="0.5">
      <c r="A10" s="25" t="s">
        <v>87</v>
      </c>
      <c r="C10" s="25">
        <f>SUM(C9:$C$9)</f>
        <v>14134049</v>
      </c>
      <c r="E10" s="25">
        <f>SUM(E9:$E$9)</f>
        <v>0</v>
      </c>
      <c r="G10" s="25">
        <f>SUM(G9:$G$9)</f>
        <v>14134049</v>
      </c>
      <c r="I10" s="25">
        <f>SUM(I9:$I$9)</f>
        <v>293262068</v>
      </c>
      <c r="K10" s="25">
        <f>SUM(K9:$K$9)</f>
        <v>0</v>
      </c>
      <c r="M10" s="25">
        <f>SUM(M9:$M$9)</f>
        <v>293262068</v>
      </c>
    </row>
    <row r="11" spans="1:13" ht="19.5" thickTop="1" x14ac:dyDescent="0.45">
      <c r="C11" s="27"/>
      <c r="E11" s="27"/>
      <c r="G11" s="27"/>
      <c r="I11" s="27"/>
      <c r="K11" s="27"/>
      <c r="M11" s="27"/>
    </row>
    <row r="13" spans="1:13" x14ac:dyDescent="0.45"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ht="18.75" x14ac:dyDescent="0.45">
      <c r="C14" s="38"/>
      <c r="D14" s="37"/>
      <c r="E14" s="38"/>
      <c r="F14" s="37"/>
      <c r="G14" s="38"/>
      <c r="H14" s="37"/>
      <c r="I14" s="38"/>
      <c r="J14" s="37"/>
      <c r="K14" s="38"/>
      <c r="L14" s="37"/>
      <c r="M14" s="38"/>
    </row>
    <row r="15" spans="1:13" x14ac:dyDescent="0.45"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71"/>
  <sheetViews>
    <sheetView rightToLeft="1" view="pageBreakPreview" topLeftCell="A31" zoomScale="60" zoomScaleNormal="100" workbookViewId="0">
      <selection sqref="A1:W1"/>
    </sheetView>
  </sheetViews>
  <sheetFormatPr defaultRowHeight="18" x14ac:dyDescent="0.45"/>
  <cols>
    <col min="1" max="1" width="20.42578125" style="13" bestFit="1" customWidth="1"/>
    <col min="2" max="2" width="1.42578125" style="13" customWidth="1"/>
    <col min="3" max="3" width="12.5703125" style="13" bestFit="1" customWidth="1"/>
    <col min="4" max="4" width="1.42578125" style="13" customWidth="1"/>
    <col min="5" max="5" width="18" style="13" bestFit="1" customWidth="1"/>
    <col min="6" max="6" width="1.42578125" style="13" customWidth="1"/>
    <col min="7" max="7" width="18.28515625" style="13" bestFit="1" customWidth="1"/>
    <col min="8" max="8" width="1.42578125" style="13" customWidth="1"/>
    <col min="9" max="9" width="17" style="13" customWidth="1"/>
    <col min="10" max="10" width="1.42578125" style="13" customWidth="1"/>
    <col min="11" max="11" width="13.7109375" style="13" bestFit="1" customWidth="1"/>
    <col min="12" max="12" width="1.42578125" style="13" customWidth="1"/>
    <col min="13" max="13" width="19.85546875" style="13" bestFit="1" customWidth="1"/>
    <col min="14" max="14" width="1.42578125" style="13" customWidth="1"/>
    <col min="15" max="15" width="19.7109375" style="13" bestFit="1" customWidth="1"/>
    <col min="16" max="16" width="1.42578125" style="13" customWidth="1"/>
    <col min="17" max="17" width="18.7109375" style="13" bestFit="1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193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134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42" x14ac:dyDescent="0.45">
      <c r="A8" s="31" t="s">
        <v>124</v>
      </c>
      <c r="C8" s="29" t="s">
        <v>9</v>
      </c>
      <c r="E8" s="29" t="s">
        <v>11</v>
      </c>
      <c r="G8" s="29" t="s">
        <v>194</v>
      </c>
      <c r="I8" s="29" t="s">
        <v>195</v>
      </c>
      <c r="K8" s="29" t="s">
        <v>9</v>
      </c>
      <c r="M8" s="29" t="s">
        <v>11</v>
      </c>
      <c r="O8" s="29" t="s">
        <v>194</v>
      </c>
      <c r="Q8" s="29" t="s">
        <v>195</v>
      </c>
    </row>
    <row r="9" spans="1:17" ht="18.75" x14ac:dyDescent="0.45">
      <c r="A9" s="30" t="s">
        <v>19</v>
      </c>
      <c r="J9" s="23"/>
      <c r="K9" s="22">
        <v>281966</v>
      </c>
      <c r="M9" s="22">
        <v>2242685769</v>
      </c>
      <c r="O9" s="22">
        <v>2610074708</v>
      </c>
      <c r="Q9" s="22">
        <v>-367388939</v>
      </c>
    </row>
    <row r="10" spans="1:17" ht="18.75" x14ac:dyDescent="0.45">
      <c r="A10" s="30" t="s">
        <v>196</v>
      </c>
      <c r="J10" s="23"/>
      <c r="K10" s="22">
        <v>433913</v>
      </c>
      <c r="M10" s="22">
        <v>1102004664</v>
      </c>
      <c r="O10" s="22">
        <v>1310689440</v>
      </c>
      <c r="Q10" s="22">
        <v>-208684776</v>
      </c>
    </row>
    <row r="11" spans="1:17" ht="18.75" x14ac:dyDescent="0.45">
      <c r="A11" s="30" t="s">
        <v>143</v>
      </c>
      <c r="J11" s="23"/>
      <c r="K11" s="22">
        <v>2736107</v>
      </c>
      <c r="M11" s="22">
        <v>7700395419</v>
      </c>
      <c r="O11" s="22">
        <v>10457881070</v>
      </c>
      <c r="Q11" s="22">
        <v>-2757485651</v>
      </c>
    </row>
    <row r="12" spans="1:17" ht="18.75" x14ac:dyDescent="0.45">
      <c r="A12" s="30" t="s">
        <v>25</v>
      </c>
      <c r="J12" s="23"/>
      <c r="K12" s="22">
        <v>1562500</v>
      </c>
      <c r="M12" s="22">
        <v>5095247839</v>
      </c>
      <c r="O12" s="22">
        <v>3906823843</v>
      </c>
      <c r="Q12" s="22">
        <v>1188423996</v>
      </c>
    </row>
    <row r="13" spans="1:17" ht="37.5" x14ac:dyDescent="0.45">
      <c r="A13" s="30" t="s">
        <v>26</v>
      </c>
      <c r="J13" s="23"/>
      <c r="K13" s="22">
        <v>1532815</v>
      </c>
      <c r="M13" s="22">
        <v>4711072683</v>
      </c>
      <c r="O13" s="22">
        <v>4847624585</v>
      </c>
      <c r="Q13" s="22">
        <v>-136551902</v>
      </c>
    </row>
    <row r="14" spans="1:17" ht="18.75" x14ac:dyDescent="0.45">
      <c r="A14" s="30" t="s">
        <v>28</v>
      </c>
      <c r="C14" s="22">
        <v>1</v>
      </c>
      <c r="E14" s="22">
        <v>1</v>
      </c>
      <c r="G14" s="22">
        <v>3971</v>
      </c>
      <c r="I14" s="22">
        <v>-3970</v>
      </c>
      <c r="K14" s="22">
        <v>898332</v>
      </c>
      <c r="M14" s="22">
        <v>6078322388</v>
      </c>
      <c r="O14" s="22">
        <v>4933038716</v>
      </c>
      <c r="Q14" s="22">
        <v>1145283672</v>
      </c>
    </row>
    <row r="15" spans="1:17" ht="18.75" x14ac:dyDescent="0.45">
      <c r="A15" s="30" t="s">
        <v>197</v>
      </c>
      <c r="J15" s="23"/>
      <c r="K15" s="22">
        <v>9600000</v>
      </c>
      <c r="M15" s="22">
        <v>19247729584</v>
      </c>
      <c r="O15" s="22">
        <v>15514041705</v>
      </c>
      <c r="Q15" s="22">
        <v>3733687879</v>
      </c>
    </row>
    <row r="16" spans="1:17" ht="18.75" x14ac:dyDescent="0.45">
      <c r="A16" s="30" t="s">
        <v>30</v>
      </c>
      <c r="J16" s="23"/>
      <c r="K16" s="22">
        <v>800000</v>
      </c>
      <c r="M16" s="22">
        <v>16630693691</v>
      </c>
      <c r="O16" s="22">
        <v>18310261191</v>
      </c>
      <c r="Q16" s="22">
        <v>-1679567500</v>
      </c>
    </row>
    <row r="17" spans="1:17" ht="37.5" x14ac:dyDescent="0.45">
      <c r="A17" s="30" t="s">
        <v>32</v>
      </c>
      <c r="J17" s="23"/>
      <c r="K17" s="22">
        <v>100000</v>
      </c>
      <c r="M17" s="22">
        <v>1308169802</v>
      </c>
      <c r="O17" s="22">
        <v>1317267379</v>
      </c>
      <c r="Q17" s="22">
        <v>-9097577</v>
      </c>
    </row>
    <row r="18" spans="1:17" ht="18.75" x14ac:dyDescent="0.45">
      <c r="A18" s="30" t="s">
        <v>33</v>
      </c>
      <c r="C18" s="22">
        <v>1793579</v>
      </c>
      <c r="E18" s="22">
        <v>16344927111</v>
      </c>
      <c r="G18" s="22">
        <v>19610305091</v>
      </c>
      <c r="I18" s="22">
        <v>-3265377980</v>
      </c>
      <c r="K18" s="22">
        <v>1820134</v>
      </c>
      <c r="M18" s="22">
        <v>16630074164</v>
      </c>
      <c r="O18" s="22">
        <v>19822639912</v>
      </c>
      <c r="Q18" s="22">
        <v>-3192565748</v>
      </c>
    </row>
    <row r="19" spans="1:17" ht="18.75" x14ac:dyDescent="0.45">
      <c r="A19" s="30" t="s">
        <v>36</v>
      </c>
      <c r="J19" s="23"/>
      <c r="K19" s="22">
        <v>1200000</v>
      </c>
      <c r="M19" s="22">
        <v>16675660699</v>
      </c>
      <c r="O19" s="22">
        <v>18962088919</v>
      </c>
      <c r="Q19" s="22">
        <v>-2286428220</v>
      </c>
    </row>
    <row r="20" spans="1:17" ht="18.75" x14ac:dyDescent="0.45">
      <c r="A20" s="30" t="s">
        <v>38</v>
      </c>
      <c r="J20" s="23"/>
      <c r="K20" s="22">
        <v>208754</v>
      </c>
      <c r="M20" s="22">
        <v>20989302771</v>
      </c>
      <c r="O20" s="22">
        <v>21464943814</v>
      </c>
      <c r="Q20" s="22">
        <v>-475641043</v>
      </c>
    </row>
    <row r="21" spans="1:17" ht="18.75" x14ac:dyDescent="0.45">
      <c r="A21" s="30" t="s">
        <v>39</v>
      </c>
      <c r="C21" s="22">
        <v>1559397</v>
      </c>
      <c r="E21" s="22">
        <v>90077313473</v>
      </c>
      <c r="G21" s="22">
        <v>57414058651</v>
      </c>
      <c r="I21" s="22">
        <v>32663254822</v>
      </c>
      <c r="K21" s="22">
        <v>1592280</v>
      </c>
      <c r="M21" s="22">
        <v>91839161439</v>
      </c>
      <c r="O21" s="22">
        <v>58594958367</v>
      </c>
      <c r="Q21" s="22">
        <v>33244203072</v>
      </c>
    </row>
    <row r="22" spans="1:17" ht="18.75" x14ac:dyDescent="0.45">
      <c r="A22" s="30" t="s">
        <v>157</v>
      </c>
      <c r="J22" s="23"/>
      <c r="K22" s="22">
        <v>3260353</v>
      </c>
      <c r="M22" s="22">
        <v>21457616564</v>
      </c>
      <c r="O22" s="22">
        <v>14112314709</v>
      </c>
      <c r="Q22" s="22">
        <v>7345301855</v>
      </c>
    </row>
    <row r="23" spans="1:17" ht="18.75" x14ac:dyDescent="0.45">
      <c r="A23" s="30" t="s">
        <v>43</v>
      </c>
      <c r="J23" s="23"/>
      <c r="K23" s="22">
        <v>10000000</v>
      </c>
      <c r="M23" s="22">
        <v>40918606663</v>
      </c>
      <c r="O23" s="22">
        <v>44218934306</v>
      </c>
      <c r="Q23" s="22">
        <v>-3300327643</v>
      </c>
    </row>
    <row r="24" spans="1:17" ht="18.75" x14ac:dyDescent="0.45">
      <c r="A24" s="30" t="s">
        <v>44</v>
      </c>
      <c r="C24" s="22">
        <v>110835</v>
      </c>
      <c r="E24" s="22">
        <v>417568593</v>
      </c>
      <c r="G24" s="22">
        <v>774238108</v>
      </c>
      <c r="I24" s="22">
        <v>-356669515</v>
      </c>
      <c r="K24" s="22">
        <v>3040223</v>
      </c>
      <c r="M24" s="22">
        <v>12821594552</v>
      </c>
      <c r="O24" s="22">
        <v>21229297529</v>
      </c>
      <c r="Q24" s="22">
        <v>-8407702977</v>
      </c>
    </row>
    <row r="25" spans="1:17" ht="18.75" x14ac:dyDescent="0.45">
      <c r="A25" s="30" t="s">
        <v>45</v>
      </c>
      <c r="J25" s="23"/>
      <c r="K25" s="22">
        <v>417833</v>
      </c>
      <c r="M25" s="22">
        <v>10103162752</v>
      </c>
      <c r="O25" s="22">
        <v>11743685139</v>
      </c>
      <c r="Q25" s="22">
        <v>-1640522387</v>
      </c>
    </row>
    <row r="26" spans="1:17" ht="18.75" x14ac:dyDescent="0.45">
      <c r="A26" s="30" t="s">
        <v>46</v>
      </c>
      <c r="C26" s="22">
        <v>800000</v>
      </c>
      <c r="E26" s="22">
        <v>4676011262</v>
      </c>
      <c r="G26" s="22">
        <v>4319733804</v>
      </c>
      <c r="I26" s="22">
        <v>356277458</v>
      </c>
      <c r="K26" s="22">
        <v>2200000</v>
      </c>
      <c r="M26" s="22">
        <v>13012114616</v>
      </c>
      <c r="O26" s="22">
        <v>11878351607</v>
      </c>
      <c r="Q26" s="22">
        <v>1133763009</v>
      </c>
    </row>
    <row r="27" spans="1:17" ht="18.75" x14ac:dyDescent="0.45">
      <c r="A27" s="30" t="s">
        <v>47</v>
      </c>
      <c r="J27" s="23"/>
      <c r="K27" s="22">
        <v>381236</v>
      </c>
      <c r="M27" s="22">
        <v>54261626780</v>
      </c>
      <c r="O27" s="22">
        <v>56217183884</v>
      </c>
      <c r="Q27" s="22">
        <v>-1955557104</v>
      </c>
    </row>
    <row r="28" spans="1:17" ht="18.75" x14ac:dyDescent="0.45">
      <c r="A28" s="30" t="s">
        <v>163</v>
      </c>
      <c r="J28" s="23"/>
      <c r="K28" s="22">
        <v>783101</v>
      </c>
      <c r="M28" s="22">
        <v>47742123864</v>
      </c>
      <c r="O28" s="22">
        <v>54096161251</v>
      </c>
      <c r="Q28" s="22">
        <v>-6354037387</v>
      </c>
    </row>
    <row r="29" spans="1:17" ht="18.75" x14ac:dyDescent="0.45">
      <c r="A29" s="30" t="s">
        <v>48</v>
      </c>
      <c r="C29" s="22">
        <v>1146291</v>
      </c>
      <c r="E29" s="22">
        <v>12277018288</v>
      </c>
      <c r="G29" s="22">
        <v>15236855699</v>
      </c>
      <c r="I29" s="22">
        <v>-2959837411</v>
      </c>
      <c r="K29" s="22">
        <v>2775755</v>
      </c>
      <c r="M29" s="22">
        <v>31093414994</v>
      </c>
      <c r="O29" s="22">
        <v>36888030079</v>
      </c>
      <c r="Q29" s="22">
        <v>-5794615085</v>
      </c>
    </row>
    <row r="30" spans="1:17" ht="18.75" x14ac:dyDescent="0.45">
      <c r="A30" s="30" t="s">
        <v>51</v>
      </c>
      <c r="C30" s="22">
        <v>187302</v>
      </c>
      <c r="E30" s="22">
        <v>820726472</v>
      </c>
      <c r="G30" s="22">
        <v>964379869</v>
      </c>
      <c r="I30" s="22">
        <v>-143653397</v>
      </c>
      <c r="K30" s="22">
        <v>6310177</v>
      </c>
      <c r="M30" s="22">
        <v>28065801767</v>
      </c>
      <c r="O30" s="22">
        <v>32487328927</v>
      </c>
      <c r="Q30" s="22">
        <v>-4421527160</v>
      </c>
    </row>
    <row r="31" spans="1:17" ht="18.75" x14ac:dyDescent="0.45">
      <c r="A31" s="30" t="s">
        <v>52</v>
      </c>
      <c r="C31" s="22">
        <v>1200000</v>
      </c>
      <c r="E31" s="22">
        <v>1310089835</v>
      </c>
      <c r="G31" s="22">
        <v>1896946199</v>
      </c>
      <c r="I31" s="22">
        <v>-586856364</v>
      </c>
      <c r="K31" s="22">
        <v>14000000</v>
      </c>
      <c r="M31" s="22">
        <v>25909977928</v>
      </c>
      <c r="O31" s="22">
        <v>32724917048</v>
      </c>
      <c r="Q31" s="22">
        <v>-6814939120</v>
      </c>
    </row>
    <row r="32" spans="1:17" ht="37.5" x14ac:dyDescent="0.45">
      <c r="A32" s="30" t="s">
        <v>167</v>
      </c>
      <c r="J32" s="23"/>
      <c r="K32" s="22">
        <v>8640622</v>
      </c>
      <c r="M32" s="22">
        <v>18405977767</v>
      </c>
      <c r="O32" s="22">
        <v>27478372743</v>
      </c>
      <c r="Q32" s="22">
        <v>-9072394976</v>
      </c>
    </row>
    <row r="33" spans="1:17" ht="37.5" x14ac:dyDescent="0.45">
      <c r="A33" s="30" t="s">
        <v>103</v>
      </c>
      <c r="C33" s="22">
        <v>121310</v>
      </c>
      <c r="E33" s="22">
        <v>121290512563</v>
      </c>
      <c r="G33" s="22">
        <v>121312500000</v>
      </c>
      <c r="I33" s="22">
        <v>-21987437</v>
      </c>
      <c r="K33" s="22">
        <v>121310</v>
      </c>
      <c r="M33" s="22">
        <v>121290512563</v>
      </c>
      <c r="O33" s="22">
        <v>121312500000</v>
      </c>
      <c r="Q33" s="22">
        <v>-21987437</v>
      </c>
    </row>
    <row r="34" spans="1:17" ht="18.75" x14ac:dyDescent="0.45">
      <c r="A34" s="30" t="s">
        <v>170</v>
      </c>
      <c r="J34" s="23"/>
      <c r="K34" s="22">
        <v>18187595</v>
      </c>
      <c r="M34" s="22">
        <v>32664728642</v>
      </c>
      <c r="O34" s="22">
        <v>44135119491</v>
      </c>
      <c r="Q34" s="22">
        <v>-11470390849</v>
      </c>
    </row>
    <row r="35" spans="1:17" ht="37.5" x14ac:dyDescent="0.45">
      <c r="A35" s="30" t="s">
        <v>58</v>
      </c>
      <c r="C35" s="22">
        <v>1377410</v>
      </c>
      <c r="E35" s="22">
        <v>9958368124</v>
      </c>
      <c r="G35" s="22">
        <v>17724605554</v>
      </c>
      <c r="I35" s="22">
        <v>-7766237430</v>
      </c>
      <c r="K35" s="22">
        <v>2522410</v>
      </c>
      <c r="M35" s="22">
        <v>18703622554</v>
      </c>
      <c r="O35" s="22">
        <v>32455747251</v>
      </c>
      <c r="Q35" s="22">
        <v>-13752124697</v>
      </c>
    </row>
    <row r="36" spans="1:17" ht="18.75" x14ac:dyDescent="0.45">
      <c r="A36" s="30" t="s">
        <v>198</v>
      </c>
      <c r="J36" s="23"/>
      <c r="K36" s="22">
        <v>11591982</v>
      </c>
      <c r="M36" s="22">
        <v>34364341410</v>
      </c>
      <c r="O36" s="22">
        <v>35469547725</v>
      </c>
      <c r="Q36" s="22">
        <v>-1105206315</v>
      </c>
    </row>
    <row r="37" spans="1:17" ht="18.75" x14ac:dyDescent="0.45">
      <c r="A37" s="30" t="s">
        <v>59</v>
      </c>
      <c r="J37" s="23"/>
      <c r="K37" s="22">
        <v>4826087</v>
      </c>
      <c r="M37" s="22">
        <v>31459766282</v>
      </c>
      <c r="O37" s="22">
        <v>34496692249</v>
      </c>
      <c r="Q37" s="22">
        <v>-3036925967</v>
      </c>
    </row>
    <row r="38" spans="1:17" ht="18.75" x14ac:dyDescent="0.45">
      <c r="A38" s="30" t="s">
        <v>199</v>
      </c>
      <c r="J38" s="23"/>
      <c r="K38" s="22">
        <v>162355</v>
      </c>
      <c r="M38" s="22">
        <v>678807354</v>
      </c>
      <c r="O38" s="22">
        <v>742845169</v>
      </c>
      <c r="Q38" s="22">
        <v>-64037815</v>
      </c>
    </row>
    <row r="39" spans="1:17" ht="18.75" x14ac:dyDescent="0.45">
      <c r="A39" s="30" t="s">
        <v>174</v>
      </c>
      <c r="J39" s="23"/>
      <c r="K39" s="22">
        <v>1724034</v>
      </c>
      <c r="M39" s="22">
        <v>34157336538</v>
      </c>
      <c r="O39" s="22">
        <v>43496836639</v>
      </c>
      <c r="Q39" s="22">
        <v>-9339500101</v>
      </c>
    </row>
    <row r="40" spans="1:17" ht="18.75" x14ac:dyDescent="0.45">
      <c r="A40" s="30" t="s">
        <v>60</v>
      </c>
      <c r="C40" s="22">
        <v>1715474</v>
      </c>
      <c r="E40" s="22">
        <v>5251264761</v>
      </c>
      <c r="G40" s="22">
        <v>8805261354</v>
      </c>
      <c r="I40" s="22">
        <v>-3553996593</v>
      </c>
      <c r="K40" s="22">
        <v>8867344</v>
      </c>
      <c r="M40" s="22">
        <v>30637268222</v>
      </c>
      <c r="O40" s="22">
        <v>45493791227</v>
      </c>
      <c r="Q40" s="22">
        <v>-14856523005</v>
      </c>
    </row>
    <row r="41" spans="1:17" ht="18.75" x14ac:dyDescent="0.45">
      <c r="A41" s="30" t="s">
        <v>176</v>
      </c>
      <c r="J41" s="23"/>
      <c r="K41" s="22">
        <v>1000000</v>
      </c>
      <c r="M41" s="22">
        <v>3500610195</v>
      </c>
      <c r="O41" s="22">
        <v>4507955320</v>
      </c>
      <c r="Q41" s="22">
        <v>-1007345125</v>
      </c>
    </row>
    <row r="42" spans="1:17" ht="18.75" x14ac:dyDescent="0.45">
      <c r="A42" s="30" t="s">
        <v>177</v>
      </c>
      <c r="J42" s="23"/>
      <c r="K42" s="22">
        <v>7000000</v>
      </c>
      <c r="M42" s="22">
        <v>51474411028</v>
      </c>
      <c r="O42" s="22">
        <v>77416664348</v>
      </c>
      <c r="Q42" s="22">
        <v>-25942253320</v>
      </c>
    </row>
    <row r="43" spans="1:17" ht="18.75" x14ac:dyDescent="0.45">
      <c r="A43" s="30" t="s">
        <v>61</v>
      </c>
      <c r="J43" s="23"/>
      <c r="K43" s="22">
        <v>7934088</v>
      </c>
      <c r="M43" s="22">
        <v>29799096884</v>
      </c>
      <c r="O43" s="22">
        <v>35722713282</v>
      </c>
      <c r="Q43" s="22">
        <v>-5923616398</v>
      </c>
    </row>
    <row r="44" spans="1:17" ht="18.75" x14ac:dyDescent="0.45">
      <c r="A44" s="30" t="s">
        <v>62</v>
      </c>
      <c r="C44" s="22">
        <v>33570</v>
      </c>
      <c r="E44" s="22">
        <v>355498638</v>
      </c>
      <c r="G44" s="22">
        <v>380295300</v>
      </c>
      <c r="I44" s="22">
        <v>-24796662</v>
      </c>
      <c r="K44" s="22">
        <v>454489</v>
      </c>
      <c r="M44" s="22">
        <v>5203807892</v>
      </c>
      <c r="O44" s="22">
        <v>5146305770</v>
      </c>
      <c r="Q44" s="22">
        <v>57502122</v>
      </c>
    </row>
    <row r="45" spans="1:17" ht="18.75" x14ac:dyDescent="0.45">
      <c r="A45" s="30" t="s">
        <v>64</v>
      </c>
      <c r="J45" s="23"/>
      <c r="K45" s="22">
        <v>35000</v>
      </c>
      <c r="M45" s="22">
        <v>577543050</v>
      </c>
      <c r="O45" s="22">
        <v>681472976</v>
      </c>
      <c r="Q45" s="22">
        <v>-103929926</v>
      </c>
    </row>
    <row r="46" spans="1:17" ht="18.75" x14ac:dyDescent="0.45">
      <c r="A46" s="30" t="s">
        <v>200</v>
      </c>
      <c r="J46" s="23"/>
      <c r="K46" s="22">
        <v>2314570</v>
      </c>
      <c r="M46" s="22">
        <v>8184392109</v>
      </c>
      <c r="O46" s="22">
        <v>9895062325</v>
      </c>
      <c r="Q46" s="22">
        <v>-1710670216</v>
      </c>
    </row>
    <row r="47" spans="1:17" ht="18.75" x14ac:dyDescent="0.45">
      <c r="A47" s="30" t="s">
        <v>66</v>
      </c>
      <c r="J47" s="23"/>
      <c r="K47" s="22">
        <v>1801315</v>
      </c>
      <c r="M47" s="22">
        <v>14884308898</v>
      </c>
      <c r="O47" s="22">
        <v>11715091088</v>
      </c>
      <c r="Q47" s="22">
        <v>3169217810</v>
      </c>
    </row>
    <row r="48" spans="1:17" ht="18.75" x14ac:dyDescent="0.45">
      <c r="A48" s="30" t="s">
        <v>67</v>
      </c>
      <c r="J48" s="23"/>
      <c r="K48" s="22">
        <v>658143</v>
      </c>
      <c r="M48" s="22">
        <v>2188610744</v>
      </c>
      <c r="O48" s="22">
        <v>2435671751</v>
      </c>
      <c r="Q48" s="22">
        <v>-247061007</v>
      </c>
    </row>
    <row r="49" spans="1:17" ht="18.75" x14ac:dyDescent="0.45">
      <c r="A49" s="30" t="s">
        <v>68</v>
      </c>
      <c r="J49" s="23"/>
      <c r="K49" s="22">
        <v>38296</v>
      </c>
      <c r="M49" s="22">
        <v>591214081</v>
      </c>
      <c r="O49" s="22">
        <v>631437796</v>
      </c>
      <c r="Q49" s="22">
        <v>-40223715</v>
      </c>
    </row>
    <row r="50" spans="1:17" ht="18.75" x14ac:dyDescent="0.45">
      <c r="A50" s="30" t="s">
        <v>201</v>
      </c>
      <c r="J50" s="23"/>
      <c r="K50" s="22">
        <v>1321759</v>
      </c>
      <c r="M50" s="22">
        <v>10867433600</v>
      </c>
      <c r="O50" s="22">
        <v>11085824944</v>
      </c>
      <c r="Q50" s="22">
        <v>-218391344</v>
      </c>
    </row>
    <row r="51" spans="1:17" ht="18.75" x14ac:dyDescent="0.45">
      <c r="A51" s="30" t="s">
        <v>185</v>
      </c>
      <c r="J51" s="23"/>
      <c r="K51" s="22">
        <v>339909</v>
      </c>
      <c r="M51" s="22">
        <v>23090542752</v>
      </c>
      <c r="O51" s="22">
        <v>25355328754</v>
      </c>
      <c r="Q51" s="22">
        <v>-2264786002</v>
      </c>
    </row>
    <row r="52" spans="1:17" ht="18.75" x14ac:dyDescent="0.45">
      <c r="A52" s="30" t="s">
        <v>72</v>
      </c>
      <c r="C52" s="22">
        <v>305861</v>
      </c>
      <c r="E52" s="22">
        <v>2015792683</v>
      </c>
      <c r="G52" s="22">
        <v>1576825953</v>
      </c>
      <c r="I52" s="22">
        <v>438966730</v>
      </c>
      <c r="K52" s="22">
        <v>305861</v>
      </c>
      <c r="M52" s="22">
        <v>2015792683</v>
      </c>
      <c r="O52" s="22">
        <v>1576825953</v>
      </c>
      <c r="Q52" s="22">
        <v>438966730</v>
      </c>
    </row>
    <row r="53" spans="1:17" ht="18.75" x14ac:dyDescent="0.45">
      <c r="A53" s="30" t="s">
        <v>73</v>
      </c>
      <c r="J53" s="23"/>
      <c r="K53" s="22">
        <v>1000000</v>
      </c>
      <c r="M53" s="22">
        <v>6875546106</v>
      </c>
      <c r="O53" s="22">
        <v>7583209186</v>
      </c>
      <c r="Q53" s="22">
        <v>-707663080</v>
      </c>
    </row>
    <row r="54" spans="1:17" ht="18.75" x14ac:dyDescent="0.45">
      <c r="A54" s="30" t="s">
        <v>74</v>
      </c>
      <c r="J54" s="23"/>
      <c r="K54" s="22">
        <v>600000</v>
      </c>
      <c r="M54" s="22">
        <v>4437439221</v>
      </c>
      <c r="O54" s="22">
        <v>3946278339</v>
      </c>
      <c r="Q54" s="22">
        <v>491160882</v>
      </c>
    </row>
    <row r="55" spans="1:17" ht="18.75" x14ac:dyDescent="0.45">
      <c r="A55" s="30" t="s">
        <v>75</v>
      </c>
      <c r="C55" s="22">
        <v>3400000</v>
      </c>
      <c r="E55" s="22">
        <v>16982151508</v>
      </c>
      <c r="G55" s="22">
        <v>12074967264</v>
      </c>
      <c r="I55" s="22">
        <v>4907184244</v>
      </c>
      <c r="K55" s="22">
        <v>3400000</v>
      </c>
      <c r="M55" s="22">
        <v>16982151508</v>
      </c>
      <c r="O55" s="22">
        <v>12074967264</v>
      </c>
      <c r="Q55" s="22">
        <v>4907184244</v>
      </c>
    </row>
    <row r="56" spans="1:17" ht="18.75" x14ac:dyDescent="0.45">
      <c r="A56" s="30" t="s">
        <v>76</v>
      </c>
      <c r="J56" s="23"/>
      <c r="K56" s="22">
        <v>7693660</v>
      </c>
      <c r="M56" s="22">
        <v>2799125244</v>
      </c>
      <c r="O56" s="22">
        <v>7504231023</v>
      </c>
      <c r="Q56" s="22">
        <v>-4705105779</v>
      </c>
    </row>
    <row r="57" spans="1:17" ht="18.75" x14ac:dyDescent="0.45">
      <c r="A57" s="30" t="s">
        <v>77</v>
      </c>
      <c r="J57" s="23"/>
      <c r="K57" s="22">
        <v>386808</v>
      </c>
      <c r="M57" s="22">
        <v>14465424379</v>
      </c>
      <c r="O57" s="22">
        <v>15201393776</v>
      </c>
      <c r="Q57" s="22">
        <v>-735969397</v>
      </c>
    </row>
    <row r="58" spans="1:17" ht="18.75" x14ac:dyDescent="0.45">
      <c r="A58" s="30" t="s">
        <v>186</v>
      </c>
      <c r="J58" s="23"/>
      <c r="K58" s="22">
        <v>1056335</v>
      </c>
      <c r="M58" s="22">
        <v>12282594884</v>
      </c>
      <c r="O58" s="22">
        <v>15393714997</v>
      </c>
      <c r="Q58" s="22">
        <v>-3111120113</v>
      </c>
    </row>
    <row r="59" spans="1:17" ht="18.75" x14ac:dyDescent="0.45">
      <c r="A59" s="30" t="s">
        <v>78</v>
      </c>
      <c r="C59" s="22">
        <v>1400000</v>
      </c>
      <c r="E59" s="22">
        <v>9310272350</v>
      </c>
      <c r="G59" s="22">
        <v>17214897050</v>
      </c>
      <c r="I59" s="22">
        <v>-7904624700</v>
      </c>
      <c r="K59" s="22">
        <v>1600000</v>
      </c>
      <c r="M59" s="22">
        <v>11594599273</v>
      </c>
      <c r="O59" s="22">
        <v>19668456073</v>
      </c>
      <c r="Q59" s="22">
        <v>-8073856800</v>
      </c>
    </row>
    <row r="60" spans="1:17" ht="18.75" x14ac:dyDescent="0.45">
      <c r="A60" s="30" t="s">
        <v>79</v>
      </c>
      <c r="J60" s="23"/>
      <c r="K60" s="22">
        <v>800000</v>
      </c>
      <c r="M60" s="22">
        <v>3950752397</v>
      </c>
      <c r="O60" s="22">
        <v>6280499055</v>
      </c>
      <c r="Q60" s="22">
        <v>-2329746658</v>
      </c>
    </row>
    <row r="61" spans="1:17" ht="18.75" x14ac:dyDescent="0.45">
      <c r="A61" s="30" t="s">
        <v>80</v>
      </c>
      <c r="J61" s="23"/>
      <c r="K61" s="22">
        <v>761810</v>
      </c>
      <c r="M61" s="22">
        <v>28600817933</v>
      </c>
      <c r="O61" s="22">
        <v>29726112353</v>
      </c>
      <c r="Q61" s="22">
        <v>-1125294420</v>
      </c>
    </row>
    <row r="62" spans="1:17" ht="18.75" x14ac:dyDescent="0.45">
      <c r="A62" s="30" t="s">
        <v>81</v>
      </c>
      <c r="J62" s="23"/>
      <c r="K62" s="22">
        <v>144296</v>
      </c>
      <c r="M62" s="22">
        <v>2350939639</v>
      </c>
      <c r="O62" s="22">
        <v>2419300283</v>
      </c>
      <c r="Q62" s="22">
        <v>-68360644</v>
      </c>
    </row>
    <row r="63" spans="1:17" ht="18.75" x14ac:dyDescent="0.45">
      <c r="A63" s="30" t="s">
        <v>82</v>
      </c>
      <c r="J63" s="23"/>
      <c r="K63" s="22">
        <v>312154</v>
      </c>
      <c r="M63" s="22">
        <v>6579642127</v>
      </c>
      <c r="O63" s="22">
        <v>8516994630</v>
      </c>
      <c r="Q63" s="22">
        <v>-1937352503</v>
      </c>
    </row>
    <row r="64" spans="1:17" ht="18.75" x14ac:dyDescent="0.45">
      <c r="A64" s="30" t="s">
        <v>202</v>
      </c>
      <c r="J64" s="23"/>
      <c r="K64" s="22">
        <v>499494</v>
      </c>
      <c r="M64" s="22">
        <v>3872871706</v>
      </c>
      <c r="O64" s="22">
        <v>4281452809</v>
      </c>
      <c r="Q64" s="22">
        <v>-408581103</v>
      </c>
    </row>
    <row r="65" spans="1:17" ht="18.75" x14ac:dyDescent="0.45">
      <c r="A65" s="30" t="s">
        <v>84</v>
      </c>
      <c r="C65" s="22">
        <v>1207571</v>
      </c>
      <c r="E65" s="22">
        <v>39950057749</v>
      </c>
      <c r="G65" s="22">
        <v>30337376601</v>
      </c>
      <c r="I65" s="22">
        <v>9612681148</v>
      </c>
      <c r="K65" s="22">
        <v>1436368</v>
      </c>
      <c r="M65" s="22">
        <v>51677133734</v>
      </c>
      <c r="O65" s="22">
        <v>40695107898</v>
      </c>
      <c r="Q65" s="22">
        <v>10982025836</v>
      </c>
    </row>
    <row r="66" spans="1:17" ht="37.5" x14ac:dyDescent="0.45">
      <c r="A66" s="30" t="s">
        <v>85</v>
      </c>
      <c r="J66" s="23"/>
      <c r="K66" s="22">
        <v>13521106</v>
      </c>
      <c r="M66" s="22">
        <v>37916819394</v>
      </c>
      <c r="O66" s="22">
        <v>44689301262</v>
      </c>
      <c r="Q66" s="22">
        <v>-6772481868</v>
      </c>
    </row>
    <row r="67" spans="1:17" ht="18.75" x14ac:dyDescent="0.45">
      <c r="A67" s="30" t="s">
        <v>86</v>
      </c>
      <c r="C67" s="22">
        <v>193502</v>
      </c>
      <c r="E67" s="22">
        <v>876591888</v>
      </c>
      <c r="G67" s="22">
        <v>1148857078</v>
      </c>
      <c r="I67" s="22">
        <v>-272265190</v>
      </c>
      <c r="K67" s="22">
        <v>8391608</v>
      </c>
      <c r="M67" s="22">
        <v>38328377312</v>
      </c>
      <c r="O67" s="22">
        <v>49820649995</v>
      </c>
      <c r="Q67" s="22">
        <v>-11492272683</v>
      </c>
    </row>
    <row r="68" spans="1:17" ht="18.75" x14ac:dyDescent="0.45">
      <c r="A68" s="25" t="s">
        <v>87</v>
      </c>
      <c r="C68" s="25">
        <f>SUM(C9:$C$67)</f>
        <v>16552103</v>
      </c>
      <c r="E68" s="25">
        <f>SUM(E9:$E$67)</f>
        <v>331914165299</v>
      </c>
      <c r="G68" s="25">
        <f>SUM(G9:$G$67)</f>
        <v>310792107546</v>
      </c>
      <c r="I68" s="25">
        <f>SUM(I9:$I$67)</f>
        <v>21122057753</v>
      </c>
      <c r="K68" s="25">
        <f>SUM(K9:$K$67)</f>
        <v>187386287</v>
      </c>
      <c r="M68" s="25">
        <f>SUM(M9:$M$67)</f>
        <v>1213090921497</v>
      </c>
      <c r="O68" s="25">
        <f>SUM(O9:$O$67)</f>
        <v>1336702013872</v>
      </c>
      <c r="Q68" s="25">
        <f>SUM(Q9:$Q$67)</f>
        <v>-123611092375</v>
      </c>
    </row>
    <row r="69" spans="1:17" ht="18.75" x14ac:dyDescent="0.45">
      <c r="C69" s="27"/>
      <c r="E69" s="27"/>
      <c r="G69" s="27"/>
      <c r="I69" s="27"/>
      <c r="K69" s="27"/>
      <c r="M69" s="27"/>
      <c r="O69" s="27"/>
      <c r="Q69" s="27"/>
    </row>
    <row r="71" spans="1:17" ht="18.75" x14ac:dyDescent="0.45">
      <c r="A71" s="32" t="s">
        <v>203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4"/>
    </row>
  </sheetData>
  <mergeCells count="7">
    <mergeCell ref="A71:Q71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7" fitToHeight="0" orientation="landscape" r:id="rId1"/>
  <rowBreaks count="3" manualBreakCount="3">
    <brk id="21" max="16383" man="1"/>
    <brk id="38" max="16383" man="1"/>
    <brk id="5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83"/>
  <sheetViews>
    <sheetView rightToLeft="1" view="pageBreakPreview" topLeftCell="A46" zoomScale="60" zoomScaleNormal="100" workbookViewId="0">
      <selection sqref="A1:W1"/>
    </sheetView>
  </sheetViews>
  <sheetFormatPr defaultRowHeight="18" x14ac:dyDescent="0.45"/>
  <cols>
    <col min="1" max="1" width="20.42578125" style="13" bestFit="1" customWidth="1"/>
    <col min="2" max="2" width="1.42578125" style="13" customWidth="1"/>
    <col min="3" max="3" width="13.42578125" style="13" bestFit="1" customWidth="1"/>
    <col min="4" max="4" width="1.42578125" style="13" customWidth="1"/>
    <col min="5" max="5" width="19.7109375" style="13" bestFit="1" customWidth="1"/>
    <col min="6" max="6" width="1.42578125" style="13" customWidth="1"/>
    <col min="7" max="7" width="19.140625" style="13" bestFit="1" customWidth="1"/>
    <col min="8" max="8" width="1.42578125" style="13" customWidth="1"/>
    <col min="9" max="9" width="18" style="13" bestFit="1" customWidth="1"/>
    <col min="10" max="10" width="1.42578125" style="13" customWidth="1"/>
    <col min="11" max="11" width="13.42578125" style="13" bestFit="1" customWidth="1"/>
    <col min="12" max="12" width="1.42578125" style="13" customWidth="1"/>
    <col min="13" max="13" width="19.7109375" style="13" bestFit="1" customWidth="1"/>
    <col min="14" max="14" width="1.42578125" style="13" customWidth="1"/>
    <col min="15" max="15" width="19.7109375" style="13" bestFit="1" customWidth="1"/>
    <col min="16" max="16" width="1.42578125" style="13" customWidth="1"/>
    <col min="17" max="17" width="17.7109375" style="13" bestFit="1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204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134</v>
      </c>
      <c r="D7" s="16"/>
      <c r="E7" s="16"/>
      <c r="F7" s="16"/>
      <c r="G7" s="16"/>
      <c r="H7" s="16"/>
      <c r="I7" s="16"/>
      <c r="K7" s="15" t="s">
        <v>7</v>
      </c>
      <c r="L7" s="16"/>
      <c r="M7" s="16"/>
      <c r="N7" s="16"/>
      <c r="O7" s="16"/>
      <c r="P7" s="16"/>
      <c r="Q7" s="16"/>
    </row>
    <row r="8" spans="1:17" ht="42" x14ac:dyDescent="0.45">
      <c r="A8" s="31" t="s">
        <v>124</v>
      </c>
      <c r="C8" s="29" t="s">
        <v>9</v>
      </c>
      <c r="E8" s="29" t="s">
        <v>11</v>
      </c>
      <c r="G8" s="29" t="s">
        <v>194</v>
      </c>
      <c r="I8" s="29" t="s">
        <v>205</v>
      </c>
      <c r="K8" s="29" t="s">
        <v>9</v>
      </c>
      <c r="M8" s="29" t="s">
        <v>11</v>
      </c>
      <c r="O8" s="29" t="s">
        <v>194</v>
      </c>
      <c r="Q8" s="29" t="s">
        <v>205</v>
      </c>
    </row>
    <row r="9" spans="1:17" ht="18.75" x14ac:dyDescent="0.45">
      <c r="A9" s="30" t="s">
        <v>17</v>
      </c>
      <c r="C9" s="22">
        <v>50000</v>
      </c>
      <c r="E9" s="22">
        <v>1322086500</v>
      </c>
      <c r="G9" s="22">
        <v>1088484750</v>
      </c>
      <c r="I9" s="22">
        <v>233601750</v>
      </c>
      <c r="K9" s="22">
        <v>50000</v>
      </c>
      <c r="M9" s="22">
        <v>1322086500</v>
      </c>
      <c r="O9" s="22">
        <v>1187889750</v>
      </c>
      <c r="Q9" s="22">
        <v>134196750</v>
      </c>
    </row>
    <row r="10" spans="1:17" ht="18.75" x14ac:dyDescent="0.45">
      <c r="A10" s="30" t="s">
        <v>18</v>
      </c>
      <c r="C10" s="22">
        <v>9200000</v>
      </c>
      <c r="E10" s="22">
        <v>36983431440</v>
      </c>
      <c r="G10" s="22">
        <v>33590539980</v>
      </c>
      <c r="I10" s="22">
        <v>3392891460</v>
      </c>
      <c r="K10" s="22">
        <v>9200000</v>
      </c>
      <c r="M10" s="22">
        <v>36983431440</v>
      </c>
      <c r="O10" s="22">
        <v>34347755845</v>
      </c>
      <c r="Q10" s="22">
        <v>2635675595</v>
      </c>
    </row>
    <row r="11" spans="1:17" ht="18.75" x14ac:dyDescent="0.45">
      <c r="A11" s="30" t="s">
        <v>19</v>
      </c>
      <c r="C11" s="22">
        <v>1895580</v>
      </c>
      <c r="E11" s="22">
        <v>16186148158</v>
      </c>
      <c r="G11" s="22">
        <v>14433747950</v>
      </c>
      <c r="I11" s="22">
        <v>1752400208</v>
      </c>
      <c r="K11" s="22">
        <v>1895580</v>
      </c>
      <c r="M11" s="22">
        <v>16186148158</v>
      </c>
      <c r="O11" s="22">
        <v>17637060159</v>
      </c>
      <c r="Q11" s="22">
        <v>-1450912001</v>
      </c>
    </row>
    <row r="12" spans="1:17" ht="18.75" x14ac:dyDescent="0.45">
      <c r="A12" s="30" t="s">
        <v>20</v>
      </c>
      <c r="C12" s="22">
        <v>1950000</v>
      </c>
      <c r="E12" s="22">
        <v>10318089892</v>
      </c>
      <c r="G12" s="22">
        <v>10414772629</v>
      </c>
      <c r="I12" s="22">
        <v>-96682737</v>
      </c>
      <c r="K12" s="22">
        <v>1950000</v>
      </c>
      <c r="M12" s="22">
        <v>10318089892</v>
      </c>
      <c r="O12" s="22">
        <v>10414772629</v>
      </c>
      <c r="Q12" s="22">
        <v>-96682737</v>
      </c>
    </row>
    <row r="13" spans="1:17" ht="18.75" x14ac:dyDescent="0.45">
      <c r="A13" s="30" t="s">
        <v>21</v>
      </c>
      <c r="C13" s="22">
        <v>1664464</v>
      </c>
      <c r="E13" s="22">
        <v>24671150709</v>
      </c>
      <c r="G13" s="22">
        <v>16771884094</v>
      </c>
      <c r="I13" s="22">
        <v>7899266615</v>
      </c>
      <c r="K13" s="22">
        <v>1664464</v>
      </c>
      <c r="M13" s="22">
        <v>24671150709</v>
      </c>
      <c r="O13" s="22">
        <v>23074802770</v>
      </c>
      <c r="Q13" s="22">
        <v>1596347939</v>
      </c>
    </row>
    <row r="14" spans="1:17" ht="18.75" x14ac:dyDescent="0.45">
      <c r="A14" s="30" t="s">
        <v>22</v>
      </c>
      <c r="C14" s="22">
        <v>727007</v>
      </c>
      <c r="E14" s="22">
        <v>10053219680</v>
      </c>
      <c r="G14" s="22">
        <v>9351638821</v>
      </c>
      <c r="I14" s="22">
        <v>701580859</v>
      </c>
      <c r="K14" s="22">
        <v>727007</v>
      </c>
      <c r="M14" s="22">
        <v>10053219680</v>
      </c>
      <c r="O14" s="22">
        <v>9351638821</v>
      </c>
      <c r="Q14" s="22">
        <v>701580859</v>
      </c>
    </row>
    <row r="15" spans="1:17" ht="18.75" x14ac:dyDescent="0.45">
      <c r="A15" s="30" t="s">
        <v>23</v>
      </c>
      <c r="C15" s="22">
        <v>22000000</v>
      </c>
      <c r="E15" s="22">
        <v>53885462400</v>
      </c>
      <c r="G15" s="22">
        <v>47215386900</v>
      </c>
      <c r="I15" s="22">
        <v>6670075500</v>
      </c>
      <c r="K15" s="22">
        <v>22000000</v>
      </c>
      <c r="M15" s="22">
        <v>53885462400</v>
      </c>
      <c r="O15" s="22">
        <v>40077157120</v>
      </c>
      <c r="Q15" s="22">
        <v>13808305280</v>
      </c>
    </row>
    <row r="16" spans="1:17" ht="18.75" x14ac:dyDescent="0.45">
      <c r="A16" s="30" t="s">
        <v>24</v>
      </c>
      <c r="C16" s="22">
        <v>4693440</v>
      </c>
      <c r="E16" s="22">
        <v>12979460037</v>
      </c>
      <c r="G16" s="22">
        <v>13189408168</v>
      </c>
      <c r="I16" s="22">
        <v>-209948131</v>
      </c>
      <c r="K16" s="22">
        <v>4693440</v>
      </c>
      <c r="M16" s="22">
        <v>12979460037</v>
      </c>
      <c r="O16" s="22">
        <v>14030262999</v>
      </c>
      <c r="Q16" s="22">
        <v>-1050802962</v>
      </c>
    </row>
    <row r="17" spans="1:17" ht="18.75" x14ac:dyDescent="0.45">
      <c r="A17" s="30" t="s">
        <v>25</v>
      </c>
      <c r="C17" s="22">
        <v>1562500</v>
      </c>
      <c r="E17" s="22">
        <v>3931157109</v>
      </c>
      <c r="G17" s="22">
        <v>3437238516</v>
      </c>
      <c r="I17" s="22">
        <v>493918593</v>
      </c>
      <c r="K17" s="22">
        <v>1562500</v>
      </c>
      <c r="M17" s="22">
        <v>3931157109</v>
      </c>
      <c r="O17" s="22">
        <v>3937321845</v>
      </c>
      <c r="Q17" s="22">
        <v>-6164736</v>
      </c>
    </row>
    <row r="18" spans="1:17" ht="37.5" x14ac:dyDescent="0.45">
      <c r="A18" s="30" t="s">
        <v>26</v>
      </c>
      <c r="C18" s="22">
        <v>5317185</v>
      </c>
      <c r="E18" s="22">
        <v>15507797096</v>
      </c>
      <c r="G18" s="22">
        <v>14662109456</v>
      </c>
      <c r="I18" s="22">
        <v>845687640</v>
      </c>
      <c r="K18" s="22">
        <v>5317185</v>
      </c>
      <c r="M18" s="22">
        <v>15507797096</v>
      </c>
      <c r="O18" s="22">
        <v>16913752798</v>
      </c>
      <c r="Q18" s="22">
        <v>-1405955702</v>
      </c>
    </row>
    <row r="19" spans="1:17" ht="18.75" x14ac:dyDescent="0.45">
      <c r="A19" s="30" t="s">
        <v>27</v>
      </c>
      <c r="C19" s="22">
        <v>14760521</v>
      </c>
      <c r="E19" s="22">
        <v>68521489853</v>
      </c>
      <c r="G19" s="22">
        <v>62441319906</v>
      </c>
      <c r="I19" s="22">
        <v>6080169947</v>
      </c>
      <c r="K19" s="22">
        <v>14760521</v>
      </c>
      <c r="M19" s="22">
        <v>68521489853</v>
      </c>
      <c r="O19" s="22">
        <v>71176971001</v>
      </c>
      <c r="Q19" s="22">
        <v>-2655481148</v>
      </c>
    </row>
    <row r="20" spans="1:17" ht="18.75" x14ac:dyDescent="0.45">
      <c r="A20" s="30" t="s">
        <v>28</v>
      </c>
      <c r="C20" s="22">
        <v>23094030</v>
      </c>
      <c r="E20" s="22">
        <v>119259643609</v>
      </c>
      <c r="G20" s="22">
        <v>111650200368</v>
      </c>
      <c r="I20" s="22">
        <v>7609443241</v>
      </c>
      <c r="K20" s="22">
        <v>23094030</v>
      </c>
      <c r="M20" s="22">
        <v>119259643609</v>
      </c>
      <c r="O20" s="22">
        <v>91702157679</v>
      </c>
      <c r="Q20" s="22">
        <v>27557485930</v>
      </c>
    </row>
    <row r="21" spans="1:17" ht="18.75" x14ac:dyDescent="0.45">
      <c r="A21" s="30" t="s">
        <v>148</v>
      </c>
      <c r="C21" s="22">
        <v>2845363</v>
      </c>
      <c r="E21" s="22">
        <v>34789727009</v>
      </c>
      <c r="G21" s="22">
        <v>29274282483</v>
      </c>
      <c r="I21" s="22">
        <v>5515444526</v>
      </c>
      <c r="K21" s="22">
        <v>2845363</v>
      </c>
      <c r="M21" s="22">
        <v>34789727009</v>
      </c>
      <c r="O21" s="22">
        <v>28777678147</v>
      </c>
      <c r="Q21" s="22">
        <v>6012048862</v>
      </c>
    </row>
    <row r="22" spans="1:17" ht="18.75" x14ac:dyDescent="0.45">
      <c r="A22" s="30" t="s">
        <v>30</v>
      </c>
      <c r="C22" s="22">
        <v>2139629</v>
      </c>
      <c r="E22" s="22">
        <v>44877552177</v>
      </c>
      <c r="G22" s="22">
        <v>39113658035</v>
      </c>
      <c r="I22" s="22">
        <v>5763894142</v>
      </c>
      <c r="K22" s="22">
        <v>2139629</v>
      </c>
      <c r="M22" s="22">
        <v>44877552177</v>
      </c>
      <c r="O22" s="22">
        <v>49237693502</v>
      </c>
      <c r="Q22" s="22">
        <v>-4360141325</v>
      </c>
    </row>
    <row r="23" spans="1:17" ht="37.5" x14ac:dyDescent="0.45">
      <c r="A23" s="30" t="s">
        <v>31</v>
      </c>
      <c r="C23" s="22">
        <v>842177</v>
      </c>
      <c r="E23" s="22">
        <v>8949305041</v>
      </c>
      <c r="G23" s="22">
        <v>9024649985</v>
      </c>
      <c r="I23" s="22">
        <v>-75344944</v>
      </c>
      <c r="K23" s="22">
        <v>842177</v>
      </c>
      <c r="M23" s="22">
        <v>8949305041</v>
      </c>
      <c r="O23" s="22">
        <v>11854419019</v>
      </c>
      <c r="Q23" s="22">
        <v>-2905113978</v>
      </c>
    </row>
    <row r="24" spans="1:17" ht="37.5" x14ac:dyDescent="0.45">
      <c r="A24" s="30" t="s">
        <v>32</v>
      </c>
      <c r="C24" s="22">
        <v>4000461</v>
      </c>
      <c r="E24" s="22">
        <v>61797269315</v>
      </c>
      <c r="G24" s="22">
        <v>57037409541</v>
      </c>
      <c r="I24" s="22">
        <v>4759859774</v>
      </c>
      <c r="K24" s="22">
        <v>4000461</v>
      </c>
      <c r="M24" s="22">
        <v>61797269315</v>
      </c>
      <c r="O24" s="22">
        <v>57216754542</v>
      </c>
      <c r="Q24" s="22">
        <v>4580514773</v>
      </c>
    </row>
    <row r="25" spans="1:17" ht="18.75" x14ac:dyDescent="0.45">
      <c r="A25" s="30" t="s">
        <v>33</v>
      </c>
      <c r="C25" s="22">
        <v>0</v>
      </c>
      <c r="E25" s="22">
        <v>0</v>
      </c>
      <c r="G25" s="22">
        <v>-2877495205</v>
      </c>
      <c r="I25" s="22">
        <v>2877495205</v>
      </c>
    </row>
    <row r="26" spans="1:17" ht="18.75" x14ac:dyDescent="0.45">
      <c r="A26" s="30" t="s">
        <v>34</v>
      </c>
      <c r="C26" s="22">
        <v>25806527</v>
      </c>
      <c r="E26" s="22">
        <v>43584409901</v>
      </c>
      <c r="G26" s="22">
        <v>41092176851</v>
      </c>
      <c r="I26" s="22">
        <v>2492233050</v>
      </c>
      <c r="K26" s="22">
        <v>25806527</v>
      </c>
      <c r="M26" s="22">
        <v>43584409901</v>
      </c>
      <c r="O26" s="22">
        <v>45814557710</v>
      </c>
      <c r="Q26" s="22">
        <v>-2230147809</v>
      </c>
    </row>
    <row r="27" spans="1:17" ht="18.75" x14ac:dyDescent="0.45">
      <c r="A27" s="30" t="s">
        <v>35</v>
      </c>
      <c r="C27" s="22">
        <v>1800000</v>
      </c>
      <c r="E27" s="22">
        <v>23403913200</v>
      </c>
      <c r="G27" s="22">
        <v>19556939700</v>
      </c>
      <c r="I27" s="22">
        <v>3846973500</v>
      </c>
      <c r="K27" s="22">
        <v>1800000</v>
      </c>
      <c r="M27" s="22">
        <v>23403913200</v>
      </c>
      <c r="O27" s="22">
        <v>19473665998</v>
      </c>
      <c r="Q27" s="22">
        <v>3930247202</v>
      </c>
    </row>
    <row r="28" spans="1:17" ht="18.75" x14ac:dyDescent="0.45">
      <c r="A28" s="30" t="s">
        <v>36</v>
      </c>
      <c r="C28" s="22">
        <v>3929304</v>
      </c>
      <c r="E28" s="22">
        <v>67142844582</v>
      </c>
      <c r="G28" s="22">
        <v>58823225096</v>
      </c>
      <c r="I28" s="22">
        <v>8319619486</v>
      </c>
      <c r="K28" s="22">
        <v>3929304</v>
      </c>
      <c r="M28" s="22">
        <v>67142844582</v>
      </c>
      <c r="O28" s="22">
        <v>61748733716</v>
      </c>
      <c r="Q28" s="22">
        <v>5394110866</v>
      </c>
    </row>
    <row r="29" spans="1:17" ht="18.75" x14ac:dyDescent="0.45">
      <c r="A29" s="30" t="s">
        <v>37</v>
      </c>
      <c r="C29" s="22">
        <v>3273715</v>
      </c>
      <c r="E29" s="22">
        <v>83861671918</v>
      </c>
      <c r="G29" s="22">
        <v>74945064194</v>
      </c>
      <c r="I29" s="22">
        <v>8916607724</v>
      </c>
      <c r="K29" s="22">
        <v>3273715</v>
      </c>
      <c r="M29" s="22">
        <v>83861671918</v>
      </c>
      <c r="O29" s="22">
        <v>97562007145</v>
      </c>
      <c r="Q29" s="22">
        <v>-13700335227</v>
      </c>
    </row>
    <row r="30" spans="1:17" ht="18.75" x14ac:dyDescent="0.45">
      <c r="A30" s="30" t="s">
        <v>38</v>
      </c>
      <c r="C30" s="22">
        <v>614525</v>
      </c>
      <c r="E30" s="22">
        <v>63835766218</v>
      </c>
      <c r="G30" s="22">
        <v>55191975864</v>
      </c>
      <c r="I30" s="22">
        <v>8643790354</v>
      </c>
      <c r="K30" s="22">
        <v>614525</v>
      </c>
      <c r="M30" s="22">
        <v>63835766218</v>
      </c>
      <c r="O30" s="22">
        <v>62917039353</v>
      </c>
      <c r="Q30" s="22">
        <v>918726865</v>
      </c>
    </row>
    <row r="31" spans="1:17" ht="18.75" x14ac:dyDescent="0.45">
      <c r="A31" s="30" t="s">
        <v>39</v>
      </c>
      <c r="C31" s="22">
        <v>341342</v>
      </c>
      <c r="E31" s="22">
        <v>17762931640</v>
      </c>
      <c r="G31" s="22">
        <v>44831744922</v>
      </c>
      <c r="I31" s="22">
        <v>-27068813282</v>
      </c>
      <c r="K31" s="22">
        <v>341342</v>
      </c>
      <c r="M31" s="22">
        <v>17762931640</v>
      </c>
      <c r="O31" s="22">
        <v>12685589296</v>
      </c>
      <c r="Q31" s="22">
        <v>5077342344</v>
      </c>
    </row>
    <row r="32" spans="1:17" ht="18.75" x14ac:dyDescent="0.45">
      <c r="A32" s="30" t="s">
        <v>40</v>
      </c>
      <c r="C32" s="22">
        <v>7048964</v>
      </c>
      <c r="E32" s="22">
        <v>25344400976</v>
      </c>
      <c r="G32" s="22">
        <v>21203250582</v>
      </c>
      <c r="I32" s="22">
        <v>4141150394</v>
      </c>
      <c r="K32" s="22">
        <v>7048964</v>
      </c>
      <c r="M32" s="22">
        <v>25344400976</v>
      </c>
      <c r="O32" s="22">
        <v>19951752189</v>
      </c>
      <c r="Q32" s="22">
        <v>5392648787</v>
      </c>
    </row>
    <row r="33" spans="1:17" ht="18.75" x14ac:dyDescent="0.45">
      <c r="A33" s="30" t="s">
        <v>41</v>
      </c>
      <c r="C33" s="22">
        <v>6986817</v>
      </c>
      <c r="E33" s="22">
        <v>35281846829</v>
      </c>
      <c r="G33" s="22">
        <v>30614641894</v>
      </c>
      <c r="I33" s="22">
        <v>4667204935</v>
      </c>
      <c r="K33" s="22">
        <v>6986817</v>
      </c>
      <c r="M33" s="22">
        <v>35281846829</v>
      </c>
      <c r="O33" s="22">
        <v>30251299150</v>
      </c>
      <c r="Q33" s="22">
        <v>5030547679</v>
      </c>
    </row>
    <row r="34" spans="1:17" ht="18.75" x14ac:dyDescent="0.45">
      <c r="A34" s="30" t="s">
        <v>42</v>
      </c>
      <c r="C34" s="22">
        <v>1200000</v>
      </c>
      <c r="E34" s="22">
        <v>14696035200</v>
      </c>
      <c r="G34" s="22">
        <v>13610532600</v>
      </c>
      <c r="I34" s="22">
        <v>1085502600</v>
      </c>
      <c r="K34" s="22">
        <v>1200000</v>
      </c>
      <c r="M34" s="22">
        <v>14696035200</v>
      </c>
      <c r="O34" s="22">
        <v>15324198878</v>
      </c>
      <c r="Q34" s="22">
        <v>-628163678</v>
      </c>
    </row>
    <row r="35" spans="1:17" ht="18.75" x14ac:dyDescent="0.45">
      <c r="A35" s="30" t="s">
        <v>43</v>
      </c>
      <c r="C35" s="22">
        <v>5641064</v>
      </c>
      <c r="E35" s="22">
        <v>22945888646</v>
      </c>
      <c r="G35" s="22">
        <v>18431851413</v>
      </c>
      <c r="I35" s="22">
        <v>4514037233</v>
      </c>
      <c r="K35" s="22">
        <v>5641064</v>
      </c>
      <c r="M35" s="22">
        <v>22945888646</v>
      </c>
      <c r="O35" s="22">
        <v>25082346020</v>
      </c>
      <c r="Q35" s="22">
        <v>-2136457374</v>
      </c>
    </row>
    <row r="36" spans="1:17" ht="18.75" x14ac:dyDescent="0.45">
      <c r="A36" s="30" t="s">
        <v>44</v>
      </c>
      <c r="C36" s="22">
        <v>5609058</v>
      </c>
      <c r="E36" s="22">
        <v>22046254951</v>
      </c>
      <c r="G36" s="22">
        <v>22142962695</v>
      </c>
      <c r="I36" s="22">
        <v>-96707744</v>
      </c>
      <c r="K36" s="22">
        <v>5609058</v>
      </c>
      <c r="M36" s="22">
        <v>22046254951</v>
      </c>
      <c r="O36" s="22">
        <v>39308572937</v>
      </c>
      <c r="Q36" s="22">
        <v>-17262317986</v>
      </c>
    </row>
    <row r="37" spans="1:17" ht="18.75" x14ac:dyDescent="0.45">
      <c r="A37" s="30" t="s">
        <v>45</v>
      </c>
      <c r="C37" s="22">
        <v>2029694</v>
      </c>
      <c r="E37" s="22">
        <v>69385859659</v>
      </c>
      <c r="G37" s="22">
        <v>58410021434</v>
      </c>
      <c r="I37" s="22">
        <v>10975838225</v>
      </c>
      <c r="K37" s="22">
        <v>2029694</v>
      </c>
      <c r="M37" s="22">
        <v>69385859659</v>
      </c>
      <c r="O37" s="22">
        <v>57340684255</v>
      </c>
      <c r="Q37" s="22">
        <v>12045175404</v>
      </c>
    </row>
    <row r="38" spans="1:17" ht="18.75" x14ac:dyDescent="0.45">
      <c r="A38" s="30" t="s">
        <v>46</v>
      </c>
      <c r="C38" s="22">
        <v>14512202</v>
      </c>
      <c r="E38" s="22">
        <v>86266609301</v>
      </c>
      <c r="G38" s="22">
        <v>74040913608</v>
      </c>
      <c r="I38" s="22">
        <v>12225695693</v>
      </c>
      <c r="K38" s="22">
        <v>14512202</v>
      </c>
      <c r="M38" s="22">
        <v>86266609301</v>
      </c>
      <c r="O38" s="22">
        <v>78868784718</v>
      </c>
      <c r="Q38" s="22">
        <v>7397824583</v>
      </c>
    </row>
    <row r="39" spans="1:17" ht="18.75" x14ac:dyDescent="0.45">
      <c r="A39" s="30" t="s">
        <v>47</v>
      </c>
      <c r="C39" s="22">
        <v>8351092</v>
      </c>
      <c r="E39" s="22">
        <v>52381852946</v>
      </c>
      <c r="G39" s="22">
        <v>45491688454</v>
      </c>
      <c r="I39" s="22">
        <v>6890164492</v>
      </c>
      <c r="K39" s="22">
        <v>8351092</v>
      </c>
      <c r="M39" s="22">
        <v>52381852946</v>
      </c>
      <c r="O39" s="22">
        <v>46857923736</v>
      </c>
      <c r="Q39" s="22">
        <v>5523929210</v>
      </c>
    </row>
    <row r="40" spans="1:17" ht="18.75" x14ac:dyDescent="0.45">
      <c r="A40" s="30" t="s">
        <v>48</v>
      </c>
      <c r="C40" s="22">
        <v>2653130</v>
      </c>
      <c r="E40" s="22">
        <v>28588807621</v>
      </c>
      <c r="G40" s="22">
        <v>28689547374</v>
      </c>
      <c r="I40" s="22">
        <v>-100739753</v>
      </c>
      <c r="K40" s="22">
        <v>2653130</v>
      </c>
      <c r="M40" s="22">
        <v>28588807621</v>
      </c>
      <c r="O40" s="22">
        <v>35436311361</v>
      </c>
      <c r="Q40" s="22">
        <v>-6847503740</v>
      </c>
    </row>
    <row r="41" spans="1:17" ht="18.75" x14ac:dyDescent="0.45">
      <c r="A41" s="30" t="s">
        <v>49</v>
      </c>
      <c r="C41" s="22">
        <v>17343799</v>
      </c>
      <c r="E41" s="22">
        <v>41153320306</v>
      </c>
      <c r="G41" s="22">
        <v>39308575743</v>
      </c>
      <c r="I41" s="22">
        <v>1844744563</v>
      </c>
      <c r="K41" s="22">
        <v>17343799</v>
      </c>
      <c r="M41" s="22">
        <v>41153320306</v>
      </c>
      <c r="O41" s="22">
        <v>54006151564</v>
      </c>
      <c r="Q41" s="22">
        <v>-12852831258</v>
      </c>
    </row>
    <row r="42" spans="1:17" ht="18.75" x14ac:dyDescent="0.45">
      <c r="A42" s="30" t="s">
        <v>50</v>
      </c>
      <c r="C42" s="22">
        <v>800000</v>
      </c>
      <c r="E42" s="22">
        <v>28747926000</v>
      </c>
      <c r="G42" s="22">
        <v>23157388800</v>
      </c>
      <c r="I42" s="22">
        <v>5590537200</v>
      </c>
      <c r="K42" s="22">
        <v>800000</v>
      </c>
      <c r="M42" s="22">
        <v>28747926000</v>
      </c>
      <c r="O42" s="22">
        <v>25875990584</v>
      </c>
      <c r="Q42" s="22">
        <v>2871935416</v>
      </c>
    </row>
    <row r="43" spans="1:17" ht="18.75" x14ac:dyDescent="0.45">
      <c r="A43" s="30" t="s">
        <v>51</v>
      </c>
      <c r="C43" s="22">
        <v>0</v>
      </c>
      <c r="E43" s="22">
        <v>0</v>
      </c>
      <c r="G43" s="22">
        <v>-145412479</v>
      </c>
      <c r="I43" s="22">
        <v>145412479</v>
      </c>
    </row>
    <row r="44" spans="1:17" ht="18.75" x14ac:dyDescent="0.45">
      <c r="A44" s="30" t="s">
        <v>52</v>
      </c>
      <c r="C44" s="22">
        <v>27221426</v>
      </c>
      <c r="E44" s="22">
        <v>30279534079</v>
      </c>
      <c r="G44" s="22">
        <v>27223352537</v>
      </c>
      <c r="I44" s="22">
        <v>3056181542</v>
      </c>
      <c r="K44" s="22">
        <v>27221426</v>
      </c>
      <c r="M44" s="22">
        <v>30279534079</v>
      </c>
      <c r="O44" s="22">
        <v>43209201302</v>
      </c>
      <c r="Q44" s="22">
        <v>-12929667223</v>
      </c>
    </row>
    <row r="45" spans="1:17" ht="18.75" x14ac:dyDescent="0.45">
      <c r="A45" s="30" t="s">
        <v>53</v>
      </c>
      <c r="C45" s="22">
        <v>10748510</v>
      </c>
      <c r="E45" s="22">
        <v>41562924262</v>
      </c>
      <c r="G45" s="22">
        <v>36654912980</v>
      </c>
      <c r="I45" s="22">
        <v>4908011282</v>
      </c>
      <c r="K45" s="22">
        <v>10748510</v>
      </c>
      <c r="M45" s="22">
        <v>41562924262</v>
      </c>
      <c r="O45" s="22">
        <v>50617180298</v>
      </c>
      <c r="Q45" s="22">
        <v>-9054256036</v>
      </c>
    </row>
    <row r="46" spans="1:17" ht="37.5" x14ac:dyDescent="0.45">
      <c r="A46" s="30" t="s">
        <v>103</v>
      </c>
      <c r="C46" s="22">
        <v>12810</v>
      </c>
      <c r="E46" s="22">
        <v>12807678187</v>
      </c>
      <c r="G46" s="22">
        <v>12775901437</v>
      </c>
      <c r="I46" s="22">
        <v>31776750</v>
      </c>
      <c r="K46" s="22">
        <v>12810</v>
      </c>
      <c r="M46" s="22">
        <v>12807678187</v>
      </c>
      <c r="O46" s="22">
        <v>12812321812</v>
      </c>
      <c r="Q46" s="22">
        <v>-4643625</v>
      </c>
    </row>
    <row r="47" spans="1:17" ht="18.75" x14ac:dyDescent="0.45">
      <c r="A47" s="30" t="s">
        <v>54</v>
      </c>
      <c r="C47" s="22">
        <v>15189799</v>
      </c>
      <c r="E47" s="22">
        <v>108715821811</v>
      </c>
      <c r="G47" s="22">
        <v>93314413721</v>
      </c>
      <c r="I47" s="22">
        <v>15401408090</v>
      </c>
      <c r="K47" s="22">
        <v>15189799</v>
      </c>
      <c r="M47" s="22">
        <v>108715821811</v>
      </c>
      <c r="O47" s="22">
        <v>111851085620</v>
      </c>
      <c r="Q47" s="22">
        <v>-3135263809</v>
      </c>
    </row>
    <row r="48" spans="1:17" ht="18.75" x14ac:dyDescent="0.45">
      <c r="A48" s="30" t="s">
        <v>55</v>
      </c>
      <c r="C48" s="22">
        <v>1315189</v>
      </c>
      <c r="E48" s="22">
        <v>29298018846</v>
      </c>
      <c r="G48" s="22">
        <v>27071223339</v>
      </c>
      <c r="I48" s="22">
        <v>2226795507</v>
      </c>
      <c r="K48" s="22">
        <v>1315189</v>
      </c>
      <c r="M48" s="22">
        <v>29298018846</v>
      </c>
      <c r="O48" s="22">
        <v>29455033842</v>
      </c>
      <c r="Q48" s="22">
        <v>-157014996</v>
      </c>
    </row>
    <row r="49" spans="1:17" ht="18.75" x14ac:dyDescent="0.45">
      <c r="A49" s="30" t="s">
        <v>56</v>
      </c>
      <c r="C49" s="22">
        <v>5608577</v>
      </c>
      <c r="E49" s="22">
        <v>53354721103</v>
      </c>
      <c r="G49" s="22">
        <v>45103416272</v>
      </c>
      <c r="I49" s="22">
        <v>8251304831</v>
      </c>
      <c r="K49" s="22">
        <v>5608577</v>
      </c>
      <c r="M49" s="22">
        <v>53354721103</v>
      </c>
      <c r="O49" s="22">
        <v>48825973782</v>
      </c>
      <c r="Q49" s="22">
        <v>4528747321</v>
      </c>
    </row>
    <row r="50" spans="1:17" ht="18.75" x14ac:dyDescent="0.45">
      <c r="A50" s="30" t="s">
        <v>57</v>
      </c>
      <c r="C50" s="22">
        <v>2488715</v>
      </c>
      <c r="E50" s="22">
        <v>18034783093</v>
      </c>
      <c r="G50" s="22">
        <v>16773090448</v>
      </c>
      <c r="I50" s="22">
        <v>1261692645</v>
      </c>
      <c r="K50" s="22">
        <v>2488715</v>
      </c>
      <c r="M50" s="22">
        <v>18034783093</v>
      </c>
      <c r="O50" s="22">
        <v>25124800235</v>
      </c>
      <c r="Q50" s="22">
        <v>-7090017142</v>
      </c>
    </row>
    <row r="51" spans="1:17" ht="37.5" x14ac:dyDescent="0.45">
      <c r="A51" s="30" t="s">
        <v>58</v>
      </c>
      <c r="C51" s="22">
        <v>0</v>
      </c>
      <c r="E51" s="22">
        <v>0</v>
      </c>
      <c r="G51" s="22">
        <v>-6953726413</v>
      </c>
      <c r="I51" s="22">
        <v>6953726413</v>
      </c>
    </row>
    <row r="52" spans="1:17" ht="18.75" x14ac:dyDescent="0.45">
      <c r="A52" s="30" t="s">
        <v>59</v>
      </c>
      <c r="C52" s="22">
        <v>2240000</v>
      </c>
      <c r="E52" s="22">
        <v>8897781312</v>
      </c>
      <c r="G52" s="22">
        <v>8809271100</v>
      </c>
      <c r="I52" s="22">
        <v>88510212</v>
      </c>
      <c r="K52" s="22">
        <v>2240000</v>
      </c>
      <c r="M52" s="22">
        <v>8897781312</v>
      </c>
      <c r="O52" s="22">
        <v>10061774099</v>
      </c>
      <c r="Q52" s="22">
        <v>-1163992787</v>
      </c>
    </row>
    <row r="53" spans="1:17" ht="18.75" x14ac:dyDescent="0.45">
      <c r="A53" s="30" t="s">
        <v>60</v>
      </c>
      <c r="C53" s="22">
        <v>0</v>
      </c>
      <c r="E53" s="22">
        <v>0</v>
      </c>
      <c r="G53" s="22">
        <v>-3471923469</v>
      </c>
      <c r="I53" s="22">
        <v>3471923469</v>
      </c>
    </row>
    <row r="54" spans="1:17" ht="18.75" x14ac:dyDescent="0.45">
      <c r="A54" s="30" t="s">
        <v>61</v>
      </c>
      <c r="C54" s="22">
        <v>24152607</v>
      </c>
      <c r="E54" s="22">
        <v>87176312227</v>
      </c>
      <c r="G54" s="22">
        <v>84600876611</v>
      </c>
      <c r="I54" s="22">
        <v>2575435616</v>
      </c>
      <c r="K54" s="22">
        <v>24152607</v>
      </c>
      <c r="M54" s="22">
        <v>87176312227</v>
      </c>
      <c r="O54" s="22">
        <v>106158021139</v>
      </c>
      <c r="Q54" s="22">
        <v>-18981708912</v>
      </c>
    </row>
    <row r="55" spans="1:17" ht="18.75" x14ac:dyDescent="0.45">
      <c r="A55" s="30" t="s">
        <v>62</v>
      </c>
      <c r="C55" s="22">
        <v>2373635</v>
      </c>
      <c r="E55" s="22">
        <v>26332152489</v>
      </c>
      <c r="G55" s="22">
        <v>26920361944</v>
      </c>
      <c r="I55" s="22">
        <v>-588209455</v>
      </c>
      <c r="K55" s="22">
        <v>2373635</v>
      </c>
      <c r="M55" s="22">
        <v>26332152489</v>
      </c>
      <c r="O55" s="22">
        <v>27040006051</v>
      </c>
      <c r="Q55" s="22">
        <v>-707853562</v>
      </c>
    </row>
    <row r="56" spans="1:17" ht="18.75" x14ac:dyDescent="0.45">
      <c r="A56" s="30" t="s">
        <v>63</v>
      </c>
      <c r="C56" s="22">
        <v>17680723</v>
      </c>
      <c r="E56" s="22">
        <v>80847404411</v>
      </c>
      <c r="G56" s="22">
        <v>79112911239</v>
      </c>
      <c r="I56" s="22">
        <v>1734493172</v>
      </c>
      <c r="K56" s="22">
        <v>17680723</v>
      </c>
      <c r="M56" s="22">
        <v>80847404411</v>
      </c>
      <c r="O56" s="22">
        <v>84936495338</v>
      </c>
      <c r="Q56" s="22">
        <v>-4089090927</v>
      </c>
    </row>
    <row r="57" spans="1:17" ht="18.75" x14ac:dyDescent="0.45">
      <c r="A57" s="30" t="s">
        <v>64</v>
      </c>
      <c r="C57" s="22">
        <v>372076</v>
      </c>
      <c r="E57" s="22">
        <v>6239574433</v>
      </c>
      <c r="G57" s="22">
        <v>5555329460</v>
      </c>
      <c r="I57" s="22">
        <v>684244973</v>
      </c>
      <c r="K57" s="22">
        <v>372076</v>
      </c>
      <c r="M57" s="22">
        <v>6239574433</v>
      </c>
      <c r="O57" s="22">
        <v>7281313927</v>
      </c>
      <c r="Q57" s="22">
        <v>-1041739494</v>
      </c>
    </row>
    <row r="58" spans="1:17" ht="18.75" x14ac:dyDescent="0.45">
      <c r="A58" s="30" t="s">
        <v>65</v>
      </c>
      <c r="C58" s="22">
        <v>3882657</v>
      </c>
      <c r="E58" s="22">
        <v>28908068379</v>
      </c>
      <c r="G58" s="22">
        <v>27827392926</v>
      </c>
      <c r="I58" s="22">
        <v>1080675453</v>
      </c>
      <c r="K58" s="22">
        <v>3882657</v>
      </c>
      <c r="M58" s="22">
        <v>28908068379</v>
      </c>
      <c r="O58" s="22">
        <v>42377915996</v>
      </c>
      <c r="Q58" s="22">
        <v>-13469847617</v>
      </c>
    </row>
    <row r="59" spans="1:17" ht="18.75" x14ac:dyDescent="0.45">
      <c r="A59" s="30" t="s">
        <v>66</v>
      </c>
      <c r="C59" s="22">
        <v>21351279</v>
      </c>
      <c r="E59" s="22">
        <v>172128577397</v>
      </c>
      <c r="G59" s="22">
        <v>157483852563</v>
      </c>
      <c r="I59" s="22">
        <v>14644724834</v>
      </c>
      <c r="K59" s="22">
        <v>21351279</v>
      </c>
      <c r="M59" s="22">
        <v>172128577397</v>
      </c>
      <c r="O59" s="22">
        <v>139966957125</v>
      </c>
      <c r="Q59" s="22">
        <v>32161620272</v>
      </c>
    </row>
    <row r="60" spans="1:17" ht="18.75" x14ac:dyDescent="0.45">
      <c r="A60" s="30" t="s">
        <v>67</v>
      </c>
      <c r="C60" s="22">
        <v>8068802</v>
      </c>
      <c r="E60" s="22">
        <v>28963082180</v>
      </c>
      <c r="G60" s="22">
        <v>25089039341</v>
      </c>
      <c r="I60" s="22">
        <v>3874042839</v>
      </c>
      <c r="K60" s="22">
        <v>8068802</v>
      </c>
      <c r="M60" s="22">
        <v>28963082180</v>
      </c>
      <c r="O60" s="22">
        <v>30021826808</v>
      </c>
      <c r="Q60" s="22">
        <v>-1058744628</v>
      </c>
    </row>
    <row r="61" spans="1:17" ht="18.75" x14ac:dyDescent="0.45">
      <c r="A61" s="30" t="s">
        <v>68</v>
      </c>
      <c r="C61" s="22">
        <v>4955597</v>
      </c>
      <c r="E61" s="22">
        <v>12842371893</v>
      </c>
      <c r="G61" s="22">
        <v>10231532958</v>
      </c>
      <c r="I61" s="22">
        <v>2610838935</v>
      </c>
      <c r="K61" s="22">
        <v>4955597</v>
      </c>
      <c r="M61" s="22">
        <v>12842371893</v>
      </c>
      <c r="O61" s="22">
        <v>10152362513</v>
      </c>
      <c r="Q61" s="22">
        <v>2690009380</v>
      </c>
    </row>
    <row r="62" spans="1:17" ht="18.75" x14ac:dyDescent="0.45">
      <c r="A62" s="30" t="s">
        <v>69</v>
      </c>
      <c r="C62" s="22">
        <v>5666467</v>
      </c>
      <c r="E62" s="22">
        <v>32669958824</v>
      </c>
      <c r="G62" s="22">
        <v>27600482455</v>
      </c>
      <c r="I62" s="22">
        <v>5069476369</v>
      </c>
      <c r="K62" s="22">
        <v>5666467</v>
      </c>
      <c r="M62" s="22">
        <v>32669958824</v>
      </c>
      <c r="O62" s="22">
        <v>28732651765</v>
      </c>
      <c r="Q62" s="22">
        <v>3937307059</v>
      </c>
    </row>
    <row r="63" spans="1:17" ht="18.75" x14ac:dyDescent="0.45">
      <c r="A63" s="30" t="s">
        <v>70</v>
      </c>
      <c r="C63" s="22">
        <v>534674</v>
      </c>
      <c r="E63" s="22">
        <v>42349337515</v>
      </c>
      <c r="G63" s="22">
        <v>35509026599</v>
      </c>
      <c r="I63" s="22">
        <v>6840310916</v>
      </c>
      <c r="K63" s="22">
        <v>534674</v>
      </c>
      <c r="M63" s="22">
        <v>42349337515</v>
      </c>
      <c r="O63" s="22">
        <v>34326348297</v>
      </c>
      <c r="Q63" s="22">
        <v>8022989218</v>
      </c>
    </row>
    <row r="64" spans="1:17" ht="18.75" x14ac:dyDescent="0.45">
      <c r="A64" s="30" t="s">
        <v>71</v>
      </c>
      <c r="C64" s="22">
        <v>7539161</v>
      </c>
      <c r="E64" s="22">
        <v>28590765915</v>
      </c>
      <c r="G64" s="22">
        <v>23374731032</v>
      </c>
      <c r="I64" s="22">
        <v>5216034883</v>
      </c>
      <c r="K64" s="22">
        <v>7539161</v>
      </c>
      <c r="M64" s="22">
        <v>28590765915</v>
      </c>
      <c r="O64" s="22">
        <v>31003931478</v>
      </c>
      <c r="Q64" s="22">
        <v>-2413165563</v>
      </c>
    </row>
    <row r="65" spans="1:17" ht="18.75" x14ac:dyDescent="0.45">
      <c r="A65" s="30" t="s">
        <v>72</v>
      </c>
      <c r="C65" s="22">
        <v>0</v>
      </c>
      <c r="E65" s="22">
        <v>0</v>
      </c>
      <c r="G65" s="22">
        <v>4283806</v>
      </c>
      <c r="I65" s="22">
        <v>-4283806</v>
      </c>
    </row>
    <row r="66" spans="1:17" ht="18.75" x14ac:dyDescent="0.45">
      <c r="A66" s="30" t="s">
        <v>73</v>
      </c>
      <c r="C66" s="22">
        <v>4700000</v>
      </c>
      <c r="E66" s="22">
        <v>24803833815</v>
      </c>
      <c r="G66" s="22">
        <v>23687217450</v>
      </c>
      <c r="I66" s="22">
        <v>1116616365</v>
      </c>
      <c r="K66" s="22">
        <v>4700000</v>
      </c>
      <c r="M66" s="22">
        <v>24803833815</v>
      </c>
      <c r="O66" s="22">
        <v>35834508450</v>
      </c>
      <c r="Q66" s="22">
        <v>-11030674635</v>
      </c>
    </row>
    <row r="67" spans="1:17" ht="18.75" x14ac:dyDescent="0.45">
      <c r="A67" s="30" t="s">
        <v>74</v>
      </c>
      <c r="C67" s="22">
        <v>12447027</v>
      </c>
      <c r="E67" s="22">
        <v>99602385874</v>
      </c>
      <c r="G67" s="22">
        <v>86239581310</v>
      </c>
      <c r="I67" s="22">
        <v>13362804564</v>
      </c>
      <c r="K67" s="22">
        <v>12447027</v>
      </c>
      <c r="M67" s="22">
        <v>99602385874</v>
      </c>
      <c r="O67" s="22">
        <v>82416726274</v>
      </c>
      <c r="Q67" s="22">
        <v>17185659600</v>
      </c>
    </row>
    <row r="68" spans="1:17" ht="18.75" x14ac:dyDescent="0.45">
      <c r="A68" s="30" t="s">
        <v>75</v>
      </c>
      <c r="C68" s="22">
        <v>16223071</v>
      </c>
      <c r="E68" s="22">
        <v>77165511736</v>
      </c>
      <c r="G68" s="22">
        <v>58143645232</v>
      </c>
      <c r="I68" s="22">
        <v>19021866504</v>
      </c>
      <c r="K68" s="22">
        <v>16223071</v>
      </c>
      <c r="M68" s="22">
        <v>77165511736</v>
      </c>
      <c r="O68" s="22">
        <v>58100618218</v>
      </c>
      <c r="Q68" s="22">
        <v>19064893518</v>
      </c>
    </row>
    <row r="69" spans="1:17" ht="18.75" x14ac:dyDescent="0.45">
      <c r="A69" s="30" t="s">
        <v>76</v>
      </c>
      <c r="C69" s="22">
        <v>26480781</v>
      </c>
      <c r="E69" s="22">
        <v>48618987992</v>
      </c>
      <c r="G69" s="22">
        <v>40537759344</v>
      </c>
      <c r="I69" s="22">
        <v>8081228648</v>
      </c>
      <c r="K69" s="22">
        <v>26480781</v>
      </c>
      <c r="M69" s="22">
        <v>48618987992</v>
      </c>
      <c r="O69" s="22">
        <v>52328263699</v>
      </c>
      <c r="Q69" s="22">
        <v>-3709275707</v>
      </c>
    </row>
    <row r="70" spans="1:17" ht="18.75" x14ac:dyDescent="0.45">
      <c r="A70" s="30" t="s">
        <v>77</v>
      </c>
      <c r="C70" s="22">
        <v>277678</v>
      </c>
      <c r="E70" s="22">
        <v>9332432836</v>
      </c>
      <c r="G70" s="22">
        <v>10339927064</v>
      </c>
      <c r="I70" s="22">
        <v>-1007494228</v>
      </c>
      <c r="K70" s="22">
        <v>277678</v>
      </c>
      <c r="M70" s="22">
        <v>9332432836</v>
      </c>
      <c r="O70" s="22">
        <v>10974786441</v>
      </c>
      <c r="Q70" s="22">
        <v>-1642353605</v>
      </c>
    </row>
    <row r="71" spans="1:17" ht="18.75" x14ac:dyDescent="0.45">
      <c r="A71" s="30" t="s">
        <v>78</v>
      </c>
      <c r="C71" s="22">
        <v>4613772</v>
      </c>
      <c r="E71" s="22">
        <v>40038574094</v>
      </c>
      <c r="G71" s="22">
        <v>23917726790</v>
      </c>
      <c r="I71" s="22">
        <v>16120847304</v>
      </c>
      <c r="K71" s="22">
        <v>4613772</v>
      </c>
      <c r="M71" s="22">
        <v>40038574094</v>
      </c>
      <c r="O71" s="22">
        <v>56916231902</v>
      </c>
      <c r="Q71" s="22">
        <v>-16877657808</v>
      </c>
    </row>
    <row r="72" spans="1:17" ht="18.75" x14ac:dyDescent="0.45">
      <c r="A72" s="30" t="s">
        <v>79</v>
      </c>
      <c r="C72" s="22">
        <v>5686897</v>
      </c>
      <c r="E72" s="22">
        <v>28146585555</v>
      </c>
      <c r="G72" s="22">
        <v>27343851040</v>
      </c>
      <c r="I72" s="22">
        <v>802734515</v>
      </c>
      <c r="K72" s="22">
        <v>5686897</v>
      </c>
      <c r="M72" s="22">
        <v>28146585555</v>
      </c>
      <c r="O72" s="22">
        <v>44813790895</v>
      </c>
      <c r="Q72" s="22">
        <v>-16667205340</v>
      </c>
    </row>
    <row r="73" spans="1:17" ht="18.75" x14ac:dyDescent="0.45">
      <c r="A73" s="30" t="s">
        <v>80</v>
      </c>
      <c r="C73" s="22">
        <v>407809</v>
      </c>
      <c r="E73" s="22">
        <v>17707109192</v>
      </c>
      <c r="G73" s="22">
        <v>15201845117</v>
      </c>
      <c r="I73" s="22">
        <v>2505264075</v>
      </c>
      <c r="K73" s="22">
        <v>407809</v>
      </c>
      <c r="M73" s="22">
        <v>17707109192</v>
      </c>
      <c r="O73" s="22">
        <v>16004502539</v>
      </c>
      <c r="Q73" s="22">
        <v>1702606653</v>
      </c>
    </row>
    <row r="74" spans="1:17" ht="18.75" x14ac:dyDescent="0.45">
      <c r="A74" s="30" t="s">
        <v>81</v>
      </c>
      <c r="C74" s="22">
        <v>5995429</v>
      </c>
      <c r="E74" s="22">
        <v>108884745727</v>
      </c>
      <c r="G74" s="22">
        <v>97074246773</v>
      </c>
      <c r="I74" s="22">
        <v>11810498954</v>
      </c>
      <c r="K74" s="22">
        <v>5995429</v>
      </c>
      <c r="M74" s="22">
        <v>108884745727</v>
      </c>
      <c r="O74" s="22">
        <v>101424742449</v>
      </c>
      <c r="Q74" s="22">
        <v>7460003278</v>
      </c>
    </row>
    <row r="75" spans="1:17" ht="18.75" x14ac:dyDescent="0.45">
      <c r="A75" s="30" t="s">
        <v>82</v>
      </c>
      <c r="C75" s="22">
        <v>5305016</v>
      </c>
      <c r="E75" s="22">
        <v>136846057467</v>
      </c>
      <c r="G75" s="22">
        <v>131792613540</v>
      </c>
      <c r="I75" s="22">
        <v>5053443927</v>
      </c>
      <c r="K75" s="22">
        <v>5305016</v>
      </c>
      <c r="M75" s="22">
        <v>136846057467</v>
      </c>
      <c r="O75" s="22">
        <v>145064829497</v>
      </c>
      <c r="Q75" s="22">
        <v>-8218772030</v>
      </c>
    </row>
    <row r="76" spans="1:17" ht="18.75" x14ac:dyDescent="0.45">
      <c r="A76" s="30" t="s">
        <v>83</v>
      </c>
      <c r="C76" s="22">
        <v>450000</v>
      </c>
      <c r="E76" s="22">
        <v>3238614900</v>
      </c>
      <c r="G76" s="22">
        <v>3184936200</v>
      </c>
      <c r="I76" s="22">
        <v>53678700</v>
      </c>
      <c r="K76" s="22">
        <v>450000</v>
      </c>
      <c r="M76" s="22">
        <v>3238614900</v>
      </c>
      <c r="O76" s="22">
        <v>2151173902</v>
      </c>
      <c r="Q76" s="22">
        <v>1087440998</v>
      </c>
    </row>
    <row r="77" spans="1:17" ht="18.75" x14ac:dyDescent="0.45">
      <c r="A77" s="30" t="s">
        <v>84</v>
      </c>
      <c r="C77" s="22">
        <v>1800000</v>
      </c>
      <c r="E77" s="22">
        <v>59404428000</v>
      </c>
      <c r="G77" s="22">
        <v>65541580072</v>
      </c>
      <c r="I77" s="22">
        <v>-6137152072</v>
      </c>
      <c r="K77" s="22">
        <v>1800000</v>
      </c>
      <c r="M77" s="22">
        <v>59404428000</v>
      </c>
      <c r="O77" s="22">
        <v>45577198562</v>
      </c>
      <c r="Q77" s="22">
        <v>13827229438</v>
      </c>
    </row>
    <row r="78" spans="1:17" ht="37.5" x14ac:dyDescent="0.45">
      <c r="A78" s="30" t="s">
        <v>85</v>
      </c>
      <c r="C78" s="22">
        <v>21600000</v>
      </c>
      <c r="E78" s="22">
        <v>31004817120</v>
      </c>
      <c r="G78" s="22">
        <v>27959586333</v>
      </c>
      <c r="I78" s="22">
        <v>3045230787</v>
      </c>
      <c r="K78" s="22">
        <v>21600000</v>
      </c>
      <c r="M78" s="22">
        <v>31004817120</v>
      </c>
      <c r="O78" s="22">
        <v>27959586333</v>
      </c>
      <c r="Q78" s="22">
        <v>3045230787</v>
      </c>
    </row>
    <row r="79" spans="1:17" ht="18.75" x14ac:dyDescent="0.45">
      <c r="A79" s="30" t="s">
        <v>86</v>
      </c>
      <c r="C79" s="22">
        <v>5559252</v>
      </c>
      <c r="E79" s="22">
        <v>28189015873</v>
      </c>
      <c r="G79" s="22">
        <v>24076028824</v>
      </c>
      <c r="I79" s="22">
        <v>4112987049</v>
      </c>
      <c r="K79" s="22">
        <v>5559252</v>
      </c>
      <c r="M79" s="22">
        <v>28189015873</v>
      </c>
      <c r="O79" s="22">
        <v>33157046704</v>
      </c>
      <c r="Q79" s="22">
        <v>-4968030831</v>
      </c>
    </row>
    <row r="80" spans="1:17" ht="18.75" x14ac:dyDescent="0.45">
      <c r="A80" s="25" t="s">
        <v>87</v>
      </c>
      <c r="C80" s="25">
        <f>SUM(C9:$C$79)</f>
        <v>477633026</v>
      </c>
      <c r="E80" s="25">
        <f>SUM(E9:$E$79)</f>
        <v>2813445298456</v>
      </c>
      <c r="G80" s="25">
        <f>SUM(G9:$G$79)</f>
        <v>2534866623097</v>
      </c>
      <c r="I80" s="25">
        <f>SUM(I9:$I$79)</f>
        <v>278578675359</v>
      </c>
      <c r="K80" s="25">
        <f>SUM(K9:$K$79)</f>
        <v>477633026</v>
      </c>
      <c r="M80" s="25">
        <f>SUM(M9:$M$79)</f>
        <v>2813445298456</v>
      </c>
      <c r="O80" s="25">
        <f>SUM(O9:$O$79)</f>
        <v>2796122904528</v>
      </c>
      <c r="Q80" s="25">
        <f>SUM(Q9:$Q$79)</f>
        <v>17322393928</v>
      </c>
    </row>
    <row r="81" spans="1:17" ht="18.75" x14ac:dyDescent="0.45">
      <c r="C81" s="27"/>
      <c r="E81" s="27"/>
      <c r="G81" s="27"/>
      <c r="I81" s="27"/>
      <c r="K81" s="27"/>
      <c r="M81" s="27"/>
      <c r="O81" s="27"/>
      <c r="Q81" s="27"/>
    </row>
    <row r="83" spans="1:17" ht="18.75" x14ac:dyDescent="0.45">
      <c r="A83" s="32" t="s">
        <v>203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4"/>
    </row>
  </sheetData>
  <mergeCells count="7">
    <mergeCell ref="A83:Q83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5" fitToHeight="0" orientation="landscape" r:id="rId1"/>
  <rowBreaks count="3" manualBreakCount="3">
    <brk id="24" max="16383" man="1"/>
    <brk id="45" max="16383" man="1"/>
    <brk id="6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96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0.42578125" style="13" bestFit="1" customWidth="1"/>
    <col min="2" max="2" width="1.42578125" style="13" customWidth="1"/>
    <col min="3" max="3" width="15.140625" style="13" bestFit="1" customWidth="1"/>
    <col min="4" max="4" width="1.42578125" style="13" customWidth="1"/>
    <col min="5" max="5" width="17.7109375" style="13" bestFit="1" customWidth="1"/>
    <col min="6" max="6" width="1.42578125" style="13" customWidth="1"/>
    <col min="7" max="7" width="17" style="13" customWidth="1"/>
    <col min="8" max="8" width="1.42578125" style="13" customWidth="1"/>
    <col min="9" max="9" width="18" style="13" bestFit="1" customWidth="1"/>
    <col min="10" max="10" width="1.42578125" style="13" customWidth="1"/>
    <col min="11" max="11" width="11.5703125" style="13" bestFit="1" customWidth="1"/>
    <col min="12" max="12" width="1.42578125" style="13" customWidth="1"/>
    <col min="13" max="13" width="18" style="13" bestFit="1" customWidth="1"/>
    <col min="14" max="14" width="1.42578125" style="13" customWidth="1"/>
    <col min="15" max="15" width="17.7109375" style="13" bestFit="1" customWidth="1"/>
    <col min="16" max="16" width="1.42578125" style="13" customWidth="1"/>
    <col min="17" max="17" width="19" style="13" bestFit="1" customWidth="1"/>
    <col min="18" max="18" width="1.42578125" style="13" customWidth="1"/>
    <col min="19" max="19" width="18" style="13" bestFit="1" customWidth="1"/>
    <col min="20" max="20" width="1.42578125" style="13" customWidth="1"/>
    <col min="21" max="21" width="11.5703125" style="13" bestFit="1" customWidth="1"/>
    <col min="22" max="16384" width="9.140625" style="13"/>
  </cols>
  <sheetData>
    <row r="1" spans="1:21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5" spans="1:21" ht="21" x14ac:dyDescent="0.45">
      <c r="A5" s="14" t="s">
        <v>206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7" spans="1:21" ht="21" x14ac:dyDescent="0.45">
      <c r="C7" s="15" t="s">
        <v>134</v>
      </c>
      <c r="D7" s="16"/>
      <c r="E7" s="16"/>
      <c r="F7" s="16"/>
      <c r="G7" s="16"/>
      <c r="H7" s="16"/>
      <c r="I7" s="16"/>
      <c r="J7" s="16"/>
      <c r="K7" s="16"/>
      <c r="M7" s="15" t="s">
        <v>7</v>
      </c>
      <c r="N7" s="16"/>
      <c r="O7" s="16"/>
      <c r="P7" s="16"/>
      <c r="Q7" s="16"/>
      <c r="R7" s="16"/>
      <c r="S7" s="16"/>
      <c r="T7" s="16"/>
      <c r="U7" s="16"/>
    </row>
    <row r="8" spans="1:21" ht="42" x14ac:dyDescent="0.45">
      <c r="A8" s="28" t="s">
        <v>207</v>
      </c>
      <c r="C8" s="29" t="s">
        <v>132</v>
      </c>
      <c r="E8" s="29" t="s">
        <v>208</v>
      </c>
      <c r="G8" s="29" t="s">
        <v>209</v>
      </c>
      <c r="I8" s="29" t="s">
        <v>210</v>
      </c>
      <c r="K8" s="29" t="s">
        <v>211</v>
      </c>
      <c r="M8" s="29" t="s">
        <v>132</v>
      </c>
      <c r="O8" s="29" t="s">
        <v>208</v>
      </c>
      <c r="Q8" s="29" t="s">
        <v>209</v>
      </c>
      <c r="S8" s="29" t="s">
        <v>210</v>
      </c>
      <c r="U8" s="29" t="s">
        <v>211</v>
      </c>
    </row>
    <row r="9" spans="1:21" ht="18.75" x14ac:dyDescent="0.45">
      <c r="A9" s="30" t="s">
        <v>17</v>
      </c>
      <c r="C9" s="22">
        <v>0</v>
      </c>
      <c r="E9" s="22">
        <v>233601750</v>
      </c>
      <c r="G9" s="22">
        <v>0</v>
      </c>
      <c r="I9" s="22">
        <v>233601750</v>
      </c>
      <c r="K9" s="24">
        <v>7.7578024489608421E-4</v>
      </c>
      <c r="M9" s="22">
        <v>96000000</v>
      </c>
      <c r="O9" s="22">
        <v>134196750</v>
      </c>
      <c r="Q9" s="22">
        <v>0</v>
      </c>
      <c r="S9" s="22">
        <v>230196750</v>
      </c>
      <c r="U9" s="24">
        <v>1.3220771327650852E-3</v>
      </c>
    </row>
    <row r="10" spans="1:21" ht="18.75" x14ac:dyDescent="0.45">
      <c r="A10" s="30" t="s">
        <v>212</v>
      </c>
      <c r="C10" s="22">
        <v>0</v>
      </c>
      <c r="E10" s="22">
        <v>3392891460</v>
      </c>
      <c r="G10" s="22">
        <v>0</v>
      </c>
      <c r="I10" s="22">
        <v>3392891460</v>
      </c>
      <c r="K10" s="24">
        <v>1.1267630348422616E-2</v>
      </c>
      <c r="M10" s="22">
        <v>0</v>
      </c>
      <c r="O10" s="22">
        <v>2635675595</v>
      </c>
      <c r="Q10" s="22">
        <v>0</v>
      </c>
      <c r="S10" s="22">
        <v>2635675595</v>
      </c>
      <c r="U10" s="24">
        <v>1.5137339834452528E-2</v>
      </c>
    </row>
    <row r="11" spans="1:21" ht="18.75" x14ac:dyDescent="0.45">
      <c r="A11" s="30" t="s">
        <v>19</v>
      </c>
      <c r="C11" s="22">
        <v>0</v>
      </c>
      <c r="E11" s="22">
        <v>1752400208</v>
      </c>
      <c r="G11" s="22">
        <v>0</v>
      </c>
      <c r="I11" s="22">
        <v>1752400208</v>
      </c>
      <c r="K11" s="24">
        <v>5.8196373208599201E-3</v>
      </c>
      <c r="M11" s="22">
        <v>0</v>
      </c>
      <c r="O11" s="22">
        <v>-1450912001</v>
      </c>
      <c r="Q11" s="22">
        <v>-367388939</v>
      </c>
      <c r="S11" s="22">
        <v>-1818300940</v>
      </c>
      <c r="U11" s="24">
        <v>-1.044295409583002E-2</v>
      </c>
    </row>
    <row r="12" spans="1:21" ht="18.75" x14ac:dyDescent="0.45">
      <c r="A12" s="30" t="s">
        <v>20</v>
      </c>
      <c r="C12" s="22">
        <v>0</v>
      </c>
      <c r="E12" s="22">
        <v>-96682737</v>
      </c>
      <c r="G12" s="22">
        <v>0</v>
      </c>
      <c r="I12" s="22">
        <v>-96682737</v>
      </c>
      <c r="K12" s="24">
        <v>-3.2107874785648521E-4</v>
      </c>
      <c r="M12" s="22">
        <v>0</v>
      </c>
      <c r="O12" s="22">
        <v>-96682737</v>
      </c>
      <c r="Q12" s="22">
        <v>0</v>
      </c>
      <c r="S12" s="22">
        <v>-96682737</v>
      </c>
      <c r="U12" s="24">
        <v>-5.552729815726799E-4</v>
      </c>
    </row>
    <row r="13" spans="1:21" ht="18.75" x14ac:dyDescent="0.45">
      <c r="A13" s="30" t="s">
        <v>21</v>
      </c>
      <c r="C13" s="22">
        <v>0</v>
      </c>
      <c r="E13" s="22">
        <v>8600847474</v>
      </c>
      <c r="G13" s="22">
        <v>0</v>
      </c>
      <c r="I13" s="22">
        <v>8600847474</v>
      </c>
      <c r="K13" s="24">
        <v>2.8563003315230245E-2</v>
      </c>
      <c r="M13" s="22">
        <v>0</v>
      </c>
      <c r="O13" s="22">
        <v>2297928798</v>
      </c>
      <c r="Q13" s="22">
        <v>0</v>
      </c>
      <c r="S13" s="22">
        <v>2297928798</v>
      </c>
      <c r="U13" s="24">
        <v>1.3197576058559292E-2</v>
      </c>
    </row>
    <row r="14" spans="1:21" ht="18.75" x14ac:dyDescent="0.45">
      <c r="A14" s="30" t="s">
        <v>23</v>
      </c>
      <c r="C14" s="22">
        <v>0</v>
      </c>
      <c r="E14" s="22">
        <v>6670075500</v>
      </c>
      <c r="G14" s="22">
        <v>0</v>
      </c>
      <c r="I14" s="22">
        <v>6670075500</v>
      </c>
      <c r="K14" s="24">
        <v>2.2151001886181809E-2</v>
      </c>
      <c r="M14" s="22">
        <v>0</v>
      </c>
      <c r="O14" s="22">
        <v>13808305280</v>
      </c>
      <c r="Q14" s="22">
        <v>0</v>
      </c>
      <c r="S14" s="22">
        <v>13808305280</v>
      </c>
      <c r="U14" s="24">
        <v>7.9304528204361638E-2</v>
      </c>
    </row>
    <row r="15" spans="1:21" ht="18.75" x14ac:dyDescent="0.45">
      <c r="A15" s="30" t="s">
        <v>213</v>
      </c>
      <c r="C15" s="22">
        <v>0</v>
      </c>
      <c r="E15" s="22">
        <v>-209948131</v>
      </c>
      <c r="G15" s="22">
        <v>0</v>
      </c>
      <c r="I15" s="22">
        <v>-209948131</v>
      </c>
      <c r="K15" s="24">
        <v>-6.9722770690996603E-4</v>
      </c>
      <c r="M15" s="22">
        <v>216540800</v>
      </c>
      <c r="O15" s="22">
        <v>-1050802962</v>
      </c>
      <c r="Q15" s="22">
        <v>0</v>
      </c>
      <c r="S15" s="22">
        <v>-834262162</v>
      </c>
      <c r="U15" s="24">
        <v>-4.791374887401151E-3</v>
      </c>
    </row>
    <row r="16" spans="1:21" ht="18.75" x14ac:dyDescent="0.45">
      <c r="A16" s="30" t="s">
        <v>25</v>
      </c>
      <c r="C16" s="22">
        <v>0</v>
      </c>
      <c r="E16" s="22">
        <v>493918593</v>
      </c>
      <c r="G16" s="22">
        <v>0</v>
      </c>
      <c r="I16" s="22">
        <v>493918593</v>
      </c>
      <c r="K16" s="24">
        <v>1.640280036584783E-3</v>
      </c>
      <c r="M16" s="22">
        <v>519025280</v>
      </c>
      <c r="O16" s="22">
        <v>-6164736</v>
      </c>
      <c r="Q16" s="22">
        <v>1188423996</v>
      </c>
      <c r="S16" s="22">
        <v>1701284540</v>
      </c>
      <c r="U16" s="24">
        <v>9.770899835296401E-3</v>
      </c>
    </row>
    <row r="17" spans="1:21" ht="37.5" x14ac:dyDescent="0.45">
      <c r="A17" s="30" t="s">
        <v>26</v>
      </c>
      <c r="C17" s="22">
        <v>0</v>
      </c>
      <c r="E17" s="22">
        <v>845687640</v>
      </c>
      <c r="G17" s="22">
        <v>0</v>
      </c>
      <c r="I17" s="22">
        <v>845687640</v>
      </c>
      <c r="K17" s="24">
        <v>2.8084882260719E-3</v>
      </c>
      <c r="M17" s="22">
        <v>108343700</v>
      </c>
      <c r="O17" s="22">
        <v>-1405955702</v>
      </c>
      <c r="Q17" s="22">
        <v>-136551902</v>
      </c>
      <c r="S17" s="22">
        <v>-1434163904</v>
      </c>
      <c r="U17" s="24">
        <v>-8.236759650670571E-3</v>
      </c>
    </row>
    <row r="18" spans="1:21" ht="18.75" x14ac:dyDescent="0.45">
      <c r="A18" s="30" t="s">
        <v>27</v>
      </c>
      <c r="C18" s="22">
        <v>0</v>
      </c>
      <c r="E18" s="22">
        <v>6080169947</v>
      </c>
      <c r="G18" s="22">
        <v>0</v>
      </c>
      <c r="I18" s="22">
        <v>6080169947</v>
      </c>
      <c r="K18" s="24">
        <v>2.0191953743897345E-2</v>
      </c>
      <c r="M18" s="22">
        <v>0</v>
      </c>
      <c r="O18" s="22">
        <v>-2655481148</v>
      </c>
      <c r="Q18" s="22">
        <v>0</v>
      </c>
      <c r="S18" s="22">
        <v>-2655481148</v>
      </c>
      <c r="U18" s="24">
        <v>-1.5251088046462762E-2</v>
      </c>
    </row>
    <row r="19" spans="1:21" ht="18.75" x14ac:dyDescent="0.45">
      <c r="A19" s="30" t="s">
        <v>28</v>
      </c>
      <c r="C19" s="22">
        <v>0</v>
      </c>
      <c r="E19" s="22">
        <v>7609443241</v>
      </c>
      <c r="G19" s="22">
        <v>-3970</v>
      </c>
      <c r="I19" s="22">
        <v>7609439271</v>
      </c>
      <c r="K19" s="24">
        <v>2.5270584065308844E-2</v>
      </c>
      <c r="M19" s="22">
        <v>10332000000</v>
      </c>
      <c r="O19" s="22">
        <v>27557485930</v>
      </c>
      <c r="Q19" s="22">
        <v>1145283672</v>
      </c>
      <c r="S19" s="22">
        <v>39034769602</v>
      </c>
      <c r="U19" s="24">
        <v>0.22418638088312656</v>
      </c>
    </row>
    <row r="20" spans="1:21" ht="18.75" x14ac:dyDescent="0.45">
      <c r="A20" s="30" t="s">
        <v>148</v>
      </c>
      <c r="C20" s="22">
        <v>0</v>
      </c>
      <c r="E20" s="22">
        <v>5515444526</v>
      </c>
      <c r="G20" s="22">
        <v>0</v>
      </c>
      <c r="I20" s="22">
        <v>5515444526</v>
      </c>
      <c r="K20" s="24">
        <v>1.8316527616300166E-2</v>
      </c>
      <c r="M20" s="22">
        <v>516228000</v>
      </c>
      <c r="O20" s="22">
        <v>6012048862</v>
      </c>
      <c r="Q20" s="22">
        <v>0</v>
      </c>
      <c r="S20" s="22">
        <v>6528276862</v>
      </c>
      <c r="U20" s="24">
        <v>3.7493516114409119E-2</v>
      </c>
    </row>
    <row r="21" spans="1:21" ht="18.75" x14ac:dyDescent="0.45">
      <c r="A21" s="30" t="s">
        <v>30</v>
      </c>
      <c r="C21" s="22">
        <v>0</v>
      </c>
      <c r="E21" s="22">
        <v>5763894142</v>
      </c>
      <c r="G21" s="22">
        <v>0</v>
      </c>
      <c r="I21" s="22">
        <v>5763894142</v>
      </c>
      <c r="K21" s="24">
        <v>1.9141616914410381E-2</v>
      </c>
      <c r="M21" s="22">
        <v>4562276550</v>
      </c>
      <c r="O21" s="22">
        <v>-4360141325</v>
      </c>
      <c r="Q21" s="22">
        <v>-1679567500</v>
      </c>
      <c r="S21" s="22">
        <v>-1477432275</v>
      </c>
      <c r="U21" s="24">
        <v>-8.4852606563150731E-3</v>
      </c>
    </row>
    <row r="22" spans="1:21" ht="37.5" x14ac:dyDescent="0.45">
      <c r="A22" s="30" t="s">
        <v>31</v>
      </c>
      <c r="C22" s="22">
        <v>0</v>
      </c>
      <c r="E22" s="22">
        <v>-75344944</v>
      </c>
      <c r="G22" s="22">
        <v>0</v>
      </c>
      <c r="I22" s="22">
        <v>-75344944</v>
      </c>
      <c r="K22" s="24">
        <v>-2.5021695731304133E-4</v>
      </c>
      <c r="M22" s="22">
        <v>30532500</v>
      </c>
      <c r="O22" s="22">
        <v>-2905113978</v>
      </c>
      <c r="Q22" s="22">
        <v>0</v>
      </c>
      <c r="S22" s="22">
        <v>-2874581478</v>
      </c>
      <c r="U22" s="24">
        <v>-1.6509435682014888E-2</v>
      </c>
    </row>
    <row r="23" spans="1:21" ht="37.5" x14ac:dyDescent="0.45">
      <c r="A23" s="30" t="s">
        <v>32</v>
      </c>
      <c r="C23" s="22">
        <v>0</v>
      </c>
      <c r="E23" s="22">
        <v>4759859774</v>
      </c>
      <c r="G23" s="22">
        <v>0</v>
      </c>
      <c r="I23" s="22">
        <v>4759859774</v>
      </c>
      <c r="K23" s="24">
        <v>1.5807266774091975E-2</v>
      </c>
      <c r="M23" s="22">
        <v>0</v>
      </c>
      <c r="O23" s="22">
        <v>4580514773</v>
      </c>
      <c r="Q23" s="22">
        <v>-9097577</v>
      </c>
      <c r="S23" s="22">
        <v>4571417196</v>
      </c>
      <c r="U23" s="24">
        <v>2.625478482715627E-2</v>
      </c>
    </row>
    <row r="24" spans="1:21" ht="18.75" x14ac:dyDescent="0.45">
      <c r="A24" s="30" t="s">
        <v>33</v>
      </c>
      <c r="C24" s="22">
        <v>0</v>
      </c>
      <c r="E24" s="22">
        <v>2877495205</v>
      </c>
      <c r="G24" s="22">
        <v>-3265377980</v>
      </c>
      <c r="I24" s="22">
        <v>-387882775</v>
      </c>
      <c r="K24" s="24">
        <v>-1.2881401538322069E-3</v>
      </c>
      <c r="M24" s="22">
        <v>1500000000</v>
      </c>
      <c r="O24" s="22">
        <v>0</v>
      </c>
      <c r="Q24" s="22">
        <v>-3192565748</v>
      </c>
      <c r="S24" s="22">
        <v>-1692565748</v>
      </c>
      <c r="U24" s="24">
        <v>-9.720825646462131E-3</v>
      </c>
    </row>
    <row r="25" spans="1:21" ht="18.75" x14ac:dyDescent="0.45">
      <c r="A25" s="30" t="s">
        <v>34</v>
      </c>
      <c r="C25" s="22">
        <v>0</v>
      </c>
      <c r="E25" s="22">
        <v>2492233050</v>
      </c>
      <c r="G25" s="22">
        <v>0</v>
      </c>
      <c r="I25" s="22">
        <v>2492233050</v>
      </c>
      <c r="K25" s="24">
        <v>8.2765868229459534E-3</v>
      </c>
      <c r="M25" s="22">
        <v>506949840</v>
      </c>
      <c r="O25" s="22">
        <v>-2230147809</v>
      </c>
      <c r="Q25" s="22">
        <v>0</v>
      </c>
      <c r="S25" s="22">
        <v>-1723197969</v>
      </c>
      <c r="U25" s="24">
        <v>-9.8967541029234257E-3</v>
      </c>
    </row>
    <row r="26" spans="1:21" ht="18.75" x14ac:dyDescent="0.45">
      <c r="A26" s="30" t="s">
        <v>35</v>
      </c>
      <c r="C26" s="22">
        <v>0</v>
      </c>
      <c r="E26" s="22">
        <v>3846973500</v>
      </c>
      <c r="G26" s="22">
        <v>0</v>
      </c>
      <c r="I26" s="22">
        <v>3846973500</v>
      </c>
      <c r="K26" s="24">
        <v>1.2775615096799343E-2</v>
      </c>
      <c r="M26" s="22">
        <v>0</v>
      </c>
      <c r="O26" s="22">
        <v>3930247202</v>
      </c>
      <c r="Q26" s="22">
        <v>0</v>
      </c>
      <c r="S26" s="22">
        <v>3930247202</v>
      </c>
      <c r="U26" s="24">
        <v>2.2572386238633509E-2</v>
      </c>
    </row>
    <row r="27" spans="1:21" ht="18.75" x14ac:dyDescent="0.45">
      <c r="A27" s="30" t="s">
        <v>36</v>
      </c>
      <c r="C27" s="22">
        <v>0</v>
      </c>
      <c r="E27" s="22">
        <v>8319619486</v>
      </c>
      <c r="G27" s="22">
        <v>0</v>
      </c>
      <c r="I27" s="22">
        <v>8319619486</v>
      </c>
      <c r="K27" s="24">
        <v>2.7629058610611067E-2</v>
      </c>
      <c r="M27" s="22">
        <v>5856000000</v>
      </c>
      <c r="O27" s="22">
        <v>5394110866</v>
      </c>
      <c r="Q27" s="22">
        <v>-2286428220</v>
      </c>
      <c r="S27" s="22">
        <v>8963682646</v>
      </c>
      <c r="U27" s="24">
        <v>5.1480656662788817E-2</v>
      </c>
    </row>
    <row r="28" spans="1:21" ht="18.75" x14ac:dyDescent="0.45">
      <c r="A28" s="30" t="s">
        <v>37</v>
      </c>
      <c r="C28" s="22">
        <v>0</v>
      </c>
      <c r="E28" s="22">
        <v>8916607724</v>
      </c>
      <c r="G28" s="22">
        <v>0</v>
      </c>
      <c r="I28" s="22">
        <v>8916607724</v>
      </c>
      <c r="K28" s="24">
        <v>2.9611628011207262E-2</v>
      </c>
      <c r="M28" s="22">
        <v>11458002500</v>
      </c>
      <c r="O28" s="22">
        <v>-13700335227</v>
      </c>
      <c r="Q28" s="22">
        <v>0</v>
      </c>
      <c r="S28" s="22">
        <v>-2242332727</v>
      </c>
      <c r="U28" s="24">
        <v>-1.2878274008722861E-2</v>
      </c>
    </row>
    <row r="29" spans="1:21" ht="18.75" x14ac:dyDescent="0.45">
      <c r="A29" s="30" t="s">
        <v>38</v>
      </c>
      <c r="C29" s="22">
        <v>0</v>
      </c>
      <c r="E29" s="22">
        <v>8643790354</v>
      </c>
      <c r="G29" s="22">
        <v>0</v>
      </c>
      <c r="I29" s="22">
        <v>8643790354</v>
      </c>
      <c r="K29" s="24">
        <v>2.870561456691369E-2</v>
      </c>
      <c r="M29" s="22">
        <v>5465313900</v>
      </c>
      <c r="O29" s="22">
        <v>918726865</v>
      </c>
      <c r="Q29" s="22">
        <v>-475641043</v>
      </c>
      <c r="S29" s="22">
        <v>5908399722</v>
      </c>
      <c r="U29" s="24">
        <v>3.3933407677092686E-2</v>
      </c>
    </row>
    <row r="30" spans="1:21" ht="18.75" x14ac:dyDescent="0.45">
      <c r="A30" s="30" t="s">
        <v>39</v>
      </c>
      <c r="C30" s="22">
        <v>0</v>
      </c>
      <c r="E30" s="22">
        <v>-27068813282</v>
      </c>
      <c r="G30" s="22">
        <v>32663254822</v>
      </c>
      <c r="I30" s="22">
        <v>5594441540</v>
      </c>
      <c r="K30" s="24">
        <v>1.8578872923503468E-2</v>
      </c>
      <c r="M30" s="22">
        <v>7470000000</v>
      </c>
      <c r="O30" s="22">
        <v>5077342344</v>
      </c>
      <c r="Q30" s="22">
        <v>33244203072</v>
      </c>
      <c r="S30" s="22">
        <v>45791545416</v>
      </c>
      <c r="U30" s="24">
        <v>0.26299222325453098</v>
      </c>
    </row>
    <row r="31" spans="1:21" ht="18.75" x14ac:dyDescent="0.45">
      <c r="A31" s="30" t="s">
        <v>40</v>
      </c>
      <c r="C31" s="22">
        <v>0</v>
      </c>
      <c r="E31" s="22">
        <v>4141150394</v>
      </c>
      <c r="G31" s="22">
        <v>0</v>
      </c>
      <c r="I31" s="22">
        <v>4141150394</v>
      </c>
      <c r="K31" s="24">
        <v>1.3752562499248553E-2</v>
      </c>
      <c r="M31" s="22">
        <v>354565120</v>
      </c>
      <c r="O31" s="22">
        <v>5392648787</v>
      </c>
      <c r="Q31" s="22">
        <v>0</v>
      </c>
      <c r="S31" s="22">
        <v>5747213907</v>
      </c>
      <c r="U31" s="24">
        <v>3.3007677491338094E-2</v>
      </c>
    </row>
    <row r="32" spans="1:21" ht="18.75" x14ac:dyDescent="0.45">
      <c r="A32" s="30" t="s">
        <v>41</v>
      </c>
      <c r="C32" s="22">
        <v>0</v>
      </c>
      <c r="E32" s="22">
        <v>4667204935</v>
      </c>
      <c r="G32" s="22">
        <v>0</v>
      </c>
      <c r="I32" s="22">
        <v>4667204935</v>
      </c>
      <c r="K32" s="24">
        <v>1.5499564482948064E-2</v>
      </c>
      <c r="M32" s="22">
        <v>1299231570</v>
      </c>
      <c r="O32" s="22">
        <v>5030547679</v>
      </c>
      <c r="Q32" s="22">
        <v>0</v>
      </c>
      <c r="S32" s="22">
        <v>6329779249</v>
      </c>
      <c r="U32" s="24">
        <v>3.6353495001792399E-2</v>
      </c>
    </row>
    <row r="33" spans="1:21" ht="18.75" x14ac:dyDescent="0.45">
      <c r="A33" s="30" t="s">
        <v>42</v>
      </c>
      <c r="C33" s="22">
        <v>0</v>
      </c>
      <c r="E33" s="22">
        <v>1085502600</v>
      </c>
      <c r="G33" s="22">
        <v>0</v>
      </c>
      <c r="I33" s="22">
        <v>1085502600</v>
      </c>
      <c r="K33" s="24">
        <v>3.6049022443681868E-3</v>
      </c>
      <c r="M33" s="22">
        <v>0</v>
      </c>
      <c r="O33" s="22">
        <v>-628163678</v>
      </c>
      <c r="Q33" s="22">
        <v>0</v>
      </c>
      <c r="S33" s="22">
        <v>-628163678</v>
      </c>
      <c r="U33" s="24">
        <v>-3.6077000840255571E-3</v>
      </c>
    </row>
    <row r="34" spans="1:21" ht="18.75" x14ac:dyDescent="0.45">
      <c r="A34" s="30" t="s">
        <v>43</v>
      </c>
      <c r="C34" s="22">
        <v>0</v>
      </c>
      <c r="E34" s="22">
        <v>4514037233</v>
      </c>
      <c r="G34" s="22">
        <v>0</v>
      </c>
      <c r="I34" s="22">
        <v>4514037233</v>
      </c>
      <c r="K34" s="24">
        <v>1.4990901866474811E-2</v>
      </c>
      <c r="M34" s="22">
        <v>663429592</v>
      </c>
      <c r="O34" s="22">
        <v>-2136457374</v>
      </c>
      <c r="Q34" s="22">
        <v>-3300327643</v>
      </c>
      <c r="S34" s="22">
        <v>-4773355425</v>
      </c>
      <c r="U34" s="24">
        <v>-2.741456625235875E-2</v>
      </c>
    </row>
    <row r="35" spans="1:21" ht="18.75" x14ac:dyDescent="0.45">
      <c r="A35" s="30" t="s">
        <v>44</v>
      </c>
      <c r="C35" s="22">
        <v>0</v>
      </c>
      <c r="E35" s="22">
        <v>-96707744</v>
      </c>
      <c r="G35" s="22">
        <v>-356669515</v>
      </c>
      <c r="I35" s="22">
        <v>-453377259</v>
      </c>
      <c r="K35" s="24">
        <v>-1.5056442043663431E-3</v>
      </c>
      <c r="M35" s="22">
        <v>4973291130</v>
      </c>
      <c r="O35" s="22">
        <v>-17262317986</v>
      </c>
      <c r="Q35" s="22">
        <v>-8407702977</v>
      </c>
      <c r="S35" s="22">
        <v>-20696729833</v>
      </c>
      <c r="U35" s="24">
        <v>-0.11886646199490757</v>
      </c>
    </row>
    <row r="36" spans="1:21" ht="18.75" x14ac:dyDescent="0.45">
      <c r="A36" s="30" t="s">
        <v>45</v>
      </c>
      <c r="C36" s="22">
        <v>0</v>
      </c>
      <c r="E36" s="22">
        <v>10975838225</v>
      </c>
      <c r="G36" s="22">
        <v>0</v>
      </c>
      <c r="I36" s="22">
        <v>10975838225</v>
      </c>
      <c r="K36" s="24">
        <v>3.6450234067725532E-2</v>
      </c>
      <c r="M36" s="22">
        <v>8260854580</v>
      </c>
      <c r="O36" s="22">
        <v>12045175404</v>
      </c>
      <c r="Q36" s="22">
        <v>-1640522387</v>
      </c>
      <c r="S36" s="22">
        <v>18665507597</v>
      </c>
      <c r="U36" s="24">
        <v>0.10720064799110619</v>
      </c>
    </row>
    <row r="37" spans="1:21" ht="18.75" x14ac:dyDescent="0.45">
      <c r="A37" s="30" t="s">
        <v>46</v>
      </c>
      <c r="C37" s="22">
        <v>0</v>
      </c>
      <c r="E37" s="22">
        <v>12225695693</v>
      </c>
      <c r="G37" s="22">
        <v>356277458</v>
      </c>
      <c r="I37" s="22">
        <v>12581973151</v>
      </c>
      <c r="K37" s="24">
        <v>4.1784131378976123E-2</v>
      </c>
      <c r="M37" s="22">
        <v>11364297360</v>
      </c>
      <c r="O37" s="22">
        <v>7397824583</v>
      </c>
      <c r="Q37" s="22">
        <v>1133763009</v>
      </c>
      <c r="S37" s="22">
        <v>19895884952</v>
      </c>
      <c r="U37" s="24">
        <v>0.11426701085555797</v>
      </c>
    </row>
    <row r="38" spans="1:21" ht="18.75" x14ac:dyDescent="0.45">
      <c r="A38" s="30" t="s">
        <v>47</v>
      </c>
      <c r="C38" s="22">
        <v>0</v>
      </c>
      <c r="E38" s="22">
        <v>6890164492</v>
      </c>
      <c r="G38" s="22">
        <v>0</v>
      </c>
      <c r="I38" s="22">
        <v>6890164492</v>
      </c>
      <c r="K38" s="24">
        <v>2.2881906907709654E-2</v>
      </c>
      <c r="M38" s="22">
        <v>15477329400</v>
      </c>
      <c r="O38" s="22">
        <v>5523929210</v>
      </c>
      <c r="Q38" s="22">
        <v>-1955557104</v>
      </c>
      <c r="S38" s="22">
        <v>19045701506</v>
      </c>
      <c r="U38" s="24">
        <v>0.10938419607814683</v>
      </c>
    </row>
    <row r="39" spans="1:21" ht="18.75" x14ac:dyDescent="0.45">
      <c r="A39" s="30" t="s">
        <v>48</v>
      </c>
      <c r="C39" s="22">
        <v>0</v>
      </c>
      <c r="E39" s="22">
        <v>-100739753</v>
      </c>
      <c r="G39" s="22">
        <v>-2959837411</v>
      </c>
      <c r="I39" s="22">
        <v>-3060577164</v>
      </c>
      <c r="K39" s="24">
        <v>-1.0164030457011914E-2</v>
      </c>
      <c r="M39" s="22">
        <v>1771554000</v>
      </c>
      <c r="O39" s="22">
        <v>-6847503740</v>
      </c>
      <c r="Q39" s="22">
        <v>-5794615085</v>
      </c>
      <c r="S39" s="22">
        <v>-10870564825</v>
      </c>
      <c r="U39" s="24">
        <v>-6.2432354824179706E-2</v>
      </c>
    </row>
    <row r="40" spans="1:21" ht="18.75" x14ac:dyDescent="0.45">
      <c r="A40" s="30" t="s">
        <v>214</v>
      </c>
      <c r="C40" s="22">
        <v>0</v>
      </c>
      <c r="E40" s="22">
        <v>3056181542</v>
      </c>
      <c r="G40" s="22">
        <v>-586856364</v>
      </c>
      <c r="I40" s="22">
        <v>2469325178</v>
      </c>
      <c r="K40" s="24">
        <v>8.2005108750979258E-3</v>
      </c>
      <c r="M40" s="22">
        <v>1836964170</v>
      </c>
      <c r="O40" s="22">
        <v>-12929667223</v>
      </c>
      <c r="Q40" s="22">
        <v>-6814939120</v>
      </c>
      <c r="S40" s="22">
        <v>-17907642173</v>
      </c>
      <c r="U40" s="24">
        <v>-0.10284803855251197</v>
      </c>
    </row>
    <row r="41" spans="1:21" ht="18.75" x14ac:dyDescent="0.45">
      <c r="A41" s="30" t="s">
        <v>49</v>
      </c>
      <c r="C41" s="22">
        <v>0</v>
      </c>
      <c r="E41" s="22">
        <v>1844744563</v>
      </c>
      <c r="G41" s="22">
        <v>0</v>
      </c>
      <c r="I41" s="22">
        <v>1844744563</v>
      </c>
      <c r="K41" s="24">
        <v>6.1263085094818842E-3</v>
      </c>
      <c r="M41" s="22">
        <v>2167974875</v>
      </c>
      <c r="O41" s="22">
        <v>-12852831258</v>
      </c>
      <c r="Q41" s="22">
        <v>0</v>
      </c>
      <c r="S41" s="22">
        <v>-10684856383</v>
      </c>
      <c r="U41" s="24">
        <v>-6.1365785098370672E-2</v>
      </c>
    </row>
    <row r="42" spans="1:21" ht="18.75" x14ac:dyDescent="0.45">
      <c r="A42" s="30" t="s">
        <v>50</v>
      </c>
      <c r="C42" s="22">
        <v>0</v>
      </c>
      <c r="E42" s="22">
        <v>5590537200</v>
      </c>
      <c r="G42" s="22">
        <v>0</v>
      </c>
      <c r="I42" s="22">
        <v>5590537200</v>
      </c>
      <c r="K42" s="24">
        <v>1.8565906797002457E-2</v>
      </c>
      <c r="M42" s="22">
        <v>0</v>
      </c>
      <c r="O42" s="22">
        <v>2871935416</v>
      </c>
      <c r="Q42" s="22">
        <v>0</v>
      </c>
      <c r="S42" s="22">
        <v>2871935416</v>
      </c>
      <c r="U42" s="24">
        <v>1.6494238690475786E-2</v>
      </c>
    </row>
    <row r="43" spans="1:21" ht="18.75" x14ac:dyDescent="0.45">
      <c r="A43" s="30" t="s">
        <v>51</v>
      </c>
      <c r="C43" s="22">
        <v>0</v>
      </c>
      <c r="E43" s="22">
        <v>145412479</v>
      </c>
      <c r="G43" s="22">
        <v>-143653397</v>
      </c>
      <c r="I43" s="22">
        <v>1759082</v>
      </c>
      <c r="K43" s="24">
        <v>5.841827232682519E-6</v>
      </c>
      <c r="M43" s="22">
        <v>2965783190</v>
      </c>
      <c r="O43" s="22">
        <v>0</v>
      </c>
      <c r="Q43" s="22">
        <v>-4421527160</v>
      </c>
      <c r="S43" s="22">
        <v>-1455743970</v>
      </c>
      <c r="U43" s="24">
        <v>-8.3606993317571262E-3</v>
      </c>
    </row>
    <row r="44" spans="1:21" ht="18.75" x14ac:dyDescent="0.45">
      <c r="A44" s="30" t="s">
        <v>53</v>
      </c>
      <c r="C44" s="22">
        <v>0</v>
      </c>
      <c r="E44" s="22">
        <v>4908011282</v>
      </c>
      <c r="G44" s="22">
        <v>0</v>
      </c>
      <c r="I44" s="22">
        <v>4908011282</v>
      </c>
      <c r="K44" s="24">
        <v>1.6299270850080122E-2</v>
      </c>
      <c r="M44" s="22">
        <v>7452230800</v>
      </c>
      <c r="O44" s="22">
        <v>-9054256036</v>
      </c>
      <c r="Q44" s="22">
        <v>0</v>
      </c>
      <c r="S44" s="22">
        <v>-1602025236</v>
      </c>
      <c r="U44" s="24">
        <v>-9.200828989237202E-3</v>
      </c>
    </row>
    <row r="45" spans="1:21" ht="18.75" x14ac:dyDescent="0.45">
      <c r="A45" s="30" t="s">
        <v>54</v>
      </c>
      <c r="C45" s="22">
        <v>0</v>
      </c>
      <c r="E45" s="22">
        <v>15401408090</v>
      </c>
      <c r="G45" s="22">
        <v>0</v>
      </c>
      <c r="I45" s="22">
        <v>15401408090</v>
      </c>
      <c r="K45" s="24">
        <v>5.1147340034073945E-2</v>
      </c>
      <c r="M45" s="22">
        <v>9281108970</v>
      </c>
      <c r="O45" s="22">
        <v>-3135263809</v>
      </c>
      <c r="Q45" s="22">
        <v>0</v>
      </c>
      <c r="S45" s="22">
        <v>6145845161</v>
      </c>
      <c r="U45" s="24">
        <v>3.5297115831883177E-2</v>
      </c>
    </row>
    <row r="46" spans="1:21" ht="18.75" x14ac:dyDescent="0.45">
      <c r="A46" s="30" t="s">
        <v>55</v>
      </c>
      <c r="C46" s="22">
        <v>0</v>
      </c>
      <c r="E46" s="22">
        <v>2226795507</v>
      </c>
      <c r="G46" s="22">
        <v>0</v>
      </c>
      <c r="I46" s="22">
        <v>2226795507</v>
      </c>
      <c r="K46" s="24">
        <v>7.3950814313418455E-3</v>
      </c>
      <c r="M46" s="22">
        <v>0</v>
      </c>
      <c r="O46" s="22">
        <v>-157014996</v>
      </c>
      <c r="Q46" s="22">
        <v>0</v>
      </c>
      <c r="S46" s="22">
        <v>-157014996</v>
      </c>
      <c r="U46" s="24">
        <v>-9.0177613590461771E-4</v>
      </c>
    </row>
    <row r="47" spans="1:21" ht="18.75" x14ac:dyDescent="0.45">
      <c r="A47" s="30" t="s">
        <v>56</v>
      </c>
      <c r="C47" s="22">
        <v>0</v>
      </c>
      <c r="E47" s="22">
        <v>8251304831</v>
      </c>
      <c r="G47" s="22">
        <v>0</v>
      </c>
      <c r="I47" s="22">
        <v>8251304831</v>
      </c>
      <c r="K47" s="24">
        <v>2.7402188906998439E-2</v>
      </c>
      <c r="M47" s="22">
        <v>5208577000</v>
      </c>
      <c r="O47" s="22">
        <v>4528747321</v>
      </c>
      <c r="Q47" s="22">
        <v>0</v>
      </c>
      <c r="S47" s="22">
        <v>9737324321</v>
      </c>
      <c r="U47" s="24">
        <v>5.5923873030837359E-2</v>
      </c>
    </row>
    <row r="48" spans="1:21" ht="18.75" x14ac:dyDescent="0.45">
      <c r="A48" s="30" t="s">
        <v>57</v>
      </c>
      <c r="C48" s="22">
        <v>0</v>
      </c>
      <c r="E48" s="22">
        <v>1261692645</v>
      </c>
      <c r="G48" s="22">
        <v>0</v>
      </c>
      <c r="I48" s="22">
        <v>1261692645</v>
      </c>
      <c r="K48" s="24">
        <v>4.1900209614084147E-3</v>
      </c>
      <c r="M48" s="22">
        <v>2206833270</v>
      </c>
      <c r="O48" s="22">
        <v>-7090017142</v>
      </c>
      <c r="Q48" s="22">
        <v>0</v>
      </c>
      <c r="S48" s="22">
        <v>-4883183872</v>
      </c>
      <c r="U48" s="24">
        <v>-2.8045338312806183E-2</v>
      </c>
    </row>
    <row r="49" spans="1:21" ht="37.5" x14ac:dyDescent="0.45">
      <c r="A49" s="30" t="s">
        <v>58</v>
      </c>
      <c r="C49" s="22">
        <v>0</v>
      </c>
      <c r="E49" s="22">
        <v>6953726413</v>
      </c>
      <c r="G49" s="22">
        <v>-7766237430</v>
      </c>
      <c r="I49" s="22">
        <v>-812511017</v>
      </c>
      <c r="K49" s="24">
        <v>-2.6983102470295125E-3</v>
      </c>
      <c r="M49" s="22">
        <v>2632423200</v>
      </c>
      <c r="O49" s="22">
        <v>0</v>
      </c>
      <c r="Q49" s="22">
        <v>-13752124697</v>
      </c>
      <c r="S49" s="22">
        <v>-11119701497</v>
      </c>
      <c r="U49" s="24">
        <v>-6.3863208635036708E-2</v>
      </c>
    </row>
    <row r="50" spans="1:21" ht="18.75" x14ac:dyDescent="0.45">
      <c r="A50" s="30" t="s">
        <v>59</v>
      </c>
      <c r="C50" s="22">
        <v>0</v>
      </c>
      <c r="E50" s="22">
        <v>88510212</v>
      </c>
      <c r="G50" s="22">
        <v>0</v>
      </c>
      <c r="I50" s="22">
        <v>88510212</v>
      </c>
      <c r="K50" s="24">
        <v>2.939381830023291E-4</v>
      </c>
      <c r="M50" s="22">
        <v>1556521750</v>
      </c>
      <c r="O50" s="22">
        <v>-1163992787</v>
      </c>
      <c r="Q50" s="22">
        <v>-3036925967</v>
      </c>
      <c r="S50" s="22">
        <v>-2644397004</v>
      </c>
      <c r="U50" s="24">
        <v>-1.5187429053368048E-2</v>
      </c>
    </row>
    <row r="51" spans="1:21" ht="18.75" x14ac:dyDescent="0.45">
      <c r="A51" s="30" t="s">
        <v>60</v>
      </c>
      <c r="C51" s="22">
        <v>0</v>
      </c>
      <c r="E51" s="22">
        <v>3471923469</v>
      </c>
      <c r="G51" s="22">
        <v>-3553996593</v>
      </c>
      <c r="I51" s="22">
        <v>-82073124</v>
      </c>
      <c r="K51" s="24">
        <v>-2.7256092146615634E-4</v>
      </c>
      <c r="M51" s="22">
        <v>7215950050</v>
      </c>
      <c r="O51" s="22">
        <v>0</v>
      </c>
      <c r="Q51" s="22">
        <v>-14856523005</v>
      </c>
      <c r="S51" s="22">
        <v>-7640572955</v>
      </c>
      <c r="U51" s="24">
        <v>-4.3881708951272573E-2</v>
      </c>
    </row>
    <row r="52" spans="1:21" ht="18.75" x14ac:dyDescent="0.45">
      <c r="A52" s="30" t="s">
        <v>61</v>
      </c>
      <c r="C52" s="22">
        <v>0</v>
      </c>
      <c r="E52" s="22">
        <v>2575435616</v>
      </c>
      <c r="G52" s="22">
        <v>0</v>
      </c>
      <c r="I52" s="22">
        <v>2575435616</v>
      </c>
      <c r="K52" s="24">
        <v>8.5528985673034453E-3</v>
      </c>
      <c r="M52" s="22">
        <v>10001494860</v>
      </c>
      <c r="O52" s="22">
        <v>-18981708912</v>
      </c>
      <c r="Q52" s="22">
        <v>-5923616398</v>
      </c>
      <c r="S52" s="22">
        <v>-14903830450</v>
      </c>
      <c r="U52" s="24">
        <v>-8.5596401463326338E-2</v>
      </c>
    </row>
    <row r="53" spans="1:21" ht="18.75" x14ac:dyDescent="0.45">
      <c r="A53" s="30" t="s">
        <v>62</v>
      </c>
      <c r="C53" s="22">
        <v>0</v>
      </c>
      <c r="E53" s="22">
        <v>-588209455</v>
      </c>
      <c r="G53" s="22">
        <v>-24796662</v>
      </c>
      <c r="I53" s="22">
        <v>-613006117</v>
      </c>
      <c r="K53" s="24">
        <v>-2.0357640110532462E-3</v>
      </c>
      <c r="M53" s="22">
        <v>528859188</v>
      </c>
      <c r="O53" s="22">
        <v>-707853562</v>
      </c>
      <c r="Q53" s="22">
        <v>57502122</v>
      </c>
      <c r="S53" s="22">
        <v>-121492252</v>
      </c>
      <c r="U53" s="24">
        <v>-6.9776019069484334E-4</v>
      </c>
    </row>
    <row r="54" spans="1:21" ht="18.75" x14ac:dyDescent="0.45">
      <c r="A54" s="30" t="s">
        <v>63</v>
      </c>
      <c r="C54" s="22">
        <v>0</v>
      </c>
      <c r="E54" s="22">
        <v>1734493172</v>
      </c>
      <c r="G54" s="22">
        <v>0</v>
      </c>
      <c r="I54" s="22">
        <v>1734493172</v>
      </c>
      <c r="K54" s="24">
        <v>5.7601689103131543E-3</v>
      </c>
      <c r="M54" s="22">
        <v>10826857756</v>
      </c>
      <c r="O54" s="22">
        <v>-4089090927</v>
      </c>
      <c r="Q54" s="22">
        <v>0</v>
      </c>
      <c r="S54" s="22">
        <v>6737766829</v>
      </c>
      <c r="U54" s="24">
        <v>3.8696669047343285E-2</v>
      </c>
    </row>
    <row r="55" spans="1:21" ht="18.75" x14ac:dyDescent="0.45">
      <c r="A55" s="30" t="s">
        <v>64</v>
      </c>
      <c r="C55" s="22">
        <v>0</v>
      </c>
      <c r="E55" s="22">
        <v>684244973</v>
      </c>
      <c r="G55" s="22">
        <v>0</v>
      </c>
      <c r="I55" s="22">
        <v>684244973</v>
      </c>
      <c r="K55" s="24">
        <v>2.2723448464014267E-3</v>
      </c>
      <c r="M55" s="22">
        <v>875213400</v>
      </c>
      <c r="O55" s="22">
        <v>-1041739494</v>
      </c>
      <c r="Q55" s="22">
        <v>-103929926</v>
      </c>
      <c r="S55" s="22">
        <v>-270456020</v>
      </c>
      <c r="U55" s="24">
        <v>-1.5532961236883515E-3</v>
      </c>
    </row>
    <row r="56" spans="1:21" ht="18.75" x14ac:dyDescent="0.45">
      <c r="A56" s="30" t="s">
        <v>65</v>
      </c>
      <c r="C56" s="22">
        <v>0</v>
      </c>
      <c r="E56" s="22">
        <v>1080675453</v>
      </c>
      <c r="G56" s="22">
        <v>0</v>
      </c>
      <c r="I56" s="22">
        <v>1080675453</v>
      </c>
      <c r="K56" s="24">
        <v>3.588871519933077E-3</v>
      </c>
      <c r="M56" s="22">
        <v>4309749270</v>
      </c>
      <c r="O56" s="22">
        <v>-13469847617</v>
      </c>
      <c r="Q56" s="22">
        <v>0</v>
      </c>
      <c r="S56" s="22">
        <v>-9160098347</v>
      </c>
      <c r="U56" s="24">
        <v>-5.2608720837492087E-2</v>
      </c>
    </row>
    <row r="57" spans="1:21" ht="18.75" x14ac:dyDescent="0.45">
      <c r="A57" s="30" t="s">
        <v>66</v>
      </c>
      <c r="C57" s="22">
        <v>0</v>
      </c>
      <c r="E57" s="22">
        <v>14644724834</v>
      </c>
      <c r="G57" s="22">
        <v>0</v>
      </c>
      <c r="I57" s="22">
        <v>14644724834</v>
      </c>
      <c r="K57" s="24">
        <v>4.8634431112593489E-2</v>
      </c>
      <c r="M57" s="22">
        <v>21199709760</v>
      </c>
      <c r="O57" s="22">
        <v>32161620272</v>
      </c>
      <c r="Q57" s="22">
        <v>3169217810</v>
      </c>
      <c r="S57" s="22">
        <v>56530547842</v>
      </c>
      <c r="U57" s="24">
        <v>0.32466898253164234</v>
      </c>
    </row>
    <row r="58" spans="1:21" ht="18.75" x14ac:dyDescent="0.45">
      <c r="A58" s="30" t="s">
        <v>67</v>
      </c>
      <c r="C58" s="22">
        <v>0</v>
      </c>
      <c r="E58" s="22">
        <v>3874042839</v>
      </c>
      <c r="G58" s="22">
        <v>0</v>
      </c>
      <c r="I58" s="22">
        <v>3874042839</v>
      </c>
      <c r="K58" s="24">
        <v>1.2865511077623954E-2</v>
      </c>
      <c r="M58" s="22">
        <v>3630960900</v>
      </c>
      <c r="O58" s="22">
        <v>-1058744628</v>
      </c>
      <c r="Q58" s="22">
        <v>-247061007</v>
      </c>
      <c r="S58" s="22">
        <v>2325155265</v>
      </c>
      <c r="U58" s="24">
        <v>1.3353944423563068E-2</v>
      </c>
    </row>
    <row r="59" spans="1:21" ht="18.75" x14ac:dyDescent="0.45">
      <c r="A59" s="30" t="s">
        <v>68</v>
      </c>
      <c r="C59" s="22">
        <v>0</v>
      </c>
      <c r="E59" s="22">
        <v>2610838935</v>
      </c>
      <c r="G59" s="22">
        <v>0</v>
      </c>
      <c r="I59" s="22">
        <v>2610838935</v>
      </c>
      <c r="K59" s="24">
        <v>8.6704712973191839E-3</v>
      </c>
      <c r="M59" s="22">
        <v>981513694</v>
      </c>
      <c r="O59" s="22">
        <v>2690009380</v>
      </c>
      <c r="Q59" s="22">
        <v>-40223715</v>
      </c>
      <c r="S59" s="22">
        <v>3631299359</v>
      </c>
      <c r="U59" s="24">
        <v>2.0855454496027472E-2</v>
      </c>
    </row>
    <row r="60" spans="1:21" ht="18.75" x14ac:dyDescent="0.45">
      <c r="A60" s="30" t="s">
        <v>69</v>
      </c>
      <c r="C60" s="22">
        <v>0</v>
      </c>
      <c r="E60" s="22">
        <v>5069476369</v>
      </c>
      <c r="G60" s="22">
        <v>0</v>
      </c>
      <c r="I60" s="22">
        <v>5069476369</v>
      </c>
      <c r="K60" s="24">
        <v>1.6835488685498855E-2</v>
      </c>
      <c r="M60" s="22">
        <v>0</v>
      </c>
      <c r="O60" s="22">
        <v>3937307059</v>
      </c>
      <c r="Q60" s="22">
        <v>0</v>
      </c>
      <c r="S60" s="22">
        <v>3937307059</v>
      </c>
      <c r="U60" s="24">
        <v>2.261293275156339E-2</v>
      </c>
    </row>
    <row r="61" spans="1:21" ht="18.75" x14ac:dyDescent="0.45">
      <c r="A61" s="30" t="s">
        <v>70</v>
      </c>
      <c r="C61" s="22">
        <v>0</v>
      </c>
      <c r="E61" s="22">
        <v>6840310916</v>
      </c>
      <c r="G61" s="22">
        <v>0</v>
      </c>
      <c r="I61" s="22">
        <v>6840310916</v>
      </c>
      <c r="K61" s="24">
        <v>2.2716345564961899E-2</v>
      </c>
      <c r="M61" s="22">
        <v>3406923000</v>
      </c>
      <c r="O61" s="22">
        <v>8022989218</v>
      </c>
      <c r="Q61" s="22">
        <v>0</v>
      </c>
      <c r="S61" s="22">
        <v>11429912218</v>
      </c>
      <c r="U61" s="24">
        <v>6.56448258845099E-2</v>
      </c>
    </row>
    <row r="62" spans="1:21" ht="18.75" x14ac:dyDescent="0.45">
      <c r="A62" s="30" t="s">
        <v>71</v>
      </c>
      <c r="C62" s="22">
        <v>0</v>
      </c>
      <c r="E62" s="22">
        <v>5216034883</v>
      </c>
      <c r="G62" s="22">
        <v>0</v>
      </c>
      <c r="I62" s="22">
        <v>5216034883</v>
      </c>
      <c r="K62" s="24">
        <v>1.732220250456282E-2</v>
      </c>
      <c r="M62" s="22">
        <v>3679110568</v>
      </c>
      <c r="O62" s="22">
        <v>-2413165563</v>
      </c>
      <c r="Q62" s="22">
        <v>0</v>
      </c>
      <c r="S62" s="22">
        <v>1265945005</v>
      </c>
      <c r="U62" s="24">
        <v>7.2706367159774471E-3</v>
      </c>
    </row>
    <row r="63" spans="1:21" ht="18.75" x14ac:dyDescent="0.45">
      <c r="A63" s="30" t="s">
        <v>72</v>
      </c>
      <c r="C63" s="22">
        <v>0</v>
      </c>
      <c r="E63" s="22">
        <v>-4283806</v>
      </c>
      <c r="G63" s="22">
        <v>438966730</v>
      </c>
      <c r="I63" s="22">
        <v>434682924</v>
      </c>
      <c r="K63" s="24">
        <v>1.4435612114757957E-3</v>
      </c>
      <c r="M63" s="22">
        <v>0</v>
      </c>
      <c r="O63" s="22">
        <v>0</v>
      </c>
      <c r="Q63" s="22">
        <v>438966730</v>
      </c>
      <c r="S63" s="22">
        <v>438966730</v>
      </c>
      <c r="U63" s="24">
        <v>2.5210950014614248E-3</v>
      </c>
    </row>
    <row r="64" spans="1:21" ht="18.75" x14ac:dyDescent="0.45">
      <c r="A64" s="30" t="s">
        <v>73</v>
      </c>
      <c r="C64" s="22">
        <v>0</v>
      </c>
      <c r="E64" s="22">
        <v>1116616365</v>
      </c>
      <c r="G64" s="22">
        <v>0</v>
      </c>
      <c r="I64" s="22">
        <v>1116616365</v>
      </c>
      <c r="K64" s="24">
        <v>3.7082295706032825E-3</v>
      </c>
      <c r="M64" s="22">
        <v>0</v>
      </c>
      <c r="O64" s="22">
        <v>-11030674635</v>
      </c>
      <c r="Q64" s="22">
        <v>-707663080</v>
      </c>
      <c r="S64" s="22">
        <v>-11738337715</v>
      </c>
      <c r="U64" s="24">
        <v>-6.7416190148972391E-2</v>
      </c>
    </row>
    <row r="65" spans="1:21" ht="18.75" x14ac:dyDescent="0.45">
      <c r="A65" s="30" t="s">
        <v>74</v>
      </c>
      <c r="C65" s="22">
        <v>0</v>
      </c>
      <c r="E65" s="22">
        <v>13362804564</v>
      </c>
      <c r="G65" s="22">
        <v>0</v>
      </c>
      <c r="I65" s="22">
        <v>13362804564</v>
      </c>
      <c r="K65" s="24">
        <v>4.4377235175500317E-2</v>
      </c>
      <c r="M65" s="22">
        <v>9667551000</v>
      </c>
      <c r="O65" s="22">
        <v>17185659600</v>
      </c>
      <c r="Q65" s="22">
        <v>491160882</v>
      </c>
      <c r="S65" s="22">
        <v>27344371482</v>
      </c>
      <c r="U65" s="24">
        <v>0.15704551973990041</v>
      </c>
    </row>
    <row r="66" spans="1:21" ht="18.75" x14ac:dyDescent="0.45">
      <c r="A66" s="30" t="s">
        <v>75</v>
      </c>
      <c r="C66" s="22">
        <v>0</v>
      </c>
      <c r="E66" s="22">
        <v>19021866504</v>
      </c>
      <c r="G66" s="22">
        <v>4907184244</v>
      </c>
      <c r="I66" s="22">
        <v>23929050748</v>
      </c>
      <c r="K66" s="24">
        <v>7.9467233654774705E-2</v>
      </c>
      <c r="M66" s="22">
        <v>1174095040</v>
      </c>
      <c r="O66" s="22">
        <v>19064893518</v>
      </c>
      <c r="Q66" s="22">
        <v>4907184244</v>
      </c>
      <c r="S66" s="22">
        <v>25146172802</v>
      </c>
      <c r="U66" s="24">
        <v>0.14442071852918656</v>
      </c>
    </row>
    <row r="67" spans="1:21" ht="18.75" x14ac:dyDescent="0.45">
      <c r="A67" s="30" t="s">
        <v>76</v>
      </c>
      <c r="C67" s="22">
        <v>0</v>
      </c>
      <c r="E67" s="22">
        <v>8081228648</v>
      </c>
      <c r="G67" s="22">
        <v>0</v>
      </c>
      <c r="I67" s="22">
        <v>8081228648</v>
      </c>
      <c r="K67" s="24">
        <v>2.6837374033399541E-2</v>
      </c>
      <c r="M67" s="22">
        <v>0</v>
      </c>
      <c r="O67" s="22">
        <v>-3709275707</v>
      </c>
      <c r="Q67" s="22">
        <v>-4705105779</v>
      </c>
      <c r="S67" s="22">
        <v>-8414381486</v>
      </c>
      <c r="U67" s="24">
        <v>-4.8325883614788206E-2</v>
      </c>
    </row>
    <row r="68" spans="1:21" ht="18.75" x14ac:dyDescent="0.45">
      <c r="A68" s="30" t="s">
        <v>77</v>
      </c>
      <c r="C68" s="22">
        <v>0</v>
      </c>
      <c r="E68" s="22">
        <v>-1007494228</v>
      </c>
      <c r="G68" s="22">
        <v>0</v>
      </c>
      <c r="I68" s="22">
        <v>-1007494228</v>
      </c>
      <c r="K68" s="24">
        <v>-3.3458401699868741E-3</v>
      </c>
      <c r="M68" s="22">
        <v>1665233700</v>
      </c>
      <c r="O68" s="22">
        <v>-1642353605</v>
      </c>
      <c r="Q68" s="22">
        <v>-735969397</v>
      </c>
      <c r="S68" s="22">
        <v>-713089302</v>
      </c>
      <c r="U68" s="24">
        <v>-4.0954490443223714E-3</v>
      </c>
    </row>
    <row r="69" spans="1:21" ht="18.75" x14ac:dyDescent="0.45">
      <c r="A69" s="30" t="s">
        <v>78</v>
      </c>
      <c r="C69" s="22">
        <v>0</v>
      </c>
      <c r="E69" s="22">
        <v>16120847304</v>
      </c>
      <c r="G69" s="22">
        <v>-7904624700</v>
      </c>
      <c r="I69" s="22">
        <v>8216222604</v>
      </c>
      <c r="K69" s="24">
        <v>2.7285682508165553E-2</v>
      </c>
      <c r="M69" s="22">
        <v>10223412400</v>
      </c>
      <c r="O69" s="22">
        <v>-16877657808</v>
      </c>
      <c r="Q69" s="22">
        <v>-8073856800</v>
      </c>
      <c r="S69" s="22">
        <v>-14728102208</v>
      </c>
      <c r="U69" s="24">
        <v>-8.4587150505920528E-2</v>
      </c>
    </row>
    <row r="70" spans="1:21" ht="18.75" x14ac:dyDescent="0.45">
      <c r="A70" s="30" t="s">
        <v>79</v>
      </c>
      <c r="C70" s="22">
        <v>0</v>
      </c>
      <c r="E70" s="22">
        <v>802734515</v>
      </c>
      <c r="G70" s="22">
        <v>0</v>
      </c>
      <c r="I70" s="22">
        <v>802734515</v>
      </c>
      <c r="K70" s="24">
        <v>2.6658429512331967E-3</v>
      </c>
      <c r="M70" s="22">
        <v>3061282080</v>
      </c>
      <c r="O70" s="22">
        <v>-16667205340</v>
      </c>
      <c r="Q70" s="22">
        <v>-2329746658</v>
      </c>
      <c r="S70" s="22">
        <v>-15935669918</v>
      </c>
      <c r="U70" s="24">
        <v>-9.1522511911572429E-2</v>
      </c>
    </row>
    <row r="71" spans="1:21" ht="18.75" x14ac:dyDescent="0.45">
      <c r="A71" s="30" t="s">
        <v>80</v>
      </c>
      <c r="C71" s="22">
        <v>0</v>
      </c>
      <c r="E71" s="22">
        <v>2505264075</v>
      </c>
      <c r="G71" s="22">
        <v>0</v>
      </c>
      <c r="I71" s="22">
        <v>2505264075</v>
      </c>
      <c r="K71" s="24">
        <v>8.3198622340494525E-3</v>
      </c>
      <c r="M71" s="22">
        <v>0</v>
      </c>
      <c r="O71" s="22">
        <v>1702606653</v>
      </c>
      <c r="Q71" s="22">
        <v>-1125294420</v>
      </c>
      <c r="S71" s="22">
        <v>577312233</v>
      </c>
      <c r="U71" s="24">
        <v>3.3156476002152453E-3</v>
      </c>
    </row>
    <row r="72" spans="1:21" ht="18.75" x14ac:dyDescent="0.45">
      <c r="A72" s="30" t="s">
        <v>215</v>
      </c>
      <c r="C72" s="22">
        <v>0</v>
      </c>
      <c r="E72" s="22">
        <v>11810498954</v>
      </c>
      <c r="G72" s="22">
        <v>0</v>
      </c>
      <c r="I72" s="22">
        <v>11810498954</v>
      </c>
      <c r="K72" s="24">
        <v>3.922210244948536E-2</v>
      </c>
      <c r="M72" s="22">
        <v>10880392370</v>
      </c>
      <c r="O72" s="22">
        <v>7460003278</v>
      </c>
      <c r="Q72" s="22">
        <v>-68360644</v>
      </c>
      <c r="S72" s="22">
        <v>18272035004</v>
      </c>
      <c r="U72" s="24">
        <v>0.10494083712246846</v>
      </c>
    </row>
    <row r="73" spans="1:21" ht="18.75" x14ac:dyDescent="0.45">
      <c r="A73" s="30" t="s">
        <v>82</v>
      </c>
      <c r="C73" s="22">
        <v>0</v>
      </c>
      <c r="E73" s="22">
        <v>5053443927</v>
      </c>
      <c r="G73" s="22">
        <v>0</v>
      </c>
      <c r="I73" s="22">
        <v>5053443927</v>
      </c>
      <c r="K73" s="24">
        <v>1.6782245712014955E-2</v>
      </c>
      <c r="M73" s="22">
        <v>15484422500</v>
      </c>
      <c r="O73" s="22">
        <v>-8218772030</v>
      </c>
      <c r="Q73" s="22">
        <v>-1937352503</v>
      </c>
      <c r="S73" s="22">
        <v>5328297967</v>
      </c>
      <c r="U73" s="24">
        <v>3.0601739158912504E-2</v>
      </c>
    </row>
    <row r="74" spans="1:21" ht="18.75" x14ac:dyDescent="0.45">
      <c r="A74" s="30" t="s">
        <v>83</v>
      </c>
      <c r="C74" s="22">
        <v>0</v>
      </c>
      <c r="E74" s="22">
        <v>53678700</v>
      </c>
      <c r="G74" s="22">
        <v>0</v>
      </c>
      <c r="I74" s="22">
        <v>53678700</v>
      </c>
      <c r="K74" s="24">
        <v>1.7826439669952574E-4</v>
      </c>
      <c r="M74" s="22">
        <v>18000000</v>
      </c>
      <c r="O74" s="22">
        <v>1087440998</v>
      </c>
      <c r="Q74" s="22">
        <v>0</v>
      </c>
      <c r="S74" s="22">
        <v>1105440998</v>
      </c>
      <c r="U74" s="24">
        <v>6.3488223229772539E-3</v>
      </c>
    </row>
    <row r="75" spans="1:21" ht="18.75" x14ac:dyDescent="0.45">
      <c r="A75" s="30" t="s">
        <v>84</v>
      </c>
      <c r="C75" s="22">
        <v>0</v>
      </c>
      <c r="E75" s="22">
        <v>-6137152072</v>
      </c>
      <c r="G75" s="22">
        <v>9612681148</v>
      </c>
      <c r="I75" s="22">
        <v>3475529076</v>
      </c>
      <c r="K75" s="24">
        <v>1.1542065920836385E-2</v>
      </c>
      <c r="M75" s="22">
        <v>0</v>
      </c>
      <c r="O75" s="22">
        <v>13827229438</v>
      </c>
      <c r="Q75" s="22">
        <v>10982025836</v>
      </c>
      <c r="S75" s="22">
        <v>24809255274</v>
      </c>
      <c r="U75" s="24">
        <v>0.14248571745121069</v>
      </c>
    </row>
    <row r="76" spans="1:21" ht="37.5" x14ac:dyDescent="0.45">
      <c r="A76" s="30" t="s">
        <v>85</v>
      </c>
      <c r="C76" s="22">
        <v>0</v>
      </c>
      <c r="E76" s="22">
        <v>3045230787</v>
      </c>
      <c r="G76" s="22">
        <v>0</v>
      </c>
      <c r="I76" s="22">
        <v>3045230787</v>
      </c>
      <c r="K76" s="24">
        <v>1.0113065872597081E-2</v>
      </c>
      <c r="M76" s="22">
        <v>0</v>
      </c>
      <c r="O76" s="22">
        <v>3045230787</v>
      </c>
      <c r="Q76" s="22">
        <v>-6772481868</v>
      </c>
      <c r="S76" s="22">
        <v>-3727251081</v>
      </c>
      <c r="U76" s="24">
        <v>-2.1406529076818174E-2</v>
      </c>
    </row>
    <row r="77" spans="1:21" ht="18.75" x14ac:dyDescent="0.45">
      <c r="A77" s="30" t="s">
        <v>86</v>
      </c>
      <c r="C77" s="22">
        <v>0</v>
      </c>
      <c r="E77" s="22">
        <v>4112987049</v>
      </c>
      <c r="G77" s="22">
        <v>-272265190</v>
      </c>
      <c r="I77" s="22">
        <v>3840721859</v>
      </c>
      <c r="K77" s="24">
        <v>1.2754853695885257E-2</v>
      </c>
      <c r="M77" s="22">
        <v>0</v>
      </c>
      <c r="O77" s="22">
        <v>-4968030831</v>
      </c>
      <c r="Q77" s="22">
        <v>-11492272683</v>
      </c>
      <c r="S77" s="22">
        <v>-16460303514</v>
      </c>
      <c r="U77" s="24">
        <v>-9.4535613010314767E-2</v>
      </c>
    </row>
    <row r="78" spans="1:21" ht="18.75" x14ac:dyDescent="0.45">
      <c r="A78" s="30" t="s">
        <v>196</v>
      </c>
      <c r="L78" s="23"/>
      <c r="M78" s="22">
        <v>0</v>
      </c>
      <c r="O78" s="22">
        <v>0</v>
      </c>
      <c r="Q78" s="22">
        <v>-208684776</v>
      </c>
      <c r="S78" s="22">
        <v>-208684776</v>
      </c>
      <c r="U78" s="24">
        <v>-1.1985285209535064E-3</v>
      </c>
    </row>
    <row r="79" spans="1:21" ht="18.75" x14ac:dyDescent="0.45">
      <c r="A79" s="30" t="s">
        <v>216</v>
      </c>
      <c r="L79" s="23"/>
      <c r="M79" s="22">
        <v>799994060</v>
      </c>
      <c r="O79" s="22">
        <v>0</v>
      </c>
      <c r="Q79" s="22">
        <v>-2757485651</v>
      </c>
      <c r="S79" s="22">
        <v>-1957491591</v>
      </c>
      <c r="U79" s="24">
        <v>-1.1242360589543704E-2</v>
      </c>
    </row>
    <row r="80" spans="1:21" ht="18.75" x14ac:dyDescent="0.45">
      <c r="A80" s="30" t="s">
        <v>197</v>
      </c>
      <c r="L80" s="23"/>
      <c r="M80" s="22">
        <v>0</v>
      </c>
      <c r="O80" s="22">
        <v>0</v>
      </c>
      <c r="Q80" s="22">
        <v>3733687879</v>
      </c>
      <c r="S80" s="22">
        <v>3733687879</v>
      </c>
      <c r="U80" s="24">
        <v>2.1443497207098153E-2</v>
      </c>
    </row>
    <row r="81" spans="1:21" ht="18.75" x14ac:dyDescent="0.45">
      <c r="A81" s="30" t="s">
        <v>157</v>
      </c>
      <c r="L81" s="23"/>
      <c r="M81" s="22">
        <v>2282247100</v>
      </c>
      <c r="O81" s="22">
        <v>0</v>
      </c>
      <c r="Q81" s="22">
        <v>7345301855</v>
      </c>
      <c r="S81" s="22">
        <v>9627548955</v>
      </c>
      <c r="U81" s="24">
        <v>5.5293405827762085E-2</v>
      </c>
    </row>
    <row r="82" spans="1:21" ht="18.75" x14ac:dyDescent="0.45">
      <c r="A82" s="30" t="s">
        <v>163</v>
      </c>
      <c r="L82" s="23"/>
      <c r="M82" s="22">
        <v>5873257500</v>
      </c>
      <c r="O82" s="22">
        <v>0</v>
      </c>
      <c r="Q82" s="22">
        <v>-6354037387</v>
      </c>
      <c r="S82" s="22">
        <v>-480779887</v>
      </c>
      <c r="U82" s="24">
        <v>-2.7612383515235625E-3</v>
      </c>
    </row>
    <row r="83" spans="1:21" ht="37.5" x14ac:dyDescent="0.45">
      <c r="A83" s="30" t="s">
        <v>167</v>
      </c>
      <c r="L83" s="23"/>
      <c r="M83" s="22">
        <v>1266093300</v>
      </c>
      <c r="O83" s="22">
        <v>0</v>
      </c>
      <c r="Q83" s="22">
        <v>-9072394976</v>
      </c>
      <c r="S83" s="22">
        <v>-7806301676</v>
      </c>
      <c r="U83" s="24">
        <v>-4.483353017497145E-2</v>
      </c>
    </row>
    <row r="84" spans="1:21" ht="18.75" x14ac:dyDescent="0.45">
      <c r="A84" s="30" t="s">
        <v>170</v>
      </c>
      <c r="L84" s="23"/>
      <c r="M84" s="22">
        <v>417127708</v>
      </c>
      <c r="O84" s="22">
        <v>0</v>
      </c>
      <c r="Q84" s="22">
        <v>-11470390849</v>
      </c>
      <c r="S84" s="22">
        <v>-11053263141</v>
      </c>
      <c r="U84" s="24">
        <v>-6.3481636648437825E-2</v>
      </c>
    </row>
    <row r="85" spans="1:21" ht="18.75" x14ac:dyDescent="0.45">
      <c r="A85" s="30" t="s">
        <v>198</v>
      </c>
      <c r="L85" s="23"/>
      <c r="M85" s="22">
        <v>0</v>
      </c>
      <c r="O85" s="22">
        <v>0</v>
      </c>
      <c r="Q85" s="22">
        <v>-1105206315</v>
      </c>
      <c r="S85" s="22">
        <v>-1105206315</v>
      </c>
      <c r="U85" s="24">
        <v>-6.3474744801960302E-3</v>
      </c>
    </row>
    <row r="86" spans="1:21" ht="18.75" x14ac:dyDescent="0.45">
      <c r="A86" s="30" t="s">
        <v>199</v>
      </c>
      <c r="L86" s="23"/>
      <c r="M86" s="22">
        <v>0</v>
      </c>
      <c r="O86" s="22">
        <v>0</v>
      </c>
      <c r="Q86" s="22">
        <v>-64037815</v>
      </c>
      <c r="S86" s="22">
        <v>-64037815</v>
      </c>
      <c r="U86" s="24">
        <v>-3.6778508316794636E-4</v>
      </c>
    </row>
    <row r="87" spans="1:21" ht="18.75" x14ac:dyDescent="0.45">
      <c r="A87" s="30" t="s">
        <v>174</v>
      </c>
      <c r="L87" s="23"/>
      <c r="M87" s="22">
        <v>4561841200</v>
      </c>
      <c r="O87" s="22">
        <v>0</v>
      </c>
      <c r="Q87" s="22">
        <v>-9339500101</v>
      </c>
      <c r="S87" s="22">
        <v>-4777658901</v>
      </c>
      <c r="U87" s="24">
        <v>-2.7439282184321314E-2</v>
      </c>
    </row>
    <row r="88" spans="1:21" ht="18.75" x14ac:dyDescent="0.45">
      <c r="A88" s="30" t="s">
        <v>176</v>
      </c>
      <c r="L88" s="23"/>
      <c r="M88" s="22">
        <v>500000000</v>
      </c>
      <c r="O88" s="22">
        <v>0</v>
      </c>
      <c r="Q88" s="22">
        <v>-1007345125</v>
      </c>
      <c r="S88" s="22">
        <v>-507345125</v>
      </c>
      <c r="U88" s="24">
        <v>-2.9138091140832514E-3</v>
      </c>
    </row>
    <row r="89" spans="1:21" ht="18.75" x14ac:dyDescent="0.45">
      <c r="A89" s="30" t="s">
        <v>177</v>
      </c>
      <c r="L89" s="23"/>
      <c r="M89" s="22">
        <v>10285969930</v>
      </c>
      <c r="O89" s="22">
        <v>0</v>
      </c>
      <c r="Q89" s="22">
        <v>-25942253320</v>
      </c>
      <c r="S89" s="22">
        <v>-15656283390</v>
      </c>
      <c r="U89" s="24">
        <v>-8.9917925661456247E-2</v>
      </c>
    </row>
    <row r="90" spans="1:21" ht="18.75" x14ac:dyDescent="0.45">
      <c r="A90" s="30" t="s">
        <v>200</v>
      </c>
      <c r="L90" s="23"/>
      <c r="M90" s="22">
        <v>0</v>
      </c>
      <c r="O90" s="22">
        <v>0</v>
      </c>
      <c r="Q90" s="22">
        <v>-1710670216</v>
      </c>
      <c r="S90" s="22">
        <v>-1710670216</v>
      </c>
      <c r="U90" s="24">
        <v>-9.8248041046448704E-3</v>
      </c>
    </row>
    <row r="91" spans="1:21" ht="18.75" x14ac:dyDescent="0.45">
      <c r="A91" s="30" t="s">
        <v>201</v>
      </c>
      <c r="L91" s="23"/>
      <c r="M91" s="22">
        <v>0</v>
      </c>
      <c r="O91" s="22">
        <v>0</v>
      </c>
      <c r="Q91" s="22">
        <v>-218391344</v>
      </c>
      <c r="S91" s="22">
        <v>-218391344</v>
      </c>
      <c r="U91" s="24">
        <v>-1.2542757527907471E-3</v>
      </c>
    </row>
    <row r="92" spans="1:21" ht="18.75" x14ac:dyDescent="0.45">
      <c r="A92" s="30" t="s">
        <v>185</v>
      </c>
      <c r="L92" s="23"/>
      <c r="M92" s="22">
        <v>3029688000</v>
      </c>
      <c r="O92" s="22">
        <v>0</v>
      </c>
      <c r="Q92" s="22">
        <v>-2264786002</v>
      </c>
      <c r="S92" s="22">
        <v>764901998</v>
      </c>
      <c r="U92" s="24">
        <v>4.3930222314699265E-3</v>
      </c>
    </row>
    <row r="93" spans="1:21" ht="18.75" x14ac:dyDescent="0.45">
      <c r="A93" s="30" t="s">
        <v>186</v>
      </c>
      <c r="L93" s="23"/>
      <c r="M93" s="22">
        <v>1345052250</v>
      </c>
      <c r="O93" s="22">
        <v>0</v>
      </c>
      <c r="Q93" s="22">
        <v>-3111120113</v>
      </c>
      <c r="S93" s="22">
        <v>-1766067863</v>
      </c>
      <c r="U93" s="24">
        <v>-1.0142966556146433E-2</v>
      </c>
    </row>
    <row r="94" spans="1:21" ht="18.75" x14ac:dyDescent="0.45">
      <c r="A94" s="30" t="s">
        <v>202</v>
      </c>
      <c r="L94" s="23"/>
      <c r="M94" s="22">
        <v>0</v>
      </c>
      <c r="O94" s="22">
        <v>0</v>
      </c>
      <c r="Q94" s="22">
        <v>-408581103</v>
      </c>
      <c r="S94" s="22">
        <v>-408581103</v>
      </c>
      <c r="U94" s="24">
        <v>-2.3465827956139084E-3</v>
      </c>
    </row>
    <row r="95" spans="1:21" ht="18.75" x14ac:dyDescent="0.45">
      <c r="A95" s="25" t="s">
        <v>87</v>
      </c>
      <c r="C95" s="25">
        <f>SUM(C9:$C$94)</f>
        <v>0</v>
      </c>
      <c r="E95" s="25">
        <f>SUM(E9:$E$94)</f>
        <v>278546898609</v>
      </c>
      <c r="G95" s="25">
        <f>SUM(G9:$G$94)</f>
        <v>21144045190</v>
      </c>
      <c r="I95" s="25">
        <f>SUM(I9:$I$94)</f>
        <v>299690943799</v>
      </c>
      <c r="K95" s="26">
        <f>SUM(K9:$K$94)</f>
        <v>0.99525929824381387</v>
      </c>
      <c r="M95" s="25">
        <f>SUM(M9:$M$94)</f>
        <v>277302185631</v>
      </c>
      <c r="O95" s="25">
        <f>SUM(O9:$O$94)</f>
        <v>17327037553</v>
      </c>
      <c r="Q95" s="25">
        <f>SUM(Q9:$Q$94)</f>
        <v>-123589104938</v>
      </c>
      <c r="S95" s="25">
        <f>SUM(S9:$S$94)</f>
        <v>171040118246</v>
      </c>
      <c r="U95" s="26">
        <f>SUM(U9:$U$94)</f>
        <v>0.98232589781772683</v>
      </c>
    </row>
    <row r="96" spans="1:21" ht="18.75" x14ac:dyDescent="0.45">
      <c r="C96" s="27"/>
      <c r="E96" s="27"/>
      <c r="G96" s="27"/>
      <c r="I96" s="27"/>
      <c r="K96" s="27"/>
      <c r="M96" s="27"/>
      <c r="O96" s="27"/>
      <c r="Q96" s="27"/>
      <c r="S96" s="27"/>
      <c r="U96" s="27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6" fitToHeight="0" orientation="landscape" r:id="rId1"/>
  <rowBreaks count="3" manualBreakCount="3">
    <brk id="26" max="16383" man="1"/>
    <brk id="55" max="20" man="1"/>
    <brk id="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13" customWidth="1"/>
    <col min="2" max="2" width="1.42578125" style="13" customWidth="1"/>
    <col min="3" max="3" width="17" style="13" customWidth="1"/>
    <col min="4" max="4" width="1.42578125" style="13" customWidth="1"/>
    <col min="5" max="5" width="17" style="13" customWidth="1"/>
    <col min="6" max="6" width="1.42578125" style="13" customWidth="1"/>
    <col min="7" max="7" width="17" style="13" customWidth="1"/>
    <col min="8" max="8" width="1.42578125" style="13" customWidth="1"/>
    <col min="9" max="9" width="17" style="13" customWidth="1"/>
    <col min="10" max="10" width="1.42578125" style="13" customWidth="1"/>
    <col min="11" max="11" width="17" style="13" customWidth="1"/>
    <col min="12" max="12" width="1.42578125" style="13" customWidth="1"/>
    <col min="13" max="13" width="17" style="13" customWidth="1"/>
    <col min="14" max="14" width="1.42578125" style="13" customWidth="1"/>
    <col min="15" max="15" width="17" style="13" customWidth="1"/>
    <col min="16" max="16" width="1.42578125" style="13" customWidth="1"/>
    <col min="17" max="17" width="17" style="13" customWidth="1"/>
    <col min="18" max="16384" width="9.140625" style="13"/>
  </cols>
  <sheetData>
    <row r="1" spans="1:17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1:17" ht="21" x14ac:dyDescent="0.45">
      <c r="A5" s="14" t="s">
        <v>217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7" spans="1:17" ht="21" x14ac:dyDescent="0.45">
      <c r="C7" s="15" t="s">
        <v>134</v>
      </c>
      <c r="D7" s="16"/>
      <c r="E7" s="16"/>
      <c r="F7" s="16"/>
      <c r="G7" s="16"/>
      <c r="H7" s="16"/>
      <c r="I7" s="16"/>
      <c r="J7" s="16"/>
      <c r="K7" s="16"/>
      <c r="M7" s="15" t="s">
        <v>7</v>
      </c>
      <c r="N7" s="16"/>
      <c r="O7" s="16"/>
      <c r="P7" s="16"/>
      <c r="Q7" s="16"/>
    </row>
    <row r="8" spans="1:17" ht="21" x14ac:dyDescent="0.45">
      <c r="C8" s="29" t="s">
        <v>218</v>
      </c>
      <c r="E8" s="29" t="s">
        <v>208</v>
      </c>
      <c r="G8" s="29" t="s">
        <v>209</v>
      </c>
      <c r="I8" s="29" t="s">
        <v>87</v>
      </c>
      <c r="K8" s="29" t="s">
        <v>218</v>
      </c>
      <c r="M8" s="29" t="s">
        <v>208</v>
      </c>
      <c r="O8" s="29" t="s">
        <v>209</v>
      </c>
      <c r="Q8" s="29" t="s">
        <v>87</v>
      </c>
    </row>
    <row r="9" spans="1:17" ht="37.5" x14ac:dyDescent="0.45">
      <c r="A9" s="30" t="s">
        <v>103</v>
      </c>
      <c r="C9" s="22">
        <v>1336674206</v>
      </c>
      <c r="E9" s="22">
        <v>31776750</v>
      </c>
      <c r="G9" s="22">
        <v>-21987437</v>
      </c>
      <c r="I9" s="22">
        <v>1346463519</v>
      </c>
      <c r="K9" s="22">
        <v>2694729294</v>
      </c>
      <c r="M9" s="22">
        <v>-4643625</v>
      </c>
      <c r="O9" s="22">
        <v>-21987437</v>
      </c>
      <c r="Q9" s="22">
        <v>2668098232</v>
      </c>
    </row>
    <row r="10" spans="1:17" ht="18.75" x14ac:dyDescent="0.45">
      <c r="A10" s="25" t="s">
        <v>87</v>
      </c>
      <c r="C10" s="25">
        <f>SUM(C9:$C$9)</f>
        <v>1336674206</v>
      </c>
      <c r="E10" s="25">
        <f>SUM(E9:$E$9)</f>
        <v>31776750</v>
      </c>
      <c r="G10" s="25">
        <f>SUM(G9:$G$9)</f>
        <v>-21987437</v>
      </c>
      <c r="I10" s="25">
        <f>SUM(I9:$I$9)</f>
        <v>1346463519</v>
      </c>
      <c r="K10" s="25">
        <f>SUM(K9:$K$9)</f>
        <v>2694729294</v>
      </c>
      <c r="M10" s="25">
        <f>SUM(M9:$M$9)</f>
        <v>-4643625</v>
      </c>
      <c r="O10" s="25">
        <f>SUM(O9:$O$9)</f>
        <v>-21987437</v>
      </c>
      <c r="Q10" s="25">
        <f>SUM(Q9:$Q$9)</f>
        <v>2668098232</v>
      </c>
    </row>
    <row r="11" spans="1:17" ht="18.75" x14ac:dyDescent="0.45">
      <c r="C11" s="27"/>
      <c r="E11" s="27"/>
      <c r="G11" s="27"/>
      <c r="I11" s="27"/>
      <c r="K11" s="27"/>
      <c r="M11" s="27"/>
      <c r="O11" s="27"/>
      <c r="Q11" s="27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6"/>
  <sheetViews>
    <sheetView rightToLeft="1" workbookViewId="0">
      <selection sqref="A1:W1"/>
    </sheetView>
  </sheetViews>
  <sheetFormatPr defaultRowHeight="18" x14ac:dyDescent="0.45"/>
  <cols>
    <col min="1" max="1" width="25.5703125" style="13" customWidth="1"/>
    <col min="2" max="2" width="1.42578125" style="13" customWidth="1"/>
    <col min="3" max="3" width="17" style="13" customWidth="1"/>
    <col min="4" max="4" width="1.42578125" style="13" customWidth="1"/>
    <col min="5" max="5" width="14.140625" style="13" customWidth="1"/>
    <col min="6" max="6" width="1.42578125" style="13" customWidth="1"/>
    <col min="7" max="7" width="17" style="13" customWidth="1"/>
    <col min="8" max="8" width="1.42578125" style="13" customWidth="1"/>
    <col min="9" max="9" width="14.140625" style="13" customWidth="1"/>
    <col min="10" max="16384" width="9.140625" style="13"/>
  </cols>
  <sheetData>
    <row r="1" spans="1:9" ht="20.100000000000001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0.100000000000001" customHeight="1" x14ac:dyDescent="0.45">
      <c r="A2" s="11" t="s">
        <v>122</v>
      </c>
      <c r="B2" s="12"/>
      <c r="C2" s="12"/>
      <c r="D2" s="12"/>
      <c r="E2" s="12"/>
      <c r="F2" s="12"/>
      <c r="G2" s="12"/>
      <c r="H2" s="12"/>
      <c r="I2" s="12"/>
    </row>
    <row r="3" spans="1:9" ht="20.100000000000001" customHeight="1" x14ac:dyDescent="0.45">
      <c r="A3" s="11" t="s">
        <v>2</v>
      </c>
      <c r="B3" s="12"/>
      <c r="C3" s="12"/>
      <c r="D3" s="12"/>
      <c r="E3" s="12"/>
      <c r="F3" s="12"/>
      <c r="G3" s="12"/>
      <c r="H3" s="12"/>
      <c r="I3" s="12"/>
    </row>
    <row r="5" spans="1:9" ht="21" x14ac:dyDescent="0.45">
      <c r="A5" s="14" t="s">
        <v>219</v>
      </c>
      <c r="B5" s="12"/>
      <c r="C5" s="12"/>
      <c r="D5" s="12"/>
      <c r="E5" s="12"/>
      <c r="F5" s="12"/>
      <c r="G5" s="12"/>
      <c r="H5" s="12"/>
      <c r="I5" s="12"/>
    </row>
    <row r="7" spans="1:9" ht="21" x14ac:dyDescent="0.45">
      <c r="A7" s="15" t="s">
        <v>220</v>
      </c>
      <c r="B7" s="16"/>
      <c r="C7" s="15" t="s">
        <v>134</v>
      </c>
      <c r="D7" s="16"/>
      <c r="E7" s="16"/>
      <c r="G7" s="15" t="s">
        <v>7</v>
      </c>
      <c r="H7" s="16"/>
      <c r="I7" s="16"/>
    </row>
    <row r="8" spans="1:9" ht="42" x14ac:dyDescent="0.45">
      <c r="A8" s="29" t="s">
        <v>221</v>
      </c>
      <c r="C8" s="29" t="s">
        <v>222</v>
      </c>
      <c r="E8" s="29" t="s">
        <v>223</v>
      </c>
      <c r="G8" s="29" t="s">
        <v>222</v>
      </c>
      <c r="I8" s="29" t="s">
        <v>223</v>
      </c>
    </row>
    <row r="9" spans="1:9" ht="18.75" x14ac:dyDescent="0.45">
      <c r="A9" s="43" t="s">
        <v>229</v>
      </c>
      <c r="C9" s="22">
        <v>14134049</v>
      </c>
      <c r="E9" s="24">
        <v>1</v>
      </c>
      <c r="G9" s="22">
        <v>293262068</v>
      </c>
      <c r="I9" s="24">
        <v>1</v>
      </c>
    </row>
    <row r="10" spans="1:9" ht="19.5" thickBot="1" x14ac:dyDescent="0.5">
      <c r="A10" s="25" t="s">
        <v>87</v>
      </c>
      <c r="C10" s="25">
        <f>SUM(C9:$C$9)</f>
        <v>14134049</v>
      </c>
      <c r="E10" s="26">
        <f>SUM(E9:$E$9)</f>
        <v>1</v>
      </c>
      <c r="G10" s="25">
        <f>SUM(G9:$G$9)</f>
        <v>293262068</v>
      </c>
      <c r="I10" s="26">
        <f>SUM(I9:$I$9)</f>
        <v>1</v>
      </c>
    </row>
    <row r="11" spans="1:9" ht="19.5" thickTop="1" x14ac:dyDescent="0.45">
      <c r="C11" s="27"/>
      <c r="E11" s="27"/>
      <c r="G11" s="27"/>
      <c r="I11" s="27"/>
    </row>
    <row r="14" spans="1:9" x14ac:dyDescent="0.45">
      <c r="C14" s="37"/>
      <c r="D14" s="37"/>
      <c r="E14" s="37"/>
      <c r="F14" s="37"/>
      <c r="G14" s="37"/>
      <c r="H14" s="37"/>
      <c r="I14" s="37"/>
    </row>
    <row r="15" spans="1:9" ht="18.75" x14ac:dyDescent="0.45">
      <c r="C15" s="38"/>
      <c r="D15" s="37"/>
      <c r="E15" s="39"/>
      <c r="F15" s="37"/>
      <c r="G15" s="38"/>
      <c r="H15" s="37"/>
      <c r="I15" s="39"/>
    </row>
    <row r="16" spans="1:9" x14ac:dyDescent="0.45">
      <c r="C16" s="37"/>
      <c r="D16" s="37"/>
      <c r="E16" s="37"/>
      <c r="F16" s="37"/>
      <c r="G16" s="37"/>
      <c r="H16" s="37"/>
      <c r="I16" s="37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workbookViewId="0">
      <selection sqref="A1:W1"/>
    </sheetView>
  </sheetViews>
  <sheetFormatPr defaultRowHeight="18" x14ac:dyDescent="0.45"/>
  <cols>
    <col min="1" max="1" width="25.5703125" style="13" customWidth="1"/>
    <col min="2" max="2" width="1.42578125" style="13" customWidth="1"/>
    <col min="3" max="3" width="18.42578125" style="13" customWidth="1"/>
    <col min="4" max="4" width="1.42578125" style="13" customWidth="1"/>
    <col min="5" max="5" width="18.42578125" style="13" customWidth="1"/>
    <col min="6" max="16384" width="9.140625" style="13"/>
  </cols>
  <sheetData>
    <row r="1" spans="1:5" ht="20.100000000000001" customHeight="1" x14ac:dyDescent="0.45">
      <c r="A1" s="11" t="s">
        <v>0</v>
      </c>
      <c r="B1" s="12"/>
      <c r="C1" s="12"/>
      <c r="D1" s="12"/>
      <c r="E1" s="12"/>
    </row>
    <row r="2" spans="1:5" ht="20.100000000000001" customHeight="1" x14ac:dyDescent="0.45">
      <c r="A2" s="11" t="s">
        <v>122</v>
      </c>
      <c r="B2" s="12"/>
      <c r="C2" s="12"/>
      <c r="D2" s="12"/>
      <c r="E2" s="12"/>
    </row>
    <row r="3" spans="1:5" ht="20.100000000000001" customHeight="1" x14ac:dyDescent="0.45">
      <c r="A3" s="11" t="s">
        <v>2</v>
      </c>
      <c r="B3" s="12"/>
      <c r="C3" s="12"/>
      <c r="D3" s="12"/>
      <c r="E3" s="12"/>
    </row>
    <row r="5" spans="1:5" ht="21" x14ac:dyDescent="0.45">
      <c r="A5" s="14" t="s">
        <v>224</v>
      </c>
      <c r="B5" s="12"/>
      <c r="C5" s="12"/>
      <c r="D5" s="12"/>
      <c r="E5" s="12"/>
    </row>
    <row r="7" spans="1:5" ht="21" x14ac:dyDescent="0.45">
      <c r="C7" s="28" t="s">
        <v>134</v>
      </c>
      <c r="E7" s="28" t="s">
        <v>7</v>
      </c>
    </row>
    <row r="8" spans="1:5" ht="21" x14ac:dyDescent="0.45">
      <c r="A8" s="29" t="s">
        <v>131</v>
      </c>
      <c r="C8" s="29" t="s">
        <v>119</v>
      </c>
      <c r="E8" s="29" t="s">
        <v>119</v>
      </c>
    </row>
    <row r="9" spans="1:5" ht="18.75" x14ac:dyDescent="0.45">
      <c r="A9" s="30" t="s">
        <v>225</v>
      </c>
      <c r="C9" s="22">
        <v>66915228</v>
      </c>
      <c r="E9" s="22">
        <v>116009984</v>
      </c>
    </row>
    <row r="10" spans="1:5" ht="18.75" x14ac:dyDescent="0.45">
      <c r="A10" s="25" t="s">
        <v>87</v>
      </c>
      <c r="C10" s="25">
        <f>SUM(C9:$C$9)</f>
        <v>66915228</v>
      </c>
      <c r="E10" s="25">
        <f>SUM(E9:$E$9)</f>
        <v>116009984</v>
      </c>
    </row>
    <row r="11" spans="1:5" ht="18.75" x14ac:dyDescent="0.45">
      <c r="C11" s="27"/>
      <c r="E11" s="27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9 (2)</vt:lpstr>
      <vt:lpstr>10</vt:lpstr>
      <vt:lpstr>11</vt:lpstr>
      <vt:lpstr>12</vt:lpstr>
      <vt:lpstr>13</vt:lpstr>
      <vt:lpstr>14</vt:lpstr>
      <vt:lpstr>15</vt:lpstr>
      <vt:lpstr>'5'!Print_Area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2024-11-24T06:02:43Z</cp:lastPrinted>
  <dcterms:created xsi:type="dcterms:W3CDTF">2024-11-24T05:23:36Z</dcterms:created>
  <dcterms:modified xsi:type="dcterms:W3CDTF">2024-11-24T06:03:17Z</dcterms:modified>
</cp:coreProperties>
</file>