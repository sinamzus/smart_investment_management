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.rezaei\Desktop\"/>
    </mc:Choice>
  </mc:AlternateContent>
  <xr:revisionPtr revIDLastSave="0" documentId="13_ncr:1_{1C1331E6-9085-4DF6-B4F8-10C27FCB2083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0" sheetId="23" r:id="rId1"/>
    <sheet name=" سهام" sheetId="21" r:id="rId2"/>
    <sheet name="اوراق مشتقه" sheetId="9" r:id="rId3"/>
    <sheet name="واحدهای صندوق" sheetId="1" r:id="rId4"/>
    <sheet name="گواهی سپرده کالا" sheetId="28" r:id="rId5"/>
    <sheet name="اوراق" sheetId="3" r:id="rId6"/>
    <sheet name="تعدیل قیمت" sheetId="4" r:id="rId7"/>
    <sheet name="سپرده" sheetId="2" r:id="rId8"/>
    <sheet name="درآمدها" sheetId="11" r:id="rId9"/>
    <sheet name="درآمد سرمایه گذاری در سهام " sheetId="5" r:id="rId10"/>
    <sheet name="درآمد سرمایه گذاری در صندوق" sheetId="18" r:id="rId11"/>
    <sheet name="درآمد سرمایه گذاری در اوراق بها" sheetId="6" r:id="rId12"/>
    <sheet name="درآمد سرمایه گذاری در گواهی سپر" sheetId="27" r:id="rId13"/>
    <sheet name="مبالغ تخصیصی اوراق " sheetId="16" r:id="rId14"/>
    <sheet name="درآمد سپرده بانکی" sheetId="7" r:id="rId15"/>
    <sheet name="درآمد بازارگردانی" sheetId="24" r:id="rId16"/>
    <sheet name="درآمد سرمایه گذاری مشتقه " sheetId="25" r:id="rId17"/>
    <sheet name="سایر درآمدها" sheetId="8" r:id="rId18"/>
    <sheet name="درآمد سود سهام" sheetId="12" r:id="rId19"/>
    <sheet name="درآمد سود صندوق" sheetId="20" r:id="rId20"/>
    <sheet name="سود اوراق بهادار" sheetId="13" r:id="rId21"/>
    <sheet name="سود  سپرده بانکی" sheetId="22" r:id="rId22"/>
    <sheet name="درآمد ناشی ازفروش" sheetId="15" r:id="rId23"/>
    <sheet name="درآمد ناشی از تغییر قیمت اوراق " sheetId="14" r:id="rId24"/>
  </sheets>
  <definedNames>
    <definedName name="_xlnm.Print_Area" localSheetId="1">' سهام'!$A$1:$N$13</definedName>
    <definedName name="_xlnm.Print_Area" localSheetId="5">اوراق!$A$1:$S$9</definedName>
    <definedName name="_xlnm.Print_Area" localSheetId="6">'تعدیل قیمت'!$A$1:$J$11</definedName>
    <definedName name="_xlnm.Print_Area" localSheetId="15">'درآمد بازارگردانی'!$A$1:$E$7</definedName>
    <definedName name="_xlnm.Print_Area" localSheetId="11">'درآمد سرمایه گذاری در اوراق بها'!$A$1:$L$10</definedName>
    <definedName name="_xlnm.Print_Area" localSheetId="12">'درآمد سرمایه گذاری در گواهی سپر'!$A$1:$K$10</definedName>
    <definedName name="_xlnm.Print_Area" localSheetId="23">'درآمد ناشی از تغییر قیمت اوراق '!$A$1:$I$229</definedName>
    <definedName name="_xlnm.Print_Area" localSheetId="7">سپرده!$A$1:$F$17</definedName>
    <definedName name="_xlnm.Print_Area" localSheetId="4">'گواهی سپرده کالا'!$A$1:$S$9</definedName>
    <definedName name="_xlnm.Print_Area" localSheetId="13">'مبالغ تخصیصی اوراق '!$A$1:$H$18</definedName>
    <definedName name="_xlnm.Print_Area" localSheetId="3">'واحدهای صندوق'!$A$1:$M$9</definedName>
    <definedName name="_xlnm.Print_Titles" localSheetId="9">'درآمد سرمایه گذاری در سهام '!$1:$10</definedName>
    <definedName name="_xlnm.Print_Titles" localSheetId="18">'درآمد سود سهام'!$1:$6</definedName>
    <definedName name="_xlnm.Print_Titles" localSheetId="23">'درآمد ناشی از تغییر قیمت اوراق '!$1:$6</definedName>
    <definedName name="_xlnm.Print_Titles" localSheetId="22">'درآمد ناشی ازفروش'!$1:$6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3" i="14" l="1"/>
  <c r="H223" i="14"/>
  <c r="G223" i="14"/>
  <c r="F223" i="14"/>
  <c r="E223" i="14"/>
  <c r="D223" i="14"/>
  <c r="C223" i="14"/>
  <c r="B223" i="14"/>
  <c r="I196" i="15"/>
  <c r="H196" i="15"/>
  <c r="G196" i="15"/>
  <c r="F196" i="15"/>
  <c r="E196" i="15"/>
  <c r="D196" i="15"/>
  <c r="C196" i="15"/>
  <c r="B196" i="15"/>
  <c r="G14" i="22"/>
  <c r="F14" i="22"/>
  <c r="E14" i="22"/>
  <c r="D14" i="22"/>
  <c r="C14" i="22"/>
  <c r="B14" i="22"/>
  <c r="J97" i="12"/>
  <c r="I97" i="12"/>
  <c r="H97" i="12"/>
  <c r="G97" i="12"/>
  <c r="F97" i="12"/>
  <c r="E97" i="12"/>
  <c r="D97" i="12"/>
  <c r="C97" i="12"/>
  <c r="B97" i="12"/>
  <c r="C9" i="8"/>
  <c r="B9" i="8"/>
  <c r="D16" i="7"/>
  <c r="B16" i="7"/>
  <c r="E15" i="7"/>
  <c r="E14" i="7"/>
  <c r="E13" i="7"/>
  <c r="E12" i="7"/>
  <c r="E11" i="7"/>
  <c r="E10" i="7"/>
  <c r="E9" i="7"/>
  <c r="K235" i="5"/>
  <c r="J235" i="5"/>
  <c r="I235" i="5"/>
  <c r="H235" i="5"/>
  <c r="G235" i="5"/>
  <c r="F235" i="5"/>
  <c r="E235" i="5"/>
  <c r="D235" i="5"/>
  <c r="C235" i="5"/>
  <c r="B235" i="5"/>
  <c r="C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D14" i="11" s="1"/>
  <c r="F15" i="2"/>
  <c r="E15" i="2"/>
  <c r="D15" i="2"/>
  <c r="C15" i="2"/>
  <c r="B15" i="2"/>
  <c r="F10" i="4"/>
  <c r="N225" i="21"/>
  <c r="M225" i="21"/>
  <c r="L225" i="21"/>
  <c r="J225" i="21"/>
  <c r="I225" i="21"/>
  <c r="H225" i="21"/>
  <c r="G225" i="21"/>
  <c r="F225" i="21"/>
  <c r="E225" i="21"/>
  <c r="D225" i="21"/>
  <c r="C225" i="21"/>
  <c r="B225" i="21"/>
  <c r="E14" i="11" l="1"/>
  <c r="E16" i="7"/>
  <c r="C13" i="7"/>
  <c r="C12" i="7"/>
  <c r="C11" i="7"/>
  <c r="C10" i="7"/>
  <c r="C9" i="7"/>
  <c r="C16" i="7" l="1"/>
</calcChain>
</file>

<file path=xl/sharedStrings.xml><?xml version="1.0" encoding="utf-8"?>
<sst xmlns="http://schemas.openxmlformats.org/spreadsheetml/2006/main" count="1533" uniqueCount="496">
  <si>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</si>
  <si>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</si>
  <si>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</si>
  <si>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</si>
  <si>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</si>
  <si>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</si>
  <si>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</si>
  <si>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</si>
  <si>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</si>
  <si>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</si>
  <si>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</si>
  <si>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</si>
  <si>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</si>
  <si>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</si>
  <si>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</si>
  <si>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</si>
  <si>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</si>
  <si>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</si>
  <si>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</si>
  <si>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</si>
  <si>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</si>
  <si>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</si>
  <si>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</si>
  <si>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</si>
  <si>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</si>
  <si>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</si>
  <si>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</si>
  <si>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</si>
  <si>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</si>
  <si>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</si>
  <si>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</si>
  <si>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</si>
  <si>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</si>
  <si>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</si>
  <si>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</si>
  <si>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</si>
  <si>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</si>
  <si>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</si>
  <si>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</si>
  <si>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</si>
  <si>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</si>
  <si>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</si>
  <si>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</si>
  <si>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</si>
  <si>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</si>
  <si>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</si>
  <si>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</si>
  <si>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</si>
  <si>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</si>
  <si>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</si>
  <si>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</si>
  <si>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نرخ سود علی الحساب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</si>
  <si>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</si>
  <si>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</si>
  <si>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</si>
  <si>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</si>
  <si>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</si>
  <si>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</si>
  <si>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</si>
  <si>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</si>
  <si>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</si>
  <si>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</si>
  <si>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</si>
  <si>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</si>
  <si>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</si>
  <si>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</si>
  <si>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</si>
  <si>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</si>
  <si>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</si>
  <si>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</si>
  <si>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اوراق بهادار با درآمد ثابت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</si>
  <si>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</si>
  <si>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</si>
  <si>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</si>
  <si>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>صندوق سرمایه گذاری ...................</t>
  </si>
  <si>
    <t xml:space="preserve">صورت وضعیت پرتفوی </t>
  </si>
  <si>
    <t>برای ماه منتهی به ............</t>
  </si>
  <si>
    <t>اطلاعات آماری مرتبط با اوراق اختیار فروش تبعی خریداری شده توسط صندوق سرمایه گذاری:</t>
  </si>
  <si>
    <t>1-2</t>
  </si>
  <si>
    <t>2-2</t>
  </si>
  <si>
    <t>3-2</t>
  </si>
  <si>
    <t>4-2</t>
  </si>
  <si>
    <t xml:space="preserve">صورت وضعیت درآمدها </t>
  </si>
  <si>
    <t xml:space="preserve">درآمد سود </t>
  </si>
  <si>
    <t>یادداشت ....</t>
  </si>
  <si>
    <t>یادداشت ...</t>
  </si>
  <si>
    <t>درصد از کل دارایی ها</t>
  </si>
  <si>
    <t>طرف معامله</t>
  </si>
  <si>
    <t>نوع وابستگی</t>
  </si>
  <si>
    <t>نام ورقه بهادار</t>
  </si>
  <si>
    <t>تعداد اوراق</t>
  </si>
  <si>
    <t>بهای تمام شده اوراق</t>
  </si>
  <si>
    <t>مبلغ شناسایی شده بابت قرارداد خرید و نگهداری اوراق بهادار</t>
  </si>
  <si>
    <t>نرخ اسمی</t>
  </si>
  <si>
    <t>میانگین نرخ بازده تا سررسید قراردادهای منعقده</t>
  </si>
  <si>
    <r>
      <t>شرکت</t>
    </r>
    <r>
      <rPr>
        <sz val="11"/>
        <color theme="1"/>
        <rFont val="Calibri"/>
        <family val="2"/>
        <scheme val="minor"/>
      </rPr>
      <t>...</t>
    </r>
  </si>
  <si>
    <t>مدیر صندوق</t>
  </si>
  <si>
    <t>ورقه الف</t>
  </si>
  <si>
    <t>ورقه ب</t>
  </si>
  <si>
    <t xml:space="preserve">شرکت مادر </t>
  </si>
  <si>
    <t>ورقه د</t>
  </si>
  <si>
    <r>
      <t>صندوق</t>
    </r>
    <r>
      <rPr>
        <sz val="7"/>
        <color theme="1"/>
        <rFont val="Calibri"/>
        <family val="2"/>
        <scheme val="minor"/>
      </rPr>
      <t xml:space="preserve"> </t>
    </r>
    <r>
      <rPr>
        <sz val="7"/>
        <color theme="1"/>
        <rFont val="B Mitra"/>
        <charset val="178"/>
      </rPr>
      <t xml:space="preserve"> سرمایه­گذاری اختصاصی بازارگردانی </t>
    </r>
    <r>
      <rPr>
        <sz val="7"/>
        <color theme="1"/>
        <rFont val="Calibri"/>
        <family val="2"/>
        <scheme val="minor"/>
      </rPr>
      <t>…</t>
    </r>
  </si>
  <si>
    <t>صندوق­ سرمایه­گذاری اختصاصی بازارگردانی تحت مدیریت مدیر صندوق یا اشخاص تحت کنترل یا وابسته *</t>
  </si>
  <si>
    <t>ورقه ج</t>
  </si>
  <si>
    <t>سایر</t>
  </si>
  <si>
    <t>ورقه ح</t>
  </si>
  <si>
    <t>ورقه ط</t>
  </si>
  <si>
    <t>ورقه ی</t>
  </si>
  <si>
    <t>ورقه س</t>
  </si>
  <si>
    <t>*به تفکیک هر یک از صندوق­های سرمایه­گذاری اختصاصی بازارگردانی طرف قرارداد افشا گردد.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</si>
  <si>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</si>
  <si>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</si>
  <si>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</si>
  <si>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</si>
  <si>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اطلاعات آماری مرتبط با قراردادهای آتی توسط صندوق سرمایه گذاری:</t>
  </si>
  <si>
    <t>صندوق</t>
  </si>
  <si>
    <t>تعداد واحد</t>
  </si>
  <si>
    <t>درآمد حاصل از سرمایه گذاری در واحدهای صندوق های سرمایه گذاری</t>
  </si>
  <si>
    <t>5-2</t>
  </si>
  <si>
    <t>3-2-درآمد حاصل از سرمایه­گذاری در اوراق بهادار با درآمد ثابت:</t>
  </si>
  <si>
    <t>1-3-2-مبالغ تخصیص یافته بابت خرید و نگهداری اوراق بهادار با درآمد ثابت (نرخ سود ترجیحی)</t>
  </si>
  <si>
    <t>2-2-درآمد حاصل از سرمایه­گذاری در واحدهای صندوق:</t>
  </si>
  <si>
    <t>درآمد سود صندوق</t>
  </si>
  <si>
    <t>2-1-سرمایه‌گذاری در واحدهای صندوق های سرمایه گذاری</t>
  </si>
  <si>
    <t>3-1-سرمایه‌گذاری در اوراق بهادار با درآمد ثابت یا علی‌الحساب</t>
  </si>
  <si>
    <t>نام صندوق</t>
  </si>
  <si>
    <t>تاریخ تقسیم سود</t>
  </si>
  <si>
    <t>سود متعلق به هر واحد</t>
  </si>
  <si>
    <t>خرید/صدور طی دوره</t>
  </si>
  <si>
    <t>فروش /ابطال طی دوره</t>
  </si>
  <si>
    <t>تعداد واحد صندوق در زمان تقسیم سود</t>
  </si>
  <si>
    <t>خالص درآمد سود صندوق</t>
  </si>
  <si>
    <t>قیمت ابطال/ بازار هر واحد</t>
  </si>
  <si>
    <t>سود اوراق بهادار با درآمد ثابت</t>
  </si>
  <si>
    <t>سود سپرده بانکی</t>
  </si>
  <si>
    <t xml:space="preserve">افزایش سرمایه </t>
  </si>
  <si>
    <t>طی دوره</t>
  </si>
  <si>
    <t>درآمد بازارگرداني</t>
  </si>
  <si>
    <t>6-2</t>
  </si>
  <si>
    <t>درآمد حاصل از سرمایه گذاری در اوراق مشتقه</t>
  </si>
  <si>
    <t>7-2</t>
  </si>
  <si>
    <t xml:space="preserve">طی دوره </t>
  </si>
  <si>
    <t xml:space="preserve">درآمد بازارگردان </t>
  </si>
  <si>
    <t xml:space="preserve">نام سهام </t>
  </si>
  <si>
    <t>اوراق مشتقه</t>
  </si>
  <si>
    <t>کاهش</t>
  </si>
  <si>
    <t>درآمد سرمایه گذاری در اوراق مشتقه</t>
  </si>
  <si>
    <t>درآمد تعهد پذیره نویسی</t>
  </si>
  <si>
    <t>5-1- سرمایه‌گذاری در  سپرده‌ بانکی</t>
  </si>
  <si>
    <t>درآمد حاصل از سرمایه گذاری در گواهی سپرده کالایی</t>
  </si>
  <si>
    <t>8-2</t>
  </si>
  <si>
    <t>5-2-درآمد حاصل از سرمایه­گذاری در سپرده بانکی و گواهی سپرده:</t>
  </si>
  <si>
    <t>6-2-درآمد حاصل از بازارگردانی:</t>
  </si>
  <si>
    <t>7-2-درآمد حاصل از سرمایه­گذاری در اوراق مشتقه:</t>
  </si>
  <si>
    <t>8-2-سایر درآمدها:</t>
  </si>
  <si>
    <t>4-2-درآمد حاصل از سرمایه­گذاری در گواهی سپرده کالایی</t>
  </si>
  <si>
    <t>شاخصی هم ‏وزن تراز</t>
  </si>
  <si>
    <t>برای ماه منتهی به 1404/12/29</t>
  </si>
  <si>
    <t>1404/12/29</t>
  </si>
  <si>
    <t>كاريزما</t>
  </si>
  <si>
    <t>سامان</t>
  </si>
  <si>
    <t>ملت</t>
  </si>
  <si>
    <t>پاسارگاد</t>
  </si>
  <si>
    <t>دي</t>
  </si>
  <si>
    <t>خاورميانه</t>
  </si>
  <si>
    <t>سپه</t>
  </si>
  <si>
    <t>ملي</t>
  </si>
  <si>
    <t>1404/11/30</t>
  </si>
  <si>
    <t>بيمه آسيا</t>
  </si>
  <si>
    <t>ليزينگ اقتصاد نوين</t>
  </si>
  <si>
    <t>مهرمام ميهن</t>
  </si>
  <si>
    <t>منگنز ايران</t>
  </si>
  <si>
    <t>بيمه پارسيان</t>
  </si>
  <si>
    <t>سيمان اروميه</t>
  </si>
  <si>
    <t>ایرکا پارت صنعت</t>
  </si>
  <si>
    <t>نفت لاوان</t>
  </si>
  <si>
    <t>بانك تجارت</t>
  </si>
  <si>
    <t>پتروشيمي جم</t>
  </si>
  <si>
    <t>فنرسازي زر</t>
  </si>
  <si>
    <t>پلي پروپيلن جم - جم پيلن</t>
  </si>
  <si>
    <t>سيمان ساوه</t>
  </si>
  <si>
    <t>فن آوران</t>
  </si>
  <si>
    <t>سيمان سپاهان</t>
  </si>
  <si>
    <t>سيمان شمال</t>
  </si>
  <si>
    <t>داروسازي‌ اكسير</t>
  </si>
  <si>
    <t>سرمايه گذاري سپه</t>
  </si>
  <si>
    <t>سيمان تهران</t>
  </si>
  <si>
    <t>خاك چيني</t>
  </si>
  <si>
    <t>صنايع الكترونيك ماديران</t>
  </si>
  <si>
    <t>سرمايه گذاري اميد</t>
  </si>
  <si>
    <t>بانك سينا</t>
  </si>
  <si>
    <t>بهمن دیزل</t>
  </si>
  <si>
    <t>املاح ايران</t>
  </si>
  <si>
    <t>شیشه قزوین</t>
  </si>
  <si>
    <t>سرمایه گذاری مسکن تهران</t>
  </si>
  <si>
    <t>فجر انرژي خليج فارس</t>
  </si>
  <si>
    <t>كاشي الوند</t>
  </si>
  <si>
    <t>آلوميناي ايران</t>
  </si>
  <si>
    <t xml:space="preserve">پتروشيمي كرمانشاه </t>
  </si>
  <si>
    <t>صنعتي بارز</t>
  </si>
  <si>
    <t>توزيع دارو پخش</t>
  </si>
  <si>
    <t>نشاسته و گلوكز آردينه</t>
  </si>
  <si>
    <t>نيان الكترونيك</t>
  </si>
  <si>
    <t>داروسازي فارابي</t>
  </si>
  <si>
    <t>نيان باتري خاوران</t>
  </si>
  <si>
    <t>سيمان خاش</t>
  </si>
  <si>
    <t>كوير تاير</t>
  </si>
  <si>
    <t>نفت بهران</t>
  </si>
  <si>
    <t>ملي مس</t>
  </si>
  <si>
    <t>نفت اصفهان</t>
  </si>
  <si>
    <t>سنگ آهن گهرزمين</t>
  </si>
  <si>
    <t>كشت و دام قيام اصفهان</t>
  </si>
  <si>
    <t>سبحان_دارو</t>
  </si>
  <si>
    <t>تامين ماسه</t>
  </si>
  <si>
    <t>سيمان آبيك</t>
  </si>
  <si>
    <t>سيمان فارس نو</t>
  </si>
  <si>
    <t>سرمايه گذاري صدرتامين</t>
  </si>
  <si>
    <t>غذايي مينو</t>
  </si>
  <si>
    <t>كاشي حافظ</t>
  </si>
  <si>
    <t>صنعتي بهشهر</t>
  </si>
  <si>
    <t>ريل سير كوثر</t>
  </si>
  <si>
    <t>گل گهر</t>
  </si>
  <si>
    <t xml:space="preserve">تراكتور سازي </t>
  </si>
  <si>
    <t>ايران ترانسفو</t>
  </si>
  <si>
    <t>كاشي پارس</t>
  </si>
  <si>
    <t>سيمان بجنورد</t>
  </si>
  <si>
    <t>حمل و نقل ريلي پارسيان</t>
  </si>
  <si>
    <t>بهار رز عاليس چناران</t>
  </si>
  <si>
    <t>كاشي وسراميك سينا</t>
  </si>
  <si>
    <t>كشتيراني ايران</t>
  </si>
  <si>
    <t>غلتك سازان سپاهان</t>
  </si>
  <si>
    <t>پاکدیس</t>
  </si>
  <si>
    <t>توليد ژلاتين كپسول ايران</t>
  </si>
  <si>
    <t>فولاد خوزستان</t>
  </si>
  <si>
    <t>نفت و گاز پارسیان</t>
  </si>
  <si>
    <t>سيمان غرب</t>
  </si>
  <si>
    <t>رادياتور</t>
  </si>
  <si>
    <t>قند اصفهان</t>
  </si>
  <si>
    <t>سايپا</t>
  </si>
  <si>
    <t>نورد قطعات</t>
  </si>
  <si>
    <t>قند چهار محال</t>
  </si>
  <si>
    <t>حفاري شمال</t>
  </si>
  <si>
    <t>ريخته گري تراكتورسازي</t>
  </si>
  <si>
    <t>آترا زيست آراي</t>
  </si>
  <si>
    <t>س. و توسعه صنايع لاستيك</t>
  </si>
  <si>
    <t>شيشه و گاز</t>
  </si>
  <si>
    <t>شيشه همدان</t>
  </si>
  <si>
    <t>سرمايه گذاري ملي ايران</t>
  </si>
  <si>
    <t>انتقال داده هاي آسياتك</t>
  </si>
  <si>
    <t>گلتاش</t>
  </si>
  <si>
    <t>صنعتي سپاهان</t>
  </si>
  <si>
    <t>توليد برق عسلويه مپنا</t>
  </si>
  <si>
    <t>بانك صادرات</t>
  </si>
  <si>
    <t>توسعه و عمران اميد</t>
  </si>
  <si>
    <t>گروه مالي نماد غدير(سهامي عام)</t>
  </si>
  <si>
    <t>فولاد مباركه</t>
  </si>
  <si>
    <t>پست بانك ايران</t>
  </si>
  <si>
    <t>شرکت سرمایه گذاری خوارزمی</t>
  </si>
  <si>
    <t>صنعتي مينو</t>
  </si>
  <si>
    <t>كاني كربن طبس</t>
  </si>
  <si>
    <t>بيمه البرز</t>
  </si>
  <si>
    <t>پخش البرز</t>
  </si>
  <si>
    <t>آلومينيوم ايران</t>
  </si>
  <si>
    <t>فروشگاههاي زنجيره اي افق كوروش</t>
  </si>
  <si>
    <t>پارس فولاد سبزوار</t>
  </si>
  <si>
    <t>نفت تبريز</t>
  </si>
  <si>
    <t>موتورسازان</t>
  </si>
  <si>
    <t>توليدي برنا باطري</t>
  </si>
  <si>
    <t>گروه مالي مهرگان تامين پارس</t>
  </si>
  <si>
    <t>پگاه خراسان</t>
  </si>
  <si>
    <t>كشت و صنعت شهداب</t>
  </si>
  <si>
    <t>فولاد آلياژي ايران</t>
  </si>
  <si>
    <t>قاسم ايران</t>
  </si>
  <si>
    <t>كشت و دامداري فكا</t>
  </si>
  <si>
    <t>صنعتی صبانور</t>
  </si>
  <si>
    <t>سيمان خزر</t>
  </si>
  <si>
    <t>تايدواتر</t>
  </si>
  <si>
    <t>شير و گوشت زاگرس شهركرد</t>
  </si>
  <si>
    <t>پتروشیمی تامین</t>
  </si>
  <si>
    <t>مهرام</t>
  </si>
  <si>
    <t>اقتصاد نوين</t>
  </si>
  <si>
    <t>شهد ايران</t>
  </si>
  <si>
    <t>كارخانجات داروپخش</t>
  </si>
  <si>
    <t>ملي شيمي كشاورز</t>
  </si>
  <si>
    <t>تامين سرمايه لوتوس پارسيان</t>
  </si>
  <si>
    <t>پتروشيمی پردیس</t>
  </si>
  <si>
    <t>مگسال</t>
  </si>
  <si>
    <t>سيمان مازندران</t>
  </si>
  <si>
    <t>لاستيك سهند</t>
  </si>
  <si>
    <t>سرمايه گذاري پايا تدبيرپارسا</t>
  </si>
  <si>
    <t>قند هكمتان</t>
  </si>
  <si>
    <t>مجتمع كاشي و سنگ پرسپوليس يزد</t>
  </si>
  <si>
    <t>آهن و فولاد غدير ايرانيان</t>
  </si>
  <si>
    <t>دارويي ره آورد تامين</t>
  </si>
  <si>
    <t>شير پاستوريزه پگاه گلپايگان</t>
  </si>
  <si>
    <t>سيمان هگمتان</t>
  </si>
  <si>
    <t>سپيد ماكيان</t>
  </si>
  <si>
    <t>كربن</t>
  </si>
  <si>
    <t>عمران فارس</t>
  </si>
  <si>
    <t>صبا فولاد خليج فارس</t>
  </si>
  <si>
    <t>ايران خودرو</t>
  </si>
  <si>
    <t>عطرين نخ قم</t>
  </si>
  <si>
    <t>سيمرغ</t>
  </si>
  <si>
    <t>نگين طبس</t>
  </si>
  <si>
    <t>ارتباطات سیار</t>
  </si>
  <si>
    <t>زامياد</t>
  </si>
  <si>
    <t>همكاران سيستم</t>
  </si>
  <si>
    <t>البرز دارو</t>
  </si>
  <si>
    <t>الكتريك خودرو</t>
  </si>
  <si>
    <t>صنعتي زر ماكارون</t>
  </si>
  <si>
    <t>فرآوري زغال سنگ پروده طبس</t>
  </si>
  <si>
    <t>پمپ ايران</t>
  </si>
  <si>
    <t>سرمايه گذاري كشاورزي كوثر</t>
  </si>
  <si>
    <t>پديده شيمي قرن</t>
  </si>
  <si>
    <t>سیمان سبزوار</t>
  </si>
  <si>
    <t>سرمايه گذاري تامين اجتماعي</t>
  </si>
  <si>
    <t>گروه انتخاب الكترونيك آرمان</t>
  </si>
  <si>
    <t>كاشي سعدي</t>
  </si>
  <si>
    <t>بانك خاورميانه</t>
  </si>
  <si>
    <t>قند لرستان</t>
  </si>
  <si>
    <t>صنايع غذايي رضوي</t>
  </si>
  <si>
    <t>دريايي سينا</t>
  </si>
  <si>
    <t>توليدات پتروشيمي قائد بصير</t>
  </si>
  <si>
    <t>بانك ملت</t>
  </si>
  <si>
    <t>پارس مينو</t>
  </si>
  <si>
    <t>افست</t>
  </si>
  <si>
    <t>چادرملو</t>
  </si>
  <si>
    <t>دارويي و نهاده هاي زاگرس دارو</t>
  </si>
  <si>
    <t>تجارت الکترونیک پارسیان</t>
  </si>
  <si>
    <t>پارس فنر</t>
  </si>
  <si>
    <t>داروسازي زاگرس</t>
  </si>
  <si>
    <t>توليدي چدن سازان</t>
  </si>
  <si>
    <t>نيروترانس</t>
  </si>
  <si>
    <t>مجتمع صنايع لاستيك يزد</t>
  </si>
  <si>
    <t>داده پردازي</t>
  </si>
  <si>
    <t>نفت بندر عباس</t>
  </si>
  <si>
    <t>توسعه نيشكر و صنايع جانبي</t>
  </si>
  <si>
    <t>نفت سپاهان</t>
  </si>
  <si>
    <t>تامين سرمايه نوين</t>
  </si>
  <si>
    <t>صنعتي آما</t>
  </si>
  <si>
    <t>موتوژن</t>
  </si>
  <si>
    <t>ايران ياسا</t>
  </si>
  <si>
    <t>سرمايه گذاري غدير</t>
  </si>
  <si>
    <t>پتروشيمي نوري</t>
  </si>
  <si>
    <t>سينا دارو</t>
  </si>
  <si>
    <t>پارس شهاب</t>
  </si>
  <si>
    <t>توسعه سامانه ي نرم افزاري نگين</t>
  </si>
  <si>
    <t>كشاورزي و دامپروري بينالود</t>
  </si>
  <si>
    <t>نساجي هديه البرز مشهد</t>
  </si>
  <si>
    <t>پخش هجرت</t>
  </si>
  <si>
    <t>نسوز آذر</t>
  </si>
  <si>
    <t>مواداوليه داروپخش</t>
  </si>
  <si>
    <t>دارويي‌ رازك‌</t>
  </si>
  <si>
    <t>سيمان فارس و خوزستان</t>
  </si>
  <si>
    <t>دارو ابوريحان</t>
  </si>
  <si>
    <t>نخريسي و نساجي خسروي خراسان</t>
  </si>
  <si>
    <t>آريان كيميا تك</t>
  </si>
  <si>
    <t>آنتي بيوتيك سازي ايران</t>
  </si>
  <si>
    <t>1404/02/23</t>
  </si>
  <si>
    <t>اخشان خراسان</t>
  </si>
  <si>
    <t>1404/05/14</t>
  </si>
  <si>
    <t>1404/03/21</t>
  </si>
  <si>
    <t>1404/10/29</t>
  </si>
  <si>
    <t>1404/03/26</t>
  </si>
  <si>
    <t>1404/03/12</t>
  </si>
  <si>
    <t>1404/04/05</t>
  </si>
  <si>
    <t>1404/03/13</t>
  </si>
  <si>
    <t>ايمن خودرو شرق</t>
  </si>
  <si>
    <t>1404/02/31</t>
  </si>
  <si>
    <t>1404/05/28</t>
  </si>
  <si>
    <t>بيمه ايران - معين</t>
  </si>
  <si>
    <t>1404/03/06</t>
  </si>
  <si>
    <t>1404/07/06</t>
  </si>
  <si>
    <t>1404/04/28</t>
  </si>
  <si>
    <t>1404/05/04</t>
  </si>
  <si>
    <t>توسعه معادن كروميت كاوندگان</t>
  </si>
  <si>
    <t>1404/04/30</t>
  </si>
  <si>
    <t>1404/03/01</t>
  </si>
  <si>
    <t>1404/04/29</t>
  </si>
  <si>
    <t>1404/04/25</t>
  </si>
  <si>
    <t>1404/09/26</t>
  </si>
  <si>
    <t>1404/04/04</t>
  </si>
  <si>
    <t>1404/05/15</t>
  </si>
  <si>
    <t>1404/05/13</t>
  </si>
  <si>
    <t>1404/04/22</t>
  </si>
  <si>
    <t>1404/07/30</t>
  </si>
  <si>
    <t>1404/12/03</t>
  </si>
  <si>
    <t>1404/08/13</t>
  </si>
  <si>
    <t>1404/08/18</t>
  </si>
  <si>
    <t>1404/03/17</t>
  </si>
  <si>
    <t>1404/02/13</t>
  </si>
  <si>
    <t>1404/02/30</t>
  </si>
  <si>
    <t>1404/09/15</t>
  </si>
  <si>
    <t>1404/11/20</t>
  </si>
  <si>
    <t>1404/12/02</t>
  </si>
  <si>
    <t>1404/07/26</t>
  </si>
  <si>
    <t>1404/06/03</t>
  </si>
  <si>
    <t>1404/01/31</t>
  </si>
  <si>
    <t>صنايع ارتباطي آوا</t>
  </si>
  <si>
    <t>1404/04/31</t>
  </si>
  <si>
    <t>1404/04/19</t>
  </si>
  <si>
    <t>1404/03/25</t>
  </si>
  <si>
    <t>1404/11/18</t>
  </si>
  <si>
    <t>1404/05/08</t>
  </si>
  <si>
    <t>1404/03/03</t>
  </si>
  <si>
    <t>1404/08/24</t>
  </si>
  <si>
    <t>قند پيرانشهر</t>
  </si>
  <si>
    <t>1404/08/27</t>
  </si>
  <si>
    <t>1404/03/28</t>
  </si>
  <si>
    <t>1404/04/26</t>
  </si>
  <si>
    <t>1404/07/15</t>
  </si>
  <si>
    <t>1404/02/20</t>
  </si>
  <si>
    <t>1404/03/11</t>
  </si>
  <si>
    <t>مديريت نيروگاهي ايرانيان مپنا</t>
  </si>
  <si>
    <t>1404/05/05</t>
  </si>
  <si>
    <t>1404/10/30</t>
  </si>
  <si>
    <t>1404/05/09</t>
  </si>
  <si>
    <t>1404/10/11</t>
  </si>
  <si>
    <t>مپنا</t>
  </si>
  <si>
    <t>1404/07/20</t>
  </si>
  <si>
    <t>1404/05/12</t>
  </si>
  <si>
    <t>1404/10/23</t>
  </si>
  <si>
    <t>1404/03/10</t>
  </si>
  <si>
    <t>1404/04/01</t>
  </si>
  <si>
    <t>1404/06/23</t>
  </si>
  <si>
    <t>1404/02/15</t>
  </si>
  <si>
    <t>پرتو بار فرابر خليج فارس</t>
  </si>
  <si>
    <t>پگاه آذربايجان</t>
  </si>
  <si>
    <t>1404/12/05</t>
  </si>
  <si>
    <t>پگاه اصفهان</t>
  </si>
  <si>
    <t>1404/11/29</t>
  </si>
  <si>
    <t>1404/04/23</t>
  </si>
  <si>
    <t>کارت اعتباری ایران کیش</t>
  </si>
  <si>
    <t>1404/11/26</t>
  </si>
  <si>
    <t>-</t>
  </si>
  <si>
    <t>لامپ پارس شهاب</t>
  </si>
  <si>
    <t>نفت و گاز پارسيان</t>
  </si>
  <si>
    <t>برق مپنا</t>
  </si>
  <si>
    <t>پاكديس</t>
  </si>
  <si>
    <t>پتروشيمي خراسان</t>
  </si>
  <si>
    <t>توليدي و صنعتي گوهرفام</t>
  </si>
  <si>
    <t>كيميا كالاي رازي</t>
  </si>
  <si>
    <t>پتروشيمي كرمانشاه</t>
  </si>
  <si>
    <t>كارت اعتباري ايران كيش</t>
  </si>
  <si>
    <t>پارس سوييچ</t>
  </si>
  <si>
    <t>صنعتي پارس خزر</t>
  </si>
  <si>
    <t>پتروشيمي فجر</t>
  </si>
  <si>
    <t>فولاد ارفع</t>
  </si>
  <si>
    <t>صنايع چوب خزر كاسپين</t>
  </si>
  <si>
    <t>صنعت غذايي كورش</t>
  </si>
  <si>
    <t>تراكتور سازي</t>
  </si>
  <si>
    <t>قند قزوين</t>
  </si>
  <si>
    <t>بهمن ديزل</t>
  </si>
  <si>
    <t>صندوق بازنشستگي</t>
  </si>
  <si>
    <t>شيميايي ايران</t>
  </si>
  <si>
    <t>پتروشيمي پرديس</t>
  </si>
  <si>
    <t>توكا رنگ فولاد سپاهان</t>
  </si>
  <si>
    <t>كارخانجات توليدي نيروترانسفو</t>
  </si>
  <si>
    <t>تجارت الكترونيك پارسيان</t>
  </si>
  <si>
    <t>داروسازي اكسير</t>
  </si>
  <si>
    <t>سيمان صوفيان</t>
  </si>
  <si>
    <t>معادن منگنز ايران</t>
  </si>
  <si>
    <t>بيمه اتكايي ايران معين</t>
  </si>
  <si>
    <t>شركت سرمايه گذاري خوارزمي</t>
  </si>
  <si>
    <t>شركت شيرين دارو</t>
  </si>
  <si>
    <t>پتروشيمي تامين</t>
  </si>
  <si>
    <t>شيشه قزوين</t>
  </si>
  <si>
    <t>ايركا پارت صنعت</t>
  </si>
  <si>
    <t>سالمين</t>
  </si>
  <si>
    <t>كاشي و سراميك سعدي</t>
  </si>
  <si>
    <t>فولاد كاوه</t>
  </si>
  <si>
    <t>كشاورزي مكانيزه اصفهان كشت</t>
  </si>
  <si>
    <t>توليد انرژي برق شمس پاسارگاد</t>
  </si>
  <si>
    <t>شركت پالايش نفت لاوان</t>
  </si>
  <si>
    <t>شركت پخش البرز</t>
  </si>
  <si>
    <t>سيمان قاين</t>
  </si>
  <si>
    <t>ارتباطات سيار</t>
  </si>
  <si>
    <t>شركت سرمايه گذاري مسكن تهران</t>
  </si>
  <si>
    <t>پمپ سازي ايران</t>
  </si>
  <si>
    <t>پشم شيشه</t>
  </si>
  <si>
    <t>صنعتي صبانور</t>
  </si>
  <si>
    <t>توليد مواد اوليه داروپخش</t>
  </si>
  <si>
    <t>سيمان بهبهان</t>
  </si>
  <si>
    <t>سيمان سبزوار</t>
  </si>
  <si>
    <t>سيمان شمال (تقدم)</t>
  </si>
  <si>
    <t>شرکت سرمایه گذاری خوارزمی (تقدم)</t>
  </si>
  <si>
    <t>شیرین دارو</t>
  </si>
  <si>
    <t>كاني كربن طبس (تقدم)</t>
  </si>
  <si>
    <t>پارس خزر</t>
  </si>
  <si>
    <t>سبحان_دارو (تقدم)</t>
  </si>
  <si>
    <t>پخش البرز (تقدم)</t>
  </si>
  <si>
    <t>کارخانجات توليدي نيروترانسفو</t>
  </si>
  <si>
    <t>ارزش دفتری برابر است با میانگین موزون خالص ارزش فروش هر سهم/ورقه در ابتدای دوره با خرید طی دوره ضربدر تعداد در پایان دوره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</si>
  <si>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</si>
  <si>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</si>
  <si>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29 اسفند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</si>
</sst>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_-_ ;_ * #,##0\-_ ;_ * &quot;-&quot;??_-_ ;_ @_ "/>
    <numFmt numFmtId="165" formatCode="#,##0;[Red]\(#,##0\);0"/>
    <numFmt numFmtId="166" formatCode="0.00%;[Red]\(0.00%\);0%"/>
    <numFmt numFmtId="167" formatCode="_(* #,##0_);_(* \(#,##0\);_(* &quot;-&quot;??_);_(@_)"/>
  </numFmts>
  <fonts count="3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b/>
      <sz val="12"/>
      <color rgb="FF0062AC"/>
      <name val="B Titr"/>
      <charset val="178"/>
    </font>
    <font>
      <sz val="10"/>
      <color theme="1"/>
      <name val="Calibri"/>
      <family val="2"/>
      <charset val="178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sz val="10"/>
      <color theme="1"/>
      <name val="B Mitra"/>
      <charset val="178"/>
    </font>
    <font>
      <sz val="8"/>
      <color theme="1"/>
      <name val="B Mitra"/>
      <charset val="178"/>
    </font>
    <font>
      <sz val="11"/>
      <color theme="1"/>
      <name val="B Mitra"/>
      <charset val="178"/>
    </font>
    <font>
      <sz val="9"/>
      <color theme="1"/>
      <name val="B Mitra"/>
      <charset val="178"/>
    </font>
    <font>
      <sz val="7"/>
      <color theme="1"/>
      <name val="B Mitra"/>
      <charset val="178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0"/>
      <name val="B Nazanin"/>
      <charset val="178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b/>
      <sz val="10"/>
      <color rgb="FF0062AC"/>
      <name val="B Nazanin"/>
      <charset val="178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9" fillId="0" borderId="0" applyFont="0" applyFill="0" applyBorder="0" applyAlignment="0" applyProtection="0"/>
    <xf numFmtId="0" fontId="24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 applyAlignment="1">
      <alignment vertical="center" wrapText="1" readingOrder="2"/>
    </xf>
    <xf numFmtId="0" fontId="3" fillId="0" borderId="0" xfId="0" applyFont="1"/>
    <xf numFmtId="0" fontId="4" fillId="0" borderId="3" xfId="0" applyFont="1" applyBorder="1" applyAlignment="1">
      <alignment horizontal="center" vertical="center" wrapText="1" readingOrder="2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right" vertical="center" wrapText="1" readingOrder="2"/>
    </xf>
    <xf numFmtId="0" fontId="6" fillId="0" borderId="0" xfId="0" applyFont="1"/>
    <xf numFmtId="0" fontId="4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2"/>
    </xf>
    <xf numFmtId="0" fontId="2" fillId="0" borderId="3" xfId="0" applyFont="1" applyBorder="1"/>
    <xf numFmtId="0" fontId="7" fillId="0" borderId="0" xfId="0" applyFont="1" applyAlignment="1">
      <alignment vertical="center" readingOrder="2"/>
    </xf>
    <xf numFmtId="0" fontId="2" fillId="0" borderId="1" xfId="0" applyFont="1" applyBorder="1" applyAlignment="1">
      <alignment vertical="center" wrapText="1" readingOrder="2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49" fontId="6" fillId="0" borderId="0" xfId="0" applyNumberFormat="1" applyFont="1" applyAlignment="1">
      <alignment horizontal="center" vertical="center" readingOrder="2"/>
    </xf>
    <xf numFmtId="0" fontId="4" fillId="0" borderId="1" xfId="0" applyFont="1" applyBorder="1" applyAlignment="1">
      <alignment vertical="center" wrapText="1" readingOrder="2"/>
    </xf>
    <xf numFmtId="0" fontId="5" fillId="0" borderId="1" xfId="0" applyFont="1" applyBorder="1" applyAlignment="1">
      <alignment vertical="center" wrapText="1" readingOrder="2"/>
    </xf>
    <xf numFmtId="0" fontId="10" fillId="0" borderId="0" xfId="0" applyFont="1" applyAlignment="1">
      <alignment horizontal="center"/>
    </xf>
    <xf numFmtId="0" fontId="10" fillId="0" borderId="0" xfId="0" applyFont="1"/>
    <xf numFmtId="0" fontId="13" fillId="0" borderId="4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 wrapText="1" readingOrder="2"/>
    </xf>
    <xf numFmtId="0" fontId="17" fillId="0" borderId="4" xfId="0" applyFont="1" applyBorder="1" applyAlignment="1">
      <alignment horizontal="center" vertical="center" wrapText="1" readingOrder="2"/>
    </xf>
    <xf numFmtId="0" fontId="16" fillId="0" borderId="4" xfId="0" applyFont="1" applyBorder="1" applyAlignment="1">
      <alignment horizontal="center" vertical="center" wrapText="1" readingOrder="2"/>
    </xf>
    <xf numFmtId="0" fontId="2" fillId="0" borderId="0" xfId="0" applyFont="1" applyAlignment="1">
      <alignment readingOrder="2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 readingOrder="2"/>
    </xf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readingOrder="2"/>
    </xf>
    <xf numFmtId="0" fontId="2" fillId="0" borderId="2" xfId="0" applyFont="1" applyBorder="1" applyAlignment="1">
      <alignment readingOrder="2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 vertical="center" wrapText="1" readingOrder="2"/>
    </xf>
    <xf numFmtId="164" fontId="6" fillId="0" borderId="0" xfId="1" applyNumberFormat="1" applyFont="1"/>
    <xf numFmtId="164" fontId="6" fillId="0" borderId="0" xfId="1" applyNumberFormat="1" applyFont="1" applyFill="1"/>
    <xf numFmtId="164" fontId="20" fillId="0" borderId="0" xfId="1" applyNumberFormat="1" applyFont="1" applyFill="1"/>
    <xf numFmtId="0" fontId="20" fillId="0" borderId="0" xfId="0" applyFont="1"/>
    <xf numFmtId="3" fontId="20" fillId="0" borderId="0" xfId="0" applyNumberFormat="1" applyFont="1"/>
    <xf numFmtId="164" fontId="20" fillId="0" borderId="0" xfId="0" applyNumberFormat="1" applyFont="1"/>
    <xf numFmtId="0" fontId="4" fillId="0" borderId="0" xfId="0" applyFont="1" applyAlignment="1">
      <alignment horizontal="right" vertical="center" wrapText="1" readingOrder="2"/>
    </xf>
    <xf numFmtId="165" fontId="22" fillId="0" borderId="0" xfId="0" applyNumberFormat="1" applyFont="1"/>
    <xf numFmtId="166" fontId="22" fillId="0" borderId="0" xfId="0" applyNumberFormat="1" applyFont="1"/>
    <xf numFmtId="165" fontId="22" fillId="0" borderId="7" xfId="0" applyNumberFormat="1" applyFont="1" applyBorder="1"/>
    <xf numFmtId="166" fontId="22" fillId="0" borderId="7" xfId="0" applyNumberFormat="1" applyFont="1" applyBorder="1"/>
    <xf numFmtId="3" fontId="3" fillId="0" borderId="0" xfId="0" applyNumberFormat="1" applyFont="1"/>
    <xf numFmtId="0" fontId="21" fillId="0" borderId="0" xfId="0" applyFont="1" applyAlignment="1">
      <alignment vertical="center" readingOrder="2"/>
    </xf>
    <xf numFmtId="0" fontId="6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166" fontId="3" fillId="0" borderId="0" xfId="0" applyNumberFormat="1" applyFont="1"/>
    <xf numFmtId="165" fontId="3" fillId="0" borderId="7" xfId="0" applyNumberFormat="1" applyFont="1" applyBorder="1"/>
    <xf numFmtId="166" fontId="3" fillId="0" borderId="7" xfId="0" applyNumberFormat="1" applyFont="1" applyBorder="1"/>
    <xf numFmtId="37" fontId="3" fillId="0" borderId="0" xfId="0" applyNumberFormat="1" applyFont="1"/>
    <xf numFmtId="167" fontId="22" fillId="0" borderId="0" xfId="1" applyNumberFormat="1" applyFont="1"/>
    <xf numFmtId="167" fontId="3" fillId="0" borderId="0" xfId="1" applyNumberFormat="1" applyFont="1"/>
    <xf numFmtId="167" fontId="22" fillId="0" borderId="7" xfId="1" applyNumberFormat="1" applyFont="1" applyBorder="1"/>
    <xf numFmtId="37" fontId="22" fillId="0" borderId="0" xfId="0" applyNumberFormat="1" applyFont="1"/>
    <xf numFmtId="37" fontId="22" fillId="0" borderId="7" xfId="0" applyNumberFormat="1" applyFont="1" applyBorder="1"/>
    <xf numFmtId="0" fontId="25" fillId="2" borderId="0" xfId="2" applyFont="1" applyFill="1"/>
    <xf numFmtId="0" fontId="30" fillId="2" borderId="0" xfId="2" applyFont="1" applyFill="1" applyAlignment="1">
      <alignment horizontal="center"/>
    </xf>
    <xf numFmtId="0" fontId="30" fillId="2" borderId="0" xfId="2" applyFont="1" applyFill="1"/>
    <xf numFmtId="0" fontId="31" fillId="2" borderId="0" xfId="2" applyFont="1" applyFill="1" applyAlignment="1">
      <alignment horizontal="center" vertical="center" wrapText="1"/>
    </xf>
    <xf numFmtId="0" fontId="32" fillId="2" borderId="0" xfId="2" applyFont="1" applyFill="1" applyAlignment="1">
      <alignment horizontal="center"/>
    </xf>
    <xf numFmtId="0" fontId="26" fillId="2" borderId="0" xfId="2" applyFont="1" applyFill="1" applyAlignment="1">
      <alignment horizontal="center" vertical="center" wrapText="1"/>
    </xf>
    <xf numFmtId="0" fontId="27" fillId="2" borderId="0" xfId="2" applyFont="1" applyFill="1" applyAlignment="1">
      <alignment horizontal="center" vertical="center" wrapText="1"/>
    </xf>
    <xf numFmtId="0" fontId="28" fillId="2" borderId="0" xfId="2" applyFont="1" applyFill="1" applyAlignment="1">
      <alignment horizontal="center" vertical="center" wrapText="1"/>
    </xf>
    <xf numFmtId="0" fontId="29" fillId="2" borderId="0" xfId="2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/>
    </xf>
    <xf numFmtId="0" fontId="21" fillId="0" borderId="0" xfId="0" applyFont="1" applyAlignment="1">
      <alignment horizontal="right" vertical="center" readingOrder="2"/>
    </xf>
    <xf numFmtId="0" fontId="2" fillId="0" borderId="2" xfId="0" applyFont="1" applyBorder="1" applyAlignment="1">
      <alignment horizontal="center" readingOrder="2"/>
    </xf>
    <xf numFmtId="0" fontId="7" fillId="0" borderId="0" xfId="0" applyFont="1" applyAlignment="1">
      <alignment horizontal="right" vertical="center" readingOrder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 readingOrder="2"/>
    </xf>
    <xf numFmtId="0" fontId="15" fillId="0" borderId="4" xfId="0" applyFont="1" applyBorder="1" applyAlignment="1">
      <alignment horizontal="center" vertical="center" wrapText="1" readingOrder="2"/>
    </xf>
    <xf numFmtId="0" fontId="16" fillId="0" borderId="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2"/>
    </xf>
    <xf numFmtId="164" fontId="4" fillId="0" borderId="2" xfId="1" applyNumberFormat="1" applyFont="1" applyBorder="1" applyAlignment="1">
      <alignment horizontal="center" vertical="center" wrapText="1" readingOrder="2"/>
    </xf>
    <xf numFmtId="164" fontId="4" fillId="0" borderId="0" xfId="1" applyNumberFormat="1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2F5444F5-9182-4C67-AC0C-F5531B8277D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29D1-96DA-45B2-BD9E-C6286EED089B}">
  <dimension ref="A1:K32"/>
  <sheetViews>
    <sheetView rightToLeft="1" tabSelected="1" view="pageBreakPreview" zoomScale="82" zoomScaleNormal="100" zoomScaleSheetLayoutView="82" workbookViewId="0">
      <selection activeCell="S13" sqref="S13"/>
    </sheetView>
  </sheetViews>
  <sheetFormatPr defaultRowHeight="15" x14ac:dyDescent="0.25"/>
  <sheetData>
    <row r="1" spans="1:11" ht="18" x14ac:dyDescent="0.4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18" x14ac:dyDescent="0.4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8" x14ac:dyDescent="0.4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x14ac:dyDescent="0.25">
      <c r="A4" s="91" t="s">
        <v>493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x14ac:dyDescent="0.2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</row>
    <row r="6" spans="1:11" x14ac:dyDescent="0.2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</row>
    <row r="7" spans="1:11" x14ac:dyDescent="0.25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1" x14ac:dyDescent="0.2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ht="69" customHeight="1" x14ac:dyDescent="0.2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</row>
    <row r="10" spans="1:11" x14ac:dyDescent="0.25">
      <c r="A10" s="92"/>
      <c r="B10" s="93"/>
      <c r="C10" s="93"/>
      <c r="D10" s="93"/>
      <c r="E10" s="93"/>
      <c r="F10" s="93"/>
      <c r="G10" s="93"/>
      <c r="H10" s="93"/>
      <c r="I10" s="93"/>
      <c r="J10" s="93"/>
      <c r="K10" s="92"/>
    </row>
    <row r="11" spans="1:11" x14ac:dyDescent="0.25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</row>
    <row r="12" spans="1:11" ht="30" customHeight="1" x14ac:dyDescent="0.25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</row>
    <row r="13" spans="1:11" ht="30" customHeight="1" x14ac:dyDescent="0.75">
      <c r="A13" s="86"/>
      <c r="B13" s="94"/>
      <c r="C13" s="94"/>
      <c r="D13" s="94"/>
      <c r="E13" s="94"/>
      <c r="F13" s="94"/>
      <c r="G13" s="94"/>
      <c r="H13" s="94"/>
      <c r="I13" s="94"/>
      <c r="J13" s="94"/>
      <c r="K13" s="94"/>
    </row>
    <row r="14" spans="1:11" ht="30" customHeight="1" x14ac:dyDescent="0.65">
      <c r="A14" s="86"/>
      <c r="B14" s="87"/>
      <c r="C14" s="87"/>
      <c r="D14" s="87"/>
      <c r="E14" s="87"/>
      <c r="F14" s="87"/>
      <c r="G14" s="87"/>
      <c r="H14" s="87"/>
      <c r="I14" s="87"/>
      <c r="J14" s="87"/>
      <c r="K14" s="87"/>
    </row>
    <row r="15" spans="1:11" x14ac:dyDescent="0.25">
      <c r="A15" s="89" t="s">
        <v>495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</row>
    <row r="16" spans="1:11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</row>
    <row r="17" spans="1:11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</row>
    <row r="18" spans="1:11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</row>
    <row r="19" spans="1:11" x14ac:dyDescent="0.2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</row>
    <row r="20" spans="1:11" x14ac:dyDescent="0.2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</row>
    <row r="21" spans="1:11" ht="18" x14ac:dyDescent="0.45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</row>
    <row r="22" spans="1:11" ht="25.5" x14ac:dyDescent="0.65">
      <c r="A22" s="86"/>
      <c r="B22" s="88"/>
      <c r="C22" s="88"/>
      <c r="D22" s="88"/>
      <c r="E22" s="88"/>
      <c r="F22" s="88"/>
      <c r="G22" s="88"/>
      <c r="H22" s="88"/>
      <c r="I22" s="88"/>
      <c r="J22" s="88"/>
      <c r="K22" s="88"/>
    </row>
    <row r="23" spans="1:11" ht="24" x14ac:dyDescent="0.6">
      <c r="A23" s="86"/>
      <c r="B23" s="90"/>
      <c r="C23" s="90"/>
      <c r="D23" s="90"/>
      <c r="E23" s="90"/>
      <c r="F23" s="90"/>
      <c r="G23" s="90"/>
      <c r="H23" s="90"/>
      <c r="I23" s="90"/>
      <c r="J23" s="90"/>
      <c r="K23" s="90"/>
    </row>
    <row r="24" spans="1:11" ht="25.5" x14ac:dyDescent="0.65">
      <c r="A24" s="86"/>
      <c r="B24" s="88"/>
      <c r="C24" s="88"/>
      <c r="D24" s="88"/>
      <c r="E24" s="88"/>
      <c r="F24" s="88"/>
      <c r="G24" s="88"/>
      <c r="H24" s="88"/>
      <c r="I24" s="88"/>
      <c r="J24" s="88"/>
      <c r="K24" s="88"/>
    </row>
    <row r="25" spans="1:11" x14ac:dyDescent="0.25">
      <c r="A25" s="89" t="s">
        <v>494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</row>
    <row r="26" spans="1:11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</row>
    <row r="27" spans="1:11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</row>
    <row r="28" spans="1:11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spans="1:11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</row>
    <row r="30" spans="1:11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</row>
    <row r="31" spans="1:11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</row>
    <row r="32" spans="1:11" ht="18" x14ac:dyDescent="0.4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</sheetData>
  <mergeCells count="7">
    <mergeCell ref="A15:K20"/>
    <mergeCell ref="B23:K23"/>
    <mergeCell ref="A25:K31"/>
    <mergeCell ref="A4:K9"/>
    <mergeCell ref="A10:J12"/>
    <mergeCell ref="K10:K12"/>
    <mergeCell ref="B13:K13"/>
  </mergeCells>
  <pageMargins left="0.7" right="0.7" top="0.75" bottom="0.7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"/>
  <sheetViews>
    <sheetView rightToLeft="1" view="pageBreakPreview" topLeftCell="A208" zoomScaleNormal="100" zoomScaleSheetLayoutView="100" workbookViewId="0">
      <selection activeCell="S13" sqref="S13"/>
    </sheetView>
  </sheetViews>
  <sheetFormatPr defaultColWidth="9.140625" defaultRowHeight="15.75" x14ac:dyDescent="0.4"/>
  <cols>
    <col min="1" max="1" width="22.85546875" style="6" customWidth="1"/>
    <col min="2" max="2" width="12.42578125" style="6" customWidth="1"/>
    <col min="3" max="4" width="19.85546875" style="6" customWidth="1"/>
    <col min="5" max="5" width="11.85546875" style="6" customWidth="1"/>
    <col min="6" max="6" width="11.42578125" style="6" customWidth="1"/>
    <col min="7" max="7" width="20.85546875" style="6" customWidth="1"/>
    <col min="8" max="8" width="12.85546875" style="6" customWidth="1"/>
    <col min="9" max="9" width="16" style="6" customWidth="1"/>
    <col min="10" max="10" width="16.28515625" style="6" customWidth="1"/>
    <col min="11" max="11" width="14" style="6" customWidth="1"/>
    <col min="12" max="12" width="21.85546875" style="6" customWidth="1"/>
    <col min="13" max="13" width="20" style="6" customWidth="1"/>
    <col min="14" max="14" width="13.42578125" style="6" customWidth="1"/>
    <col min="15" max="16384" width="9.140625" style="6"/>
  </cols>
  <sheetData>
    <row r="1" spans="1:14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21" x14ac:dyDescent="0.55000000000000004">
      <c r="A2" s="104" t="s">
        <v>75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4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1:14" ht="21" x14ac:dyDescent="0.4">
      <c r="A4" s="105" t="s">
        <v>32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21" x14ac:dyDescent="0.4">
      <c r="A5" s="105" t="s">
        <v>33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7" spans="1:14" ht="18.75" customHeight="1" thickBot="1" x14ac:dyDescent="0.45">
      <c r="A7" s="12"/>
      <c r="B7" s="95" t="s">
        <v>167</v>
      </c>
      <c r="C7" s="95"/>
      <c r="D7" s="95"/>
      <c r="E7" s="25"/>
      <c r="F7" s="96" t="s">
        <v>11</v>
      </c>
      <c r="G7" s="96"/>
      <c r="H7" s="96"/>
      <c r="I7" s="96"/>
      <c r="J7" s="95" t="s">
        <v>158</v>
      </c>
      <c r="K7" s="95"/>
      <c r="L7" s="95"/>
      <c r="M7" s="95"/>
      <c r="N7" s="95"/>
    </row>
    <row r="8" spans="1:14" ht="17.25" customHeight="1" x14ac:dyDescent="0.4">
      <c r="A8" s="97" t="s">
        <v>1</v>
      </c>
      <c r="B8" s="99" t="s">
        <v>3</v>
      </c>
      <c r="C8" s="99" t="s">
        <v>0</v>
      </c>
      <c r="D8" s="101" t="s">
        <v>27</v>
      </c>
      <c r="E8" s="102" t="s">
        <v>4</v>
      </c>
      <c r="F8" s="102"/>
      <c r="G8" s="102"/>
      <c r="H8" s="102" t="s">
        <v>5</v>
      </c>
      <c r="I8" s="102"/>
      <c r="J8" s="103" t="s">
        <v>3</v>
      </c>
      <c r="K8" s="101" t="s">
        <v>37</v>
      </c>
      <c r="L8" s="103" t="s">
        <v>0</v>
      </c>
      <c r="M8" s="101" t="s">
        <v>27</v>
      </c>
      <c r="N8" s="101" t="s">
        <v>30</v>
      </c>
    </row>
    <row r="9" spans="1:14" ht="20.25" customHeight="1" thickBot="1" x14ac:dyDescent="0.45">
      <c r="A9" s="98"/>
      <c r="B9" s="100"/>
      <c r="C9" s="100"/>
      <c r="D9" s="98"/>
      <c r="E9" s="50" t="s">
        <v>135</v>
      </c>
      <c r="F9" s="18" t="s">
        <v>3</v>
      </c>
      <c r="G9" s="18" t="s">
        <v>0</v>
      </c>
      <c r="H9" s="18" t="s">
        <v>3</v>
      </c>
      <c r="I9" s="18" t="s">
        <v>73</v>
      </c>
      <c r="J9" s="100"/>
      <c r="K9" s="98"/>
      <c r="L9" s="100"/>
      <c r="M9" s="98"/>
      <c r="N9" s="98"/>
    </row>
    <row r="10" spans="1:14" x14ac:dyDescent="0.4">
      <c r="A10" s="68" t="s">
        <v>243</v>
      </c>
      <c r="B10" s="68">
        <v>5751123</v>
      </c>
      <c r="C10" s="68">
        <v>36820959280</v>
      </c>
      <c r="D10" s="68">
        <v>32699200874</v>
      </c>
      <c r="E10" s="68">
        <v>0</v>
      </c>
      <c r="F10" s="68">
        <v>0</v>
      </c>
      <c r="G10" s="68">
        <v>0</v>
      </c>
      <c r="H10" s="68">
        <v>367988</v>
      </c>
      <c r="I10" s="68">
        <v>2059012800</v>
      </c>
      <c r="J10" s="68">
        <v>5383135</v>
      </c>
      <c r="K10" s="68">
        <v>5670</v>
      </c>
      <c r="L10" s="68">
        <v>34464954868</v>
      </c>
      <c r="M10" s="68">
        <v>30286437488</v>
      </c>
      <c r="N10" s="69">
        <v>7.1019757101704996E-3</v>
      </c>
    </row>
    <row r="11" spans="1:14" x14ac:dyDescent="0.4">
      <c r="A11" s="68" t="s">
        <v>356</v>
      </c>
      <c r="B11" s="68">
        <v>6933039</v>
      </c>
      <c r="C11" s="68">
        <v>47175320652</v>
      </c>
      <c r="D11" s="68">
        <v>49256837717</v>
      </c>
      <c r="E11" s="68">
        <v>0</v>
      </c>
      <c r="F11" s="68">
        <v>0</v>
      </c>
      <c r="G11" s="68">
        <v>0</v>
      </c>
      <c r="H11" s="68">
        <v>190104</v>
      </c>
      <c r="I11" s="68">
        <v>1339304925</v>
      </c>
      <c r="J11" s="68">
        <v>6742935</v>
      </c>
      <c r="K11" s="68">
        <v>7240</v>
      </c>
      <c r="L11" s="68">
        <v>45881772879</v>
      </c>
      <c r="M11" s="68">
        <v>48441479694</v>
      </c>
      <c r="N11" s="69">
        <v>1.1359216886694452E-2</v>
      </c>
    </row>
    <row r="12" spans="1:14" x14ac:dyDescent="0.4">
      <c r="A12" s="68" t="s">
        <v>197</v>
      </c>
      <c r="B12" s="68">
        <v>158909</v>
      </c>
      <c r="C12" s="68">
        <v>18355763158</v>
      </c>
      <c r="D12" s="68">
        <v>19585511478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158909</v>
      </c>
      <c r="K12" s="68">
        <v>110810</v>
      </c>
      <c r="L12" s="68">
        <v>18355763158</v>
      </c>
      <c r="M12" s="68">
        <v>17472590990</v>
      </c>
      <c r="N12" s="69">
        <v>4.0972107351315403E-3</v>
      </c>
    </row>
    <row r="13" spans="1:14" x14ac:dyDescent="0.4">
      <c r="A13" s="68" t="s">
        <v>262</v>
      </c>
      <c r="B13" s="68">
        <v>2862943</v>
      </c>
      <c r="C13" s="68">
        <v>16474768843</v>
      </c>
      <c r="D13" s="68">
        <v>16817609708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2862943</v>
      </c>
      <c r="K13" s="68">
        <v>5570</v>
      </c>
      <c r="L13" s="68">
        <v>16474768843</v>
      </c>
      <c r="M13" s="68">
        <v>15823325350</v>
      </c>
      <c r="N13" s="69">
        <v>3.7104685004418474E-3</v>
      </c>
    </row>
    <row r="14" spans="1:14" x14ac:dyDescent="0.4">
      <c r="A14" s="68" t="s">
        <v>357</v>
      </c>
      <c r="B14" s="68">
        <v>50000</v>
      </c>
      <c r="C14" s="68">
        <v>1000908000</v>
      </c>
      <c r="D14" s="68">
        <v>1262663575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50000</v>
      </c>
      <c r="K14" s="68">
        <v>24750</v>
      </c>
      <c r="L14" s="68">
        <v>1000908000</v>
      </c>
      <c r="M14" s="68">
        <v>1227934125</v>
      </c>
      <c r="N14" s="69">
        <v>2.8794269160559995E-4</v>
      </c>
    </row>
    <row r="15" spans="1:14" x14ac:dyDescent="0.4">
      <c r="A15" s="68" t="s">
        <v>292</v>
      </c>
      <c r="B15" s="68">
        <v>3814542</v>
      </c>
      <c r="C15" s="68">
        <v>16572695909</v>
      </c>
      <c r="D15" s="68">
        <v>16885132989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3814542</v>
      </c>
      <c r="K15" s="68">
        <v>4188</v>
      </c>
      <c r="L15" s="68">
        <v>16572695909</v>
      </c>
      <c r="M15" s="68">
        <v>15851812812</v>
      </c>
      <c r="N15" s="69">
        <v>3.7171486279163504E-3</v>
      </c>
    </row>
    <row r="16" spans="1:14" x14ac:dyDescent="0.4">
      <c r="A16" s="68" t="s">
        <v>359</v>
      </c>
      <c r="B16" s="68">
        <v>245000</v>
      </c>
      <c r="C16" s="68">
        <v>1829159370</v>
      </c>
      <c r="D16" s="68">
        <v>2479682730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245000</v>
      </c>
      <c r="K16" s="68">
        <v>10390</v>
      </c>
      <c r="L16" s="68">
        <v>1829159370</v>
      </c>
      <c r="M16" s="68">
        <v>2525872898</v>
      </c>
      <c r="N16" s="69">
        <v>5.9230102502750876E-4</v>
      </c>
    </row>
    <row r="17" spans="1:14" x14ac:dyDescent="0.4">
      <c r="A17" s="68" t="s">
        <v>304</v>
      </c>
      <c r="B17" s="68">
        <v>2124125</v>
      </c>
      <c r="C17" s="68">
        <v>8803931592</v>
      </c>
      <c r="D17" s="68">
        <v>8093589173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2124125</v>
      </c>
      <c r="K17" s="68">
        <v>3762</v>
      </c>
      <c r="L17" s="68">
        <v>8803931592</v>
      </c>
      <c r="M17" s="68">
        <v>7929188143</v>
      </c>
      <c r="N17" s="69">
        <v>1.8593438602764044E-3</v>
      </c>
    </row>
    <row r="18" spans="1:14" x14ac:dyDescent="0.4">
      <c r="A18" s="68" t="s">
        <v>325</v>
      </c>
      <c r="B18" s="68">
        <v>2498170</v>
      </c>
      <c r="C18" s="68">
        <v>24665426468</v>
      </c>
      <c r="D18" s="68">
        <v>28358148629</v>
      </c>
      <c r="E18" s="68">
        <v>0</v>
      </c>
      <c r="F18" s="68">
        <v>0</v>
      </c>
      <c r="G18" s="68">
        <v>0</v>
      </c>
      <c r="H18" s="68">
        <v>100000</v>
      </c>
      <c r="I18" s="68">
        <v>1086535664</v>
      </c>
      <c r="J18" s="68">
        <v>2398170</v>
      </c>
      <c r="K18" s="68">
        <v>10860</v>
      </c>
      <c r="L18" s="68">
        <v>23678086677</v>
      </c>
      <c r="M18" s="68">
        <v>25842805104</v>
      </c>
      <c r="N18" s="69">
        <v>6.0599723623485889E-3</v>
      </c>
    </row>
    <row r="19" spans="1:14" x14ac:dyDescent="0.4">
      <c r="A19" s="68" t="s">
        <v>280</v>
      </c>
      <c r="B19" s="68">
        <v>8948358</v>
      </c>
      <c r="C19" s="68">
        <v>14347988206</v>
      </c>
      <c r="D19" s="68">
        <v>17420965272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8948358</v>
      </c>
      <c r="K19" s="68">
        <v>2024</v>
      </c>
      <c r="L19" s="68">
        <v>14347988206</v>
      </c>
      <c r="M19" s="68">
        <v>17971474878</v>
      </c>
      <c r="N19" s="69">
        <v>4.2141958132271484E-3</v>
      </c>
    </row>
    <row r="20" spans="1:14" x14ac:dyDescent="0.4">
      <c r="A20" s="68" t="s">
        <v>307</v>
      </c>
      <c r="B20" s="68">
        <v>8421427</v>
      </c>
      <c r="C20" s="68">
        <v>38251154824</v>
      </c>
      <c r="D20" s="68">
        <v>31829258568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8421427</v>
      </c>
      <c r="K20" s="68">
        <v>3439</v>
      </c>
      <c r="L20" s="68">
        <v>38251154824</v>
      </c>
      <c r="M20" s="68">
        <v>28737416701</v>
      </c>
      <c r="N20" s="69">
        <v>6.7387402517848109E-3</v>
      </c>
    </row>
    <row r="21" spans="1:14" x14ac:dyDescent="0.4">
      <c r="A21" s="68" t="s">
        <v>192</v>
      </c>
      <c r="B21" s="68">
        <v>1705609</v>
      </c>
      <c r="C21" s="68">
        <v>26938667383</v>
      </c>
      <c r="D21" s="68">
        <v>30886749724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1705609</v>
      </c>
      <c r="K21" s="68">
        <v>17440</v>
      </c>
      <c r="L21" s="68">
        <v>26938667383</v>
      </c>
      <c r="M21" s="68">
        <v>29515885764</v>
      </c>
      <c r="N21" s="69">
        <v>6.921286263633703E-3</v>
      </c>
    </row>
    <row r="22" spans="1:14" x14ac:dyDescent="0.4">
      <c r="A22" s="68" t="s">
        <v>248</v>
      </c>
      <c r="B22" s="68">
        <v>10403637</v>
      </c>
      <c r="C22" s="68">
        <v>28533723803</v>
      </c>
      <c r="D22" s="68">
        <v>23464671982</v>
      </c>
      <c r="E22" s="68">
        <v>0</v>
      </c>
      <c r="F22" s="68">
        <v>0</v>
      </c>
      <c r="G22" s="68">
        <v>0</v>
      </c>
      <c r="H22" s="68">
        <v>1600000</v>
      </c>
      <c r="I22" s="68">
        <v>3512972768</v>
      </c>
      <c r="J22" s="68">
        <v>8803637</v>
      </c>
      <c r="K22" s="68">
        <v>2213</v>
      </c>
      <c r="L22" s="68">
        <v>24145454769</v>
      </c>
      <c r="M22" s="68">
        <v>19331849353</v>
      </c>
      <c r="N22" s="69">
        <v>4.533194919081507E-3</v>
      </c>
    </row>
    <row r="23" spans="1:14" x14ac:dyDescent="0.4">
      <c r="A23" s="68" t="s">
        <v>223</v>
      </c>
      <c r="B23" s="68">
        <v>22471939</v>
      </c>
      <c r="C23" s="68">
        <v>42819311974</v>
      </c>
      <c r="D23" s="68">
        <v>54050911730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22471939</v>
      </c>
      <c r="K23" s="68">
        <v>2309</v>
      </c>
      <c r="L23" s="68">
        <v>42819311974</v>
      </c>
      <c r="M23" s="68">
        <v>51486615175</v>
      </c>
      <c r="N23" s="69">
        <v>1.2073281663339415E-2</v>
      </c>
    </row>
    <row r="24" spans="1:14" x14ac:dyDescent="0.4">
      <c r="A24" s="68" t="s">
        <v>300</v>
      </c>
      <c r="B24" s="68">
        <v>63507736</v>
      </c>
      <c r="C24" s="68">
        <v>33657865436</v>
      </c>
      <c r="D24" s="68">
        <v>31634444243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63507736</v>
      </c>
      <c r="K24" s="68">
        <v>475</v>
      </c>
      <c r="L24" s="68">
        <v>33657865436</v>
      </c>
      <c r="M24" s="68">
        <v>29932990070</v>
      </c>
      <c r="N24" s="69">
        <v>7.0190945532680729E-3</v>
      </c>
    </row>
    <row r="25" spans="1:14" x14ac:dyDescent="0.4">
      <c r="A25" s="68" t="s">
        <v>367</v>
      </c>
      <c r="B25" s="68">
        <v>1750000</v>
      </c>
      <c r="C25" s="68">
        <v>4291393050</v>
      </c>
      <c r="D25" s="68">
        <v>4601652125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1750000</v>
      </c>
      <c r="K25" s="68">
        <v>2623</v>
      </c>
      <c r="L25" s="68">
        <v>4291393050</v>
      </c>
      <c r="M25" s="68">
        <v>4554767367</v>
      </c>
      <c r="N25" s="69">
        <v>1.0680637898969796E-3</v>
      </c>
    </row>
    <row r="26" spans="1:14" x14ac:dyDescent="0.4">
      <c r="A26" s="68" t="s">
        <v>174</v>
      </c>
      <c r="B26" s="68">
        <v>9109504</v>
      </c>
      <c r="C26" s="68">
        <v>18425777349</v>
      </c>
      <c r="D26" s="68">
        <v>15212784320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9109504</v>
      </c>
      <c r="K26" s="68">
        <v>1600</v>
      </c>
      <c r="L26" s="68">
        <v>18425777349</v>
      </c>
      <c r="M26" s="68">
        <v>14462540055</v>
      </c>
      <c r="N26" s="69">
        <v>3.3913730599273817E-3</v>
      </c>
    </row>
    <row r="27" spans="1:14" x14ac:dyDescent="0.4">
      <c r="A27" s="68" t="s">
        <v>176</v>
      </c>
      <c r="B27" s="68">
        <v>33702691</v>
      </c>
      <c r="C27" s="68">
        <v>17509466015</v>
      </c>
      <c r="D27" s="68">
        <v>13610962864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33702691</v>
      </c>
      <c r="K27" s="68">
        <v>404</v>
      </c>
      <c r="L27" s="68">
        <v>17509466015</v>
      </c>
      <c r="M27" s="68">
        <v>13510636356</v>
      </c>
      <c r="N27" s="69">
        <v>3.168157736190543E-3</v>
      </c>
    </row>
    <row r="28" spans="1:14" x14ac:dyDescent="0.4">
      <c r="A28" s="68" t="s">
        <v>318</v>
      </c>
      <c r="B28" s="68">
        <v>5600000</v>
      </c>
      <c r="C28" s="68">
        <v>15821717016</v>
      </c>
      <c r="D28" s="68">
        <v>15497669768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5600000</v>
      </c>
      <c r="K28" s="68">
        <v>2630</v>
      </c>
      <c r="L28" s="68">
        <v>15821717016</v>
      </c>
      <c r="M28" s="68">
        <v>14614152560</v>
      </c>
      <c r="N28" s="69">
        <v>3.4269252217917386E-3</v>
      </c>
    </row>
    <row r="29" spans="1:14" x14ac:dyDescent="0.4">
      <c r="A29" s="68" t="s">
        <v>190</v>
      </c>
      <c r="B29" s="68">
        <v>5392254</v>
      </c>
      <c r="C29" s="68">
        <v>19725792207</v>
      </c>
      <c r="D29" s="68">
        <v>14746176092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5392254</v>
      </c>
      <c r="K29" s="68">
        <v>2680</v>
      </c>
      <c r="L29" s="68">
        <v>19725792207</v>
      </c>
      <c r="M29" s="68">
        <v>14339532629</v>
      </c>
      <c r="N29" s="69">
        <v>3.3625286059710941E-3</v>
      </c>
    </row>
    <row r="30" spans="1:14" x14ac:dyDescent="0.4">
      <c r="A30" s="68" t="s">
        <v>252</v>
      </c>
      <c r="B30" s="68">
        <v>45323085</v>
      </c>
      <c r="C30" s="68">
        <v>27296589533</v>
      </c>
      <c r="D30" s="68">
        <v>22666259727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45323085</v>
      </c>
      <c r="K30" s="68">
        <v>487</v>
      </c>
      <c r="L30" s="68">
        <v>27296589533</v>
      </c>
      <c r="M30" s="68">
        <v>21901723188</v>
      </c>
      <c r="N30" s="69">
        <v>5.1358138821604145E-3</v>
      </c>
    </row>
    <row r="31" spans="1:14" x14ac:dyDescent="0.4">
      <c r="A31" s="68" t="s">
        <v>323</v>
      </c>
      <c r="B31" s="68">
        <v>17508571</v>
      </c>
      <c r="C31" s="68">
        <v>23868058509</v>
      </c>
      <c r="D31" s="68">
        <v>21838149791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17508571</v>
      </c>
      <c r="K31" s="68">
        <v>1241</v>
      </c>
      <c r="L31" s="68">
        <v>23868058509</v>
      </c>
      <c r="M31" s="68">
        <v>21560178115</v>
      </c>
      <c r="N31" s="69">
        <v>5.0557237489667868E-3</v>
      </c>
    </row>
    <row r="32" spans="1:14" x14ac:dyDescent="0.4">
      <c r="A32" s="68" t="s">
        <v>227</v>
      </c>
      <c r="B32" s="68">
        <v>5952212</v>
      </c>
      <c r="C32" s="68">
        <v>27256905650</v>
      </c>
      <c r="D32" s="68">
        <v>25999098568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5952212</v>
      </c>
      <c r="K32" s="68">
        <v>4255</v>
      </c>
      <c r="L32" s="68">
        <v>27256905650</v>
      </c>
      <c r="M32" s="68">
        <v>25130886962</v>
      </c>
      <c r="N32" s="69">
        <v>5.8930321154437816E-3</v>
      </c>
    </row>
    <row r="33" spans="1:14" x14ac:dyDescent="0.4">
      <c r="A33" s="68" t="s">
        <v>191</v>
      </c>
      <c r="B33" s="68">
        <v>22445192</v>
      </c>
      <c r="C33" s="68">
        <v>30293640914</v>
      </c>
      <c r="D33" s="68">
        <v>34543392223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22445192</v>
      </c>
      <c r="K33" s="68">
        <v>1530</v>
      </c>
      <c r="L33" s="68">
        <v>30293640914</v>
      </c>
      <c r="M33" s="68">
        <v>34075686719</v>
      </c>
      <c r="N33" s="69">
        <v>7.9905303976938145E-3</v>
      </c>
    </row>
    <row r="34" spans="1:14" x14ac:dyDescent="0.4">
      <c r="A34" s="68" t="s">
        <v>168</v>
      </c>
      <c r="B34" s="68">
        <v>9210264</v>
      </c>
      <c r="C34" s="68">
        <v>15031859870</v>
      </c>
      <c r="D34" s="68">
        <v>18524892172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9210264</v>
      </c>
      <c r="K34" s="68">
        <v>1919</v>
      </c>
      <c r="L34" s="68">
        <v>15031859870</v>
      </c>
      <c r="M34" s="68">
        <v>17537872757</v>
      </c>
      <c r="N34" s="69">
        <v>4.112518891587205E-3</v>
      </c>
    </row>
    <row r="35" spans="1:14" x14ac:dyDescent="0.4">
      <c r="A35" s="68" t="s">
        <v>260</v>
      </c>
      <c r="B35" s="68">
        <v>7041661</v>
      </c>
      <c r="C35" s="68">
        <v>16060551276</v>
      </c>
      <c r="D35" s="68">
        <v>15022542265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7041661</v>
      </c>
      <c r="K35" s="68">
        <v>2100</v>
      </c>
      <c r="L35" s="68">
        <v>16060551276</v>
      </c>
      <c r="M35" s="68">
        <v>14673180817</v>
      </c>
      <c r="N35" s="69">
        <v>3.4407669701846883E-3</v>
      </c>
    </row>
    <row r="36" spans="1:14" x14ac:dyDescent="0.4">
      <c r="A36" s="68" t="s">
        <v>370</v>
      </c>
      <c r="B36" s="68">
        <v>2875000</v>
      </c>
      <c r="C36" s="68">
        <v>4907321845</v>
      </c>
      <c r="D36" s="68">
        <v>5674171961</v>
      </c>
      <c r="E36" s="68">
        <v>0</v>
      </c>
      <c r="F36" s="68">
        <v>0</v>
      </c>
      <c r="G36" s="68">
        <v>0</v>
      </c>
      <c r="H36" s="68">
        <v>0</v>
      </c>
      <c r="I36" s="68">
        <v>0</v>
      </c>
      <c r="J36" s="68">
        <v>2875000</v>
      </c>
      <c r="K36" s="68">
        <v>1987</v>
      </c>
      <c r="L36" s="68">
        <v>4907321845</v>
      </c>
      <c r="M36" s="68">
        <v>5668466409</v>
      </c>
      <c r="N36" s="69">
        <v>1.3292190858230199E-3</v>
      </c>
    </row>
    <row r="37" spans="1:14" x14ac:dyDescent="0.4">
      <c r="A37" s="68" t="s">
        <v>172</v>
      </c>
      <c r="B37" s="68">
        <v>10263245</v>
      </c>
      <c r="C37" s="68">
        <v>14354875783</v>
      </c>
      <c r="D37" s="68">
        <v>12617864634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10263245</v>
      </c>
      <c r="K37" s="68">
        <v>1250</v>
      </c>
      <c r="L37" s="68">
        <v>14354875783</v>
      </c>
      <c r="M37" s="68">
        <v>12729887645</v>
      </c>
      <c r="N37" s="69">
        <v>2.9850771614789778E-3</v>
      </c>
    </row>
    <row r="38" spans="1:14" x14ac:dyDescent="0.4">
      <c r="A38" s="68" t="s">
        <v>284</v>
      </c>
      <c r="B38" s="68">
        <v>3665469</v>
      </c>
      <c r="C38" s="68">
        <v>8097151442</v>
      </c>
      <c r="D38" s="68">
        <v>10707725218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3665469</v>
      </c>
      <c r="K38" s="68">
        <v>2847</v>
      </c>
      <c r="L38" s="68">
        <v>8097151442</v>
      </c>
      <c r="M38" s="68">
        <v>10354923130</v>
      </c>
      <c r="N38" s="69">
        <v>2.4281631862143127E-3</v>
      </c>
    </row>
    <row r="39" spans="1:14" x14ac:dyDescent="0.4">
      <c r="A39" s="68" t="s">
        <v>338</v>
      </c>
      <c r="B39" s="68">
        <v>11217878</v>
      </c>
      <c r="C39" s="68">
        <v>17571028728</v>
      </c>
      <c r="D39" s="68">
        <v>17130861093</v>
      </c>
      <c r="E39" s="68">
        <v>0</v>
      </c>
      <c r="F39" s="68">
        <v>0</v>
      </c>
      <c r="G39" s="68">
        <v>0</v>
      </c>
      <c r="H39" s="68">
        <v>2800000</v>
      </c>
      <c r="I39" s="68">
        <v>4089766936</v>
      </c>
      <c r="J39" s="68">
        <v>8417878</v>
      </c>
      <c r="K39" s="68">
        <v>1523</v>
      </c>
      <c r="L39" s="68">
        <v>13185272310</v>
      </c>
      <c r="M39" s="68">
        <v>12721326284</v>
      </c>
      <c r="N39" s="69">
        <v>2.9830695771306342E-3</v>
      </c>
    </row>
    <row r="40" spans="1:14" x14ac:dyDescent="0.4">
      <c r="A40" s="68" t="s">
        <v>213</v>
      </c>
      <c r="B40" s="68">
        <v>4264408</v>
      </c>
      <c r="C40" s="68">
        <v>15931326710</v>
      </c>
      <c r="D40" s="68">
        <v>12135781754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4264408</v>
      </c>
      <c r="K40" s="68">
        <v>2698</v>
      </c>
      <c r="L40" s="68">
        <v>15931326710</v>
      </c>
      <c r="M40" s="68">
        <v>11416436252</v>
      </c>
      <c r="N40" s="69">
        <v>2.6770812179722002E-3</v>
      </c>
    </row>
    <row r="41" spans="1:14" x14ac:dyDescent="0.4">
      <c r="A41" s="68" t="s">
        <v>276</v>
      </c>
      <c r="B41" s="68">
        <v>3275356</v>
      </c>
      <c r="C41" s="68">
        <v>14423816899</v>
      </c>
      <c r="D41" s="68">
        <v>26617807110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3275356</v>
      </c>
      <c r="K41" s="68">
        <v>7970</v>
      </c>
      <c r="L41" s="68">
        <v>14423816899</v>
      </c>
      <c r="M41" s="68">
        <v>25902798860</v>
      </c>
      <c r="N41" s="69">
        <v>6.0740405140763285E-3</v>
      </c>
    </row>
    <row r="42" spans="1:14" x14ac:dyDescent="0.4">
      <c r="A42" s="68" t="s">
        <v>328</v>
      </c>
      <c r="B42" s="68">
        <v>5516183</v>
      </c>
      <c r="C42" s="68">
        <v>10525602537</v>
      </c>
      <c r="D42" s="68">
        <v>25802281256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5516183</v>
      </c>
      <c r="K42" s="68">
        <v>4530</v>
      </c>
      <c r="L42" s="68">
        <v>10525602537</v>
      </c>
      <c r="M42" s="68">
        <v>24795149362</v>
      </c>
      <c r="N42" s="69">
        <v>5.8143037974917062E-3</v>
      </c>
    </row>
    <row r="43" spans="1:14" x14ac:dyDescent="0.4">
      <c r="A43" s="68" t="s">
        <v>222</v>
      </c>
      <c r="B43" s="68">
        <v>4316567</v>
      </c>
      <c r="C43" s="68">
        <v>17155336279</v>
      </c>
      <c r="D43" s="68">
        <v>12168571021</v>
      </c>
      <c r="E43" s="68">
        <v>0</v>
      </c>
      <c r="F43" s="68">
        <v>0</v>
      </c>
      <c r="G43" s="68">
        <v>0</v>
      </c>
      <c r="H43" s="68">
        <v>0</v>
      </c>
      <c r="I43" s="68">
        <v>0</v>
      </c>
      <c r="J43" s="68">
        <v>4316567</v>
      </c>
      <c r="K43" s="68">
        <v>2600</v>
      </c>
      <c r="L43" s="68">
        <v>17155336279</v>
      </c>
      <c r="M43" s="68">
        <v>11136319836</v>
      </c>
      <c r="N43" s="69">
        <v>2.6113957116051917E-3</v>
      </c>
    </row>
    <row r="44" spans="1:14" x14ac:dyDescent="0.4">
      <c r="A44" s="68" t="s">
        <v>200</v>
      </c>
      <c r="B44" s="68">
        <v>13400000</v>
      </c>
      <c r="C44" s="68">
        <v>33796836988</v>
      </c>
      <c r="D44" s="68">
        <v>29385083780</v>
      </c>
      <c r="E44" s="68">
        <v>0</v>
      </c>
      <c r="F44" s="68">
        <v>0</v>
      </c>
      <c r="G44" s="68">
        <v>0</v>
      </c>
      <c r="H44" s="68">
        <v>1600000</v>
      </c>
      <c r="I44" s="68">
        <v>3397532504</v>
      </c>
      <c r="J44" s="68">
        <v>11800000</v>
      </c>
      <c r="K44" s="68">
        <v>2230</v>
      </c>
      <c r="L44" s="68">
        <v>29761393766</v>
      </c>
      <c r="M44" s="68">
        <v>26110592780</v>
      </c>
      <c r="N44" s="69">
        <v>6.1227668581088955E-3</v>
      </c>
    </row>
    <row r="45" spans="1:14" x14ac:dyDescent="0.4">
      <c r="A45" s="68" t="s">
        <v>346</v>
      </c>
      <c r="B45" s="68">
        <v>7502508</v>
      </c>
      <c r="C45" s="68">
        <v>29904484096</v>
      </c>
      <c r="D45" s="68">
        <v>32108187214</v>
      </c>
      <c r="E45" s="68">
        <v>0</v>
      </c>
      <c r="F45" s="68">
        <v>0</v>
      </c>
      <c r="G45" s="68">
        <v>0</v>
      </c>
      <c r="H45" s="68">
        <v>145347</v>
      </c>
      <c r="I45" s="68">
        <v>577643938</v>
      </c>
      <c r="J45" s="68">
        <v>7357161</v>
      </c>
      <c r="K45" s="68">
        <v>4060</v>
      </c>
      <c r="L45" s="68">
        <v>29325140888</v>
      </c>
      <c r="M45" s="68">
        <v>29639177991</v>
      </c>
      <c r="N45" s="69">
        <v>6.9501975016013169E-3</v>
      </c>
    </row>
    <row r="46" spans="1:14" x14ac:dyDescent="0.4">
      <c r="A46" s="68" t="s">
        <v>375</v>
      </c>
      <c r="B46" s="68">
        <v>842177</v>
      </c>
      <c r="C46" s="68">
        <v>2001916090</v>
      </c>
      <c r="D46" s="68">
        <v>2673298643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842177</v>
      </c>
      <c r="K46" s="68">
        <v>3135</v>
      </c>
      <c r="L46" s="68">
        <v>2001916090</v>
      </c>
      <c r="M46" s="68">
        <v>2619815957</v>
      </c>
      <c r="N46" s="69">
        <v>6.143300709798913E-4</v>
      </c>
    </row>
    <row r="47" spans="1:14" x14ac:dyDescent="0.4">
      <c r="A47" s="68" t="s">
        <v>336</v>
      </c>
      <c r="B47" s="68">
        <v>285750</v>
      </c>
      <c r="C47" s="68">
        <v>12123197874</v>
      </c>
      <c r="D47" s="68">
        <v>16331970384</v>
      </c>
      <c r="E47" s="68">
        <v>0</v>
      </c>
      <c r="F47" s="68">
        <v>0</v>
      </c>
      <c r="G47" s="68">
        <v>0</v>
      </c>
      <c r="H47" s="68">
        <v>0</v>
      </c>
      <c r="I47" s="68">
        <v>0</v>
      </c>
      <c r="J47" s="68">
        <v>285750</v>
      </c>
      <c r="K47" s="68">
        <v>52750</v>
      </c>
      <c r="L47" s="68">
        <v>12123197874</v>
      </c>
      <c r="M47" s="68">
        <v>14956795794</v>
      </c>
      <c r="N47" s="69">
        <v>3.5072728667099114E-3</v>
      </c>
    </row>
    <row r="48" spans="1:14" x14ac:dyDescent="0.4">
      <c r="A48" s="68" t="s">
        <v>253</v>
      </c>
      <c r="B48" s="68">
        <v>11278863</v>
      </c>
      <c r="C48" s="68">
        <v>13153897968</v>
      </c>
      <c r="D48" s="68">
        <v>14123896865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11278863</v>
      </c>
      <c r="K48" s="68">
        <v>1287</v>
      </c>
      <c r="L48" s="68">
        <v>13153897968</v>
      </c>
      <c r="M48" s="68">
        <v>14403688800</v>
      </c>
      <c r="N48" s="69">
        <v>3.3775728173703408E-3</v>
      </c>
    </row>
    <row r="49" spans="1:14" x14ac:dyDescent="0.4">
      <c r="A49" s="68" t="s">
        <v>456</v>
      </c>
      <c r="B49" s="68">
        <v>1648155</v>
      </c>
      <c r="C49" s="68">
        <v>11910020869</v>
      </c>
      <c r="D49" s="68">
        <v>13884671328</v>
      </c>
      <c r="E49" s="68">
        <v>0</v>
      </c>
      <c r="F49" s="68">
        <v>0</v>
      </c>
      <c r="G49" s="68">
        <v>0</v>
      </c>
      <c r="H49" s="68">
        <v>0</v>
      </c>
      <c r="I49" s="68">
        <v>0</v>
      </c>
      <c r="J49" s="68">
        <v>1648155</v>
      </c>
      <c r="K49" s="68">
        <v>8200</v>
      </c>
      <c r="L49" s="68">
        <v>11910020869</v>
      </c>
      <c r="M49" s="68">
        <v>13410401047</v>
      </c>
      <c r="N49" s="69">
        <v>3.1446531978934424E-3</v>
      </c>
    </row>
    <row r="50" spans="1:14" x14ac:dyDescent="0.4">
      <c r="A50" s="68" t="s">
        <v>472</v>
      </c>
      <c r="B50" s="68">
        <v>250000</v>
      </c>
      <c r="C50" s="68">
        <v>800726400</v>
      </c>
      <c r="D50" s="68">
        <v>1230414800</v>
      </c>
      <c r="E50" s="68">
        <v>0</v>
      </c>
      <c r="F50" s="68">
        <v>0</v>
      </c>
      <c r="G50" s="68">
        <v>0</v>
      </c>
      <c r="H50" s="68">
        <v>0</v>
      </c>
      <c r="I50" s="68">
        <v>0</v>
      </c>
      <c r="J50" s="68">
        <v>250000</v>
      </c>
      <c r="K50" s="68">
        <v>4840</v>
      </c>
      <c r="L50" s="68">
        <v>800726400</v>
      </c>
      <c r="M50" s="68">
        <v>1200646700</v>
      </c>
      <c r="N50" s="69">
        <v>2.8154396512547551E-4</v>
      </c>
    </row>
    <row r="51" spans="1:14" x14ac:dyDescent="0.4">
      <c r="A51" s="68" t="s">
        <v>251</v>
      </c>
      <c r="B51" s="68">
        <v>3860139</v>
      </c>
      <c r="C51" s="68">
        <v>16072935194</v>
      </c>
      <c r="D51" s="68">
        <v>18347137601</v>
      </c>
      <c r="E51" s="68">
        <v>0</v>
      </c>
      <c r="F51" s="68">
        <v>0</v>
      </c>
      <c r="G51" s="68">
        <v>0</v>
      </c>
      <c r="H51" s="68">
        <v>0</v>
      </c>
      <c r="I51" s="68">
        <v>0</v>
      </c>
      <c r="J51" s="68">
        <v>3860139</v>
      </c>
      <c r="K51" s="68">
        <v>4451</v>
      </c>
      <c r="L51" s="68">
        <v>16072935194</v>
      </c>
      <c r="M51" s="68">
        <v>17048665859</v>
      </c>
      <c r="N51" s="69">
        <v>3.9978030056986632E-3</v>
      </c>
    </row>
    <row r="52" spans="1:14" x14ac:dyDescent="0.4">
      <c r="A52" s="68" t="s">
        <v>232</v>
      </c>
      <c r="B52" s="68">
        <v>189400</v>
      </c>
      <c r="C52" s="68">
        <v>27382794088</v>
      </c>
      <c r="D52" s="68">
        <v>22073075918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189400</v>
      </c>
      <c r="K52" s="68">
        <v>126300</v>
      </c>
      <c r="L52" s="68">
        <v>27382794088</v>
      </c>
      <c r="M52" s="68">
        <v>23736308969</v>
      </c>
      <c r="N52" s="69">
        <v>5.5660125035746555E-3</v>
      </c>
    </row>
    <row r="53" spans="1:14" x14ac:dyDescent="0.4">
      <c r="A53" s="68" t="s">
        <v>322</v>
      </c>
      <c r="B53" s="68">
        <v>2428206</v>
      </c>
      <c r="C53" s="68">
        <v>27192110695</v>
      </c>
      <c r="D53" s="68">
        <v>39129240114</v>
      </c>
      <c r="E53" s="68">
        <v>1307495</v>
      </c>
      <c r="F53" s="68">
        <v>0</v>
      </c>
      <c r="G53" s="68">
        <v>0</v>
      </c>
      <c r="H53" s="68">
        <v>0</v>
      </c>
      <c r="I53" s="68">
        <v>0</v>
      </c>
      <c r="J53" s="68">
        <v>3735701</v>
      </c>
      <c r="K53" s="68">
        <v>10121</v>
      </c>
      <c r="L53" s="68">
        <v>27192110695</v>
      </c>
      <c r="M53" s="68">
        <v>37516766020</v>
      </c>
      <c r="N53" s="69">
        <v>8.7974414654664896E-3</v>
      </c>
    </row>
    <row r="54" spans="1:14" x14ac:dyDescent="0.4">
      <c r="A54" s="68" t="s">
        <v>267</v>
      </c>
      <c r="B54" s="68">
        <v>3283236</v>
      </c>
      <c r="C54" s="68">
        <v>23186514787</v>
      </c>
      <c r="D54" s="68">
        <v>18243996880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3283236</v>
      </c>
      <c r="K54" s="68">
        <v>5360</v>
      </c>
      <c r="L54" s="68">
        <v>23186514787</v>
      </c>
      <c r="M54" s="68">
        <v>17462111299</v>
      </c>
      <c r="N54" s="69">
        <v>4.0947533146785215E-3</v>
      </c>
    </row>
    <row r="55" spans="1:14" x14ac:dyDescent="0.4">
      <c r="A55" s="68" t="s">
        <v>440</v>
      </c>
      <c r="B55" s="68">
        <v>9760615</v>
      </c>
      <c r="C55" s="68">
        <v>23853455812</v>
      </c>
      <c r="D55" s="68">
        <v>17026520854</v>
      </c>
      <c r="E55" s="68">
        <v>0</v>
      </c>
      <c r="F55" s="68">
        <v>0</v>
      </c>
      <c r="G55" s="68">
        <v>0</v>
      </c>
      <c r="H55" s="68">
        <v>0</v>
      </c>
      <c r="I55" s="68">
        <v>0</v>
      </c>
      <c r="J55" s="68">
        <v>9760615</v>
      </c>
      <c r="K55" s="68">
        <v>1658</v>
      </c>
      <c r="L55" s="68">
        <v>23853455812</v>
      </c>
      <c r="M55" s="68">
        <v>16058004310</v>
      </c>
      <c r="N55" s="69">
        <v>3.7654992142479348E-3</v>
      </c>
    </row>
    <row r="56" spans="1:14" x14ac:dyDescent="0.4">
      <c r="A56" s="68" t="s">
        <v>331</v>
      </c>
      <c r="B56" s="68">
        <v>23592882</v>
      </c>
      <c r="C56" s="68">
        <v>44525007104</v>
      </c>
      <c r="D56" s="68">
        <v>42162326749</v>
      </c>
      <c r="E56" s="68">
        <v>0</v>
      </c>
      <c r="F56" s="68">
        <v>0</v>
      </c>
      <c r="G56" s="68">
        <v>0</v>
      </c>
      <c r="H56" s="68">
        <v>3084217</v>
      </c>
      <c r="I56" s="68">
        <v>5246962350</v>
      </c>
      <c r="J56" s="68">
        <v>20508665</v>
      </c>
      <c r="K56" s="68">
        <v>1724</v>
      </c>
      <c r="L56" s="68">
        <v>38704404778</v>
      </c>
      <c r="M56" s="68">
        <v>35083629326</v>
      </c>
      <c r="N56" s="69">
        <v>8.226886486619631E-3</v>
      </c>
    </row>
    <row r="57" spans="1:14" x14ac:dyDescent="0.4">
      <c r="A57" s="68" t="s">
        <v>241</v>
      </c>
      <c r="B57" s="68">
        <v>3641112</v>
      </c>
      <c r="C57" s="68">
        <v>16857149000</v>
      </c>
      <c r="D57" s="68">
        <v>12533379763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3641112</v>
      </c>
      <c r="K57" s="68">
        <v>3216</v>
      </c>
      <c r="L57" s="68">
        <v>16857149000</v>
      </c>
      <c r="M57" s="68">
        <v>11619299313</v>
      </c>
      <c r="N57" s="69">
        <v>2.7246513071345082E-3</v>
      </c>
    </row>
    <row r="58" spans="1:14" x14ac:dyDescent="0.4">
      <c r="A58" s="68" t="s">
        <v>226</v>
      </c>
      <c r="B58" s="68">
        <v>4607801</v>
      </c>
      <c r="C58" s="68">
        <v>33501938983</v>
      </c>
      <c r="D58" s="68">
        <v>38040560050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68">
        <v>4607801</v>
      </c>
      <c r="K58" s="68">
        <v>7700</v>
      </c>
      <c r="L58" s="68">
        <v>33501938983</v>
      </c>
      <c r="M58" s="68">
        <v>35205806777</v>
      </c>
      <c r="N58" s="69">
        <v>8.2555363167515616E-3</v>
      </c>
    </row>
    <row r="59" spans="1:14" x14ac:dyDescent="0.4">
      <c r="A59" s="68" t="s">
        <v>187</v>
      </c>
      <c r="B59" s="68">
        <v>1150032</v>
      </c>
      <c r="C59" s="68">
        <v>24634251050</v>
      </c>
      <c r="D59" s="68">
        <v>27022248543</v>
      </c>
      <c r="E59" s="68">
        <v>0</v>
      </c>
      <c r="F59" s="68">
        <v>0</v>
      </c>
      <c r="G59" s="68">
        <v>0</v>
      </c>
      <c r="H59" s="68">
        <v>38754</v>
      </c>
      <c r="I59" s="68">
        <v>895738701</v>
      </c>
      <c r="J59" s="68">
        <v>1111278</v>
      </c>
      <c r="K59" s="68">
        <v>23900</v>
      </c>
      <c r="L59" s="68">
        <v>23804121310</v>
      </c>
      <c r="M59" s="68">
        <v>26354238923</v>
      </c>
      <c r="N59" s="69">
        <v>6.179900318924428E-3</v>
      </c>
    </row>
    <row r="60" spans="1:14" x14ac:dyDescent="0.4">
      <c r="A60" s="68" t="s">
        <v>334</v>
      </c>
      <c r="B60" s="68">
        <v>5580504</v>
      </c>
      <c r="C60" s="68">
        <v>20174684246</v>
      </c>
      <c r="D60" s="68">
        <v>30510890539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5580504</v>
      </c>
      <c r="K60" s="68">
        <v>5360</v>
      </c>
      <c r="L60" s="68">
        <v>20174684246</v>
      </c>
      <c r="M60" s="68">
        <v>29680285534</v>
      </c>
      <c r="N60" s="69">
        <v>6.9598369572819816E-3</v>
      </c>
    </row>
    <row r="61" spans="1:14" x14ac:dyDescent="0.4">
      <c r="A61" s="68" t="s">
        <v>354</v>
      </c>
      <c r="B61" s="68">
        <v>940025</v>
      </c>
      <c r="C61" s="68">
        <v>30456047518</v>
      </c>
      <c r="D61" s="68">
        <v>24354327222</v>
      </c>
      <c r="E61" s="68">
        <v>0</v>
      </c>
      <c r="F61" s="68">
        <v>0</v>
      </c>
      <c r="G61" s="68">
        <v>0</v>
      </c>
      <c r="H61" s="68">
        <v>0</v>
      </c>
      <c r="I61" s="68">
        <v>0</v>
      </c>
      <c r="J61" s="68">
        <v>940025</v>
      </c>
      <c r="K61" s="68">
        <v>24680</v>
      </c>
      <c r="L61" s="68">
        <v>30456047518</v>
      </c>
      <c r="M61" s="68">
        <v>23020482415</v>
      </c>
      <c r="N61" s="69">
        <v>5.3981557590758239E-3</v>
      </c>
    </row>
    <row r="62" spans="1:14" x14ac:dyDescent="0.4">
      <c r="A62" s="68" t="s">
        <v>330</v>
      </c>
      <c r="B62" s="68">
        <v>5700797</v>
      </c>
      <c r="C62" s="68">
        <v>30957339263</v>
      </c>
      <c r="D62" s="68">
        <v>30263504640</v>
      </c>
      <c r="E62" s="68">
        <v>0</v>
      </c>
      <c r="F62" s="68">
        <v>0</v>
      </c>
      <c r="G62" s="68">
        <v>0</v>
      </c>
      <c r="H62" s="68">
        <v>101654</v>
      </c>
      <c r="I62" s="68">
        <v>483158779</v>
      </c>
      <c r="J62" s="68">
        <v>5599143</v>
      </c>
      <c r="K62" s="68">
        <v>4930</v>
      </c>
      <c r="L62" s="68">
        <v>30405322174</v>
      </c>
      <c r="M62" s="68">
        <v>27390397809</v>
      </c>
      <c r="N62" s="69">
        <v>6.4228729446472455E-3</v>
      </c>
    </row>
    <row r="63" spans="1:14" x14ac:dyDescent="0.4">
      <c r="A63" s="68" t="s">
        <v>203</v>
      </c>
      <c r="B63" s="68">
        <v>5129408</v>
      </c>
      <c r="C63" s="68">
        <v>24973768005</v>
      </c>
      <c r="D63" s="68">
        <v>29978672713</v>
      </c>
      <c r="E63" s="68">
        <v>0</v>
      </c>
      <c r="F63" s="68">
        <v>0</v>
      </c>
      <c r="G63" s="68">
        <v>0</v>
      </c>
      <c r="H63" s="68">
        <v>200000</v>
      </c>
      <c r="I63" s="68">
        <v>1196677632</v>
      </c>
      <c r="J63" s="68">
        <v>4929408</v>
      </c>
      <c r="K63" s="68">
        <v>6190</v>
      </c>
      <c r="L63" s="68">
        <v>24000019455</v>
      </c>
      <c r="M63" s="68">
        <v>30277169755</v>
      </c>
      <c r="N63" s="69">
        <v>7.099802486110046E-3</v>
      </c>
    </row>
    <row r="64" spans="1:14" x14ac:dyDescent="0.4">
      <c r="A64" s="68" t="s">
        <v>184</v>
      </c>
      <c r="B64" s="68">
        <v>2428938</v>
      </c>
      <c r="C64" s="68">
        <v>16382419946</v>
      </c>
      <c r="D64" s="68">
        <v>20245363398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2428938</v>
      </c>
      <c r="K64" s="68">
        <v>7920</v>
      </c>
      <c r="L64" s="68">
        <v>16382419946</v>
      </c>
      <c r="M64" s="68">
        <v>19088485489</v>
      </c>
      <c r="N64" s="69">
        <v>4.4761276508844461E-3</v>
      </c>
    </row>
    <row r="65" spans="1:14" x14ac:dyDescent="0.4">
      <c r="A65" s="68" t="s">
        <v>293</v>
      </c>
      <c r="B65" s="68">
        <v>2649593</v>
      </c>
      <c r="C65" s="68">
        <v>28510491782</v>
      </c>
      <c r="D65" s="68">
        <v>24845105056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2649593</v>
      </c>
      <c r="K65" s="68">
        <v>9300</v>
      </c>
      <c r="L65" s="68">
        <v>28510491782</v>
      </c>
      <c r="M65" s="68">
        <v>24450738309</v>
      </c>
      <c r="N65" s="69">
        <v>5.7335416103348512E-3</v>
      </c>
    </row>
    <row r="66" spans="1:14" x14ac:dyDescent="0.4">
      <c r="A66" s="68" t="s">
        <v>327</v>
      </c>
      <c r="B66" s="68">
        <v>1133693</v>
      </c>
      <c r="C66" s="68">
        <v>6202567203</v>
      </c>
      <c r="D66" s="68">
        <v>9978125136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1133693</v>
      </c>
      <c r="K66" s="68">
        <v>8530</v>
      </c>
      <c r="L66" s="68">
        <v>6202567203</v>
      </c>
      <c r="M66" s="68">
        <v>9595649088</v>
      </c>
      <c r="N66" s="69">
        <v>2.2501182839116396E-3</v>
      </c>
    </row>
    <row r="67" spans="1:14" x14ac:dyDescent="0.4">
      <c r="A67" s="68" t="s">
        <v>352</v>
      </c>
      <c r="B67" s="68">
        <v>21254222</v>
      </c>
      <c r="C67" s="68">
        <v>38482637478</v>
      </c>
      <c r="D67" s="68">
        <v>32267588102</v>
      </c>
      <c r="E67" s="68">
        <v>0</v>
      </c>
      <c r="F67" s="68">
        <v>0</v>
      </c>
      <c r="G67" s="68">
        <v>0</v>
      </c>
      <c r="H67" s="68">
        <v>4400000</v>
      </c>
      <c r="I67" s="68">
        <v>6243490716</v>
      </c>
      <c r="J67" s="68">
        <v>16854222</v>
      </c>
      <c r="K67" s="68">
        <v>1455</v>
      </c>
      <c r="L67" s="68">
        <v>30516050656</v>
      </c>
      <c r="M67" s="68">
        <v>24333331047</v>
      </c>
      <c r="N67" s="69">
        <v>5.7060103589867189E-3</v>
      </c>
    </row>
    <row r="68" spans="1:14" x14ac:dyDescent="0.4">
      <c r="A68" s="68" t="s">
        <v>321</v>
      </c>
      <c r="B68" s="68">
        <v>1125246</v>
      </c>
      <c r="C68" s="68">
        <v>14898426822</v>
      </c>
      <c r="D68" s="68">
        <v>14503956551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1125246</v>
      </c>
      <c r="K68" s="68">
        <v>12740</v>
      </c>
      <c r="L68" s="68">
        <v>14898426822</v>
      </c>
      <c r="M68" s="68">
        <v>14224819589</v>
      </c>
      <c r="N68" s="69">
        <v>3.3356291324347096E-3</v>
      </c>
    </row>
    <row r="69" spans="1:14" x14ac:dyDescent="0.4">
      <c r="A69" s="68" t="s">
        <v>236</v>
      </c>
      <c r="B69" s="68">
        <v>20386036</v>
      </c>
      <c r="C69" s="68">
        <v>50199093351</v>
      </c>
      <c r="D69" s="68">
        <v>32163238587</v>
      </c>
      <c r="E69" s="68">
        <v>0</v>
      </c>
      <c r="F69" s="68">
        <v>0</v>
      </c>
      <c r="G69" s="68">
        <v>0</v>
      </c>
      <c r="H69" s="68">
        <v>2365900</v>
      </c>
      <c r="I69" s="68">
        <v>3586494566</v>
      </c>
      <c r="J69" s="68">
        <v>18020136</v>
      </c>
      <c r="K69" s="68">
        <v>1538</v>
      </c>
      <c r="L69" s="68">
        <v>44373241040</v>
      </c>
      <c r="M69" s="68">
        <v>27500732456</v>
      </c>
      <c r="N69" s="69">
        <v>6.4487457130537208E-3</v>
      </c>
    </row>
    <row r="70" spans="1:14" x14ac:dyDescent="0.4">
      <c r="A70" s="68" t="s">
        <v>242</v>
      </c>
      <c r="B70" s="68">
        <v>14209755</v>
      </c>
      <c r="C70" s="68">
        <v>38653348896</v>
      </c>
      <c r="D70" s="68">
        <v>24167251900</v>
      </c>
      <c r="E70" s="68">
        <v>0</v>
      </c>
      <c r="F70" s="68">
        <v>0</v>
      </c>
      <c r="G70" s="68">
        <v>0</v>
      </c>
      <c r="H70" s="68">
        <v>0</v>
      </c>
      <c r="I70" s="68">
        <v>0</v>
      </c>
      <c r="J70" s="68">
        <v>14209755</v>
      </c>
      <c r="K70" s="68">
        <v>1590</v>
      </c>
      <c r="L70" s="68">
        <v>38653348896</v>
      </c>
      <c r="M70" s="68">
        <v>22418862614</v>
      </c>
      <c r="N70" s="69">
        <v>5.2570797670529086E-3</v>
      </c>
    </row>
    <row r="71" spans="1:14" x14ac:dyDescent="0.4">
      <c r="A71" s="68" t="s">
        <v>220</v>
      </c>
      <c r="B71" s="68">
        <v>9569674</v>
      </c>
      <c r="C71" s="68">
        <v>34798846457</v>
      </c>
      <c r="D71" s="68">
        <v>32095467420</v>
      </c>
      <c r="E71" s="68">
        <v>0</v>
      </c>
      <c r="F71" s="68">
        <v>0</v>
      </c>
      <c r="G71" s="68">
        <v>0</v>
      </c>
      <c r="H71" s="68">
        <v>400000</v>
      </c>
      <c r="I71" s="68">
        <v>1275662324</v>
      </c>
      <c r="J71" s="68">
        <v>9169674</v>
      </c>
      <c r="K71" s="68">
        <v>3214</v>
      </c>
      <c r="L71" s="68">
        <v>33344299669</v>
      </c>
      <c r="M71" s="68">
        <v>29243518838</v>
      </c>
      <c r="N71" s="69">
        <v>6.8574179630627886E-3</v>
      </c>
    </row>
    <row r="72" spans="1:14" x14ac:dyDescent="0.4">
      <c r="A72" s="68" t="s">
        <v>244</v>
      </c>
      <c r="B72" s="68">
        <v>562500</v>
      </c>
      <c r="C72" s="68">
        <v>4931974167</v>
      </c>
      <c r="D72" s="68">
        <v>4906154981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562500</v>
      </c>
      <c r="K72" s="68">
        <v>8300</v>
      </c>
      <c r="L72" s="68">
        <v>4931974167</v>
      </c>
      <c r="M72" s="68">
        <v>4632660562</v>
      </c>
      <c r="N72" s="69">
        <v>1.0863292454856986E-3</v>
      </c>
    </row>
    <row r="73" spans="1:14" x14ac:dyDescent="0.4">
      <c r="A73" s="68" t="s">
        <v>468</v>
      </c>
      <c r="B73" s="68">
        <v>3973870</v>
      </c>
      <c r="C73" s="68">
        <v>21132612639</v>
      </c>
      <c r="D73" s="68">
        <v>20819842480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3973870</v>
      </c>
      <c r="K73" s="68">
        <v>4860</v>
      </c>
      <c r="L73" s="68">
        <v>21132612639</v>
      </c>
      <c r="M73" s="68">
        <v>19163718647</v>
      </c>
      <c r="N73" s="69">
        <v>4.493769344825079E-3</v>
      </c>
    </row>
    <row r="74" spans="1:14" x14ac:dyDescent="0.4">
      <c r="A74" s="68" t="s">
        <v>238</v>
      </c>
      <c r="B74" s="68">
        <v>25600000</v>
      </c>
      <c r="C74" s="68">
        <v>10028365723</v>
      </c>
      <c r="D74" s="68">
        <v>13082087680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25600000</v>
      </c>
      <c r="K74" s="68">
        <v>504</v>
      </c>
      <c r="L74" s="68">
        <v>10028365723</v>
      </c>
      <c r="M74" s="68">
        <v>12802664448</v>
      </c>
      <c r="N74" s="69">
        <v>3.0021428558966411E-3</v>
      </c>
    </row>
    <row r="75" spans="1:14" x14ac:dyDescent="0.4">
      <c r="A75" s="68" t="s">
        <v>212</v>
      </c>
      <c r="B75" s="68">
        <v>11440020</v>
      </c>
      <c r="C75" s="68">
        <v>31646768610</v>
      </c>
      <c r="D75" s="68">
        <v>33498538093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11440020</v>
      </c>
      <c r="K75" s="68">
        <v>2972</v>
      </c>
      <c r="L75" s="68">
        <v>31646768610</v>
      </c>
      <c r="M75" s="68">
        <v>33736921454</v>
      </c>
      <c r="N75" s="69">
        <v>7.9110921116810496E-3</v>
      </c>
    </row>
    <row r="76" spans="1:14" x14ac:dyDescent="0.4">
      <c r="A76" s="68" t="s">
        <v>189</v>
      </c>
      <c r="B76" s="68">
        <v>7640317</v>
      </c>
      <c r="C76" s="68">
        <v>29107496818</v>
      </c>
      <c r="D76" s="68">
        <v>41469477702</v>
      </c>
      <c r="E76" s="68">
        <v>0</v>
      </c>
      <c r="F76" s="68">
        <v>0</v>
      </c>
      <c r="G76" s="68">
        <v>0</v>
      </c>
      <c r="H76" s="68">
        <v>0</v>
      </c>
      <c r="I76" s="68">
        <v>0</v>
      </c>
      <c r="J76" s="68">
        <v>7640317</v>
      </c>
      <c r="K76" s="68">
        <v>5420</v>
      </c>
      <c r="L76" s="68">
        <v>29107496818</v>
      </c>
      <c r="M76" s="68">
        <v>41090414835</v>
      </c>
      <c r="N76" s="69">
        <v>9.6354392356190737E-3</v>
      </c>
    </row>
    <row r="77" spans="1:14" x14ac:dyDescent="0.4">
      <c r="A77" s="68" t="s">
        <v>315</v>
      </c>
      <c r="B77" s="68">
        <v>12459071</v>
      </c>
      <c r="C77" s="68">
        <v>20282791106</v>
      </c>
      <c r="D77" s="68">
        <v>20361469642</v>
      </c>
      <c r="E77" s="68">
        <v>0</v>
      </c>
      <c r="F77" s="68">
        <v>0</v>
      </c>
      <c r="G77" s="68">
        <v>0</v>
      </c>
      <c r="H77" s="68">
        <v>0</v>
      </c>
      <c r="I77" s="68">
        <v>0</v>
      </c>
      <c r="J77" s="68">
        <v>12459071</v>
      </c>
      <c r="K77" s="68">
        <v>1639</v>
      </c>
      <c r="L77" s="68">
        <v>20282791106</v>
      </c>
      <c r="M77" s="68">
        <v>20262567543</v>
      </c>
      <c r="N77" s="69">
        <v>4.7514423765783759E-3</v>
      </c>
    </row>
    <row r="78" spans="1:14" x14ac:dyDescent="0.4">
      <c r="A78" s="68" t="s">
        <v>185</v>
      </c>
      <c r="B78" s="68">
        <v>3380920</v>
      </c>
      <c r="C78" s="68">
        <v>16767735799</v>
      </c>
      <c r="D78" s="68">
        <v>21336435706</v>
      </c>
      <c r="E78" s="68">
        <v>0</v>
      </c>
      <c r="F78" s="68">
        <v>0</v>
      </c>
      <c r="G78" s="68">
        <v>0</v>
      </c>
      <c r="H78" s="68">
        <v>0</v>
      </c>
      <c r="I78" s="68">
        <v>0</v>
      </c>
      <c r="J78" s="68">
        <v>3380920</v>
      </c>
      <c r="K78" s="68">
        <v>4710</v>
      </c>
      <c r="L78" s="68">
        <v>16767735799</v>
      </c>
      <c r="M78" s="68">
        <v>15801039650</v>
      </c>
      <c r="N78" s="69">
        <v>3.7052426464553277E-3</v>
      </c>
    </row>
    <row r="79" spans="1:14" x14ac:dyDescent="0.4">
      <c r="A79" s="68" t="s">
        <v>216</v>
      </c>
      <c r="B79" s="68">
        <v>874591</v>
      </c>
      <c r="C79" s="68">
        <v>8904195778</v>
      </c>
      <c r="D79" s="68">
        <v>11672319036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874591</v>
      </c>
      <c r="K79" s="68">
        <v>13690</v>
      </c>
      <c r="L79" s="68">
        <v>8904195778</v>
      </c>
      <c r="M79" s="68">
        <v>11880598334</v>
      </c>
      <c r="N79" s="69">
        <v>2.7859242548348975E-3</v>
      </c>
    </row>
    <row r="80" spans="1:14" x14ac:dyDescent="0.4">
      <c r="A80" s="68" t="s">
        <v>342</v>
      </c>
      <c r="B80" s="68">
        <v>860136</v>
      </c>
      <c r="C80" s="68">
        <v>8232282439</v>
      </c>
      <c r="D80" s="68">
        <v>12802307231</v>
      </c>
      <c r="E80" s="68">
        <v>0</v>
      </c>
      <c r="F80" s="68">
        <v>0</v>
      </c>
      <c r="G80" s="68">
        <v>0</v>
      </c>
      <c r="H80" s="68">
        <v>0</v>
      </c>
      <c r="I80" s="68">
        <v>0</v>
      </c>
      <c r="J80" s="68">
        <v>860136</v>
      </c>
      <c r="K80" s="68">
        <v>13580</v>
      </c>
      <c r="L80" s="68">
        <v>8232282439</v>
      </c>
      <c r="M80" s="68">
        <v>11590355480</v>
      </c>
      <c r="N80" s="69">
        <v>2.7178641635819964E-3</v>
      </c>
    </row>
    <row r="81" spans="1:14" x14ac:dyDescent="0.4">
      <c r="A81" s="68" t="s">
        <v>312</v>
      </c>
      <c r="B81" s="68">
        <v>517391</v>
      </c>
      <c r="C81" s="68">
        <v>17064920422</v>
      </c>
      <c r="D81" s="68">
        <v>17706875165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517391</v>
      </c>
      <c r="K81" s="68">
        <v>31610</v>
      </c>
      <c r="L81" s="68">
        <v>17064920422</v>
      </c>
      <c r="M81" s="68">
        <v>16228307451</v>
      </c>
      <c r="N81" s="69">
        <v>3.8054342106048672E-3</v>
      </c>
    </row>
    <row r="82" spans="1:14" x14ac:dyDescent="0.4">
      <c r="A82" s="68" t="s">
        <v>247</v>
      </c>
      <c r="B82" s="68">
        <v>3534630</v>
      </c>
      <c r="C82" s="68">
        <v>13881762462</v>
      </c>
      <c r="D82" s="68">
        <v>18799167182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3534630</v>
      </c>
      <c r="K82" s="68">
        <v>5220</v>
      </c>
      <c r="L82" s="68">
        <v>13881762462</v>
      </c>
      <c r="M82" s="68">
        <v>18308144159</v>
      </c>
      <c r="N82" s="69">
        <v>4.2931426044095023E-3</v>
      </c>
    </row>
    <row r="83" spans="1:14" x14ac:dyDescent="0.4">
      <c r="A83" s="68" t="s">
        <v>289</v>
      </c>
      <c r="B83" s="68">
        <v>3250000</v>
      </c>
      <c r="C83" s="68">
        <v>3939323661</v>
      </c>
      <c r="D83" s="68">
        <v>3621537432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3250000</v>
      </c>
      <c r="K83" s="68">
        <v>1097</v>
      </c>
      <c r="L83" s="68">
        <v>3939323661</v>
      </c>
      <c r="M83" s="68">
        <v>3537690617</v>
      </c>
      <c r="N83" s="69">
        <v>8.2956580291052311E-4</v>
      </c>
    </row>
    <row r="84" spans="1:14" x14ac:dyDescent="0.4">
      <c r="A84" s="68" t="s">
        <v>194</v>
      </c>
      <c r="B84" s="68">
        <v>4215293</v>
      </c>
      <c r="C84" s="68">
        <v>21878273592</v>
      </c>
      <c r="D84" s="68">
        <v>15915206927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4215293</v>
      </c>
      <c r="K84" s="68">
        <v>3750</v>
      </c>
      <c r="L84" s="68">
        <v>21878273592</v>
      </c>
      <c r="M84" s="68">
        <v>15685157944</v>
      </c>
      <c r="N84" s="69">
        <v>3.6780691282232414E-3</v>
      </c>
    </row>
    <row r="85" spans="1:14" x14ac:dyDescent="0.4">
      <c r="A85" s="68" t="s">
        <v>210</v>
      </c>
      <c r="B85" s="68">
        <v>2874653</v>
      </c>
      <c r="C85" s="68">
        <v>19251319867</v>
      </c>
      <c r="D85" s="68">
        <v>19824401930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2874653</v>
      </c>
      <c r="K85" s="68">
        <v>6840</v>
      </c>
      <c r="L85" s="68">
        <v>19251319867</v>
      </c>
      <c r="M85" s="68">
        <v>19510634417</v>
      </c>
      <c r="N85" s="69">
        <v>4.5751188720843114E-3</v>
      </c>
    </row>
    <row r="86" spans="1:14" x14ac:dyDescent="0.4">
      <c r="A86" s="68" t="s">
        <v>173</v>
      </c>
      <c r="B86" s="68">
        <v>84882</v>
      </c>
      <c r="C86" s="68">
        <v>8293870385</v>
      </c>
      <c r="D86" s="68">
        <v>10251129681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84882</v>
      </c>
      <c r="K86" s="68">
        <v>125620</v>
      </c>
      <c r="L86" s="68">
        <v>8293870385</v>
      </c>
      <c r="M86" s="68">
        <v>10580452802</v>
      </c>
      <c r="N86" s="69">
        <v>2.481048450554212E-3</v>
      </c>
    </row>
    <row r="87" spans="1:14" x14ac:dyDescent="0.4">
      <c r="A87" s="68" t="s">
        <v>225</v>
      </c>
      <c r="B87" s="68">
        <v>712681</v>
      </c>
      <c r="C87" s="68">
        <v>26218324263</v>
      </c>
      <c r="D87" s="68">
        <v>20861573288</v>
      </c>
      <c r="E87" s="68">
        <v>0</v>
      </c>
      <c r="F87" s="68">
        <v>0</v>
      </c>
      <c r="G87" s="68">
        <v>0</v>
      </c>
      <c r="H87" s="68">
        <v>100000</v>
      </c>
      <c r="I87" s="68">
        <v>2948034202</v>
      </c>
      <c r="J87" s="68">
        <v>612681</v>
      </c>
      <c r="K87" s="68">
        <v>30470</v>
      </c>
      <c r="L87" s="68">
        <v>22539494006</v>
      </c>
      <c r="M87" s="68">
        <v>18524083415</v>
      </c>
      <c r="N87" s="69">
        <v>4.3437789775911265E-3</v>
      </c>
    </row>
    <row r="88" spans="1:14" x14ac:dyDescent="0.4">
      <c r="A88" s="68" t="s">
        <v>482</v>
      </c>
      <c r="B88" s="68">
        <v>3983350</v>
      </c>
      <c r="C88" s="68">
        <v>16626478656</v>
      </c>
      <c r="D88" s="68">
        <v>14497985328</v>
      </c>
      <c r="E88" s="68">
        <v>0</v>
      </c>
      <c r="F88" s="68">
        <v>0</v>
      </c>
      <c r="G88" s="68">
        <v>0</v>
      </c>
      <c r="H88" s="68">
        <v>0</v>
      </c>
      <c r="I88" s="68">
        <v>0</v>
      </c>
      <c r="J88" s="68">
        <v>3983350</v>
      </c>
      <c r="K88" s="68">
        <v>3654</v>
      </c>
      <c r="L88" s="68">
        <v>16626478656</v>
      </c>
      <c r="M88" s="68">
        <v>14442649506</v>
      </c>
      <c r="N88" s="69">
        <v>3.3867088535176337E-3</v>
      </c>
    </row>
    <row r="89" spans="1:14" x14ac:dyDescent="0.4">
      <c r="A89" s="68" t="s">
        <v>186</v>
      </c>
      <c r="B89" s="68">
        <v>2830564</v>
      </c>
      <c r="C89" s="68">
        <v>20539903713</v>
      </c>
      <c r="D89" s="68">
        <v>23087380345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2830564</v>
      </c>
      <c r="K89" s="68">
        <v>7960</v>
      </c>
      <c r="L89" s="68">
        <v>20539903713</v>
      </c>
      <c r="M89" s="68">
        <v>22357122573</v>
      </c>
      <c r="N89" s="69">
        <v>5.2426021226716349E-3</v>
      </c>
    </row>
    <row r="90" spans="1:14" x14ac:dyDescent="0.4">
      <c r="A90" s="68" t="s">
        <v>205</v>
      </c>
      <c r="B90" s="68">
        <v>2401235</v>
      </c>
      <c r="C90" s="68">
        <v>15850700014</v>
      </c>
      <c r="D90" s="68">
        <v>21205793736</v>
      </c>
      <c r="E90" s="68">
        <v>0</v>
      </c>
      <c r="F90" s="68">
        <v>0</v>
      </c>
      <c r="G90" s="68">
        <v>0</v>
      </c>
      <c r="H90" s="68">
        <v>400000</v>
      </c>
      <c r="I90" s="68">
        <v>3433804816</v>
      </c>
      <c r="J90" s="68">
        <v>2001235</v>
      </c>
      <c r="K90" s="68">
        <v>8860</v>
      </c>
      <c r="L90" s="68">
        <v>13210275397</v>
      </c>
      <c r="M90" s="68">
        <v>17593881918</v>
      </c>
      <c r="N90" s="69">
        <v>4.1256526812951111E-3</v>
      </c>
    </row>
    <row r="91" spans="1:14" x14ac:dyDescent="0.4">
      <c r="A91" s="68" t="s">
        <v>275</v>
      </c>
      <c r="B91" s="68">
        <v>5476907</v>
      </c>
      <c r="C91" s="68">
        <v>24541931735</v>
      </c>
      <c r="D91" s="68">
        <v>22357823074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5476907</v>
      </c>
      <c r="K91" s="68">
        <v>4089</v>
      </c>
      <c r="L91" s="68">
        <v>24541931735</v>
      </c>
      <c r="M91" s="68">
        <v>22221958811</v>
      </c>
      <c r="N91" s="69">
        <v>5.2109070857429898E-3</v>
      </c>
    </row>
    <row r="92" spans="1:14" x14ac:dyDescent="0.4">
      <c r="A92" s="68" t="s">
        <v>180</v>
      </c>
      <c r="B92" s="68">
        <v>2800000</v>
      </c>
      <c r="C92" s="68">
        <v>19839248766</v>
      </c>
      <c r="D92" s="68">
        <v>20921020680</v>
      </c>
      <c r="E92" s="68">
        <v>0</v>
      </c>
      <c r="F92" s="68">
        <v>0</v>
      </c>
      <c r="G92" s="68">
        <v>0</v>
      </c>
      <c r="H92" s="68">
        <v>0</v>
      </c>
      <c r="I92" s="68">
        <v>0</v>
      </c>
      <c r="J92" s="68">
        <v>2800000</v>
      </c>
      <c r="K92" s="68">
        <v>7680</v>
      </c>
      <c r="L92" s="68">
        <v>19839248766</v>
      </c>
      <c r="M92" s="68">
        <v>21337774080</v>
      </c>
      <c r="N92" s="69">
        <v>5.0035714264944015E-3</v>
      </c>
    </row>
    <row r="93" spans="1:14" x14ac:dyDescent="0.4">
      <c r="A93" s="68" t="s">
        <v>182</v>
      </c>
      <c r="B93" s="68">
        <v>3078835</v>
      </c>
      <c r="C93" s="68">
        <v>30066721162</v>
      </c>
      <c r="D93" s="68">
        <v>28320180063</v>
      </c>
      <c r="E93" s="68">
        <v>0</v>
      </c>
      <c r="F93" s="68">
        <v>0</v>
      </c>
      <c r="G93" s="68">
        <v>0</v>
      </c>
      <c r="H93" s="68">
        <v>165077</v>
      </c>
      <c r="I93" s="68">
        <v>1520180862</v>
      </c>
      <c r="J93" s="68">
        <v>2913758</v>
      </c>
      <c r="K93" s="68">
        <v>9640</v>
      </c>
      <c r="L93" s="68">
        <v>28454642525</v>
      </c>
      <c r="M93" s="68">
        <v>27871502032</v>
      </c>
      <c r="N93" s="69">
        <v>6.5356888051181323E-3</v>
      </c>
    </row>
    <row r="94" spans="1:14" x14ac:dyDescent="0.4">
      <c r="A94" s="68" t="s">
        <v>183</v>
      </c>
      <c r="B94" s="68">
        <v>1209154</v>
      </c>
      <c r="C94" s="68">
        <v>13559690174</v>
      </c>
      <c r="D94" s="68">
        <v>15441519173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1209154</v>
      </c>
      <c r="K94" s="68">
        <v>12430</v>
      </c>
      <c r="L94" s="68">
        <v>13559690174</v>
      </c>
      <c r="M94" s="68">
        <v>14913603988</v>
      </c>
      <c r="N94" s="69">
        <v>3.4971446646983036E-3</v>
      </c>
    </row>
    <row r="95" spans="1:14" x14ac:dyDescent="0.4">
      <c r="A95" s="68" t="s">
        <v>484</v>
      </c>
      <c r="B95" s="68">
        <v>1813731</v>
      </c>
      <c r="C95" s="68">
        <v>18525804260</v>
      </c>
      <c r="D95" s="68">
        <v>12543984690</v>
      </c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1813731</v>
      </c>
      <c r="K95" s="68">
        <v>11430</v>
      </c>
      <c r="L95" s="68">
        <v>18525804260</v>
      </c>
      <c r="M95" s="68">
        <v>20570695123</v>
      </c>
      <c r="N95" s="69">
        <v>4.8236963215879426E-3</v>
      </c>
    </row>
    <row r="96" spans="1:14" x14ac:dyDescent="0.4">
      <c r="A96" s="68" t="s">
        <v>460</v>
      </c>
      <c r="B96" s="68">
        <v>104452</v>
      </c>
      <c r="C96" s="68">
        <v>12026316222</v>
      </c>
      <c r="D96" s="68">
        <v>13022942236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104452</v>
      </c>
      <c r="K96" s="68">
        <v>126980</v>
      </c>
      <c r="L96" s="68">
        <v>12026316222</v>
      </c>
      <c r="M96" s="68">
        <v>13160789535</v>
      </c>
      <c r="N96" s="69">
        <v>3.0861208962351403E-3</v>
      </c>
    </row>
    <row r="97" spans="1:14" x14ac:dyDescent="0.4">
      <c r="A97" s="68" t="s">
        <v>235</v>
      </c>
      <c r="B97" s="68">
        <v>144247</v>
      </c>
      <c r="C97" s="68">
        <v>1152844494</v>
      </c>
      <c r="D97" s="68">
        <v>961846843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144247</v>
      </c>
      <c r="K97" s="68">
        <v>6380</v>
      </c>
      <c r="L97" s="68">
        <v>1152844494</v>
      </c>
      <c r="M97" s="68">
        <v>913181973</v>
      </c>
      <c r="N97" s="69">
        <v>2.1413532686969858E-4</v>
      </c>
    </row>
    <row r="98" spans="1:14" x14ac:dyDescent="0.4">
      <c r="A98" s="68" t="s">
        <v>215</v>
      </c>
      <c r="B98" s="68">
        <v>336344</v>
      </c>
      <c r="C98" s="68">
        <v>11436721532</v>
      </c>
      <c r="D98" s="68">
        <v>10923443113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336344</v>
      </c>
      <c r="K98" s="68">
        <v>31950</v>
      </c>
      <c r="L98" s="68">
        <v>11436721532</v>
      </c>
      <c r="M98" s="68">
        <v>10663122745</v>
      </c>
      <c r="N98" s="69">
        <v>2.5004340229702418E-3</v>
      </c>
    </row>
    <row r="99" spans="1:14" x14ac:dyDescent="0.4">
      <c r="A99" s="68" t="s">
        <v>353</v>
      </c>
      <c r="B99" s="68">
        <v>1924791</v>
      </c>
      <c r="C99" s="68">
        <v>35832037661</v>
      </c>
      <c r="D99" s="68">
        <v>29641839914</v>
      </c>
      <c r="E99" s="68">
        <v>0</v>
      </c>
      <c r="F99" s="68">
        <v>0</v>
      </c>
      <c r="G99" s="68">
        <v>0</v>
      </c>
      <c r="H99" s="68">
        <v>100000</v>
      </c>
      <c r="I99" s="68">
        <v>1528095805</v>
      </c>
      <c r="J99" s="68">
        <v>1824791</v>
      </c>
      <c r="K99" s="68">
        <v>15700</v>
      </c>
      <c r="L99" s="68">
        <v>33970430990</v>
      </c>
      <c r="M99" s="68">
        <v>28427760239</v>
      </c>
      <c r="N99" s="69">
        <v>6.6661277937334904E-3</v>
      </c>
    </row>
    <row r="100" spans="1:14" x14ac:dyDescent="0.4">
      <c r="A100" s="68" t="s">
        <v>475</v>
      </c>
      <c r="B100" s="68">
        <v>1504289</v>
      </c>
      <c r="C100" s="68">
        <v>9141298952</v>
      </c>
      <c r="D100" s="68">
        <v>15896838010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1504289</v>
      </c>
      <c r="K100" s="68">
        <v>10820</v>
      </c>
      <c r="L100" s="68">
        <v>9141298952</v>
      </c>
      <c r="M100" s="68">
        <v>16150590354</v>
      </c>
      <c r="N100" s="69">
        <v>3.7872100488698444E-3</v>
      </c>
    </row>
    <row r="101" spans="1:14" x14ac:dyDescent="0.4">
      <c r="A101" s="68" t="s">
        <v>287</v>
      </c>
      <c r="B101" s="68">
        <v>512506</v>
      </c>
      <c r="C101" s="68">
        <v>23243757956</v>
      </c>
      <c r="D101" s="68">
        <v>18210972408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512506</v>
      </c>
      <c r="K101" s="68">
        <v>35180</v>
      </c>
      <c r="L101" s="68">
        <v>23243757956</v>
      </c>
      <c r="M101" s="68">
        <v>17890589481</v>
      </c>
      <c r="N101" s="69">
        <v>4.1952287054242213E-3</v>
      </c>
    </row>
    <row r="102" spans="1:14" x14ac:dyDescent="0.4">
      <c r="A102" s="68" t="s">
        <v>295</v>
      </c>
      <c r="B102" s="68">
        <v>21110</v>
      </c>
      <c r="C102" s="68">
        <v>2674296095</v>
      </c>
      <c r="D102" s="68">
        <v>2270635255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21110</v>
      </c>
      <c r="K102" s="68">
        <v>109390</v>
      </c>
      <c r="L102" s="68">
        <v>2674296095</v>
      </c>
      <c r="M102" s="68">
        <v>2291372607</v>
      </c>
      <c r="N102" s="69">
        <v>5.3731220795815956E-4</v>
      </c>
    </row>
    <row r="103" spans="1:14" x14ac:dyDescent="0.4">
      <c r="A103" s="68" t="s">
        <v>302</v>
      </c>
      <c r="B103" s="68">
        <v>7961644</v>
      </c>
      <c r="C103" s="68">
        <v>12738109491</v>
      </c>
      <c r="D103" s="68">
        <v>16906215053</v>
      </c>
      <c r="E103" s="68">
        <v>0</v>
      </c>
      <c r="F103" s="68">
        <v>0</v>
      </c>
      <c r="G103" s="68">
        <v>0</v>
      </c>
      <c r="H103" s="68">
        <v>1200000</v>
      </c>
      <c r="I103" s="68">
        <v>2343619767</v>
      </c>
      <c r="J103" s="68">
        <v>6761644</v>
      </c>
      <c r="K103" s="68">
        <v>2028</v>
      </c>
      <c r="L103" s="68">
        <v>10818188004</v>
      </c>
      <c r="M103" s="68">
        <v>13606615526</v>
      </c>
      <c r="N103" s="69">
        <v>3.190664237138117E-3</v>
      </c>
    </row>
    <row r="104" spans="1:14" x14ac:dyDescent="0.4">
      <c r="A104" s="68" t="s">
        <v>344</v>
      </c>
      <c r="B104" s="68">
        <v>552625</v>
      </c>
      <c r="C104" s="68">
        <v>21748103488</v>
      </c>
      <c r="D104" s="68">
        <v>21884776561</v>
      </c>
      <c r="E104" s="68">
        <v>0</v>
      </c>
      <c r="F104" s="68">
        <v>0</v>
      </c>
      <c r="G104" s="68">
        <v>0</v>
      </c>
      <c r="H104" s="68">
        <v>32055</v>
      </c>
      <c r="I104" s="68">
        <v>1253204268</v>
      </c>
      <c r="J104" s="68">
        <v>520570</v>
      </c>
      <c r="K104" s="68">
        <v>40620</v>
      </c>
      <c r="L104" s="68">
        <v>20486605262</v>
      </c>
      <c r="M104" s="68">
        <v>20982098272</v>
      </c>
      <c r="N104" s="69">
        <v>4.9201677264021698E-3</v>
      </c>
    </row>
    <row r="105" spans="1:14" x14ac:dyDescent="0.4">
      <c r="A105" s="68" t="s">
        <v>296</v>
      </c>
      <c r="B105" s="68">
        <v>1155746</v>
      </c>
      <c r="C105" s="68">
        <v>7943307049</v>
      </c>
      <c r="D105" s="68">
        <v>16376476551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1155746</v>
      </c>
      <c r="K105" s="68">
        <v>13730</v>
      </c>
      <c r="L105" s="68">
        <v>7943307049</v>
      </c>
      <c r="M105" s="68">
        <v>15745729905</v>
      </c>
      <c r="N105" s="69">
        <v>3.6922728653220613E-3</v>
      </c>
    </row>
    <row r="106" spans="1:14" x14ac:dyDescent="0.4">
      <c r="A106" s="68" t="s">
        <v>257</v>
      </c>
      <c r="B106" s="68">
        <v>3019851</v>
      </c>
      <c r="C106" s="68">
        <v>5526073732</v>
      </c>
      <c r="D106" s="68">
        <v>9148337556</v>
      </c>
      <c r="E106" s="68">
        <v>0</v>
      </c>
      <c r="F106" s="68">
        <v>0</v>
      </c>
      <c r="G106" s="68">
        <v>0</v>
      </c>
      <c r="H106" s="68">
        <v>0</v>
      </c>
      <c r="I106" s="68">
        <v>0</v>
      </c>
      <c r="J106" s="68">
        <v>3019851</v>
      </c>
      <c r="K106" s="68">
        <v>2925</v>
      </c>
      <c r="L106" s="68">
        <v>5526073732</v>
      </c>
      <c r="M106" s="68">
        <v>8764784589</v>
      </c>
      <c r="N106" s="69">
        <v>2.0552858777338257E-3</v>
      </c>
    </row>
    <row r="107" spans="1:14" x14ac:dyDescent="0.4">
      <c r="A107" s="68" t="s">
        <v>485</v>
      </c>
      <c r="B107" s="68">
        <v>532915</v>
      </c>
      <c r="C107" s="68">
        <v>442274697</v>
      </c>
      <c r="D107" s="68">
        <v>1035910516</v>
      </c>
      <c r="E107" s="68">
        <v>0</v>
      </c>
      <c r="F107" s="68">
        <v>0</v>
      </c>
      <c r="G107" s="68">
        <v>0</v>
      </c>
      <c r="H107" s="68">
        <v>532915</v>
      </c>
      <c r="I107" s="68">
        <v>952304353</v>
      </c>
      <c r="J107" s="68">
        <v>0</v>
      </c>
      <c r="K107" s="68">
        <v>0</v>
      </c>
      <c r="L107" s="68">
        <v>0</v>
      </c>
      <c r="M107" s="68">
        <v>0</v>
      </c>
      <c r="N107" s="69">
        <v>0</v>
      </c>
    </row>
    <row r="108" spans="1:14" x14ac:dyDescent="0.4">
      <c r="A108" s="68" t="s">
        <v>281</v>
      </c>
      <c r="B108" s="68">
        <v>3863965</v>
      </c>
      <c r="C108" s="68">
        <v>23148828819</v>
      </c>
      <c r="D108" s="68">
        <v>24384854061</v>
      </c>
      <c r="E108" s="68">
        <v>0</v>
      </c>
      <c r="F108" s="68">
        <v>0</v>
      </c>
      <c r="G108" s="68">
        <v>0</v>
      </c>
      <c r="H108" s="68">
        <v>0</v>
      </c>
      <c r="I108" s="68">
        <v>0</v>
      </c>
      <c r="J108" s="68">
        <v>3863965</v>
      </c>
      <c r="K108" s="68">
        <v>6610</v>
      </c>
      <c r="L108" s="68">
        <v>23148828819</v>
      </c>
      <c r="M108" s="68">
        <v>25343378199</v>
      </c>
      <c r="N108" s="69">
        <v>5.9428599502426424E-3</v>
      </c>
    </row>
    <row r="109" spans="1:14" x14ac:dyDescent="0.4">
      <c r="A109" s="68" t="s">
        <v>277</v>
      </c>
      <c r="B109" s="68">
        <v>1467107</v>
      </c>
      <c r="C109" s="68">
        <v>23716554717</v>
      </c>
      <c r="D109" s="68">
        <v>24354969578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1467107</v>
      </c>
      <c r="K109" s="68">
        <v>17000</v>
      </c>
      <c r="L109" s="68">
        <v>23716554717</v>
      </c>
      <c r="M109" s="68">
        <v>24748026469</v>
      </c>
      <c r="N109" s="69">
        <v>5.8032537807437288E-3</v>
      </c>
    </row>
    <row r="110" spans="1:14" x14ac:dyDescent="0.4">
      <c r="A110" s="68" t="s">
        <v>294</v>
      </c>
      <c r="B110" s="68">
        <v>2298015</v>
      </c>
      <c r="C110" s="68">
        <v>22834844238</v>
      </c>
      <c r="D110" s="68">
        <v>23463786330</v>
      </c>
      <c r="E110" s="68">
        <v>0</v>
      </c>
      <c r="F110" s="68">
        <v>0</v>
      </c>
      <c r="G110" s="68">
        <v>0</v>
      </c>
      <c r="H110" s="68">
        <v>20104</v>
      </c>
      <c r="I110" s="68">
        <v>186818090</v>
      </c>
      <c r="J110" s="68">
        <v>2277911</v>
      </c>
      <c r="K110" s="68">
        <v>9340</v>
      </c>
      <c r="L110" s="68">
        <v>22635075434</v>
      </c>
      <c r="M110" s="68">
        <v>21111227666</v>
      </c>
      <c r="N110" s="69">
        <v>4.950447742664248E-3</v>
      </c>
    </row>
    <row r="111" spans="1:14" x14ac:dyDescent="0.4">
      <c r="A111" s="68" t="s">
        <v>246</v>
      </c>
      <c r="B111" s="68">
        <v>24072042</v>
      </c>
      <c r="C111" s="68">
        <v>51531722281</v>
      </c>
      <c r="D111" s="68">
        <v>45192245998</v>
      </c>
      <c r="E111" s="68">
        <v>0</v>
      </c>
      <c r="F111" s="68">
        <v>0</v>
      </c>
      <c r="G111" s="68">
        <v>0</v>
      </c>
      <c r="H111" s="68">
        <v>1486640</v>
      </c>
      <c r="I111" s="68">
        <v>2769678003</v>
      </c>
      <c r="J111" s="68">
        <v>22585402</v>
      </c>
      <c r="K111" s="68">
        <v>1892</v>
      </c>
      <c r="L111" s="68">
        <v>48349228681</v>
      </c>
      <c r="M111" s="68">
        <v>42401265466</v>
      </c>
      <c r="N111" s="69">
        <v>9.9428253170858114E-3</v>
      </c>
    </row>
    <row r="112" spans="1:14" x14ac:dyDescent="0.4">
      <c r="A112" s="68" t="s">
        <v>245</v>
      </c>
      <c r="B112" s="68">
        <v>835696</v>
      </c>
      <c r="C112" s="68">
        <v>26487272105</v>
      </c>
      <c r="D112" s="68">
        <v>22248403756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835696</v>
      </c>
      <c r="K112" s="68">
        <v>24860</v>
      </c>
      <c r="L112" s="68">
        <v>26487272105</v>
      </c>
      <c r="M112" s="68">
        <v>20614808698</v>
      </c>
      <c r="N112" s="69">
        <v>4.8340406725292809E-3</v>
      </c>
    </row>
    <row r="113" spans="1:14" x14ac:dyDescent="0.4">
      <c r="A113" s="68" t="s">
        <v>454</v>
      </c>
      <c r="B113" s="68">
        <v>200000</v>
      </c>
      <c r="C113" s="68">
        <v>1501990667</v>
      </c>
      <c r="D113" s="68">
        <v>1224461180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200000</v>
      </c>
      <c r="K113" s="68">
        <v>6100</v>
      </c>
      <c r="L113" s="68">
        <v>1501990667</v>
      </c>
      <c r="M113" s="68">
        <v>1210569400</v>
      </c>
      <c r="N113" s="69">
        <v>2.8387077475461168E-4</v>
      </c>
    </row>
    <row r="114" spans="1:14" x14ac:dyDescent="0.4">
      <c r="A114" s="68" t="s">
        <v>486</v>
      </c>
      <c r="B114" s="68">
        <v>2478</v>
      </c>
      <c r="C114" s="68">
        <v>634181829</v>
      </c>
      <c r="D114" s="68">
        <v>666469954</v>
      </c>
      <c r="E114" s="68">
        <v>0</v>
      </c>
      <c r="F114" s="68">
        <v>0</v>
      </c>
      <c r="G114" s="68">
        <v>0</v>
      </c>
      <c r="H114" s="68">
        <v>0</v>
      </c>
      <c r="I114" s="68">
        <v>0</v>
      </c>
      <c r="J114" s="68">
        <v>2478</v>
      </c>
      <c r="K114" s="68">
        <v>270100</v>
      </c>
      <c r="L114" s="68">
        <v>634181829</v>
      </c>
      <c r="M114" s="68">
        <v>664134051</v>
      </c>
      <c r="N114" s="69">
        <v>1.5573518345853512E-4</v>
      </c>
    </row>
    <row r="115" spans="1:14" x14ac:dyDescent="0.4">
      <c r="A115" s="68" t="s">
        <v>193</v>
      </c>
      <c r="B115" s="68">
        <v>19848213</v>
      </c>
      <c r="C115" s="68">
        <v>17982972151</v>
      </c>
      <c r="D115" s="68">
        <v>8823264268</v>
      </c>
      <c r="E115" s="68">
        <v>0</v>
      </c>
      <c r="F115" s="68">
        <v>0</v>
      </c>
      <c r="G115" s="68">
        <v>0</v>
      </c>
      <c r="H115" s="68">
        <v>19848213</v>
      </c>
      <c r="I115" s="68">
        <v>8469082141</v>
      </c>
      <c r="J115" s="68">
        <v>0</v>
      </c>
      <c r="K115" s="68">
        <v>0</v>
      </c>
      <c r="L115" s="68">
        <v>0</v>
      </c>
      <c r="M115" s="68">
        <v>0</v>
      </c>
      <c r="N115" s="69">
        <v>0</v>
      </c>
    </row>
    <row r="116" spans="1:14" x14ac:dyDescent="0.4">
      <c r="A116" s="68" t="s">
        <v>398</v>
      </c>
      <c r="B116" s="68">
        <v>249996</v>
      </c>
      <c r="C116" s="68">
        <v>1764072098</v>
      </c>
      <c r="D116" s="68">
        <v>1545435798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249996</v>
      </c>
      <c r="K116" s="68">
        <v>5960</v>
      </c>
      <c r="L116" s="68">
        <v>1764072098</v>
      </c>
      <c r="M116" s="68">
        <v>1478458644</v>
      </c>
      <c r="N116" s="69">
        <v>3.4668908756072361E-4</v>
      </c>
    </row>
    <row r="117" spans="1:14" x14ac:dyDescent="0.4">
      <c r="A117" s="68" t="s">
        <v>188</v>
      </c>
      <c r="B117" s="68">
        <v>13972652</v>
      </c>
      <c r="C117" s="68">
        <v>41614388092</v>
      </c>
      <c r="D117" s="68">
        <v>38446656148</v>
      </c>
      <c r="E117" s="68">
        <v>0</v>
      </c>
      <c r="F117" s="68">
        <v>0</v>
      </c>
      <c r="G117" s="68">
        <v>0</v>
      </c>
      <c r="H117" s="68">
        <v>400000</v>
      </c>
      <c r="I117" s="68">
        <v>1026405316</v>
      </c>
      <c r="J117" s="68">
        <v>13572652</v>
      </c>
      <c r="K117" s="68">
        <v>2621</v>
      </c>
      <c r="L117" s="68">
        <v>40423078437</v>
      </c>
      <c r="M117" s="68">
        <v>35298934484</v>
      </c>
      <c r="N117" s="69">
        <v>8.2773741678794782E-3</v>
      </c>
    </row>
    <row r="118" spans="1:14" x14ac:dyDescent="0.4">
      <c r="A118" s="68" t="s">
        <v>320</v>
      </c>
      <c r="B118" s="68">
        <v>1875000</v>
      </c>
      <c r="C118" s="68">
        <v>5911612875</v>
      </c>
      <c r="D118" s="68">
        <v>6818755406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1875000</v>
      </c>
      <c r="K118" s="68">
        <v>3540</v>
      </c>
      <c r="L118" s="68">
        <v>5911612875</v>
      </c>
      <c r="M118" s="68">
        <v>6586192125</v>
      </c>
      <c r="N118" s="69">
        <v>1.5444198913391271E-3</v>
      </c>
    </row>
    <row r="119" spans="1:14" x14ac:dyDescent="0.4">
      <c r="A119" s="68" t="s">
        <v>448</v>
      </c>
      <c r="B119" s="68">
        <v>23792</v>
      </c>
      <c r="C119" s="68">
        <v>1265552380</v>
      </c>
      <c r="D119" s="68">
        <v>1534525710</v>
      </c>
      <c r="E119" s="68">
        <v>0</v>
      </c>
      <c r="F119" s="68">
        <v>0</v>
      </c>
      <c r="G119" s="68">
        <v>0</v>
      </c>
      <c r="H119" s="68">
        <v>0</v>
      </c>
      <c r="I119" s="68">
        <v>0</v>
      </c>
      <c r="J119" s="68">
        <v>23792</v>
      </c>
      <c r="K119" s="68">
        <v>60650</v>
      </c>
      <c r="L119" s="68">
        <v>1265552380</v>
      </c>
      <c r="M119" s="68">
        <v>1431830527</v>
      </c>
      <c r="N119" s="69">
        <v>3.3575509261740298E-4</v>
      </c>
    </row>
    <row r="120" spans="1:14" x14ac:dyDescent="0.4">
      <c r="A120" s="68" t="s">
        <v>453</v>
      </c>
      <c r="B120" s="68">
        <v>943421</v>
      </c>
      <c r="C120" s="68">
        <v>12470037471</v>
      </c>
      <c r="D120" s="68">
        <v>16709891149</v>
      </c>
      <c r="E120" s="68">
        <v>0</v>
      </c>
      <c r="F120" s="68">
        <v>0</v>
      </c>
      <c r="G120" s="68">
        <v>0</v>
      </c>
      <c r="H120" s="68">
        <v>0</v>
      </c>
      <c r="I120" s="68">
        <v>0</v>
      </c>
      <c r="J120" s="68">
        <v>943421</v>
      </c>
      <c r="K120" s="68">
        <v>16990</v>
      </c>
      <c r="L120" s="68">
        <v>12470037471</v>
      </c>
      <c r="M120" s="68">
        <v>15904820763</v>
      </c>
      <c r="N120" s="69">
        <v>3.7295786530917138E-3</v>
      </c>
    </row>
    <row r="121" spans="1:14" x14ac:dyDescent="0.4">
      <c r="A121" s="68" t="s">
        <v>449</v>
      </c>
      <c r="B121" s="68">
        <v>3733986</v>
      </c>
      <c r="C121" s="68">
        <v>14066948730</v>
      </c>
      <c r="D121" s="68">
        <v>30863668661</v>
      </c>
      <c r="E121" s="68">
        <v>0</v>
      </c>
      <c r="F121" s="68">
        <v>0</v>
      </c>
      <c r="G121" s="68">
        <v>0</v>
      </c>
      <c r="H121" s="68">
        <v>0</v>
      </c>
      <c r="I121" s="68">
        <v>0</v>
      </c>
      <c r="J121" s="68">
        <v>3733986</v>
      </c>
      <c r="K121" s="68">
        <v>8630</v>
      </c>
      <c r="L121" s="68">
        <v>14066948730</v>
      </c>
      <c r="M121" s="68">
        <v>31975205347</v>
      </c>
      <c r="N121" s="69">
        <v>7.4979809623394516E-3</v>
      </c>
    </row>
    <row r="122" spans="1:14" x14ac:dyDescent="0.4">
      <c r="A122" s="68" t="s">
        <v>339</v>
      </c>
      <c r="B122" s="68">
        <v>7083396</v>
      </c>
      <c r="C122" s="68">
        <v>24659993871</v>
      </c>
      <c r="D122" s="68">
        <v>19820768604</v>
      </c>
      <c r="E122" s="68">
        <v>0</v>
      </c>
      <c r="F122" s="68">
        <v>0</v>
      </c>
      <c r="G122" s="68">
        <v>0</v>
      </c>
      <c r="H122" s="68">
        <v>0</v>
      </c>
      <c r="I122" s="68">
        <v>0</v>
      </c>
      <c r="J122" s="68">
        <v>7083396</v>
      </c>
      <c r="K122" s="68">
        <v>2775</v>
      </c>
      <c r="L122" s="68">
        <v>24659993871</v>
      </c>
      <c r="M122" s="68">
        <v>19504479743</v>
      </c>
      <c r="N122" s="69">
        <v>4.5736756404308907E-3</v>
      </c>
    </row>
    <row r="123" spans="1:14" x14ac:dyDescent="0.4">
      <c r="A123" s="68" t="s">
        <v>199</v>
      </c>
      <c r="B123" s="68">
        <v>3429795</v>
      </c>
      <c r="C123" s="68">
        <v>22700128568</v>
      </c>
      <c r="D123" s="68">
        <v>22121337450</v>
      </c>
      <c r="E123" s="68">
        <v>0</v>
      </c>
      <c r="F123" s="68">
        <v>0</v>
      </c>
      <c r="G123" s="68">
        <v>0</v>
      </c>
      <c r="H123" s="68">
        <v>0</v>
      </c>
      <c r="I123" s="68">
        <v>0</v>
      </c>
      <c r="J123" s="68">
        <v>3429795</v>
      </c>
      <c r="K123" s="68">
        <v>6760</v>
      </c>
      <c r="L123" s="68">
        <v>22700128568</v>
      </c>
      <c r="M123" s="68">
        <v>23006190948</v>
      </c>
      <c r="N123" s="69">
        <v>5.3948045015521579E-3</v>
      </c>
    </row>
    <row r="124" spans="1:14" x14ac:dyDescent="0.4">
      <c r="A124" s="68" t="s">
        <v>219</v>
      </c>
      <c r="B124" s="68">
        <v>6557463</v>
      </c>
      <c r="C124" s="68">
        <v>16694189082</v>
      </c>
      <c r="D124" s="68">
        <v>29124319578</v>
      </c>
      <c r="E124" s="68">
        <v>0</v>
      </c>
      <c r="F124" s="68">
        <v>0</v>
      </c>
      <c r="G124" s="68">
        <v>0</v>
      </c>
      <c r="H124" s="68">
        <v>400000</v>
      </c>
      <c r="I124" s="68">
        <v>1616299152</v>
      </c>
      <c r="J124" s="68">
        <v>6157463</v>
      </c>
      <c r="K124" s="68">
        <v>4194</v>
      </c>
      <c r="L124" s="68">
        <v>15675856896</v>
      </c>
      <c r="M124" s="68">
        <v>25624777211</v>
      </c>
      <c r="N124" s="69">
        <v>6.0088462171610218E-3</v>
      </c>
    </row>
    <row r="125" spans="1:14" x14ac:dyDescent="0.4">
      <c r="A125" s="68" t="s">
        <v>309</v>
      </c>
      <c r="B125" s="68">
        <v>12931711</v>
      </c>
      <c r="C125" s="68">
        <v>27983061650</v>
      </c>
      <c r="D125" s="68">
        <v>39136834066</v>
      </c>
      <c r="E125" s="68">
        <v>0</v>
      </c>
      <c r="F125" s="68">
        <v>0</v>
      </c>
      <c r="G125" s="68">
        <v>0</v>
      </c>
      <c r="H125" s="68">
        <v>1035659</v>
      </c>
      <c r="I125" s="68">
        <v>3003240947</v>
      </c>
      <c r="J125" s="68">
        <v>11896052</v>
      </c>
      <c r="K125" s="68">
        <v>2945</v>
      </c>
      <c r="L125" s="68">
        <v>25741988551</v>
      </c>
      <c r="M125" s="68">
        <v>34763061301</v>
      </c>
      <c r="N125" s="69">
        <v>8.1517153368959507E-3</v>
      </c>
    </row>
    <row r="126" spans="1:14" x14ac:dyDescent="0.4">
      <c r="A126" s="68" t="s">
        <v>250</v>
      </c>
      <c r="B126" s="68">
        <v>5065914</v>
      </c>
      <c r="C126" s="68">
        <v>17485089878</v>
      </c>
      <c r="D126" s="68">
        <v>14567534497</v>
      </c>
      <c r="E126" s="68">
        <v>0</v>
      </c>
      <c r="F126" s="68">
        <v>0</v>
      </c>
      <c r="G126" s="68">
        <v>0</v>
      </c>
      <c r="H126" s="68">
        <v>0</v>
      </c>
      <c r="I126" s="68">
        <v>0</v>
      </c>
      <c r="J126" s="68">
        <v>5065914</v>
      </c>
      <c r="K126" s="68">
        <v>2725</v>
      </c>
      <c r="L126" s="68">
        <v>17485089878</v>
      </c>
      <c r="M126" s="68">
        <v>13697905971</v>
      </c>
      <c r="N126" s="69">
        <v>3.2120712620883952E-3</v>
      </c>
    </row>
    <row r="127" spans="1:14" x14ac:dyDescent="0.4">
      <c r="A127" s="68" t="s">
        <v>274</v>
      </c>
      <c r="B127" s="68">
        <v>8180289</v>
      </c>
      <c r="C127" s="68">
        <v>24340452204</v>
      </c>
      <c r="D127" s="68">
        <v>24813838254</v>
      </c>
      <c r="E127" s="68">
        <v>0</v>
      </c>
      <c r="F127" s="68">
        <v>0</v>
      </c>
      <c r="G127" s="68">
        <v>0</v>
      </c>
      <c r="H127" s="68">
        <v>800000</v>
      </c>
      <c r="I127" s="68">
        <v>2296754712</v>
      </c>
      <c r="J127" s="68">
        <v>7380289</v>
      </c>
      <c r="K127" s="68">
        <v>2940</v>
      </c>
      <c r="L127" s="68">
        <v>21960051981</v>
      </c>
      <c r="M127" s="68">
        <v>21530323736</v>
      </c>
      <c r="N127" s="69">
        <v>5.048723088206199E-3</v>
      </c>
    </row>
    <row r="128" spans="1:14" x14ac:dyDescent="0.4">
      <c r="A128" s="68" t="s">
        <v>301</v>
      </c>
      <c r="B128" s="68">
        <v>4489661</v>
      </c>
      <c r="C128" s="68">
        <v>16992352373</v>
      </c>
      <c r="D128" s="68">
        <v>15971016975</v>
      </c>
      <c r="E128" s="68">
        <v>0</v>
      </c>
      <c r="F128" s="68">
        <v>0</v>
      </c>
      <c r="G128" s="68">
        <v>0</v>
      </c>
      <c r="H128" s="68">
        <v>227589</v>
      </c>
      <c r="I128" s="68">
        <v>848668171</v>
      </c>
      <c r="J128" s="68">
        <v>4262072</v>
      </c>
      <c r="K128" s="68">
        <v>3720</v>
      </c>
      <c r="L128" s="68">
        <v>16130979435</v>
      </c>
      <c r="M128" s="68">
        <v>15732349402</v>
      </c>
      <c r="N128" s="69">
        <v>3.6891352230247949E-3</v>
      </c>
    </row>
    <row r="129" spans="1:14" x14ac:dyDescent="0.4">
      <c r="A129" s="68" t="s">
        <v>298</v>
      </c>
      <c r="B129" s="68">
        <v>2038313</v>
      </c>
      <c r="C129" s="68">
        <v>35612740710</v>
      </c>
      <c r="D129" s="68">
        <v>28659630430</v>
      </c>
      <c r="E129" s="68">
        <v>0</v>
      </c>
      <c r="F129" s="68">
        <v>0</v>
      </c>
      <c r="G129" s="68">
        <v>0</v>
      </c>
      <c r="H129" s="68">
        <v>0</v>
      </c>
      <c r="I129" s="68">
        <v>0</v>
      </c>
      <c r="J129" s="68">
        <v>2038313</v>
      </c>
      <c r="K129" s="68">
        <v>12580</v>
      </c>
      <c r="L129" s="68">
        <v>35612740710</v>
      </c>
      <c r="M129" s="68">
        <v>25443765054</v>
      </c>
      <c r="N129" s="69">
        <v>5.9664000251066105E-3</v>
      </c>
    </row>
    <row r="130" spans="1:14" x14ac:dyDescent="0.4">
      <c r="A130" s="68" t="s">
        <v>217</v>
      </c>
      <c r="B130" s="68">
        <v>7154828</v>
      </c>
      <c r="C130" s="68">
        <v>18245759194</v>
      </c>
      <c r="D130" s="68">
        <v>26076541293</v>
      </c>
      <c r="E130" s="68">
        <v>0</v>
      </c>
      <c r="F130" s="68">
        <v>0</v>
      </c>
      <c r="G130" s="68">
        <v>0</v>
      </c>
      <c r="H130" s="68">
        <v>110985</v>
      </c>
      <c r="I130" s="68">
        <v>376545694</v>
      </c>
      <c r="J130" s="68">
        <v>7043843</v>
      </c>
      <c r="K130" s="68">
        <v>3418</v>
      </c>
      <c r="L130" s="68">
        <v>17962732742</v>
      </c>
      <c r="M130" s="68">
        <v>23889749012</v>
      </c>
      <c r="N130" s="69">
        <v>5.6019932114008989E-3</v>
      </c>
    </row>
    <row r="131" spans="1:14" x14ac:dyDescent="0.4">
      <c r="A131" s="68" t="s">
        <v>230</v>
      </c>
      <c r="B131" s="68">
        <v>2789045</v>
      </c>
      <c r="C131" s="68">
        <v>9704409400</v>
      </c>
      <c r="D131" s="68">
        <v>15663968961</v>
      </c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2789045</v>
      </c>
      <c r="K131" s="68">
        <v>5430</v>
      </c>
      <c r="L131" s="68">
        <v>9704409400</v>
      </c>
      <c r="M131" s="68">
        <v>15027447254</v>
      </c>
      <c r="N131" s="69">
        <v>3.5238401817996078E-3</v>
      </c>
    </row>
    <row r="132" spans="1:14" x14ac:dyDescent="0.4">
      <c r="A132" s="68" t="s">
        <v>195</v>
      </c>
      <c r="B132" s="68">
        <v>1500163</v>
      </c>
      <c r="C132" s="68">
        <v>20248099076</v>
      </c>
      <c r="D132" s="68">
        <v>19351367620</v>
      </c>
      <c r="E132" s="68">
        <v>0</v>
      </c>
      <c r="F132" s="68">
        <v>0</v>
      </c>
      <c r="G132" s="68">
        <v>0</v>
      </c>
      <c r="H132" s="68">
        <v>300000</v>
      </c>
      <c r="I132" s="68">
        <v>3678928106</v>
      </c>
      <c r="J132" s="68">
        <v>1200163</v>
      </c>
      <c r="K132" s="68">
        <v>12780</v>
      </c>
      <c r="L132" s="68">
        <v>16198919272</v>
      </c>
      <c r="M132" s="68">
        <v>15219519757</v>
      </c>
      <c r="N132" s="69">
        <v>3.568879954187434E-3</v>
      </c>
    </row>
    <row r="133" spans="1:14" x14ac:dyDescent="0.4">
      <c r="A133" s="68" t="s">
        <v>310</v>
      </c>
      <c r="B133" s="68">
        <v>2116099</v>
      </c>
      <c r="C133" s="68">
        <v>19380542164</v>
      </c>
      <c r="D133" s="68">
        <v>23118154518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2116099</v>
      </c>
      <c r="K133" s="68">
        <v>9890</v>
      </c>
      <c r="L133" s="68">
        <v>19380542164</v>
      </c>
      <c r="M133" s="68">
        <v>20766443976</v>
      </c>
      <c r="N133" s="69">
        <v>4.8695981745163546E-3</v>
      </c>
    </row>
    <row r="134" spans="1:14" x14ac:dyDescent="0.4">
      <c r="A134" s="68" t="s">
        <v>263</v>
      </c>
      <c r="B134" s="68">
        <v>304021</v>
      </c>
      <c r="C134" s="68">
        <v>7764263692</v>
      </c>
      <c r="D134" s="68">
        <v>10477030971</v>
      </c>
      <c r="E134" s="68">
        <v>0</v>
      </c>
      <c r="F134" s="68">
        <v>0</v>
      </c>
      <c r="G134" s="68">
        <v>0</v>
      </c>
      <c r="H134" s="68">
        <v>100000</v>
      </c>
      <c r="I134" s="68">
        <v>3300428666</v>
      </c>
      <c r="J134" s="68">
        <v>204021</v>
      </c>
      <c r="K134" s="68">
        <v>32490</v>
      </c>
      <c r="L134" s="68">
        <v>5210406001</v>
      </c>
      <c r="M134" s="68">
        <v>6577402885</v>
      </c>
      <c r="N134" s="69">
        <v>1.5423588708240669E-3</v>
      </c>
    </row>
    <row r="135" spans="1:14" x14ac:dyDescent="0.4">
      <c r="A135" s="68" t="s">
        <v>181</v>
      </c>
      <c r="B135" s="68">
        <v>4967900</v>
      </c>
      <c r="C135" s="68">
        <v>27318914165</v>
      </c>
      <c r="D135" s="68">
        <v>20960226062</v>
      </c>
      <c r="E135" s="68">
        <v>0</v>
      </c>
      <c r="F135" s="68">
        <v>0</v>
      </c>
      <c r="G135" s="68">
        <v>0</v>
      </c>
      <c r="H135" s="68">
        <v>0</v>
      </c>
      <c r="I135" s="68">
        <v>0</v>
      </c>
      <c r="J135" s="68">
        <v>4967900</v>
      </c>
      <c r="K135" s="68">
        <v>4110</v>
      </c>
      <c r="L135" s="68">
        <v>27318914165</v>
      </c>
      <c r="M135" s="68">
        <v>20260237327</v>
      </c>
      <c r="N135" s="69">
        <v>4.7508959558434181E-3</v>
      </c>
    </row>
    <row r="136" spans="1:14" x14ac:dyDescent="0.4">
      <c r="A136" s="68" t="s">
        <v>178</v>
      </c>
      <c r="B136" s="68">
        <v>19600000</v>
      </c>
      <c r="C136" s="68">
        <v>39331346955</v>
      </c>
      <c r="D136" s="68">
        <v>27519616180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19600000</v>
      </c>
      <c r="K136" s="68">
        <v>1315</v>
      </c>
      <c r="L136" s="68">
        <v>39331346955</v>
      </c>
      <c r="M136" s="68">
        <v>25574766980</v>
      </c>
      <c r="N136" s="69">
        <v>5.9971191381355425E-3</v>
      </c>
    </row>
    <row r="137" spans="1:14" x14ac:dyDescent="0.4">
      <c r="A137" s="68" t="s">
        <v>271</v>
      </c>
      <c r="B137" s="68">
        <v>3915801</v>
      </c>
      <c r="C137" s="68">
        <v>13026834643</v>
      </c>
      <c r="D137" s="68">
        <v>13459482357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3915801</v>
      </c>
      <c r="K137" s="68">
        <v>3200</v>
      </c>
      <c r="L137" s="68">
        <v>13026834643</v>
      </c>
      <c r="M137" s="68">
        <v>12433701946</v>
      </c>
      <c r="N137" s="69">
        <v>2.9156235111171182E-3</v>
      </c>
    </row>
    <row r="138" spans="1:14" x14ac:dyDescent="0.4">
      <c r="A138" s="68" t="s">
        <v>447</v>
      </c>
      <c r="B138" s="68">
        <v>540150</v>
      </c>
      <c r="C138" s="68">
        <v>8499361036</v>
      </c>
      <c r="D138" s="68">
        <v>9647543529</v>
      </c>
      <c r="E138" s="68">
        <v>900250</v>
      </c>
      <c r="F138" s="68">
        <v>0</v>
      </c>
      <c r="G138" s="68">
        <v>0</v>
      </c>
      <c r="H138" s="68">
        <v>0</v>
      </c>
      <c r="I138" s="68">
        <v>0</v>
      </c>
      <c r="J138" s="68">
        <v>1440400</v>
      </c>
      <c r="K138" s="68">
        <v>6626</v>
      </c>
      <c r="L138" s="68">
        <v>8499361036</v>
      </c>
      <c r="M138" s="68">
        <v>9470314581</v>
      </c>
      <c r="N138" s="69">
        <v>2.2207281443578251E-3</v>
      </c>
    </row>
    <row r="139" spans="1:14" x14ac:dyDescent="0.4">
      <c r="A139" s="68" t="s">
        <v>233</v>
      </c>
      <c r="B139" s="68">
        <v>8858150</v>
      </c>
      <c r="C139" s="68">
        <v>11344964033</v>
      </c>
      <c r="D139" s="68">
        <v>17588142678</v>
      </c>
      <c r="E139" s="68">
        <v>0</v>
      </c>
      <c r="F139" s="68">
        <v>0</v>
      </c>
      <c r="G139" s="68">
        <v>0</v>
      </c>
      <c r="H139" s="68">
        <v>0</v>
      </c>
      <c r="I139" s="68">
        <v>0</v>
      </c>
      <c r="J139" s="68">
        <v>8858150</v>
      </c>
      <c r="K139" s="68">
        <v>2000</v>
      </c>
      <c r="L139" s="68">
        <v>11344964033</v>
      </c>
      <c r="M139" s="68">
        <v>17579353001</v>
      </c>
      <c r="N139" s="69">
        <v>4.1222457432664979E-3</v>
      </c>
    </row>
    <row r="140" spans="1:14" x14ac:dyDescent="0.4">
      <c r="A140" s="68" t="s">
        <v>470</v>
      </c>
      <c r="B140" s="68">
        <v>5800000</v>
      </c>
      <c r="C140" s="68">
        <v>21338456733</v>
      </c>
      <c r="D140" s="68">
        <v>26675194410</v>
      </c>
      <c r="E140" s="68">
        <v>0</v>
      </c>
      <c r="F140" s="68">
        <v>0</v>
      </c>
      <c r="G140" s="68">
        <v>0</v>
      </c>
      <c r="H140" s="68">
        <v>0</v>
      </c>
      <c r="I140" s="68">
        <v>0</v>
      </c>
      <c r="J140" s="68">
        <v>5800000</v>
      </c>
      <c r="K140" s="68">
        <v>4243</v>
      </c>
      <c r="L140" s="68">
        <v>21338456733</v>
      </c>
      <c r="M140" s="68">
        <v>24419169338</v>
      </c>
      <c r="N140" s="69">
        <v>5.7261388887263447E-3</v>
      </c>
    </row>
    <row r="141" spans="1:14" x14ac:dyDescent="0.4">
      <c r="A141" s="68" t="s">
        <v>255</v>
      </c>
      <c r="B141" s="68">
        <v>4441456</v>
      </c>
      <c r="C141" s="68">
        <v>11625693660</v>
      </c>
      <c r="D141" s="68">
        <v>14852006347</v>
      </c>
      <c r="E141" s="68">
        <v>0</v>
      </c>
      <c r="F141" s="68">
        <v>0</v>
      </c>
      <c r="G141" s="68">
        <v>0</v>
      </c>
      <c r="H141" s="68">
        <v>0</v>
      </c>
      <c r="I141" s="68">
        <v>0</v>
      </c>
      <c r="J141" s="68">
        <v>4441456</v>
      </c>
      <c r="K141" s="68">
        <v>3367</v>
      </c>
      <c r="L141" s="68">
        <v>11625693660</v>
      </c>
      <c r="M141" s="68">
        <v>14838784976</v>
      </c>
      <c r="N141" s="69">
        <v>3.4796000853434855E-3</v>
      </c>
    </row>
    <row r="142" spans="1:14" x14ac:dyDescent="0.4">
      <c r="A142" s="68" t="s">
        <v>272</v>
      </c>
      <c r="B142" s="68">
        <v>6186321</v>
      </c>
      <c r="C142" s="68">
        <v>26726392187</v>
      </c>
      <c r="D142" s="68">
        <v>28857091972</v>
      </c>
      <c r="E142" s="68">
        <v>0</v>
      </c>
      <c r="F142" s="68">
        <v>0</v>
      </c>
      <c r="G142" s="68">
        <v>0</v>
      </c>
      <c r="H142" s="68">
        <v>384157</v>
      </c>
      <c r="I142" s="68">
        <v>1752261030</v>
      </c>
      <c r="J142" s="68">
        <v>5802164</v>
      </c>
      <c r="K142" s="68">
        <v>4620</v>
      </c>
      <c r="L142" s="68">
        <v>25066741703</v>
      </c>
      <c r="M142" s="68">
        <v>26598787318</v>
      </c>
      <c r="N142" s="69">
        <v>6.2372453520581307E-3</v>
      </c>
    </row>
    <row r="143" spans="1:14" x14ac:dyDescent="0.4">
      <c r="A143" s="68" t="s">
        <v>237</v>
      </c>
      <c r="B143" s="68">
        <v>19209541</v>
      </c>
      <c r="C143" s="68">
        <v>21405614361</v>
      </c>
      <c r="D143" s="68">
        <v>23616642496</v>
      </c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19209541</v>
      </c>
      <c r="K143" s="68">
        <v>1138</v>
      </c>
      <c r="L143" s="68">
        <v>21405614361</v>
      </c>
      <c r="M143" s="68">
        <v>21691476320</v>
      </c>
      <c r="N143" s="69">
        <v>5.0865123375245678E-3</v>
      </c>
    </row>
    <row r="144" spans="1:14" x14ac:dyDescent="0.4">
      <c r="A144" s="68" t="s">
        <v>451</v>
      </c>
      <c r="B144" s="68">
        <v>1447708</v>
      </c>
      <c r="C144" s="68">
        <v>7589659743</v>
      </c>
      <c r="D144" s="68">
        <v>11721980492</v>
      </c>
      <c r="E144" s="68">
        <v>0</v>
      </c>
      <c r="F144" s="68">
        <v>0</v>
      </c>
      <c r="G144" s="68">
        <v>0</v>
      </c>
      <c r="H144" s="68">
        <v>0</v>
      </c>
      <c r="I144" s="68">
        <v>0</v>
      </c>
      <c r="J144" s="68">
        <v>1447708</v>
      </c>
      <c r="K144" s="68">
        <v>7240</v>
      </c>
      <c r="L144" s="68">
        <v>7589659743</v>
      </c>
      <c r="M144" s="68">
        <v>10400384652</v>
      </c>
      <c r="N144" s="69">
        <v>2.4388236220981734E-3</v>
      </c>
    </row>
    <row r="145" spans="1:14" x14ac:dyDescent="0.4">
      <c r="A145" s="68" t="s">
        <v>319</v>
      </c>
      <c r="B145" s="68">
        <v>2874109</v>
      </c>
      <c r="C145" s="68">
        <v>27174847556</v>
      </c>
      <c r="D145" s="68">
        <v>35905322010</v>
      </c>
      <c r="E145" s="68">
        <v>0</v>
      </c>
      <c r="F145" s="68">
        <v>0</v>
      </c>
      <c r="G145" s="68">
        <v>0</v>
      </c>
      <c r="H145" s="68">
        <v>6526</v>
      </c>
      <c r="I145" s="68">
        <v>87419981</v>
      </c>
      <c r="J145" s="68">
        <v>2867583</v>
      </c>
      <c r="K145" s="68">
        <v>12790</v>
      </c>
      <c r="L145" s="68">
        <v>27113143892</v>
      </c>
      <c r="M145" s="68">
        <v>36392878102</v>
      </c>
      <c r="N145" s="69">
        <v>8.5338969433432586E-3</v>
      </c>
    </row>
    <row r="146" spans="1:14" x14ac:dyDescent="0.4">
      <c r="A146" s="68" t="s">
        <v>290</v>
      </c>
      <c r="B146" s="68">
        <v>5309272</v>
      </c>
      <c r="C146" s="68">
        <v>25391680341</v>
      </c>
      <c r="D146" s="68">
        <v>29186001554</v>
      </c>
      <c r="E146" s="68">
        <v>0</v>
      </c>
      <c r="F146" s="68">
        <v>0</v>
      </c>
      <c r="G146" s="68">
        <v>0</v>
      </c>
      <c r="H146" s="68">
        <v>0</v>
      </c>
      <c r="I146" s="68">
        <v>0</v>
      </c>
      <c r="J146" s="68">
        <v>5309272</v>
      </c>
      <c r="K146" s="68">
        <v>4850</v>
      </c>
      <c r="L146" s="68">
        <v>25391680341</v>
      </c>
      <c r="M146" s="68">
        <v>25550921938</v>
      </c>
      <c r="N146" s="69">
        <v>5.9915276284322602E-3</v>
      </c>
    </row>
    <row r="147" spans="1:14" x14ac:dyDescent="0.4">
      <c r="A147" s="68" t="s">
        <v>406</v>
      </c>
      <c r="B147" s="68">
        <v>241083</v>
      </c>
      <c r="C147" s="68">
        <v>1966102194</v>
      </c>
      <c r="D147" s="68">
        <v>2841926810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241083</v>
      </c>
      <c r="K147" s="68">
        <v>10640</v>
      </c>
      <c r="L147" s="68">
        <v>1966102194</v>
      </c>
      <c r="M147" s="68">
        <v>2545294718</v>
      </c>
      <c r="N147" s="69">
        <v>5.9685531748735832E-4</v>
      </c>
    </row>
    <row r="148" spans="1:14" x14ac:dyDescent="0.4">
      <c r="A148" s="68" t="s">
        <v>240</v>
      </c>
      <c r="B148" s="68">
        <v>5849737</v>
      </c>
      <c r="C148" s="68">
        <v>21810287212</v>
      </c>
      <c r="D148" s="68">
        <v>19265197011</v>
      </c>
      <c r="E148" s="68">
        <v>0</v>
      </c>
      <c r="F148" s="68">
        <v>0</v>
      </c>
      <c r="G148" s="68">
        <v>0</v>
      </c>
      <c r="H148" s="68">
        <v>0</v>
      </c>
      <c r="I148" s="68">
        <v>0</v>
      </c>
      <c r="J148" s="68">
        <v>5849737</v>
      </c>
      <c r="K148" s="68">
        <v>3156</v>
      </c>
      <c r="L148" s="68">
        <v>21810287212</v>
      </c>
      <c r="M148" s="68">
        <v>18319060490</v>
      </c>
      <c r="N148" s="69">
        <v>4.2957024141473399E-3</v>
      </c>
    </row>
    <row r="149" spans="1:14" x14ac:dyDescent="0.4">
      <c r="A149" s="68" t="s">
        <v>282</v>
      </c>
      <c r="B149" s="68">
        <v>10684873</v>
      </c>
      <c r="C149" s="68">
        <v>20039466760</v>
      </c>
      <c r="D149" s="68">
        <v>26590515561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10684873</v>
      </c>
      <c r="K149" s="68">
        <v>2407</v>
      </c>
      <c r="L149" s="68">
        <v>20039466760</v>
      </c>
      <c r="M149" s="68">
        <v>25519685389</v>
      </c>
      <c r="N149" s="69">
        <v>5.9842028576547321E-3</v>
      </c>
    </row>
    <row r="150" spans="1:14" x14ac:dyDescent="0.4">
      <c r="A150" s="68" t="s">
        <v>196</v>
      </c>
      <c r="B150" s="68">
        <v>14665640</v>
      </c>
      <c r="C150" s="68">
        <v>58088272889</v>
      </c>
      <c r="D150" s="68">
        <v>54381850191</v>
      </c>
      <c r="E150" s="68">
        <v>0</v>
      </c>
      <c r="F150" s="68">
        <v>0</v>
      </c>
      <c r="G150" s="68">
        <v>0</v>
      </c>
      <c r="H150" s="68">
        <v>0</v>
      </c>
      <c r="I150" s="68">
        <v>0</v>
      </c>
      <c r="J150" s="68">
        <v>14665640</v>
      </c>
      <c r="K150" s="68">
        <v>3542</v>
      </c>
      <c r="L150" s="68">
        <v>58088272889</v>
      </c>
      <c r="M150" s="68">
        <v>51544156643</v>
      </c>
      <c r="N150" s="69">
        <v>1.2086774769229649E-2</v>
      </c>
    </row>
    <row r="151" spans="1:14" x14ac:dyDescent="0.4">
      <c r="A151" s="68" t="s">
        <v>218</v>
      </c>
      <c r="B151" s="68">
        <v>21893355</v>
      </c>
      <c r="C151" s="68">
        <v>31647249596</v>
      </c>
      <c r="D151" s="68">
        <v>28024113982</v>
      </c>
      <c r="E151" s="68">
        <v>0</v>
      </c>
      <c r="F151" s="68">
        <v>0</v>
      </c>
      <c r="G151" s="68">
        <v>0</v>
      </c>
      <c r="H151" s="68">
        <v>0</v>
      </c>
      <c r="I151" s="68">
        <v>0</v>
      </c>
      <c r="J151" s="68">
        <v>21893355</v>
      </c>
      <c r="K151" s="68">
        <v>1225</v>
      </c>
      <c r="L151" s="68">
        <v>31647249596</v>
      </c>
      <c r="M151" s="68">
        <v>26612046223</v>
      </c>
      <c r="N151" s="69">
        <v>6.2403544804028157E-3</v>
      </c>
    </row>
    <row r="152" spans="1:14" x14ac:dyDescent="0.4">
      <c r="A152" s="68" t="s">
        <v>317</v>
      </c>
      <c r="B152" s="68">
        <v>3740260</v>
      </c>
      <c r="C152" s="68">
        <v>30938624257</v>
      </c>
      <c r="D152" s="68">
        <v>26424796266</v>
      </c>
      <c r="E152" s="68">
        <v>0</v>
      </c>
      <c r="F152" s="68">
        <v>0</v>
      </c>
      <c r="G152" s="68">
        <v>0</v>
      </c>
      <c r="H152" s="68">
        <v>400000</v>
      </c>
      <c r="I152" s="68">
        <v>2711790177</v>
      </c>
      <c r="J152" s="68">
        <v>3340260</v>
      </c>
      <c r="K152" s="68">
        <v>7500</v>
      </c>
      <c r="L152" s="68">
        <v>27629910504</v>
      </c>
      <c r="M152" s="68">
        <v>24858298426</v>
      </c>
      <c r="N152" s="69">
        <v>5.8291118487465189E-3</v>
      </c>
    </row>
    <row r="153" spans="1:14" x14ac:dyDescent="0.4">
      <c r="A153" s="68" t="s">
        <v>228</v>
      </c>
      <c r="B153" s="68">
        <v>862852</v>
      </c>
      <c r="C153" s="68">
        <v>7777212626</v>
      </c>
      <c r="D153" s="68">
        <v>10984817036</v>
      </c>
      <c r="E153" s="68">
        <v>0</v>
      </c>
      <c r="F153" s="68">
        <v>0</v>
      </c>
      <c r="G153" s="68">
        <v>0</v>
      </c>
      <c r="H153" s="68">
        <v>0</v>
      </c>
      <c r="I153" s="68">
        <v>0</v>
      </c>
      <c r="J153" s="68">
        <v>862852</v>
      </c>
      <c r="K153" s="68">
        <v>13000</v>
      </c>
      <c r="L153" s="68">
        <v>7777212626</v>
      </c>
      <c r="M153" s="68">
        <v>11130368003</v>
      </c>
      <c r="N153" s="69">
        <v>2.6100000448677704E-3</v>
      </c>
    </row>
    <row r="154" spans="1:14" x14ac:dyDescent="0.4">
      <c r="A154" s="68" t="s">
        <v>224</v>
      </c>
      <c r="B154" s="68">
        <v>3684284</v>
      </c>
      <c r="C154" s="68">
        <v>28655611291</v>
      </c>
      <c r="D154" s="68">
        <v>29867922640</v>
      </c>
      <c r="E154" s="68">
        <v>0</v>
      </c>
      <c r="F154" s="68">
        <v>0</v>
      </c>
      <c r="G154" s="68">
        <v>0</v>
      </c>
      <c r="H154" s="68">
        <v>200000</v>
      </c>
      <c r="I154" s="68">
        <v>1595570179</v>
      </c>
      <c r="J154" s="68">
        <v>3484284</v>
      </c>
      <c r="K154" s="68">
        <v>8040</v>
      </c>
      <c r="L154" s="68">
        <v>27100051986</v>
      </c>
      <c r="M154" s="68">
        <v>27797097897</v>
      </c>
      <c r="N154" s="69">
        <v>6.5182415117639499E-3</v>
      </c>
    </row>
    <row r="155" spans="1:14" x14ac:dyDescent="0.4">
      <c r="A155" s="68" t="s">
        <v>259</v>
      </c>
      <c r="B155" s="68">
        <v>881085</v>
      </c>
      <c r="C155" s="68">
        <v>4430853957</v>
      </c>
      <c r="D155" s="68">
        <v>4808508171</v>
      </c>
      <c r="E155" s="68">
        <v>0</v>
      </c>
      <c r="F155" s="68">
        <v>0</v>
      </c>
      <c r="G155" s="68">
        <v>0</v>
      </c>
      <c r="H155" s="68">
        <v>0</v>
      </c>
      <c r="I155" s="68">
        <v>0</v>
      </c>
      <c r="J155" s="68">
        <v>881085</v>
      </c>
      <c r="K155" s="68">
        <v>4800</v>
      </c>
      <c r="L155" s="68">
        <v>4430853957</v>
      </c>
      <c r="M155" s="68">
        <v>4196516222</v>
      </c>
      <c r="N155" s="69">
        <v>9.8405618976444968E-4</v>
      </c>
    </row>
    <row r="156" spans="1:14" x14ac:dyDescent="0.4">
      <c r="A156" s="68" t="s">
        <v>487</v>
      </c>
      <c r="B156" s="68">
        <v>1321627</v>
      </c>
      <c r="C156" s="68">
        <v>5324651420</v>
      </c>
      <c r="D156" s="68">
        <v>5901348705</v>
      </c>
      <c r="E156" s="68">
        <v>0</v>
      </c>
      <c r="F156" s="68">
        <v>0</v>
      </c>
      <c r="G156" s="68">
        <v>0</v>
      </c>
      <c r="H156" s="68">
        <v>0</v>
      </c>
      <c r="I156" s="68">
        <v>0</v>
      </c>
      <c r="J156" s="68">
        <v>1321627</v>
      </c>
      <c r="K156" s="68">
        <v>3210</v>
      </c>
      <c r="L156" s="68">
        <v>5324651420</v>
      </c>
      <c r="M156" s="68">
        <v>4209628743</v>
      </c>
      <c r="N156" s="69">
        <v>9.8713099199822176E-4</v>
      </c>
    </row>
    <row r="157" spans="1:14" x14ac:dyDescent="0.4">
      <c r="A157" s="68" t="s">
        <v>297</v>
      </c>
      <c r="B157" s="68">
        <v>4568835</v>
      </c>
      <c r="C157" s="68">
        <v>29586333386</v>
      </c>
      <c r="D157" s="68">
        <v>28742503521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4568835</v>
      </c>
      <c r="K157" s="68">
        <v>6210</v>
      </c>
      <c r="L157" s="68">
        <v>29586333386</v>
      </c>
      <c r="M157" s="68">
        <v>28153146193</v>
      </c>
      <c r="N157" s="69">
        <v>6.6017325579076731E-3</v>
      </c>
    </row>
    <row r="158" spans="1:14" x14ac:dyDescent="0.4">
      <c r="A158" s="68" t="s">
        <v>471</v>
      </c>
      <c r="B158" s="68">
        <v>1764830</v>
      </c>
      <c r="C158" s="68">
        <v>16756051992</v>
      </c>
      <c r="D158" s="68">
        <v>20243731709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1764830</v>
      </c>
      <c r="K158" s="68">
        <v>10830</v>
      </c>
      <c r="L158" s="68">
        <v>16756051992</v>
      </c>
      <c r="M158" s="68">
        <v>18965364568</v>
      </c>
      <c r="N158" s="69">
        <v>4.4472565830772047E-3</v>
      </c>
    </row>
    <row r="159" spans="1:14" x14ac:dyDescent="0.4">
      <c r="A159" s="68" t="s">
        <v>347</v>
      </c>
      <c r="B159" s="68">
        <v>3600000</v>
      </c>
      <c r="C159" s="68">
        <v>19417906724</v>
      </c>
      <c r="D159" s="68">
        <v>23219118000</v>
      </c>
      <c r="E159" s="68">
        <v>0</v>
      </c>
      <c r="F159" s="68">
        <v>0</v>
      </c>
      <c r="G159" s="68">
        <v>0</v>
      </c>
      <c r="H159" s="68">
        <v>0</v>
      </c>
      <c r="I159" s="68">
        <v>0</v>
      </c>
      <c r="J159" s="68">
        <v>3600000</v>
      </c>
      <c r="K159" s="68">
        <v>6340</v>
      </c>
      <c r="L159" s="68">
        <v>19417906724</v>
      </c>
      <c r="M159" s="68">
        <v>22647570480</v>
      </c>
      <c r="N159" s="69">
        <v>5.3107102975403749E-3</v>
      </c>
    </row>
    <row r="160" spans="1:14" x14ac:dyDescent="0.4">
      <c r="A160" s="68" t="s">
        <v>211</v>
      </c>
      <c r="B160" s="68">
        <v>6855522</v>
      </c>
      <c r="C160" s="68">
        <v>30339390761</v>
      </c>
      <c r="D160" s="68">
        <v>39386641839</v>
      </c>
      <c r="E160" s="68">
        <v>0</v>
      </c>
      <c r="F160" s="68">
        <v>0</v>
      </c>
      <c r="G160" s="68">
        <v>0</v>
      </c>
      <c r="H160" s="68">
        <v>114412</v>
      </c>
      <c r="I160" s="68">
        <v>619551260</v>
      </c>
      <c r="J160" s="68">
        <v>6741110</v>
      </c>
      <c r="K160" s="68">
        <v>5440</v>
      </c>
      <c r="L160" s="68">
        <v>29833055813</v>
      </c>
      <c r="M160" s="68">
        <v>36388166635</v>
      </c>
      <c r="N160" s="69">
        <v>8.5327921344925464E-3</v>
      </c>
    </row>
    <row r="161" spans="1:14" x14ac:dyDescent="0.4">
      <c r="A161" s="68" t="s">
        <v>273</v>
      </c>
      <c r="B161" s="68">
        <v>2141672</v>
      </c>
      <c r="C161" s="68">
        <v>4306799190</v>
      </c>
      <c r="D161" s="68">
        <v>12091915021</v>
      </c>
      <c r="E161" s="68">
        <v>0</v>
      </c>
      <c r="F161" s="68">
        <v>0</v>
      </c>
      <c r="G161" s="68">
        <v>0</v>
      </c>
      <c r="H161" s="68">
        <v>0</v>
      </c>
      <c r="I161" s="68">
        <v>0</v>
      </c>
      <c r="J161" s="68">
        <v>2141672</v>
      </c>
      <c r="K161" s="68">
        <v>5330</v>
      </c>
      <c r="L161" s="68">
        <v>4306799190</v>
      </c>
      <c r="M161" s="68">
        <v>11326872946</v>
      </c>
      <c r="N161" s="69">
        <v>2.6560791960610198E-3</v>
      </c>
    </row>
    <row r="162" spans="1:14" x14ac:dyDescent="0.4">
      <c r="A162" s="68" t="s">
        <v>270</v>
      </c>
      <c r="B162" s="68">
        <v>9904132</v>
      </c>
      <c r="C162" s="68">
        <v>13725154759</v>
      </c>
      <c r="D162" s="68">
        <v>14043601902</v>
      </c>
      <c r="E162" s="68">
        <v>0</v>
      </c>
      <c r="F162" s="68">
        <v>0</v>
      </c>
      <c r="G162" s="68">
        <v>0</v>
      </c>
      <c r="H162" s="68">
        <v>0</v>
      </c>
      <c r="I162" s="68">
        <v>0</v>
      </c>
      <c r="J162" s="68">
        <v>9904132</v>
      </c>
      <c r="K162" s="68">
        <v>1401</v>
      </c>
      <c r="L162" s="68">
        <v>13725154759</v>
      </c>
      <c r="M162" s="68">
        <v>13768429857</v>
      </c>
      <c r="N162" s="69">
        <v>3.2286086618917654E-3</v>
      </c>
    </row>
    <row r="163" spans="1:14" x14ac:dyDescent="0.4">
      <c r="A163" s="68" t="s">
        <v>229</v>
      </c>
      <c r="B163" s="68">
        <v>2451893</v>
      </c>
      <c r="C163" s="68">
        <v>14817650768</v>
      </c>
      <c r="D163" s="68">
        <v>13527145661</v>
      </c>
      <c r="E163" s="68">
        <v>0</v>
      </c>
      <c r="F163" s="68">
        <v>0</v>
      </c>
      <c r="G163" s="68">
        <v>0</v>
      </c>
      <c r="H163" s="68">
        <v>0</v>
      </c>
      <c r="I163" s="68">
        <v>0</v>
      </c>
      <c r="J163" s="68">
        <v>2451893</v>
      </c>
      <c r="K163" s="68">
        <v>5750</v>
      </c>
      <c r="L163" s="68">
        <v>14817650768</v>
      </c>
      <c r="M163" s="68">
        <v>13989404236</v>
      </c>
      <c r="N163" s="69">
        <v>3.2804257391841943E-3</v>
      </c>
    </row>
    <row r="164" spans="1:14" x14ac:dyDescent="0.4">
      <c r="A164" s="68" t="s">
        <v>206</v>
      </c>
      <c r="B164" s="68">
        <v>3867933</v>
      </c>
      <c r="C164" s="68">
        <v>17834505839</v>
      </c>
      <c r="D164" s="68">
        <v>25753207321</v>
      </c>
      <c r="E164" s="68">
        <v>0</v>
      </c>
      <c r="F164" s="68">
        <v>0</v>
      </c>
      <c r="G164" s="68">
        <v>0</v>
      </c>
      <c r="H164" s="68">
        <v>200000</v>
      </c>
      <c r="I164" s="68">
        <v>1270985901</v>
      </c>
      <c r="J164" s="68">
        <v>3667933</v>
      </c>
      <c r="K164" s="68">
        <v>6210</v>
      </c>
      <c r="L164" s="68">
        <v>16912333411</v>
      </c>
      <c r="M164" s="68">
        <v>22601791042</v>
      </c>
      <c r="N164" s="69">
        <v>5.2999753123896759E-3</v>
      </c>
    </row>
    <row r="165" spans="1:14" x14ac:dyDescent="0.4">
      <c r="A165" s="68" t="s">
        <v>441</v>
      </c>
      <c r="B165" s="68">
        <v>267500</v>
      </c>
      <c r="C165" s="68">
        <v>7375699925</v>
      </c>
      <c r="D165" s="68">
        <v>10245683885</v>
      </c>
      <c r="E165" s="68">
        <v>0</v>
      </c>
      <c r="F165" s="68">
        <v>0</v>
      </c>
      <c r="G165" s="68">
        <v>0</v>
      </c>
      <c r="H165" s="68">
        <v>0</v>
      </c>
      <c r="I165" s="68">
        <v>0</v>
      </c>
      <c r="J165" s="68">
        <v>267500</v>
      </c>
      <c r="K165" s="68">
        <v>37850</v>
      </c>
      <c r="L165" s="68">
        <v>7375699925</v>
      </c>
      <c r="M165" s="68">
        <v>10046609716</v>
      </c>
      <c r="N165" s="69">
        <v>2.3558656643213756E-3</v>
      </c>
    </row>
    <row r="166" spans="1:14" x14ac:dyDescent="0.4">
      <c r="A166" s="68" t="s">
        <v>333</v>
      </c>
      <c r="B166" s="68">
        <v>5918151</v>
      </c>
      <c r="C166" s="68">
        <v>21522757191</v>
      </c>
      <c r="D166" s="68">
        <v>24435071766</v>
      </c>
      <c r="E166" s="68">
        <v>0</v>
      </c>
      <c r="F166" s="68">
        <v>0</v>
      </c>
      <c r="G166" s="68">
        <v>0</v>
      </c>
      <c r="H166" s="68">
        <v>800000</v>
      </c>
      <c r="I166" s="68">
        <v>3084769012</v>
      </c>
      <c r="J166" s="68">
        <v>5118151</v>
      </c>
      <c r="K166" s="68">
        <v>3946</v>
      </c>
      <c r="L166" s="68">
        <v>18613367797</v>
      </c>
      <c r="M166" s="68">
        <v>20040107036</v>
      </c>
      <c r="N166" s="69">
        <v>4.6992768117835003E-3</v>
      </c>
    </row>
    <row r="167" spans="1:14" x14ac:dyDescent="0.4">
      <c r="A167" s="68" t="s">
        <v>291</v>
      </c>
      <c r="B167" s="68">
        <v>1256499</v>
      </c>
      <c r="C167" s="68">
        <v>8314819804</v>
      </c>
      <c r="D167" s="68">
        <v>8166450021</v>
      </c>
      <c r="E167" s="68">
        <v>0</v>
      </c>
      <c r="F167" s="68">
        <v>0</v>
      </c>
      <c r="G167" s="68">
        <v>0</v>
      </c>
      <c r="H167" s="68">
        <v>0</v>
      </c>
      <c r="I167" s="68">
        <v>0</v>
      </c>
      <c r="J167" s="68">
        <v>1256499</v>
      </c>
      <c r="K167" s="68">
        <v>6120</v>
      </c>
      <c r="L167" s="68">
        <v>8314819804</v>
      </c>
      <c r="M167" s="68">
        <v>7630331928</v>
      </c>
      <c r="N167" s="69">
        <v>1.7892639910080414E-3</v>
      </c>
    </row>
    <row r="168" spans="1:14" x14ac:dyDescent="0.4">
      <c r="A168" s="68" t="s">
        <v>413</v>
      </c>
      <c r="B168" s="68">
        <v>700000</v>
      </c>
      <c r="C168" s="68">
        <v>9143294580</v>
      </c>
      <c r="D168" s="68">
        <v>12447034880</v>
      </c>
      <c r="E168" s="68">
        <v>0</v>
      </c>
      <c r="F168" s="68">
        <v>0</v>
      </c>
      <c r="G168" s="68">
        <v>0</v>
      </c>
      <c r="H168" s="68">
        <v>0</v>
      </c>
      <c r="I168" s="68">
        <v>0</v>
      </c>
      <c r="J168" s="68">
        <v>700000</v>
      </c>
      <c r="K168" s="68">
        <v>17340</v>
      </c>
      <c r="L168" s="68">
        <v>9143294580</v>
      </c>
      <c r="M168" s="68">
        <v>12044173260</v>
      </c>
      <c r="N168" s="69">
        <v>2.8242815278454727E-3</v>
      </c>
    </row>
    <row r="169" spans="1:14" x14ac:dyDescent="0.4">
      <c r="A169" s="68" t="s">
        <v>283</v>
      </c>
      <c r="B169" s="68">
        <v>9226316</v>
      </c>
      <c r="C169" s="68">
        <v>43977744933</v>
      </c>
      <c r="D169" s="68">
        <v>32033333024</v>
      </c>
      <c r="E169" s="68">
        <v>0</v>
      </c>
      <c r="F169" s="68">
        <v>0</v>
      </c>
      <c r="G169" s="68">
        <v>0</v>
      </c>
      <c r="H169" s="68">
        <v>1246954</v>
      </c>
      <c r="I169" s="68">
        <v>4028644212</v>
      </c>
      <c r="J169" s="68">
        <v>7979362</v>
      </c>
      <c r="K169" s="68">
        <v>3315</v>
      </c>
      <c r="L169" s="68">
        <v>38034069803</v>
      </c>
      <c r="M169" s="68">
        <v>26247114278</v>
      </c>
      <c r="N169" s="69">
        <v>6.1547802754378976E-3</v>
      </c>
    </row>
    <row r="170" spans="1:14" x14ac:dyDescent="0.4">
      <c r="A170" s="68" t="s">
        <v>208</v>
      </c>
      <c r="B170" s="68">
        <v>1293618</v>
      </c>
      <c r="C170" s="68">
        <v>9058195859</v>
      </c>
      <c r="D170" s="68">
        <v>17380192227</v>
      </c>
      <c r="E170" s="68">
        <v>0</v>
      </c>
      <c r="F170" s="68">
        <v>0</v>
      </c>
      <c r="G170" s="68">
        <v>0</v>
      </c>
      <c r="H170" s="68">
        <v>0</v>
      </c>
      <c r="I170" s="68">
        <v>0</v>
      </c>
      <c r="J170" s="68">
        <v>1293618</v>
      </c>
      <c r="K170" s="68">
        <v>13700</v>
      </c>
      <c r="L170" s="68">
        <v>9058195859</v>
      </c>
      <c r="M170" s="68">
        <v>17585571160</v>
      </c>
      <c r="N170" s="69">
        <v>4.1237038617460142E-3</v>
      </c>
    </row>
    <row r="171" spans="1:14" x14ac:dyDescent="0.4">
      <c r="A171" s="68" t="s">
        <v>171</v>
      </c>
      <c r="B171" s="68">
        <v>8154486</v>
      </c>
      <c r="C171" s="68">
        <v>41564406435</v>
      </c>
      <c r="D171" s="68">
        <v>40942746225</v>
      </c>
      <c r="E171" s="68">
        <v>0</v>
      </c>
      <c r="F171" s="68">
        <v>0</v>
      </c>
      <c r="G171" s="68">
        <v>0</v>
      </c>
      <c r="H171" s="68">
        <v>0</v>
      </c>
      <c r="I171" s="68">
        <v>0</v>
      </c>
      <c r="J171" s="68">
        <v>8154486</v>
      </c>
      <c r="K171" s="68">
        <v>4940</v>
      </c>
      <c r="L171" s="68">
        <v>41564406435</v>
      </c>
      <c r="M171" s="68">
        <v>39971772007</v>
      </c>
      <c r="N171" s="69">
        <v>9.3731246535240283E-3</v>
      </c>
    </row>
    <row r="172" spans="1:14" x14ac:dyDescent="0.4">
      <c r="A172" s="68" t="s">
        <v>279</v>
      </c>
      <c r="B172" s="68">
        <v>2470314</v>
      </c>
      <c r="C172" s="68">
        <v>12048248970</v>
      </c>
      <c r="D172" s="68">
        <v>19658772152</v>
      </c>
      <c r="E172" s="68">
        <v>0</v>
      </c>
      <c r="F172" s="68">
        <v>0</v>
      </c>
      <c r="G172" s="68">
        <v>0</v>
      </c>
      <c r="H172" s="68">
        <v>0</v>
      </c>
      <c r="I172" s="68">
        <v>0</v>
      </c>
      <c r="J172" s="68">
        <v>2470314</v>
      </c>
      <c r="K172" s="68">
        <v>7900</v>
      </c>
      <c r="L172" s="68">
        <v>12048248970</v>
      </c>
      <c r="M172" s="68">
        <v>19364625935</v>
      </c>
      <c r="N172" s="69">
        <v>4.5408808177389058E-3</v>
      </c>
    </row>
    <row r="173" spans="1:14" x14ac:dyDescent="0.4">
      <c r="A173" s="68" t="s">
        <v>170</v>
      </c>
      <c r="B173" s="68">
        <v>1483336</v>
      </c>
      <c r="C173" s="68">
        <v>3088990714</v>
      </c>
      <c r="D173" s="68">
        <v>4739420797</v>
      </c>
      <c r="E173" s="68">
        <v>0</v>
      </c>
      <c r="F173" s="68">
        <v>0</v>
      </c>
      <c r="G173" s="68">
        <v>0</v>
      </c>
      <c r="H173" s="68">
        <v>0</v>
      </c>
      <c r="I173" s="68">
        <v>0</v>
      </c>
      <c r="J173" s="68">
        <v>1483336</v>
      </c>
      <c r="K173" s="68">
        <v>3298</v>
      </c>
      <c r="L173" s="68">
        <v>3088990714</v>
      </c>
      <c r="M173" s="68">
        <v>4854226642</v>
      </c>
      <c r="N173" s="69">
        <v>1.1382850728748118E-3</v>
      </c>
    </row>
    <row r="174" spans="1:14" x14ac:dyDescent="0.4">
      <c r="A174" s="68" t="s">
        <v>351</v>
      </c>
      <c r="B174" s="68">
        <v>1086071</v>
      </c>
      <c r="C174" s="68">
        <v>14201676419</v>
      </c>
      <c r="D174" s="68">
        <v>20314186402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1086071</v>
      </c>
      <c r="K174" s="68">
        <v>18940</v>
      </c>
      <c r="L174" s="68">
        <v>14201676419</v>
      </c>
      <c r="M174" s="68">
        <v>20411177212</v>
      </c>
      <c r="N174" s="69">
        <v>4.7862903926235998E-3</v>
      </c>
    </row>
    <row r="175" spans="1:14" x14ac:dyDescent="0.4">
      <c r="A175" s="68" t="s">
        <v>266</v>
      </c>
      <c r="B175" s="68">
        <v>10955401</v>
      </c>
      <c r="C175" s="68">
        <v>34107851496</v>
      </c>
      <c r="D175" s="68">
        <v>26448451420</v>
      </c>
      <c r="E175" s="68">
        <v>0</v>
      </c>
      <c r="F175" s="68">
        <v>0</v>
      </c>
      <c r="G175" s="68">
        <v>0</v>
      </c>
      <c r="H175" s="68">
        <v>2800000</v>
      </c>
      <c r="I175" s="68">
        <v>6095996628</v>
      </c>
      <c r="J175" s="68">
        <v>8155401</v>
      </c>
      <c r="K175" s="68">
        <v>2192</v>
      </c>
      <c r="L175" s="68">
        <v>25390508864</v>
      </c>
      <c r="M175" s="68">
        <v>17738452573</v>
      </c>
      <c r="N175" s="69">
        <v>4.1595535744133674E-3</v>
      </c>
    </row>
    <row r="176" spans="1:14" x14ac:dyDescent="0.4">
      <c r="A176" s="68" t="s">
        <v>340</v>
      </c>
      <c r="B176" s="68">
        <v>15001572</v>
      </c>
      <c r="C176" s="68">
        <v>31538227521</v>
      </c>
      <c r="D176" s="68">
        <v>29815876526</v>
      </c>
      <c r="E176" s="68">
        <v>0</v>
      </c>
      <c r="F176" s="68">
        <v>0</v>
      </c>
      <c r="G176" s="68">
        <v>0</v>
      </c>
      <c r="H176" s="68">
        <v>0</v>
      </c>
      <c r="I176" s="68">
        <v>0</v>
      </c>
      <c r="J176" s="68">
        <v>15001572</v>
      </c>
      <c r="K176" s="68">
        <v>1962</v>
      </c>
      <c r="L176" s="68">
        <v>31538227521</v>
      </c>
      <c r="M176" s="68">
        <v>29205566523</v>
      </c>
      <c r="N176" s="69">
        <v>6.848518388149709E-3</v>
      </c>
    </row>
    <row r="177" spans="1:14" x14ac:dyDescent="0.4">
      <c r="A177" s="68" t="s">
        <v>418</v>
      </c>
      <c r="B177" s="68">
        <v>1145414</v>
      </c>
      <c r="C177" s="68">
        <v>14519339942</v>
      </c>
      <c r="D177" s="68">
        <v>14491139360</v>
      </c>
      <c r="E177" s="68">
        <v>0</v>
      </c>
      <c r="F177" s="68">
        <v>0</v>
      </c>
      <c r="G177" s="68">
        <v>0</v>
      </c>
      <c r="H177" s="68">
        <v>0</v>
      </c>
      <c r="I177" s="68">
        <v>0</v>
      </c>
      <c r="J177" s="68">
        <v>1145414</v>
      </c>
      <c r="K177" s="68">
        <v>12510</v>
      </c>
      <c r="L177" s="68">
        <v>14519339942</v>
      </c>
      <c r="M177" s="68">
        <v>14218364972</v>
      </c>
      <c r="N177" s="69">
        <v>3.3341155660678956E-3</v>
      </c>
    </row>
    <row r="178" spans="1:14" x14ac:dyDescent="0.4">
      <c r="A178" s="68" t="s">
        <v>286</v>
      </c>
      <c r="B178" s="68">
        <v>604777</v>
      </c>
      <c r="C178" s="68">
        <v>37513468883</v>
      </c>
      <c r="D178" s="68">
        <v>32615547710</v>
      </c>
      <c r="E178" s="68">
        <v>0</v>
      </c>
      <c r="F178" s="68">
        <v>0</v>
      </c>
      <c r="G178" s="68">
        <v>0</v>
      </c>
      <c r="H178" s="68">
        <v>9902</v>
      </c>
      <c r="I178" s="68">
        <v>507976156</v>
      </c>
      <c r="J178" s="68">
        <v>594875</v>
      </c>
      <c r="K178" s="68">
        <v>51000</v>
      </c>
      <c r="L178" s="68">
        <v>36899261714</v>
      </c>
      <c r="M178" s="68">
        <v>30104107429</v>
      </c>
      <c r="N178" s="69">
        <v>7.0592204785337306E-3</v>
      </c>
    </row>
    <row r="179" spans="1:14" x14ac:dyDescent="0.4">
      <c r="A179" s="68" t="s">
        <v>355</v>
      </c>
      <c r="B179" s="68">
        <v>795841</v>
      </c>
      <c r="C179" s="68">
        <v>15363300834</v>
      </c>
      <c r="D179" s="68">
        <v>15004093832</v>
      </c>
      <c r="E179" s="68">
        <v>0</v>
      </c>
      <c r="F179" s="68">
        <v>0</v>
      </c>
      <c r="G179" s="68">
        <v>0</v>
      </c>
      <c r="H179" s="68">
        <v>0</v>
      </c>
      <c r="I179" s="68">
        <v>0</v>
      </c>
      <c r="J179" s="68">
        <v>795841</v>
      </c>
      <c r="K179" s="68">
        <v>18400</v>
      </c>
      <c r="L179" s="68">
        <v>15363300834</v>
      </c>
      <c r="M179" s="68">
        <v>14530280343</v>
      </c>
      <c r="N179" s="69">
        <v>3.4072577238191508E-3</v>
      </c>
    </row>
    <row r="180" spans="1:14" x14ac:dyDescent="0.4">
      <c r="A180" s="68" t="s">
        <v>348</v>
      </c>
      <c r="B180" s="68">
        <v>823913</v>
      </c>
      <c r="C180" s="68">
        <v>30504580998</v>
      </c>
      <c r="D180" s="68">
        <v>30682432044</v>
      </c>
      <c r="E180" s="68">
        <v>0</v>
      </c>
      <c r="F180" s="68">
        <v>0</v>
      </c>
      <c r="G180" s="68">
        <v>0</v>
      </c>
      <c r="H180" s="68">
        <v>300000</v>
      </c>
      <c r="I180" s="68">
        <v>11520112698</v>
      </c>
      <c r="J180" s="68">
        <v>523913</v>
      </c>
      <c r="K180" s="68">
        <v>41270</v>
      </c>
      <c r="L180" s="68">
        <v>19397371500</v>
      </c>
      <c r="M180" s="68">
        <v>21454752304</v>
      </c>
      <c r="N180" s="69">
        <v>5.031002071178051E-3</v>
      </c>
    </row>
    <row r="181" spans="1:14" x14ac:dyDescent="0.4">
      <c r="A181" s="68" t="s">
        <v>350</v>
      </c>
      <c r="B181" s="68">
        <v>10334418</v>
      </c>
      <c r="C181" s="68">
        <v>36229972216</v>
      </c>
      <c r="D181" s="68">
        <v>33378504749</v>
      </c>
      <c r="E181" s="68">
        <v>0</v>
      </c>
      <c r="F181" s="68">
        <v>0</v>
      </c>
      <c r="G181" s="68">
        <v>0</v>
      </c>
      <c r="H181" s="68">
        <v>143742</v>
      </c>
      <c r="I181" s="68">
        <v>434168387</v>
      </c>
      <c r="J181" s="68">
        <v>10190676</v>
      </c>
      <c r="K181" s="68">
        <v>3111</v>
      </c>
      <c r="L181" s="68">
        <v>35726047499</v>
      </c>
      <c r="M181" s="68">
        <v>31458127354</v>
      </c>
      <c r="N181" s="69">
        <v>7.3767294830921898E-3</v>
      </c>
    </row>
    <row r="182" spans="1:14" x14ac:dyDescent="0.4">
      <c r="A182" s="68" t="s">
        <v>201</v>
      </c>
      <c r="B182" s="68">
        <v>1842980</v>
      </c>
      <c r="C182" s="68">
        <v>33172875317</v>
      </c>
      <c r="D182" s="68">
        <v>27851615235</v>
      </c>
      <c r="E182" s="68">
        <v>0</v>
      </c>
      <c r="F182" s="68">
        <v>0</v>
      </c>
      <c r="G182" s="68">
        <v>0</v>
      </c>
      <c r="H182" s="68">
        <v>0</v>
      </c>
      <c r="I182" s="68">
        <v>0</v>
      </c>
      <c r="J182" s="68">
        <v>1842980</v>
      </c>
      <c r="K182" s="68">
        <v>15260</v>
      </c>
      <c r="L182" s="68">
        <v>33172875317</v>
      </c>
      <c r="M182" s="68">
        <v>27906477248</v>
      </c>
      <c r="N182" s="69">
        <v>6.5438902693738202E-3</v>
      </c>
    </row>
    <row r="183" spans="1:14" x14ac:dyDescent="0.4">
      <c r="A183" s="68" t="s">
        <v>209</v>
      </c>
      <c r="B183" s="68">
        <v>3052977</v>
      </c>
      <c r="C183" s="68">
        <v>9377372255</v>
      </c>
      <c r="D183" s="68">
        <v>19175959498</v>
      </c>
      <c r="E183" s="68">
        <v>0</v>
      </c>
      <c r="F183" s="68">
        <v>0</v>
      </c>
      <c r="G183" s="68">
        <v>0</v>
      </c>
      <c r="H183" s="68">
        <v>0</v>
      </c>
      <c r="I183" s="68">
        <v>0</v>
      </c>
      <c r="J183" s="68">
        <v>3052977</v>
      </c>
      <c r="K183" s="68">
        <v>6150</v>
      </c>
      <c r="L183" s="68">
        <v>9377372255</v>
      </c>
      <c r="M183" s="68">
        <v>18630671550</v>
      </c>
      <c r="N183" s="69">
        <v>4.3687732129171633E-3</v>
      </c>
    </row>
    <row r="184" spans="1:14" x14ac:dyDescent="0.4">
      <c r="A184" s="68" t="s">
        <v>335</v>
      </c>
      <c r="B184" s="68">
        <v>4665617</v>
      </c>
      <c r="C184" s="68">
        <v>14386160455</v>
      </c>
      <c r="D184" s="68">
        <v>34906820426</v>
      </c>
      <c r="E184" s="68">
        <v>0</v>
      </c>
      <c r="F184" s="68">
        <v>0</v>
      </c>
      <c r="G184" s="68">
        <v>0</v>
      </c>
      <c r="H184" s="68">
        <v>0</v>
      </c>
      <c r="I184" s="68">
        <v>0</v>
      </c>
      <c r="J184" s="68">
        <v>4665617</v>
      </c>
      <c r="K184" s="68">
        <v>6940</v>
      </c>
      <c r="L184" s="68">
        <v>14386160455</v>
      </c>
      <c r="M184" s="68">
        <v>32129089357</v>
      </c>
      <c r="N184" s="69">
        <v>7.5340657775851087E-3</v>
      </c>
    </row>
    <row r="185" spans="1:14" x14ac:dyDescent="0.4">
      <c r="A185" s="68" t="s">
        <v>207</v>
      </c>
      <c r="B185" s="68">
        <v>1726440</v>
      </c>
      <c r="C185" s="68">
        <v>30613372268</v>
      </c>
      <c r="D185" s="68">
        <v>35067046847</v>
      </c>
      <c r="E185" s="68">
        <v>0</v>
      </c>
      <c r="F185" s="68">
        <v>0</v>
      </c>
      <c r="G185" s="68">
        <v>0</v>
      </c>
      <c r="H185" s="68">
        <v>0</v>
      </c>
      <c r="I185" s="68">
        <v>0</v>
      </c>
      <c r="J185" s="68">
        <v>1726440</v>
      </c>
      <c r="K185" s="68">
        <v>20230</v>
      </c>
      <c r="L185" s="68">
        <v>30613372268</v>
      </c>
      <c r="M185" s="68">
        <v>34655904138</v>
      </c>
      <c r="N185" s="69">
        <v>8.1265876681465878E-3</v>
      </c>
    </row>
    <row r="186" spans="1:14" x14ac:dyDescent="0.4">
      <c r="A186" s="68" t="s">
        <v>265</v>
      </c>
      <c r="B186" s="68">
        <v>935048</v>
      </c>
      <c r="C186" s="68">
        <v>17578663099</v>
      </c>
      <c r="D186" s="68">
        <v>25310931754</v>
      </c>
      <c r="E186" s="68">
        <v>0</v>
      </c>
      <c r="F186" s="68">
        <v>0</v>
      </c>
      <c r="G186" s="68">
        <v>0</v>
      </c>
      <c r="H186" s="68">
        <v>100000</v>
      </c>
      <c r="I186" s="68">
        <v>2566010226</v>
      </c>
      <c r="J186" s="68">
        <v>835048</v>
      </c>
      <c r="K186" s="68">
        <v>25900</v>
      </c>
      <c r="L186" s="68">
        <v>15698688691</v>
      </c>
      <c r="M186" s="68">
        <v>21460560745</v>
      </c>
      <c r="N186" s="69">
        <v>5.0323641134094061E-3</v>
      </c>
    </row>
    <row r="187" spans="1:14" x14ac:dyDescent="0.4">
      <c r="A187" s="68" t="s">
        <v>337</v>
      </c>
      <c r="B187" s="68">
        <v>3600000</v>
      </c>
      <c r="C187" s="68">
        <v>26137086840</v>
      </c>
      <c r="D187" s="68">
        <v>28934593200</v>
      </c>
      <c r="E187" s="68">
        <v>0</v>
      </c>
      <c r="F187" s="68">
        <v>0</v>
      </c>
      <c r="G187" s="68">
        <v>0</v>
      </c>
      <c r="H187" s="68">
        <v>109354</v>
      </c>
      <c r="I187" s="68">
        <v>855184533</v>
      </c>
      <c r="J187" s="68">
        <v>3490646</v>
      </c>
      <c r="K187" s="68">
        <v>8000</v>
      </c>
      <c r="L187" s="68">
        <v>25343143786</v>
      </c>
      <c r="M187" s="68">
        <v>27709306451</v>
      </c>
      <c r="N187" s="69">
        <v>6.497654979680083E-3</v>
      </c>
    </row>
    <row r="188" spans="1:14" x14ac:dyDescent="0.4">
      <c r="A188" s="68" t="s">
        <v>175</v>
      </c>
      <c r="B188" s="68">
        <v>275726</v>
      </c>
      <c r="C188" s="68">
        <v>7715656489</v>
      </c>
      <c r="D188" s="68">
        <v>6662029436</v>
      </c>
      <c r="E188" s="68">
        <v>0</v>
      </c>
      <c r="F188" s="68">
        <v>0</v>
      </c>
      <c r="G188" s="68">
        <v>0</v>
      </c>
      <c r="H188" s="68">
        <v>0</v>
      </c>
      <c r="I188" s="68">
        <v>0</v>
      </c>
      <c r="J188" s="68">
        <v>275726</v>
      </c>
      <c r="K188" s="68">
        <v>23300</v>
      </c>
      <c r="L188" s="68">
        <v>7715656489</v>
      </c>
      <c r="M188" s="68">
        <v>6374755066</v>
      </c>
      <c r="N188" s="69">
        <v>1.4948392545328718E-3</v>
      </c>
    </row>
    <row r="189" spans="1:14" x14ac:dyDescent="0.4">
      <c r="A189" s="68" t="s">
        <v>234</v>
      </c>
      <c r="B189" s="68">
        <v>487887</v>
      </c>
      <c r="C189" s="68">
        <v>9859579712</v>
      </c>
      <c r="D189" s="68">
        <v>13516508487</v>
      </c>
      <c r="E189" s="68">
        <v>0</v>
      </c>
      <c r="F189" s="68">
        <v>0</v>
      </c>
      <c r="G189" s="68">
        <v>0</v>
      </c>
      <c r="H189" s="68">
        <v>0</v>
      </c>
      <c r="I189" s="68">
        <v>0</v>
      </c>
      <c r="J189" s="68">
        <v>487887</v>
      </c>
      <c r="K189" s="68">
        <v>27010</v>
      </c>
      <c r="L189" s="68">
        <v>9859579712</v>
      </c>
      <c r="M189" s="68">
        <v>13075963261</v>
      </c>
      <c r="N189" s="69">
        <v>3.0662296780035155E-3</v>
      </c>
    </row>
    <row r="190" spans="1:14" x14ac:dyDescent="0.4">
      <c r="A190" s="68" t="s">
        <v>239</v>
      </c>
      <c r="B190" s="68">
        <v>1667558</v>
      </c>
      <c r="C190" s="68">
        <v>14118247862</v>
      </c>
      <c r="D190" s="68">
        <v>13088422113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1667558</v>
      </c>
      <c r="K190" s="68">
        <v>7120</v>
      </c>
      <c r="L190" s="68">
        <v>14118247862</v>
      </c>
      <c r="M190" s="68">
        <v>11781234570</v>
      </c>
      <c r="N190" s="69">
        <v>2.7626240882610404E-3</v>
      </c>
    </row>
    <row r="191" spans="1:14" x14ac:dyDescent="0.4">
      <c r="A191" s="68" t="s">
        <v>202</v>
      </c>
      <c r="B191" s="68">
        <v>5116431</v>
      </c>
      <c r="C191" s="68">
        <v>37383815268</v>
      </c>
      <c r="D191" s="68">
        <v>25643325872</v>
      </c>
      <c r="E191" s="68">
        <v>0</v>
      </c>
      <c r="F191" s="68">
        <v>0</v>
      </c>
      <c r="G191" s="68">
        <v>0</v>
      </c>
      <c r="H191" s="68">
        <v>0</v>
      </c>
      <c r="I191" s="68">
        <v>0</v>
      </c>
      <c r="J191" s="68">
        <v>5116431</v>
      </c>
      <c r="K191" s="68">
        <v>4650</v>
      </c>
      <c r="L191" s="68">
        <v>37383815268</v>
      </c>
      <c r="M191" s="68">
        <v>23607496596</v>
      </c>
      <c r="N191" s="69">
        <v>5.5358068267076458E-3</v>
      </c>
    </row>
    <row r="192" spans="1:14" x14ac:dyDescent="0.4">
      <c r="A192" s="68" t="s">
        <v>204</v>
      </c>
      <c r="B192" s="68">
        <v>828772</v>
      </c>
      <c r="C192" s="68">
        <v>16660714616</v>
      </c>
      <c r="D192" s="68">
        <v>13527913996</v>
      </c>
      <c r="E192" s="68">
        <v>0</v>
      </c>
      <c r="F192" s="68">
        <v>0</v>
      </c>
      <c r="G192" s="68">
        <v>0</v>
      </c>
      <c r="H192" s="68">
        <v>0</v>
      </c>
      <c r="I192" s="68">
        <v>0</v>
      </c>
      <c r="J192" s="68">
        <v>828772</v>
      </c>
      <c r="K192" s="68">
        <v>15480</v>
      </c>
      <c r="L192" s="68">
        <v>16660714616</v>
      </c>
      <c r="M192" s="68">
        <v>12730219371</v>
      </c>
      <c r="N192" s="69">
        <v>2.9851549491024107E-3</v>
      </c>
    </row>
    <row r="193" spans="1:14" x14ac:dyDescent="0.4">
      <c r="A193" s="68" t="s">
        <v>332</v>
      </c>
      <c r="B193" s="68">
        <v>4033345</v>
      </c>
      <c r="C193" s="68">
        <v>14222585282</v>
      </c>
      <c r="D193" s="68">
        <v>15744525935</v>
      </c>
      <c r="E193" s="68">
        <v>0</v>
      </c>
      <c r="F193" s="68">
        <v>0</v>
      </c>
      <c r="G193" s="68">
        <v>0</v>
      </c>
      <c r="H193" s="68">
        <v>0</v>
      </c>
      <c r="I193" s="68">
        <v>0</v>
      </c>
      <c r="J193" s="68">
        <v>4033345</v>
      </c>
      <c r="K193" s="68">
        <v>3647</v>
      </c>
      <c r="L193" s="68">
        <v>14222585282</v>
      </c>
      <c r="M193" s="68">
        <v>14595903936</v>
      </c>
      <c r="N193" s="69">
        <v>3.4226460362835921E-3</v>
      </c>
    </row>
    <row r="194" spans="1:14" x14ac:dyDescent="0.4">
      <c r="A194" s="68" t="s">
        <v>303</v>
      </c>
      <c r="B194" s="68">
        <v>2723567</v>
      </c>
      <c r="C194" s="68">
        <v>19009668439</v>
      </c>
      <c r="D194" s="68">
        <v>23998322785</v>
      </c>
      <c r="E194" s="68">
        <v>0</v>
      </c>
      <c r="F194" s="68">
        <v>0</v>
      </c>
      <c r="G194" s="68">
        <v>0</v>
      </c>
      <c r="H194" s="68">
        <v>0</v>
      </c>
      <c r="I194" s="68">
        <v>0</v>
      </c>
      <c r="J194" s="68">
        <v>2723567</v>
      </c>
      <c r="K194" s="68">
        <v>8240</v>
      </c>
      <c r="L194" s="68">
        <v>19009668439</v>
      </c>
      <c r="M194" s="68">
        <v>22268713935</v>
      </c>
      <c r="N194" s="69">
        <v>5.2218708630147664E-3</v>
      </c>
    </row>
    <row r="195" spans="1:14" x14ac:dyDescent="0.4">
      <c r="A195" s="68" t="s">
        <v>488</v>
      </c>
      <c r="B195" s="68">
        <v>3014987</v>
      </c>
      <c r="C195" s="68">
        <v>14987389690</v>
      </c>
      <c r="D195" s="68">
        <v>14264335726</v>
      </c>
      <c r="E195" s="68">
        <v>0</v>
      </c>
      <c r="F195" s="68">
        <v>0</v>
      </c>
      <c r="G195" s="68">
        <v>0</v>
      </c>
      <c r="H195" s="68">
        <v>0</v>
      </c>
      <c r="I195" s="68">
        <v>0</v>
      </c>
      <c r="J195" s="68">
        <v>3014987</v>
      </c>
      <c r="K195" s="68">
        <v>4946</v>
      </c>
      <c r="L195" s="68">
        <v>14987389690</v>
      </c>
      <c r="M195" s="68">
        <v>14796854970</v>
      </c>
      <c r="N195" s="69">
        <v>3.4697677673543761E-3</v>
      </c>
    </row>
    <row r="196" spans="1:14" x14ac:dyDescent="0.4">
      <c r="A196" s="68" t="s">
        <v>444</v>
      </c>
      <c r="B196" s="68">
        <v>2241424</v>
      </c>
      <c r="C196" s="68">
        <v>11616275685</v>
      </c>
      <c r="D196" s="68">
        <v>12121332969</v>
      </c>
      <c r="E196" s="68">
        <v>1931906</v>
      </c>
      <c r="F196" s="68">
        <v>0</v>
      </c>
      <c r="G196" s="68">
        <v>0</v>
      </c>
      <c r="H196" s="68">
        <v>0</v>
      </c>
      <c r="I196" s="68">
        <v>0</v>
      </c>
      <c r="J196" s="68">
        <v>4173330</v>
      </c>
      <c r="K196" s="68">
        <v>3115</v>
      </c>
      <c r="L196" s="68">
        <v>11616275685</v>
      </c>
      <c r="M196" s="68">
        <v>12899433546</v>
      </c>
      <c r="N196" s="69">
        <v>3.0248345899034357E-3</v>
      </c>
    </row>
    <row r="197" spans="1:14" x14ac:dyDescent="0.4">
      <c r="A197" s="68" t="s">
        <v>345</v>
      </c>
      <c r="B197" s="68">
        <v>2586957</v>
      </c>
      <c r="C197" s="68">
        <v>14869302601</v>
      </c>
      <c r="D197" s="68">
        <v>18174075543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2586957</v>
      </c>
      <c r="K197" s="68">
        <v>6630</v>
      </c>
      <c r="L197" s="68">
        <v>14869302601</v>
      </c>
      <c r="M197" s="68">
        <v>17018943622</v>
      </c>
      <c r="N197" s="69">
        <v>3.9908333313911594E-3</v>
      </c>
    </row>
    <row r="198" spans="1:14" x14ac:dyDescent="0.4">
      <c r="A198" s="68" t="s">
        <v>329</v>
      </c>
      <c r="B198" s="68">
        <v>7969322</v>
      </c>
      <c r="C198" s="68">
        <v>26169954207</v>
      </c>
      <c r="D198" s="68">
        <v>19769297852</v>
      </c>
      <c r="E198" s="68">
        <v>0</v>
      </c>
      <c r="F198" s="68">
        <v>0</v>
      </c>
      <c r="G198" s="68">
        <v>0</v>
      </c>
      <c r="H198" s="68">
        <v>0</v>
      </c>
      <c r="I198" s="68">
        <v>0</v>
      </c>
      <c r="J198" s="68">
        <v>7969322</v>
      </c>
      <c r="K198" s="68">
        <v>2510</v>
      </c>
      <c r="L198" s="68">
        <v>26169954207</v>
      </c>
      <c r="M198" s="68">
        <v>19848375044</v>
      </c>
      <c r="N198" s="69">
        <v>4.6543168870453689E-3</v>
      </c>
    </row>
    <row r="199" spans="1:14" x14ac:dyDescent="0.4">
      <c r="A199" s="68" t="s">
        <v>264</v>
      </c>
      <c r="B199" s="68">
        <v>506895</v>
      </c>
      <c r="C199" s="68">
        <v>23194524585</v>
      </c>
      <c r="D199" s="68">
        <v>20923830789</v>
      </c>
      <c r="E199" s="68">
        <v>0</v>
      </c>
      <c r="F199" s="68">
        <v>0</v>
      </c>
      <c r="G199" s="68">
        <v>0</v>
      </c>
      <c r="H199" s="68">
        <v>300000</v>
      </c>
      <c r="I199" s="68">
        <v>11580004584</v>
      </c>
      <c r="J199" s="68">
        <v>206895</v>
      </c>
      <c r="K199" s="68">
        <v>39340</v>
      </c>
      <c r="L199" s="68">
        <v>9467110869</v>
      </c>
      <c r="M199" s="68">
        <v>8076332903</v>
      </c>
      <c r="N199" s="69">
        <v>1.893848364538846E-3</v>
      </c>
    </row>
    <row r="200" spans="1:14" x14ac:dyDescent="0.4">
      <c r="A200" s="68" t="s">
        <v>324</v>
      </c>
      <c r="B200" s="68">
        <v>3683366</v>
      </c>
      <c r="C200" s="68">
        <v>10573465274</v>
      </c>
      <c r="D200" s="68">
        <v>20284659374</v>
      </c>
      <c r="E200" s="68">
        <v>0</v>
      </c>
      <c r="F200" s="68">
        <v>0</v>
      </c>
      <c r="G200" s="68">
        <v>0</v>
      </c>
      <c r="H200" s="68">
        <v>0</v>
      </c>
      <c r="I200" s="68">
        <v>0</v>
      </c>
      <c r="J200" s="68">
        <v>3683366</v>
      </c>
      <c r="K200" s="68">
        <v>5670</v>
      </c>
      <c r="L200" s="68">
        <v>10573465274</v>
      </c>
      <c r="M200" s="68">
        <v>20723246603</v>
      </c>
      <c r="N200" s="69">
        <v>4.8594686670788848E-3</v>
      </c>
    </row>
    <row r="201" spans="1:14" x14ac:dyDescent="0.4">
      <c r="A201" s="68" t="s">
        <v>231</v>
      </c>
      <c r="B201" s="68">
        <v>1132048</v>
      </c>
      <c r="C201" s="68">
        <v>27277643136</v>
      </c>
      <c r="D201" s="68">
        <v>31789312712</v>
      </c>
      <c r="E201" s="68">
        <v>0</v>
      </c>
      <c r="F201" s="68">
        <v>0</v>
      </c>
      <c r="G201" s="68">
        <v>0</v>
      </c>
      <c r="H201" s="68">
        <v>100000</v>
      </c>
      <c r="I201" s="68">
        <v>2634476880</v>
      </c>
      <c r="J201" s="68">
        <v>1032048</v>
      </c>
      <c r="K201" s="68">
        <v>26000</v>
      </c>
      <c r="L201" s="68">
        <v>24868059520</v>
      </c>
      <c r="M201" s="68">
        <v>26625826993</v>
      </c>
      <c r="N201" s="69">
        <v>6.2435859827492442E-3</v>
      </c>
    </row>
    <row r="202" spans="1:14" x14ac:dyDescent="0.4">
      <c r="A202" s="68" t="s">
        <v>177</v>
      </c>
      <c r="B202" s="68">
        <v>11191</v>
      </c>
      <c r="C202" s="68">
        <v>645142935</v>
      </c>
      <c r="D202" s="68">
        <v>519912389</v>
      </c>
      <c r="E202" s="68">
        <v>0</v>
      </c>
      <c r="F202" s="68">
        <v>0</v>
      </c>
      <c r="G202" s="68">
        <v>0</v>
      </c>
      <c r="H202" s="68">
        <v>11191</v>
      </c>
      <c r="I202" s="68">
        <v>482985592</v>
      </c>
      <c r="J202" s="68">
        <v>0</v>
      </c>
      <c r="K202" s="68">
        <v>0</v>
      </c>
      <c r="L202" s="68">
        <v>0</v>
      </c>
      <c r="M202" s="68">
        <v>0</v>
      </c>
      <c r="N202" s="69">
        <v>0</v>
      </c>
    </row>
    <row r="203" spans="1:14" x14ac:dyDescent="0.4">
      <c r="A203" s="68" t="s">
        <v>439</v>
      </c>
      <c r="B203" s="68">
        <v>938593</v>
      </c>
      <c r="C203" s="68">
        <v>36753852071</v>
      </c>
      <c r="D203" s="68">
        <v>36372461603</v>
      </c>
      <c r="E203" s="68">
        <v>0</v>
      </c>
      <c r="F203" s="68">
        <v>0</v>
      </c>
      <c r="G203" s="68">
        <v>0</v>
      </c>
      <c r="H203" s="68">
        <v>0</v>
      </c>
      <c r="I203" s="68">
        <v>0</v>
      </c>
      <c r="J203" s="68">
        <v>938593</v>
      </c>
      <c r="K203" s="68">
        <v>35760</v>
      </c>
      <c r="L203" s="68">
        <v>36753852071</v>
      </c>
      <c r="M203" s="68">
        <v>33304635298</v>
      </c>
      <c r="N203" s="69">
        <v>7.8097237754093636E-3</v>
      </c>
    </row>
    <row r="204" spans="1:14" x14ac:dyDescent="0.4">
      <c r="A204" s="68" t="s">
        <v>198</v>
      </c>
      <c r="B204" s="68">
        <v>995993</v>
      </c>
      <c r="C204" s="68">
        <v>30810848883</v>
      </c>
      <c r="D204" s="68">
        <v>35044904322</v>
      </c>
      <c r="E204" s="68">
        <v>0</v>
      </c>
      <c r="F204" s="68">
        <v>0</v>
      </c>
      <c r="G204" s="68">
        <v>0</v>
      </c>
      <c r="H204" s="68">
        <v>200000</v>
      </c>
      <c r="I204" s="68">
        <v>7020607651</v>
      </c>
      <c r="J204" s="68">
        <v>795993</v>
      </c>
      <c r="K204" s="68">
        <v>35830</v>
      </c>
      <c r="L204" s="68">
        <v>24623887954</v>
      </c>
      <c r="M204" s="68">
        <v>28299966272</v>
      </c>
      <c r="N204" s="69">
        <v>6.6361609265540829E-3</v>
      </c>
    </row>
    <row r="205" spans="1:14" x14ac:dyDescent="0.4">
      <c r="A205" s="68" t="s">
        <v>343</v>
      </c>
      <c r="B205" s="68">
        <v>392921</v>
      </c>
      <c r="C205" s="68">
        <v>15618857021</v>
      </c>
      <c r="D205" s="68">
        <v>17989234872</v>
      </c>
      <c r="E205" s="68">
        <v>0</v>
      </c>
      <c r="F205" s="68">
        <v>0</v>
      </c>
      <c r="G205" s="68">
        <v>0</v>
      </c>
      <c r="H205" s="68">
        <v>0</v>
      </c>
      <c r="I205" s="68">
        <v>0</v>
      </c>
      <c r="J205" s="68">
        <v>392921</v>
      </c>
      <c r="K205" s="68">
        <v>45600</v>
      </c>
      <c r="L205" s="68">
        <v>15618857021</v>
      </c>
      <c r="M205" s="68">
        <v>17778697663</v>
      </c>
      <c r="N205" s="69">
        <v>4.1689907903865852E-3</v>
      </c>
    </row>
    <row r="206" spans="1:14" x14ac:dyDescent="0.4">
      <c r="A206" s="68" t="s">
        <v>285</v>
      </c>
      <c r="B206" s="68">
        <v>48341</v>
      </c>
      <c r="C206" s="68">
        <v>13238121345</v>
      </c>
      <c r="D206" s="68">
        <v>25217861283</v>
      </c>
      <c r="E206" s="68">
        <v>0</v>
      </c>
      <c r="F206" s="68">
        <v>0</v>
      </c>
      <c r="G206" s="68">
        <v>0</v>
      </c>
      <c r="H206" s="68">
        <v>0</v>
      </c>
      <c r="I206" s="68">
        <v>0</v>
      </c>
      <c r="J206" s="68">
        <v>48341</v>
      </c>
      <c r="K206" s="68">
        <v>507320</v>
      </c>
      <c r="L206" s="68">
        <v>13238121345</v>
      </c>
      <c r="M206" s="68">
        <v>24334782847</v>
      </c>
      <c r="N206" s="69">
        <v>5.7063507967929188E-3</v>
      </c>
    </row>
    <row r="207" spans="1:14" x14ac:dyDescent="0.4">
      <c r="A207" s="68" t="s">
        <v>278</v>
      </c>
      <c r="B207" s="68">
        <v>1036013</v>
      </c>
      <c r="C207" s="68">
        <v>19148983815</v>
      </c>
      <c r="D207" s="68">
        <v>20220850866</v>
      </c>
      <c r="E207" s="68">
        <v>0</v>
      </c>
      <c r="F207" s="68">
        <v>0</v>
      </c>
      <c r="G207" s="68">
        <v>0</v>
      </c>
      <c r="H207" s="68">
        <v>0</v>
      </c>
      <c r="I207" s="68">
        <v>0</v>
      </c>
      <c r="J207" s="68">
        <v>1036013</v>
      </c>
      <c r="K207" s="68">
        <v>18970</v>
      </c>
      <c r="L207" s="68">
        <v>19148983815</v>
      </c>
      <c r="M207" s="68">
        <v>19501247632</v>
      </c>
      <c r="N207" s="69">
        <v>4.5729177310919779E-3</v>
      </c>
    </row>
    <row r="208" spans="1:14" x14ac:dyDescent="0.4">
      <c r="A208" s="68" t="s">
        <v>261</v>
      </c>
      <c r="B208" s="68">
        <v>4658472</v>
      </c>
      <c r="C208" s="68">
        <v>22952966108</v>
      </c>
      <c r="D208" s="68">
        <v>26856504286</v>
      </c>
      <c r="E208" s="68">
        <v>733277</v>
      </c>
      <c r="F208" s="68">
        <v>0</v>
      </c>
      <c r="G208" s="68">
        <v>0</v>
      </c>
      <c r="H208" s="68">
        <v>0</v>
      </c>
      <c r="I208" s="68">
        <v>0</v>
      </c>
      <c r="J208" s="68">
        <v>5391749</v>
      </c>
      <c r="K208" s="68">
        <v>5840</v>
      </c>
      <c r="L208" s="68">
        <v>26565928068</v>
      </c>
      <c r="M208" s="68">
        <v>31244413357</v>
      </c>
      <c r="N208" s="69">
        <v>7.3266149189009141E-3</v>
      </c>
    </row>
    <row r="209" spans="1:14" x14ac:dyDescent="0.4">
      <c r="A209" s="68" t="s">
        <v>490</v>
      </c>
      <c r="B209" s="68">
        <v>733277</v>
      </c>
      <c r="C209" s="68">
        <v>2879684960</v>
      </c>
      <c r="D209" s="68">
        <v>3248045544</v>
      </c>
      <c r="E209" s="68">
        <v>-733277</v>
      </c>
      <c r="F209" s="68">
        <v>0</v>
      </c>
      <c r="G209" s="68">
        <v>0</v>
      </c>
      <c r="H209" s="68">
        <v>0</v>
      </c>
      <c r="I209" s="68">
        <v>0</v>
      </c>
      <c r="J209" s="68">
        <v>0</v>
      </c>
      <c r="K209" s="68">
        <v>0</v>
      </c>
      <c r="L209" s="68">
        <v>0</v>
      </c>
      <c r="M209" s="68">
        <v>0</v>
      </c>
      <c r="N209" s="69">
        <v>0</v>
      </c>
    </row>
    <row r="210" spans="1:14" x14ac:dyDescent="0.4">
      <c r="A210" s="68" t="s">
        <v>349</v>
      </c>
      <c r="B210" s="68">
        <v>14595002</v>
      </c>
      <c r="C210" s="68">
        <v>39223501330</v>
      </c>
      <c r="D210" s="68">
        <v>41549381978</v>
      </c>
      <c r="E210" s="68">
        <v>0</v>
      </c>
      <c r="F210" s="68">
        <v>0</v>
      </c>
      <c r="G210" s="68">
        <v>0</v>
      </c>
      <c r="H210" s="68">
        <v>0</v>
      </c>
      <c r="I210" s="68">
        <v>0</v>
      </c>
      <c r="J210" s="68">
        <v>14595002</v>
      </c>
      <c r="K210" s="68">
        <v>2692</v>
      </c>
      <c r="L210" s="68">
        <v>39223501330</v>
      </c>
      <c r="M210" s="68">
        <v>38986035652</v>
      </c>
      <c r="N210" s="69">
        <v>9.1419757885373223E-3</v>
      </c>
    </row>
    <row r="211" spans="1:14" x14ac:dyDescent="0.4">
      <c r="A211" s="68" t="s">
        <v>313</v>
      </c>
      <c r="B211" s="68">
        <v>5272036</v>
      </c>
      <c r="C211" s="68">
        <v>46811533754</v>
      </c>
      <c r="D211" s="68">
        <v>55556227177</v>
      </c>
      <c r="E211" s="68">
        <v>0</v>
      </c>
      <c r="F211" s="68">
        <v>0</v>
      </c>
      <c r="G211" s="68">
        <v>0</v>
      </c>
      <c r="H211" s="68">
        <v>903324</v>
      </c>
      <c r="I211" s="68">
        <v>8822771871</v>
      </c>
      <c r="J211" s="68">
        <v>4368712</v>
      </c>
      <c r="K211" s="68">
        <v>10010</v>
      </c>
      <c r="L211" s="68">
        <v>38790727008</v>
      </c>
      <c r="M211" s="68">
        <v>43392767981</v>
      </c>
      <c r="N211" s="69">
        <v>1.0175326309680037E-2</v>
      </c>
    </row>
    <row r="212" spans="1:14" x14ac:dyDescent="0.4">
      <c r="A212" s="68" t="s">
        <v>426</v>
      </c>
      <c r="B212" s="68">
        <v>450000</v>
      </c>
      <c r="C212" s="68">
        <v>2252043000</v>
      </c>
      <c r="D212" s="68">
        <v>4983179940</v>
      </c>
      <c r="E212" s="68">
        <v>0</v>
      </c>
      <c r="F212" s="68">
        <v>0</v>
      </c>
      <c r="G212" s="68">
        <v>0</v>
      </c>
      <c r="H212" s="68">
        <v>0</v>
      </c>
      <c r="I212" s="68">
        <v>0</v>
      </c>
      <c r="J212" s="68">
        <v>450000</v>
      </c>
      <c r="K212" s="68">
        <v>10590</v>
      </c>
      <c r="L212" s="68">
        <v>2252043000</v>
      </c>
      <c r="M212" s="68">
        <v>4728662685</v>
      </c>
      <c r="N212" s="69">
        <v>1.1088411287648377E-3</v>
      </c>
    </row>
    <row r="213" spans="1:14" x14ac:dyDescent="0.4">
      <c r="A213" s="68" t="s">
        <v>479</v>
      </c>
      <c r="B213" s="68">
        <v>1405716</v>
      </c>
      <c r="C213" s="68">
        <v>7977806216</v>
      </c>
      <c r="D213" s="68">
        <v>13348712733</v>
      </c>
      <c r="E213" s="68">
        <v>0</v>
      </c>
      <c r="F213" s="68">
        <v>0</v>
      </c>
      <c r="G213" s="68">
        <v>0</v>
      </c>
      <c r="H213" s="68">
        <v>0</v>
      </c>
      <c r="I213" s="68">
        <v>0</v>
      </c>
      <c r="J213" s="68">
        <v>1405716</v>
      </c>
      <c r="K213" s="68">
        <v>9500</v>
      </c>
      <c r="L213" s="68">
        <v>7977806216</v>
      </c>
      <c r="M213" s="68">
        <v>13251073246</v>
      </c>
      <c r="N213" s="69">
        <v>3.1072918485070969E-3</v>
      </c>
    </row>
    <row r="214" spans="1:14" x14ac:dyDescent="0.4">
      <c r="A214" s="68" t="s">
        <v>311</v>
      </c>
      <c r="B214" s="68">
        <v>5658733</v>
      </c>
      <c r="C214" s="68">
        <v>21329982959</v>
      </c>
      <c r="D214" s="68">
        <v>19781613272</v>
      </c>
      <c r="E214" s="68">
        <v>0</v>
      </c>
      <c r="F214" s="68">
        <v>0</v>
      </c>
      <c r="G214" s="68">
        <v>0</v>
      </c>
      <c r="H214" s="68">
        <v>0</v>
      </c>
      <c r="I214" s="68">
        <v>0</v>
      </c>
      <c r="J214" s="68">
        <v>5658733</v>
      </c>
      <c r="K214" s="68">
        <v>3651</v>
      </c>
      <c r="L214" s="68">
        <v>21329982959</v>
      </c>
      <c r="M214" s="68">
        <v>20500332119</v>
      </c>
      <c r="N214" s="69">
        <v>4.8071966475836747E-3</v>
      </c>
    </row>
    <row r="215" spans="1:14" x14ac:dyDescent="0.4">
      <c r="A215" s="68" t="s">
        <v>427</v>
      </c>
      <c r="B215" s="68">
        <v>2024465</v>
      </c>
      <c r="C215" s="68">
        <v>16984113641</v>
      </c>
      <c r="D215" s="68">
        <v>18380665353</v>
      </c>
      <c r="E215" s="68">
        <v>0</v>
      </c>
      <c r="F215" s="68">
        <v>0</v>
      </c>
      <c r="G215" s="68">
        <v>0</v>
      </c>
      <c r="H215" s="68">
        <v>0</v>
      </c>
      <c r="I215" s="68">
        <v>0</v>
      </c>
      <c r="J215" s="68">
        <v>2024465</v>
      </c>
      <c r="K215" s="68">
        <v>7670</v>
      </c>
      <c r="L215" s="68">
        <v>16984113641</v>
      </c>
      <c r="M215" s="68">
        <v>15407617842</v>
      </c>
      <c r="N215" s="69">
        <v>3.6129877509967776E-3</v>
      </c>
    </row>
    <row r="216" spans="1:14" x14ac:dyDescent="0.4">
      <c r="A216" s="68" t="s">
        <v>429</v>
      </c>
      <c r="B216" s="68">
        <v>2192838</v>
      </c>
      <c r="C216" s="68">
        <v>16347830069</v>
      </c>
      <c r="D216" s="68">
        <v>22999129419</v>
      </c>
      <c r="E216" s="68">
        <v>0</v>
      </c>
      <c r="F216" s="68">
        <v>0</v>
      </c>
      <c r="G216" s="68">
        <v>0</v>
      </c>
      <c r="H216" s="68">
        <v>0</v>
      </c>
      <c r="I216" s="68">
        <v>0</v>
      </c>
      <c r="J216" s="68">
        <v>2192838</v>
      </c>
      <c r="K216" s="68">
        <v>9220</v>
      </c>
      <c r="L216" s="68">
        <v>16347830069</v>
      </c>
      <c r="M216" s="68">
        <v>20061681480</v>
      </c>
      <c r="N216" s="69">
        <v>4.7043358807911757E-3</v>
      </c>
    </row>
    <row r="217" spans="1:14" x14ac:dyDescent="0.4">
      <c r="A217" s="68" t="s">
        <v>269</v>
      </c>
      <c r="B217" s="68">
        <v>6511043</v>
      </c>
      <c r="C217" s="68">
        <v>26993462798</v>
      </c>
      <c r="D217" s="68">
        <v>26999318113</v>
      </c>
      <c r="E217" s="68">
        <v>0</v>
      </c>
      <c r="F217" s="68">
        <v>0</v>
      </c>
      <c r="G217" s="68">
        <v>0</v>
      </c>
      <c r="H217" s="68">
        <v>0</v>
      </c>
      <c r="I217" s="68">
        <v>0</v>
      </c>
      <c r="J217" s="68">
        <v>6511043</v>
      </c>
      <c r="K217" s="68">
        <v>4073</v>
      </c>
      <c r="L217" s="68">
        <v>26993462798</v>
      </c>
      <c r="M217" s="68">
        <v>26314482573</v>
      </c>
      <c r="N217" s="69">
        <v>6.1705777093525064E-3</v>
      </c>
    </row>
    <row r="218" spans="1:14" x14ac:dyDescent="0.4">
      <c r="A218" s="68" t="s">
        <v>326</v>
      </c>
      <c r="B218" s="68">
        <v>14136047</v>
      </c>
      <c r="C218" s="68">
        <v>38196317778</v>
      </c>
      <c r="D218" s="68">
        <v>35291366797</v>
      </c>
      <c r="E218" s="68">
        <v>0</v>
      </c>
      <c r="F218" s="68">
        <v>0</v>
      </c>
      <c r="G218" s="68">
        <v>0</v>
      </c>
      <c r="H218" s="68">
        <v>1023784</v>
      </c>
      <c r="I218" s="68">
        <v>2496380215</v>
      </c>
      <c r="J218" s="68">
        <v>13112263</v>
      </c>
      <c r="K218" s="68">
        <v>2485</v>
      </c>
      <c r="L218" s="68">
        <v>35430001353</v>
      </c>
      <c r="M218" s="68">
        <v>32332099439</v>
      </c>
      <c r="N218" s="69">
        <v>7.581670342230752E-3</v>
      </c>
    </row>
    <row r="219" spans="1:14" x14ac:dyDescent="0.4">
      <c r="A219" s="68" t="s">
        <v>432</v>
      </c>
      <c r="B219" s="68">
        <v>9752234</v>
      </c>
      <c r="C219" s="68">
        <v>13415884464</v>
      </c>
      <c r="D219" s="68">
        <v>14515273847</v>
      </c>
      <c r="E219" s="68">
        <v>0</v>
      </c>
      <c r="F219" s="68">
        <v>0</v>
      </c>
      <c r="G219" s="68">
        <v>0</v>
      </c>
      <c r="H219" s="68">
        <v>0</v>
      </c>
      <c r="I219" s="68">
        <v>0</v>
      </c>
      <c r="J219" s="68">
        <v>9752234</v>
      </c>
      <c r="K219" s="68">
        <v>1373</v>
      </c>
      <c r="L219" s="68">
        <v>13415884464</v>
      </c>
      <c r="M219" s="68">
        <v>13286313994</v>
      </c>
      <c r="N219" s="69">
        <v>3.1155555783169632E-3</v>
      </c>
    </row>
    <row r="220" spans="1:14" x14ac:dyDescent="0.4">
      <c r="A220" s="68" t="s">
        <v>491</v>
      </c>
      <c r="B220" s="68">
        <v>1500000</v>
      </c>
      <c r="C220" s="68">
        <v>12197164260</v>
      </c>
      <c r="D220" s="68">
        <v>14095195350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1500000</v>
      </c>
      <c r="K220" s="68">
        <v>8810</v>
      </c>
      <c r="L220" s="68">
        <v>12197164260</v>
      </c>
      <c r="M220" s="68">
        <v>13112848050</v>
      </c>
      <c r="N220" s="69">
        <v>3.0748789249034373E-3</v>
      </c>
    </row>
    <row r="221" spans="1:14" x14ac:dyDescent="0.4">
      <c r="A221" s="68" t="s">
        <v>316</v>
      </c>
      <c r="B221" s="68">
        <v>28959394</v>
      </c>
      <c r="C221" s="68">
        <v>36865890193</v>
      </c>
      <c r="D221" s="68">
        <v>30804496612</v>
      </c>
      <c r="E221" s="68">
        <v>0</v>
      </c>
      <c r="F221" s="68">
        <v>0</v>
      </c>
      <c r="G221" s="68">
        <v>0</v>
      </c>
      <c r="H221" s="68">
        <v>2046178</v>
      </c>
      <c r="I221" s="68">
        <v>2040521747</v>
      </c>
      <c r="J221" s="68">
        <v>26913216</v>
      </c>
      <c r="K221" s="68">
        <v>1005</v>
      </c>
      <c r="L221" s="68">
        <v>34261064503</v>
      </c>
      <c r="M221" s="68">
        <v>26838702725</v>
      </c>
      <c r="N221" s="69">
        <v>6.293503979164233E-3</v>
      </c>
    </row>
    <row r="222" spans="1:14" x14ac:dyDescent="0.4">
      <c r="A222" s="68" t="s">
        <v>254</v>
      </c>
      <c r="B222" s="68">
        <v>5200000</v>
      </c>
      <c r="C222" s="68">
        <v>17798536615</v>
      </c>
      <c r="D222" s="68">
        <v>15015029640</v>
      </c>
      <c r="E222" s="68">
        <v>0</v>
      </c>
      <c r="F222" s="68">
        <v>0</v>
      </c>
      <c r="G222" s="68">
        <v>0</v>
      </c>
      <c r="H222" s="68">
        <v>0</v>
      </c>
      <c r="I222" s="68">
        <v>0</v>
      </c>
      <c r="J222" s="68">
        <v>5200000</v>
      </c>
      <c r="K222" s="68">
        <v>2914</v>
      </c>
      <c r="L222" s="68">
        <v>17798536615</v>
      </c>
      <c r="M222" s="68">
        <v>15035668856</v>
      </c>
      <c r="N222" s="69">
        <v>3.5257680948374429E-3</v>
      </c>
    </row>
    <row r="223" spans="1:14" x14ac:dyDescent="0.4">
      <c r="A223" s="68" t="s">
        <v>221</v>
      </c>
      <c r="B223" s="68">
        <v>14442355</v>
      </c>
      <c r="C223" s="68">
        <v>30937209528</v>
      </c>
      <c r="D223" s="68">
        <v>29693242715</v>
      </c>
      <c r="E223" s="68">
        <v>0</v>
      </c>
      <c r="F223" s="68">
        <v>0</v>
      </c>
      <c r="G223" s="68">
        <v>0</v>
      </c>
      <c r="H223" s="68">
        <v>3200000</v>
      </c>
      <c r="I223" s="68">
        <v>6200384234</v>
      </c>
      <c r="J223" s="68">
        <v>11242355</v>
      </c>
      <c r="K223" s="68">
        <v>1995</v>
      </c>
      <c r="L223" s="68">
        <v>24082436155</v>
      </c>
      <c r="M223" s="68">
        <v>22255125934</v>
      </c>
      <c r="N223" s="69">
        <v>5.218684563764813E-3</v>
      </c>
    </row>
    <row r="224" spans="1:14" x14ac:dyDescent="0.4">
      <c r="A224" s="68" t="s">
        <v>249</v>
      </c>
      <c r="B224" s="68">
        <v>8335761</v>
      </c>
      <c r="C224" s="68">
        <v>29911313360</v>
      </c>
      <c r="D224" s="68">
        <v>24623736214</v>
      </c>
      <c r="E224" s="68">
        <v>0</v>
      </c>
      <c r="F224" s="68">
        <v>0</v>
      </c>
      <c r="G224" s="68">
        <v>0</v>
      </c>
      <c r="H224" s="68">
        <v>222789</v>
      </c>
      <c r="I224" s="68">
        <v>614495658</v>
      </c>
      <c r="J224" s="68">
        <v>8112972</v>
      </c>
      <c r="K224" s="68">
        <v>2850</v>
      </c>
      <c r="L224" s="68">
        <v>29111876861</v>
      </c>
      <c r="M224" s="68">
        <v>22943237370</v>
      </c>
      <c r="N224" s="69">
        <v>5.3800422905129269E-3</v>
      </c>
    </row>
    <row r="225" spans="1:14" ht="16.5" thickBot="1" x14ac:dyDescent="0.45">
      <c r="A225" s="68" t="s">
        <v>2</v>
      </c>
      <c r="B225" s="70">
        <f t="shared" ref="B225:J225" si="0">SUM(B10:B224)</f>
        <v>1221516596</v>
      </c>
      <c r="C225" s="70">
        <f t="shared" si="0"/>
        <v>4268666330307</v>
      </c>
      <c r="D225" s="70">
        <f t="shared" si="0"/>
        <v>4449045952907</v>
      </c>
      <c r="E225" s="70">
        <f t="shared" si="0"/>
        <v>4139651</v>
      </c>
      <c r="F225" s="70">
        <f t="shared" si="0"/>
        <v>0</v>
      </c>
      <c r="G225" s="70">
        <f t="shared" si="0"/>
        <v>0</v>
      </c>
      <c r="H225" s="70">
        <f t="shared" si="0"/>
        <v>59475514</v>
      </c>
      <c r="I225" s="70">
        <f t="shared" si="0"/>
        <v>155566116486</v>
      </c>
      <c r="J225" s="70">
        <f t="shared" si="0"/>
        <v>1166180733</v>
      </c>
      <c r="L225" s="70">
        <f>SUM(L10:L224)</f>
        <v>4094090938115</v>
      </c>
      <c r="M225" s="70">
        <f>SUM(M10:M224)</f>
        <v>4146422808542</v>
      </c>
      <c r="N225" s="71">
        <f>SUM(N10:N224)</f>
        <v>0.97230960498506802</v>
      </c>
    </row>
    <row r="226" spans="1:14" ht="16.5" thickTop="1" x14ac:dyDescent="0.4"/>
    <row r="228" spans="1:14" x14ac:dyDescent="0.4">
      <c r="M228" s="72"/>
    </row>
  </sheetData>
  <mergeCells count="19">
    <mergeCell ref="A1:N1"/>
    <mergeCell ref="A2:N2"/>
    <mergeCell ref="A3:N3"/>
    <mergeCell ref="A4:N4"/>
    <mergeCell ref="A5:N5"/>
    <mergeCell ref="B7:D7"/>
    <mergeCell ref="F7:I7"/>
    <mergeCell ref="J7:N7"/>
    <mergeCell ref="A8:A9"/>
    <mergeCell ref="B8:B9"/>
    <mergeCell ref="C8:C9"/>
    <mergeCell ref="M8:M9"/>
    <mergeCell ref="N8:N9"/>
    <mergeCell ref="H8:I8"/>
    <mergeCell ref="J8:J9"/>
    <mergeCell ref="K8:K9"/>
    <mergeCell ref="L8:L9"/>
    <mergeCell ref="E8:G8"/>
    <mergeCell ref="D8:D9"/>
  </mergeCells>
  <pageMargins left="0.7" right="0.7" top="0.75" bottom="0.75" header="0.3" footer="0.3"/>
  <pageSetup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rightToLeft="1" view="pageBreakPreview" zoomScale="85" zoomScaleNormal="100" zoomScaleSheetLayoutView="85" workbookViewId="0">
      <selection activeCell="S13" sqref="S13"/>
    </sheetView>
  </sheetViews>
  <sheetFormatPr defaultColWidth="9.140625" defaultRowHeight="15.75" x14ac:dyDescent="0.4"/>
  <cols>
    <col min="1" max="1" width="54.5703125" style="6" customWidth="1"/>
    <col min="2" max="2" width="22.5703125" style="6" customWidth="1"/>
    <col min="3" max="3" width="12" style="6" customWidth="1"/>
    <col min="4" max="4" width="11.5703125" style="6" customWidth="1"/>
    <col min="5" max="5" width="15" style="6" customWidth="1"/>
    <col min="6" max="6" width="12.5703125" style="6" customWidth="1"/>
    <col min="7" max="7" width="15.42578125" style="6" customWidth="1"/>
    <col min="8" max="8" width="17.5703125" style="6" customWidth="1"/>
    <col min="9" max="9" width="12.28515625" style="6" customWidth="1"/>
    <col min="10" max="10" width="12.42578125" style="6" customWidth="1"/>
    <col min="11" max="11" width="11.7109375" style="6" customWidth="1"/>
    <col min="12" max="12" width="15.140625" style="6" customWidth="1"/>
    <col min="13" max="13" width="15.85546875" style="6" customWidth="1"/>
    <col min="14" max="16384" width="9.140625" style="6"/>
  </cols>
  <sheetData>
    <row r="1" spans="1:13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</row>
    <row r="2" spans="1:13" ht="21" x14ac:dyDescent="0.55000000000000004">
      <c r="A2" s="104" t="s">
        <v>75</v>
      </c>
      <c r="B2" s="104"/>
      <c r="C2" s="104"/>
      <c r="D2" s="104"/>
      <c r="E2" s="104"/>
      <c r="F2" s="104"/>
      <c r="G2" s="104"/>
      <c r="H2" s="104"/>
      <c r="I2" s="104"/>
    </row>
    <row r="3" spans="1:13" ht="21.75" thickBot="1" x14ac:dyDescent="0.6">
      <c r="A3" s="104" t="s">
        <v>157</v>
      </c>
      <c r="B3" s="104"/>
      <c r="C3" s="104"/>
      <c r="D3" s="104"/>
      <c r="E3" s="104"/>
      <c r="F3" s="104"/>
      <c r="G3" s="104"/>
      <c r="H3" s="104"/>
      <c r="I3" s="104"/>
    </row>
    <row r="4" spans="1:13" ht="25.5" x14ac:dyDescent="0.4">
      <c r="A4" s="56" t="s">
        <v>77</v>
      </c>
      <c r="B4" s="56"/>
      <c r="C4" s="56"/>
      <c r="D4" s="56"/>
      <c r="E4" s="56"/>
      <c r="F4" s="56"/>
      <c r="G4" s="56"/>
      <c r="H4" s="56"/>
      <c r="I4" s="56"/>
    </row>
    <row r="5" spans="1:13" ht="16.5" thickBot="1" x14ac:dyDescent="0.45">
      <c r="A5" s="1"/>
      <c r="B5" s="3"/>
      <c r="C5" s="3"/>
      <c r="D5" s="3"/>
      <c r="E5" s="3"/>
    </row>
    <row r="6" spans="1:13" ht="16.5" thickBot="1" x14ac:dyDescent="0.45">
      <c r="A6" s="1"/>
      <c r="B6" s="106" t="s">
        <v>167</v>
      </c>
      <c r="C6" s="106"/>
      <c r="D6" s="106"/>
      <c r="E6" s="106"/>
      <c r="F6" s="106" t="s">
        <v>158</v>
      </c>
      <c r="G6" s="106"/>
      <c r="H6" s="106"/>
      <c r="I6" s="106"/>
    </row>
    <row r="7" spans="1:13" ht="16.5" thickBot="1" x14ac:dyDescent="0.45">
      <c r="A7" s="23" t="s">
        <v>40</v>
      </c>
      <c r="B7" s="23" t="s">
        <v>41</v>
      </c>
      <c r="C7" s="23" t="s">
        <v>42</v>
      </c>
      <c r="D7" s="23" t="s">
        <v>43</v>
      </c>
      <c r="E7" s="23" t="s">
        <v>44</v>
      </c>
      <c r="F7" s="23" t="s">
        <v>41</v>
      </c>
      <c r="G7" s="23" t="s">
        <v>42</v>
      </c>
      <c r="H7" s="23" t="s">
        <v>43</v>
      </c>
      <c r="I7" s="23" t="s">
        <v>44</v>
      </c>
    </row>
    <row r="8" spans="1:13" x14ac:dyDescent="0.4">
      <c r="A8" s="13"/>
      <c r="B8" s="15"/>
      <c r="C8" s="15"/>
      <c r="D8" s="14"/>
      <c r="E8" s="15"/>
      <c r="F8" s="15"/>
      <c r="G8" s="15"/>
      <c r="H8" s="14"/>
      <c r="I8" s="15"/>
    </row>
    <row r="9" spans="1:13" ht="21" x14ac:dyDescent="0.55000000000000004">
      <c r="A9" s="39"/>
      <c r="B9" s="39"/>
      <c r="C9" s="39"/>
      <c r="D9" s="39"/>
      <c r="E9" s="39"/>
      <c r="F9" s="39"/>
      <c r="G9" s="39"/>
      <c r="H9" s="39"/>
      <c r="I9" s="39"/>
    </row>
    <row r="10" spans="1:13" ht="25.5" x14ac:dyDescent="0.4">
      <c r="A10" s="24" t="s">
        <v>110</v>
      </c>
      <c r="B10" s="24"/>
      <c r="C10" s="24"/>
      <c r="D10" s="24"/>
      <c r="E10" s="24"/>
      <c r="F10" s="24"/>
      <c r="G10" s="24"/>
      <c r="H10" s="24"/>
      <c r="I10" s="24"/>
    </row>
    <row r="11" spans="1:13" ht="16.5" thickBot="1" x14ac:dyDescent="0.45">
      <c r="A11" s="1"/>
      <c r="B11" s="3"/>
      <c r="C11" s="3"/>
      <c r="D11" s="3"/>
      <c r="E11" s="3"/>
      <c r="F11" s="3"/>
      <c r="G11" s="3"/>
      <c r="H11" s="3"/>
    </row>
    <row r="12" spans="1:13" ht="18.600000000000001" customHeight="1" thickBot="1" x14ac:dyDescent="0.45">
      <c r="A12" s="1"/>
      <c r="B12" s="106" t="s">
        <v>167</v>
      </c>
      <c r="C12" s="106"/>
      <c r="D12" s="106"/>
      <c r="E12" s="106"/>
      <c r="F12" s="106"/>
      <c r="G12" s="106"/>
      <c r="H12" s="106" t="s">
        <v>158</v>
      </c>
      <c r="I12" s="106"/>
      <c r="J12" s="106"/>
      <c r="K12" s="106"/>
      <c r="L12" s="106"/>
      <c r="M12" s="106"/>
    </row>
    <row r="13" spans="1:13" ht="16.5" thickBot="1" x14ac:dyDescent="0.45">
      <c r="A13" s="23" t="s">
        <v>40</v>
      </c>
      <c r="B13" s="23" t="s">
        <v>112</v>
      </c>
      <c r="C13" s="23" t="s">
        <v>111</v>
      </c>
      <c r="D13" s="23" t="s">
        <v>113</v>
      </c>
      <c r="E13" s="23" t="s">
        <v>90</v>
      </c>
      <c r="F13" s="23" t="s">
        <v>42</v>
      </c>
      <c r="G13" s="23" t="s">
        <v>43</v>
      </c>
      <c r="H13" s="23" t="s">
        <v>112</v>
      </c>
      <c r="I13" s="23" t="s">
        <v>111</v>
      </c>
      <c r="J13" s="23" t="s">
        <v>113</v>
      </c>
      <c r="K13" s="23" t="s">
        <v>90</v>
      </c>
      <c r="L13" s="23" t="s">
        <v>42</v>
      </c>
      <c r="M13" s="23" t="s">
        <v>43</v>
      </c>
    </row>
    <row r="14" spans="1:13" ht="21" x14ac:dyDescent="0.5500000000000000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3" ht="21" x14ac:dyDescent="0.55000000000000004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3" ht="25.5" x14ac:dyDescent="0.4">
      <c r="A16" s="24" t="s">
        <v>114</v>
      </c>
      <c r="B16" s="24"/>
      <c r="C16" s="24"/>
      <c r="D16" s="24"/>
      <c r="E16" s="24"/>
      <c r="F16" s="24"/>
      <c r="G16" s="24"/>
      <c r="H16" s="24"/>
      <c r="I16" s="24"/>
    </row>
    <row r="17" spans="1:11" ht="16.5" thickBot="1" x14ac:dyDescent="0.45">
      <c r="A17" s="1"/>
      <c r="B17" s="3"/>
      <c r="C17" s="3"/>
    </row>
    <row r="18" spans="1:11" ht="18.600000000000001" customHeight="1" thickBot="1" x14ac:dyDescent="0.45">
      <c r="A18" s="1"/>
      <c r="B18" s="57" t="s">
        <v>167</v>
      </c>
      <c r="C18" s="57"/>
      <c r="D18" s="57"/>
      <c r="E18" s="57"/>
      <c r="F18" s="57" t="s">
        <v>158</v>
      </c>
      <c r="G18" s="57"/>
      <c r="H18" s="57"/>
      <c r="I18" s="57"/>
      <c r="J18" s="46"/>
      <c r="K18" s="46"/>
    </row>
    <row r="19" spans="1:11" ht="16.5" thickBot="1" x14ac:dyDescent="0.45">
      <c r="A19" s="23" t="s">
        <v>40</v>
      </c>
      <c r="B19" s="23" t="s">
        <v>111</v>
      </c>
      <c r="C19" s="23" t="s">
        <v>90</v>
      </c>
      <c r="D19" s="23" t="s">
        <v>42</v>
      </c>
      <c r="E19" s="23" t="s">
        <v>43</v>
      </c>
      <c r="F19" s="23" t="s">
        <v>111</v>
      </c>
      <c r="G19" s="23" t="s">
        <v>90</v>
      </c>
      <c r="H19" s="23" t="s">
        <v>42</v>
      </c>
      <c r="I19" s="23" t="s">
        <v>43</v>
      </c>
      <c r="J19" s="1"/>
      <c r="K19" s="1"/>
    </row>
    <row r="20" spans="1:11" x14ac:dyDescent="0.4">
      <c r="A20" s="13"/>
      <c r="B20" s="13"/>
      <c r="C20" s="13"/>
      <c r="D20" s="13"/>
      <c r="E20" s="13"/>
      <c r="F20" s="13"/>
      <c r="G20" s="13"/>
      <c r="H20" s="13"/>
      <c r="I20" s="13"/>
      <c r="J20" s="15"/>
      <c r="K20" s="14"/>
    </row>
    <row r="21" spans="1:11" x14ac:dyDescent="0.4">
      <c r="A21" s="13"/>
      <c r="B21" s="13"/>
      <c r="C21" s="13"/>
      <c r="D21" s="13"/>
      <c r="E21" s="13"/>
      <c r="F21" s="13"/>
      <c r="G21" s="13"/>
      <c r="H21" s="13"/>
      <c r="I21" s="13"/>
      <c r="J21" s="15"/>
      <c r="K21" s="15"/>
    </row>
    <row r="22" spans="1:11" x14ac:dyDescent="0.4">
      <c r="A22" s="13"/>
      <c r="B22" s="13"/>
      <c r="C22" s="13"/>
      <c r="D22" s="13"/>
      <c r="E22" s="13"/>
      <c r="F22" s="13"/>
      <c r="G22" s="13"/>
      <c r="H22" s="13"/>
      <c r="I22" s="13"/>
    </row>
    <row r="23" spans="1:11" x14ac:dyDescent="0.4">
      <c r="A23" s="13"/>
      <c r="B23" s="13"/>
      <c r="C23" s="13"/>
      <c r="D23" s="13"/>
      <c r="E23" s="13"/>
      <c r="F23" s="13"/>
      <c r="G23" s="13"/>
      <c r="H23" s="13"/>
      <c r="I23" s="13"/>
    </row>
    <row r="24" spans="1:11" x14ac:dyDescent="0.4">
      <c r="A24" s="13"/>
      <c r="B24" s="13"/>
      <c r="C24" s="13"/>
      <c r="D24" s="13"/>
      <c r="E24" s="13"/>
      <c r="F24" s="13"/>
      <c r="G24" s="13"/>
      <c r="H24" s="13"/>
      <c r="I24" s="13"/>
    </row>
    <row r="25" spans="1:11" x14ac:dyDescent="0.4">
      <c r="A25" s="13"/>
      <c r="B25" s="13"/>
      <c r="C25" s="13"/>
      <c r="D25" s="13"/>
      <c r="E25" s="13"/>
      <c r="F25" s="13"/>
      <c r="G25" s="13"/>
      <c r="H25" s="13"/>
      <c r="I25" s="13"/>
    </row>
    <row r="26" spans="1:11" x14ac:dyDescent="0.4">
      <c r="A26" s="13"/>
      <c r="B26" s="13"/>
      <c r="C26" s="13"/>
      <c r="D26" s="13"/>
      <c r="E26" s="13"/>
      <c r="F26" s="13"/>
      <c r="G26" s="13"/>
      <c r="H26" s="13"/>
      <c r="I26" s="13"/>
    </row>
    <row r="27" spans="1:11" x14ac:dyDescent="0.4">
      <c r="A27" s="13"/>
      <c r="B27" s="13"/>
      <c r="C27" s="13"/>
      <c r="D27" s="13"/>
      <c r="E27" s="13"/>
      <c r="F27" s="13"/>
      <c r="G27" s="13"/>
      <c r="H27" s="13"/>
      <c r="I27" s="13"/>
    </row>
    <row r="28" spans="1:11" x14ac:dyDescent="0.4">
      <c r="A28" s="13"/>
      <c r="B28" s="13"/>
      <c r="C28" s="13"/>
      <c r="D28" s="13"/>
      <c r="E28" s="13"/>
      <c r="F28" s="13"/>
      <c r="G28" s="13"/>
      <c r="H28" s="13"/>
      <c r="I28" s="13"/>
    </row>
    <row r="29" spans="1:11" x14ac:dyDescent="0.4">
      <c r="A29" s="13"/>
      <c r="B29" s="13"/>
      <c r="C29" s="13"/>
      <c r="D29" s="13"/>
      <c r="E29" s="13"/>
      <c r="F29" s="13"/>
      <c r="G29" s="13"/>
      <c r="H29" s="13"/>
      <c r="I29" s="13"/>
    </row>
    <row r="30" spans="1:11" x14ac:dyDescent="0.4">
      <c r="A30" s="13"/>
      <c r="B30" s="13"/>
      <c r="C30" s="13"/>
      <c r="D30" s="13"/>
      <c r="E30" s="13"/>
      <c r="F30" s="13"/>
      <c r="G30" s="13"/>
      <c r="H30" s="13"/>
      <c r="I30" s="13"/>
    </row>
    <row r="31" spans="1:11" x14ac:dyDescent="0.4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4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4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4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4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4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4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4">
      <c r="A38" s="13"/>
      <c r="B38" s="13"/>
      <c r="C38" s="13"/>
      <c r="D38" s="13"/>
      <c r="E38" s="13"/>
      <c r="F38" s="13"/>
      <c r="G38" s="13"/>
      <c r="H38" s="13"/>
      <c r="I38" s="13"/>
    </row>
  </sheetData>
  <mergeCells count="7">
    <mergeCell ref="B12:G12"/>
    <mergeCell ref="H12:M12"/>
    <mergeCell ref="A1:I1"/>
    <mergeCell ref="A2:I2"/>
    <mergeCell ref="A3:I3"/>
    <mergeCell ref="B6:E6"/>
    <mergeCell ref="F6:I6"/>
  </mergeCells>
  <pageMargins left="0.7" right="0.7" top="0.75" bottom="0.75" header="0.3" footer="0.3"/>
  <pageSetup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rightToLeft="1" view="pageBreakPreview" zoomScaleNormal="100" zoomScaleSheetLayoutView="100" workbookViewId="0">
      <selection activeCell="S13" sqref="S13"/>
    </sheetView>
  </sheetViews>
  <sheetFormatPr defaultColWidth="9.140625" defaultRowHeight="15.75" x14ac:dyDescent="0.4"/>
  <cols>
    <col min="1" max="1" width="24.28515625" style="6" customWidth="1"/>
    <col min="2" max="2" width="13" style="6" customWidth="1"/>
    <col min="3" max="3" width="15.7109375" style="6" customWidth="1"/>
    <col min="4" max="4" width="15.42578125" style="6" customWidth="1"/>
    <col min="5" max="5" width="9.140625" style="6"/>
    <col min="6" max="6" width="17.42578125" style="6" customWidth="1"/>
    <col min="7" max="7" width="13.28515625" style="6" customWidth="1"/>
    <col min="8" max="8" width="17.42578125" style="6" customWidth="1"/>
    <col min="9" max="9" width="11.85546875" style="6" customWidth="1"/>
    <col min="10" max="10" width="15" style="6" customWidth="1"/>
    <col min="11" max="11" width="18.28515625" style="6" customWidth="1"/>
    <col min="12" max="12" width="19" style="6" customWidth="1"/>
    <col min="13" max="13" width="14.140625" style="6" customWidth="1"/>
    <col min="14" max="16384" width="9.140625" style="6"/>
  </cols>
  <sheetData>
    <row r="1" spans="1:13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3" ht="21" x14ac:dyDescent="0.55000000000000004">
      <c r="A2" s="104" t="s">
        <v>75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3" ht="25.5" x14ac:dyDescent="0.4">
      <c r="A4" s="107" t="s">
        <v>123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</row>
    <row r="6" spans="1:13" ht="18.75" customHeight="1" thickBot="1" x14ac:dyDescent="0.45">
      <c r="A6" s="12"/>
      <c r="B6" s="95" t="s">
        <v>167</v>
      </c>
      <c r="C6" s="95"/>
      <c r="D6" s="95"/>
      <c r="E6" s="96" t="s">
        <v>11</v>
      </c>
      <c r="F6" s="96"/>
      <c r="G6" s="96"/>
      <c r="H6" s="96"/>
      <c r="I6" s="95" t="s">
        <v>158</v>
      </c>
      <c r="J6" s="95"/>
      <c r="K6" s="95"/>
      <c r="L6" s="95"/>
      <c r="M6" s="95"/>
    </row>
    <row r="7" spans="1:13" ht="17.25" customHeight="1" x14ac:dyDescent="0.4">
      <c r="A7" s="97" t="s">
        <v>115</v>
      </c>
      <c r="B7" s="99" t="s">
        <v>116</v>
      </c>
      <c r="C7" s="99" t="s">
        <v>0</v>
      </c>
      <c r="D7" s="101" t="s">
        <v>27</v>
      </c>
      <c r="E7" s="102" t="s">
        <v>128</v>
      </c>
      <c r="F7" s="102"/>
      <c r="G7" s="102" t="s">
        <v>129</v>
      </c>
      <c r="H7" s="102"/>
      <c r="I7" s="103" t="s">
        <v>3</v>
      </c>
      <c r="J7" s="101" t="s">
        <v>132</v>
      </c>
      <c r="K7" s="103" t="s">
        <v>0</v>
      </c>
      <c r="L7" s="101" t="s">
        <v>27</v>
      </c>
      <c r="M7" s="101" t="s">
        <v>30</v>
      </c>
    </row>
    <row r="8" spans="1:13" ht="20.25" customHeight="1" thickBot="1" x14ac:dyDescent="0.45">
      <c r="A8" s="98"/>
      <c r="B8" s="100"/>
      <c r="C8" s="100"/>
      <c r="D8" s="98"/>
      <c r="E8" s="18" t="s">
        <v>3</v>
      </c>
      <c r="F8" s="18" t="s">
        <v>0</v>
      </c>
      <c r="G8" s="18" t="s">
        <v>3</v>
      </c>
      <c r="H8" s="18" t="s">
        <v>73</v>
      </c>
      <c r="I8" s="100"/>
      <c r="J8" s="98"/>
      <c r="K8" s="100"/>
      <c r="L8" s="98"/>
      <c r="M8" s="98"/>
    </row>
  </sheetData>
  <mergeCells count="18">
    <mergeCell ref="A1:M1"/>
    <mergeCell ref="A2:M2"/>
    <mergeCell ref="A3:M3"/>
    <mergeCell ref="A7:A8"/>
    <mergeCell ref="E7:F7"/>
    <mergeCell ref="G7:H7"/>
    <mergeCell ref="K7:K8"/>
    <mergeCell ref="I7:I8"/>
    <mergeCell ref="C7:C8"/>
    <mergeCell ref="B7:B8"/>
    <mergeCell ref="A4:M4"/>
    <mergeCell ref="E6:H6"/>
    <mergeCell ref="B6:D6"/>
    <mergeCell ref="I6:M6"/>
    <mergeCell ref="D7:D8"/>
    <mergeCell ref="L7:L8"/>
    <mergeCell ref="J7:J8"/>
    <mergeCell ref="M7:M8"/>
  </mergeCells>
  <pageMargins left="0.7" right="0.7" top="0.75" bottom="0.75" header="0.3" footer="0.3"/>
  <pageSetup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1992-802B-4F9B-A4D4-D6CBC840E590}">
  <dimension ref="A1:S13"/>
  <sheetViews>
    <sheetView rightToLeft="1" view="pageBreakPreview" zoomScale="90" zoomScaleNormal="100" zoomScaleSheetLayoutView="90" workbookViewId="0">
      <selection activeCell="S13" sqref="S13"/>
    </sheetView>
  </sheetViews>
  <sheetFormatPr defaultColWidth="9.140625" defaultRowHeight="15.75" x14ac:dyDescent="0.4"/>
  <cols>
    <col min="1" max="1" width="29.5703125" style="19" customWidth="1"/>
    <col min="2" max="2" width="9" style="19" customWidth="1"/>
    <col min="3" max="3" width="10.7109375" style="19" customWidth="1"/>
    <col min="4" max="4" width="12.42578125" style="19" customWidth="1"/>
    <col min="5" max="5" width="11.5703125" style="19" customWidth="1"/>
    <col min="6" max="6" width="6.140625" style="19" customWidth="1"/>
    <col min="7" max="7" width="6.7109375" style="19" customWidth="1"/>
    <col min="8" max="8" width="16.28515625" style="19" customWidth="1"/>
    <col min="9" max="9" width="19.28515625" style="19" customWidth="1"/>
    <col min="10" max="10" width="20.5703125" style="19" customWidth="1"/>
    <col min="11" max="11" width="13.140625" style="19" customWidth="1"/>
    <col min="12" max="12" width="20.140625" style="19" customWidth="1"/>
    <col min="13" max="13" width="11" style="19" customWidth="1"/>
    <col min="14" max="14" width="17.5703125" style="19" customWidth="1"/>
    <col min="15" max="15" width="11.42578125" style="19" customWidth="1"/>
    <col min="16" max="16" width="12.85546875" style="19" customWidth="1"/>
    <col min="17" max="17" width="19.42578125" style="19" customWidth="1"/>
    <col min="18" max="18" width="23.5703125" style="19" customWidth="1"/>
    <col min="19" max="19" width="13.7109375" style="19" customWidth="1"/>
    <col min="20" max="16384" width="9.140625" style="19"/>
  </cols>
  <sheetData>
    <row r="1" spans="1:19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spans="1:19" ht="21" x14ac:dyDescent="0.55000000000000004">
      <c r="A2" s="104" t="s">
        <v>75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</row>
    <row r="3" spans="1:19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1:19" ht="25.5" x14ac:dyDescent="0.4">
      <c r="A4" s="107" t="s">
        <v>124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</row>
    <row r="6" spans="1:19" ht="18" customHeight="1" thickBot="1" x14ac:dyDescent="0.45">
      <c r="A6" s="95" t="s">
        <v>25</v>
      </c>
      <c r="B6" s="95"/>
      <c r="C6" s="95"/>
      <c r="D6" s="95"/>
      <c r="E6" s="95"/>
      <c r="F6" s="95"/>
      <c r="G6" s="95"/>
      <c r="H6" s="95" t="s">
        <v>167</v>
      </c>
      <c r="I6" s="95"/>
      <c r="J6" s="95"/>
      <c r="K6" s="108" t="s">
        <v>11</v>
      </c>
      <c r="L6" s="108"/>
      <c r="M6" s="108"/>
      <c r="N6" s="108"/>
      <c r="O6" s="95" t="s">
        <v>158</v>
      </c>
      <c r="P6" s="95"/>
      <c r="Q6" s="95"/>
      <c r="R6" s="95"/>
      <c r="S6" s="95"/>
    </row>
    <row r="7" spans="1:19" ht="26.25" customHeight="1" x14ac:dyDescent="0.4">
      <c r="A7" s="110" t="s">
        <v>26</v>
      </c>
      <c r="B7" s="111" t="s">
        <v>10</v>
      </c>
      <c r="C7" s="113" t="s">
        <v>9</v>
      </c>
      <c r="D7" s="114" t="s">
        <v>38</v>
      </c>
      <c r="E7" s="111" t="s">
        <v>29</v>
      </c>
      <c r="F7" s="113" t="s">
        <v>8</v>
      </c>
      <c r="G7" s="113" t="s">
        <v>7</v>
      </c>
      <c r="H7" s="115" t="s">
        <v>3</v>
      </c>
      <c r="I7" s="114" t="s">
        <v>0</v>
      </c>
      <c r="J7" s="114" t="s">
        <v>27</v>
      </c>
      <c r="K7" s="109" t="s">
        <v>4</v>
      </c>
      <c r="L7" s="109"/>
      <c r="M7" s="109" t="s">
        <v>5</v>
      </c>
      <c r="N7" s="109"/>
      <c r="O7" s="115" t="s">
        <v>3</v>
      </c>
      <c r="P7" s="114" t="s">
        <v>39</v>
      </c>
      <c r="Q7" s="114" t="s">
        <v>0</v>
      </c>
      <c r="R7" s="114" t="s">
        <v>27</v>
      </c>
      <c r="S7" s="114" t="s">
        <v>28</v>
      </c>
    </row>
    <row r="8" spans="1:19" s="21" customFormat="1" ht="40.5" customHeight="1" thickBot="1" x14ac:dyDescent="0.3">
      <c r="A8" s="95"/>
      <c r="B8" s="112"/>
      <c r="C8" s="112"/>
      <c r="D8" s="95"/>
      <c r="E8" s="112"/>
      <c r="F8" s="112"/>
      <c r="G8" s="112"/>
      <c r="H8" s="116"/>
      <c r="I8" s="95"/>
      <c r="J8" s="95"/>
      <c r="K8" s="20" t="s">
        <v>3</v>
      </c>
      <c r="L8" s="20" t="s">
        <v>0</v>
      </c>
      <c r="M8" s="20" t="s">
        <v>3</v>
      </c>
      <c r="N8" s="20" t="s">
        <v>73</v>
      </c>
      <c r="O8" s="116"/>
      <c r="P8" s="95"/>
      <c r="Q8" s="95"/>
      <c r="R8" s="95"/>
      <c r="S8" s="95"/>
    </row>
    <row r="13" spans="1:19" x14ac:dyDescent="0.4">
      <c r="F13" s="2"/>
    </row>
  </sheetData>
  <mergeCells count="25">
    <mergeCell ref="O7:O8"/>
    <mergeCell ref="P7:P8"/>
    <mergeCell ref="Q7:Q8"/>
    <mergeCell ref="R7:R8"/>
    <mergeCell ref="S7:S8"/>
    <mergeCell ref="M7:N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L7"/>
    <mergeCell ref="A1:S1"/>
    <mergeCell ref="A2:S2"/>
    <mergeCell ref="A3:S3"/>
    <mergeCell ref="A4:S4"/>
    <mergeCell ref="A6:G6"/>
    <mergeCell ref="H6:J6"/>
    <mergeCell ref="K6:N6"/>
    <mergeCell ref="O6:S6"/>
  </mergeCells>
  <pageMargins left="0.7" right="0.7" top="0.75" bottom="0.75" header="0.3" footer="0.3"/>
  <pageSetup scale="4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rightToLeft="1" view="pageBreakPreview" zoomScale="90" zoomScaleNormal="100" zoomScaleSheetLayoutView="90" workbookViewId="0">
      <selection activeCell="S13" sqref="S13"/>
    </sheetView>
  </sheetViews>
  <sheetFormatPr defaultColWidth="9.140625" defaultRowHeight="15.75" x14ac:dyDescent="0.4"/>
  <cols>
    <col min="1" max="1" width="29.5703125" style="19" customWidth="1"/>
    <col min="2" max="2" width="9" style="19" customWidth="1"/>
    <col min="3" max="3" width="10.7109375" style="19" customWidth="1"/>
    <col min="4" max="4" width="12.42578125" style="19" customWidth="1"/>
    <col min="5" max="5" width="11.5703125" style="19" customWidth="1"/>
    <col min="6" max="6" width="6.140625" style="19" customWidth="1"/>
    <col min="7" max="7" width="6.7109375" style="19" customWidth="1"/>
    <col min="8" max="8" width="16.28515625" style="19" customWidth="1"/>
    <col min="9" max="9" width="19.28515625" style="19" customWidth="1"/>
    <col min="10" max="10" width="20.5703125" style="19" customWidth="1"/>
    <col min="11" max="11" width="11.5703125" style="19" customWidth="1"/>
    <col min="12" max="12" width="12.5703125" style="19" customWidth="1"/>
    <col min="13" max="13" width="7.7109375" style="19" customWidth="1"/>
    <col min="14" max="14" width="11.5703125" style="19" customWidth="1"/>
    <col min="15" max="15" width="11.42578125" style="19" customWidth="1"/>
    <col min="16" max="16" width="12.85546875" style="19" customWidth="1"/>
    <col min="17" max="17" width="19.42578125" style="19" customWidth="1"/>
    <col min="18" max="18" width="23.5703125" style="19" customWidth="1"/>
    <col min="19" max="19" width="13.7109375" style="19" customWidth="1"/>
    <col min="20" max="16384" width="9.140625" style="19"/>
  </cols>
  <sheetData>
    <row r="1" spans="1:19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spans="1:19" ht="21" x14ac:dyDescent="0.55000000000000004">
      <c r="A2" s="104" t="s">
        <v>75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</row>
    <row r="3" spans="1:19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1:19" ht="25.5" x14ac:dyDescent="0.4">
      <c r="A4" s="107" t="s">
        <v>124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</row>
    <row r="6" spans="1:19" ht="18" customHeight="1" thickBot="1" x14ac:dyDescent="0.45">
      <c r="A6" s="95" t="s">
        <v>25</v>
      </c>
      <c r="B6" s="95"/>
      <c r="C6" s="95"/>
      <c r="D6" s="95"/>
      <c r="E6" s="95"/>
      <c r="F6" s="95"/>
      <c r="G6" s="95"/>
      <c r="H6" s="95" t="s">
        <v>167</v>
      </c>
      <c r="I6" s="95"/>
      <c r="J6" s="95"/>
      <c r="K6" s="108" t="s">
        <v>11</v>
      </c>
      <c r="L6" s="108"/>
      <c r="M6" s="108"/>
      <c r="N6" s="108"/>
      <c r="O6" s="95" t="s">
        <v>158</v>
      </c>
      <c r="P6" s="95"/>
      <c r="Q6" s="95"/>
      <c r="R6" s="95"/>
      <c r="S6" s="95"/>
    </row>
    <row r="7" spans="1:19" ht="26.25" customHeight="1" x14ac:dyDescent="0.4">
      <c r="A7" s="110" t="s">
        <v>26</v>
      </c>
      <c r="B7" s="111" t="s">
        <v>10</v>
      </c>
      <c r="C7" s="113" t="s">
        <v>9</v>
      </c>
      <c r="D7" s="114" t="s">
        <v>38</v>
      </c>
      <c r="E7" s="111" t="s">
        <v>29</v>
      </c>
      <c r="F7" s="113" t="s">
        <v>8</v>
      </c>
      <c r="G7" s="113" t="s">
        <v>7</v>
      </c>
      <c r="H7" s="115" t="s">
        <v>3</v>
      </c>
      <c r="I7" s="114" t="s">
        <v>0</v>
      </c>
      <c r="J7" s="114" t="s">
        <v>27</v>
      </c>
      <c r="K7" s="109" t="s">
        <v>4</v>
      </c>
      <c r="L7" s="109"/>
      <c r="M7" s="109" t="s">
        <v>5</v>
      </c>
      <c r="N7" s="109"/>
      <c r="O7" s="115" t="s">
        <v>3</v>
      </c>
      <c r="P7" s="114" t="s">
        <v>39</v>
      </c>
      <c r="Q7" s="114" t="s">
        <v>0</v>
      </c>
      <c r="R7" s="114" t="s">
        <v>27</v>
      </c>
      <c r="S7" s="114" t="s">
        <v>28</v>
      </c>
    </row>
    <row r="8" spans="1:19" s="21" customFormat="1" ht="40.5" customHeight="1" thickBot="1" x14ac:dyDescent="0.3">
      <c r="A8" s="95"/>
      <c r="B8" s="112"/>
      <c r="C8" s="112"/>
      <c r="D8" s="95"/>
      <c r="E8" s="112"/>
      <c r="F8" s="112"/>
      <c r="G8" s="112"/>
      <c r="H8" s="116"/>
      <c r="I8" s="95"/>
      <c r="J8" s="95"/>
      <c r="K8" s="20" t="s">
        <v>3</v>
      </c>
      <c r="L8" s="20" t="s">
        <v>0</v>
      </c>
      <c r="M8" s="20" t="s">
        <v>3</v>
      </c>
      <c r="N8" s="20" t="s">
        <v>73</v>
      </c>
      <c r="O8" s="116"/>
      <c r="P8" s="95"/>
      <c r="Q8" s="95"/>
      <c r="R8" s="95"/>
      <c r="S8" s="95"/>
    </row>
    <row r="13" spans="1:19" x14ac:dyDescent="0.4">
      <c r="F13" s="2"/>
    </row>
  </sheetData>
  <mergeCells count="25">
    <mergeCell ref="A1:S1"/>
    <mergeCell ref="A2:S2"/>
    <mergeCell ref="A3:S3"/>
    <mergeCell ref="A4:S4"/>
    <mergeCell ref="K6:N6"/>
    <mergeCell ref="O6:S6"/>
    <mergeCell ref="K7:L7"/>
    <mergeCell ref="M7:N7"/>
    <mergeCell ref="H6:J6"/>
    <mergeCell ref="A6:G6"/>
    <mergeCell ref="J7:J8"/>
    <mergeCell ref="B7:B8"/>
    <mergeCell ref="C7:C8"/>
    <mergeCell ref="F7:F8"/>
    <mergeCell ref="G7:G8"/>
    <mergeCell ref="E7:E8"/>
    <mergeCell ref="D7:D8"/>
    <mergeCell ref="A7:A8"/>
    <mergeCell ref="H7:H8"/>
    <mergeCell ref="I7:I8"/>
    <mergeCell ref="R7:R8"/>
    <mergeCell ref="S7:S8"/>
    <mergeCell ref="O7:O8"/>
    <mergeCell ref="Q7:Q8"/>
    <mergeCell ref="P7:P8"/>
  </mergeCells>
  <pageMargins left="0.7" right="0.7" top="0.75" bottom="0.75" header="0.3" footer="0.3"/>
  <pageSetup scale="4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rightToLeft="1" view="pageBreakPreview" zoomScale="145" zoomScaleNormal="100" zoomScaleSheetLayoutView="145" workbookViewId="0">
      <selection activeCell="S13" sqref="S13"/>
    </sheetView>
  </sheetViews>
  <sheetFormatPr defaultColWidth="9.140625" defaultRowHeight="15.75" x14ac:dyDescent="0.4"/>
  <cols>
    <col min="1" max="1" width="31.7109375" style="6" customWidth="1"/>
    <col min="2" max="2" width="12" style="6" customWidth="1"/>
    <col min="3" max="3" width="12.140625" style="6" customWidth="1"/>
    <col min="4" max="4" width="13.5703125" style="6" customWidth="1"/>
    <col min="5" max="5" width="10.140625" style="6" customWidth="1"/>
    <col min="6" max="6" width="19.28515625" style="6" customWidth="1"/>
    <col min="7" max="7" width="10.85546875" style="6" customWidth="1"/>
    <col min="8" max="16384" width="9.140625" style="6"/>
  </cols>
  <sheetData>
    <row r="1" spans="1:10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0" ht="21" x14ac:dyDescent="0.55000000000000004">
      <c r="A2" s="104" t="s">
        <v>75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0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</row>
    <row r="4" spans="1:10" ht="25.5" customHeight="1" x14ac:dyDescent="0.4">
      <c r="A4" s="117" t="s">
        <v>46</v>
      </c>
      <c r="B4" s="117"/>
      <c r="C4" s="117"/>
      <c r="D4" s="117"/>
      <c r="E4" s="117"/>
      <c r="F4" s="117"/>
      <c r="G4" s="117"/>
    </row>
    <row r="5" spans="1:10" x14ac:dyDescent="0.4">
      <c r="A5" s="117" t="s">
        <v>45</v>
      </c>
      <c r="B5" s="117"/>
      <c r="C5" s="117"/>
      <c r="D5" s="117"/>
      <c r="E5" s="117"/>
      <c r="F5" s="117"/>
      <c r="G5" s="117"/>
    </row>
    <row r="6" spans="1:10" ht="19.5" customHeight="1" thickBot="1" x14ac:dyDescent="0.45">
      <c r="B6" s="95" t="s">
        <v>158</v>
      </c>
      <c r="C6" s="95"/>
      <c r="D6" s="95"/>
      <c r="E6" s="95"/>
      <c r="F6" s="95"/>
      <c r="G6" s="95"/>
      <c r="H6" s="95"/>
      <c r="I6" s="95"/>
      <c r="J6" s="95"/>
    </row>
    <row r="7" spans="1:10" ht="31.5" customHeight="1" x14ac:dyDescent="0.4">
      <c r="A7" s="99" t="s">
        <v>14</v>
      </c>
      <c r="B7" s="118" t="s">
        <v>3</v>
      </c>
      <c r="C7" s="97" t="s">
        <v>50</v>
      </c>
      <c r="D7" s="97" t="s">
        <v>49</v>
      </c>
      <c r="E7" s="97" t="s">
        <v>47</v>
      </c>
      <c r="F7" s="97" t="s">
        <v>48</v>
      </c>
      <c r="G7" s="97" t="s">
        <v>13</v>
      </c>
      <c r="H7" s="97"/>
      <c r="I7" s="97"/>
      <c r="J7" s="97"/>
    </row>
    <row r="8" spans="1:10" ht="18" customHeight="1" thickBot="1" x14ac:dyDescent="0.45">
      <c r="A8" s="100"/>
      <c r="B8" s="119"/>
      <c r="C8" s="98"/>
      <c r="D8" s="98"/>
      <c r="E8" s="98"/>
      <c r="F8" s="98"/>
      <c r="G8" s="98"/>
      <c r="H8" s="98"/>
      <c r="I8" s="98"/>
      <c r="J8" s="98"/>
    </row>
    <row r="9" spans="1:10" x14ac:dyDescent="0.4">
      <c r="A9" s="68" t="s">
        <v>342</v>
      </c>
      <c r="B9" s="68">
        <v>860136</v>
      </c>
      <c r="C9" s="68">
        <v>15080</v>
      </c>
      <c r="D9" s="68">
        <v>13580</v>
      </c>
      <c r="E9" s="69">
        <v>-9.9469496021220155E-2</v>
      </c>
      <c r="F9" s="68">
        <v>11590355480</v>
      </c>
      <c r="G9" s="68" t="s">
        <v>434</v>
      </c>
    </row>
    <row r="10" spans="1:10" ht="16.5" thickBot="1" x14ac:dyDescent="0.45">
      <c r="A10" s="68" t="s">
        <v>2</v>
      </c>
      <c r="F10" s="70">
        <f>SUM(F9:F9)</f>
        <v>11590355480</v>
      </c>
    </row>
    <row r="11" spans="1:10" ht="16.5" thickTop="1" x14ac:dyDescent="0.4"/>
  </sheetData>
  <mergeCells count="13">
    <mergeCell ref="A1:J1"/>
    <mergeCell ref="A2:J2"/>
    <mergeCell ref="A3:J3"/>
    <mergeCell ref="G7:J8"/>
    <mergeCell ref="A4:G4"/>
    <mergeCell ref="D7:D8"/>
    <mergeCell ref="A7:A8"/>
    <mergeCell ref="A5:G5"/>
    <mergeCell ref="C7:C8"/>
    <mergeCell ref="F7:F8"/>
    <mergeCell ref="E7:E8"/>
    <mergeCell ref="B7:B8"/>
    <mergeCell ref="B6:J6"/>
  </mergeCells>
  <pageMargins left="0.7" right="0.7" top="0.75" bottom="0.75" header="0.3" footer="0.3"/>
  <pageSetup scale="8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rightToLeft="1" view="pageBreakPreview" zoomScale="90" zoomScaleNormal="100" zoomScaleSheetLayoutView="90" workbookViewId="0">
      <selection activeCell="S13" sqref="S13"/>
    </sheetView>
  </sheetViews>
  <sheetFormatPr defaultColWidth="9.140625" defaultRowHeight="15.75" x14ac:dyDescent="0.4"/>
  <cols>
    <col min="1" max="1" width="44.5703125" style="6" customWidth="1"/>
    <col min="2" max="2" width="21.28515625" style="6" customWidth="1"/>
    <col min="3" max="3" width="22" style="6" customWidth="1"/>
    <col min="4" max="4" width="22.140625" style="6" customWidth="1"/>
    <col min="5" max="5" width="17.42578125" style="6" customWidth="1"/>
    <col min="6" max="6" width="11.5703125" style="6" customWidth="1"/>
    <col min="7" max="7" width="4.28515625" style="6" customWidth="1"/>
    <col min="8" max="8" width="0.42578125" style="6" customWidth="1"/>
    <col min="9" max="9" width="5.28515625" style="6" customWidth="1"/>
    <col min="10" max="10" width="4.28515625" style="6" customWidth="1"/>
    <col min="11" max="11" width="0.42578125" style="6" customWidth="1"/>
    <col min="12" max="12" width="10.5703125" style="6" customWidth="1"/>
    <col min="13" max="13" width="0.5703125" style="6" customWidth="1"/>
    <col min="14" max="14" width="11.5703125" style="6" customWidth="1"/>
    <col min="15" max="16384" width="9.140625" style="6"/>
  </cols>
  <sheetData>
    <row r="1" spans="1:14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21" x14ac:dyDescent="0.55000000000000004">
      <c r="A2" s="104" t="s">
        <v>75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4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1:14" ht="21" x14ac:dyDescent="0.4">
      <c r="A4" s="105" t="s">
        <v>148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6.5" thickBot="1" x14ac:dyDescent="0.45">
      <c r="B5" s="4"/>
      <c r="C5" s="4"/>
      <c r="D5" s="4"/>
      <c r="E5" s="4"/>
      <c r="F5" s="4"/>
    </row>
    <row r="6" spans="1:14" ht="18.75" customHeight="1" thickBot="1" x14ac:dyDescent="0.45">
      <c r="A6" s="12"/>
      <c r="B6" s="51" t="s">
        <v>167</v>
      </c>
      <c r="C6" s="96" t="s">
        <v>11</v>
      </c>
      <c r="D6" s="96"/>
      <c r="E6" s="95" t="s">
        <v>158</v>
      </c>
      <c r="F6" s="95"/>
    </row>
    <row r="7" spans="1:14" ht="24" customHeight="1" x14ac:dyDescent="0.4">
      <c r="A7" s="97" t="s">
        <v>12</v>
      </c>
      <c r="B7" s="99" t="s">
        <v>6</v>
      </c>
      <c r="C7" s="120" t="s">
        <v>52</v>
      </c>
      <c r="D7" s="120" t="s">
        <v>145</v>
      </c>
      <c r="E7" s="103" t="s">
        <v>6</v>
      </c>
      <c r="F7" s="101" t="s">
        <v>28</v>
      </c>
    </row>
    <row r="8" spans="1:14" ht="29.25" customHeight="1" thickBot="1" x14ac:dyDescent="0.45">
      <c r="A8" s="98"/>
      <c r="B8" s="100"/>
      <c r="C8" s="119"/>
      <c r="D8" s="119"/>
      <c r="E8" s="100"/>
      <c r="F8" s="98"/>
    </row>
    <row r="9" spans="1:14" x14ac:dyDescent="0.4">
      <c r="A9" s="68" t="s">
        <v>160</v>
      </c>
      <c r="B9" s="68">
        <v>780516</v>
      </c>
      <c r="C9" s="68">
        <v>3195</v>
      </c>
      <c r="D9" s="68">
        <v>0</v>
      </c>
      <c r="E9" s="68">
        <v>783711</v>
      </c>
      <c r="F9" s="69">
        <v>1.8377521251876307E-7</v>
      </c>
    </row>
    <row r="10" spans="1:14" x14ac:dyDescent="0.4">
      <c r="A10" s="68" t="s">
        <v>165</v>
      </c>
      <c r="B10" s="68">
        <v>15886770</v>
      </c>
      <c r="E10" s="68">
        <v>15886770</v>
      </c>
      <c r="F10" s="69">
        <v>3.7253458647214464E-6</v>
      </c>
    </row>
    <row r="11" spans="1:14" x14ac:dyDescent="0.4">
      <c r="A11" s="68" t="s">
        <v>161</v>
      </c>
      <c r="B11" s="68">
        <v>8589413</v>
      </c>
      <c r="C11" s="68">
        <v>69276</v>
      </c>
      <c r="D11" s="68">
        <v>0</v>
      </c>
      <c r="E11" s="68">
        <v>8658689</v>
      </c>
      <c r="F11" s="69">
        <v>2.0304071412917212E-6</v>
      </c>
    </row>
    <row r="12" spans="1:14" x14ac:dyDescent="0.4">
      <c r="A12" s="68" t="s">
        <v>162</v>
      </c>
      <c r="B12" s="68">
        <v>117002324</v>
      </c>
      <c r="C12" s="68">
        <v>3725784109</v>
      </c>
      <c r="D12" s="68">
        <v>2122694404</v>
      </c>
      <c r="E12" s="68">
        <v>1720092029</v>
      </c>
      <c r="F12" s="69">
        <v>4.0335056951006857E-4</v>
      </c>
    </row>
    <row r="13" spans="1:14" x14ac:dyDescent="0.4">
      <c r="A13" s="68" t="s">
        <v>163</v>
      </c>
      <c r="B13" s="68">
        <v>57193778004</v>
      </c>
      <c r="C13" s="68">
        <v>59708163770</v>
      </c>
      <c r="D13" s="68">
        <v>72796980924</v>
      </c>
      <c r="E13" s="68">
        <v>44104960850</v>
      </c>
      <c r="F13" s="69">
        <v>1.0342330978307661E-2</v>
      </c>
    </row>
    <row r="14" spans="1:14" x14ac:dyDescent="0.4">
      <c r="A14" s="68" t="s">
        <v>164</v>
      </c>
      <c r="B14" s="68">
        <v>1305342</v>
      </c>
      <c r="C14" s="68">
        <v>162566122192</v>
      </c>
      <c r="D14" s="68">
        <v>161766250000</v>
      </c>
      <c r="E14" s="68">
        <v>801177534</v>
      </c>
      <c r="F14" s="69">
        <v>1.8787100292851384E-4</v>
      </c>
    </row>
    <row r="15" spans="1:14" ht="16.5" thickBot="1" x14ac:dyDescent="0.45">
      <c r="A15" s="68" t="s">
        <v>2</v>
      </c>
      <c r="B15" s="70">
        <f>SUM(B9:B14)</f>
        <v>57337342369</v>
      </c>
      <c r="C15" s="70">
        <f>SUM(C9:C14)</f>
        <v>226000142542</v>
      </c>
      <c r="D15" s="70">
        <f>SUM(D9:D14)</f>
        <v>236685925328</v>
      </c>
      <c r="E15" s="70">
        <f>SUM(E9:E14)</f>
        <v>46651559583</v>
      </c>
      <c r="F15" s="71">
        <f>SUM(F9:F14)</f>
        <v>1.0939492078964776E-2</v>
      </c>
    </row>
    <row r="16" spans="1:14" ht="16.5" thickTop="1" x14ac:dyDescent="0.4"/>
  </sheetData>
  <mergeCells count="12">
    <mergeCell ref="A1:N1"/>
    <mergeCell ref="A2:N2"/>
    <mergeCell ref="A3:N3"/>
    <mergeCell ref="F7:F8"/>
    <mergeCell ref="A4:N4"/>
    <mergeCell ref="E6:F6"/>
    <mergeCell ref="E7:E8"/>
    <mergeCell ref="A7:A8"/>
    <mergeCell ref="B7:B8"/>
    <mergeCell ref="C6:D6"/>
    <mergeCell ref="C7:C8"/>
    <mergeCell ref="D7:D8"/>
  </mergeCells>
  <pageMargins left="0.7" right="0.7" top="0.75" bottom="0.75" header="0.3" footer="0.3"/>
  <pageSetup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rightToLeft="1" view="pageBreakPreview" zoomScaleNormal="100" zoomScaleSheetLayoutView="100" workbookViewId="0">
      <selection activeCell="S13" sqref="S13"/>
    </sheetView>
  </sheetViews>
  <sheetFormatPr defaultRowHeight="18" x14ac:dyDescent="0.45"/>
  <cols>
    <col min="1" max="1" width="60.140625" style="74" customWidth="1"/>
    <col min="2" max="2" width="9.140625" style="10"/>
    <col min="3" max="3" width="24.5703125" style="10" customWidth="1"/>
    <col min="4" max="4" width="15" style="10" bestFit="1" customWidth="1"/>
    <col min="5" max="5" width="15.5703125" style="10" bestFit="1" customWidth="1"/>
    <col min="6" max="16384" width="9.140625" style="10"/>
  </cols>
  <sheetData>
    <row r="1" spans="1:19" ht="21" x14ac:dyDescent="0.45">
      <c r="A1" s="121" t="s">
        <v>156</v>
      </c>
      <c r="B1" s="121"/>
      <c r="C1" s="121"/>
      <c r="D1" s="121"/>
      <c r="E1" s="121"/>
    </row>
    <row r="2" spans="1:19" ht="21" x14ac:dyDescent="0.45">
      <c r="A2" s="121" t="s">
        <v>82</v>
      </c>
      <c r="B2" s="121"/>
      <c r="C2" s="121"/>
      <c r="D2" s="121"/>
      <c r="E2" s="121"/>
    </row>
    <row r="3" spans="1:19" ht="21" x14ac:dyDescent="0.45">
      <c r="A3" s="121" t="s">
        <v>157</v>
      </c>
      <c r="B3" s="121"/>
      <c r="C3" s="121"/>
      <c r="D3" s="121"/>
      <c r="E3" s="121"/>
    </row>
    <row r="4" spans="1:19" ht="21" x14ac:dyDescent="0.45">
      <c r="A4" s="105" t="s">
        <v>34</v>
      </c>
      <c r="B4" s="105"/>
      <c r="C4" s="105"/>
      <c r="D4" s="105"/>
      <c r="E4" s="105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</row>
    <row r="5" spans="1:19" ht="18.75" thickBot="1" x14ac:dyDescent="0.5">
      <c r="A5" s="28" t="s">
        <v>53</v>
      </c>
      <c r="B5" s="26" t="s">
        <v>54</v>
      </c>
      <c r="C5" s="26" t="s">
        <v>6</v>
      </c>
      <c r="D5" s="26" t="s">
        <v>23</v>
      </c>
      <c r="E5" s="26" t="s">
        <v>86</v>
      </c>
    </row>
    <row r="6" spans="1:19" ht="21" x14ac:dyDescent="0.45">
      <c r="A6" s="29" t="s">
        <v>69</v>
      </c>
      <c r="B6" s="36" t="s">
        <v>78</v>
      </c>
      <c r="C6" s="68">
        <v>531663028087</v>
      </c>
      <c r="D6" s="69">
        <f t="shared" ref="D6:D13" si="0">C6/549462722284</f>
        <v>0.96760527425225418</v>
      </c>
      <c r="E6" s="69">
        <f t="shared" ref="E6:E13" si="1">C6/4264508740100</f>
        <v>0.12467157660803219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</row>
    <row r="7" spans="1:19" ht="21" x14ac:dyDescent="0.45">
      <c r="A7" s="29" t="s">
        <v>117</v>
      </c>
      <c r="B7" s="36" t="s">
        <v>79</v>
      </c>
      <c r="C7" s="68">
        <v>0</v>
      </c>
      <c r="D7" s="69">
        <f t="shared" si="0"/>
        <v>0</v>
      </c>
      <c r="E7" s="69">
        <f t="shared" si="1"/>
        <v>0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</row>
    <row r="8" spans="1:19" ht="21" x14ac:dyDescent="0.45">
      <c r="A8" s="29" t="s">
        <v>70</v>
      </c>
      <c r="B8" s="36" t="s">
        <v>80</v>
      </c>
      <c r="C8" s="68">
        <v>0</v>
      </c>
      <c r="D8" s="69">
        <f t="shared" si="0"/>
        <v>0</v>
      </c>
      <c r="E8" s="69">
        <f t="shared" si="1"/>
        <v>0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</row>
    <row r="9" spans="1:19" ht="21" x14ac:dyDescent="0.45">
      <c r="A9" s="29" t="s">
        <v>149</v>
      </c>
      <c r="B9" s="36" t="s">
        <v>81</v>
      </c>
      <c r="C9" s="68">
        <v>0</v>
      </c>
      <c r="D9" s="69">
        <f t="shared" si="0"/>
        <v>0</v>
      </c>
      <c r="E9" s="69">
        <f t="shared" si="1"/>
        <v>0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</row>
    <row r="10" spans="1:19" ht="21" x14ac:dyDescent="0.45">
      <c r="A10" s="29" t="s">
        <v>71</v>
      </c>
      <c r="B10" s="36" t="s">
        <v>118</v>
      </c>
      <c r="C10" s="68">
        <v>17799689955</v>
      </c>
      <c r="D10" s="69">
        <f t="shared" si="0"/>
        <v>3.239471802747685E-2</v>
      </c>
      <c r="E10" s="69">
        <f t="shared" si="1"/>
        <v>4.1739133484769474E-3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</row>
    <row r="11" spans="1:19" ht="21" x14ac:dyDescent="0.45">
      <c r="A11" s="29" t="s">
        <v>137</v>
      </c>
      <c r="B11" s="36" t="s">
        <v>138</v>
      </c>
      <c r="C11" s="68">
        <v>0</v>
      </c>
      <c r="D11" s="69">
        <f t="shared" si="0"/>
        <v>0</v>
      </c>
      <c r="E11" s="69">
        <f t="shared" si="1"/>
        <v>0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</row>
    <row r="12" spans="1:19" ht="21" x14ac:dyDescent="0.45">
      <c r="A12" s="29" t="s">
        <v>139</v>
      </c>
      <c r="B12" s="36" t="s">
        <v>140</v>
      </c>
      <c r="C12" s="68">
        <v>0</v>
      </c>
      <c r="D12" s="69">
        <f t="shared" si="0"/>
        <v>0</v>
      </c>
      <c r="E12" s="69">
        <f t="shared" si="1"/>
        <v>0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</row>
    <row r="13" spans="1:19" ht="21" x14ac:dyDescent="0.45">
      <c r="A13" s="29" t="s">
        <v>36</v>
      </c>
      <c r="B13" s="36" t="s">
        <v>150</v>
      </c>
      <c r="C13" s="68">
        <v>4242</v>
      </c>
      <c r="D13" s="69">
        <f t="shared" si="0"/>
        <v>7.720268960862178E-9</v>
      </c>
      <c r="E13" s="69">
        <f t="shared" si="1"/>
        <v>9.9472184453783713E-10</v>
      </c>
      <c r="F13" s="73"/>
      <c r="G13" s="73"/>
    </row>
    <row r="14" spans="1:19" ht="18.75" thickBot="1" x14ac:dyDescent="0.5">
      <c r="A14" s="68" t="s">
        <v>2</v>
      </c>
      <c r="C14" s="70">
        <f>SUM(C6:C13)</f>
        <v>549462722284</v>
      </c>
      <c r="D14" s="71">
        <f>SUM(D6:D13)</f>
        <v>1</v>
      </c>
      <c r="E14" s="71">
        <f>SUM(E6:E13)</f>
        <v>0.12884549095123096</v>
      </c>
    </row>
    <row r="15" spans="1:19" ht="18.75" thickTop="1" x14ac:dyDescent="0.45"/>
  </sheetData>
  <mergeCells count="4">
    <mergeCell ref="A4:E4"/>
    <mergeCell ref="A3:E3"/>
    <mergeCell ref="A2:E2"/>
    <mergeCell ref="A1:E1"/>
  </mergeCells>
  <pageMargins left="0.7" right="0.7" top="0.75" bottom="0.75" header="0.3" footer="0.3"/>
  <pageSetup scale="9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6"/>
  <sheetViews>
    <sheetView rightToLeft="1" view="pageBreakPreview" topLeftCell="A232" zoomScale="110" zoomScaleNormal="100" zoomScaleSheetLayoutView="110" workbookViewId="0">
      <selection activeCell="S13" sqref="S13"/>
    </sheetView>
  </sheetViews>
  <sheetFormatPr defaultColWidth="9.140625" defaultRowHeight="15.75" x14ac:dyDescent="0.4"/>
  <cols>
    <col min="1" max="1" width="22.42578125" style="6" bestFit="1" customWidth="1"/>
    <col min="2" max="2" width="19.85546875" style="6" customWidth="1"/>
    <col min="3" max="3" width="18.28515625" style="6" customWidth="1"/>
    <col min="4" max="4" width="19" style="6" customWidth="1"/>
    <col min="5" max="5" width="17.42578125" style="6" customWidth="1"/>
    <col min="6" max="6" width="13" style="6" customWidth="1"/>
    <col min="7" max="7" width="19" style="6" customWidth="1"/>
    <col min="8" max="9" width="12.85546875" style="6" bestFit="1" customWidth="1"/>
    <col min="10" max="10" width="22.5703125" style="6" customWidth="1"/>
    <col min="11" max="11" width="10.5703125" style="6" customWidth="1"/>
    <col min="12" max="16384" width="9.140625" style="6"/>
  </cols>
  <sheetData>
    <row r="1" spans="1:11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5" spans="1:11" ht="21" x14ac:dyDescent="0.4">
      <c r="A5" s="105" t="s">
        <v>35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7" spans="1:11" ht="19.5" customHeight="1" thickBot="1" x14ac:dyDescent="0.45">
      <c r="A7" s="4"/>
      <c r="B7" s="95" t="s">
        <v>136</v>
      </c>
      <c r="C7" s="95"/>
      <c r="D7" s="95"/>
      <c r="E7" s="95"/>
      <c r="F7" s="95"/>
      <c r="G7" s="95" t="s">
        <v>158</v>
      </c>
      <c r="H7" s="95"/>
      <c r="I7" s="95"/>
      <c r="J7" s="95"/>
      <c r="K7" s="95"/>
    </row>
    <row r="8" spans="1:11" ht="19.5" customHeight="1" x14ac:dyDescent="0.4">
      <c r="A8" s="122" t="s">
        <v>31</v>
      </c>
      <c r="B8" s="114" t="s">
        <v>15</v>
      </c>
      <c r="C8" s="114" t="s">
        <v>16</v>
      </c>
      <c r="D8" s="114" t="s">
        <v>17</v>
      </c>
      <c r="E8" s="114" t="s">
        <v>2</v>
      </c>
      <c r="F8" s="114"/>
      <c r="G8" s="114" t="s">
        <v>15</v>
      </c>
      <c r="H8" s="114" t="s">
        <v>16</v>
      </c>
      <c r="I8" s="114" t="s">
        <v>17</v>
      </c>
      <c r="J8" s="114" t="s">
        <v>2</v>
      </c>
      <c r="K8" s="114"/>
    </row>
    <row r="9" spans="1:11" ht="18.75" customHeight="1" thickBot="1" x14ac:dyDescent="0.45">
      <c r="A9" s="122"/>
      <c r="B9" s="110"/>
      <c r="C9" s="110"/>
      <c r="D9" s="110"/>
      <c r="E9" s="95"/>
      <c r="F9" s="95"/>
      <c r="G9" s="110"/>
      <c r="H9" s="110"/>
      <c r="I9" s="110"/>
      <c r="J9" s="95"/>
      <c r="K9" s="95"/>
    </row>
    <row r="10" spans="1:11" ht="28.5" customHeight="1" thickBot="1" x14ac:dyDescent="0.45">
      <c r="A10" s="123"/>
      <c r="B10" s="75" t="s">
        <v>85</v>
      </c>
      <c r="C10" s="75" t="s">
        <v>85</v>
      </c>
      <c r="D10" s="75" t="s">
        <v>85</v>
      </c>
      <c r="E10" s="76" t="s">
        <v>6</v>
      </c>
      <c r="F10" s="76" t="s">
        <v>18</v>
      </c>
      <c r="G10" s="75" t="s">
        <v>85</v>
      </c>
      <c r="H10" s="75" t="s">
        <v>85</v>
      </c>
      <c r="I10" s="75" t="s">
        <v>85</v>
      </c>
      <c r="J10" s="76" t="s">
        <v>6</v>
      </c>
      <c r="K10" s="76" t="s">
        <v>18</v>
      </c>
    </row>
    <row r="11" spans="1:11" x14ac:dyDescent="0.4">
      <c r="A11" s="68" t="s">
        <v>435</v>
      </c>
      <c r="B11" s="80">
        <v>0</v>
      </c>
      <c r="C11" s="80">
        <v>-1155131921</v>
      </c>
      <c r="D11" s="80">
        <v>0</v>
      </c>
      <c r="E11" s="80">
        <v>-1155131921</v>
      </c>
      <c r="F11" s="77">
        <v>8.9538929543019983E-3</v>
      </c>
      <c r="G11" s="80">
        <v>0</v>
      </c>
      <c r="H11" s="80">
        <v>2149641021</v>
      </c>
      <c r="I11" s="80">
        <v>8141436297</v>
      </c>
      <c r="J11" s="80">
        <v>10291077318</v>
      </c>
      <c r="K11" s="77">
        <v>1.8729345778403628E-2</v>
      </c>
    </row>
    <row r="12" spans="1:11" x14ac:dyDescent="0.4">
      <c r="A12" s="68" t="s">
        <v>298</v>
      </c>
      <c r="B12" s="80">
        <v>0</v>
      </c>
      <c r="C12" s="80">
        <v>-3215865376</v>
      </c>
      <c r="D12" s="80">
        <v>0</v>
      </c>
      <c r="E12" s="80">
        <v>-3215865376</v>
      </c>
      <c r="F12" s="77">
        <v>2.4927468290567783E-2</v>
      </c>
      <c r="G12" s="80">
        <v>293517072</v>
      </c>
      <c r="H12" s="80">
        <v>-10168975656</v>
      </c>
      <c r="I12" s="80">
        <v>1029352410</v>
      </c>
      <c r="J12" s="80">
        <v>-8846106174</v>
      </c>
      <c r="K12" s="77">
        <v>-1.6099556558138491E-2</v>
      </c>
    </row>
    <row r="13" spans="1:11" x14ac:dyDescent="0.4">
      <c r="A13" s="68" t="s">
        <v>330</v>
      </c>
      <c r="B13" s="80">
        <v>0</v>
      </c>
      <c r="C13" s="80">
        <v>-2321089742</v>
      </c>
      <c r="D13" s="80">
        <v>-65094429</v>
      </c>
      <c r="E13" s="80">
        <v>-2386184171</v>
      </c>
      <c r="F13" s="77">
        <v>1.849627496908542E-2</v>
      </c>
      <c r="G13" s="80">
        <v>0</v>
      </c>
      <c r="H13" s="80">
        <v>-3014924365</v>
      </c>
      <c r="I13" s="80">
        <v>2822772755</v>
      </c>
      <c r="J13" s="80">
        <v>-192151610</v>
      </c>
      <c r="K13" s="77">
        <v>-3.4970818257017784E-4</v>
      </c>
    </row>
    <row r="14" spans="1:11" x14ac:dyDescent="0.4">
      <c r="A14" s="68" t="s">
        <v>326</v>
      </c>
      <c r="B14" s="80">
        <v>0</v>
      </c>
      <c r="C14" s="80">
        <v>-202718643</v>
      </c>
      <c r="D14" s="80">
        <v>-240721232</v>
      </c>
      <c r="E14" s="80">
        <v>-443439875</v>
      </c>
      <c r="F14" s="77">
        <v>3.4372811453273477E-3</v>
      </c>
      <c r="G14" s="80">
        <v>1064000000</v>
      </c>
      <c r="H14" s="80">
        <v>-2972800548</v>
      </c>
      <c r="I14" s="80">
        <v>-1139575297</v>
      </c>
      <c r="J14" s="80">
        <v>-3048375845</v>
      </c>
      <c r="K14" s="77">
        <v>-5.5479211261658442E-3</v>
      </c>
    </row>
    <row r="15" spans="1:11" x14ac:dyDescent="0.4">
      <c r="A15" s="68" t="s">
        <v>185</v>
      </c>
      <c r="B15" s="80">
        <v>3960000000</v>
      </c>
      <c r="C15" s="80">
        <v>-5535396056</v>
      </c>
      <c r="D15" s="80">
        <v>0</v>
      </c>
      <c r="E15" s="80">
        <v>-1575396056</v>
      </c>
      <c r="F15" s="77">
        <v>1.2211529600742076E-2</v>
      </c>
      <c r="G15" s="80">
        <v>3960000000</v>
      </c>
      <c r="H15" s="80">
        <v>-966696149</v>
      </c>
      <c r="I15" s="80">
        <v>954507964</v>
      </c>
      <c r="J15" s="80">
        <v>3947811815</v>
      </c>
      <c r="K15" s="77">
        <v>7.184858325947543E-3</v>
      </c>
    </row>
    <row r="16" spans="1:11" x14ac:dyDescent="0.4">
      <c r="A16" s="68" t="s">
        <v>335</v>
      </c>
      <c r="B16" s="80">
        <v>0</v>
      </c>
      <c r="C16" s="80">
        <v>-2777731069</v>
      </c>
      <c r="D16" s="80">
        <v>0</v>
      </c>
      <c r="E16" s="80">
        <v>-2777731069</v>
      </c>
      <c r="F16" s="77">
        <v>2.1531312740568669E-2</v>
      </c>
      <c r="G16" s="80">
        <v>2406384864</v>
      </c>
      <c r="H16" s="80">
        <v>17742928902</v>
      </c>
      <c r="I16" s="80">
        <v>4638394919</v>
      </c>
      <c r="J16" s="80">
        <v>24787708685</v>
      </c>
      <c r="K16" s="77">
        <v>4.5112630356364765E-2</v>
      </c>
    </row>
    <row r="17" spans="1:11" x14ac:dyDescent="0.4">
      <c r="A17" s="68" t="s">
        <v>436</v>
      </c>
      <c r="B17" s="80">
        <v>0</v>
      </c>
      <c r="C17" s="80">
        <v>-440545226</v>
      </c>
      <c r="D17" s="80">
        <v>0</v>
      </c>
      <c r="E17" s="80">
        <v>-440545226</v>
      </c>
      <c r="F17" s="77">
        <v>3.4148435545941266E-3</v>
      </c>
      <c r="G17" s="80">
        <v>1414872300</v>
      </c>
      <c r="H17" s="80">
        <v>3216383549</v>
      </c>
      <c r="I17" s="80">
        <v>1326988801</v>
      </c>
      <c r="J17" s="80">
        <v>5958244650</v>
      </c>
      <c r="K17" s="77">
        <v>1.0843765024190977E-2</v>
      </c>
    </row>
    <row r="18" spans="1:11" x14ac:dyDescent="0.4">
      <c r="A18" s="68" t="s">
        <v>437</v>
      </c>
      <c r="B18" s="80">
        <v>0</v>
      </c>
      <c r="C18" s="80">
        <v>-1298471742</v>
      </c>
      <c r="D18" s="80">
        <v>0</v>
      </c>
      <c r="E18" s="80">
        <v>-1298471742</v>
      </c>
      <c r="F18" s="77">
        <v>1.0064977662455269E-2</v>
      </c>
      <c r="G18" s="80">
        <v>0</v>
      </c>
      <c r="H18" s="80">
        <v>975730665</v>
      </c>
      <c r="I18" s="80">
        <v>917812511</v>
      </c>
      <c r="J18" s="80">
        <v>1893543176</v>
      </c>
      <c r="K18" s="77">
        <v>3.4461722319012703E-3</v>
      </c>
    </row>
    <row r="19" spans="1:11" x14ac:dyDescent="0.4">
      <c r="A19" s="68" t="s">
        <v>262</v>
      </c>
      <c r="B19" s="80">
        <v>0</v>
      </c>
      <c r="C19" s="80">
        <v>-994284358</v>
      </c>
      <c r="D19" s="80">
        <v>0</v>
      </c>
      <c r="E19" s="80">
        <v>-994284358</v>
      </c>
      <c r="F19" s="77">
        <v>7.7070986835527733E-3</v>
      </c>
      <c r="G19" s="80">
        <v>0</v>
      </c>
      <c r="H19" s="80">
        <v>-651443493</v>
      </c>
      <c r="I19" s="80">
        <v>277798028</v>
      </c>
      <c r="J19" s="80">
        <v>-373645465</v>
      </c>
      <c r="K19" s="77">
        <v>-6.8001968076530298E-4</v>
      </c>
    </row>
    <row r="20" spans="1:11" x14ac:dyDescent="0.4">
      <c r="A20" s="68" t="s">
        <v>176</v>
      </c>
      <c r="B20" s="80">
        <v>0</v>
      </c>
      <c r="C20" s="80">
        <v>-100326508</v>
      </c>
      <c r="D20" s="80">
        <v>0</v>
      </c>
      <c r="E20" s="80">
        <v>-100326508</v>
      </c>
      <c r="F20" s="77">
        <v>7.7767118783563004E-4</v>
      </c>
      <c r="G20" s="80">
        <v>0</v>
      </c>
      <c r="H20" s="80">
        <v>-3998829659</v>
      </c>
      <c r="I20" s="80">
        <v>-52209104</v>
      </c>
      <c r="J20" s="80">
        <v>-4051038763</v>
      </c>
      <c r="K20" s="77">
        <v>-7.372727209155684E-3</v>
      </c>
    </row>
    <row r="21" spans="1:11" x14ac:dyDescent="0.4">
      <c r="A21" s="68" t="s">
        <v>241</v>
      </c>
      <c r="B21" s="80">
        <v>0</v>
      </c>
      <c r="C21" s="80">
        <v>-914080450</v>
      </c>
      <c r="D21" s="80">
        <v>0</v>
      </c>
      <c r="E21" s="80">
        <v>-914080450</v>
      </c>
      <c r="F21" s="77">
        <v>7.085405876269781E-3</v>
      </c>
      <c r="G21" s="80">
        <v>0</v>
      </c>
      <c r="H21" s="80">
        <v>-5237849687</v>
      </c>
      <c r="I21" s="80">
        <v>-511555116</v>
      </c>
      <c r="J21" s="80">
        <v>-5749404803</v>
      </c>
      <c r="K21" s="77">
        <v>-1.0463684923157196E-2</v>
      </c>
    </row>
    <row r="22" spans="1:11" x14ac:dyDescent="0.4">
      <c r="A22" s="68" t="s">
        <v>438</v>
      </c>
      <c r="B22" s="80">
        <v>0</v>
      </c>
      <c r="C22" s="80">
        <v>-2567260345</v>
      </c>
      <c r="D22" s="80">
        <v>58774626</v>
      </c>
      <c r="E22" s="80">
        <v>-2508485719</v>
      </c>
      <c r="F22" s="77">
        <v>1.944428354631305E-2</v>
      </c>
      <c r="G22" s="80">
        <v>7980000000</v>
      </c>
      <c r="H22" s="80">
        <v>-168465057</v>
      </c>
      <c r="I22" s="80">
        <v>44604721423</v>
      </c>
      <c r="J22" s="80">
        <v>52416256366</v>
      </c>
      <c r="K22" s="77">
        <v>9.5395473141684187E-2</v>
      </c>
    </row>
    <row r="23" spans="1:11" x14ac:dyDescent="0.4">
      <c r="A23" s="68" t="s">
        <v>343</v>
      </c>
      <c r="B23" s="80">
        <v>0</v>
      </c>
      <c r="C23" s="80">
        <v>-210537209</v>
      </c>
      <c r="D23" s="80">
        <v>0</v>
      </c>
      <c r="E23" s="80">
        <v>-210537209</v>
      </c>
      <c r="F23" s="77">
        <v>1.6319587382292655E-3</v>
      </c>
      <c r="G23" s="80">
        <v>0</v>
      </c>
      <c r="H23" s="80">
        <v>2159840642</v>
      </c>
      <c r="I23" s="80">
        <v>2892468147</v>
      </c>
      <c r="J23" s="80">
        <v>5052308789</v>
      </c>
      <c r="K23" s="77">
        <v>9.1949982848674866E-3</v>
      </c>
    </row>
    <row r="24" spans="1:11" x14ac:dyDescent="0.4">
      <c r="A24" s="68" t="s">
        <v>367</v>
      </c>
      <c r="B24" s="80">
        <v>0</v>
      </c>
      <c r="C24" s="80">
        <v>-46884758</v>
      </c>
      <c r="D24" s="80">
        <v>0</v>
      </c>
      <c r="E24" s="80">
        <v>-46884758</v>
      </c>
      <c r="F24" s="77">
        <v>3.6342265042501091E-4</v>
      </c>
      <c r="G24" s="80">
        <v>700000000</v>
      </c>
      <c r="H24" s="80">
        <v>-140379295</v>
      </c>
      <c r="I24" s="80">
        <v>0</v>
      </c>
      <c r="J24" s="80">
        <v>559620705</v>
      </c>
      <c r="K24" s="77">
        <v>1.0184871189691913E-3</v>
      </c>
    </row>
    <row r="25" spans="1:11" x14ac:dyDescent="0.4">
      <c r="A25" s="68" t="s">
        <v>349</v>
      </c>
      <c r="B25" s="80">
        <v>0</v>
      </c>
      <c r="C25" s="80">
        <v>-2563346326</v>
      </c>
      <c r="D25" s="80">
        <v>0</v>
      </c>
      <c r="E25" s="80">
        <v>-2563346326</v>
      </c>
      <c r="F25" s="77">
        <v>1.9869530216027435E-2</v>
      </c>
      <c r="G25" s="80">
        <v>10382562840</v>
      </c>
      <c r="H25" s="80">
        <v>3525851652</v>
      </c>
      <c r="I25" s="80">
        <v>1312267422</v>
      </c>
      <c r="J25" s="80">
        <v>15220681914</v>
      </c>
      <c r="K25" s="77">
        <v>2.7701027379493287E-2</v>
      </c>
    </row>
    <row r="26" spans="1:11" x14ac:dyDescent="0.4">
      <c r="A26" s="68" t="s">
        <v>439</v>
      </c>
      <c r="B26" s="80">
        <v>0</v>
      </c>
      <c r="C26" s="80">
        <v>-3067826305</v>
      </c>
      <c r="D26" s="80">
        <v>0</v>
      </c>
      <c r="E26" s="80">
        <v>-3067826305</v>
      </c>
      <c r="F26" s="77">
        <v>2.377995780220659E-2</v>
      </c>
      <c r="G26" s="80">
        <v>0</v>
      </c>
      <c r="H26" s="80">
        <v>-3449216773</v>
      </c>
      <c r="I26" s="80">
        <v>0</v>
      </c>
      <c r="J26" s="80">
        <v>-3449216773</v>
      </c>
      <c r="K26" s="77">
        <v>-6.2774354530591948E-3</v>
      </c>
    </row>
    <row r="27" spans="1:11" x14ac:dyDescent="0.4">
      <c r="A27" s="68" t="s">
        <v>355</v>
      </c>
      <c r="B27" s="80">
        <v>0</v>
      </c>
      <c r="C27" s="80">
        <v>-473813489</v>
      </c>
      <c r="D27" s="80">
        <v>0</v>
      </c>
      <c r="E27" s="80">
        <v>-473813489</v>
      </c>
      <c r="F27" s="77">
        <v>3.672719265811327E-3</v>
      </c>
      <c r="G27" s="80">
        <v>0</v>
      </c>
      <c r="H27" s="80">
        <v>-833020491</v>
      </c>
      <c r="I27" s="80">
        <v>-888685</v>
      </c>
      <c r="J27" s="80">
        <v>-833909176</v>
      </c>
      <c r="K27" s="77">
        <v>-1.517681076768259E-3</v>
      </c>
    </row>
    <row r="28" spans="1:11" x14ac:dyDescent="0.4">
      <c r="A28" s="68" t="s">
        <v>320</v>
      </c>
      <c r="B28" s="80">
        <v>0</v>
      </c>
      <c r="C28" s="80">
        <v>-232563281</v>
      </c>
      <c r="D28" s="80">
        <v>0</v>
      </c>
      <c r="E28" s="80">
        <v>-232563281</v>
      </c>
      <c r="F28" s="77">
        <v>1.8026916972154697E-3</v>
      </c>
      <c r="G28" s="80">
        <v>1080000000</v>
      </c>
      <c r="H28" s="80">
        <v>674579250</v>
      </c>
      <c r="I28" s="80">
        <v>306487125</v>
      </c>
      <c r="J28" s="80">
        <v>2061066375</v>
      </c>
      <c r="K28" s="77">
        <v>3.7510576994788367E-3</v>
      </c>
    </row>
    <row r="29" spans="1:11" x14ac:dyDescent="0.4">
      <c r="A29" s="68" t="s">
        <v>426</v>
      </c>
      <c r="B29" s="80">
        <v>0</v>
      </c>
      <c r="C29" s="80">
        <v>-254517255</v>
      </c>
      <c r="D29" s="80">
        <v>0</v>
      </c>
      <c r="E29" s="80">
        <v>-254517255</v>
      </c>
      <c r="F29" s="77">
        <v>1.9728657955533939E-3</v>
      </c>
      <c r="G29" s="80">
        <v>20250000</v>
      </c>
      <c r="H29" s="80">
        <v>-3694419990</v>
      </c>
      <c r="I29" s="80">
        <v>0</v>
      </c>
      <c r="J29" s="80">
        <v>-3674169990</v>
      </c>
      <c r="K29" s="77">
        <v>-6.6868412377954498E-3</v>
      </c>
    </row>
    <row r="30" spans="1:11" x14ac:dyDescent="0.4">
      <c r="A30" s="68" t="s">
        <v>440</v>
      </c>
      <c r="B30" s="80">
        <v>0</v>
      </c>
      <c r="C30" s="80">
        <v>-968516544</v>
      </c>
      <c r="D30" s="80">
        <v>0</v>
      </c>
      <c r="E30" s="80">
        <v>-968516544</v>
      </c>
      <c r="F30" s="77">
        <v>7.5073619746731267E-3</v>
      </c>
      <c r="G30" s="80">
        <v>0</v>
      </c>
      <c r="H30" s="80">
        <v>-7795451502</v>
      </c>
      <c r="I30" s="80">
        <v>0</v>
      </c>
      <c r="J30" s="80">
        <v>-7795451502</v>
      </c>
      <c r="K30" s="77">
        <v>-1.418740741791538E-2</v>
      </c>
    </row>
    <row r="31" spans="1:11" x14ac:dyDescent="0.4">
      <c r="A31" s="68" t="s">
        <v>204</v>
      </c>
      <c r="B31" s="80">
        <v>0</v>
      </c>
      <c r="C31" s="80">
        <v>-797694625</v>
      </c>
      <c r="D31" s="80">
        <v>0</v>
      </c>
      <c r="E31" s="80">
        <v>-797694625</v>
      </c>
      <c r="F31" s="77">
        <v>6.1832524516237273E-3</v>
      </c>
      <c r="G31" s="80">
        <v>0</v>
      </c>
      <c r="H31" s="80">
        <v>-3930495245</v>
      </c>
      <c r="I31" s="80">
        <v>-2385912066</v>
      </c>
      <c r="J31" s="80">
        <v>-6316407311</v>
      </c>
      <c r="K31" s="77">
        <v>-1.1495606625949135E-2</v>
      </c>
    </row>
    <row r="32" spans="1:11" x14ac:dyDescent="0.4">
      <c r="A32" s="68" t="s">
        <v>441</v>
      </c>
      <c r="B32" s="80">
        <v>0</v>
      </c>
      <c r="C32" s="80">
        <v>-199074169</v>
      </c>
      <c r="D32" s="80">
        <v>0</v>
      </c>
      <c r="E32" s="80">
        <v>-199074169</v>
      </c>
      <c r="F32" s="77">
        <v>1.543104096413093E-3</v>
      </c>
      <c r="G32" s="80">
        <v>0</v>
      </c>
      <c r="H32" s="80">
        <v>2670909791</v>
      </c>
      <c r="I32" s="80">
        <v>0</v>
      </c>
      <c r="J32" s="80">
        <v>2670909791</v>
      </c>
      <c r="K32" s="77">
        <v>4.8609481274682195E-3</v>
      </c>
    </row>
    <row r="33" spans="1:11" x14ac:dyDescent="0.4">
      <c r="A33" s="68" t="s">
        <v>199</v>
      </c>
      <c r="B33" s="80">
        <v>0</v>
      </c>
      <c r="C33" s="80">
        <v>884853498</v>
      </c>
      <c r="D33" s="80">
        <v>0</v>
      </c>
      <c r="E33" s="80">
        <v>884853498</v>
      </c>
      <c r="F33" s="77">
        <v>-6.8588559949696671E-3</v>
      </c>
      <c r="G33" s="80">
        <v>13820455220</v>
      </c>
      <c r="H33" s="80">
        <v>-2837805807</v>
      </c>
      <c r="I33" s="80">
        <v>-5366673915</v>
      </c>
      <c r="J33" s="80">
        <v>5615975498</v>
      </c>
      <c r="K33" s="77">
        <v>1.0220848967980176E-2</v>
      </c>
    </row>
    <row r="34" spans="1:11" x14ac:dyDescent="0.4">
      <c r="A34" s="68" t="s">
        <v>260</v>
      </c>
      <c r="B34" s="80">
        <v>0</v>
      </c>
      <c r="C34" s="80">
        <v>-349361448</v>
      </c>
      <c r="D34" s="80">
        <v>0</v>
      </c>
      <c r="E34" s="80">
        <v>-349361448</v>
      </c>
      <c r="F34" s="77">
        <v>2.7080413508475316E-3</v>
      </c>
      <c r="G34" s="80">
        <v>0</v>
      </c>
      <c r="H34" s="80">
        <v>-1387370459</v>
      </c>
      <c r="I34" s="80">
        <v>997651152</v>
      </c>
      <c r="J34" s="80">
        <v>-389719307</v>
      </c>
      <c r="K34" s="77">
        <v>-7.0927342510156014E-4</v>
      </c>
    </row>
    <row r="35" spans="1:11" x14ac:dyDescent="0.4">
      <c r="A35" s="68" t="s">
        <v>442</v>
      </c>
      <c r="B35" s="80">
        <v>0</v>
      </c>
      <c r="C35" s="80">
        <v>-557977121</v>
      </c>
      <c r="D35" s="80">
        <v>888338731</v>
      </c>
      <c r="E35" s="80">
        <v>330361610</v>
      </c>
      <c r="F35" s="77">
        <v>-2.5607659509487876E-3</v>
      </c>
      <c r="G35" s="80">
        <v>0</v>
      </c>
      <c r="H35" s="80">
        <v>3676078318</v>
      </c>
      <c r="I35" s="80">
        <v>1699931732</v>
      </c>
      <c r="J35" s="80">
        <v>5376010050</v>
      </c>
      <c r="K35" s="77">
        <v>9.784121528123085E-3</v>
      </c>
    </row>
    <row r="36" spans="1:11" x14ac:dyDescent="0.4">
      <c r="A36" s="68" t="s">
        <v>173</v>
      </c>
      <c r="B36" s="80">
        <v>0</v>
      </c>
      <c r="C36" s="80">
        <v>329323121</v>
      </c>
      <c r="D36" s="80">
        <v>0</v>
      </c>
      <c r="E36" s="80">
        <v>329323121</v>
      </c>
      <c r="F36" s="77">
        <v>-2.5527162042738188E-3</v>
      </c>
      <c r="G36" s="80">
        <v>1450000000</v>
      </c>
      <c r="H36" s="80">
        <v>2894556236</v>
      </c>
      <c r="I36" s="80">
        <v>211040316</v>
      </c>
      <c r="J36" s="80">
        <v>4555596552</v>
      </c>
      <c r="K36" s="77">
        <v>8.2910020411636875E-3</v>
      </c>
    </row>
    <row r="37" spans="1:11" x14ac:dyDescent="0.4">
      <c r="A37" s="68" t="s">
        <v>276</v>
      </c>
      <c r="B37" s="80">
        <v>0</v>
      </c>
      <c r="C37" s="80">
        <v>-715008250</v>
      </c>
      <c r="D37" s="80">
        <v>0</v>
      </c>
      <c r="E37" s="80">
        <v>-715008250</v>
      </c>
      <c r="F37" s="77">
        <v>5.5423170423690524E-3</v>
      </c>
      <c r="G37" s="80">
        <v>18000000000</v>
      </c>
      <c r="H37" s="80">
        <v>5090184230</v>
      </c>
      <c r="I37" s="80">
        <v>20434006476</v>
      </c>
      <c r="J37" s="80">
        <v>43524190706</v>
      </c>
      <c r="K37" s="77">
        <v>7.9212272172130574E-2</v>
      </c>
    </row>
    <row r="38" spans="1:11" x14ac:dyDescent="0.4">
      <c r="A38" s="68" t="s">
        <v>178</v>
      </c>
      <c r="B38" s="80">
        <v>0</v>
      </c>
      <c r="C38" s="80">
        <v>-1944849200</v>
      </c>
      <c r="D38" s="80">
        <v>0</v>
      </c>
      <c r="E38" s="80">
        <v>-1944849200</v>
      </c>
      <c r="F38" s="77">
        <v>1.5075309782786168E-2</v>
      </c>
      <c r="G38" s="80">
        <v>0</v>
      </c>
      <c r="H38" s="80">
        <v>-13756579975</v>
      </c>
      <c r="I38" s="80">
        <v>-204942200</v>
      </c>
      <c r="J38" s="80">
        <v>-13961522175</v>
      </c>
      <c r="K38" s="77">
        <v>-2.5409407424337931E-2</v>
      </c>
    </row>
    <row r="39" spans="1:11" x14ac:dyDescent="0.4">
      <c r="A39" s="68" t="s">
        <v>250</v>
      </c>
      <c r="B39" s="80">
        <v>0</v>
      </c>
      <c r="C39" s="80">
        <v>-869628526</v>
      </c>
      <c r="D39" s="80">
        <v>0</v>
      </c>
      <c r="E39" s="80">
        <v>-869628526</v>
      </c>
      <c r="F39" s="77">
        <v>6.7408411024349425E-3</v>
      </c>
      <c r="G39" s="80">
        <v>7010721000</v>
      </c>
      <c r="H39" s="80">
        <v>-5009986309</v>
      </c>
      <c r="I39" s="80">
        <v>-10820188679</v>
      </c>
      <c r="J39" s="80">
        <v>-8819453988</v>
      </c>
      <c r="K39" s="77">
        <v>-1.6051050654245298E-2</v>
      </c>
    </row>
    <row r="40" spans="1:11" x14ac:dyDescent="0.4">
      <c r="A40" s="68" t="s">
        <v>215</v>
      </c>
      <c r="B40" s="80">
        <v>0</v>
      </c>
      <c r="C40" s="80">
        <v>-260320368</v>
      </c>
      <c r="D40" s="80">
        <v>0</v>
      </c>
      <c r="E40" s="80">
        <v>-260320368</v>
      </c>
      <c r="F40" s="77">
        <v>2.0178480626512818E-3</v>
      </c>
      <c r="G40" s="80">
        <v>0</v>
      </c>
      <c r="H40" s="80">
        <v>-773598787</v>
      </c>
      <c r="I40" s="80">
        <v>52784970</v>
      </c>
      <c r="J40" s="80">
        <v>-720813817</v>
      </c>
      <c r="K40" s="77">
        <v>-1.3118520834383993E-3</v>
      </c>
    </row>
    <row r="41" spans="1:11" x14ac:dyDescent="0.4">
      <c r="A41" s="68" t="s">
        <v>354</v>
      </c>
      <c r="B41" s="80">
        <v>0</v>
      </c>
      <c r="C41" s="80">
        <v>-1333844807</v>
      </c>
      <c r="D41" s="80">
        <v>0</v>
      </c>
      <c r="E41" s="80">
        <v>-1333844807</v>
      </c>
      <c r="F41" s="77">
        <v>1.0339168542057466E-2</v>
      </c>
      <c r="G41" s="80">
        <v>0</v>
      </c>
      <c r="H41" s="80">
        <v>-7435565103</v>
      </c>
      <c r="I41" s="80">
        <v>38081113</v>
      </c>
      <c r="J41" s="80">
        <v>-7397483990</v>
      </c>
      <c r="K41" s="77">
        <v>-1.3463122592284747E-2</v>
      </c>
    </row>
    <row r="42" spans="1:11" x14ac:dyDescent="0.4">
      <c r="A42" s="68" t="s">
        <v>181</v>
      </c>
      <c r="B42" s="80">
        <v>0</v>
      </c>
      <c r="C42" s="80">
        <v>-699988735</v>
      </c>
      <c r="D42" s="80">
        <v>0</v>
      </c>
      <c r="E42" s="80">
        <v>-699988735</v>
      </c>
      <c r="F42" s="77">
        <v>5.4258947298256414E-3</v>
      </c>
      <c r="G42" s="80">
        <v>100000000</v>
      </c>
      <c r="H42" s="80">
        <v>-7058676838</v>
      </c>
      <c r="I42" s="80">
        <v>4693568403</v>
      </c>
      <c r="J42" s="80">
        <v>-2265108435</v>
      </c>
      <c r="K42" s="77">
        <v>-4.1224060216213118E-3</v>
      </c>
    </row>
    <row r="43" spans="1:11" x14ac:dyDescent="0.4">
      <c r="A43" s="68" t="s">
        <v>443</v>
      </c>
      <c r="B43" s="80">
        <v>0</v>
      </c>
      <c r="C43" s="80">
        <v>-1228959853</v>
      </c>
      <c r="D43" s="80">
        <v>0</v>
      </c>
      <c r="E43" s="80">
        <v>-1228959853</v>
      </c>
      <c r="F43" s="77">
        <v>9.5261630025517408E-3</v>
      </c>
      <c r="G43" s="80">
        <v>195044680</v>
      </c>
      <c r="H43" s="80">
        <v>-129570470</v>
      </c>
      <c r="I43" s="80">
        <v>0</v>
      </c>
      <c r="J43" s="80">
        <v>65474210</v>
      </c>
      <c r="K43" s="77">
        <v>1.1916042225364734E-4</v>
      </c>
    </row>
    <row r="44" spans="1:11" x14ac:dyDescent="0.4">
      <c r="A44" s="68" t="s">
        <v>172</v>
      </c>
      <c r="B44" s="80">
        <v>0</v>
      </c>
      <c r="C44" s="80">
        <v>112023011</v>
      </c>
      <c r="D44" s="80">
        <v>0</v>
      </c>
      <c r="E44" s="80">
        <v>112023011</v>
      </c>
      <c r="F44" s="77">
        <v>-8.6833549543350848E-4</v>
      </c>
      <c r="G44" s="80">
        <v>0</v>
      </c>
      <c r="H44" s="80">
        <v>-1624988138</v>
      </c>
      <c r="I44" s="80">
        <v>44160781</v>
      </c>
      <c r="J44" s="80">
        <v>-1580827357</v>
      </c>
      <c r="K44" s="77">
        <v>-2.8770420501482538E-3</v>
      </c>
    </row>
    <row r="45" spans="1:11" x14ac:dyDescent="0.4">
      <c r="A45" s="68" t="s">
        <v>247</v>
      </c>
      <c r="B45" s="80">
        <v>0</v>
      </c>
      <c r="C45" s="80">
        <v>-491023023</v>
      </c>
      <c r="D45" s="80">
        <v>0</v>
      </c>
      <c r="E45" s="80">
        <v>-491023023</v>
      </c>
      <c r="F45" s="77">
        <v>3.8061172980430246E-3</v>
      </c>
      <c r="G45" s="80">
        <v>0</v>
      </c>
      <c r="H45" s="80">
        <v>4426381697</v>
      </c>
      <c r="I45" s="80">
        <v>442528114</v>
      </c>
      <c r="J45" s="80">
        <v>4868909811</v>
      </c>
      <c r="K45" s="77">
        <v>8.8612195396276829E-3</v>
      </c>
    </row>
    <row r="46" spans="1:11" x14ac:dyDescent="0.4">
      <c r="A46" s="68" t="s">
        <v>444</v>
      </c>
      <c r="B46" s="80">
        <v>0</v>
      </c>
      <c r="C46" s="80">
        <v>778100577</v>
      </c>
      <c r="D46" s="80">
        <v>0</v>
      </c>
      <c r="E46" s="80">
        <v>778100577</v>
      </c>
      <c r="F46" s="77">
        <v>-6.0313710905913233E-3</v>
      </c>
      <c r="G46" s="80">
        <v>0</v>
      </c>
      <c r="H46" s="80">
        <v>1283157861</v>
      </c>
      <c r="I46" s="80">
        <v>0</v>
      </c>
      <c r="J46" s="80">
        <v>1283157861</v>
      </c>
      <c r="K46" s="77">
        <v>2.3352955695814721E-3</v>
      </c>
    </row>
    <row r="47" spans="1:11" x14ac:dyDescent="0.4">
      <c r="A47" s="68" t="s">
        <v>272</v>
      </c>
      <c r="B47" s="80">
        <v>0</v>
      </c>
      <c r="C47" s="80">
        <v>-1316548112</v>
      </c>
      <c r="D47" s="80">
        <v>824154830</v>
      </c>
      <c r="E47" s="80">
        <v>-492393282</v>
      </c>
      <c r="F47" s="77">
        <v>3.8167387276673115E-3</v>
      </c>
      <c r="G47" s="80">
        <v>3292527600</v>
      </c>
      <c r="H47" s="80">
        <v>12374847870</v>
      </c>
      <c r="I47" s="80">
        <v>4866715409</v>
      </c>
      <c r="J47" s="80">
        <v>20534090879</v>
      </c>
      <c r="K47" s="77">
        <v>3.7371217457017172E-2</v>
      </c>
    </row>
    <row r="48" spans="1:11" x14ac:dyDescent="0.4">
      <c r="A48" s="68" t="s">
        <v>445</v>
      </c>
      <c r="B48" s="80">
        <v>0</v>
      </c>
      <c r="C48" s="80">
        <v>532519244</v>
      </c>
      <c r="D48" s="80">
        <v>0</v>
      </c>
      <c r="E48" s="80">
        <v>532519244</v>
      </c>
      <c r="F48" s="77">
        <v>-4.1277712269902952E-3</v>
      </c>
      <c r="G48" s="80">
        <v>0</v>
      </c>
      <c r="H48" s="80">
        <v>-190534720</v>
      </c>
      <c r="I48" s="80">
        <v>0</v>
      </c>
      <c r="J48" s="80">
        <v>-190534720</v>
      </c>
      <c r="K48" s="77">
        <v>-3.4676550796382982E-4</v>
      </c>
    </row>
    <row r="49" spans="1:11" x14ac:dyDescent="0.4">
      <c r="A49" s="68" t="s">
        <v>186</v>
      </c>
      <c r="B49" s="80">
        <v>0</v>
      </c>
      <c r="C49" s="80">
        <v>-730257772</v>
      </c>
      <c r="D49" s="80">
        <v>0</v>
      </c>
      <c r="E49" s="80">
        <v>-730257772</v>
      </c>
      <c r="F49" s="77">
        <v>5.6605222318456523E-3</v>
      </c>
      <c r="G49" s="80">
        <v>5807092200</v>
      </c>
      <c r="H49" s="80">
        <v>-2148304402</v>
      </c>
      <c r="I49" s="80">
        <v>10019445466</v>
      </c>
      <c r="J49" s="80">
        <v>13678233264</v>
      </c>
      <c r="K49" s="77">
        <v>2.4893833028640205E-2</v>
      </c>
    </row>
    <row r="50" spans="1:11" x14ac:dyDescent="0.4">
      <c r="A50" s="68" t="s">
        <v>446</v>
      </c>
      <c r="B50" s="80">
        <v>0</v>
      </c>
      <c r="C50" s="80">
        <v>-82668059</v>
      </c>
      <c r="D50" s="80">
        <v>-341592104</v>
      </c>
      <c r="E50" s="80">
        <v>-424260163</v>
      </c>
      <c r="F50" s="77">
        <v>3.2886114695783891E-3</v>
      </c>
      <c r="G50" s="80">
        <v>0</v>
      </c>
      <c r="H50" s="80">
        <v>-979399515</v>
      </c>
      <c r="I50" s="80">
        <v>4419915037</v>
      </c>
      <c r="J50" s="80">
        <v>3440515522</v>
      </c>
      <c r="K50" s="77">
        <v>6.2615995270771177E-3</v>
      </c>
    </row>
    <row r="51" spans="1:11" x14ac:dyDescent="0.4">
      <c r="A51" s="68" t="s">
        <v>226</v>
      </c>
      <c r="B51" s="80">
        <v>0</v>
      </c>
      <c r="C51" s="80">
        <v>-2834753273</v>
      </c>
      <c r="D51" s="80">
        <v>0</v>
      </c>
      <c r="E51" s="80">
        <v>-2834753273</v>
      </c>
      <c r="F51" s="77">
        <v>2.1973314819597328E-2</v>
      </c>
      <c r="G51" s="80">
        <v>5072230055</v>
      </c>
      <c r="H51" s="80">
        <v>5351818086</v>
      </c>
      <c r="I51" s="80">
        <v>-3418008040</v>
      </c>
      <c r="J51" s="80">
        <v>7006040101</v>
      </c>
      <c r="K51" s="77">
        <v>1.2750710497479023E-2</v>
      </c>
    </row>
    <row r="52" spans="1:11" x14ac:dyDescent="0.4">
      <c r="A52" s="68" t="s">
        <v>277</v>
      </c>
      <c r="B52" s="80">
        <v>0</v>
      </c>
      <c r="C52" s="80">
        <v>393056891</v>
      </c>
      <c r="D52" s="80">
        <v>0</v>
      </c>
      <c r="E52" s="80">
        <v>393056891</v>
      </c>
      <c r="F52" s="77">
        <v>-3.0467423356442323E-3</v>
      </c>
      <c r="G52" s="80">
        <v>0</v>
      </c>
      <c r="H52" s="80">
        <v>1031471752</v>
      </c>
      <c r="I52" s="80">
        <v>806737558</v>
      </c>
      <c r="J52" s="80">
        <v>1838209310</v>
      </c>
      <c r="K52" s="77">
        <v>3.3454668268648939E-3</v>
      </c>
    </row>
    <row r="53" spans="1:11" x14ac:dyDescent="0.4">
      <c r="A53" s="68" t="s">
        <v>447</v>
      </c>
      <c r="B53" s="80">
        <v>0</v>
      </c>
      <c r="C53" s="80">
        <v>-177228948</v>
      </c>
      <c r="D53" s="80">
        <v>0</v>
      </c>
      <c r="E53" s="80">
        <v>-177228948</v>
      </c>
      <c r="F53" s="77">
        <v>1.3737729863977635E-3</v>
      </c>
      <c r="G53" s="80">
        <v>0</v>
      </c>
      <c r="H53" s="80">
        <v>970953545</v>
      </c>
      <c r="I53" s="80">
        <v>0</v>
      </c>
      <c r="J53" s="80">
        <v>970953545</v>
      </c>
      <c r="K53" s="77">
        <v>1.7670963026644503E-3</v>
      </c>
    </row>
    <row r="54" spans="1:11" x14ac:dyDescent="0.4">
      <c r="A54" s="68" t="s">
        <v>347</v>
      </c>
      <c r="B54" s="80">
        <v>0</v>
      </c>
      <c r="C54" s="80">
        <v>-571547520</v>
      </c>
      <c r="D54" s="80">
        <v>0</v>
      </c>
      <c r="E54" s="80">
        <v>-571547520</v>
      </c>
      <c r="F54" s="77">
        <v>4.430295119839201E-3</v>
      </c>
      <c r="G54" s="80">
        <v>0</v>
      </c>
      <c r="H54" s="80">
        <v>3229663756</v>
      </c>
      <c r="I54" s="80">
        <v>209158348</v>
      </c>
      <c r="J54" s="80">
        <v>3438822104</v>
      </c>
      <c r="K54" s="77">
        <v>6.2585175745964094E-3</v>
      </c>
    </row>
    <row r="55" spans="1:11" x14ac:dyDescent="0.4">
      <c r="A55" s="68" t="s">
        <v>302</v>
      </c>
      <c r="B55" s="80">
        <v>0</v>
      </c>
      <c r="C55" s="80">
        <v>-1379678040</v>
      </c>
      <c r="D55" s="80">
        <v>441955550</v>
      </c>
      <c r="E55" s="80">
        <v>-937722490</v>
      </c>
      <c r="F55" s="77">
        <v>7.2686648543422308E-3</v>
      </c>
      <c r="G55" s="80">
        <v>0</v>
      </c>
      <c r="H55" s="80">
        <v>2788427522</v>
      </c>
      <c r="I55" s="80">
        <v>2179645831</v>
      </c>
      <c r="J55" s="80">
        <v>4968073353</v>
      </c>
      <c r="K55" s="77">
        <v>9.0416931877539807E-3</v>
      </c>
    </row>
    <row r="56" spans="1:11" x14ac:dyDescent="0.4">
      <c r="A56" s="68" t="s">
        <v>273</v>
      </c>
      <c r="B56" s="80">
        <v>0</v>
      </c>
      <c r="C56" s="80">
        <v>-765042075</v>
      </c>
      <c r="D56" s="80">
        <v>0</v>
      </c>
      <c r="E56" s="80">
        <v>-765042075</v>
      </c>
      <c r="F56" s="77">
        <v>5.9301493799573408E-3</v>
      </c>
      <c r="G56" s="80">
        <v>1959126860</v>
      </c>
      <c r="H56" s="80">
        <v>5783673904</v>
      </c>
      <c r="I56" s="80">
        <v>7777296298</v>
      </c>
      <c r="J56" s="80">
        <v>15520097062</v>
      </c>
      <c r="K56" s="77">
        <v>2.8245950876314679E-2</v>
      </c>
    </row>
    <row r="57" spans="1:11" x14ac:dyDescent="0.4">
      <c r="A57" s="68" t="s">
        <v>448</v>
      </c>
      <c r="B57" s="80">
        <v>0</v>
      </c>
      <c r="C57" s="80">
        <v>-102695183</v>
      </c>
      <c r="D57" s="80">
        <v>0</v>
      </c>
      <c r="E57" s="80">
        <v>-102695183</v>
      </c>
      <c r="F57" s="77">
        <v>7.9603174216536475E-4</v>
      </c>
      <c r="G57" s="80">
        <v>0</v>
      </c>
      <c r="H57" s="80">
        <v>166278147</v>
      </c>
      <c r="I57" s="80">
        <v>0</v>
      </c>
      <c r="J57" s="80">
        <v>166278147</v>
      </c>
      <c r="K57" s="77">
        <v>3.0261952313856161E-4</v>
      </c>
    </row>
    <row r="58" spans="1:11" x14ac:dyDescent="0.4">
      <c r="A58" s="68" t="s">
        <v>312</v>
      </c>
      <c r="B58" s="80">
        <v>0</v>
      </c>
      <c r="C58" s="80">
        <v>-1478567714</v>
      </c>
      <c r="D58" s="80">
        <v>0</v>
      </c>
      <c r="E58" s="80">
        <v>-1478567714</v>
      </c>
      <c r="F58" s="77">
        <v>1.1460974107080375E-2</v>
      </c>
      <c r="G58" s="80">
        <v>2776303170</v>
      </c>
      <c r="H58" s="80">
        <v>-836612971</v>
      </c>
      <c r="I58" s="80">
        <v>1783046658</v>
      </c>
      <c r="J58" s="80">
        <v>3722736857</v>
      </c>
      <c r="K58" s="77">
        <v>6.7752309774999336E-3</v>
      </c>
    </row>
    <row r="59" spans="1:11" x14ac:dyDescent="0.4">
      <c r="A59" s="68" t="s">
        <v>449</v>
      </c>
      <c r="B59" s="80">
        <v>0</v>
      </c>
      <c r="C59" s="80">
        <v>1111536686</v>
      </c>
      <c r="D59" s="80">
        <v>0</v>
      </c>
      <c r="E59" s="80">
        <v>1111536686</v>
      </c>
      <c r="F59" s="77">
        <v>-8.6159687220898756E-3</v>
      </c>
      <c r="G59" s="80">
        <v>0</v>
      </c>
      <c r="H59" s="80">
        <v>17908256617</v>
      </c>
      <c r="I59" s="80">
        <v>0</v>
      </c>
      <c r="J59" s="80">
        <v>17908256617</v>
      </c>
      <c r="K59" s="77">
        <v>3.2592304974865587E-2</v>
      </c>
    </row>
    <row r="60" spans="1:11" x14ac:dyDescent="0.4">
      <c r="A60" s="68" t="s">
        <v>346</v>
      </c>
      <c r="B60" s="80">
        <v>0</v>
      </c>
      <c r="C60" s="80">
        <v>-1889666015</v>
      </c>
      <c r="D60" s="80">
        <v>2800697</v>
      </c>
      <c r="E60" s="80">
        <v>-1886865318</v>
      </c>
      <c r="F60" s="77">
        <v>1.4625853350092817E-2</v>
      </c>
      <c r="G60" s="80">
        <v>0</v>
      </c>
      <c r="H60" s="80">
        <v>314037103</v>
      </c>
      <c r="I60" s="80">
        <v>538299080</v>
      </c>
      <c r="J60" s="80">
        <v>852336183</v>
      </c>
      <c r="K60" s="77">
        <v>1.5512174865239617E-3</v>
      </c>
    </row>
    <row r="61" spans="1:11" x14ac:dyDescent="0.4">
      <c r="A61" s="68" t="s">
        <v>353</v>
      </c>
      <c r="B61" s="80">
        <v>0</v>
      </c>
      <c r="C61" s="80">
        <v>647526996</v>
      </c>
      <c r="D61" s="80">
        <v>-321606671</v>
      </c>
      <c r="E61" s="80">
        <v>325920325</v>
      </c>
      <c r="F61" s="77">
        <v>-2.5263397613971032E-3</v>
      </c>
      <c r="G61" s="80">
        <v>0</v>
      </c>
      <c r="H61" s="80">
        <v>-5542670751</v>
      </c>
      <c r="I61" s="80">
        <v>-1388163982</v>
      </c>
      <c r="J61" s="80">
        <v>-6930834733</v>
      </c>
      <c r="K61" s="77">
        <v>-1.2613839760029562E-2</v>
      </c>
    </row>
    <row r="62" spans="1:11" x14ac:dyDescent="0.4">
      <c r="A62" s="68" t="s">
        <v>329</v>
      </c>
      <c r="B62" s="80">
        <v>0</v>
      </c>
      <c r="C62" s="80">
        <v>79077192</v>
      </c>
      <c r="D62" s="80">
        <v>0</v>
      </c>
      <c r="E62" s="80">
        <v>79077192</v>
      </c>
      <c r="F62" s="77">
        <v>-6.1295917758192263E-4</v>
      </c>
      <c r="G62" s="80">
        <v>0</v>
      </c>
      <c r="H62" s="80">
        <v>-6321579163</v>
      </c>
      <c r="I62" s="80">
        <v>-346795698</v>
      </c>
      <c r="J62" s="80">
        <v>-6668374861</v>
      </c>
      <c r="K62" s="77">
        <v>-1.2136173375476648E-2</v>
      </c>
    </row>
    <row r="63" spans="1:11" x14ac:dyDescent="0.4">
      <c r="A63" s="68" t="s">
        <v>170</v>
      </c>
      <c r="B63" s="80">
        <v>0</v>
      </c>
      <c r="C63" s="80">
        <v>114805845</v>
      </c>
      <c r="D63" s="80">
        <v>0</v>
      </c>
      <c r="E63" s="80">
        <v>114805845</v>
      </c>
      <c r="F63" s="77">
        <v>-8.8990636304837032E-4</v>
      </c>
      <c r="G63" s="80">
        <v>99999950</v>
      </c>
      <c r="H63" s="80">
        <v>1278632368</v>
      </c>
      <c r="I63" s="80">
        <v>734050907</v>
      </c>
      <c r="J63" s="80">
        <v>2112683225</v>
      </c>
      <c r="K63" s="77">
        <v>3.8449982852667855E-3</v>
      </c>
    </row>
    <row r="64" spans="1:11" x14ac:dyDescent="0.4">
      <c r="A64" s="68" t="s">
        <v>450</v>
      </c>
      <c r="B64" s="80">
        <v>0</v>
      </c>
      <c r="C64" s="80">
        <v>-1032251185</v>
      </c>
      <c r="D64" s="80">
        <v>0</v>
      </c>
      <c r="E64" s="80">
        <v>-1032251185</v>
      </c>
      <c r="F64" s="77">
        <v>8.0013948575154894E-3</v>
      </c>
      <c r="G64" s="80">
        <v>2180218760</v>
      </c>
      <c r="H64" s="80">
        <v>-7897920345</v>
      </c>
      <c r="I64" s="80">
        <v>-1763883002</v>
      </c>
      <c r="J64" s="80">
        <v>-7481584587</v>
      </c>
      <c r="K64" s="77">
        <v>-1.3616182287855015E-2</v>
      </c>
    </row>
    <row r="65" spans="1:11" x14ac:dyDescent="0.4">
      <c r="A65" s="68" t="s">
        <v>192</v>
      </c>
      <c r="B65" s="80">
        <v>0</v>
      </c>
      <c r="C65" s="80">
        <v>-1370863960</v>
      </c>
      <c r="D65" s="80">
        <v>0</v>
      </c>
      <c r="E65" s="80">
        <v>-1370863960</v>
      </c>
      <c r="F65" s="77">
        <v>1.0626118913002091E-2</v>
      </c>
      <c r="G65" s="80">
        <v>4445453740</v>
      </c>
      <c r="H65" s="80">
        <v>1613960429</v>
      </c>
      <c r="I65" s="80">
        <v>129045433</v>
      </c>
      <c r="J65" s="80">
        <v>6188459602</v>
      </c>
      <c r="K65" s="77">
        <v>1.1262746954471973E-2</v>
      </c>
    </row>
    <row r="66" spans="1:11" x14ac:dyDescent="0.4">
      <c r="A66" s="68" t="s">
        <v>265</v>
      </c>
      <c r="B66" s="80">
        <v>0</v>
      </c>
      <c r="C66" s="80">
        <v>-1970396601</v>
      </c>
      <c r="D66" s="80">
        <v>706025592</v>
      </c>
      <c r="E66" s="80">
        <v>-1264371009</v>
      </c>
      <c r="F66" s="77">
        <v>9.800649140842858E-3</v>
      </c>
      <c r="G66" s="80">
        <v>0</v>
      </c>
      <c r="H66" s="80">
        <v>5761872054</v>
      </c>
      <c r="I66" s="80">
        <v>1964051184</v>
      </c>
      <c r="J66" s="80">
        <v>7725923238</v>
      </c>
      <c r="K66" s="77">
        <v>1.4060868780842813E-2</v>
      </c>
    </row>
    <row r="67" spans="1:11" x14ac:dyDescent="0.4">
      <c r="A67" s="68" t="s">
        <v>242</v>
      </c>
      <c r="B67" s="80">
        <v>0</v>
      </c>
      <c r="C67" s="80">
        <v>-1748389286</v>
      </c>
      <c r="D67" s="80">
        <v>0</v>
      </c>
      <c r="E67" s="80">
        <v>-1748389286</v>
      </c>
      <c r="F67" s="77">
        <v>1.3552469830233791E-2</v>
      </c>
      <c r="G67" s="80">
        <v>4034657942</v>
      </c>
      <c r="H67" s="80">
        <v>-16126325155</v>
      </c>
      <c r="I67" s="80">
        <v>-6817238234</v>
      </c>
      <c r="J67" s="80">
        <v>-18908905447</v>
      </c>
      <c r="K67" s="77">
        <v>-3.4413445498904259E-2</v>
      </c>
    </row>
    <row r="68" spans="1:11" x14ac:dyDescent="0.4">
      <c r="A68" s="68" t="s">
        <v>221</v>
      </c>
      <c r="B68" s="80">
        <v>0</v>
      </c>
      <c r="C68" s="80">
        <v>-583343408</v>
      </c>
      <c r="D68" s="80">
        <v>-606086996</v>
      </c>
      <c r="E68" s="80">
        <v>-1189430404</v>
      </c>
      <c r="F68" s="77">
        <v>9.2197543158433586E-3</v>
      </c>
      <c r="G68" s="80">
        <v>0</v>
      </c>
      <c r="H68" s="80">
        <v>-1827310221</v>
      </c>
      <c r="I68" s="80">
        <v>217787809</v>
      </c>
      <c r="J68" s="80">
        <v>-1609522412</v>
      </c>
      <c r="K68" s="77">
        <v>-2.9292658932521514E-3</v>
      </c>
    </row>
    <row r="69" spans="1:11" x14ac:dyDescent="0.4">
      <c r="A69" s="68" t="s">
        <v>187</v>
      </c>
      <c r="B69" s="80">
        <v>0</v>
      </c>
      <c r="C69" s="80">
        <v>162120120</v>
      </c>
      <c r="D69" s="80">
        <v>72586900</v>
      </c>
      <c r="E69" s="80">
        <v>234707020</v>
      </c>
      <c r="F69" s="77">
        <v>-1.8193086819762627E-3</v>
      </c>
      <c r="G69" s="80">
        <v>544518100</v>
      </c>
      <c r="H69" s="80">
        <v>2550117613</v>
      </c>
      <c r="I69" s="80">
        <v>15623358252</v>
      </c>
      <c r="J69" s="80">
        <v>18717993965</v>
      </c>
      <c r="K69" s="77">
        <v>3.4065994299291621E-2</v>
      </c>
    </row>
    <row r="70" spans="1:11" x14ac:dyDescent="0.4">
      <c r="A70" s="68" t="s">
        <v>224</v>
      </c>
      <c r="B70" s="80">
        <v>0</v>
      </c>
      <c r="C70" s="80">
        <v>-822324500</v>
      </c>
      <c r="D70" s="80">
        <v>359499757</v>
      </c>
      <c r="E70" s="80">
        <v>-462824743</v>
      </c>
      <c r="F70" s="77">
        <v>3.5875410678953383E-3</v>
      </c>
      <c r="G70" s="80">
        <v>2863622210</v>
      </c>
      <c r="H70" s="80">
        <v>6046450799</v>
      </c>
      <c r="I70" s="80">
        <v>2806157529</v>
      </c>
      <c r="J70" s="80">
        <v>11716230538</v>
      </c>
      <c r="K70" s="77">
        <v>2.1323067176055394E-2</v>
      </c>
    </row>
    <row r="71" spans="1:11" x14ac:dyDescent="0.4">
      <c r="A71" s="68" t="s">
        <v>451</v>
      </c>
      <c r="B71" s="80">
        <v>0</v>
      </c>
      <c r="C71" s="80">
        <v>-1321595840</v>
      </c>
      <c r="D71" s="80">
        <v>0</v>
      </c>
      <c r="E71" s="80">
        <v>-1321595840</v>
      </c>
      <c r="F71" s="77">
        <v>1.0244221863392546E-2</v>
      </c>
      <c r="G71" s="80">
        <v>0</v>
      </c>
      <c r="H71" s="80">
        <v>2810724909</v>
      </c>
      <c r="I71" s="80">
        <v>0</v>
      </c>
      <c r="J71" s="80">
        <v>2810724909</v>
      </c>
      <c r="K71" s="77">
        <v>5.1154060048267018E-3</v>
      </c>
    </row>
    <row r="72" spans="1:11" x14ac:dyDescent="0.4">
      <c r="A72" s="68" t="s">
        <v>322</v>
      </c>
      <c r="B72" s="80">
        <v>0</v>
      </c>
      <c r="C72" s="80">
        <v>-1612474094</v>
      </c>
      <c r="D72" s="80">
        <v>0</v>
      </c>
      <c r="E72" s="80">
        <v>-1612474094</v>
      </c>
      <c r="F72" s="77">
        <v>1.2498936413048098E-2</v>
      </c>
      <c r="G72" s="80">
        <v>10632176000</v>
      </c>
      <c r="H72" s="80">
        <v>7799602496</v>
      </c>
      <c r="I72" s="80">
        <v>2191515608</v>
      </c>
      <c r="J72" s="80">
        <v>20623294104</v>
      </c>
      <c r="K72" s="77">
        <v>3.7533563729807436E-2</v>
      </c>
    </row>
    <row r="73" spans="1:11" x14ac:dyDescent="0.4">
      <c r="A73" s="68" t="s">
        <v>452</v>
      </c>
      <c r="B73" s="80">
        <v>0</v>
      </c>
      <c r="C73" s="80">
        <v>-467705504</v>
      </c>
      <c r="D73" s="80">
        <v>0</v>
      </c>
      <c r="E73" s="80">
        <v>-467705504</v>
      </c>
      <c r="F73" s="77">
        <v>3.6253738130000699E-3</v>
      </c>
      <c r="G73" s="80">
        <v>0</v>
      </c>
      <c r="H73" s="80">
        <v>3782045805</v>
      </c>
      <c r="I73" s="80">
        <v>2875299131</v>
      </c>
      <c r="J73" s="80">
        <v>6657344936</v>
      </c>
      <c r="K73" s="77">
        <v>1.2116099356707637E-2</v>
      </c>
    </row>
    <row r="74" spans="1:11" x14ac:dyDescent="0.4">
      <c r="A74" s="68" t="s">
        <v>331</v>
      </c>
      <c r="B74" s="80">
        <v>0</v>
      </c>
      <c r="C74" s="80">
        <v>-1574949981</v>
      </c>
      <c r="D74" s="80">
        <v>-215910571</v>
      </c>
      <c r="E74" s="80">
        <v>-1790860552</v>
      </c>
      <c r="F74" s="77">
        <v>1.3881681725848687E-2</v>
      </c>
      <c r="G74" s="80">
        <v>3816783240</v>
      </c>
      <c r="H74" s="80">
        <v>-1513832043</v>
      </c>
      <c r="I74" s="80">
        <v>-404312030</v>
      </c>
      <c r="J74" s="80">
        <v>1898639167</v>
      </c>
      <c r="K74" s="77">
        <v>3.4554467300488734E-3</v>
      </c>
    </row>
    <row r="75" spans="1:11" x14ac:dyDescent="0.4">
      <c r="A75" s="68" t="s">
        <v>301</v>
      </c>
      <c r="B75" s="80">
        <v>0</v>
      </c>
      <c r="C75" s="80">
        <v>622705365</v>
      </c>
      <c r="D75" s="80">
        <v>-6093476</v>
      </c>
      <c r="E75" s="80">
        <v>616611889</v>
      </c>
      <c r="F75" s="77">
        <v>-4.7796072016400857E-3</v>
      </c>
      <c r="G75" s="80">
        <v>0</v>
      </c>
      <c r="H75" s="80">
        <v>-398630033</v>
      </c>
      <c r="I75" s="80">
        <v>2286704895</v>
      </c>
      <c r="J75" s="80">
        <v>1888074862</v>
      </c>
      <c r="K75" s="77">
        <v>3.4362201209058793E-3</v>
      </c>
    </row>
    <row r="76" spans="1:11" x14ac:dyDescent="0.4">
      <c r="A76" s="68" t="s">
        <v>333</v>
      </c>
      <c r="B76" s="80">
        <v>0</v>
      </c>
      <c r="C76" s="80">
        <v>-1445910507</v>
      </c>
      <c r="D76" s="80">
        <v>159745777</v>
      </c>
      <c r="E76" s="80">
        <v>-1286164730</v>
      </c>
      <c r="F76" s="77">
        <v>9.9695810536074118E-3</v>
      </c>
      <c r="G76" s="80">
        <v>3295057660</v>
      </c>
      <c r="H76" s="80">
        <v>1172976010</v>
      </c>
      <c r="I76" s="80">
        <v>1736851573</v>
      </c>
      <c r="J76" s="80">
        <v>6204885243</v>
      </c>
      <c r="K76" s="77">
        <v>1.1292640958803554E-2</v>
      </c>
    </row>
    <row r="77" spans="1:11" x14ac:dyDescent="0.4">
      <c r="A77" s="68" t="s">
        <v>356</v>
      </c>
      <c r="B77" s="80">
        <v>0</v>
      </c>
      <c r="C77" s="80">
        <v>478189750</v>
      </c>
      <c r="D77" s="80">
        <v>56190627</v>
      </c>
      <c r="E77" s="80">
        <v>534380377</v>
      </c>
      <c r="F77" s="77">
        <v>-4.1421976187753073E-3</v>
      </c>
      <c r="G77" s="80">
        <v>0</v>
      </c>
      <c r="H77" s="80">
        <v>2559706815</v>
      </c>
      <c r="I77" s="80">
        <v>120757573</v>
      </c>
      <c r="J77" s="80">
        <v>2680464388</v>
      </c>
      <c r="K77" s="77">
        <v>4.8783371087630437E-3</v>
      </c>
    </row>
    <row r="78" spans="1:11" x14ac:dyDescent="0.4">
      <c r="A78" s="68" t="s">
        <v>197</v>
      </c>
      <c r="B78" s="80">
        <v>0</v>
      </c>
      <c r="C78" s="80">
        <v>-2112920488</v>
      </c>
      <c r="D78" s="80">
        <v>0</v>
      </c>
      <c r="E78" s="80">
        <v>-2112920488</v>
      </c>
      <c r="F78" s="77">
        <v>1.6378098056649186E-2</v>
      </c>
      <c r="G78" s="80">
        <v>0</v>
      </c>
      <c r="H78" s="80">
        <v>-883172168</v>
      </c>
      <c r="I78" s="80">
        <v>964210312</v>
      </c>
      <c r="J78" s="80">
        <v>81038144</v>
      </c>
      <c r="K78" s="77">
        <v>1.4748615458959913E-4</v>
      </c>
    </row>
    <row r="79" spans="1:11" x14ac:dyDescent="0.4">
      <c r="A79" s="68" t="s">
        <v>327</v>
      </c>
      <c r="B79" s="80">
        <v>0</v>
      </c>
      <c r="C79" s="80">
        <v>-382476048</v>
      </c>
      <c r="D79" s="80">
        <v>0</v>
      </c>
      <c r="E79" s="80">
        <v>-382476048</v>
      </c>
      <c r="F79" s="77">
        <v>2.964725958236655E-3</v>
      </c>
      <c r="G79" s="80">
        <v>293697600</v>
      </c>
      <c r="H79" s="80">
        <v>2458565393</v>
      </c>
      <c r="I79" s="80">
        <v>1297857400</v>
      </c>
      <c r="J79" s="80">
        <v>4050120393</v>
      </c>
      <c r="K79" s="77">
        <v>7.3710558127847298E-3</v>
      </c>
    </row>
    <row r="80" spans="1:11" x14ac:dyDescent="0.4">
      <c r="A80" s="68" t="s">
        <v>259</v>
      </c>
      <c r="B80" s="80">
        <v>0</v>
      </c>
      <c r="C80" s="80">
        <v>-2303711911</v>
      </c>
      <c r="D80" s="80">
        <v>0</v>
      </c>
      <c r="E80" s="80">
        <v>-2303711911</v>
      </c>
      <c r="F80" s="77">
        <v>1.7856999251468608E-2</v>
      </c>
      <c r="G80" s="80">
        <v>370000000</v>
      </c>
      <c r="H80" s="80">
        <v>-1390290242</v>
      </c>
      <c r="I80" s="80">
        <v>1061901905</v>
      </c>
      <c r="J80" s="80">
        <v>41611663</v>
      </c>
      <c r="K80" s="77">
        <v>7.5731548861093141E-5</v>
      </c>
    </row>
    <row r="81" spans="1:11" x14ac:dyDescent="0.4">
      <c r="A81" s="68" t="s">
        <v>359</v>
      </c>
      <c r="B81" s="80">
        <v>0</v>
      </c>
      <c r="C81" s="80">
        <v>46190168</v>
      </c>
      <c r="D81" s="80">
        <v>0</v>
      </c>
      <c r="E81" s="80">
        <v>46190168</v>
      </c>
      <c r="F81" s="77">
        <v>-3.5803860346547006E-4</v>
      </c>
      <c r="G81" s="80">
        <v>24500000</v>
      </c>
      <c r="H81" s="80">
        <v>789416656</v>
      </c>
      <c r="I81" s="80">
        <v>0</v>
      </c>
      <c r="J81" s="80">
        <v>813916656</v>
      </c>
      <c r="K81" s="77">
        <v>1.4812954964746672E-3</v>
      </c>
    </row>
    <row r="82" spans="1:11" x14ac:dyDescent="0.4">
      <c r="A82" s="68" t="s">
        <v>348</v>
      </c>
      <c r="B82" s="80">
        <v>0</v>
      </c>
      <c r="C82" s="80">
        <v>1879807746</v>
      </c>
      <c r="D82" s="80">
        <v>502369384</v>
      </c>
      <c r="E82" s="80">
        <v>2382177130</v>
      </c>
      <c r="F82" s="77">
        <v>-1.8465214779746664E-2</v>
      </c>
      <c r="G82" s="80">
        <v>49200</v>
      </c>
      <c r="H82" s="80">
        <v>2056895333</v>
      </c>
      <c r="I82" s="80">
        <v>27451524</v>
      </c>
      <c r="J82" s="80">
        <v>2084396057</v>
      </c>
      <c r="K82" s="77">
        <v>3.7935167800567209E-3</v>
      </c>
    </row>
    <row r="83" spans="1:11" x14ac:dyDescent="0.4">
      <c r="A83" s="68" t="s">
        <v>325</v>
      </c>
      <c r="B83" s="80">
        <v>0</v>
      </c>
      <c r="C83" s="80">
        <v>-1586207852</v>
      </c>
      <c r="D83" s="80">
        <v>165864327</v>
      </c>
      <c r="E83" s="80">
        <v>-1420343525</v>
      </c>
      <c r="F83" s="77">
        <v>1.1009654958003681E-2</v>
      </c>
      <c r="G83" s="80">
        <v>3747255000</v>
      </c>
      <c r="H83" s="80">
        <v>3560552127</v>
      </c>
      <c r="I83" s="80">
        <v>2536742880</v>
      </c>
      <c r="J83" s="80">
        <v>9844550007</v>
      </c>
      <c r="K83" s="77">
        <v>1.7916684076543524E-2</v>
      </c>
    </row>
    <row r="84" spans="1:11" x14ac:dyDescent="0.4">
      <c r="A84" s="68" t="s">
        <v>249</v>
      </c>
      <c r="B84" s="80">
        <v>0</v>
      </c>
      <c r="C84" s="80">
        <v>-881062345</v>
      </c>
      <c r="D84" s="80">
        <v>-180153876</v>
      </c>
      <c r="E84" s="80">
        <v>-1061216221</v>
      </c>
      <c r="F84" s="77">
        <v>8.2259145223663958E-3</v>
      </c>
      <c r="G84" s="80">
        <v>0</v>
      </c>
      <c r="H84" s="80">
        <v>-6168639491</v>
      </c>
      <c r="I84" s="80">
        <v>-1716687228</v>
      </c>
      <c r="J84" s="80">
        <v>-7885326719</v>
      </c>
      <c r="K84" s="77">
        <v>-1.4350976689050658E-2</v>
      </c>
    </row>
    <row r="85" spans="1:11" x14ac:dyDescent="0.4">
      <c r="A85" s="68" t="s">
        <v>324</v>
      </c>
      <c r="B85" s="80">
        <v>0</v>
      </c>
      <c r="C85" s="80">
        <v>438587229</v>
      </c>
      <c r="D85" s="80">
        <v>0</v>
      </c>
      <c r="E85" s="80">
        <v>438587229</v>
      </c>
      <c r="F85" s="77">
        <v>-3.3996663309159279E-3</v>
      </c>
      <c r="G85" s="80">
        <v>0</v>
      </c>
      <c r="H85" s="80">
        <v>10149781329</v>
      </c>
      <c r="I85" s="80">
        <v>5475603029</v>
      </c>
      <c r="J85" s="80">
        <v>15625384358</v>
      </c>
      <c r="K85" s="77">
        <v>2.8437569509808767E-2</v>
      </c>
    </row>
    <row r="86" spans="1:11" x14ac:dyDescent="0.4">
      <c r="A86" s="68" t="s">
        <v>203</v>
      </c>
      <c r="B86" s="80">
        <v>0</v>
      </c>
      <c r="C86" s="80">
        <v>1124662117</v>
      </c>
      <c r="D86" s="80">
        <v>379834925</v>
      </c>
      <c r="E86" s="80">
        <v>1504497042</v>
      </c>
      <c r="F86" s="77">
        <v>-1.1661962776052484E-2</v>
      </c>
      <c r="G86" s="80">
        <v>14908718125</v>
      </c>
      <c r="H86" s="80">
        <v>9914646093</v>
      </c>
      <c r="I86" s="80">
        <v>10568910007</v>
      </c>
      <c r="J86" s="80">
        <v>35392274225</v>
      </c>
      <c r="K86" s="77">
        <v>6.4412512058837815E-2</v>
      </c>
    </row>
    <row r="87" spans="1:11" x14ac:dyDescent="0.4">
      <c r="A87" s="68" t="s">
        <v>339</v>
      </c>
      <c r="B87" s="80">
        <v>0</v>
      </c>
      <c r="C87" s="80">
        <v>-316288861</v>
      </c>
      <c r="D87" s="80">
        <v>0</v>
      </c>
      <c r="E87" s="80">
        <v>-316288861</v>
      </c>
      <c r="F87" s="77">
        <v>2.4516824031496089E-3</v>
      </c>
      <c r="G87" s="80">
        <v>6902065990</v>
      </c>
      <c r="H87" s="80">
        <v>-2196406652</v>
      </c>
      <c r="I87" s="80">
        <v>-20941216962</v>
      </c>
      <c r="J87" s="80">
        <v>-16235557624</v>
      </c>
      <c r="K87" s="77">
        <v>-2.9548060251498465E-2</v>
      </c>
    </row>
    <row r="88" spans="1:11" x14ac:dyDescent="0.4">
      <c r="A88" s="68" t="s">
        <v>269</v>
      </c>
      <c r="B88" s="80">
        <v>3320631930</v>
      </c>
      <c r="C88" s="80">
        <v>-684835540</v>
      </c>
      <c r="D88" s="80">
        <v>0</v>
      </c>
      <c r="E88" s="80">
        <v>2635796390</v>
      </c>
      <c r="F88" s="77">
        <v>-2.0431119854228012E-2</v>
      </c>
      <c r="G88" s="80">
        <v>3320631930</v>
      </c>
      <c r="H88" s="80">
        <v>-678980225</v>
      </c>
      <c r="I88" s="80">
        <v>70881184</v>
      </c>
      <c r="J88" s="80">
        <v>2712532889</v>
      </c>
      <c r="K88" s="77">
        <v>4.9367004875682484E-3</v>
      </c>
    </row>
    <row r="89" spans="1:11" x14ac:dyDescent="0.4">
      <c r="A89" s="68" t="s">
        <v>246</v>
      </c>
      <c r="B89" s="80">
        <v>0</v>
      </c>
      <c r="C89" s="80">
        <v>-126409433</v>
      </c>
      <c r="D89" s="80">
        <v>126683249</v>
      </c>
      <c r="E89" s="80">
        <v>273816</v>
      </c>
      <c r="F89" s="77">
        <v>-2.1224581440470436E-6</v>
      </c>
      <c r="G89" s="80">
        <v>1650000000</v>
      </c>
      <c r="H89" s="80">
        <v>1920443316</v>
      </c>
      <c r="I89" s="80">
        <v>840024038</v>
      </c>
      <c r="J89" s="80">
        <v>4410467354</v>
      </c>
      <c r="K89" s="77">
        <v>8.026872752471036E-3</v>
      </c>
    </row>
    <row r="90" spans="1:11" x14ac:dyDescent="0.4">
      <c r="A90" s="68" t="s">
        <v>279</v>
      </c>
      <c r="B90" s="80">
        <v>0</v>
      </c>
      <c r="C90" s="80">
        <v>-294146217</v>
      </c>
      <c r="D90" s="80">
        <v>0</v>
      </c>
      <c r="E90" s="80">
        <v>-294146217</v>
      </c>
      <c r="F90" s="77">
        <v>2.2800458476213187E-3</v>
      </c>
      <c r="G90" s="80">
        <v>10319249000</v>
      </c>
      <c r="H90" s="80">
        <v>5204563626</v>
      </c>
      <c r="I90" s="80">
        <v>13857629339</v>
      </c>
      <c r="J90" s="80">
        <v>29381441965</v>
      </c>
      <c r="K90" s="77">
        <v>5.3473039704800315E-2</v>
      </c>
    </row>
    <row r="91" spans="1:11" x14ac:dyDescent="0.4">
      <c r="A91" s="68" t="s">
        <v>453</v>
      </c>
      <c r="B91" s="80">
        <v>0</v>
      </c>
      <c r="C91" s="80">
        <v>-805070386</v>
      </c>
      <c r="D91" s="80">
        <v>0</v>
      </c>
      <c r="E91" s="80">
        <v>-805070386</v>
      </c>
      <c r="F91" s="77">
        <v>6.2404249470330332E-3</v>
      </c>
      <c r="G91" s="80">
        <v>0</v>
      </c>
      <c r="H91" s="80">
        <v>3434783292</v>
      </c>
      <c r="I91" s="80">
        <v>0</v>
      </c>
      <c r="J91" s="80">
        <v>3434783292</v>
      </c>
      <c r="K91" s="77">
        <v>6.251167099602925E-3</v>
      </c>
    </row>
    <row r="92" spans="1:11" x14ac:dyDescent="0.4">
      <c r="A92" s="68" t="s">
        <v>183</v>
      </c>
      <c r="B92" s="80">
        <v>0</v>
      </c>
      <c r="C92" s="80">
        <v>7498795248</v>
      </c>
      <c r="D92" s="80">
        <v>0</v>
      </c>
      <c r="E92" s="80">
        <v>7498795248</v>
      </c>
      <c r="F92" s="77">
        <v>-5.812618343945887E-2</v>
      </c>
      <c r="G92" s="80">
        <v>0</v>
      </c>
      <c r="H92" s="80">
        <v>3398804677</v>
      </c>
      <c r="I92" s="80">
        <v>627471740</v>
      </c>
      <c r="J92" s="80">
        <v>4026276417</v>
      </c>
      <c r="K92" s="77">
        <v>7.3276607378633856E-3</v>
      </c>
    </row>
    <row r="93" spans="1:11" x14ac:dyDescent="0.4">
      <c r="A93" s="68" t="s">
        <v>454</v>
      </c>
      <c r="B93" s="80">
        <v>0</v>
      </c>
      <c r="C93" s="80">
        <v>-13891780</v>
      </c>
      <c r="D93" s="80">
        <v>0</v>
      </c>
      <c r="E93" s="80">
        <v>-13891780</v>
      </c>
      <c r="F93" s="77">
        <v>1.0768078416275834E-4</v>
      </c>
      <c r="G93" s="80">
        <v>0</v>
      </c>
      <c r="H93" s="80">
        <v>-291421267</v>
      </c>
      <c r="I93" s="80">
        <v>0</v>
      </c>
      <c r="J93" s="80">
        <v>-291421267</v>
      </c>
      <c r="K93" s="77">
        <v>-5.3037495571787584E-4</v>
      </c>
    </row>
    <row r="94" spans="1:11" x14ac:dyDescent="0.4">
      <c r="A94" s="68" t="s">
        <v>218</v>
      </c>
      <c r="B94" s="80">
        <v>0</v>
      </c>
      <c r="C94" s="80">
        <v>-1412067759</v>
      </c>
      <c r="D94" s="80">
        <v>0</v>
      </c>
      <c r="E94" s="80">
        <v>-1412067759</v>
      </c>
      <c r="F94" s="77">
        <v>1.0945506161202443E-2</v>
      </c>
      <c r="G94" s="80">
        <v>0</v>
      </c>
      <c r="H94" s="80">
        <v>-5035203373</v>
      </c>
      <c r="I94" s="80">
        <v>-225139990</v>
      </c>
      <c r="J94" s="80">
        <v>-5260343363</v>
      </c>
      <c r="K94" s="77">
        <v>-9.5736128215101989E-3</v>
      </c>
    </row>
    <row r="95" spans="1:11" x14ac:dyDescent="0.4">
      <c r="A95" s="68" t="s">
        <v>455</v>
      </c>
      <c r="B95" s="80">
        <v>0</v>
      </c>
      <c r="C95" s="80">
        <v>-883078436</v>
      </c>
      <c r="D95" s="80">
        <v>0</v>
      </c>
      <c r="E95" s="80">
        <v>-883078436</v>
      </c>
      <c r="F95" s="77">
        <v>6.8450967741860444E-3</v>
      </c>
      <c r="G95" s="80">
        <v>3010453000</v>
      </c>
      <c r="H95" s="80">
        <v>11096661502</v>
      </c>
      <c r="I95" s="80">
        <v>236535637</v>
      </c>
      <c r="J95" s="80">
        <v>14343650139</v>
      </c>
      <c r="K95" s="77">
        <v>2.6104864911265478E-2</v>
      </c>
    </row>
    <row r="96" spans="1:11" x14ac:dyDescent="0.4">
      <c r="A96" s="68" t="s">
        <v>189</v>
      </c>
      <c r="B96" s="80">
        <v>0</v>
      </c>
      <c r="C96" s="80">
        <v>-379062867</v>
      </c>
      <c r="D96" s="80">
        <v>0</v>
      </c>
      <c r="E96" s="80">
        <v>-379062867</v>
      </c>
      <c r="F96" s="77">
        <v>2.9382690170405355E-3</v>
      </c>
      <c r="G96" s="80">
        <v>0</v>
      </c>
      <c r="H96" s="80">
        <v>11982918017</v>
      </c>
      <c r="I96" s="80">
        <v>352329641</v>
      </c>
      <c r="J96" s="80">
        <v>12335247658</v>
      </c>
      <c r="K96" s="77">
        <v>2.2449653375437358E-2</v>
      </c>
    </row>
    <row r="97" spans="1:11" x14ac:dyDescent="0.4">
      <c r="A97" s="68" t="s">
        <v>321</v>
      </c>
      <c r="B97" s="80">
        <v>0</v>
      </c>
      <c r="C97" s="80">
        <v>-279136962</v>
      </c>
      <c r="D97" s="80">
        <v>0</v>
      </c>
      <c r="E97" s="80">
        <v>-279136962</v>
      </c>
      <c r="F97" s="77">
        <v>2.163703064471945E-3</v>
      </c>
      <c r="G97" s="80">
        <v>3073492300</v>
      </c>
      <c r="H97" s="80">
        <v>-2715931695</v>
      </c>
      <c r="I97" s="80">
        <v>-8985536930</v>
      </c>
      <c r="J97" s="80">
        <v>-8627976325</v>
      </c>
      <c r="K97" s="77">
        <v>-1.5702569028041305E-2</v>
      </c>
    </row>
    <row r="98" spans="1:11" x14ac:dyDescent="0.4">
      <c r="A98" s="68" t="s">
        <v>217</v>
      </c>
      <c r="B98" s="80">
        <v>0</v>
      </c>
      <c r="C98" s="80">
        <v>-1903765829</v>
      </c>
      <c r="D98" s="80">
        <v>96452543</v>
      </c>
      <c r="E98" s="80">
        <v>-1807313286</v>
      </c>
      <c r="F98" s="77">
        <v>1.4009213496344711E-2</v>
      </c>
      <c r="G98" s="80">
        <v>0</v>
      </c>
      <c r="H98" s="80">
        <v>5927016270</v>
      </c>
      <c r="I98" s="80">
        <v>1546453285</v>
      </c>
      <c r="J98" s="80">
        <v>7473469555</v>
      </c>
      <c r="K98" s="77">
        <v>1.3601413256816354E-2</v>
      </c>
    </row>
    <row r="99" spans="1:11" x14ac:dyDescent="0.4">
      <c r="A99" s="68" t="s">
        <v>340</v>
      </c>
      <c r="B99" s="80">
        <v>0</v>
      </c>
      <c r="C99" s="80">
        <v>-610310003</v>
      </c>
      <c r="D99" s="80">
        <v>0</v>
      </c>
      <c r="E99" s="80">
        <v>-610310003</v>
      </c>
      <c r="F99" s="77">
        <v>4.730758744049747E-3</v>
      </c>
      <c r="G99" s="80">
        <v>2494455880</v>
      </c>
      <c r="H99" s="80">
        <v>443726957</v>
      </c>
      <c r="I99" s="80">
        <v>-1069376930</v>
      </c>
      <c r="J99" s="80">
        <v>1868805907</v>
      </c>
      <c r="K99" s="77">
        <v>3.4011513997378572E-3</v>
      </c>
    </row>
    <row r="100" spans="1:11" x14ac:dyDescent="0.4">
      <c r="A100" s="68" t="s">
        <v>206</v>
      </c>
      <c r="B100" s="80">
        <v>0</v>
      </c>
      <c r="C100" s="80">
        <v>-2023297208</v>
      </c>
      <c r="D100" s="80">
        <v>152768049</v>
      </c>
      <c r="E100" s="80">
        <v>-1870529159</v>
      </c>
      <c r="F100" s="77">
        <v>1.4499225199393086E-2</v>
      </c>
      <c r="G100" s="80">
        <v>0</v>
      </c>
      <c r="H100" s="80">
        <v>1912465209</v>
      </c>
      <c r="I100" s="80">
        <v>2339316316</v>
      </c>
      <c r="J100" s="80">
        <v>4251781525</v>
      </c>
      <c r="K100" s="77">
        <v>7.7380709419671749E-3</v>
      </c>
    </row>
    <row r="101" spans="1:11" x14ac:dyDescent="0.4">
      <c r="A101" s="68" t="s">
        <v>229</v>
      </c>
      <c r="B101" s="80">
        <v>0</v>
      </c>
      <c r="C101" s="80">
        <v>462258575</v>
      </c>
      <c r="D101" s="80">
        <v>0</v>
      </c>
      <c r="E101" s="80">
        <v>462258575</v>
      </c>
      <c r="F101" s="77">
        <v>-3.5831524716025765E-3</v>
      </c>
      <c r="G101" s="80">
        <v>2994487650</v>
      </c>
      <c r="H101" s="80">
        <v>-828246532</v>
      </c>
      <c r="I101" s="80">
        <v>598659477</v>
      </c>
      <c r="J101" s="80">
        <v>2764900595</v>
      </c>
      <c r="K101" s="77">
        <v>5.032007601001383E-3</v>
      </c>
    </row>
    <row r="102" spans="1:11" x14ac:dyDescent="0.4">
      <c r="A102" s="68" t="s">
        <v>456</v>
      </c>
      <c r="B102" s="80">
        <v>0</v>
      </c>
      <c r="C102" s="80">
        <v>-474270281</v>
      </c>
      <c r="D102" s="80">
        <v>0</v>
      </c>
      <c r="E102" s="80">
        <v>-474270281</v>
      </c>
      <c r="F102" s="77">
        <v>3.6762600446574702E-3</v>
      </c>
      <c r="G102" s="80">
        <v>0</v>
      </c>
      <c r="H102" s="80">
        <v>1500380178</v>
      </c>
      <c r="I102" s="80">
        <v>0</v>
      </c>
      <c r="J102" s="80">
        <v>1500380178</v>
      </c>
      <c r="K102" s="77">
        <v>2.7306314280307093E-3</v>
      </c>
    </row>
    <row r="103" spans="1:11" x14ac:dyDescent="0.4">
      <c r="A103" s="68" t="s">
        <v>248</v>
      </c>
      <c r="B103" s="80">
        <v>0</v>
      </c>
      <c r="C103" s="80">
        <v>255446405</v>
      </c>
      <c r="D103" s="80">
        <v>-847929478</v>
      </c>
      <c r="E103" s="80">
        <v>-592483073</v>
      </c>
      <c r="F103" s="77">
        <v>4.5925750266561085E-3</v>
      </c>
      <c r="G103" s="80">
        <v>0</v>
      </c>
      <c r="H103" s="80">
        <v>-4813605416</v>
      </c>
      <c r="I103" s="80">
        <v>-847929478</v>
      </c>
      <c r="J103" s="80">
        <v>-5661534894</v>
      </c>
      <c r="K103" s="77">
        <v>-1.0303765231727095E-2</v>
      </c>
    </row>
    <row r="104" spans="1:11" x14ac:dyDescent="0.4">
      <c r="A104" s="68" t="s">
        <v>200</v>
      </c>
      <c r="B104" s="80">
        <v>0</v>
      </c>
      <c r="C104" s="80">
        <v>339288967</v>
      </c>
      <c r="D104" s="80">
        <v>-189779967</v>
      </c>
      <c r="E104" s="80">
        <v>149509000</v>
      </c>
      <c r="F104" s="77">
        <v>-1.1589045003152826E-3</v>
      </c>
      <c r="G104" s="80">
        <v>1524233883</v>
      </c>
      <c r="H104" s="80">
        <v>-541034480</v>
      </c>
      <c r="I104" s="80">
        <v>3410978066</v>
      </c>
      <c r="J104" s="80">
        <v>4394177469</v>
      </c>
      <c r="K104" s="77">
        <v>7.9972258185857202E-3</v>
      </c>
    </row>
    <row r="105" spans="1:11" x14ac:dyDescent="0.4">
      <c r="A105" s="68" t="s">
        <v>232</v>
      </c>
      <c r="B105" s="80">
        <v>0</v>
      </c>
      <c r="C105" s="80">
        <v>1663233051</v>
      </c>
      <c r="D105" s="80">
        <v>0</v>
      </c>
      <c r="E105" s="80">
        <v>1663233051</v>
      </c>
      <c r="F105" s="77">
        <v>-1.2892389540944144E-2</v>
      </c>
      <c r="G105" s="80">
        <v>0</v>
      </c>
      <c r="H105" s="80">
        <v>-3646485119</v>
      </c>
      <c r="I105" s="80">
        <v>-2840447169</v>
      </c>
      <c r="J105" s="80">
        <v>-6486932288</v>
      </c>
      <c r="K105" s="77">
        <v>-1.1805955208453811E-2</v>
      </c>
    </row>
    <row r="106" spans="1:11" x14ac:dyDescent="0.4">
      <c r="A106" s="68" t="s">
        <v>180</v>
      </c>
      <c r="B106" s="80">
        <v>0</v>
      </c>
      <c r="C106" s="80">
        <v>416753400</v>
      </c>
      <c r="D106" s="80">
        <v>0</v>
      </c>
      <c r="E106" s="80">
        <v>416753400</v>
      </c>
      <c r="F106" s="77">
        <v>-3.2304235248827502E-3</v>
      </c>
      <c r="G106" s="80">
        <v>6240576192</v>
      </c>
      <c r="H106" s="80">
        <v>-2725902221</v>
      </c>
      <c r="I106" s="80">
        <v>-621421413</v>
      </c>
      <c r="J106" s="80">
        <v>2893252558</v>
      </c>
      <c r="K106" s="77">
        <v>5.2656029984588628E-3</v>
      </c>
    </row>
    <row r="107" spans="1:11" x14ac:dyDescent="0.4">
      <c r="A107" s="68" t="s">
        <v>212</v>
      </c>
      <c r="B107" s="80">
        <v>0</v>
      </c>
      <c r="C107" s="80">
        <v>238383361</v>
      </c>
      <c r="D107" s="80">
        <v>0</v>
      </c>
      <c r="E107" s="80">
        <v>238383361</v>
      </c>
      <c r="F107" s="77">
        <v>-1.8478054823668317E-3</v>
      </c>
      <c r="G107" s="80">
        <v>0</v>
      </c>
      <c r="H107" s="80">
        <v>8355944566</v>
      </c>
      <c r="I107" s="80">
        <v>437872051</v>
      </c>
      <c r="J107" s="80">
        <v>8793816617</v>
      </c>
      <c r="K107" s="77">
        <v>1.6004391672734358E-2</v>
      </c>
    </row>
    <row r="108" spans="1:11" x14ac:dyDescent="0.4">
      <c r="A108" s="68" t="s">
        <v>202</v>
      </c>
      <c r="B108" s="80">
        <v>0</v>
      </c>
      <c r="C108" s="80">
        <v>-2035829276</v>
      </c>
      <c r="D108" s="80">
        <v>0</v>
      </c>
      <c r="E108" s="80">
        <v>-2035829276</v>
      </c>
      <c r="F108" s="77">
        <v>1.5780533010253589E-2</v>
      </c>
      <c r="G108" s="80">
        <v>0</v>
      </c>
      <c r="H108" s="80">
        <v>-13776318672</v>
      </c>
      <c r="I108" s="80">
        <v>-411628352</v>
      </c>
      <c r="J108" s="80">
        <v>-14187947024</v>
      </c>
      <c r="K108" s="77">
        <v>-2.5821491519977393E-2</v>
      </c>
    </row>
    <row r="109" spans="1:11" x14ac:dyDescent="0.4">
      <c r="A109" s="68" t="s">
        <v>244</v>
      </c>
      <c r="B109" s="80">
        <v>0</v>
      </c>
      <c r="C109" s="80">
        <v>-273494419</v>
      </c>
      <c r="D109" s="80">
        <v>0</v>
      </c>
      <c r="E109" s="80">
        <v>-273494419</v>
      </c>
      <c r="F109" s="77">
        <v>2.1199654401421555E-3</v>
      </c>
      <c r="G109" s="80">
        <v>0</v>
      </c>
      <c r="H109" s="80">
        <v>-299313605</v>
      </c>
      <c r="I109" s="80">
        <v>996775833</v>
      </c>
      <c r="J109" s="80">
        <v>697462228</v>
      </c>
      <c r="K109" s="77">
        <v>1.2693531330038141E-3</v>
      </c>
    </row>
    <row r="110" spans="1:11" x14ac:dyDescent="0.4">
      <c r="A110" s="68" t="s">
        <v>254</v>
      </c>
      <c r="B110" s="80">
        <v>0</v>
      </c>
      <c r="C110" s="80">
        <v>20639216</v>
      </c>
      <c r="D110" s="80">
        <v>0</v>
      </c>
      <c r="E110" s="80">
        <v>20639216</v>
      </c>
      <c r="F110" s="77">
        <v>-1.5998287932752667E-4</v>
      </c>
      <c r="G110" s="80">
        <v>4080000000</v>
      </c>
      <c r="H110" s="80">
        <v>-2762867759</v>
      </c>
      <c r="I110" s="80">
        <v>-427316004</v>
      </c>
      <c r="J110" s="80">
        <v>889816237</v>
      </c>
      <c r="K110" s="77">
        <v>1.6194296735931833E-3</v>
      </c>
    </row>
    <row r="111" spans="1:11" x14ac:dyDescent="0.4">
      <c r="A111" s="68" t="s">
        <v>457</v>
      </c>
      <c r="B111" s="80">
        <v>0</v>
      </c>
      <c r="C111" s="80">
        <v>-982347300</v>
      </c>
      <c r="D111" s="80">
        <v>0</v>
      </c>
      <c r="E111" s="80">
        <v>-982347300</v>
      </c>
      <c r="F111" s="77">
        <v>7.6145697372236257E-3</v>
      </c>
      <c r="G111" s="80">
        <v>0</v>
      </c>
      <c r="H111" s="80">
        <v>915683790</v>
      </c>
      <c r="I111" s="80">
        <v>0</v>
      </c>
      <c r="J111" s="80">
        <v>915683790</v>
      </c>
      <c r="K111" s="77">
        <v>1.6665075770630931E-3</v>
      </c>
    </row>
    <row r="112" spans="1:11" x14ac:dyDescent="0.4">
      <c r="A112" s="68" t="s">
        <v>291</v>
      </c>
      <c r="B112" s="80">
        <v>0</v>
      </c>
      <c r="C112" s="80">
        <v>-536118093</v>
      </c>
      <c r="D112" s="80">
        <v>0</v>
      </c>
      <c r="E112" s="80">
        <v>-536118093</v>
      </c>
      <c r="F112" s="77">
        <v>4.1556673556651927E-3</v>
      </c>
      <c r="G112" s="80">
        <v>0</v>
      </c>
      <c r="H112" s="80">
        <v>-684487876</v>
      </c>
      <c r="I112" s="80">
        <v>1442244741</v>
      </c>
      <c r="J112" s="80">
        <v>757756865</v>
      </c>
      <c r="K112" s="77">
        <v>1.3790869412399179E-3</v>
      </c>
    </row>
    <row r="113" spans="1:11" x14ac:dyDescent="0.4">
      <c r="A113" s="68" t="s">
        <v>295</v>
      </c>
      <c r="B113" s="80">
        <v>0</v>
      </c>
      <c r="C113" s="80">
        <v>20737352</v>
      </c>
      <c r="D113" s="80">
        <v>0</v>
      </c>
      <c r="E113" s="80">
        <v>20737352</v>
      </c>
      <c r="F113" s="77">
        <v>-1.60743571005238E-4</v>
      </c>
      <c r="G113" s="80">
        <v>0</v>
      </c>
      <c r="H113" s="80">
        <v>-382923488</v>
      </c>
      <c r="I113" s="80">
        <v>-384615371</v>
      </c>
      <c r="J113" s="80">
        <v>-767538859</v>
      </c>
      <c r="K113" s="77">
        <v>-1.3968897759060045E-3</v>
      </c>
    </row>
    <row r="114" spans="1:11" x14ac:dyDescent="0.4">
      <c r="A114" s="68" t="s">
        <v>281</v>
      </c>
      <c r="B114" s="80">
        <v>0</v>
      </c>
      <c r="C114" s="80">
        <v>958524138</v>
      </c>
      <c r="D114" s="80">
        <v>0</v>
      </c>
      <c r="E114" s="80">
        <v>958524138</v>
      </c>
      <c r="F114" s="77">
        <v>-7.4299068095501075E-3</v>
      </c>
      <c r="G114" s="80">
        <v>0</v>
      </c>
      <c r="H114" s="80">
        <v>2194549380</v>
      </c>
      <c r="I114" s="80">
        <v>17836431</v>
      </c>
      <c r="J114" s="80">
        <v>2212385811</v>
      </c>
      <c r="K114" s="77">
        <v>4.026452971738613E-3</v>
      </c>
    </row>
    <row r="115" spans="1:11" x14ac:dyDescent="0.4">
      <c r="A115" s="68" t="s">
        <v>458</v>
      </c>
      <c r="B115" s="80">
        <v>0</v>
      </c>
      <c r="C115" s="80">
        <v>-1007131894</v>
      </c>
      <c r="D115" s="80">
        <v>0</v>
      </c>
      <c r="E115" s="80">
        <v>-1007131894</v>
      </c>
      <c r="F115" s="77">
        <v>7.8066851117167147E-3</v>
      </c>
      <c r="G115" s="80">
        <v>0</v>
      </c>
      <c r="H115" s="80">
        <v>14269546825</v>
      </c>
      <c r="I115" s="80">
        <v>4733803500</v>
      </c>
      <c r="J115" s="80">
        <v>19003350325</v>
      </c>
      <c r="K115" s="77">
        <v>3.4585331368808973E-2</v>
      </c>
    </row>
    <row r="116" spans="1:11" x14ac:dyDescent="0.4">
      <c r="A116" s="68" t="s">
        <v>286</v>
      </c>
      <c r="B116" s="80">
        <v>0</v>
      </c>
      <c r="C116" s="80">
        <v>-1897233112</v>
      </c>
      <c r="D116" s="80">
        <v>-102273769</v>
      </c>
      <c r="E116" s="80">
        <v>-1999506881</v>
      </c>
      <c r="F116" s="77">
        <v>1.5498983491310051E-2</v>
      </c>
      <c r="G116" s="80">
        <v>728479800</v>
      </c>
      <c r="H116" s="80">
        <v>-6795154285</v>
      </c>
      <c r="I116" s="80">
        <v>-488761286</v>
      </c>
      <c r="J116" s="80">
        <v>-6555435771</v>
      </c>
      <c r="K116" s="77">
        <v>-1.1930628785425959E-2</v>
      </c>
    </row>
    <row r="117" spans="1:11" x14ac:dyDescent="0.4">
      <c r="A117" s="68" t="s">
        <v>459</v>
      </c>
      <c r="B117" s="80">
        <v>0</v>
      </c>
      <c r="C117" s="80">
        <v>-1156877909</v>
      </c>
      <c r="D117" s="80">
        <v>0</v>
      </c>
      <c r="E117" s="80">
        <v>-1156877909</v>
      </c>
      <c r="F117" s="77">
        <v>8.9674268107969024E-3</v>
      </c>
      <c r="G117" s="80">
        <v>0</v>
      </c>
      <c r="H117" s="80">
        <v>2706065543</v>
      </c>
      <c r="I117" s="80">
        <v>3115887414</v>
      </c>
      <c r="J117" s="80">
        <v>5821952957</v>
      </c>
      <c r="K117" s="77">
        <v>1.0595719638266589E-2</v>
      </c>
    </row>
    <row r="118" spans="1:11" x14ac:dyDescent="0.4">
      <c r="A118" s="68" t="s">
        <v>239</v>
      </c>
      <c r="B118" s="80">
        <v>0</v>
      </c>
      <c r="C118" s="80">
        <v>-1307187543</v>
      </c>
      <c r="D118" s="80">
        <v>0</v>
      </c>
      <c r="E118" s="80">
        <v>-1307187543</v>
      </c>
      <c r="F118" s="77">
        <v>1.0132537347843789E-2</v>
      </c>
      <c r="G118" s="80">
        <v>1015029840</v>
      </c>
      <c r="H118" s="80">
        <v>774533307</v>
      </c>
      <c r="I118" s="80">
        <v>-2226939057</v>
      </c>
      <c r="J118" s="80">
        <v>-437375910</v>
      </c>
      <c r="K118" s="77">
        <v>-7.9600652102825302E-4</v>
      </c>
    </row>
    <row r="119" spans="1:11" x14ac:dyDescent="0.4">
      <c r="A119" s="68" t="s">
        <v>460</v>
      </c>
      <c r="B119" s="80">
        <v>0</v>
      </c>
      <c r="C119" s="80">
        <v>137847299</v>
      </c>
      <c r="D119" s="80">
        <v>0</v>
      </c>
      <c r="E119" s="80">
        <v>137847299</v>
      </c>
      <c r="F119" s="77">
        <v>-1.0685099570420936E-3</v>
      </c>
      <c r="G119" s="80">
        <v>0</v>
      </c>
      <c r="H119" s="80">
        <v>1134473313</v>
      </c>
      <c r="I119" s="80">
        <v>0</v>
      </c>
      <c r="J119" s="80">
        <v>1134473313</v>
      </c>
      <c r="K119" s="77">
        <v>2.064695687241957E-3</v>
      </c>
    </row>
    <row r="120" spans="1:11" x14ac:dyDescent="0.4">
      <c r="A120" s="68" t="s">
        <v>406</v>
      </c>
      <c r="B120" s="80">
        <v>0</v>
      </c>
      <c r="C120" s="80">
        <v>-296632092</v>
      </c>
      <c r="D120" s="80">
        <v>0</v>
      </c>
      <c r="E120" s="80">
        <v>-296632092</v>
      </c>
      <c r="F120" s="77">
        <v>2.2993148663741779E-3</v>
      </c>
      <c r="G120" s="80">
        <v>204920550</v>
      </c>
      <c r="H120" s="80">
        <v>579192524</v>
      </c>
      <c r="I120" s="80">
        <v>0</v>
      </c>
      <c r="J120" s="80">
        <v>784113074</v>
      </c>
      <c r="K120" s="77">
        <v>1.4270541789270222E-3</v>
      </c>
    </row>
    <row r="121" spans="1:11" x14ac:dyDescent="0.4">
      <c r="A121" s="68" t="s">
        <v>319</v>
      </c>
      <c r="B121" s="80">
        <v>0</v>
      </c>
      <c r="C121" s="80">
        <v>549259756</v>
      </c>
      <c r="D121" s="80">
        <v>26397336</v>
      </c>
      <c r="E121" s="80">
        <v>575657092</v>
      </c>
      <c r="F121" s="77">
        <v>-4.4621500682715332E-3</v>
      </c>
      <c r="G121" s="80">
        <v>1375942000</v>
      </c>
      <c r="H121" s="80">
        <v>9279734210</v>
      </c>
      <c r="I121" s="80">
        <v>1280159050</v>
      </c>
      <c r="J121" s="80">
        <v>11935835260</v>
      </c>
      <c r="K121" s="77">
        <v>2.1722738915545107E-2</v>
      </c>
    </row>
    <row r="122" spans="1:11" x14ac:dyDescent="0.4">
      <c r="A122" s="68" t="s">
        <v>418</v>
      </c>
      <c r="B122" s="80">
        <v>0</v>
      </c>
      <c r="C122" s="80">
        <v>-272774388</v>
      </c>
      <c r="D122" s="80">
        <v>0</v>
      </c>
      <c r="E122" s="80">
        <v>-272774388</v>
      </c>
      <c r="F122" s="77">
        <v>2.1143841897407318E-3</v>
      </c>
      <c r="G122" s="80">
        <v>524156680</v>
      </c>
      <c r="H122" s="80">
        <v>-300974970</v>
      </c>
      <c r="I122" s="80">
        <v>0</v>
      </c>
      <c r="J122" s="80">
        <v>223181710</v>
      </c>
      <c r="K122" s="77">
        <v>4.0618171342412634E-4</v>
      </c>
    </row>
    <row r="123" spans="1:11" x14ac:dyDescent="0.4">
      <c r="A123" s="68" t="s">
        <v>225</v>
      </c>
      <c r="B123" s="80">
        <v>0</v>
      </c>
      <c r="C123" s="80">
        <v>1341340384</v>
      </c>
      <c r="D123" s="80">
        <v>-707830257</v>
      </c>
      <c r="E123" s="80">
        <v>633510127</v>
      </c>
      <c r="F123" s="77">
        <v>-4.910592253146006E-3</v>
      </c>
      <c r="G123" s="80">
        <v>0</v>
      </c>
      <c r="H123" s="80">
        <v>-4015410591</v>
      </c>
      <c r="I123" s="80">
        <v>-1415660514</v>
      </c>
      <c r="J123" s="80">
        <v>-5431071105</v>
      </c>
      <c r="K123" s="77">
        <v>-9.8843304281393089E-3</v>
      </c>
    </row>
    <row r="124" spans="1:11" x14ac:dyDescent="0.4">
      <c r="A124" s="68" t="s">
        <v>461</v>
      </c>
      <c r="B124" s="80">
        <v>0</v>
      </c>
      <c r="C124" s="80">
        <v>-970974218</v>
      </c>
      <c r="D124" s="80">
        <v>0</v>
      </c>
      <c r="E124" s="80">
        <v>-970974218</v>
      </c>
      <c r="F124" s="77">
        <v>7.5264123961120222E-3</v>
      </c>
      <c r="G124" s="80">
        <v>0</v>
      </c>
      <c r="H124" s="80">
        <v>-1592634428</v>
      </c>
      <c r="I124" s="80">
        <v>231740244</v>
      </c>
      <c r="J124" s="80">
        <v>-1360894184</v>
      </c>
      <c r="K124" s="77">
        <v>-2.4767725430818155E-3</v>
      </c>
    </row>
    <row r="125" spans="1:11" x14ac:dyDescent="0.4">
      <c r="A125" s="68" t="s">
        <v>205</v>
      </c>
      <c r="B125" s="80">
        <v>0</v>
      </c>
      <c r="C125" s="80">
        <v>-971487201</v>
      </c>
      <c r="D125" s="80">
        <v>820130193</v>
      </c>
      <c r="E125" s="80">
        <v>-151357008</v>
      </c>
      <c r="F125" s="77">
        <v>1.1732291549368683E-3</v>
      </c>
      <c r="G125" s="80">
        <v>0</v>
      </c>
      <c r="H125" s="80">
        <v>4383606521</v>
      </c>
      <c r="I125" s="80">
        <v>3913862600</v>
      </c>
      <c r="J125" s="80">
        <v>8297469121</v>
      </c>
      <c r="K125" s="77">
        <v>1.5101059242944054E-2</v>
      </c>
    </row>
    <row r="126" spans="1:11" x14ac:dyDescent="0.4">
      <c r="A126" s="68" t="s">
        <v>238</v>
      </c>
      <c r="B126" s="80">
        <v>0</v>
      </c>
      <c r="C126" s="80">
        <v>-279423232</v>
      </c>
      <c r="D126" s="80">
        <v>0</v>
      </c>
      <c r="E126" s="80">
        <v>-279423232</v>
      </c>
      <c r="F126" s="77">
        <v>2.1659220585880535E-3</v>
      </c>
      <c r="G126" s="80">
        <v>0</v>
      </c>
      <c r="H126" s="80">
        <v>2774298725</v>
      </c>
      <c r="I126" s="80">
        <v>429738070</v>
      </c>
      <c r="J126" s="80">
        <v>3204036795</v>
      </c>
      <c r="K126" s="77">
        <v>5.8312177788540391E-3</v>
      </c>
    </row>
    <row r="127" spans="1:11" x14ac:dyDescent="0.4">
      <c r="A127" s="68" t="s">
        <v>210</v>
      </c>
      <c r="B127" s="80">
        <v>0</v>
      </c>
      <c r="C127" s="80">
        <v>-313767513</v>
      </c>
      <c r="D127" s="80">
        <v>0</v>
      </c>
      <c r="E127" s="80">
        <v>-313767513</v>
      </c>
      <c r="F127" s="77">
        <v>2.4321384188806957E-3</v>
      </c>
      <c r="G127" s="80">
        <v>0</v>
      </c>
      <c r="H127" s="80">
        <v>259314550</v>
      </c>
      <c r="I127" s="80">
        <v>946009529</v>
      </c>
      <c r="J127" s="80">
        <v>1205324079</v>
      </c>
      <c r="K127" s="77">
        <v>2.1936412246307147E-3</v>
      </c>
    </row>
    <row r="128" spans="1:11" x14ac:dyDescent="0.4">
      <c r="A128" s="68" t="s">
        <v>216</v>
      </c>
      <c r="B128" s="80">
        <v>0</v>
      </c>
      <c r="C128" s="80">
        <v>208279298</v>
      </c>
      <c r="D128" s="80">
        <v>0</v>
      </c>
      <c r="E128" s="80">
        <v>208279298</v>
      </c>
      <c r="F128" s="77">
        <v>-1.6144567602934129E-3</v>
      </c>
      <c r="G128" s="80">
        <v>0</v>
      </c>
      <c r="H128" s="80">
        <v>2976402556</v>
      </c>
      <c r="I128" s="80">
        <v>5037744019</v>
      </c>
      <c r="J128" s="80">
        <v>8014146575</v>
      </c>
      <c r="K128" s="77">
        <v>1.4585423632902507E-2</v>
      </c>
    </row>
    <row r="129" spans="1:11" x14ac:dyDescent="0.4">
      <c r="A129" s="68" t="s">
        <v>263</v>
      </c>
      <c r="B129" s="80">
        <v>0</v>
      </c>
      <c r="C129" s="80">
        <v>-1345770395</v>
      </c>
      <c r="D129" s="80">
        <v>772281969</v>
      </c>
      <c r="E129" s="80">
        <v>-573488426</v>
      </c>
      <c r="F129" s="77">
        <v>4.4453398642899621E-3</v>
      </c>
      <c r="G129" s="80">
        <v>0</v>
      </c>
      <c r="H129" s="80">
        <v>1366996884</v>
      </c>
      <c r="I129" s="80">
        <v>7058274160</v>
      </c>
      <c r="J129" s="80">
        <v>8425271044</v>
      </c>
      <c r="K129" s="77">
        <v>1.5333653589779367E-2</v>
      </c>
    </row>
    <row r="130" spans="1:11" x14ac:dyDescent="0.4">
      <c r="A130" s="68" t="s">
        <v>253</v>
      </c>
      <c r="B130" s="80">
        <v>0</v>
      </c>
      <c r="C130" s="80">
        <v>279791935</v>
      </c>
      <c r="D130" s="80">
        <v>0</v>
      </c>
      <c r="E130" s="80">
        <v>279791935</v>
      </c>
      <c r="F130" s="77">
        <v>-2.1687800241016997E-3</v>
      </c>
      <c r="G130" s="80">
        <v>0</v>
      </c>
      <c r="H130" s="80">
        <v>1249790832</v>
      </c>
      <c r="I130" s="80">
        <v>1157101371</v>
      </c>
      <c r="J130" s="80">
        <v>2406892203</v>
      </c>
      <c r="K130" s="77">
        <v>4.3804467626030385E-3</v>
      </c>
    </row>
    <row r="131" spans="1:11" x14ac:dyDescent="0.4">
      <c r="A131" s="68" t="s">
        <v>227</v>
      </c>
      <c r="B131" s="80">
        <v>0</v>
      </c>
      <c r="C131" s="80">
        <v>-868211606</v>
      </c>
      <c r="D131" s="80">
        <v>0</v>
      </c>
      <c r="E131" s="80">
        <v>-868211606</v>
      </c>
      <c r="F131" s="77">
        <v>6.7298579845986471E-3</v>
      </c>
      <c r="G131" s="80">
        <v>0</v>
      </c>
      <c r="H131" s="80">
        <v>-2126018688</v>
      </c>
      <c r="I131" s="80">
        <v>4426926564</v>
      </c>
      <c r="J131" s="80">
        <v>2300907876</v>
      </c>
      <c r="K131" s="77">
        <v>4.1875595607935223E-3</v>
      </c>
    </row>
    <row r="132" spans="1:11" x14ac:dyDescent="0.4">
      <c r="A132" s="68" t="s">
        <v>292</v>
      </c>
      <c r="B132" s="80">
        <v>0</v>
      </c>
      <c r="C132" s="80">
        <v>-1033320177</v>
      </c>
      <c r="D132" s="80">
        <v>0</v>
      </c>
      <c r="E132" s="80">
        <v>-1033320177</v>
      </c>
      <c r="F132" s="77">
        <v>8.0096810452339618E-3</v>
      </c>
      <c r="G132" s="80">
        <v>0</v>
      </c>
      <c r="H132" s="80">
        <v>-720883097</v>
      </c>
      <c r="I132" s="80">
        <v>278659863</v>
      </c>
      <c r="J132" s="80">
        <v>-442223234</v>
      </c>
      <c r="K132" s="77">
        <v>-8.0482845526220928E-4</v>
      </c>
    </row>
    <row r="133" spans="1:11" x14ac:dyDescent="0.4">
      <c r="A133" s="68" t="s">
        <v>462</v>
      </c>
      <c r="B133" s="80">
        <v>0</v>
      </c>
      <c r="C133" s="80">
        <v>-5705552</v>
      </c>
      <c r="D133" s="80">
        <v>0</v>
      </c>
      <c r="E133" s="80">
        <v>-5705552</v>
      </c>
      <c r="F133" s="77">
        <v>4.422603247686E-5</v>
      </c>
      <c r="G133" s="80">
        <v>687500000</v>
      </c>
      <c r="H133" s="80">
        <v>-225187497</v>
      </c>
      <c r="I133" s="80">
        <v>0</v>
      </c>
      <c r="J133" s="80">
        <v>462312503</v>
      </c>
      <c r="K133" s="77">
        <v>8.4139011483484261E-4</v>
      </c>
    </row>
    <row r="134" spans="1:11" x14ac:dyDescent="0.4">
      <c r="A134" s="68" t="s">
        <v>398</v>
      </c>
      <c r="B134" s="80">
        <v>0</v>
      </c>
      <c r="C134" s="80">
        <v>-66977154</v>
      </c>
      <c r="D134" s="80">
        <v>0</v>
      </c>
      <c r="E134" s="80">
        <v>-66977154</v>
      </c>
      <c r="F134" s="77">
        <v>5.1916690760362078E-4</v>
      </c>
      <c r="G134" s="80">
        <v>29499528</v>
      </c>
      <c r="H134" s="80">
        <v>-253645767</v>
      </c>
      <c r="I134" s="80">
        <v>0</v>
      </c>
      <c r="J134" s="80">
        <v>-224146239</v>
      </c>
      <c r="K134" s="77">
        <v>-4.0793711731393101E-4</v>
      </c>
    </row>
    <row r="135" spans="1:11" x14ac:dyDescent="0.4">
      <c r="A135" s="68" t="s">
        <v>463</v>
      </c>
      <c r="B135" s="80">
        <v>0</v>
      </c>
      <c r="C135" s="80">
        <v>-977188786</v>
      </c>
      <c r="D135" s="80">
        <v>517448300</v>
      </c>
      <c r="E135" s="80">
        <v>-459740486</v>
      </c>
      <c r="F135" s="77">
        <v>3.5636337491558047E-3</v>
      </c>
      <c r="G135" s="80">
        <v>0</v>
      </c>
      <c r="H135" s="80">
        <v>3238710857</v>
      </c>
      <c r="I135" s="80">
        <v>4490579708</v>
      </c>
      <c r="J135" s="80">
        <v>7729290565</v>
      </c>
      <c r="K135" s="77">
        <v>1.4066997180210841E-2</v>
      </c>
    </row>
    <row r="136" spans="1:11" x14ac:dyDescent="0.4">
      <c r="A136" s="68" t="s">
        <v>464</v>
      </c>
      <c r="B136" s="80">
        <v>0</v>
      </c>
      <c r="C136" s="80">
        <v>-2335903</v>
      </c>
      <c r="D136" s="80">
        <v>0</v>
      </c>
      <c r="E136" s="80">
        <v>-2335903</v>
      </c>
      <c r="F136" s="77">
        <v>1.8106525352988582E-5</v>
      </c>
      <c r="G136" s="80">
        <v>0</v>
      </c>
      <c r="H136" s="80">
        <v>29952222</v>
      </c>
      <c r="I136" s="80">
        <v>0</v>
      </c>
      <c r="J136" s="80">
        <v>29952222</v>
      </c>
      <c r="K136" s="77">
        <v>5.4511836354420853E-5</v>
      </c>
    </row>
    <row r="137" spans="1:11" x14ac:dyDescent="0.4">
      <c r="A137" s="68" t="s">
        <v>465</v>
      </c>
      <c r="B137" s="80">
        <v>0</v>
      </c>
      <c r="C137" s="80">
        <v>-719603234</v>
      </c>
      <c r="D137" s="80">
        <v>0</v>
      </c>
      <c r="E137" s="80">
        <v>-719603234</v>
      </c>
      <c r="F137" s="77">
        <v>5.5779346147993196E-3</v>
      </c>
      <c r="G137" s="80">
        <v>0</v>
      </c>
      <c r="H137" s="80">
        <v>352263817</v>
      </c>
      <c r="I137" s="80">
        <v>7584991141</v>
      </c>
      <c r="J137" s="80">
        <v>7937254958</v>
      </c>
      <c r="K137" s="77">
        <v>1.4445483990263278E-2</v>
      </c>
    </row>
    <row r="138" spans="1:11" x14ac:dyDescent="0.4">
      <c r="A138" s="68" t="s">
        <v>255</v>
      </c>
      <c r="B138" s="80">
        <v>0</v>
      </c>
      <c r="C138" s="80">
        <v>-13221371</v>
      </c>
      <c r="D138" s="80">
        <v>0</v>
      </c>
      <c r="E138" s="80">
        <v>-13221371</v>
      </c>
      <c r="F138" s="77">
        <v>1.0248417387741186E-4</v>
      </c>
      <c r="G138" s="80">
        <v>0</v>
      </c>
      <c r="H138" s="80">
        <v>3213091316</v>
      </c>
      <c r="I138" s="80">
        <v>3262392431</v>
      </c>
      <c r="J138" s="80">
        <v>6475483747</v>
      </c>
      <c r="K138" s="77">
        <v>1.1785119325443566E-2</v>
      </c>
    </row>
    <row r="139" spans="1:11" x14ac:dyDescent="0.4">
      <c r="A139" s="68" t="s">
        <v>275</v>
      </c>
      <c r="B139" s="80">
        <v>0</v>
      </c>
      <c r="C139" s="80">
        <v>-135864263</v>
      </c>
      <c r="D139" s="80">
        <v>0</v>
      </c>
      <c r="E139" s="80">
        <v>-135864263</v>
      </c>
      <c r="F139" s="77">
        <v>1.0531386459859886E-3</v>
      </c>
      <c r="G139" s="80">
        <v>0</v>
      </c>
      <c r="H139" s="80">
        <v>-2319972924</v>
      </c>
      <c r="I139" s="80">
        <v>-148993256</v>
      </c>
      <c r="J139" s="80">
        <v>-2468966180</v>
      </c>
      <c r="K139" s="77">
        <v>-4.493418897895441E-3</v>
      </c>
    </row>
    <row r="140" spans="1:11" x14ac:dyDescent="0.4">
      <c r="A140" s="68" t="s">
        <v>466</v>
      </c>
      <c r="B140" s="80">
        <v>0</v>
      </c>
      <c r="C140" s="80">
        <v>4925940439</v>
      </c>
      <c r="D140" s="80">
        <v>-5214146728</v>
      </c>
      <c r="E140" s="80">
        <v>-288206289</v>
      </c>
      <c r="F140" s="77">
        <v>2.2340030723318792E-3</v>
      </c>
      <c r="G140" s="80">
        <v>94482130</v>
      </c>
      <c r="H140" s="80">
        <v>0</v>
      </c>
      <c r="I140" s="80">
        <v>-8590217939</v>
      </c>
      <c r="J140" s="80">
        <v>-8495735809</v>
      </c>
      <c r="K140" s="77">
        <v>-1.5461896620911839E-2</v>
      </c>
    </row>
    <row r="141" spans="1:11" x14ac:dyDescent="0.4">
      <c r="A141" s="68" t="s">
        <v>271</v>
      </c>
      <c r="B141" s="80">
        <v>0</v>
      </c>
      <c r="C141" s="80">
        <v>-1025780411</v>
      </c>
      <c r="D141" s="80">
        <v>0</v>
      </c>
      <c r="E141" s="80">
        <v>-1025780411</v>
      </c>
      <c r="F141" s="77">
        <v>7.9512372809875005E-3</v>
      </c>
      <c r="G141" s="80">
        <v>0</v>
      </c>
      <c r="H141" s="80">
        <v>-593132697</v>
      </c>
      <c r="I141" s="80">
        <v>164515011</v>
      </c>
      <c r="J141" s="80">
        <v>-428617686</v>
      </c>
      <c r="K141" s="77">
        <v>-7.8006690648335013E-4</v>
      </c>
    </row>
    <row r="142" spans="1:11" x14ac:dyDescent="0.4">
      <c r="A142" s="68" t="s">
        <v>467</v>
      </c>
      <c r="B142" s="80">
        <v>0</v>
      </c>
      <c r="C142" s="80">
        <v>-750244265</v>
      </c>
      <c r="D142" s="80">
        <v>0</v>
      </c>
      <c r="E142" s="80">
        <v>-750244265</v>
      </c>
      <c r="F142" s="77">
        <v>5.8154455922000111E-3</v>
      </c>
      <c r="G142" s="80">
        <v>675475200</v>
      </c>
      <c r="H142" s="80">
        <v>2766835879</v>
      </c>
      <c r="I142" s="80">
        <v>1982564966</v>
      </c>
      <c r="J142" s="80">
        <v>5424876045</v>
      </c>
      <c r="K142" s="77">
        <v>9.8730556687266074E-3</v>
      </c>
    </row>
    <row r="143" spans="1:11" x14ac:dyDescent="0.4">
      <c r="A143" s="68" t="s">
        <v>307</v>
      </c>
      <c r="B143" s="80">
        <v>0</v>
      </c>
      <c r="C143" s="80">
        <v>-3091841867</v>
      </c>
      <c r="D143" s="80">
        <v>0</v>
      </c>
      <c r="E143" s="80">
        <v>-3091841867</v>
      </c>
      <c r="F143" s="77">
        <v>2.3966112099803396E-2</v>
      </c>
      <c r="G143" s="80">
        <v>0</v>
      </c>
      <c r="H143" s="80">
        <v>-9513738123</v>
      </c>
      <c r="I143" s="80">
        <v>-758884642</v>
      </c>
      <c r="J143" s="80">
        <v>-10272622765</v>
      </c>
      <c r="K143" s="77">
        <v>-1.8695759236038591E-2</v>
      </c>
    </row>
    <row r="144" spans="1:11" x14ac:dyDescent="0.4">
      <c r="A144" s="68" t="s">
        <v>350</v>
      </c>
      <c r="B144" s="80">
        <v>0</v>
      </c>
      <c r="C144" s="80">
        <v>-1416452678</v>
      </c>
      <c r="D144" s="80">
        <v>-66374069</v>
      </c>
      <c r="E144" s="80">
        <v>-1482826747</v>
      </c>
      <c r="F144" s="77">
        <v>1.1493987587945682E-2</v>
      </c>
      <c r="G144" s="80">
        <v>0</v>
      </c>
      <c r="H144" s="80">
        <v>-4267920145</v>
      </c>
      <c r="I144" s="80">
        <v>775143690</v>
      </c>
      <c r="J144" s="80">
        <v>-3492776455</v>
      </c>
      <c r="K144" s="77">
        <v>-6.3567123179553821E-3</v>
      </c>
    </row>
    <row r="145" spans="1:11" x14ac:dyDescent="0.4">
      <c r="A145" s="68" t="s">
        <v>266</v>
      </c>
      <c r="B145" s="80">
        <v>0</v>
      </c>
      <c r="C145" s="80">
        <v>694202200</v>
      </c>
      <c r="D145" s="80">
        <v>-3260715434</v>
      </c>
      <c r="E145" s="80">
        <v>-2566513234</v>
      </c>
      <c r="F145" s="77">
        <v>1.9894078195970343E-2</v>
      </c>
      <c r="G145" s="80">
        <v>7267946400</v>
      </c>
      <c r="H145" s="80">
        <v>-9652629793</v>
      </c>
      <c r="I145" s="80">
        <v>-2853105722</v>
      </c>
      <c r="J145" s="80">
        <v>-5237789115</v>
      </c>
      <c r="K145" s="77">
        <v>-9.5325649995465049E-3</v>
      </c>
    </row>
    <row r="146" spans="1:11" x14ac:dyDescent="0.4">
      <c r="A146" s="68" t="s">
        <v>468</v>
      </c>
      <c r="B146" s="80">
        <v>0</v>
      </c>
      <c r="C146" s="80">
        <v>-1656123833</v>
      </c>
      <c r="D146" s="80">
        <v>0</v>
      </c>
      <c r="E146" s="80">
        <v>-1656123833</v>
      </c>
      <c r="F146" s="77">
        <v>1.2837283127725392E-2</v>
      </c>
      <c r="G146" s="80">
        <v>0</v>
      </c>
      <c r="H146" s="80">
        <v>-1968893992</v>
      </c>
      <c r="I146" s="80">
        <v>0</v>
      </c>
      <c r="J146" s="80">
        <v>-1968893992</v>
      </c>
      <c r="K146" s="77">
        <v>-3.5833076788462106E-3</v>
      </c>
    </row>
    <row r="147" spans="1:11" x14ac:dyDescent="0.4">
      <c r="A147" s="68" t="s">
        <v>190</v>
      </c>
      <c r="B147" s="80">
        <v>0</v>
      </c>
      <c r="C147" s="80">
        <v>-406643463</v>
      </c>
      <c r="D147" s="80">
        <v>0</v>
      </c>
      <c r="E147" s="80">
        <v>-406643463</v>
      </c>
      <c r="F147" s="77">
        <v>3.1520573296222377E-3</v>
      </c>
      <c r="G147" s="80">
        <v>0</v>
      </c>
      <c r="H147" s="80">
        <v>-5386259578</v>
      </c>
      <c r="I147" s="80">
        <v>-2166952453</v>
      </c>
      <c r="J147" s="80">
        <v>-7553212031</v>
      </c>
      <c r="K147" s="77">
        <v>-1.3746541347887805E-2</v>
      </c>
    </row>
    <row r="148" spans="1:11" x14ac:dyDescent="0.4">
      <c r="A148" s="68" t="s">
        <v>344</v>
      </c>
      <c r="B148" s="80">
        <v>0</v>
      </c>
      <c r="C148" s="80">
        <v>358819937</v>
      </c>
      <c r="D148" s="80">
        <v>1468774</v>
      </c>
      <c r="E148" s="80">
        <v>360288711</v>
      </c>
      <c r="F148" s="77">
        <v>-2.7927429692573176E-3</v>
      </c>
      <c r="G148" s="80">
        <v>0</v>
      </c>
      <c r="H148" s="80">
        <v>495493010</v>
      </c>
      <c r="I148" s="80">
        <v>1896987681</v>
      </c>
      <c r="J148" s="80">
        <v>2392480691</v>
      </c>
      <c r="K148" s="77">
        <v>4.3542183918409702E-3</v>
      </c>
    </row>
    <row r="149" spans="1:11" x14ac:dyDescent="0.4">
      <c r="A149" s="68" t="s">
        <v>280</v>
      </c>
      <c r="B149" s="80">
        <v>0</v>
      </c>
      <c r="C149" s="80">
        <v>550509606</v>
      </c>
      <c r="D149" s="80">
        <v>0</v>
      </c>
      <c r="E149" s="80">
        <v>550509606</v>
      </c>
      <c r="F149" s="77">
        <v>-4.2672217716672118E-3</v>
      </c>
      <c r="G149" s="80">
        <v>0</v>
      </c>
      <c r="H149" s="80">
        <v>3623486672</v>
      </c>
      <c r="I149" s="80">
        <v>2482078322</v>
      </c>
      <c r="J149" s="80">
        <v>6105564994</v>
      </c>
      <c r="K149" s="77">
        <v>1.1111882110255744E-2</v>
      </c>
    </row>
    <row r="150" spans="1:11" x14ac:dyDescent="0.4">
      <c r="A150" s="68" t="s">
        <v>300</v>
      </c>
      <c r="B150" s="80">
        <v>0</v>
      </c>
      <c r="C150" s="80">
        <v>-1701454173</v>
      </c>
      <c r="D150" s="80">
        <v>0</v>
      </c>
      <c r="E150" s="80">
        <v>-1701454173</v>
      </c>
      <c r="F150" s="77">
        <v>1.3188656857914356E-2</v>
      </c>
      <c r="G150" s="80">
        <v>0</v>
      </c>
      <c r="H150" s="80">
        <v>-3724875366</v>
      </c>
      <c r="I150" s="80">
        <v>1232139538</v>
      </c>
      <c r="J150" s="80">
        <v>-2492735828</v>
      </c>
      <c r="K150" s="77">
        <v>-4.5366786988537203E-3</v>
      </c>
    </row>
    <row r="151" spans="1:11" x14ac:dyDescent="0.4">
      <c r="A151" s="68" t="s">
        <v>290</v>
      </c>
      <c r="B151" s="80">
        <v>0</v>
      </c>
      <c r="C151" s="80">
        <v>-3635079616</v>
      </c>
      <c r="D151" s="80">
        <v>0</v>
      </c>
      <c r="E151" s="80">
        <v>-3635079616</v>
      </c>
      <c r="F151" s="77">
        <v>2.8176966777831099E-2</v>
      </c>
      <c r="G151" s="80">
        <v>4379641700</v>
      </c>
      <c r="H151" s="80">
        <v>-3115213024</v>
      </c>
      <c r="I151" s="80">
        <v>-1058541498</v>
      </c>
      <c r="J151" s="80">
        <v>205887178</v>
      </c>
      <c r="K151" s="77">
        <v>3.7470636250657856E-4</v>
      </c>
    </row>
    <row r="152" spans="1:11" x14ac:dyDescent="0.4">
      <c r="A152" s="68" t="s">
        <v>237</v>
      </c>
      <c r="B152" s="80">
        <v>0</v>
      </c>
      <c r="C152" s="80">
        <v>-1925166176</v>
      </c>
      <c r="D152" s="80">
        <v>0</v>
      </c>
      <c r="E152" s="80">
        <v>-1925166176</v>
      </c>
      <c r="F152" s="77">
        <v>1.4922738732926872E-2</v>
      </c>
      <c r="G152" s="80">
        <v>0</v>
      </c>
      <c r="H152" s="80">
        <v>285861959</v>
      </c>
      <c r="I152" s="80">
        <v>230281971</v>
      </c>
      <c r="J152" s="80">
        <v>516143930</v>
      </c>
      <c r="K152" s="77">
        <v>9.3936114147016045E-4</v>
      </c>
    </row>
    <row r="153" spans="1:11" x14ac:dyDescent="0.4">
      <c r="A153" s="68" t="s">
        <v>427</v>
      </c>
      <c r="B153" s="80">
        <v>2024465000</v>
      </c>
      <c r="C153" s="80">
        <v>-2973047511</v>
      </c>
      <c r="D153" s="80">
        <v>0</v>
      </c>
      <c r="E153" s="80">
        <v>-948582511</v>
      </c>
      <c r="F153" s="77">
        <v>7.3528452529163539E-3</v>
      </c>
      <c r="G153" s="80">
        <v>2024465000</v>
      </c>
      <c r="H153" s="80">
        <v>-1576495799</v>
      </c>
      <c r="I153" s="80">
        <v>0</v>
      </c>
      <c r="J153" s="80">
        <v>447969201</v>
      </c>
      <c r="K153" s="77">
        <v>8.1528588352252002E-4</v>
      </c>
    </row>
    <row r="154" spans="1:11" x14ac:dyDescent="0.4">
      <c r="A154" s="68" t="s">
        <v>469</v>
      </c>
      <c r="B154" s="80">
        <v>0</v>
      </c>
      <c r="C154" s="80">
        <v>1742215913</v>
      </c>
      <c r="D154" s="80">
        <v>-575798153</v>
      </c>
      <c r="E154" s="80">
        <v>1166417760</v>
      </c>
      <c r="F154" s="77">
        <v>-9.0413740397679819E-3</v>
      </c>
      <c r="G154" s="80">
        <v>0</v>
      </c>
      <c r="H154" s="80">
        <v>-2771612078</v>
      </c>
      <c r="I154" s="80">
        <v>-306126290</v>
      </c>
      <c r="J154" s="80">
        <v>-3077738368</v>
      </c>
      <c r="K154" s="77">
        <v>-5.6013597341171648E-3</v>
      </c>
    </row>
    <row r="155" spans="1:11" x14ac:dyDescent="0.4">
      <c r="A155" s="68" t="s">
        <v>318</v>
      </c>
      <c r="B155" s="80">
        <v>0</v>
      </c>
      <c r="C155" s="80">
        <v>-883517208</v>
      </c>
      <c r="D155" s="80">
        <v>0</v>
      </c>
      <c r="E155" s="80">
        <v>-883517208</v>
      </c>
      <c r="F155" s="77">
        <v>6.8484978727514304E-3</v>
      </c>
      <c r="G155" s="80">
        <v>0</v>
      </c>
      <c r="H155" s="80">
        <v>-1207564456</v>
      </c>
      <c r="I155" s="80">
        <v>98277356</v>
      </c>
      <c r="J155" s="80">
        <v>-1109287100</v>
      </c>
      <c r="K155" s="77">
        <v>-2.0188577951001456E-3</v>
      </c>
    </row>
    <row r="156" spans="1:11" x14ac:dyDescent="0.4">
      <c r="A156" s="68" t="s">
        <v>470</v>
      </c>
      <c r="B156" s="80">
        <v>0</v>
      </c>
      <c r="C156" s="80">
        <v>-2256025072</v>
      </c>
      <c r="D156" s="80">
        <v>0</v>
      </c>
      <c r="E156" s="80">
        <v>-2256025072</v>
      </c>
      <c r="F156" s="77">
        <v>1.7487359348031955E-2</v>
      </c>
      <c r="G156" s="80">
        <v>0</v>
      </c>
      <c r="H156" s="80">
        <v>3080712605</v>
      </c>
      <c r="I156" s="80">
        <v>0</v>
      </c>
      <c r="J156" s="80">
        <v>3080712605</v>
      </c>
      <c r="K156" s="77">
        <v>5.6067727255347385E-3</v>
      </c>
    </row>
    <row r="157" spans="1:11" x14ac:dyDescent="0.4">
      <c r="A157" s="68" t="s">
        <v>220</v>
      </c>
      <c r="B157" s="80">
        <v>0</v>
      </c>
      <c r="C157" s="80">
        <v>-1397401794</v>
      </c>
      <c r="D157" s="80">
        <v>-168946788</v>
      </c>
      <c r="E157" s="80">
        <v>-1566348582</v>
      </c>
      <c r="F157" s="77">
        <v>1.2141398984290321E-2</v>
      </c>
      <c r="G157" s="80">
        <v>0</v>
      </c>
      <c r="H157" s="80">
        <v>-4100780831</v>
      </c>
      <c r="I157" s="80">
        <v>1892441788</v>
      </c>
      <c r="J157" s="80">
        <v>-2208339043</v>
      </c>
      <c r="K157" s="77">
        <v>-4.019088017145918E-3</v>
      </c>
    </row>
    <row r="158" spans="1:11" x14ac:dyDescent="0.4">
      <c r="A158" s="68" t="s">
        <v>294</v>
      </c>
      <c r="B158" s="80">
        <v>2298015000</v>
      </c>
      <c r="C158" s="80">
        <v>-2152789860</v>
      </c>
      <c r="D158" s="80">
        <v>-11495364</v>
      </c>
      <c r="E158" s="80">
        <v>133729776</v>
      </c>
      <c r="F158" s="77">
        <v>-1.0365933772050824E-3</v>
      </c>
      <c r="G158" s="80">
        <v>2298015000</v>
      </c>
      <c r="H158" s="80">
        <v>-1523847768</v>
      </c>
      <c r="I158" s="80">
        <v>1719759639</v>
      </c>
      <c r="J158" s="80">
        <v>2493926871</v>
      </c>
      <c r="K158" s="77">
        <v>4.5388463490903894E-3</v>
      </c>
    </row>
    <row r="159" spans="1:11" x14ac:dyDescent="0.4">
      <c r="A159" s="68" t="s">
        <v>471</v>
      </c>
      <c r="B159" s="80">
        <v>0</v>
      </c>
      <c r="C159" s="80">
        <v>-1278367141</v>
      </c>
      <c r="D159" s="80">
        <v>0</v>
      </c>
      <c r="E159" s="80">
        <v>-1278367141</v>
      </c>
      <c r="F159" s="77">
        <v>9.9091387994039264E-3</v>
      </c>
      <c r="G159" s="80">
        <v>0</v>
      </c>
      <c r="H159" s="80">
        <v>2209312576</v>
      </c>
      <c r="I159" s="80">
        <v>0</v>
      </c>
      <c r="J159" s="80">
        <v>2209312576</v>
      </c>
      <c r="K159" s="77">
        <v>4.0208598079526786E-3</v>
      </c>
    </row>
    <row r="160" spans="1:11" x14ac:dyDescent="0.4">
      <c r="A160" s="68" t="s">
        <v>293</v>
      </c>
      <c r="B160" s="80">
        <v>0</v>
      </c>
      <c r="C160" s="80">
        <v>-394366747</v>
      </c>
      <c r="D160" s="80">
        <v>0</v>
      </c>
      <c r="E160" s="80">
        <v>-394366747</v>
      </c>
      <c r="F160" s="77">
        <v>3.0568955572774781E-3</v>
      </c>
      <c r="G160" s="80">
        <v>0</v>
      </c>
      <c r="H160" s="80">
        <v>-4059753473</v>
      </c>
      <c r="I160" s="80">
        <v>307575080</v>
      </c>
      <c r="J160" s="80">
        <v>-3752178393</v>
      </c>
      <c r="K160" s="77">
        <v>-6.8288133859254188E-3</v>
      </c>
    </row>
    <row r="161" spans="1:11" x14ac:dyDescent="0.4">
      <c r="A161" s="68" t="s">
        <v>316</v>
      </c>
      <c r="B161" s="80">
        <v>0</v>
      </c>
      <c r="C161" s="80">
        <v>-1348074296</v>
      </c>
      <c r="D161" s="80">
        <v>-561301803</v>
      </c>
      <c r="E161" s="80">
        <v>-1909376099</v>
      </c>
      <c r="F161" s="77">
        <v>1.4800343483840697E-2</v>
      </c>
      <c r="G161" s="80">
        <v>0</v>
      </c>
      <c r="H161" s="80">
        <v>-7591954223</v>
      </c>
      <c r="I161" s="80">
        <v>-6842105197</v>
      </c>
      <c r="J161" s="80">
        <v>-14434059420</v>
      </c>
      <c r="K161" s="77">
        <v>-2.6269406157347082E-2</v>
      </c>
    </row>
    <row r="162" spans="1:11" x14ac:dyDescent="0.4">
      <c r="A162" s="68" t="s">
        <v>283</v>
      </c>
      <c r="B162" s="80">
        <v>0</v>
      </c>
      <c r="C162" s="80">
        <v>-513395676</v>
      </c>
      <c r="D162" s="80">
        <v>-1212794899</v>
      </c>
      <c r="E162" s="80">
        <v>-1726190575</v>
      </c>
      <c r="F162" s="77">
        <v>1.3380398676797554E-2</v>
      </c>
      <c r="G162" s="80">
        <v>802105280</v>
      </c>
      <c r="H162" s="80">
        <v>-7494117591</v>
      </c>
      <c r="I162" s="80">
        <v>-1231713997</v>
      </c>
      <c r="J162" s="80">
        <v>-7923726308</v>
      </c>
      <c r="K162" s="77">
        <v>-1.4420862392743861E-2</v>
      </c>
    </row>
    <row r="163" spans="1:11" x14ac:dyDescent="0.4">
      <c r="A163" s="68" t="s">
        <v>472</v>
      </c>
      <c r="B163" s="80">
        <v>0</v>
      </c>
      <c r="C163" s="80">
        <v>-29768100</v>
      </c>
      <c r="D163" s="80">
        <v>0</v>
      </c>
      <c r="E163" s="80">
        <v>-29768100</v>
      </c>
      <c r="F163" s="77">
        <v>2.3074453749162503E-4</v>
      </c>
      <c r="G163" s="80">
        <v>0</v>
      </c>
      <c r="H163" s="80">
        <v>390247438</v>
      </c>
      <c r="I163" s="80">
        <v>0</v>
      </c>
      <c r="J163" s="80">
        <v>390247438</v>
      </c>
      <c r="K163" s="77">
        <v>7.1023460222710685E-4</v>
      </c>
    </row>
    <row r="164" spans="1:11" x14ac:dyDescent="0.4">
      <c r="A164" s="68" t="s">
        <v>336</v>
      </c>
      <c r="B164" s="80">
        <v>0</v>
      </c>
      <c r="C164" s="80">
        <v>-1375174590</v>
      </c>
      <c r="D164" s="80">
        <v>0</v>
      </c>
      <c r="E164" s="80">
        <v>-1375174590</v>
      </c>
      <c r="F164" s="77">
        <v>1.0659532343004258E-2</v>
      </c>
      <c r="G164" s="80">
        <v>0</v>
      </c>
      <c r="H164" s="80">
        <v>1308203505</v>
      </c>
      <c r="I164" s="80">
        <v>-1173077</v>
      </c>
      <c r="J164" s="80">
        <v>1307030428</v>
      </c>
      <c r="K164" s="77">
        <v>2.3787426789700157E-3</v>
      </c>
    </row>
    <row r="165" spans="1:11" x14ac:dyDescent="0.4">
      <c r="A165" s="68" t="s">
        <v>289</v>
      </c>
      <c r="B165" s="80">
        <v>0</v>
      </c>
      <c r="C165" s="80">
        <v>-83846815</v>
      </c>
      <c r="D165" s="80">
        <v>0</v>
      </c>
      <c r="E165" s="80">
        <v>-83846815</v>
      </c>
      <c r="F165" s="77">
        <v>6.4993044726807713E-4</v>
      </c>
      <c r="G165" s="80">
        <v>552500000</v>
      </c>
      <c r="H165" s="80">
        <v>-401633044</v>
      </c>
      <c r="I165" s="80">
        <v>564732799</v>
      </c>
      <c r="J165" s="80">
        <v>715599755</v>
      </c>
      <c r="K165" s="77">
        <v>1.302362700831466E-3</v>
      </c>
    </row>
    <row r="166" spans="1:11" x14ac:dyDescent="0.4">
      <c r="A166" s="68" t="s">
        <v>188</v>
      </c>
      <c r="B166" s="80">
        <v>0</v>
      </c>
      <c r="C166" s="80">
        <v>-1956412009</v>
      </c>
      <c r="D166" s="80">
        <v>-156908423</v>
      </c>
      <c r="E166" s="80">
        <v>-2113320432</v>
      </c>
      <c r="F166" s="77">
        <v>1.6381198183741695E-2</v>
      </c>
      <c r="G166" s="80">
        <v>0</v>
      </c>
      <c r="H166" s="80">
        <v>-5124143953</v>
      </c>
      <c r="I166" s="80">
        <v>-81617011</v>
      </c>
      <c r="J166" s="80">
        <v>-5205760964</v>
      </c>
      <c r="K166" s="77">
        <v>-9.4742750561143726E-3</v>
      </c>
    </row>
    <row r="167" spans="1:11" x14ac:dyDescent="0.4">
      <c r="A167" s="68" t="s">
        <v>168</v>
      </c>
      <c r="B167" s="80">
        <v>0</v>
      </c>
      <c r="C167" s="80">
        <v>-987019415</v>
      </c>
      <c r="D167" s="80">
        <v>0</v>
      </c>
      <c r="E167" s="80">
        <v>-987019415</v>
      </c>
      <c r="F167" s="77">
        <v>7.6507851831131074E-3</v>
      </c>
      <c r="G167" s="80">
        <v>0</v>
      </c>
      <c r="H167" s="80">
        <v>2506012887</v>
      </c>
      <c r="I167" s="80">
        <v>2155115624</v>
      </c>
      <c r="J167" s="80">
        <v>4661128511</v>
      </c>
      <c r="K167" s="77">
        <v>8.4830659514528624E-3</v>
      </c>
    </row>
    <row r="168" spans="1:11" x14ac:dyDescent="0.4">
      <c r="A168" s="68" t="s">
        <v>209</v>
      </c>
      <c r="B168" s="80">
        <v>0</v>
      </c>
      <c r="C168" s="80">
        <v>-545287948</v>
      </c>
      <c r="D168" s="80">
        <v>0</v>
      </c>
      <c r="E168" s="80">
        <v>-545287948</v>
      </c>
      <c r="F168" s="77">
        <v>4.226746596558641E-3</v>
      </c>
      <c r="G168" s="80">
        <v>0</v>
      </c>
      <c r="H168" s="80">
        <v>9253299295</v>
      </c>
      <c r="I168" s="80">
        <v>304377639</v>
      </c>
      <c r="J168" s="80">
        <v>9557676934</v>
      </c>
      <c r="K168" s="77">
        <v>1.7394586650520648E-2</v>
      </c>
    </row>
    <row r="169" spans="1:11" x14ac:dyDescent="0.4">
      <c r="A169" s="68" t="s">
        <v>473</v>
      </c>
      <c r="B169" s="80">
        <v>0</v>
      </c>
      <c r="C169" s="80">
        <v>-287274370</v>
      </c>
      <c r="D169" s="80">
        <v>0</v>
      </c>
      <c r="E169" s="80">
        <v>-287274370</v>
      </c>
      <c r="F169" s="77">
        <v>2.2267793926669141E-3</v>
      </c>
      <c r="G169" s="80">
        <v>0</v>
      </c>
      <c r="H169" s="80">
        <v>-1340901423</v>
      </c>
      <c r="I169" s="80">
        <v>2435317479</v>
      </c>
      <c r="J169" s="80">
        <v>1094416056</v>
      </c>
      <c r="K169" s="77">
        <v>1.9917930946265921E-3</v>
      </c>
    </row>
    <row r="170" spans="1:11" x14ac:dyDescent="0.4">
      <c r="A170" s="68" t="s">
        <v>323</v>
      </c>
      <c r="B170" s="80">
        <v>0</v>
      </c>
      <c r="C170" s="80">
        <v>-277971676</v>
      </c>
      <c r="D170" s="80">
        <v>0</v>
      </c>
      <c r="E170" s="80">
        <v>-277971676</v>
      </c>
      <c r="F170" s="77">
        <v>2.1546704631599544E-3</v>
      </c>
      <c r="G170" s="80">
        <v>0</v>
      </c>
      <c r="H170" s="80">
        <v>-2307880394</v>
      </c>
      <c r="I170" s="80">
        <v>5847030134</v>
      </c>
      <c r="J170" s="80">
        <v>3539149740</v>
      </c>
      <c r="K170" s="77">
        <v>6.4411098268659702E-3</v>
      </c>
    </row>
    <row r="171" spans="1:11" x14ac:dyDescent="0.4">
      <c r="A171" s="68" t="s">
        <v>240</v>
      </c>
      <c r="B171" s="80">
        <v>0</v>
      </c>
      <c r="C171" s="80">
        <v>-946136521</v>
      </c>
      <c r="D171" s="80">
        <v>0</v>
      </c>
      <c r="E171" s="80">
        <v>-946136521</v>
      </c>
      <c r="F171" s="77">
        <v>7.3338853988692649E-3</v>
      </c>
      <c r="G171" s="80">
        <v>228464012</v>
      </c>
      <c r="H171" s="80">
        <v>-1042207409</v>
      </c>
      <c r="I171" s="80">
        <v>-442113031</v>
      </c>
      <c r="J171" s="80">
        <v>-1255856428</v>
      </c>
      <c r="K171" s="77">
        <v>-2.2856080623261778E-3</v>
      </c>
    </row>
    <row r="172" spans="1:11" x14ac:dyDescent="0.4">
      <c r="A172" s="68" t="s">
        <v>474</v>
      </c>
      <c r="B172" s="80">
        <v>0</v>
      </c>
      <c r="C172" s="80">
        <v>406586527</v>
      </c>
      <c r="D172" s="80">
        <v>0</v>
      </c>
      <c r="E172" s="80">
        <v>406586527</v>
      </c>
      <c r="F172" s="77">
        <v>-3.1516159957451469E-3</v>
      </c>
      <c r="G172" s="80">
        <v>0</v>
      </c>
      <c r="H172" s="80">
        <v>4678485289</v>
      </c>
      <c r="I172" s="80">
        <v>-3926</v>
      </c>
      <c r="J172" s="80">
        <v>4678481363</v>
      </c>
      <c r="K172" s="77">
        <v>8.5146474424189246E-3</v>
      </c>
    </row>
    <row r="173" spans="1:11" x14ac:dyDescent="0.4">
      <c r="A173" s="68" t="s">
        <v>303</v>
      </c>
      <c r="B173" s="80">
        <v>0</v>
      </c>
      <c r="C173" s="80">
        <v>-1729608850</v>
      </c>
      <c r="D173" s="80">
        <v>0</v>
      </c>
      <c r="E173" s="80">
        <v>-1729608850</v>
      </c>
      <c r="F173" s="77">
        <v>1.3406895103640187E-2</v>
      </c>
      <c r="G173" s="80">
        <v>3237484320</v>
      </c>
      <c r="H173" s="80">
        <v>3259045496</v>
      </c>
      <c r="I173" s="80">
        <v>-5374334342</v>
      </c>
      <c r="J173" s="80">
        <v>1122195474</v>
      </c>
      <c r="K173" s="77">
        <v>2.0423505153093395E-3</v>
      </c>
    </row>
    <row r="174" spans="1:11" x14ac:dyDescent="0.4">
      <c r="A174" s="68" t="s">
        <v>196</v>
      </c>
      <c r="B174" s="80">
        <v>0</v>
      </c>
      <c r="C174" s="80">
        <v>-2837693548</v>
      </c>
      <c r="D174" s="80">
        <v>0</v>
      </c>
      <c r="E174" s="80">
        <v>-2837693548</v>
      </c>
      <c r="F174" s="77">
        <v>2.199610607584053E-2</v>
      </c>
      <c r="G174" s="80">
        <v>13040000000</v>
      </c>
      <c r="H174" s="80">
        <v>-9458531193</v>
      </c>
      <c r="I174" s="80">
        <v>-3961327156</v>
      </c>
      <c r="J174" s="80">
        <v>-379858349</v>
      </c>
      <c r="K174" s="77">
        <v>-6.9132687913933341E-4</v>
      </c>
    </row>
    <row r="175" spans="1:11" x14ac:dyDescent="0.4">
      <c r="A175" s="68" t="s">
        <v>475</v>
      </c>
      <c r="B175" s="80">
        <v>0</v>
      </c>
      <c r="C175" s="80">
        <v>253752344</v>
      </c>
      <c r="D175" s="80">
        <v>0</v>
      </c>
      <c r="E175" s="80">
        <v>253752344</v>
      </c>
      <c r="F175" s="77">
        <v>-1.9669366621885755E-3</v>
      </c>
      <c r="G175" s="80">
        <v>0</v>
      </c>
      <c r="H175" s="80">
        <v>7009291402</v>
      </c>
      <c r="I175" s="80">
        <v>0</v>
      </c>
      <c r="J175" s="80">
        <v>7009291402</v>
      </c>
      <c r="K175" s="77">
        <v>1.2756627734205266E-2</v>
      </c>
    </row>
    <row r="176" spans="1:11" x14ac:dyDescent="0.4">
      <c r="A176" s="68" t="s">
        <v>213</v>
      </c>
      <c r="B176" s="80">
        <v>0</v>
      </c>
      <c r="C176" s="80">
        <v>-719345502</v>
      </c>
      <c r="D176" s="80">
        <v>0</v>
      </c>
      <c r="E176" s="80">
        <v>-719345502</v>
      </c>
      <c r="F176" s="77">
        <v>5.5759368302199614E-3</v>
      </c>
      <c r="G176" s="80">
        <v>420000000</v>
      </c>
      <c r="H176" s="80">
        <v>-4525618618</v>
      </c>
      <c r="I176" s="80">
        <v>12939991662</v>
      </c>
      <c r="J176" s="80">
        <v>8834373044</v>
      </c>
      <c r="K176" s="77">
        <v>1.6078202734622987E-2</v>
      </c>
    </row>
    <row r="177" spans="1:11" x14ac:dyDescent="0.4">
      <c r="A177" s="68" t="s">
        <v>236</v>
      </c>
      <c r="B177" s="80">
        <v>0</v>
      </c>
      <c r="C177" s="80">
        <v>701800928</v>
      </c>
      <c r="D177" s="80">
        <v>-1749873004</v>
      </c>
      <c r="E177" s="80">
        <v>-1048072076</v>
      </c>
      <c r="F177" s="77">
        <v>8.1240289583314786E-3</v>
      </c>
      <c r="G177" s="80">
        <v>1113775480</v>
      </c>
      <c r="H177" s="80">
        <v>-13357098710</v>
      </c>
      <c r="I177" s="80">
        <v>-10745801841</v>
      </c>
      <c r="J177" s="80">
        <v>-22989125071</v>
      </c>
      <c r="K177" s="77">
        <v>-4.1839280698495948E-2</v>
      </c>
    </row>
    <row r="178" spans="1:11" x14ac:dyDescent="0.4">
      <c r="A178" s="68" t="s">
        <v>182</v>
      </c>
      <c r="B178" s="80">
        <v>0</v>
      </c>
      <c r="C178" s="80">
        <v>1312197988</v>
      </c>
      <c r="D178" s="80">
        <v>-228852629</v>
      </c>
      <c r="E178" s="80">
        <v>1083345359</v>
      </c>
      <c r="F178" s="77">
        <v>-8.3974463874467459E-3</v>
      </c>
      <c r="G178" s="80">
        <v>2642052540</v>
      </c>
      <c r="H178" s="80">
        <v>-3209548569</v>
      </c>
      <c r="I178" s="80">
        <v>21817644169</v>
      </c>
      <c r="J178" s="80">
        <v>21250148140</v>
      </c>
      <c r="K178" s="77">
        <v>3.8674412800321814E-2</v>
      </c>
    </row>
    <row r="179" spans="1:11" x14ac:dyDescent="0.4">
      <c r="A179" s="68" t="s">
        <v>342</v>
      </c>
      <c r="B179" s="80">
        <v>1290204000</v>
      </c>
      <c r="C179" s="80">
        <v>-1211951751</v>
      </c>
      <c r="D179" s="80">
        <v>0</v>
      </c>
      <c r="E179" s="80">
        <v>78252249</v>
      </c>
      <c r="F179" s="77">
        <v>-6.0656471199654926E-4</v>
      </c>
      <c r="G179" s="80">
        <v>1290204000</v>
      </c>
      <c r="H179" s="80">
        <v>3358073041</v>
      </c>
      <c r="I179" s="80">
        <v>6073561753</v>
      </c>
      <c r="J179" s="80">
        <v>10721838794</v>
      </c>
      <c r="K179" s="77">
        <v>1.9513314296248505E-2</v>
      </c>
    </row>
    <row r="180" spans="1:11" x14ac:dyDescent="0.4">
      <c r="A180" s="68" t="s">
        <v>476</v>
      </c>
      <c r="B180" s="80">
        <v>0</v>
      </c>
      <c r="C180" s="80">
        <v>-164401030</v>
      </c>
      <c r="D180" s="80">
        <v>0</v>
      </c>
      <c r="E180" s="80">
        <v>-164401030</v>
      </c>
      <c r="F180" s="77">
        <v>1.274338625256458E-3</v>
      </c>
      <c r="G180" s="80">
        <v>4340424361</v>
      </c>
      <c r="H180" s="80">
        <v>-874743449</v>
      </c>
      <c r="I180" s="80">
        <v>785484174</v>
      </c>
      <c r="J180" s="80">
        <v>4251165086</v>
      </c>
      <c r="K180" s="77">
        <v>7.7369490478422422E-3</v>
      </c>
    </row>
    <row r="181" spans="1:11" x14ac:dyDescent="0.4">
      <c r="A181" s="68" t="s">
        <v>219</v>
      </c>
      <c r="B181" s="80">
        <v>0</v>
      </c>
      <c r="C181" s="80">
        <v>-2481210181</v>
      </c>
      <c r="D181" s="80">
        <v>610558278</v>
      </c>
      <c r="E181" s="80">
        <v>-1870651903</v>
      </c>
      <c r="F181" s="77">
        <v>1.4500176637594042E-2</v>
      </c>
      <c r="G181" s="80">
        <v>0</v>
      </c>
      <c r="H181" s="80">
        <v>9948920315</v>
      </c>
      <c r="I181" s="80">
        <v>3620314119</v>
      </c>
      <c r="J181" s="80">
        <v>13569234434</v>
      </c>
      <c r="K181" s="77">
        <v>2.4695459552916656E-2</v>
      </c>
    </row>
    <row r="182" spans="1:11" x14ac:dyDescent="0.4">
      <c r="A182" s="68" t="s">
        <v>310</v>
      </c>
      <c r="B182" s="80">
        <v>0</v>
      </c>
      <c r="C182" s="80">
        <v>-2351710542</v>
      </c>
      <c r="D182" s="80">
        <v>0</v>
      </c>
      <c r="E182" s="80">
        <v>-2351710542</v>
      </c>
      <c r="F182" s="77">
        <v>1.8229055980326887E-2</v>
      </c>
      <c r="G182" s="80">
        <v>0</v>
      </c>
      <c r="H182" s="80">
        <v>1385901812</v>
      </c>
      <c r="I182" s="80">
        <v>912829265</v>
      </c>
      <c r="J182" s="80">
        <v>2298731077</v>
      </c>
      <c r="K182" s="77">
        <v>4.1835978743829287E-3</v>
      </c>
    </row>
    <row r="183" spans="1:11" x14ac:dyDescent="0.4">
      <c r="A183" s="68" t="s">
        <v>270</v>
      </c>
      <c r="B183" s="80">
        <v>0</v>
      </c>
      <c r="C183" s="80">
        <v>-275172045</v>
      </c>
      <c r="D183" s="80">
        <v>0</v>
      </c>
      <c r="E183" s="80">
        <v>-275172045</v>
      </c>
      <c r="F183" s="77">
        <v>2.1329693952301166E-3</v>
      </c>
      <c r="G183" s="80">
        <v>0</v>
      </c>
      <c r="H183" s="80">
        <v>43275098</v>
      </c>
      <c r="I183" s="80">
        <v>1194237210</v>
      </c>
      <c r="J183" s="80">
        <v>1237512308</v>
      </c>
      <c r="K183" s="77">
        <v>2.2522225035684382E-3</v>
      </c>
    </row>
    <row r="184" spans="1:11" x14ac:dyDescent="0.4">
      <c r="A184" s="68" t="s">
        <v>245</v>
      </c>
      <c r="B184" s="80">
        <v>0</v>
      </c>
      <c r="C184" s="80">
        <v>-1633595058</v>
      </c>
      <c r="D184" s="80">
        <v>0</v>
      </c>
      <c r="E184" s="80">
        <v>-1633595058</v>
      </c>
      <c r="F184" s="77">
        <v>1.2662653515233232E-2</v>
      </c>
      <c r="G184" s="80">
        <v>883388000</v>
      </c>
      <c r="H184" s="80">
        <v>-4730054929</v>
      </c>
      <c r="I184" s="80">
        <v>-21602322</v>
      </c>
      <c r="J184" s="80">
        <v>-3868269251</v>
      </c>
      <c r="K184" s="77">
        <v>-7.0400940666555598E-3</v>
      </c>
    </row>
    <row r="185" spans="1:11" x14ac:dyDescent="0.4">
      <c r="A185" s="68" t="s">
        <v>284</v>
      </c>
      <c r="B185" s="80">
        <v>0</v>
      </c>
      <c r="C185" s="80">
        <v>-352802088</v>
      </c>
      <c r="D185" s="80">
        <v>0</v>
      </c>
      <c r="E185" s="80">
        <v>-352802088</v>
      </c>
      <c r="F185" s="77">
        <v>2.7347111378166426E-3</v>
      </c>
      <c r="G185" s="80">
        <v>0</v>
      </c>
      <c r="H185" s="80">
        <v>2257771688</v>
      </c>
      <c r="I185" s="80">
        <v>3244736173</v>
      </c>
      <c r="J185" s="80">
        <v>5502507861</v>
      </c>
      <c r="K185" s="77">
        <v>1.0014342443700716E-2</v>
      </c>
    </row>
    <row r="186" spans="1:11" x14ac:dyDescent="0.4">
      <c r="A186" s="68" t="s">
        <v>230</v>
      </c>
      <c r="B186" s="80">
        <v>0</v>
      </c>
      <c r="C186" s="80">
        <v>-636521707</v>
      </c>
      <c r="D186" s="80">
        <v>0</v>
      </c>
      <c r="E186" s="80">
        <v>-636521707</v>
      </c>
      <c r="F186" s="77">
        <v>4.9339362231749645E-3</v>
      </c>
      <c r="G186" s="80">
        <v>0</v>
      </c>
      <c r="H186" s="80">
        <v>5323037854</v>
      </c>
      <c r="I186" s="80">
        <v>654358263</v>
      </c>
      <c r="J186" s="80">
        <v>5977396117</v>
      </c>
      <c r="K186" s="77">
        <v>1.0878619921936164E-2</v>
      </c>
    </row>
    <row r="187" spans="1:11" x14ac:dyDescent="0.4">
      <c r="A187" s="68" t="s">
        <v>338</v>
      </c>
      <c r="B187" s="80">
        <v>0</v>
      </c>
      <c r="C187" s="80">
        <v>-23778391</v>
      </c>
      <c r="D187" s="80">
        <v>-264129391</v>
      </c>
      <c r="E187" s="80">
        <v>-287907782</v>
      </c>
      <c r="F187" s="77">
        <v>2.231689224298145E-3</v>
      </c>
      <c r="G187" s="80">
        <v>0</v>
      </c>
      <c r="H187" s="80">
        <v>-463946026</v>
      </c>
      <c r="I187" s="80">
        <v>-299337969</v>
      </c>
      <c r="J187" s="80">
        <v>-763283995</v>
      </c>
      <c r="K187" s="77">
        <v>-1.3891460949838241E-3</v>
      </c>
    </row>
    <row r="188" spans="1:11" x14ac:dyDescent="0.4">
      <c r="A188" s="68" t="s">
        <v>313</v>
      </c>
      <c r="B188" s="80">
        <v>0</v>
      </c>
      <c r="C188" s="80">
        <v>-4142652450</v>
      </c>
      <c r="D188" s="80">
        <v>870696354</v>
      </c>
      <c r="E188" s="80">
        <v>-3271956096</v>
      </c>
      <c r="F188" s="77">
        <v>2.5362250061791752E-2</v>
      </c>
      <c r="G188" s="80">
        <v>0</v>
      </c>
      <c r="H188" s="80">
        <v>4602040973</v>
      </c>
      <c r="I188" s="80">
        <v>3180287408</v>
      </c>
      <c r="J188" s="80">
        <v>7782328381</v>
      </c>
      <c r="K188" s="77">
        <v>1.4163523866824871E-2</v>
      </c>
    </row>
    <row r="189" spans="1:11" x14ac:dyDescent="0.4">
      <c r="A189" s="68" t="s">
        <v>309</v>
      </c>
      <c r="B189" s="80">
        <v>0</v>
      </c>
      <c r="C189" s="80">
        <v>-2132699666</v>
      </c>
      <c r="D189" s="80">
        <v>785563601</v>
      </c>
      <c r="E189" s="80">
        <v>-1347136065</v>
      </c>
      <c r="F189" s="77">
        <v>1.0442194438231285E-2</v>
      </c>
      <c r="G189" s="80">
        <v>0</v>
      </c>
      <c r="H189" s="80">
        <v>9021072750</v>
      </c>
      <c r="I189" s="80">
        <v>2496765945</v>
      </c>
      <c r="J189" s="80">
        <v>11517838695</v>
      </c>
      <c r="K189" s="77">
        <v>2.0962002021033908E-2</v>
      </c>
    </row>
    <row r="190" spans="1:11" x14ac:dyDescent="0.4">
      <c r="A190" s="68" t="s">
        <v>315</v>
      </c>
      <c r="B190" s="80">
        <v>0</v>
      </c>
      <c r="C190" s="80">
        <v>-98902099</v>
      </c>
      <c r="D190" s="80">
        <v>0</v>
      </c>
      <c r="E190" s="80">
        <v>-98902099</v>
      </c>
      <c r="F190" s="77">
        <v>7.6663001974280887E-4</v>
      </c>
      <c r="G190" s="80">
        <v>3268000000</v>
      </c>
      <c r="H190" s="80">
        <v>-20223563</v>
      </c>
      <c r="I190" s="80">
        <v>2731550205</v>
      </c>
      <c r="J190" s="80">
        <v>5979326642</v>
      </c>
      <c r="K190" s="77">
        <v>1.0882133399596624E-2</v>
      </c>
    </row>
    <row r="191" spans="1:11" x14ac:dyDescent="0.4">
      <c r="A191" s="68" t="s">
        <v>296</v>
      </c>
      <c r="B191" s="80">
        <v>0</v>
      </c>
      <c r="C191" s="80">
        <v>-630746646</v>
      </c>
      <c r="D191" s="80">
        <v>0</v>
      </c>
      <c r="E191" s="80">
        <v>-630746646</v>
      </c>
      <c r="F191" s="77">
        <v>4.8891713984320039E-3</v>
      </c>
      <c r="G191" s="80">
        <v>0</v>
      </c>
      <c r="H191" s="80">
        <v>7802422856</v>
      </c>
      <c r="I191" s="80">
        <v>445423398</v>
      </c>
      <c r="J191" s="80">
        <v>8247846254</v>
      </c>
      <c r="K191" s="77">
        <v>1.5010747625817913E-2</v>
      </c>
    </row>
    <row r="192" spans="1:11" x14ac:dyDescent="0.4">
      <c r="A192" s="68" t="s">
        <v>207</v>
      </c>
      <c r="B192" s="80">
        <v>0</v>
      </c>
      <c r="C192" s="80">
        <v>-411142709</v>
      </c>
      <c r="D192" s="80">
        <v>0</v>
      </c>
      <c r="E192" s="80">
        <v>-411142709</v>
      </c>
      <c r="F192" s="77">
        <v>3.1869327982390135E-3</v>
      </c>
      <c r="G192" s="80">
        <v>0</v>
      </c>
      <c r="H192" s="80">
        <v>4042531870</v>
      </c>
      <c r="I192" s="80">
        <v>6863267302</v>
      </c>
      <c r="J192" s="80">
        <v>10905799172</v>
      </c>
      <c r="K192" s="77">
        <v>1.9848114766852436E-2</v>
      </c>
    </row>
    <row r="193" spans="1:11" x14ac:dyDescent="0.4">
      <c r="A193" s="68" t="s">
        <v>267</v>
      </c>
      <c r="B193" s="80">
        <v>0</v>
      </c>
      <c r="C193" s="80">
        <v>-781885581</v>
      </c>
      <c r="D193" s="80">
        <v>0</v>
      </c>
      <c r="E193" s="80">
        <v>-781885581</v>
      </c>
      <c r="F193" s="77">
        <v>6.0607101816782232E-3</v>
      </c>
      <c r="G193" s="80">
        <v>600000000</v>
      </c>
      <c r="H193" s="80">
        <v>-5626352699</v>
      </c>
      <c r="I193" s="80">
        <v>68148055</v>
      </c>
      <c r="J193" s="80">
        <v>-4958204644</v>
      </c>
      <c r="K193" s="77">
        <v>-9.0237325352842766E-3</v>
      </c>
    </row>
    <row r="194" spans="1:11" x14ac:dyDescent="0.4">
      <c r="A194" s="68" t="s">
        <v>201</v>
      </c>
      <c r="B194" s="80">
        <v>0</v>
      </c>
      <c r="C194" s="80">
        <v>54862013</v>
      </c>
      <c r="D194" s="80">
        <v>0</v>
      </c>
      <c r="E194" s="80">
        <v>54862013</v>
      </c>
      <c r="F194" s="77">
        <v>-4.2525756818690205E-4</v>
      </c>
      <c r="G194" s="80">
        <v>0</v>
      </c>
      <c r="H194" s="80">
        <v>-5266398069</v>
      </c>
      <c r="I194" s="80">
        <v>-1246348478</v>
      </c>
      <c r="J194" s="80">
        <v>-6512746547</v>
      </c>
      <c r="K194" s="77">
        <v>-1.1852936118992557E-2</v>
      </c>
    </row>
    <row r="195" spans="1:11" x14ac:dyDescent="0.4">
      <c r="A195" s="68" t="s">
        <v>243</v>
      </c>
      <c r="B195" s="80">
        <v>0</v>
      </c>
      <c r="C195" s="80">
        <v>-56758974</v>
      </c>
      <c r="D195" s="80">
        <v>-280951492</v>
      </c>
      <c r="E195" s="80">
        <v>-337710466</v>
      </c>
      <c r="F195" s="77">
        <v>2.6177298948623245E-3</v>
      </c>
      <c r="G195" s="80">
        <v>0</v>
      </c>
      <c r="H195" s="80">
        <v>-4178517380</v>
      </c>
      <c r="I195" s="80">
        <v>-761895950</v>
      </c>
      <c r="J195" s="80">
        <v>-4940413330</v>
      </c>
      <c r="K195" s="77">
        <v>-8.9913530611571788E-3</v>
      </c>
    </row>
    <row r="196" spans="1:11" x14ac:dyDescent="0.4">
      <c r="A196" s="68" t="s">
        <v>477</v>
      </c>
      <c r="B196" s="80">
        <v>0</v>
      </c>
      <c r="C196" s="80">
        <v>-230048983</v>
      </c>
      <c r="D196" s="80">
        <v>0</v>
      </c>
      <c r="E196" s="80">
        <v>-230048983</v>
      </c>
      <c r="F196" s="77">
        <v>1.7832023603371967E-3</v>
      </c>
      <c r="G196" s="80">
        <v>0</v>
      </c>
      <c r="H196" s="80">
        <v>-6193115648</v>
      </c>
      <c r="I196" s="80">
        <v>-807086408</v>
      </c>
      <c r="J196" s="80">
        <v>-7000202056</v>
      </c>
      <c r="K196" s="77">
        <v>-1.2740085490971335E-2</v>
      </c>
    </row>
    <row r="197" spans="1:11" x14ac:dyDescent="0.4">
      <c r="A197" s="68" t="s">
        <v>235</v>
      </c>
      <c r="B197" s="80">
        <v>0</v>
      </c>
      <c r="C197" s="80">
        <v>-48664870</v>
      </c>
      <c r="D197" s="80">
        <v>0</v>
      </c>
      <c r="E197" s="80">
        <v>-48664870</v>
      </c>
      <c r="F197" s="77">
        <v>3.772210157934184E-4</v>
      </c>
      <c r="G197" s="80">
        <v>0</v>
      </c>
      <c r="H197" s="80">
        <v>-239662521</v>
      </c>
      <c r="I197" s="80">
        <v>-2772364123</v>
      </c>
      <c r="J197" s="80">
        <v>-3012026644</v>
      </c>
      <c r="K197" s="77">
        <v>-5.4817670459601777E-3</v>
      </c>
    </row>
    <row r="198" spans="1:11" x14ac:dyDescent="0.4">
      <c r="A198" s="68" t="s">
        <v>334</v>
      </c>
      <c r="B198" s="80">
        <v>0</v>
      </c>
      <c r="C198" s="80">
        <v>-830605005</v>
      </c>
      <c r="D198" s="80">
        <v>0</v>
      </c>
      <c r="E198" s="80">
        <v>-830605005</v>
      </c>
      <c r="F198" s="77">
        <v>6.4383540675069587E-3</v>
      </c>
      <c r="G198" s="80">
        <v>0</v>
      </c>
      <c r="H198" s="80">
        <v>9505601288</v>
      </c>
      <c r="I198" s="80">
        <v>2648701708</v>
      </c>
      <c r="J198" s="80">
        <v>12154302996</v>
      </c>
      <c r="K198" s="77">
        <v>2.2120341386358551E-2</v>
      </c>
    </row>
    <row r="199" spans="1:11" x14ac:dyDescent="0.4">
      <c r="A199" s="68" t="s">
        <v>332</v>
      </c>
      <c r="B199" s="80">
        <v>0</v>
      </c>
      <c r="C199" s="80">
        <v>-1148621999</v>
      </c>
      <c r="D199" s="80">
        <v>0</v>
      </c>
      <c r="E199" s="80">
        <v>-1148621999</v>
      </c>
      <c r="F199" s="77">
        <v>8.9034319258521968E-3</v>
      </c>
      <c r="G199" s="80">
        <v>0</v>
      </c>
      <c r="H199" s="80">
        <v>373318654</v>
      </c>
      <c r="I199" s="80">
        <v>3089098883</v>
      </c>
      <c r="J199" s="80">
        <v>3462417537</v>
      </c>
      <c r="K199" s="77">
        <v>6.3014603112791067E-3</v>
      </c>
    </row>
    <row r="200" spans="1:11" x14ac:dyDescent="0.4">
      <c r="A200" s="68" t="s">
        <v>228</v>
      </c>
      <c r="B200" s="80">
        <v>0</v>
      </c>
      <c r="C200" s="80">
        <v>145550967</v>
      </c>
      <c r="D200" s="80">
        <v>0</v>
      </c>
      <c r="E200" s="80">
        <v>145550967</v>
      </c>
      <c r="F200" s="77">
        <v>-1.1282241917312081E-3</v>
      </c>
      <c r="G200" s="80">
        <v>58108700</v>
      </c>
      <c r="H200" s="80">
        <v>3353155377</v>
      </c>
      <c r="I200" s="80">
        <v>-1044938080</v>
      </c>
      <c r="J200" s="80">
        <v>2366325997</v>
      </c>
      <c r="K200" s="77">
        <v>4.3066179033287005E-3</v>
      </c>
    </row>
    <row r="201" spans="1:11" x14ac:dyDescent="0.4">
      <c r="A201" s="68" t="s">
        <v>208</v>
      </c>
      <c r="B201" s="80">
        <v>0</v>
      </c>
      <c r="C201" s="80">
        <v>205378933</v>
      </c>
      <c r="D201" s="80">
        <v>0</v>
      </c>
      <c r="E201" s="80">
        <v>205378933</v>
      </c>
      <c r="F201" s="77">
        <v>-1.5919748625410571E-3</v>
      </c>
      <c r="G201" s="80">
        <v>0</v>
      </c>
      <c r="H201" s="80">
        <v>8527375301</v>
      </c>
      <c r="I201" s="80">
        <v>3583169353</v>
      </c>
      <c r="J201" s="80">
        <v>12110544654</v>
      </c>
      <c r="K201" s="77">
        <v>2.2040702968272416E-2</v>
      </c>
    </row>
    <row r="202" spans="1:11" x14ac:dyDescent="0.4">
      <c r="A202" s="68" t="s">
        <v>478</v>
      </c>
      <c r="B202" s="80">
        <v>0</v>
      </c>
      <c r="C202" s="80">
        <v>718718847</v>
      </c>
      <c r="D202" s="80">
        <v>0</v>
      </c>
      <c r="E202" s="80">
        <v>718718847</v>
      </c>
      <c r="F202" s="77">
        <v>-5.5710793748183123E-3</v>
      </c>
      <c r="G202" s="80">
        <v>813578800</v>
      </c>
      <c r="H202" s="80">
        <v>-829650840</v>
      </c>
      <c r="I202" s="80">
        <v>-783613773</v>
      </c>
      <c r="J202" s="80">
        <v>-799685813</v>
      </c>
      <c r="K202" s="77">
        <v>-1.4553959360079527E-3</v>
      </c>
    </row>
    <row r="203" spans="1:11" x14ac:dyDescent="0.4">
      <c r="A203" s="68" t="s">
        <v>429</v>
      </c>
      <c r="B203" s="80">
        <v>2960331300</v>
      </c>
      <c r="C203" s="80">
        <v>-2937447939</v>
      </c>
      <c r="D203" s="80">
        <v>0</v>
      </c>
      <c r="E203" s="80">
        <v>22883361</v>
      </c>
      <c r="F203" s="77">
        <v>-1.7737815145067674E-4</v>
      </c>
      <c r="G203" s="80">
        <v>2960331300</v>
      </c>
      <c r="H203" s="80">
        <v>3713851411</v>
      </c>
      <c r="I203" s="80">
        <v>0</v>
      </c>
      <c r="J203" s="80">
        <v>6674182711</v>
      </c>
      <c r="K203" s="77">
        <v>1.214674342830181E-2</v>
      </c>
    </row>
    <row r="204" spans="1:11" x14ac:dyDescent="0.4">
      <c r="A204" s="68" t="s">
        <v>287</v>
      </c>
      <c r="B204" s="80">
        <v>0</v>
      </c>
      <c r="C204" s="80">
        <v>-320382927</v>
      </c>
      <c r="D204" s="80">
        <v>0</v>
      </c>
      <c r="E204" s="80">
        <v>-320382927</v>
      </c>
      <c r="F204" s="77">
        <v>2.4834171583281452E-3</v>
      </c>
      <c r="G204" s="80">
        <v>4253799800</v>
      </c>
      <c r="H204" s="80">
        <v>-5353168475</v>
      </c>
      <c r="I204" s="80">
        <v>-1695430449</v>
      </c>
      <c r="J204" s="80">
        <v>-2794799124</v>
      </c>
      <c r="K204" s="77">
        <v>-5.0864217182607268E-3</v>
      </c>
    </row>
    <row r="205" spans="1:11" x14ac:dyDescent="0.4">
      <c r="A205" s="68" t="s">
        <v>297</v>
      </c>
      <c r="B205" s="80">
        <v>0</v>
      </c>
      <c r="C205" s="80">
        <v>-589357328</v>
      </c>
      <c r="D205" s="80">
        <v>0</v>
      </c>
      <c r="E205" s="80">
        <v>-589357328</v>
      </c>
      <c r="F205" s="77">
        <v>4.5683461177119114E-3</v>
      </c>
      <c r="G205" s="80">
        <v>22120000000</v>
      </c>
      <c r="H205" s="80">
        <v>-9191488256</v>
      </c>
      <c r="I205" s="80">
        <v>-41687600417</v>
      </c>
      <c r="J205" s="80">
        <v>-28759088673</v>
      </c>
      <c r="K205" s="77">
        <v>-5.234038180689414E-2</v>
      </c>
    </row>
    <row r="206" spans="1:11" x14ac:dyDescent="0.4">
      <c r="A206" s="68" t="s">
        <v>352</v>
      </c>
      <c r="B206" s="80">
        <v>0</v>
      </c>
      <c r="C206" s="80">
        <v>32329767</v>
      </c>
      <c r="D206" s="80">
        <v>-1674458022</v>
      </c>
      <c r="E206" s="80">
        <v>-1642128255</v>
      </c>
      <c r="F206" s="77">
        <v>1.2728797763441546E-2</v>
      </c>
      <c r="G206" s="80">
        <v>0</v>
      </c>
      <c r="H206" s="80">
        <v>-6182719609</v>
      </c>
      <c r="I206" s="80">
        <v>-3488533374</v>
      </c>
      <c r="J206" s="80">
        <v>-9671252983</v>
      </c>
      <c r="K206" s="77">
        <v>-1.7601290480268893E-2</v>
      </c>
    </row>
    <row r="207" spans="1:11" x14ac:dyDescent="0.4">
      <c r="A207" s="68" t="s">
        <v>233</v>
      </c>
      <c r="B207" s="80">
        <v>0</v>
      </c>
      <c r="C207" s="80">
        <v>-8789677</v>
      </c>
      <c r="D207" s="80">
        <v>0</v>
      </c>
      <c r="E207" s="80">
        <v>-8789677</v>
      </c>
      <c r="F207" s="77">
        <v>6.8132328031207033E-5</v>
      </c>
      <c r="G207" s="80">
        <v>0</v>
      </c>
      <c r="H207" s="80">
        <v>6234388968</v>
      </c>
      <c r="I207" s="80">
        <v>1002097997</v>
      </c>
      <c r="J207" s="80">
        <v>7236486965</v>
      </c>
      <c r="K207" s="77">
        <v>1.3170114498249232E-2</v>
      </c>
    </row>
    <row r="208" spans="1:11" x14ac:dyDescent="0.4">
      <c r="A208" s="68" t="s">
        <v>223</v>
      </c>
      <c r="B208" s="80">
        <v>0</v>
      </c>
      <c r="C208" s="80">
        <v>-2564296555</v>
      </c>
      <c r="D208" s="80">
        <v>0</v>
      </c>
      <c r="E208" s="80">
        <v>-2564296555</v>
      </c>
      <c r="F208" s="77">
        <v>1.9876895823880004E-2</v>
      </c>
      <c r="G208" s="80">
        <v>1925903250</v>
      </c>
      <c r="H208" s="80">
        <v>4890513320</v>
      </c>
      <c r="I208" s="80">
        <v>5364140700</v>
      </c>
      <c r="J208" s="80">
        <v>12180557270</v>
      </c>
      <c r="K208" s="77">
        <v>2.2168123106455714E-2</v>
      </c>
    </row>
    <row r="209" spans="1:11" x14ac:dyDescent="0.4">
      <c r="A209" s="68" t="s">
        <v>252</v>
      </c>
      <c r="B209" s="80">
        <v>0</v>
      </c>
      <c r="C209" s="80">
        <v>-764536539</v>
      </c>
      <c r="D209" s="80">
        <v>0</v>
      </c>
      <c r="E209" s="80">
        <v>-764536539</v>
      </c>
      <c r="F209" s="77">
        <v>5.9262307667268905E-3</v>
      </c>
      <c r="G209" s="80">
        <v>0</v>
      </c>
      <c r="H209" s="80">
        <v>-5394866345</v>
      </c>
      <c r="I209" s="80">
        <v>532836365</v>
      </c>
      <c r="J209" s="80">
        <v>-4862029980</v>
      </c>
      <c r="K209" s="77">
        <v>-8.8486985246052224E-3</v>
      </c>
    </row>
    <row r="210" spans="1:11" x14ac:dyDescent="0.4">
      <c r="A210" s="68" t="s">
        <v>337</v>
      </c>
      <c r="B210" s="80">
        <v>0</v>
      </c>
      <c r="C210" s="80">
        <v>-431343695</v>
      </c>
      <c r="D210" s="80">
        <v>67903546</v>
      </c>
      <c r="E210" s="80">
        <v>-363440149</v>
      </c>
      <c r="F210" s="77">
        <v>2.8171710349969357E-3</v>
      </c>
      <c r="G210" s="80">
        <v>0</v>
      </c>
      <c r="H210" s="80">
        <v>2366162665</v>
      </c>
      <c r="I210" s="80">
        <v>67903546</v>
      </c>
      <c r="J210" s="80">
        <v>2434066211</v>
      </c>
      <c r="K210" s="77">
        <v>4.4299023614961597E-3</v>
      </c>
    </row>
    <row r="211" spans="1:11" x14ac:dyDescent="0.4">
      <c r="A211" s="68" t="s">
        <v>282</v>
      </c>
      <c r="B211" s="80">
        <v>0</v>
      </c>
      <c r="C211" s="80">
        <v>-1070830172</v>
      </c>
      <c r="D211" s="80">
        <v>0</v>
      </c>
      <c r="E211" s="80">
        <v>-1070830172</v>
      </c>
      <c r="F211" s="77">
        <v>8.3004361302944189E-3</v>
      </c>
      <c r="G211" s="80">
        <v>0</v>
      </c>
      <c r="H211" s="80">
        <v>5480218629</v>
      </c>
      <c r="I211" s="80">
        <v>2684360470</v>
      </c>
      <c r="J211" s="80">
        <v>8164579099</v>
      </c>
      <c r="K211" s="77">
        <v>1.4859204761082928E-2</v>
      </c>
    </row>
    <row r="212" spans="1:11" x14ac:dyDescent="0.4">
      <c r="A212" s="68" t="s">
        <v>479</v>
      </c>
      <c r="B212" s="80">
        <v>0</v>
      </c>
      <c r="C212" s="80">
        <v>-97639487</v>
      </c>
      <c r="D212" s="80">
        <v>0</v>
      </c>
      <c r="E212" s="80">
        <v>-97639487</v>
      </c>
      <c r="F212" s="77">
        <v>7.5684300538947846E-4</v>
      </c>
      <c r="G212" s="80">
        <v>0</v>
      </c>
      <c r="H212" s="80">
        <v>5273267030</v>
      </c>
      <c r="I212" s="80">
        <v>0</v>
      </c>
      <c r="J212" s="80">
        <v>5273267030</v>
      </c>
      <c r="K212" s="77">
        <v>9.5971333743627724E-3</v>
      </c>
    </row>
    <row r="213" spans="1:11" x14ac:dyDescent="0.4">
      <c r="A213" s="68" t="s">
        <v>480</v>
      </c>
      <c r="B213" s="80">
        <v>0</v>
      </c>
      <c r="C213" s="80">
        <v>-903114295</v>
      </c>
      <c r="D213" s="80">
        <v>-65753332</v>
      </c>
      <c r="E213" s="80">
        <v>-968867627</v>
      </c>
      <c r="F213" s="77">
        <v>7.5100833604671872E-3</v>
      </c>
      <c r="G213" s="80">
        <v>0</v>
      </c>
      <c r="H213" s="80">
        <v>-429728245</v>
      </c>
      <c r="I213" s="80">
        <v>871502741</v>
      </c>
      <c r="J213" s="80">
        <v>441774496</v>
      </c>
      <c r="K213" s="77">
        <v>8.0401177019550501E-4</v>
      </c>
    </row>
    <row r="214" spans="1:11" x14ac:dyDescent="0.4">
      <c r="A214" s="68" t="s">
        <v>177</v>
      </c>
      <c r="B214" s="80">
        <v>0</v>
      </c>
      <c r="C214" s="80">
        <v>125230546</v>
      </c>
      <c r="D214" s="80">
        <v>-158394785</v>
      </c>
      <c r="E214" s="80">
        <v>-33164239</v>
      </c>
      <c r="F214" s="77">
        <v>2.5706937927905084E-4</v>
      </c>
      <c r="G214" s="80">
        <v>0</v>
      </c>
      <c r="H214" s="80">
        <v>0</v>
      </c>
      <c r="I214" s="80">
        <v>4132786414</v>
      </c>
      <c r="J214" s="80">
        <v>4132786414</v>
      </c>
      <c r="K214" s="77">
        <v>7.5215046378776769E-3</v>
      </c>
    </row>
    <row r="215" spans="1:11" x14ac:dyDescent="0.4">
      <c r="A215" s="68" t="s">
        <v>481</v>
      </c>
      <c r="B215" s="80">
        <v>0</v>
      </c>
      <c r="C215" s="80">
        <v>96990810</v>
      </c>
      <c r="D215" s="80">
        <v>0</v>
      </c>
      <c r="E215" s="80">
        <v>96990810</v>
      </c>
      <c r="F215" s="77">
        <v>-7.5181484859255642E-4</v>
      </c>
      <c r="G215" s="80">
        <v>0</v>
      </c>
      <c r="H215" s="80">
        <v>6209500793</v>
      </c>
      <c r="I215" s="80">
        <v>8215273278</v>
      </c>
      <c r="J215" s="80">
        <v>14424774071</v>
      </c>
      <c r="K215" s="77">
        <v>2.6252507196556071E-2</v>
      </c>
    </row>
    <row r="216" spans="1:11" x14ac:dyDescent="0.4">
      <c r="A216" s="68" t="s">
        <v>482</v>
      </c>
      <c r="B216" s="80">
        <v>0</v>
      </c>
      <c r="C216" s="80">
        <v>-55335822</v>
      </c>
      <c r="D216" s="80">
        <v>0</v>
      </c>
      <c r="E216" s="80">
        <v>-55335822</v>
      </c>
      <c r="F216" s="77">
        <v>4.2893025265666566E-4</v>
      </c>
      <c r="G216" s="80">
        <v>0</v>
      </c>
      <c r="H216" s="80">
        <v>-2183829150</v>
      </c>
      <c r="I216" s="80">
        <v>0</v>
      </c>
      <c r="J216" s="80">
        <v>-2183829150</v>
      </c>
      <c r="K216" s="77">
        <v>-3.9744810001346139E-3</v>
      </c>
    </row>
    <row r="217" spans="1:11" x14ac:dyDescent="0.4">
      <c r="A217" s="68" t="s">
        <v>211</v>
      </c>
      <c r="B217" s="80">
        <v>0</v>
      </c>
      <c r="C217" s="80">
        <v>-2488953675</v>
      </c>
      <c r="D217" s="80">
        <v>114856121</v>
      </c>
      <c r="E217" s="80">
        <v>-2374097554</v>
      </c>
      <c r="F217" s="77">
        <v>1.8402586730685809E-2</v>
      </c>
      <c r="G217" s="80">
        <v>2334080700</v>
      </c>
      <c r="H217" s="80">
        <v>6367358681</v>
      </c>
      <c r="I217" s="80">
        <v>9079970448</v>
      </c>
      <c r="J217" s="80">
        <v>17781409829</v>
      </c>
      <c r="K217" s="77">
        <v>3.2361448935218848E-2</v>
      </c>
    </row>
    <row r="218" spans="1:11" x14ac:dyDescent="0.4">
      <c r="A218" s="68" t="s">
        <v>264</v>
      </c>
      <c r="B218" s="80">
        <v>0</v>
      </c>
      <c r="C218" s="80">
        <v>774503751</v>
      </c>
      <c r="D218" s="80">
        <v>-1951786447</v>
      </c>
      <c r="E218" s="80">
        <v>-1177282696</v>
      </c>
      <c r="F218" s="77">
        <v>9.1255925364874951E-3</v>
      </c>
      <c r="G218" s="80">
        <v>0</v>
      </c>
      <c r="H218" s="80">
        <v>-1318080526</v>
      </c>
      <c r="I218" s="80">
        <v>-985410216</v>
      </c>
      <c r="J218" s="80">
        <v>-2303490742</v>
      </c>
      <c r="K218" s="77">
        <v>-4.1922602727713313E-3</v>
      </c>
    </row>
    <row r="219" spans="1:11" x14ac:dyDescent="0.4">
      <c r="A219" s="68" t="s">
        <v>357</v>
      </c>
      <c r="B219" s="80">
        <v>0</v>
      </c>
      <c r="C219" s="80">
        <v>-34729450</v>
      </c>
      <c r="D219" s="80">
        <v>0</v>
      </c>
      <c r="E219" s="80">
        <v>-34729450</v>
      </c>
      <c r="F219" s="77">
        <v>2.6920196040689588E-4</v>
      </c>
      <c r="G219" s="80">
        <v>199000000</v>
      </c>
      <c r="H219" s="80">
        <v>-76756500</v>
      </c>
      <c r="I219" s="80">
        <v>0</v>
      </c>
      <c r="J219" s="80">
        <v>122243500</v>
      </c>
      <c r="K219" s="77">
        <v>2.2247824109315314E-4</v>
      </c>
    </row>
    <row r="220" spans="1:11" x14ac:dyDescent="0.4">
      <c r="A220" s="68" t="s">
        <v>413</v>
      </c>
      <c r="B220" s="80">
        <v>0</v>
      </c>
      <c r="C220" s="80">
        <v>-402861620</v>
      </c>
      <c r="D220" s="80">
        <v>0</v>
      </c>
      <c r="E220" s="80">
        <v>-402861620</v>
      </c>
      <c r="F220" s="77">
        <v>3.1227427407199918E-3</v>
      </c>
      <c r="G220" s="80">
        <v>505400000</v>
      </c>
      <c r="H220" s="80">
        <v>2462525310</v>
      </c>
      <c r="I220" s="80">
        <v>0</v>
      </c>
      <c r="J220" s="80">
        <v>2967925310</v>
      </c>
      <c r="K220" s="77">
        <v>5.4015043962636154E-3</v>
      </c>
    </row>
    <row r="221" spans="1:11" x14ac:dyDescent="0.4">
      <c r="A221" s="68" t="s">
        <v>375</v>
      </c>
      <c r="B221" s="80">
        <v>0</v>
      </c>
      <c r="C221" s="80">
        <v>-53482686</v>
      </c>
      <c r="D221" s="80">
        <v>0</v>
      </c>
      <c r="E221" s="80">
        <v>-53482686</v>
      </c>
      <c r="F221" s="77">
        <v>4.1456584884086689E-4</v>
      </c>
      <c r="G221" s="80">
        <v>29476195</v>
      </c>
      <c r="H221" s="80">
        <v>-2704560101</v>
      </c>
      <c r="I221" s="80">
        <v>0</v>
      </c>
      <c r="J221" s="80">
        <v>-2675083906</v>
      </c>
      <c r="K221" s="77">
        <v>-4.868544848466232E-3</v>
      </c>
    </row>
    <row r="222" spans="1:11" x14ac:dyDescent="0.4">
      <c r="A222" s="68" t="s">
        <v>308</v>
      </c>
      <c r="B222" s="80">
        <v>0</v>
      </c>
      <c r="C222" s="80">
        <v>0</v>
      </c>
      <c r="D222" s="80">
        <v>0</v>
      </c>
      <c r="E222" s="80">
        <v>0</v>
      </c>
      <c r="F222" s="77">
        <v>0</v>
      </c>
      <c r="G222" s="80">
        <v>669713695</v>
      </c>
      <c r="H222" s="80">
        <v>0</v>
      </c>
      <c r="I222" s="80">
        <v>-18354862646</v>
      </c>
      <c r="J222" s="80">
        <v>-17685148951</v>
      </c>
      <c r="K222" s="77">
        <v>-3.2186258018535974E-2</v>
      </c>
    </row>
    <row r="223" spans="1:11" x14ac:dyDescent="0.4">
      <c r="A223" s="68" t="s">
        <v>256</v>
      </c>
      <c r="B223" s="80">
        <v>0</v>
      </c>
      <c r="C223" s="80">
        <v>0</v>
      </c>
      <c r="D223" s="80">
        <v>0</v>
      </c>
      <c r="E223" s="80">
        <v>0</v>
      </c>
      <c r="F223" s="77">
        <v>0</v>
      </c>
      <c r="G223" s="80">
        <v>0</v>
      </c>
      <c r="H223" s="80">
        <v>0</v>
      </c>
      <c r="I223" s="80">
        <v>2420272364</v>
      </c>
      <c r="J223" s="80">
        <v>2420272364</v>
      </c>
      <c r="K223" s="77">
        <v>4.4047981161295909E-3</v>
      </c>
    </row>
    <row r="224" spans="1:11" x14ac:dyDescent="0.4">
      <c r="A224" s="68" t="s">
        <v>341</v>
      </c>
      <c r="B224" s="80">
        <v>0</v>
      </c>
      <c r="C224" s="80">
        <v>0</v>
      </c>
      <c r="D224" s="80">
        <v>0</v>
      </c>
      <c r="E224" s="80">
        <v>0</v>
      </c>
      <c r="F224" s="77">
        <v>0</v>
      </c>
      <c r="G224" s="80">
        <v>712500000</v>
      </c>
      <c r="H224" s="80">
        <v>0</v>
      </c>
      <c r="I224" s="80">
        <v>-2779810960</v>
      </c>
      <c r="J224" s="80">
        <v>-2067310960</v>
      </c>
      <c r="K224" s="77">
        <v>-3.7624225923946703E-3</v>
      </c>
    </row>
    <row r="225" spans="1:11" x14ac:dyDescent="0.4">
      <c r="A225" s="68" t="s">
        <v>299</v>
      </c>
      <c r="B225" s="80">
        <v>0</v>
      </c>
      <c r="C225" s="80">
        <v>0</v>
      </c>
      <c r="D225" s="80">
        <v>0</v>
      </c>
      <c r="E225" s="80">
        <v>0</v>
      </c>
      <c r="F225" s="77">
        <v>0</v>
      </c>
      <c r="G225" s="80">
        <v>5683165600</v>
      </c>
      <c r="H225" s="80">
        <v>0</v>
      </c>
      <c r="I225" s="80">
        <v>-14873095043</v>
      </c>
      <c r="J225" s="80">
        <v>-9189929443</v>
      </c>
      <c r="K225" s="77">
        <v>-1.6725301044626672E-2</v>
      </c>
    </row>
    <row r="226" spans="1:11" x14ac:dyDescent="0.4">
      <c r="A226" s="68" t="s">
        <v>179</v>
      </c>
      <c r="B226" s="80">
        <v>0</v>
      </c>
      <c r="C226" s="80">
        <v>0</v>
      </c>
      <c r="D226" s="80">
        <v>0</v>
      </c>
      <c r="E226" s="80">
        <v>0</v>
      </c>
      <c r="F226" s="77">
        <v>0</v>
      </c>
      <c r="G226" s="80">
        <v>0</v>
      </c>
      <c r="H226" s="80">
        <v>0</v>
      </c>
      <c r="I226" s="80">
        <v>12189774494</v>
      </c>
      <c r="J226" s="80">
        <v>12189774494</v>
      </c>
      <c r="K226" s="77">
        <v>2.2184898082493555E-2</v>
      </c>
    </row>
    <row r="227" spans="1:11" x14ac:dyDescent="0.4">
      <c r="A227" s="68" t="s">
        <v>268</v>
      </c>
      <c r="B227" s="80">
        <v>0</v>
      </c>
      <c r="C227" s="80">
        <v>0</v>
      </c>
      <c r="D227" s="80">
        <v>0</v>
      </c>
      <c r="E227" s="80">
        <v>0</v>
      </c>
      <c r="F227" s="77">
        <v>0</v>
      </c>
      <c r="G227" s="80">
        <v>0</v>
      </c>
      <c r="H227" s="80">
        <v>0</v>
      </c>
      <c r="I227" s="80">
        <v>336281</v>
      </c>
      <c r="J227" s="80">
        <v>336281</v>
      </c>
      <c r="K227" s="77">
        <v>6.1201786101548654E-7</v>
      </c>
    </row>
    <row r="228" spans="1:11" x14ac:dyDescent="0.4">
      <c r="A228" s="68" t="s">
        <v>483</v>
      </c>
      <c r="B228" s="80">
        <v>0</v>
      </c>
      <c r="C228" s="80">
        <v>0</v>
      </c>
      <c r="D228" s="80">
        <v>0</v>
      </c>
      <c r="E228" s="80">
        <v>0</v>
      </c>
      <c r="F228" s="77">
        <v>0</v>
      </c>
      <c r="G228" s="80">
        <v>0</v>
      </c>
      <c r="H228" s="80">
        <v>0</v>
      </c>
      <c r="I228" s="80">
        <v>-2241134913</v>
      </c>
      <c r="J228" s="80">
        <v>-2241134913</v>
      </c>
      <c r="K228" s="77">
        <v>-4.0787751782033138E-3</v>
      </c>
    </row>
    <row r="229" spans="1:11" x14ac:dyDescent="0.4">
      <c r="A229" s="68" t="s">
        <v>288</v>
      </c>
      <c r="B229" s="80">
        <v>0</v>
      </c>
      <c r="C229" s="80">
        <v>0</v>
      </c>
      <c r="D229" s="80">
        <v>0</v>
      </c>
      <c r="E229" s="80">
        <v>0</v>
      </c>
      <c r="F229" s="77">
        <v>0</v>
      </c>
      <c r="G229" s="80">
        <v>3140568600</v>
      </c>
      <c r="H229" s="80">
        <v>0</v>
      </c>
      <c r="I229" s="80">
        <v>-10727845278</v>
      </c>
      <c r="J229" s="80">
        <v>-7587276678</v>
      </c>
      <c r="K229" s="77">
        <v>-1.3808537631927603E-2</v>
      </c>
    </row>
    <row r="230" spans="1:11" x14ac:dyDescent="0.4">
      <c r="A230" s="68" t="s">
        <v>169</v>
      </c>
      <c r="B230" s="80">
        <v>0</v>
      </c>
      <c r="C230" s="80">
        <v>0</v>
      </c>
      <c r="D230" s="80">
        <v>0</v>
      </c>
      <c r="E230" s="80">
        <v>0</v>
      </c>
      <c r="F230" s="77">
        <v>0</v>
      </c>
      <c r="G230" s="80">
        <v>117135</v>
      </c>
      <c r="H230" s="80">
        <v>0</v>
      </c>
      <c r="I230" s="80">
        <v>108816</v>
      </c>
      <c r="J230" s="80">
        <v>225951</v>
      </c>
      <c r="K230" s="77">
        <v>4.1122170956524515E-7</v>
      </c>
    </row>
    <row r="231" spans="1:11" x14ac:dyDescent="0.4">
      <c r="A231" s="68" t="s">
        <v>306</v>
      </c>
      <c r="B231" s="80">
        <v>0</v>
      </c>
      <c r="C231" s="80">
        <v>0</v>
      </c>
      <c r="D231" s="80">
        <v>0</v>
      </c>
      <c r="E231" s="80">
        <v>0</v>
      </c>
      <c r="F231" s="77">
        <v>0</v>
      </c>
      <c r="G231" s="80">
        <v>0</v>
      </c>
      <c r="H231" s="80">
        <v>0</v>
      </c>
      <c r="I231" s="80">
        <v>3520139254</v>
      </c>
      <c r="J231" s="80">
        <v>3520139254</v>
      </c>
      <c r="K231" s="77">
        <v>6.4065115088563747E-3</v>
      </c>
    </row>
    <row r="232" spans="1:11" x14ac:dyDescent="0.4">
      <c r="A232" s="68" t="s">
        <v>258</v>
      </c>
      <c r="B232" s="80">
        <v>0</v>
      </c>
      <c r="C232" s="80">
        <v>0</v>
      </c>
      <c r="D232" s="80">
        <v>0</v>
      </c>
      <c r="E232" s="80">
        <v>0</v>
      </c>
      <c r="F232" s="77">
        <v>0</v>
      </c>
      <c r="G232" s="80">
        <v>584000000</v>
      </c>
      <c r="H232" s="80">
        <v>0</v>
      </c>
      <c r="I232" s="80">
        <v>-1158523048</v>
      </c>
      <c r="J232" s="80">
        <v>-574523048</v>
      </c>
      <c r="K232" s="77">
        <v>-1.0456087823607569E-3</v>
      </c>
    </row>
    <row r="233" spans="1:11" x14ac:dyDescent="0.4">
      <c r="A233" s="68" t="s">
        <v>305</v>
      </c>
      <c r="B233" s="80">
        <v>0</v>
      </c>
      <c r="C233" s="80">
        <v>0</v>
      </c>
      <c r="D233" s="80">
        <v>0</v>
      </c>
      <c r="E233" s="80">
        <v>0</v>
      </c>
      <c r="F233" s="77">
        <v>0</v>
      </c>
      <c r="G233" s="80">
        <v>1169457258</v>
      </c>
      <c r="H233" s="80">
        <v>0</v>
      </c>
      <c r="I233" s="80">
        <v>-2912771308</v>
      </c>
      <c r="J233" s="80">
        <v>-1743314050</v>
      </c>
      <c r="K233" s="77">
        <v>-3.1727612798797583E-3</v>
      </c>
    </row>
    <row r="234" spans="1:11" x14ac:dyDescent="0.4">
      <c r="A234" s="68" t="s">
        <v>214</v>
      </c>
      <c r="B234" s="80">
        <v>0</v>
      </c>
      <c r="C234" s="80">
        <v>0</v>
      </c>
      <c r="D234" s="80">
        <v>0</v>
      </c>
      <c r="E234" s="80">
        <v>0</v>
      </c>
      <c r="F234" s="77">
        <v>0</v>
      </c>
      <c r="G234" s="80">
        <v>8079063930</v>
      </c>
      <c r="H234" s="80">
        <v>0</v>
      </c>
      <c r="I234" s="80">
        <v>3747512487</v>
      </c>
      <c r="J234" s="80">
        <v>11826576417</v>
      </c>
      <c r="K234" s="77">
        <v>2.1523892226645386E-2</v>
      </c>
    </row>
    <row r="235" spans="1:11" ht="16.5" thickBot="1" x14ac:dyDescent="0.45">
      <c r="A235" s="68" t="s">
        <v>2</v>
      </c>
      <c r="B235" s="78">
        <f t="shared" ref="B235:K235" si="0">SUM(B11:B234)</f>
        <v>15853647230</v>
      </c>
      <c r="C235" s="78">
        <f t="shared" si="0"/>
        <v>-134732010458</v>
      </c>
      <c r="D235" s="78">
        <f t="shared" si="0"/>
        <v>-11846403553</v>
      </c>
      <c r="E235" s="78">
        <f t="shared" si="0"/>
        <v>-130724766781</v>
      </c>
      <c r="F235" s="79">
        <f t="shared" si="0"/>
        <v>1.0133003399472047</v>
      </c>
      <c r="G235" s="78">
        <f t="shared" si="0"/>
        <v>294613657997</v>
      </c>
      <c r="H235" s="78">
        <f t="shared" si="0"/>
        <v>55430530600</v>
      </c>
      <c r="I235" s="78">
        <f t="shared" si="0"/>
        <v>181618839490</v>
      </c>
      <c r="J235" s="78">
        <f t="shared" si="0"/>
        <v>531663028087</v>
      </c>
      <c r="K235" s="79">
        <f t="shared" si="0"/>
        <v>0.96760527425225507</v>
      </c>
    </row>
    <row r="236" spans="1:11" ht="16.5" thickTop="1" x14ac:dyDescent="0.4"/>
  </sheetData>
  <mergeCells count="15">
    <mergeCell ref="G7:K7"/>
    <mergeCell ref="B7:F7"/>
    <mergeCell ref="A8:A10"/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</mergeCells>
  <pageMargins left="0.7" right="0.7" top="0.75" bottom="0.75" header="0.3" footer="0.3"/>
  <pageSetup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"/>
  <sheetViews>
    <sheetView rightToLeft="1" view="pageBreakPreview" zoomScale="110" zoomScaleNormal="100" zoomScaleSheetLayoutView="110" workbookViewId="0">
      <selection activeCell="S13" sqref="S13"/>
    </sheetView>
  </sheetViews>
  <sheetFormatPr defaultColWidth="9.140625" defaultRowHeight="15.75" x14ac:dyDescent="0.4"/>
  <cols>
    <col min="1" max="1" width="33.140625" style="6" customWidth="1"/>
    <col min="2" max="2" width="21.85546875" style="6" customWidth="1"/>
    <col min="3" max="3" width="20.5703125" style="6" customWidth="1"/>
    <col min="4" max="4" width="21" style="6" customWidth="1"/>
    <col min="5" max="5" width="20.42578125" style="6" customWidth="1"/>
    <col min="6" max="6" width="12.5703125" style="6" customWidth="1"/>
    <col min="7" max="8" width="21.28515625" style="6" customWidth="1"/>
    <col min="9" max="9" width="25.85546875" style="6" customWidth="1"/>
    <col min="10" max="10" width="22.42578125" style="6" customWidth="1"/>
    <col min="11" max="11" width="10.5703125" style="6" customWidth="1"/>
    <col min="12" max="16384" width="9.140625" style="6"/>
  </cols>
  <sheetData>
    <row r="1" spans="1:11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5" spans="1:11" ht="25.5" x14ac:dyDescent="0.4">
      <c r="A5" s="107" t="s">
        <v>121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</row>
    <row r="7" spans="1:11" ht="19.5" customHeight="1" thickBot="1" x14ac:dyDescent="0.45">
      <c r="A7" s="4"/>
      <c r="B7" s="126" t="s">
        <v>136</v>
      </c>
      <c r="C7" s="126"/>
      <c r="D7" s="126"/>
      <c r="E7" s="126"/>
      <c r="F7" s="126"/>
      <c r="G7" s="126" t="s">
        <v>158</v>
      </c>
      <c r="H7" s="126"/>
      <c r="I7" s="126"/>
      <c r="J7" s="126"/>
      <c r="K7" s="126"/>
    </row>
    <row r="8" spans="1:11" ht="19.5" customHeight="1" x14ac:dyDescent="0.4">
      <c r="A8" s="122" t="s">
        <v>115</v>
      </c>
      <c r="B8" s="124" t="s">
        <v>122</v>
      </c>
      <c r="C8" s="124" t="s">
        <v>16</v>
      </c>
      <c r="D8" s="124" t="s">
        <v>17</v>
      </c>
      <c r="E8" s="124" t="s">
        <v>2</v>
      </c>
      <c r="F8" s="124"/>
      <c r="G8" s="124" t="s">
        <v>122</v>
      </c>
      <c r="H8" s="124" t="s">
        <v>16</v>
      </c>
      <c r="I8" s="124" t="s">
        <v>17</v>
      </c>
      <c r="J8" s="124" t="s">
        <v>2</v>
      </c>
      <c r="K8" s="124"/>
    </row>
    <row r="9" spans="1:11" ht="18.75" customHeight="1" thickBot="1" x14ac:dyDescent="0.45">
      <c r="A9" s="122"/>
      <c r="B9" s="125"/>
      <c r="C9" s="125"/>
      <c r="D9" s="125"/>
      <c r="E9" s="126"/>
      <c r="F9" s="126"/>
      <c r="G9" s="125"/>
      <c r="H9" s="125"/>
      <c r="I9" s="125"/>
      <c r="J9" s="126"/>
      <c r="K9" s="126"/>
    </row>
    <row r="10" spans="1:11" ht="28.5" customHeight="1" thickBot="1" x14ac:dyDescent="0.45">
      <c r="A10" s="123"/>
      <c r="B10" s="38" t="s">
        <v>85</v>
      </c>
      <c r="C10" s="38" t="s">
        <v>85</v>
      </c>
      <c r="D10" s="38" t="s">
        <v>85</v>
      </c>
      <c r="E10" s="7" t="s">
        <v>6</v>
      </c>
      <c r="F10" s="7" t="s">
        <v>18</v>
      </c>
      <c r="G10" s="38" t="s">
        <v>85</v>
      </c>
      <c r="H10" s="38" t="s">
        <v>85</v>
      </c>
      <c r="I10" s="38" t="s">
        <v>85</v>
      </c>
      <c r="J10" s="7" t="s">
        <v>6</v>
      </c>
      <c r="K10" s="7" t="s">
        <v>18</v>
      </c>
    </row>
  </sheetData>
  <mergeCells count="15">
    <mergeCell ref="A1:K1"/>
    <mergeCell ref="A2:K2"/>
    <mergeCell ref="A3:K3"/>
    <mergeCell ref="A5:K5"/>
    <mergeCell ref="B7:F7"/>
    <mergeCell ref="G7:K7"/>
    <mergeCell ref="G8:G9"/>
    <mergeCell ref="H8:H9"/>
    <mergeCell ref="I8:I9"/>
    <mergeCell ref="J8:K9"/>
    <mergeCell ref="A8:A10"/>
    <mergeCell ref="B8:B9"/>
    <mergeCell ref="C8:C9"/>
    <mergeCell ref="D8:D9"/>
    <mergeCell ref="E8:F9"/>
  </mergeCells>
  <pageMargins left="0.7" right="0.7" top="0.75" bottom="0.75" header="0.3" footer="0.3"/>
  <pageSetup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rightToLeft="1" view="pageBreakPreview" zoomScale="90" zoomScaleNormal="100" zoomScaleSheetLayoutView="90" workbookViewId="0">
      <selection activeCell="S13" sqref="S13"/>
    </sheetView>
  </sheetViews>
  <sheetFormatPr defaultColWidth="9.140625" defaultRowHeight="18" x14ac:dyDescent="0.45"/>
  <cols>
    <col min="1" max="1" width="22.5703125" style="10" customWidth="1"/>
    <col min="2" max="3" width="20.85546875" style="10" customWidth="1"/>
    <col min="4" max="4" width="18" style="10" customWidth="1"/>
    <col min="5" max="5" width="17.140625" style="10" customWidth="1"/>
    <col min="6" max="6" width="16.28515625" style="10" customWidth="1"/>
    <col min="7" max="8" width="15.42578125" style="10" customWidth="1"/>
    <col min="9" max="9" width="17.7109375" style="10" customWidth="1"/>
    <col min="10" max="10" width="15.28515625" style="10" customWidth="1"/>
    <col min="11" max="11" width="16" style="10" customWidth="1"/>
    <col min="12" max="16384" width="9.140625" style="10"/>
  </cols>
  <sheetData>
    <row r="1" spans="1:11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25.5" x14ac:dyDescent="0.45">
      <c r="A4" s="107" t="s">
        <v>119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</row>
    <row r="6" spans="1:11" ht="19.5" customHeight="1" thickBot="1" x14ac:dyDescent="0.5">
      <c r="A6" s="9"/>
      <c r="B6" s="9"/>
      <c r="C6" s="126" t="s">
        <v>136</v>
      </c>
      <c r="D6" s="126"/>
      <c r="E6" s="126"/>
      <c r="F6" s="126"/>
      <c r="G6" s="17"/>
      <c r="H6" s="126" t="s">
        <v>158</v>
      </c>
      <c r="I6" s="126"/>
      <c r="J6" s="126"/>
      <c r="K6" s="126"/>
    </row>
    <row r="7" spans="1:11" ht="20.25" customHeight="1" x14ac:dyDescent="0.45">
      <c r="A7" s="127"/>
      <c r="B7" s="124" t="s">
        <v>19</v>
      </c>
      <c r="C7" s="124" t="s">
        <v>147</v>
      </c>
      <c r="D7" s="124" t="s">
        <v>16</v>
      </c>
      <c r="E7" s="124" t="s">
        <v>17</v>
      </c>
      <c r="F7" s="124" t="s">
        <v>2</v>
      </c>
      <c r="G7" s="124" t="s">
        <v>19</v>
      </c>
      <c r="H7" s="124" t="s">
        <v>147</v>
      </c>
      <c r="I7" s="124" t="s">
        <v>16</v>
      </c>
      <c r="J7" s="124" t="s">
        <v>17</v>
      </c>
      <c r="K7" s="124" t="s">
        <v>2</v>
      </c>
    </row>
    <row r="8" spans="1:11" ht="20.25" customHeight="1" x14ac:dyDescent="0.45">
      <c r="A8" s="128"/>
      <c r="B8" s="125"/>
      <c r="C8" s="125"/>
      <c r="D8" s="125"/>
      <c r="E8" s="125"/>
      <c r="F8" s="125"/>
      <c r="G8" s="125"/>
      <c r="H8" s="125"/>
      <c r="I8" s="125"/>
      <c r="J8" s="125"/>
      <c r="K8" s="125"/>
    </row>
    <row r="9" spans="1:11" ht="18.75" thickBot="1" x14ac:dyDescent="0.5">
      <c r="A9" s="128"/>
      <c r="B9" s="37" t="s">
        <v>85</v>
      </c>
      <c r="C9" s="37" t="s">
        <v>85</v>
      </c>
      <c r="D9" s="37" t="s">
        <v>84</v>
      </c>
      <c r="E9" s="37" t="s">
        <v>85</v>
      </c>
      <c r="F9" s="126"/>
      <c r="G9" s="37" t="s">
        <v>85</v>
      </c>
      <c r="H9" s="37" t="s">
        <v>85</v>
      </c>
      <c r="I9" s="37" t="s">
        <v>85</v>
      </c>
      <c r="J9" s="37" t="s">
        <v>85</v>
      </c>
      <c r="K9" s="126"/>
    </row>
  </sheetData>
  <mergeCells count="17">
    <mergeCell ref="G7:G8"/>
    <mergeCell ref="A1:K1"/>
    <mergeCell ref="A2:K2"/>
    <mergeCell ref="A3:K3"/>
    <mergeCell ref="C7:C8"/>
    <mergeCell ref="D7:D8"/>
    <mergeCell ref="E7:E8"/>
    <mergeCell ref="H7:H8"/>
    <mergeCell ref="I7:I8"/>
    <mergeCell ref="J7:J8"/>
    <mergeCell ref="A4:K4"/>
    <mergeCell ref="C6:F6"/>
    <mergeCell ref="H6:K6"/>
    <mergeCell ref="A7:A9"/>
    <mergeCell ref="K7:K9"/>
    <mergeCell ref="F7:F9"/>
    <mergeCell ref="B7:B8"/>
  </mergeCells>
  <pageMargins left="0.7" right="0.7" top="0.75" bottom="0.75" header="0.3" footer="0.3"/>
  <pageSetup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6053-6D8B-4C15-85DA-2DE36E3ED8D7}">
  <dimension ref="A1:K9"/>
  <sheetViews>
    <sheetView rightToLeft="1" view="pageBreakPreview" zoomScale="90" zoomScaleNormal="100" zoomScaleSheetLayoutView="90" workbookViewId="0">
      <selection activeCell="S13" sqref="S13"/>
    </sheetView>
  </sheetViews>
  <sheetFormatPr defaultColWidth="9.140625" defaultRowHeight="18" x14ac:dyDescent="0.45"/>
  <cols>
    <col min="1" max="1" width="22.5703125" style="10" customWidth="1"/>
    <col min="2" max="3" width="20.85546875" style="10" customWidth="1"/>
    <col min="4" max="4" width="18" style="10" customWidth="1"/>
    <col min="5" max="5" width="17.140625" style="10" customWidth="1"/>
    <col min="6" max="6" width="16.28515625" style="10" customWidth="1"/>
    <col min="7" max="8" width="15.42578125" style="10" customWidth="1"/>
    <col min="9" max="9" width="17.7109375" style="10" customWidth="1"/>
    <col min="10" max="10" width="15.28515625" style="10" customWidth="1"/>
    <col min="11" max="11" width="16" style="10" customWidth="1"/>
    <col min="12" max="16384" width="9.140625" style="10"/>
  </cols>
  <sheetData>
    <row r="1" spans="1:11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25.5" x14ac:dyDescent="0.45">
      <c r="A4" s="107" t="s">
        <v>155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</row>
    <row r="6" spans="1:11" ht="19.5" customHeight="1" thickBot="1" x14ac:dyDescent="0.5">
      <c r="A6" s="9"/>
      <c r="B6" s="9"/>
      <c r="C6" s="126" t="s">
        <v>136</v>
      </c>
      <c r="D6" s="126"/>
      <c r="E6" s="126"/>
      <c r="F6" s="126"/>
      <c r="G6" s="17"/>
      <c r="H6" s="126" t="s">
        <v>158</v>
      </c>
      <c r="I6" s="126"/>
      <c r="J6" s="126"/>
      <c r="K6" s="126"/>
    </row>
    <row r="7" spans="1:11" ht="20.25" customHeight="1" x14ac:dyDescent="0.45">
      <c r="A7" s="127"/>
      <c r="B7" s="124" t="s">
        <v>19</v>
      </c>
      <c r="C7" s="124" t="s">
        <v>147</v>
      </c>
      <c r="D7" s="124" t="s">
        <v>16</v>
      </c>
      <c r="E7" s="124" t="s">
        <v>17</v>
      </c>
      <c r="F7" s="124" t="s">
        <v>2</v>
      </c>
      <c r="G7" s="124" t="s">
        <v>19</v>
      </c>
      <c r="H7" s="124" t="s">
        <v>147</v>
      </c>
      <c r="I7" s="124" t="s">
        <v>16</v>
      </c>
      <c r="J7" s="124" t="s">
        <v>17</v>
      </c>
      <c r="K7" s="124" t="s">
        <v>2</v>
      </c>
    </row>
    <row r="8" spans="1:11" ht="20.25" customHeight="1" x14ac:dyDescent="0.45">
      <c r="A8" s="128"/>
      <c r="B8" s="125"/>
      <c r="C8" s="125"/>
      <c r="D8" s="125"/>
      <c r="E8" s="125"/>
      <c r="F8" s="125"/>
      <c r="G8" s="125"/>
      <c r="H8" s="125"/>
      <c r="I8" s="125"/>
      <c r="J8" s="125"/>
      <c r="K8" s="125"/>
    </row>
    <row r="9" spans="1:11" ht="18.75" thickBot="1" x14ac:dyDescent="0.5">
      <c r="A9" s="128"/>
      <c r="B9" s="37" t="s">
        <v>85</v>
      </c>
      <c r="C9" s="37" t="s">
        <v>85</v>
      </c>
      <c r="D9" s="37" t="s">
        <v>84</v>
      </c>
      <c r="E9" s="37" t="s">
        <v>85</v>
      </c>
      <c r="F9" s="126"/>
      <c r="G9" s="37" t="s">
        <v>85</v>
      </c>
      <c r="H9" s="37" t="s">
        <v>85</v>
      </c>
      <c r="I9" s="37" t="s">
        <v>85</v>
      </c>
      <c r="J9" s="37" t="s">
        <v>85</v>
      </c>
      <c r="K9" s="126"/>
    </row>
  </sheetData>
  <mergeCells count="17">
    <mergeCell ref="H7:H8"/>
    <mergeCell ref="I7:I8"/>
    <mergeCell ref="J7:J8"/>
    <mergeCell ref="K7:K9"/>
    <mergeCell ref="F7:F9"/>
    <mergeCell ref="G7:G8"/>
    <mergeCell ref="A1:K1"/>
    <mergeCell ref="A2:K2"/>
    <mergeCell ref="A3:K3"/>
    <mergeCell ref="A4:K4"/>
    <mergeCell ref="C6:F6"/>
    <mergeCell ref="H6:K6"/>
    <mergeCell ref="A7:A9"/>
    <mergeCell ref="B7:B8"/>
    <mergeCell ref="C7:C8"/>
    <mergeCell ref="D7:D8"/>
    <mergeCell ref="E7:E8"/>
  </mergeCells>
  <pageMargins left="0.7" right="0.7" top="0.75" bottom="0.75" header="0.3" footer="0.3"/>
  <pageSetup scale="5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8"/>
  <sheetViews>
    <sheetView rightToLeft="1" view="pageBreakPreview" zoomScale="60" zoomScaleNormal="100" workbookViewId="0">
      <selection activeCell="S13" sqref="S13"/>
    </sheetView>
  </sheetViews>
  <sheetFormatPr defaultRowHeight="15" x14ac:dyDescent="0.25"/>
  <cols>
    <col min="1" max="1" width="17.7109375" bestFit="1" customWidth="1"/>
    <col min="2" max="2" width="18.28515625" bestFit="1" customWidth="1"/>
    <col min="3" max="3" width="10.140625" customWidth="1"/>
    <col min="4" max="4" width="5.85546875" bestFit="1" customWidth="1"/>
    <col min="5" max="5" width="11" bestFit="1" customWidth="1"/>
    <col min="6" max="6" width="16.28515625" bestFit="1" customWidth="1"/>
    <col min="7" max="7" width="5.42578125" bestFit="1" customWidth="1"/>
    <col min="8" max="8" width="16.85546875" bestFit="1" customWidth="1"/>
  </cols>
  <sheetData>
    <row r="1" spans="1:17" ht="21" x14ac:dyDescent="0.55000000000000004">
      <c r="A1" s="121" t="s">
        <v>74</v>
      </c>
      <c r="B1" s="121"/>
      <c r="C1" s="121"/>
      <c r="D1" s="121"/>
      <c r="E1" s="121"/>
      <c r="F1" s="121"/>
      <c r="G1" s="121"/>
      <c r="H1" s="121"/>
      <c r="I1" s="40"/>
      <c r="J1" s="40"/>
      <c r="K1" s="40"/>
      <c r="L1" s="40"/>
      <c r="M1" s="40"/>
      <c r="N1" s="40"/>
      <c r="O1" s="40"/>
      <c r="P1" s="40"/>
      <c r="Q1" s="40"/>
    </row>
    <row r="2" spans="1:17" ht="21" x14ac:dyDescent="0.55000000000000004">
      <c r="A2" s="121" t="s">
        <v>82</v>
      </c>
      <c r="B2" s="121"/>
      <c r="C2" s="121"/>
      <c r="D2" s="121"/>
      <c r="E2" s="121"/>
      <c r="F2" s="121"/>
      <c r="G2" s="121"/>
      <c r="H2" s="121"/>
      <c r="I2" s="40"/>
      <c r="J2" s="40"/>
      <c r="K2" s="40"/>
      <c r="L2" s="40"/>
      <c r="M2" s="40"/>
      <c r="N2" s="40"/>
      <c r="O2" s="40"/>
      <c r="P2" s="40"/>
      <c r="Q2" s="40"/>
    </row>
    <row r="3" spans="1:17" ht="21" x14ac:dyDescent="0.55000000000000004">
      <c r="A3" s="121" t="s">
        <v>76</v>
      </c>
      <c r="B3" s="121"/>
      <c r="C3" s="121"/>
      <c r="D3" s="121"/>
      <c r="E3" s="121"/>
      <c r="F3" s="121"/>
      <c r="G3" s="121"/>
      <c r="H3" s="121"/>
      <c r="I3" s="40"/>
      <c r="J3" s="40"/>
      <c r="K3" s="40"/>
      <c r="L3" s="40"/>
      <c r="M3" s="40"/>
      <c r="N3" s="40"/>
      <c r="O3" s="40"/>
      <c r="P3" s="40"/>
      <c r="Q3" s="40"/>
    </row>
    <row r="5" spans="1:17" ht="25.5" x14ac:dyDescent="0.25">
      <c r="A5" s="107" t="s">
        <v>120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7" spans="1:17" ht="30" x14ac:dyDescent="0.25">
      <c r="A7" s="41" t="s">
        <v>87</v>
      </c>
      <c r="B7" s="41" t="s">
        <v>88</v>
      </c>
      <c r="C7" s="41" t="s">
        <v>89</v>
      </c>
      <c r="D7" s="41" t="s">
        <v>90</v>
      </c>
      <c r="E7" s="41" t="s">
        <v>91</v>
      </c>
      <c r="F7" s="42" t="s">
        <v>92</v>
      </c>
      <c r="G7" s="41" t="s">
        <v>93</v>
      </c>
      <c r="H7" s="42" t="s">
        <v>94</v>
      </c>
    </row>
    <row r="8" spans="1:17" ht="17.25" x14ac:dyDescent="0.25">
      <c r="A8" s="130" t="s">
        <v>95</v>
      </c>
      <c r="B8" s="131" t="s">
        <v>96</v>
      </c>
      <c r="C8" s="43" t="s">
        <v>97</v>
      </c>
      <c r="D8" s="43"/>
      <c r="E8" s="43"/>
      <c r="F8" s="43"/>
      <c r="G8" s="43"/>
      <c r="H8" s="43"/>
    </row>
    <row r="9" spans="1:17" ht="17.25" x14ac:dyDescent="0.25">
      <c r="A9" s="130"/>
      <c r="B9" s="131"/>
      <c r="C9" s="43" t="s">
        <v>98</v>
      </c>
      <c r="D9" s="43"/>
      <c r="E9" s="43"/>
      <c r="F9" s="43"/>
      <c r="G9" s="43"/>
      <c r="H9" s="43"/>
    </row>
    <row r="10" spans="1:17" ht="17.25" x14ac:dyDescent="0.25">
      <c r="A10" s="130" t="s">
        <v>95</v>
      </c>
      <c r="B10" s="131" t="s">
        <v>99</v>
      </c>
      <c r="C10" s="43" t="s">
        <v>97</v>
      </c>
      <c r="D10" s="43"/>
      <c r="E10" s="43"/>
      <c r="F10" s="43"/>
      <c r="G10" s="43"/>
      <c r="H10" s="43"/>
    </row>
    <row r="11" spans="1:17" ht="17.25" x14ac:dyDescent="0.25">
      <c r="A11" s="130"/>
      <c r="B11" s="131"/>
      <c r="C11" s="43" t="s">
        <v>100</v>
      </c>
      <c r="D11" s="43"/>
      <c r="E11" s="43"/>
      <c r="F11" s="43"/>
      <c r="G11" s="43"/>
      <c r="H11" s="43"/>
    </row>
    <row r="12" spans="1:17" ht="57" x14ac:dyDescent="0.25">
      <c r="A12" s="44" t="s">
        <v>101</v>
      </c>
      <c r="B12" s="45" t="s">
        <v>102</v>
      </c>
      <c r="C12" s="43" t="s">
        <v>103</v>
      </c>
      <c r="D12" s="43"/>
      <c r="E12" s="43"/>
      <c r="F12" s="43"/>
      <c r="G12" s="43"/>
      <c r="H12" s="43"/>
    </row>
    <row r="13" spans="1:17" ht="17.25" x14ac:dyDescent="0.25">
      <c r="A13" s="130" t="s">
        <v>104</v>
      </c>
      <c r="B13" s="130" t="s">
        <v>104</v>
      </c>
      <c r="C13" s="43" t="s">
        <v>105</v>
      </c>
      <c r="D13" s="43"/>
      <c r="E13" s="43"/>
      <c r="F13" s="43"/>
      <c r="G13" s="43"/>
      <c r="H13" s="43"/>
    </row>
    <row r="14" spans="1:17" ht="17.25" x14ac:dyDescent="0.25">
      <c r="A14" s="130"/>
      <c r="B14" s="130"/>
      <c r="C14" s="43" t="s">
        <v>106</v>
      </c>
      <c r="D14" s="43"/>
      <c r="E14" s="43"/>
      <c r="F14" s="43"/>
      <c r="G14" s="43"/>
      <c r="H14" s="43"/>
    </row>
    <row r="15" spans="1:17" ht="17.25" x14ac:dyDescent="0.25">
      <c r="A15" s="130"/>
      <c r="B15" s="130"/>
      <c r="C15" s="43" t="s">
        <v>107</v>
      </c>
      <c r="D15" s="43"/>
      <c r="E15" s="43"/>
      <c r="F15" s="43"/>
      <c r="G15" s="43"/>
      <c r="H15" s="43"/>
    </row>
    <row r="16" spans="1:17" ht="17.25" x14ac:dyDescent="0.25">
      <c r="A16" s="130"/>
      <c r="B16" s="130"/>
      <c r="C16" s="43" t="s">
        <v>108</v>
      </c>
      <c r="D16" s="43"/>
      <c r="E16" s="43"/>
      <c r="F16" s="43"/>
      <c r="G16" s="43"/>
      <c r="H16" s="43"/>
    </row>
    <row r="18" spans="1:6" ht="17.25" x14ac:dyDescent="0.25">
      <c r="A18" s="129" t="s">
        <v>109</v>
      </c>
      <c r="B18" s="129"/>
      <c r="C18" s="129"/>
      <c r="D18" s="129"/>
      <c r="E18" s="129"/>
      <c r="F18" s="129"/>
    </row>
  </sheetData>
  <mergeCells count="11">
    <mergeCell ref="A3:H3"/>
    <mergeCell ref="A18:F18"/>
    <mergeCell ref="A5:Q5"/>
    <mergeCell ref="A1:H1"/>
    <mergeCell ref="A2:H2"/>
    <mergeCell ref="A8:A9"/>
    <mergeCell ref="B8:B9"/>
    <mergeCell ref="A10:A11"/>
    <mergeCell ref="B10:B11"/>
    <mergeCell ref="A13:A16"/>
    <mergeCell ref="B13:B16"/>
  </mergeCells>
  <pageMargins left="0.7" right="0.7" top="0.75" bottom="0.75" header="0.3" footer="0.3"/>
  <pageSetup scale="8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rightToLeft="1" view="pageBreakPreview" zoomScaleNormal="100" zoomScaleSheetLayoutView="100" workbookViewId="0">
      <selection activeCell="S13" sqref="S13"/>
    </sheetView>
  </sheetViews>
  <sheetFormatPr defaultColWidth="9.140625" defaultRowHeight="15.75" x14ac:dyDescent="0.4"/>
  <cols>
    <col min="1" max="1" width="23.7109375" style="6" customWidth="1"/>
    <col min="2" max="2" width="29.42578125" style="6" customWidth="1"/>
    <col min="3" max="3" width="12.5703125" style="6" customWidth="1"/>
    <col min="4" max="4" width="22.42578125" style="6" customWidth="1"/>
    <col min="5" max="5" width="10.28515625" style="6" customWidth="1"/>
    <col min="6" max="16384" width="9.140625" style="6"/>
  </cols>
  <sheetData>
    <row r="1" spans="1:6" ht="21" x14ac:dyDescent="0.55000000000000004">
      <c r="A1" s="104" t="s">
        <v>156</v>
      </c>
      <c r="B1" s="104"/>
      <c r="C1" s="104"/>
      <c r="D1" s="104"/>
      <c r="E1" s="104"/>
    </row>
    <row r="2" spans="1:6" ht="21" x14ac:dyDescent="0.55000000000000004">
      <c r="A2" s="104" t="s">
        <v>82</v>
      </c>
      <c r="B2" s="104"/>
      <c r="C2" s="104"/>
      <c r="D2" s="104"/>
      <c r="E2" s="104"/>
    </row>
    <row r="3" spans="1:6" ht="21" x14ac:dyDescent="0.55000000000000004">
      <c r="A3" s="104" t="s">
        <v>157</v>
      </c>
      <c r="B3" s="104"/>
      <c r="C3" s="104"/>
      <c r="D3" s="104"/>
      <c r="E3" s="104"/>
    </row>
    <row r="4" spans="1:6" ht="21" x14ac:dyDescent="0.4">
      <c r="A4" s="105" t="s">
        <v>151</v>
      </c>
      <c r="B4" s="105"/>
      <c r="C4" s="105"/>
      <c r="D4" s="105"/>
      <c r="E4" s="105"/>
    </row>
    <row r="5" spans="1:6" ht="16.5" thickBot="1" x14ac:dyDescent="0.45">
      <c r="A5" s="4"/>
      <c r="B5" s="4"/>
      <c r="C5" s="4"/>
      <c r="D5" s="4"/>
      <c r="E5" s="4"/>
    </row>
    <row r="6" spans="1:6" ht="37.5" customHeight="1" thickBot="1" x14ac:dyDescent="0.45">
      <c r="A6" s="7" t="s">
        <v>24</v>
      </c>
      <c r="B6" s="132" t="s">
        <v>136</v>
      </c>
      <c r="C6" s="132"/>
      <c r="D6" s="133" t="s">
        <v>158</v>
      </c>
      <c r="E6" s="133"/>
      <c r="F6" s="5"/>
    </row>
    <row r="7" spans="1:6" ht="59.25" customHeight="1" x14ac:dyDescent="0.4">
      <c r="A7" s="22" t="s">
        <v>20</v>
      </c>
      <c r="B7" s="11" t="s">
        <v>21</v>
      </c>
      <c r="C7" s="11" t="s">
        <v>22</v>
      </c>
      <c r="D7" s="11" t="s">
        <v>21</v>
      </c>
      <c r="E7" s="11" t="s">
        <v>22</v>
      </c>
      <c r="F7" s="8"/>
    </row>
    <row r="8" spans="1:6" ht="22.5" customHeight="1" thickBot="1" x14ac:dyDescent="0.45">
      <c r="A8" s="17"/>
      <c r="B8" s="37" t="s">
        <v>85</v>
      </c>
      <c r="C8" s="17"/>
      <c r="D8" s="37" t="s">
        <v>85</v>
      </c>
      <c r="E8" s="17"/>
      <c r="F8" s="8"/>
    </row>
    <row r="9" spans="1:6" x14ac:dyDescent="0.4">
      <c r="A9" s="68" t="s">
        <v>160</v>
      </c>
      <c r="B9" s="68">
        <v>3195</v>
      </c>
      <c r="C9" s="69">
        <f>B9/B16</f>
        <v>1.8620381112111325E-6</v>
      </c>
      <c r="D9" s="68">
        <v>3178890</v>
      </c>
      <c r="E9" s="69">
        <f>D9/D16</f>
        <v>1.7859243661191065E-4</v>
      </c>
    </row>
    <row r="10" spans="1:6" x14ac:dyDescent="0.4">
      <c r="A10" s="68" t="s">
        <v>161</v>
      </c>
      <c r="B10" s="68">
        <v>69276</v>
      </c>
      <c r="C10" s="69">
        <f>B10/B16</f>
        <v>4.0373881750316873E-5</v>
      </c>
      <c r="D10" s="68">
        <v>462844</v>
      </c>
      <c r="E10" s="69">
        <f>D10/D16</f>
        <v>2.6002924835777005E-5</v>
      </c>
    </row>
    <row r="11" spans="1:6" x14ac:dyDescent="0.4">
      <c r="A11" s="68" t="s">
        <v>162</v>
      </c>
      <c r="B11" s="68">
        <v>4109</v>
      </c>
      <c r="C11" s="69">
        <f>B11/B16</f>
        <v>2.3947150544496223E-6</v>
      </c>
      <c r="D11" s="68">
        <v>11375961</v>
      </c>
      <c r="E11" s="69">
        <f>D11/D16</f>
        <v>6.3911006476854103E-4</v>
      </c>
    </row>
    <row r="12" spans="1:6" x14ac:dyDescent="0.4">
      <c r="A12" s="68" t="s">
        <v>163</v>
      </c>
      <c r="B12" s="68">
        <v>1715780000</v>
      </c>
      <c r="C12" s="69">
        <f>B12/B16</f>
        <v>0.99995234755988638</v>
      </c>
      <c r="D12" s="68">
        <v>17779487129</v>
      </c>
      <c r="E12" s="69">
        <f>D12/D16</f>
        <v>0.99886499000538354</v>
      </c>
    </row>
    <row r="13" spans="1:6" x14ac:dyDescent="0.4">
      <c r="A13" s="68" t="s">
        <v>164</v>
      </c>
      <c r="B13" s="68">
        <v>5185</v>
      </c>
      <c r="C13" s="69">
        <f>B13/B16</f>
        <v>3.0218051976931835E-6</v>
      </c>
      <c r="D13" s="68">
        <v>4121878</v>
      </c>
      <c r="E13" s="69">
        <f>D13/D16</f>
        <v>2.3157021332510059E-4</v>
      </c>
    </row>
    <row r="14" spans="1:6" x14ac:dyDescent="0.4">
      <c r="A14" s="68" t="s">
        <v>165</v>
      </c>
      <c r="D14" s="68">
        <v>734322</v>
      </c>
      <c r="E14" s="69">
        <f>D14/D16</f>
        <v>4.1254763529952732E-5</v>
      </c>
    </row>
    <row r="15" spans="1:6" x14ac:dyDescent="0.4">
      <c r="A15" s="68" t="s">
        <v>166</v>
      </c>
      <c r="D15" s="68">
        <v>328931</v>
      </c>
      <c r="E15" s="69">
        <f>D15/D16</f>
        <v>1.8479591545222508E-5</v>
      </c>
    </row>
    <row r="16" spans="1:6" ht="16.5" thickBot="1" x14ac:dyDescent="0.45">
      <c r="A16" s="68" t="s">
        <v>2</v>
      </c>
      <c r="B16" s="70">
        <f>SUM(B9:B15)</f>
        <v>1715861765</v>
      </c>
      <c r="C16" s="71">
        <f>SUM(C9:C15)</f>
        <v>1</v>
      </c>
      <c r="D16" s="70">
        <f>SUM(D9:D15)</f>
        <v>17799689955</v>
      </c>
      <c r="E16" s="71">
        <f>SUM(E9:E15)</f>
        <v>1.0000000000000002</v>
      </c>
    </row>
    <row r="17" ht="16.5" thickTop="1" x14ac:dyDescent="0.4"/>
  </sheetData>
  <mergeCells count="6">
    <mergeCell ref="B6:C6"/>
    <mergeCell ref="A4:E4"/>
    <mergeCell ref="D6:E6"/>
    <mergeCell ref="A1:E1"/>
    <mergeCell ref="A2:E2"/>
    <mergeCell ref="A3:E3"/>
  </mergeCells>
  <pageMargins left="0.7" right="0.7" top="0.75" bottom="0.75" header="0.3" footer="0.3"/>
  <pageSetup scale="9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FB87-ACDE-4332-A683-1A3C8B5D683E}">
  <dimension ref="A1:I7"/>
  <sheetViews>
    <sheetView rightToLeft="1" view="pageBreakPreview" zoomScale="60" zoomScaleNormal="100" workbookViewId="0">
      <selection activeCell="S13" sqref="S13"/>
    </sheetView>
  </sheetViews>
  <sheetFormatPr defaultRowHeight="15" x14ac:dyDescent="0.25"/>
  <cols>
    <col min="1" max="1" width="23.42578125" customWidth="1"/>
    <col min="2" max="2" width="23" customWidth="1"/>
    <col min="3" max="3" width="21.85546875" customWidth="1"/>
  </cols>
  <sheetData>
    <row r="1" spans="1:9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</row>
    <row r="2" spans="1:9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</row>
    <row r="3" spans="1:9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</row>
    <row r="4" spans="1:9" ht="25.5" x14ac:dyDescent="0.25">
      <c r="A4" s="107" t="s">
        <v>152</v>
      </c>
      <c r="B4" s="107"/>
      <c r="C4" s="107"/>
      <c r="D4" s="107"/>
      <c r="E4" s="107"/>
      <c r="F4" s="107"/>
      <c r="G4" s="107"/>
      <c r="H4" s="107"/>
      <c r="I4" s="107"/>
    </row>
    <row r="5" spans="1:9" ht="17.25" x14ac:dyDescent="0.4">
      <c r="A5" s="6"/>
      <c r="B5" s="6"/>
      <c r="C5" s="6"/>
      <c r="D5" s="6"/>
      <c r="E5" s="6"/>
      <c r="F5" s="6"/>
      <c r="G5" s="6"/>
      <c r="H5" s="6"/>
      <c r="I5" s="6"/>
    </row>
    <row r="6" spans="1:9" ht="15.75" x14ac:dyDescent="0.25">
      <c r="A6" s="5"/>
      <c r="B6" s="58" t="s">
        <v>141</v>
      </c>
      <c r="C6" s="58" t="s">
        <v>158</v>
      </c>
      <c r="D6" s="59"/>
      <c r="E6" s="59"/>
      <c r="F6" s="5"/>
      <c r="G6" s="5"/>
      <c r="H6" s="5"/>
      <c r="I6" s="5"/>
    </row>
    <row r="7" spans="1:9" ht="16.5" thickBot="1" x14ac:dyDescent="0.3">
      <c r="A7" s="67" t="s">
        <v>143</v>
      </c>
      <c r="B7" s="60" t="s">
        <v>142</v>
      </c>
      <c r="C7" s="60" t="s">
        <v>142</v>
      </c>
      <c r="D7" s="5"/>
      <c r="E7" s="8"/>
      <c r="F7" s="5"/>
      <c r="G7" s="5"/>
      <c r="H7" s="5"/>
      <c r="I7" s="8"/>
    </row>
  </sheetData>
  <mergeCells count="4">
    <mergeCell ref="A1:I1"/>
    <mergeCell ref="A2:I2"/>
    <mergeCell ref="A3:I3"/>
    <mergeCell ref="A4:I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4516-2072-42A8-877E-37BB5BACA214}">
  <dimension ref="A1:K12"/>
  <sheetViews>
    <sheetView rightToLeft="1" view="pageBreakPreview" zoomScale="60" zoomScaleNormal="100" workbookViewId="0">
      <selection activeCell="S13" sqref="S13"/>
    </sheetView>
  </sheetViews>
  <sheetFormatPr defaultRowHeight="15" x14ac:dyDescent="0.25"/>
  <cols>
    <col min="1" max="1" width="27.28515625" customWidth="1"/>
    <col min="2" max="2" width="20.42578125" customWidth="1"/>
    <col min="3" max="3" width="22" customWidth="1"/>
    <col min="4" max="5" width="20.85546875" customWidth="1"/>
    <col min="6" max="6" width="16.140625" customWidth="1"/>
    <col min="7" max="7" width="22.42578125" customWidth="1"/>
    <col min="8" max="8" width="20.42578125" customWidth="1"/>
    <col min="9" max="9" width="22.28515625" customWidth="1"/>
    <col min="10" max="10" width="18.85546875" customWidth="1"/>
  </cols>
  <sheetData>
    <row r="1" spans="1:11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1" ht="21" x14ac:dyDescent="0.55000000000000004">
      <c r="A2" s="104" t="s">
        <v>146</v>
      </c>
      <c r="B2" s="104"/>
      <c r="C2" s="104"/>
      <c r="D2" s="104"/>
      <c r="E2" s="104"/>
      <c r="F2" s="104"/>
      <c r="G2" s="104"/>
      <c r="H2" s="104"/>
      <c r="I2" s="104"/>
    </row>
    <row r="3" spans="1:11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</row>
    <row r="4" spans="1:11" ht="25.5" x14ac:dyDescent="0.25">
      <c r="A4" s="107" t="s">
        <v>153</v>
      </c>
      <c r="B4" s="107"/>
      <c r="C4" s="107"/>
      <c r="D4" s="107"/>
      <c r="E4" s="107"/>
      <c r="F4" s="107"/>
      <c r="G4" s="107"/>
      <c r="H4" s="107"/>
      <c r="I4" s="107"/>
    </row>
    <row r="5" spans="1:11" ht="18" x14ac:dyDescent="0.45">
      <c r="A5" s="10"/>
      <c r="B5" s="61"/>
      <c r="C5" s="61"/>
      <c r="D5" s="61"/>
      <c r="E5" s="61"/>
      <c r="F5" s="10"/>
      <c r="G5" s="10"/>
      <c r="H5" s="10"/>
      <c r="I5" s="10"/>
    </row>
    <row r="6" spans="1:11" ht="18" thickBot="1" x14ac:dyDescent="0.45">
      <c r="A6" s="4"/>
      <c r="B6" s="126" t="s">
        <v>136</v>
      </c>
      <c r="C6" s="126"/>
      <c r="D6" s="126"/>
      <c r="E6" s="126"/>
      <c r="F6" s="126"/>
      <c r="G6" s="126" t="s">
        <v>158</v>
      </c>
      <c r="H6" s="126"/>
      <c r="I6" s="126"/>
      <c r="J6" s="126"/>
      <c r="K6" s="126"/>
    </row>
    <row r="7" spans="1:11" ht="15" customHeight="1" x14ac:dyDescent="0.25">
      <c r="A7" s="111" t="s">
        <v>144</v>
      </c>
      <c r="B7" s="134" t="s">
        <v>19</v>
      </c>
      <c r="C7" s="134" t="s">
        <v>16</v>
      </c>
      <c r="D7" s="124" t="s">
        <v>17</v>
      </c>
      <c r="E7" s="124" t="s">
        <v>2</v>
      </c>
      <c r="F7" s="124"/>
      <c r="G7" s="124" t="s">
        <v>19</v>
      </c>
      <c r="H7" s="124" t="s">
        <v>16</v>
      </c>
      <c r="I7" s="124" t="s">
        <v>17</v>
      </c>
      <c r="J7" s="124" t="s">
        <v>2</v>
      </c>
      <c r="K7" s="124"/>
    </row>
    <row r="8" spans="1:11" ht="15.75" customHeight="1" thickBot="1" x14ac:dyDescent="0.3">
      <c r="A8" s="113"/>
      <c r="B8" s="135"/>
      <c r="C8" s="135"/>
      <c r="D8" s="125"/>
      <c r="E8" s="126"/>
      <c r="F8" s="126"/>
      <c r="G8" s="125"/>
      <c r="H8" s="125"/>
      <c r="I8" s="125"/>
      <c r="J8" s="126"/>
      <c r="K8" s="126"/>
    </row>
    <row r="9" spans="1:11" ht="32.25" thickBot="1" x14ac:dyDescent="0.3">
      <c r="A9" s="112"/>
      <c r="B9" s="38" t="s">
        <v>85</v>
      </c>
      <c r="C9" s="38" t="s">
        <v>85</v>
      </c>
      <c r="D9" s="38" t="s">
        <v>85</v>
      </c>
      <c r="E9" s="7" t="s">
        <v>6</v>
      </c>
      <c r="F9" s="7" t="s">
        <v>18</v>
      </c>
      <c r="G9" s="38" t="s">
        <v>85</v>
      </c>
      <c r="H9" s="38" t="s">
        <v>85</v>
      </c>
      <c r="I9" s="38" t="s">
        <v>85</v>
      </c>
      <c r="J9" s="7" t="s">
        <v>6</v>
      </c>
      <c r="K9" s="7" t="s">
        <v>18</v>
      </c>
    </row>
    <row r="10" spans="1:11" ht="18" x14ac:dyDescent="0.45">
      <c r="A10" s="10"/>
      <c r="B10" s="62"/>
      <c r="C10" s="62"/>
      <c r="D10" s="62"/>
      <c r="E10" s="62"/>
      <c r="F10" s="10"/>
      <c r="G10" s="10"/>
      <c r="H10" s="10"/>
      <c r="I10" s="10"/>
    </row>
    <row r="11" spans="1:11" ht="18" x14ac:dyDescent="0.45">
      <c r="A11" s="10"/>
      <c r="B11" s="63"/>
      <c r="C11" s="63"/>
      <c r="D11" s="63"/>
      <c r="E11" s="63"/>
      <c r="F11" s="65"/>
      <c r="G11" s="64"/>
      <c r="H11" s="65"/>
      <c r="I11" s="64"/>
    </row>
    <row r="12" spans="1:11" ht="18" x14ac:dyDescent="0.45">
      <c r="A12" s="10"/>
      <c r="B12" s="63"/>
      <c r="C12" s="63"/>
      <c r="D12" s="63"/>
      <c r="E12" s="63"/>
      <c r="F12" s="65"/>
      <c r="G12" s="64"/>
      <c r="H12" s="66"/>
      <c r="I12" s="64"/>
    </row>
  </sheetData>
  <mergeCells count="15">
    <mergeCell ref="G7:G8"/>
    <mergeCell ref="H7:H8"/>
    <mergeCell ref="I7:I8"/>
    <mergeCell ref="J7:K8"/>
    <mergeCell ref="A7:A9"/>
    <mergeCell ref="B7:B8"/>
    <mergeCell ref="C7:C8"/>
    <mergeCell ref="D7:D8"/>
    <mergeCell ref="E7:F8"/>
    <mergeCell ref="B6:F6"/>
    <mergeCell ref="G6:K6"/>
    <mergeCell ref="A1:J1"/>
    <mergeCell ref="A2:I2"/>
    <mergeCell ref="A3:I3"/>
    <mergeCell ref="A4:I4"/>
  </mergeCells>
  <conditionalFormatting sqref="H9:H12 H1:H5">
    <cfRule type="duplicateValues" dxfId="2" priority="4"/>
    <cfRule type="duplicateValues" dxfId="1" priority="5"/>
  </conditionalFormatting>
  <conditionalFormatting sqref="H1:I5 A6:C6 H9:I12">
    <cfRule type="cellIs" dxfId="0" priority="1" operator="equal">
      <formula>-3000000000000</formula>
    </cfRule>
  </conditionalFormatting>
  <pageMargins left="0.7" right="0.7" top="0.75" bottom="0.75" header="0.3" footer="0.3"/>
  <pageSetup scale="3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view="pageBreakPreview" zoomScaleNormal="100" zoomScaleSheetLayoutView="100" workbookViewId="0">
      <selection activeCell="S13" sqref="S13"/>
    </sheetView>
  </sheetViews>
  <sheetFormatPr defaultRowHeight="18" x14ac:dyDescent="0.45"/>
  <cols>
    <col min="1" max="1" width="27.28515625" style="10" customWidth="1"/>
    <col min="2" max="2" width="13.28515625" style="10" customWidth="1"/>
    <col min="3" max="3" width="13.7109375" style="10" customWidth="1"/>
    <col min="4" max="16384" width="9.140625" style="10"/>
  </cols>
  <sheetData>
    <row r="1" spans="1:3" x14ac:dyDescent="0.45">
      <c r="A1" s="136" t="s">
        <v>156</v>
      </c>
      <c r="B1" s="136"/>
      <c r="C1" s="136"/>
    </row>
    <row r="2" spans="1:3" x14ac:dyDescent="0.45">
      <c r="A2" s="136" t="s">
        <v>82</v>
      </c>
      <c r="B2" s="136"/>
      <c r="C2" s="136"/>
    </row>
    <row r="3" spans="1:3" x14ac:dyDescent="0.45">
      <c r="A3" s="136" t="s">
        <v>157</v>
      </c>
      <c r="B3" s="136"/>
      <c r="C3" s="136"/>
    </row>
    <row r="4" spans="1:3" ht="21" x14ac:dyDescent="0.45">
      <c r="A4" s="105" t="s">
        <v>154</v>
      </c>
      <c r="B4" s="105"/>
      <c r="C4" s="105"/>
    </row>
    <row r="5" spans="1:3" ht="18.75" thickBot="1" x14ac:dyDescent="0.5">
      <c r="A5" s="9"/>
      <c r="B5" s="17" t="s">
        <v>136</v>
      </c>
      <c r="C5" s="17" t="s">
        <v>158</v>
      </c>
    </row>
    <row r="6" spans="1:3" ht="16.5" customHeight="1" x14ac:dyDescent="0.45">
      <c r="A6" s="127" t="s">
        <v>36</v>
      </c>
      <c r="B6" s="124" t="s">
        <v>6</v>
      </c>
      <c r="C6" s="124" t="s">
        <v>6</v>
      </c>
    </row>
    <row r="7" spans="1:3" ht="18.75" thickBot="1" x14ac:dyDescent="0.5">
      <c r="A7" s="128"/>
      <c r="B7" s="126"/>
      <c r="C7" s="126"/>
    </row>
    <row r="8" spans="1:3" x14ac:dyDescent="0.45">
      <c r="A8" s="68" t="s">
        <v>159</v>
      </c>
      <c r="B8" s="68">
        <v>521</v>
      </c>
      <c r="C8" s="68">
        <v>4242</v>
      </c>
    </row>
    <row r="9" spans="1:3" ht="18.75" thickBot="1" x14ac:dyDescent="0.5">
      <c r="A9" s="68" t="s">
        <v>2</v>
      </c>
      <c r="B9" s="70">
        <f>SUM(B8:B8)</f>
        <v>521</v>
      </c>
      <c r="C9" s="70">
        <f>SUM(C8:C8)</f>
        <v>4242</v>
      </c>
    </row>
    <row r="10" spans="1:3" ht="18.75" thickTop="1" x14ac:dyDescent="0.45"/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8"/>
  <sheetViews>
    <sheetView rightToLeft="1" view="pageBreakPreview" topLeftCell="A81" zoomScale="98" zoomScaleNormal="100" zoomScaleSheetLayoutView="98" workbookViewId="0">
      <selection activeCell="S13" sqref="S13"/>
    </sheetView>
  </sheetViews>
  <sheetFormatPr defaultColWidth="9.140625" defaultRowHeight="15.75" x14ac:dyDescent="0.4"/>
  <cols>
    <col min="1" max="1" width="23.28515625" style="6" customWidth="1"/>
    <col min="2" max="2" width="14.28515625" style="6" customWidth="1"/>
    <col min="3" max="3" width="21.140625" style="6" customWidth="1"/>
    <col min="4" max="4" width="22.28515625" style="6" customWidth="1"/>
    <col min="5" max="6" width="17.5703125" style="6" customWidth="1"/>
    <col min="7" max="7" width="16" style="6" customWidth="1"/>
    <col min="8" max="8" width="19.42578125" style="6" customWidth="1"/>
    <col min="9" max="9" width="17.5703125" style="6" customWidth="1"/>
    <col min="10" max="10" width="16.140625" style="6" customWidth="1"/>
    <col min="11" max="16384" width="9.140625" style="6"/>
  </cols>
  <sheetData>
    <row r="1" spans="1:13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3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3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</row>
    <row r="4" spans="1:13" ht="21" x14ac:dyDescent="0.4">
      <c r="A4" s="105" t="s">
        <v>15</v>
      </c>
      <c r="B4" s="105"/>
      <c r="C4" s="105"/>
      <c r="D4" s="105"/>
      <c r="E4" s="105"/>
      <c r="F4" s="105"/>
      <c r="G4" s="105"/>
      <c r="H4" s="105"/>
      <c r="I4" s="105"/>
      <c r="J4" s="105"/>
      <c r="K4" s="73"/>
      <c r="L4" s="73"/>
      <c r="M4" s="73"/>
    </row>
    <row r="5" spans="1:13" ht="16.5" customHeight="1" thickBot="1" x14ac:dyDescent="0.45">
      <c r="B5" s="108" t="s">
        <v>61</v>
      </c>
      <c r="C5" s="108"/>
      <c r="D5" s="108"/>
      <c r="E5" s="126" t="s">
        <v>136</v>
      </c>
      <c r="F5" s="126"/>
      <c r="G5" s="126"/>
      <c r="H5" s="126" t="s">
        <v>158</v>
      </c>
      <c r="I5" s="126"/>
      <c r="J5" s="126"/>
      <c r="K5" s="5"/>
      <c r="L5" s="5"/>
      <c r="M5" s="5"/>
    </row>
    <row r="6" spans="1:13" ht="47.25" customHeight="1" thickBot="1" x14ac:dyDescent="0.45">
      <c r="A6" s="54" t="s">
        <v>40</v>
      </c>
      <c r="B6" s="32" t="s">
        <v>55</v>
      </c>
      <c r="C6" s="31" t="s">
        <v>60</v>
      </c>
      <c r="D6" s="31" t="s">
        <v>56</v>
      </c>
      <c r="E6" s="31" t="s">
        <v>57</v>
      </c>
      <c r="F6" s="16" t="s">
        <v>58</v>
      </c>
      <c r="G6" s="31" t="s">
        <v>59</v>
      </c>
      <c r="H6" s="31" t="s">
        <v>57</v>
      </c>
      <c r="I6" s="33" t="s">
        <v>58</v>
      </c>
      <c r="J6" s="31" t="s">
        <v>59</v>
      </c>
    </row>
    <row r="7" spans="1:13" x14ac:dyDescent="0.4">
      <c r="A7" s="68" t="s">
        <v>357</v>
      </c>
      <c r="B7" s="68" t="s">
        <v>358</v>
      </c>
      <c r="C7" s="81">
        <v>50000</v>
      </c>
      <c r="D7" s="81">
        <v>3980</v>
      </c>
      <c r="E7" s="82"/>
      <c r="F7" s="82"/>
      <c r="G7" s="82"/>
      <c r="H7" s="81">
        <v>199000000</v>
      </c>
      <c r="I7" s="81">
        <v>0</v>
      </c>
      <c r="J7" s="81">
        <v>199000000</v>
      </c>
    </row>
    <row r="8" spans="1:13" x14ac:dyDescent="0.4">
      <c r="A8" s="68" t="s">
        <v>359</v>
      </c>
      <c r="B8" s="68" t="s">
        <v>360</v>
      </c>
      <c r="C8" s="81">
        <v>245000</v>
      </c>
      <c r="D8" s="81">
        <v>100</v>
      </c>
      <c r="E8" s="82"/>
      <c r="F8" s="82"/>
      <c r="G8" s="82"/>
      <c r="H8" s="81">
        <v>24500000</v>
      </c>
      <c r="I8" s="81">
        <v>0</v>
      </c>
      <c r="J8" s="81">
        <v>24500000</v>
      </c>
    </row>
    <row r="9" spans="1:13" x14ac:dyDescent="0.4">
      <c r="A9" s="68" t="s">
        <v>304</v>
      </c>
      <c r="B9" s="68" t="s">
        <v>361</v>
      </c>
      <c r="C9" s="81">
        <v>6813853</v>
      </c>
      <c r="D9" s="81">
        <v>637</v>
      </c>
      <c r="E9" s="82"/>
      <c r="F9" s="82"/>
      <c r="G9" s="82"/>
      <c r="H9" s="81">
        <v>4340424361</v>
      </c>
      <c r="I9" s="81">
        <v>0</v>
      </c>
      <c r="J9" s="81">
        <v>4340424361</v>
      </c>
    </row>
    <row r="10" spans="1:13" x14ac:dyDescent="0.4">
      <c r="A10" s="68" t="s">
        <v>325</v>
      </c>
      <c r="B10" s="68" t="s">
        <v>362</v>
      </c>
      <c r="C10" s="81">
        <v>2498170</v>
      </c>
      <c r="D10" s="81">
        <v>1500</v>
      </c>
      <c r="E10" s="82"/>
      <c r="F10" s="82"/>
      <c r="G10" s="82"/>
      <c r="H10" s="81">
        <v>3747255000</v>
      </c>
      <c r="I10" s="81">
        <v>-28322233</v>
      </c>
      <c r="J10" s="81">
        <v>3718932767</v>
      </c>
    </row>
    <row r="11" spans="1:13" x14ac:dyDescent="0.4">
      <c r="A11" s="68" t="s">
        <v>308</v>
      </c>
      <c r="B11" s="68" t="s">
        <v>363</v>
      </c>
      <c r="C11" s="81">
        <v>19134677</v>
      </c>
      <c r="D11" s="81">
        <v>35</v>
      </c>
      <c r="E11" s="82"/>
      <c r="F11" s="82"/>
      <c r="G11" s="82"/>
      <c r="H11" s="81">
        <v>669713695</v>
      </c>
      <c r="I11" s="81">
        <v>0</v>
      </c>
      <c r="J11" s="81">
        <v>669713695</v>
      </c>
    </row>
    <row r="12" spans="1:13" x14ac:dyDescent="0.4">
      <c r="A12" s="68" t="s">
        <v>192</v>
      </c>
      <c r="B12" s="68" t="s">
        <v>364</v>
      </c>
      <c r="C12" s="81">
        <v>2291471</v>
      </c>
      <c r="D12" s="81">
        <v>1940</v>
      </c>
      <c r="E12" s="82"/>
      <c r="F12" s="82"/>
      <c r="G12" s="82"/>
      <c r="H12" s="81">
        <v>4445453740</v>
      </c>
      <c r="I12" s="81">
        <v>0</v>
      </c>
      <c r="J12" s="81">
        <v>4445453740</v>
      </c>
    </row>
    <row r="13" spans="1:13" x14ac:dyDescent="0.4">
      <c r="A13" s="68" t="s">
        <v>223</v>
      </c>
      <c r="B13" s="68" t="s">
        <v>365</v>
      </c>
      <c r="C13" s="81">
        <v>14265950</v>
      </c>
      <c r="D13" s="81">
        <v>135</v>
      </c>
      <c r="E13" s="82"/>
      <c r="F13" s="82"/>
      <c r="G13" s="82"/>
      <c r="H13" s="81">
        <v>1925903250</v>
      </c>
      <c r="I13" s="81">
        <v>0</v>
      </c>
      <c r="J13" s="81">
        <v>1925903250</v>
      </c>
    </row>
    <row r="14" spans="1:13" x14ac:dyDescent="0.4">
      <c r="A14" s="68" t="s">
        <v>341</v>
      </c>
      <c r="B14" s="68" t="s">
        <v>366</v>
      </c>
      <c r="C14" s="81">
        <v>500000</v>
      </c>
      <c r="D14" s="81">
        <v>1425</v>
      </c>
      <c r="E14" s="82"/>
      <c r="F14" s="82"/>
      <c r="G14" s="82"/>
      <c r="H14" s="81">
        <v>712500000</v>
      </c>
      <c r="I14" s="81">
        <v>0</v>
      </c>
      <c r="J14" s="81">
        <v>712500000</v>
      </c>
    </row>
    <row r="15" spans="1:13" x14ac:dyDescent="0.4">
      <c r="A15" s="68" t="s">
        <v>367</v>
      </c>
      <c r="B15" s="68" t="s">
        <v>368</v>
      </c>
      <c r="C15" s="81">
        <v>1750000</v>
      </c>
      <c r="D15" s="81">
        <v>400</v>
      </c>
      <c r="E15" s="82"/>
      <c r="F15" s="82"/>
      <c r="G15" s="82"/>
      <c r="H15" s="81">
        <v>700000000</v>
      </c>
      <c r="I15" s="81">
        <v>0</v>
      </c>
      <c r="J15" s="81">
        <v>700000000</v>
      </c>
    </row>
    <row r="16" spans="1:13" x14ac:dyDescent="0.4">
      <c r="A16" s="68" t="s">
        <v>174</v>
      </c>
      <c r="B16" s="68" t="s">
        <v>369</v>
      </c>
      <c r="C16" s="81">
        <v>13509504</v>
      </c>
      <c r="D16" s="81">
        <v>50</v>
      </c>
      <c r="E16" s="82"/>
      <c r="F16" s="82"/>
      <c r="G16" s="82"/>
      <c r="H16" s="81">
        <v>675475200</v>
      </c>
      <c r="I16" s="81">
        <v>0</v>
      </c>
      <c r="J16" s="81">
        <v>675475200</v>
      </c>
    </row>
    <row r="17" spans="1:10" x14ac:dyDescent="0.4">
      <c r="A17" s="68" t="s">
        <v>370</v>
      </c>
      <c r="B17" s="68" t="s">
        <v>371</v>
      </c>
      <c r="C17" s="81">
        <v>1562500</v>
      </c>
      <c r="D17" s="81">
        <v>440</v>
      </c>
      <c r="E17" s="82"/>
      <c r="F17" s="82"/>
      <c r="G17" s="82"/>
      <c r="H17" s="81">
        <v>687500000</v>
      </c>
      <c r="I17" s="81">
        <v>0</v>
      </c>
      <c r="J17" s="81">
        <v>687500000</v>
      </c>
    </row>
    <row r="18" spans="1:10" x14ac:dyDescent="0.4">
      <c r="A18" s="68" t="s">
        <v>213</v>
      </c>
      <c r="B18" s="68" t="s">
        <v>372</v>
      </c>
      <c r="C18" s="81">
        <v>8400000</v>
      </c>
      <c r="D18" s="81">
        <v>50</v>
      </c>
      <c r="E18" s="82"/>
      <c r="F18" s="82"/>
      <c r="G18" s="82"/>
      <c r="H18" s="81">
        <v>420000000</v>
      </c>
      <c r="I18" s="81">
        <v>0</v>
      </c>
      <c r="J18" s="81">
        <v>420000000</v>
      </c>
    </row>
    <row r="19" spans="1:10" x14ac:dyDescent="0.4">
      <c r="A19" s="68" t="s">
        <v>276</v>
      </c>
      <c r="B19" s="68" t="s">
        <v>373</v>
      </c>
      <c r="C19" s="81">
        <v>18000000</v>
      </c>
      <c r="D19" s="81">
        <v>1000</v>
      </c>
      <c r="E19" s="82"/>
      <c r="F19" s="82"/>
      <c r="G19" s="82"/>
      <c r="H19" s="81">
        <v>18000000000</v>
      </c>
      <c r="I19" s="81">
        <v>0</v>
      </c>
      <c r="J19" s="81">
        <v>18000000000</v>
      </c>
    </row>
    <row r="20" spans="1:10" x14ac:dyDescent="0.4">
      <c r="A20" s="68" t="s">
        <v>222</v>
      </c>
      <c r="B20" s="68" t="s">
        <v>374</v>
      </c>
      <c r="C20" s="81">
        <v>4739606</v>
      </c>
      <c r="D20" s="81">
        <v>460</v>
      </c>
      <c r="E20" s="82"/>
      <c r="F20" s="82"/>
      <c r="G20" s="82"/>
      <c r="H20" s="81">
        <v>2180218760</v>
      </c>
      <c r="I20" s="81">
        <v>0</v>
      </c>
      <c r="J20" s="81">
        <v>2180218760</v>
      </c>
    </row>
    <row r="21" spans="1:10" x14ac:dyDescent="0.4">
      <c r="A21" s="68" t="s">
        <v>200</v>
      </c>
      <c r="B21" s="68" t="s">
        <v>366</v>
      </c>
      <c r="C21" s="81">
        <v>9127149</v>
      </c>
      <c r="D21" s="81">
        <v>167</v>
      </c>
      <c r="E21" s="82"/>
      <c r="F21" s="82"/>
      <c r="G21" s="82"/>
      <c r="H21" s="81">
        <v>1524233883</v>
      </c>
      <c r="I21" s="81">
        <v>0</v>
      </c>
      <c r="J21" s="81">
        <v>1524233883</v>
      </c>
    </row>
    <row r="22" spans="1:10" x14ac:dyDescent="0.4">
      <c r="A22" s="68" t="s">
        <v>375</v>
      </c>
      <c r="B22" s="68" t="s">
        <v>376</v>
      </c>
      <c r="C22" s="81">
        <v>842177</v>
      </c>
      <c r="D22" s="81">
        <v>35</v>
      </c>
      <c r="E22" s="82"/>
      <c r="F22" s="82"/>
      <c r="G22" s="82"/>
      <c r="H22" s="81">
        <v>29476195</v>
      </c>
      <c r="I22" s="81">
        <v>0</v>
      </c>
      <c r="J22" s="81">
        <v>29476195</v>
      </c>
    </row>
    <row r="23" spans="1:10" x14ac:dyDescent="0.4">
      <c r="A23" s="68" t="s">
        <v>322</v>
      </c>
      <c r="B23" s="68" t="s">
        <v>377</v>
      </c>
      <c r="C23" s="81">
        <v>6645110</v>
      </c>
      <c r="D23" s="81">
        <v>1600</v>
      </c>
      <c r="E23" s="82"/>
      <c r="F23" s="82"/>
      <c r="G23" s="82"/>
      <c r="H23" s="81">
        <v>10632176000</v>
      </c>
      <c r="I23" s="81">
        <v>0</v>
      </c>
      <c r="J23" s="81">
        <v>10632176000</v>
      </c>
    </row>
    <row r="24" spans="1:10" x14ac:dyDescent="0.4">
      <c r="A24" s="68" t="s">
        <v>267</v>
      </c>
      <c r="B24" s="68" t="s">
        <v>378</v>
      </c>
      <c r="C24" s="81">
        <v>1000000</v>
      </c>
      <c r="D24" s="81">
        <v>600</v>
      </c>
      <c r="E24" s="82"/>
      <c r="F24" s="82"/>
      <c r="G24" s="82"/>
      <c r="H24" s="81">
        <v>600000000</v>
      </c>
      <c r="I24" s="81">
        <v>0</v>
      </c>
      <c r="J24" s="81">
        <v>600000000</v>
      </c>
    </row>
    <row r="25" spans="1:10" x14ac:dyDescent="0.4">
      <c r="A25" s="68" t="s">
        <v>331</v>
      </c>
      <c r="B25" s="68" t="s">
        <v>379</v>
      </c>
      <c r="C25" s="81">
        <v>31806527</v>
      </c>
      <c r="D25" s="81">
        <v>120</v>
      </c>
      <c r="E25" s="82"/>
      <c r="F25" s="82"/>
      <c r="G25" s="82"/>
      <c r="H25" s="81">
        <v>3816783240</v>
      </c>
      <c r="I25" s="81">
        <v>0</v>
      </c>
      <c r="J25" s="81">
        <v>3816783240</v>
      </c>
    </row>
    <row r="26" spans="1:10" x14ac:dyDescent="0.4">
      <c r="A26" s="68" t="s">
        <v>226</v>
      </c>
      <c r="B26" s="68" t="s">
        <v>380</v>
      </c>
      <c r="C26" s="81">
        <v>4807801</v>
      </c>
      <c r="D26" s="81">
        <v>1055</v>
      </c>
      <c r="E26" s="82"/>
      <c r="F26" s="82"/>
      <c r="G26" s="82"/>
      <c r="H26" s="81">
        <v>5072230055</v>
      </c>
      <c r="I26" s="81">
        <v>-25678003</v>
      </c>
      <c r="J26" s="81">
        <v>5046552052</v>
      </c>
    </row>
    <row r="27" spans="1:10" x14ac:dyDescent="0.4">
      <c r="A27" s="68" t="s">
        <v>187</v>
      </c>
      <c r="B27" s="68" t="s">
        <v>381</v>
      </c>
      <c r="C27" s="81">
        <v>236747</v>
      </c>
      <c r="D27" s="81">
        <v>2300</v>
      </c>
      <c r="E27" s="82"/>
      <c r="F27" s="82"/>
      <c r="G27" s="82"/>
      <c r="H27" s="81">
        <v>544518100</v>
      </c>
      <c r="I27" s="81">
        <v>0</v>
      </c>
      <c r="J27" s="81">
        <v>544518100</v>
      </c>
    </row>
    <row r="28" spans="1:10" x14ac:dyDescent="0.4">
      <c r="A28" s="68" t="s">
        <v>203</v>
      </c>
      <c r="B28" s="68" t="s">
        <v>371</v>
      </c>
      <c r="C28" s="81">
        <v>2773715</v>
      </c>
      <c r="D28" s="81">
        <v>5375</v>
      </c>
      <c r="E28" s="82"/>
      <c r="F28" s="82"/>
      <c r="G28" s="82"/>
      <c r="H28" s="81">
        <v>14908718125</v>
      </c>
      <c r="I28" s="81">
        <v>0</v>
      </c>
      <c r="J28" s="81">
        <v>14908718125</v>
      </c>
    </row>
    <row r="29" spans="1:10" x14ac:dyDescent="0.4">
      <c r="A29" s="68" t="s">
        <v>327</v>
      </c>
      <c r="B29" s="68" t="s">
        <v>382</v>
      </c>
      <c r="C29" s="81">
        <v>122374</v>
      </c>
      <c r="D29" s="81">
        <v>2400</v>
      </c>
      <c r="E29" s="82"/>
      <c r="F29" s="82"/>
      <c r="G29" s="82"/>
      <c r="H29" s="81">
        <v>293697600</v>
      </c>
      <c r="I29" s="81">
        <v>0</v>
      </c>
      <c r="J29" s="81">
        <v>293697600</v>
      </c>
    </row>
    <row r="30" spans="1:10" x14ac:dyDescent="0.4">
      <c r="A30" s="68" t="s">
        <v>321</v>
      </c>
      <c r="B30" s="68" t="s">
        <v>383</v>
      </c>
      <c r="C30" s="81">
        <v>2672602</v>
      </c>
      <c r="D30" s="81">
        <v>1150</v>
      </c>
      <c r="E30" s="82"/>
      <c r="F30" s="82"/>
      <c r="G30" s="82"/>
      <c r="H30" s="81">
        <v>3073492300</v>
      </c>
      <c r="I30" s="81">
        <v>0</v>
      </c>
      <c r="J30" s="81">
        <v>3073492300</v>
      </c>
    </row>
    <row r="31" spans="1:10" x14ac:dyDescent="0.4">
      <c r="A31" s="68" t="s">
        <v>236</v>
      </c>
      <c r="B31" s="68" t="s">
        <v>384</v>
      </c>
      <c r="C31" s="81">
        <v>27844387</v>
      </c>
      <c r="D31" s="81">
        <v>40</v>
      </c>
      <c r="E31" s="82"/>
      <c r="F31" s="82"/>
      <c r="G31" s="82"/>
      <c r="H31" s="81">
        <v>1113775480</v>
      </c>
      <c r="I31" s="81">
        <v>0</v>
      </c>
      <c r="J31" s="81">
        <v>1113775480</v>
      </c>
    </row>
    <row r="32" spans="1:10" x14ac:dyDescent="0.4">
      <c r="A32" s="68" t="s">
        <v>242</v>
      </c>
      <c r="B32" s="68" t="s">
        <v>361</v>
      </c>
      <c r="C32" s="81">
        <v>15167887</v>
      </c>
      <c r="D32" s="81">
        <v>266</v>
      </c>
      <c r="E32" s="82"/>
      <c r="F32" s="82"/>
      <c r="G32" s="82"/>
      <c r="H32" s="81">
        <v>4034657942</v>
      </c>
      <c r="I32" s="81">
        <v>0</v>
      </c>
      <c r="J32" s="81">
        <v>4034657942</v>
      </c>
    </row>
    <row r="33" spans="1:10" x14ac:dyDescent="0.4">
      <c r="A33" s="68" t="s">
        <v>305</v>
      </c>
      <c r="B33" s="68" t="s">
        <v>376</v>
      </c>
      <c r="C33" s="81">
        <v>10258397</v>
      </c>
      <c r="D33" s="81">
        <v>114</v>
      </c>
      <c r="E33" s="82"/>
      <c r="F33" s="82"/>
      <c r="G33" s="82"/>
      <c r="H33" s="81">
        <v>1169457258</v>
      </c>
      <c r="I33" s="81">
        <v>0</v>
      </c>
      <c r="J33" s="81">
        <v>1169457258</v>
      </c>
    </row>
    <row r="34" spans="1:10" x14ac:dyDescent="0.4">
      <c r="A34" s="68" t="s">
        <v>315</v>
      </c>
      <c r="B34" s="68" t="s">
        <v>385</v>
      </c>
      <c r="C34" s="81">
        <v>17200000</v>
      </c>
      <c r="D34" s="81">
        <v>190</v>
      </c>
      <c r="E34" s="82"/>
      <c r="F34" s="82"/>
      <c r="G34" s="82"/>
      <c r="H34" s="81">
        <v>3268000000</v>
      </c>
      <c r="I34" s="81">
        <v>0</v>
      </c>
      <c r="J34" s="81">
        <v>3268000000</v>
      </c>
    </row>
    <row r="35" spans="1:10" x14ac:dyDescent="0.4">
      <c r="A35" s="68" t="s">
        <v>185</v>
      </c>
      <c r="B35" s="68" t="s">
        <v>386</v>
      </c>
      <c r="C35" s="81">
        <v>2400000</v>
      </c>
      <c r="D35" s="81">
        <v>1650</v>
      </c>
      <c r="E35" s="81">
        <v>3960000000</v>
      </c>
      <c r="F35" s="81">
        <v>-120956175</v>
      </c>
      <c r="G35" s="81">
        <v>3839043825</v>
      </c>
      <c r="H35" s="81">
        <v>3960000000</v>
      </c>
      <c r="I35" s="81">
        <v>-120956175</v>
      </c>
      <c r="J35" s="81">
        <v>3839043825</v>
      </c>
    </row>
    <row r="36" spans="1:10" x14ac:dyDescent="0.4">
      <c r="A36" s="68" t="s">
        <v>312</v>
      </c>
      <c r="B36" s="68" t="s">
        <v>387</v>
      </c>
      <c r="C36" s="81">
        <v>717391</v>
      </c>
      <c r="D36" s="81">
        <v>3870</v>
      </c>
      <c r="E36" s="82"/>
      <c r="F36" s="82"/>
      <c r="G36" s="82"/>
      <c r="H36" s="81">
        <v>2776303170</v>
      </c>
      <c r="I36" s="81">
        <v>0</v>
      </c>
      <c r="J36" s="81">
        <v>2776303170</v>
      </c>
    </row>
    <row r="37" spans="1:10" x14ac:dyDescent="0.4">
      <c r="A37" s="68" t="s">
        <v>289</v>
      </c>
      <c r="B37" s="68" t="s">
        <v>388</v>
      </c>
      <c r="C37" s="81">
        <v>3250000</v>
      </c>
      <c r="D37" s="81">
        <v>170</v>
      </c>
      <c r="E37" s="82"/>
      <c r="F37" s="82"/>
      <c r="G37" s="82"/>
      <c r="H37" s="81">
        <v>552500000</v>
      </c>
      <c r="I37" s="81">
        <v>0</v>
      </c>
      <c r="J37" s="81">
        <v>552500000</v>
      </c>
    </row>
    <row r="38" spans="1:10" x14ac:dyDescent="0.4">
      <c r="A38" s="68" t="s">
        <v>214</v>
      </c>
      <c r="B38" s="68" t="s">
        <v>389</v>
      </c>
      <c r="C38" s="81">
        <v>1186353</v>
      </c>
      <c r="D38" s="81">
        <v>6810</v>
      </c>
      <c r="E38" s="82"/>
      <c r="F38" s="82"/>
      <c r="G38" s="82"/>
      <c r="H38" s="81">
        <v>8079063930</v>
      </c>
      <c r="I38" s="81">
        <v>0</v>
      </c>
      <c r="J38" s="81">
        <v>8079063930</v>
      </c>
    </row>
    <row r="39" spans="1:10" x14ac:dyDescent="0.4">
      <c r="A39" s="68" t="s">
        <v>173</v>
      </c>
      <c r="B39" s="68" t="s">
        <v>390</v>
      </c>
      <c r="C39" s="81">
        <v>100000</v>
      </c>
      <c r="D39" s="81">
        <v>14500</v>
      </c>
      <c r="E39" s="82"/>
      <c r="F39" s="82"/>
      <c r="G39" s="82"/>
      <c r="H39" s="81">
        <v>1450000000</v>
      </c>
      <c r="I39" s="81">
        <v>0</v>
      </c>
      <c r="J39" s="81">
        <v>1450000000</v>
      </c>
    </row>
    <row r="40" spans="1:10" x14ac:dyDescent="0.4">
      <c r="A40" s="68" t="s">
        <v>186</v>
      </c>
      <c r="B40" s="68" t="s">
        <v>373</v>
      </c>
      <c r="C40" s="81">
        <v>5530564</v>
      </c>
      <c r="D40" s="81">
        <v>1050</v>
      </c>
      <c r="E40" s="82"/>
      <c r="F40" s="82"/>
      <c r="G40" s="82"/>
      <c r="H40" s="81">
        <v>5807092200</v>
      </c>
      <c r="I40" s="81">
        <v>0</v>
      </c>
      <c r="J40" s="81">
        <v>5807092200</v>
      </c>
    </row>
    <row r="41" spans="1:10" x14ac:dyDescent="0.4">
      <c r="A41" s="68" t="s">
        <v>180</v>
      </c>
      <c r="B41" s="68" t="s">
        <v>391</v>
      </c>
      <c r="C41" s="81">
        <v>5799792</v>
      </c>
      <c r="D41" s="81">
        <v>1076</v>
      </c>
      <c r="E41" s="82"/>
      <c r="F41" s="82"/>
      <c r="G41" s="82"/>
      <c r="H41" s="81">
        <v>6240576192</v>
      </c>
      <c r="I41" s="81">
        <v>0</v>
      </c>
      <c r="J41" s="81">
        <v>6240576192</v>
      </c>
    </row>
    <row r="42" spans="1:10" x14ac:dyDescent="0.4">
      <c r="A42" s="68" t="s">
        <v>182</v>
      </c>
      <c r="B42" s="68" t="s">
        <v>392</v>
      </c>
      <c r="C42" s="81">
        <v>1518421</v>
      </c>
      <c r="D42" s="81">
        <v>1740</v>
      </c>
      <c r="E42" s="82"/>
      <c r="F42" s="82"/>
      <c r="G42" s="82"/>
      <c r="H42" s="81">
        <v>2642052540</v>
      </c>
      <c r="I42" s="81">
        <v>0</v>
      </c>
      <c r="J42" s="81">
        <v>2642052540</v>
      </c>
    </row>
    <row r="43" spans="1:10" x14ac:dyDescent="0.4">
      <c r="A43" s="68" t="s">
        <v>287</v>
      </c>
      <c r="B43" s="68" t="s">
        <v>393</v>
      </c>
      <c r="C43" s="81">
        <v>512506</v>
      </c>
      <c r="D43" s="81">
        <v>8300</v>
      </c>
      <c r="E43" s="82"/>
      <c r="F43" s="82"/>
      <c r="G43" s="82"/>
      <c r="H43" s="81">
        <v>4253799800</v>
      </c>
      <c r="I43" s="81">
        <v>-213105130</v>
      </c>
      <c r="J43" s="81">
        <v>4040694670</v>
      </c>
    </row>
    <row r="44" spans="1:10" x14ac:dyDescent="0.4">
      <c r="A44" s="68" t="s">
        <v>294</v>
      </c>
      <c r="B44" s="68" t="s">
        <v>394</v>
      </c>
      <c r="C44" s="81">
        <v>2298015</v>
      </c>
      <c r="D44" s="81">
        <v>1000</v>
      </c>
      <c r="E44" s="81">
        <v>2298015000</v>
      </c>
      <c r="F44" s="81">
        <v>-137614549</v>
      </c>
      <c r="G44" s="81">
        <v>2160400451</v>
      </c>
      <c r="H44" s="81">
        <v>2298015000</v>
      </c>
      <c r="I44" s="81">
        <v>-137614549</v>
      </c>
      <c r="J44" s="81">
        <v>2160400451</v>
      </c>
    </row>
    <row r="45" spans="1:10" x14ac:dyDescent="0.4">
      <c r="A45" s="68" t="s">
        <v>246</v>
      </c>
      <c r="B45" s="68" t="s">
        <v>395</v>
      </c>
      <c r="C45" s="81">
        <v>11000000</v>
      </c>
      <c r="D45" s="81">
        <v>150</v>
      </c>
      <c r="E45" s="82"/>
      <c r="F45" s="82"/>
      <c r="G45" s="82"/>
      <c r="H45" s="81">
        <v>1650000000</v>
      </c>
      <c r="I45" s="81">
        <v>0</v>
      </c>
      <c r="J45" s="81">
        <v>1650000000</v>
      </c>
    </row>
    <row r="46" spans="1:10" x14ac:dyDescent="0.4">
      <c r="A46" s="68" t="s">
        <v>245</v>
      </c>
      <c r="B46" s="68" t="s">
        <v>396</v>
      </c>
      <c r="C46" s="81">
        <v>324775</v>
      </c>
      <c r="D46" s="81">
        <v>2720</v>
      </c>
      <c r="E46" s="82"/>
      <c r="F46" s="82"/>
      <c r="G46" s="82"/>
      <c r="H46" s="81">
        <v>883388000</v>
      </c>
      <c r="I46" s="81">
        <v>0</v>
      </c>
      <c r="J46" s="81">
        <v>883388000</v>
      </c>
    </row>
    <row r="47" spans="1:10" x14ac:dyDescent="0.4">
      <c r="A47" s="68" t="s">
        <v>193</v>
      </c>
      <c r="B47" s="68" t="s">
        <v>383</v>
      </c>
      <c r="C47" s="81">
        <v>9448213</v>
      </c>
      <c r="D47" s="81">
        <v>10</v>
      </c>
      <c r="E47" s="82"/>
      <c r="F47" s="82"/>
      <c r="G47" s="82"/>
      <c r="H47" s="81">
        <v>94482130</v>
      </c>
      <c r="I47" s="81">
        <v>0</v>
      </c>
      <c r="J47" s="81">
        <v>94482130</v>
      </c>
    </row>
    <row r="48" spans="1:10" x14ac:dyDescent="0.4">
      <c r="A48" s="68" t="s">
        <v>299</v>
      </c>
      <c r="B48" s="68" t="s">
        <v>397</v>
      </c>
      <c r="C48" s="81">
        <v>10148510</v>
      </c>
      <c r="D48" s="81">
        <v>560</v>
      </c>
      <c r="E48" s="82"/>
      <c r="F48" s="82"/>
      <c r="G48" s="82"/>
      <c r="H48" s="81">
        <v>5683165600</v>
      </c>
      <c r="I48" s="81">
        <v>0</v>
      </c>
      <c r="J48" s="81">
        <v>5683165600</v>
      </c>
    </row>
    <row r="49" spans="1:10" x14ac:dyDescent="0.4">
      <c r="A49" s="68" t="s">
        <v>398</v>
      </c>
      <c r="B49" s="68" t="s">
        <v>399</v>
      </c>
      <c r="C49" s="81">
        <v>249996</v>
      </c>
      <c r="D49" s="81">
        <v>118</v>
      </c>
      <c r="E49" s="82"/>
      <c r="F49" s="82"/>
      <c r="G49" s="82"/>
      <c r="H49" s="81">
        <v>29499528</v>
      </c>
      <c r="I49" s="81">
        <v>0</v>
      </c>
      <c r="J49" s="81">
        <v>29499528</v>
      </c>
    </row>
    <row r="50" spans="1:10" x14ac:dyDescent="0.4">
      <c r="A50" s="68" t="s">
        <v>320</v>
      </c>
      <c r="B50" s="68" t="s">
        <v>373</v>
      </c>
      <c r="C50" s="81">
        <v>3600000</v>
      </c>
      <c r="D50" s="81">
        <v>300</v>
      </c>
      <c r="E50" s="82"/>
      <c r="F50" s="82"/>
      <c r="G50" s="82"/>
      <c r="H50" s="81">
        <v>1080000000</v>
      </c>
      <c r="I50" s="81">
        <v>0</v>
      </c>
      <c r="J50" s="81">
        <v>1080000000</v>
      </c>
    </row>
    <row r="51" spans="1:10" x14ac:dyDescent="0.4">
      <c r="A51" s="68" t="s">
        <v>339</v>
      </c>
      <c r="B51" s="68" t="s">
        <v>399</v>
      </c>
      <c r="C51" s="81">
        <v>22264729</v>
      </c>
      <c r="D51" s="81">
        <v>310</v>
      </c>
      <c r="E51" s="82"/>
      <c r="F51" s="82"/>
      <c r="G51" s="82"/>
      <c r="H51" s="81">
        <v>6902065990</v>
      </c>
      <c r="I51" s="81">
        <v>0</v>
      </c>
      <c r="J51" s="81">
        <v>6902065990</v>
      </c>
    </row>
    <row r="52" spans="1:10" x14ac:dyDescent="0.4">
      <c r="A52" s="68" t="s">
        <v>199</v>
      </c>
      <c r="B52" s="68" t="s">
        <v>400</v>
      </c>
      <c r="C52" s="81">
        <v>9664654</v>
      </c>
      <c r="D52" s="81">
        <v>1430</v>
      </c>
      <c r="E52" s="82"/>
      <c r="F52" s="82"/>
      <c r="G52" s="82"/>
      <c r="H52" s="81">
        <v>13820455220</v>
      </c>
      <c r="I52" s="81">
        <v>0</v>
      </c>
      <c r="J52" s="81">
        <v>13820455220</v>
      </c>
    </row>
    <row r="53" spans="1:10" x14ac:dyDescent="0.4">
      <c r="A53" s="68" t="s">
        <v>250</v>
      </c>
      <c r="B53" s="68" t="s">
        <v>376</v>
      </c>
      <c r="C53" s="81">
        <v>14021442</v>
      </c>
      <c r="D53" s="81">
        <v>500</v>
      </c>
      <c r="E53" s="82"/>
      <c r="F53" s="82"/>
      <c r="G53" s="82"/>
      <c r="H53" s="81">
        <v>7010721000</v>
      </c>
      <c r="I53" s="81">
        <v>0</v>
      </c>
      <c r="J53" s="81">
        <v>7010721000</v>
      </c>
    </row>
    <row r="54" spans="1:10" x14ac:dyDescent="0.4">
      <c r="A54" s="68" t="s">
        <v>258</v>
      </c>
      <c r="B54" s="68" t="s">
        <v>401</v>
      </c>
      <c r="C54" s="81">
        <v>800000</v>
      </c>
      <c r="D54" s="81">
        <v>730</v>
      </c>
      <c r="E54" s="82"/>
      <c r="F54" s="82"/>
      <c r="G54" s="82"/>
      <c r="H54" s="81">
        <v>584000000</v>
      </c>
      <c r="I54" s="81">
        <v>0</v>
      </c>
      <c r="J54" s="81">
        <v>584000000</v>
      </c>
    </row>
    <row r="55" spans="1:10" x14ac:dyDescent="0.4">
      <c r="A55" s="68" t="s">
        <v>298</v>
      </c>
      <c r="B55" s="68" t="s">
        <v>402</v>
      </c>
      <c r="C55" s="81">
        <v>2038313</v>
      </c>
      <c r="D55" s="81">
        <v>144</v>
      </c>
      <c r="E55" s="82"/>
      <c r="F55" s="82"/>
      <c r="G55" s="82"/>
      <c r="H55" s="81">
        <v>293517072</v>
      </c>
      <c r="I55" s="81">
        <v>-11400597</v>
      </c>
      <c r="J55" s="81">
        <v>282116475</v>
      </c>
    </row>
    <row r="56" spans="1:10" x14ac:dyDescent="0.4">
      <c r="A56" s="68" t="s">
        <v>181</v>
      </c>
      <c r="B56" s="68" t="s">
        <v>403</v>
      </c>
      <c r="C56" s="81">
        <v>200000</v>
      </c>
      <c r="D56" s="81">
        <v>500</v>
      </c>
      <c r="E56" s="82"/>
      <c r="F56" s="82"/>
      <c r="G56" s="82"/>
      <c r="H56" s="81">
        <v>100000000</v>
      </c>
      <c r="I56" s="81">
        <v>0</v>
      </c>
      <c r="J56" s="81">
        <v>100000000</v>
      </c>
    </row>
    <row r="57" spans="1:10" x14ac:dyDescent="0.4">
      <c r="A57" s="68" t="s">
        <v>272</v>
      </c>
      <c r="B57" s="68" t="s">
        <v>404</v>
      </c>
      <c r="C57" s="81">
        <v>8231319</v>
      </c>
      <c r="D57" s="81">
        <v>400</v>
      </c>
      <c r="E57" s="82"/>
      <c r="F57" s="82"/>
      <c r="G57" s="82"/>
      <c r="H57" s="81">
        <v>3292527600</v>
      </c>
      <c r="I57" s="81">
        <v>0</v>
      </c>
      <c r="J57" s="81">
        <v>3292527600</v>
      </c>
    </row>
    <row r="58" spans="1:10" x14ac:dyDescent="0.4">
      <c r="A58" s="68" t="s">
        <v>319</v>
      </c>
      <c r="B58" s="68" t="s">
        <v>405</v>
      </c>
      <c r="C58" s="81">
        <v>1375942</v>
      </c>
      <c r="D58" s="81">
        <v>1000</v>
      </c>
      <c r="E58" s="82"/>
      <c r="F58" s="82"/>
      <c r="G58" s="82"/>
      <c r="H58" s="81">
        <v>1375942000</v>
      </c>
      <c r="I58" s="81">
        <v>0</v>
      </c>
      <c r="J58" s="81">
        <v>1375942000</v>
      </c>
    </row>
    <row r="59" spans="1:10" x14ac:dyDescent="0.4">
      <c r="A59" s="68" t="s">
        <v>290</v>
      </c>
      <c r="B59" s="68" t="s">
        <v>373</v>
      </c>
      <c r="C59" s="81">
        <v>6256631</v>
      </c>
      <c r="D59" s="81">
        <v>700</v>
      </c>
      <c r="E59" s="82"/>
      <c r="F59" s="82"/>
      <c r="G59" s="82"/>
      <c r="H59" s="81">
        <v>4379641700</v>
      </c>
      <c r="I59" s="81">
        <v>0</v>
      </c>
      <c r="J59" s="81">
        <v>4379641700</v>
      </c>
    </row>
    <row r="60" spans="1:10" x14ac:dyDescent="0.4">
      <c r="A60" s="68" t="s">
        <v>406</v>
      </c>
      <c r="B60" s="68" t="s">
        <v>407</v>
      </c>
      <c r="C60" s="81">
        <v>241083</v>
      </c>
      <c r="D60" s="81">
        <v>850</v>
      </c>
      <c r="E60" s="82"/>
      <c r="F60" s="82"/>
      <c r="G60" s="82"/>
      <c r="H60" s="81">
        <v>204920550</v>
      </c>
      <c r="I60" s="81">
        <v>0</v>
      </c>
      <c r="J60" s="81">
        <v>204920550</v>
      </c>
    </row>
    <row r="61" spans="1:10" x14ac:dyDescent="0.4">
      <c r="A61" s="68" t="s">
        <v>240</v>
      </c>
      <c r="B61" s="68" t="s">
        <v>369</v>
      </c>
      <c r="C61" s="81">
        <v>3129644</v>
      </c>
      <c r="D61" s="81">
        <v>73</v>
      </c>
      <c r="E61" s="82"/>
      <c r="F61" s="82"/>
      <c r="G61" s="82"/>
      <c r="H61" s="81">
        <v>228464012</v>
      </c>
      <c r="I61" s="81">
        <v>0</v>
      </c>
      <c r="J61" s="81">
        <v>228464012</v>
      </c>
    </row>
    <row r="62" spans="1:10" x14ac:dyDescent="0.4">
      <c r="A62" s="68" t="s">
        <v>196</v>
      </c>
      <c r="B62" s="68" t="s">
        <v>373</v>
      </c>
      <c r="C62" s="81">
        <v>16300000</v>
      </c>
      <c r="D62" s="81">
        <v>800</v>
      </c>
      <c r="E62" s="82"/>
      <c r="F62" s="82"/>
      <c r="G62" s="82"/>
      <c r="H62" s="81">
        <v>13040000000</v>
      </c>
      <c r="I62" s="81">
        <v>0</v>
      </c>
      <c r="J62" s="81">
        <v>13040000000</v>
      </c>
    </row>
    <row r="63" spans="1:10" x14ac:dyDescent="0.4">
      <c r="A63" s="68" t="s">
        <v>228</v>
      </c>
      <c r="B63" s="68" t="s">
        <v>378</v>
      </c>
      <c r="C63" s="81">
        <v>44699</v>
      </c>
      <c r="D63" s="81">
        <v>1300</v>
      </c>
      <c r="E63" s="82"/>
      <c r="F63" s="82"/>
      <c r="G63" s="82"/>
      <c r="H63" s="81">
        <v>58108700</v>
      </c>
      <c r="I63" s="81">
        <v>0</v>
      </c>
      <c r="J63" s="81">
        <v>58108700</v>
      </c>
    </row>
    <row r="64" spans="1:10" x14ac:dyDescent="0.4">
      <c r="A64" s="68" t="s">
        <v>224</v>
      </c>
      <c r="B64" s="68" t="s">
        <v>368</v>
      </c>
      <c r="C64" s="81">
        <v>4274063</v>
      </c>
      <c r="D64" s="81">
        <v>670</v>
      </c>
      <c r="E64" s="82"/>
      <c r="F64" s="82"/>
      <c r="G64" s="82"/>
      <c r="H64" s="81">
        <v>2863622210</v>
      </c>
      <c r="I64" s="81">
        <v>0</v>
      </c>
      <c r="J64" s="81">
        <v>2863622210</v>
      </c>
    </row>
    <row r="65" spans="1:10" x14ac:dyDescent="0.4">
      <c r="A65" s="68" t="s">
        <v>259</v>
      </c>
      <c r="B65" s="68" t="s">
        <v>408</v>
      </c>
      <c r="C65" s="81">
        <v>250000</v>
      </c>
      <c r="D65" s="81">
        <v>1480</v>
      </c>
      <c r="E65" s="82"/>
      <c r="F65" s="82"/>
      <c r="G65" s="82"/>
      <c r="H65" s="81">
        <v>370000000</v>
      </c>
      <c r="I65" s="81">
        <v>0</v>
      </c>
      <c r="J65" s="81">
        <v>370000000</v>
      </c>
    </row>
    <row r="66" spans="1:10" x14ac:dyDescent="0.4">
      <c r="A66" s="68" t="s">
        <v>297</v>
      </c>
      <c r="B66" s="68" t="s">
        <v>374</v>
      </c>
      <c r="C66" s="81">
        <v>15800000</v>
      </c>
      <c r="D66" s="81">
        <v>1400</v>
      </c>
      <c r="E66" s="82"/>
      <c r="F66" s="82"/>
      <c r="G66" s="82"/>
      <c r="H66" s="81">
        <v>22120000000</v>
      </c>
      <c r="I66" s="81">
        <v>0</v>
      </c>
      <c r="J66" s="81">
        <v>22120000000</v>
      </c>
    </row>
    <row r="67" spans="1:10" x14ac:dyDescent="0.4">
      <c r="A67" s="68" t="s">
        <v>211</v>
      </c>
      <c r="B67" s="68" t="s">
        <v>409</v>
      </c>
      <c r="C67" s="81">
        <v>6668802</v>
      </c>
      <c r="D67" s="81">
        <v>350</v>
      </c>
      <c r="E67" s="82"/>
      <c r="F67" s="82"/>
      <c r="G67" s="82"/>
      <c r="H67" s="81">
        <v>2334080700</v>
      </c>
      <c r="I67" s="81">
        <v>0</v>
      </c>
      <c r="J67" s="81">
        <v>2334080700</v>
      </c>
    </row>
    <row r="68" spans="1:10" x14ac:dyDescent="0.4">
      <c r="A68" s="68" t="s">
        <v>273</v>
      </c>
      <c r="B68" s="68" t="s">
        <v>373</v>
      </c>
      <c r="C68" s="81">
        <v>5155597</v>
      </c>
      <c r="D68" s="81">
        <v>380</v>
      </c>
      <c r="E68" s="82"/>
      <c r="F68" s="82"/>
      <c r="G68" s="82"/>
      <c r="H68" s="81">
        <v>1959126860</v>
      </c>
      <c r="I68" s="81">
        <v>0</v>
      </c>
      <c r="J68" s="81">
        <v>1959126860</v>
      </c>
    </row>
    <row r="69" spans="1:10" x14ac:dyDescent="0.4">
      <c r="A69" s="68" t="s">
        <v>229</v>
      </c>
      <c r="B69" s="68" t="s">
        <v>410</v>
      </c>
      <c r="C69" s="81">
        <v>2851893</v>
      </c>
      <c r="D69" s="81">
        <v>1050</v>
      </c>
      <c r="E69" s="82"/>
      <c r="F69" s="82"/>
      <c r="G69" s="82"/>
      <c r="H69" s="81">
        <v>2994487650</v>
      </c>
      <c r="I69" s="81">
        <v>0</v>
      </c>
      <c r="J69" s="81">
        <v>2994487650</v>
      </c>
    </row>
    <row r="70" spans="1:10" x14ac:dyDescent="0.4">
      <c r="A70" s="68" t="s">
        <v>288</v>
      </c>
      <c r="B70" s="68" t="s">
        <v>411</v>
      </c>
      <c r="C70" s="81">
        <v>1207911</v>
      </c>
      <c r="D70" s="81">
        <v>2600</v>
      </c>
      <c r="E70" s="82"/>
      <c r="F70" s="82"/>
      <c r="G70" s="82"/>
      <c r="H70" s="81">
        <v>3140568600</v>
      </c>
      <c r="I70" s="81">
        <v>0</v>
      </c>
      <c r="J70" s="81">
        <v>3140568600</v>
      </c>
    </row>
    <row r="71" spans="1:10" x14ac:dyDescent="0.4">
      <c r="A71" s="68" t="s">
        <v>169</v>
      </c>
      <c r="B71" s="68" t="s">
        <v>412</v>
      </c>
      <c r="C71" s="81">
        <v>411</v>
      </c>
      <c r="D71" s="81">
        <v>285</v>
      </c>
      <c r="E71" s="82"/>
      <c r="F71" s="82"/>
      <c r="G71" s="82"/>
      <c r="H71" s="81">
        <v>117135</v>
      </c>
      <c r="I71" s="81">
        <v>0</v>
      </c>
      <c r="J71" s="81">
        <v>117135</v>
      </c>
    </row>
    <row r="72" spans="1:10" x14ac:dyDescent="0.4">
      <c r="A72" s="68" t="s">
        <v>333</v>
      </c>
      <c r="B72" s="68" t="s">
        <v>360</v>
      </c>
      <c r="C72" s="81">
        <v>8036726</v>
      </c>
      <c r="D72" s="81">
        <v>410</v>
      </c>
      <c r="E72" s="82"/>
      <c r="F72" s="82"/>
      <c r="G72" s="82"/>
      <c r="H72" s="81">
        <v>3295057660</v>
      </c>
      <c r="I72" s="81">
        <v>0</v>
      </c>
      <c r="J72" s="81">
        <v>3295057660</v>
      </c>
    </row>
    <row r="73" spans="1:10" x14ac:dyDescent="0.4">
      <c r="A73" s="68" t="s">
        <v>413</v>
      </c>
      <c r="B73" s="68" t="s">
        <v>414</v>
      </c>
      <c r="C73" s="81">
        <v>700000</v>
      </c>
      <c r="D73" s="81">
        <v>722</v>
      </c>
      <c r="E73" s="82"/>
      <c r="F73" s="82"/>
      <c r="G73" s="82"/>
      <c r="H73" s="81">
        <v>505400000</v>
      </c>
      <c r="I73" s="81">
        <v>0</v>
      </c>
      <c r="J73" s="81">
        <v>505400000</v>
      </c>
    </row>
    <row r="74" spans="1:10" x14ac:dyDescent="0.4">
      <c r="A74" s="68" t="s">
        <v>283</v>
      </c>
      <c r="B74" s="68" t="s">
        <v>415</v>
      </c>
      <c r="C74" s="81">
        <v>10026316</v>
      </c>
      <c r="D74" s="81">
        <v>80</v>
      </c>
      <c r="E74" s="82"/>
      <c r="F74" s="82"/>
      <c r="G74" s="82"/>
      <c r="H74" s="81">
        <v>802105280</v>
      </c>
      <c r="I74" s="81">
        <v>0</v>
      </c>
      <c r="J74" s="81">
        <v>802105280</v>
      </c>
    </row>
    <row r="75" spans="1:10" x14ac:dyDescent="0.4">
      <c r="A75" s="68" t="s">
        <v>279</v>
      </c>
      <c r="B75" s="68" t="s">
        <v>399</v>
      </c>
      <c r="C75" s="81">
        <v>10319249</v>
      </c>
      <c r="D75" s="81">
        <v>1000</v>
      </c>
      <c r="E75" s="82"/>
      <c r="F75" s="82"/>
      <c r="G75" s="82"/>
      <c r="H75" s="81">
        <v>10319249000</v>
      </c>
      <c r="I75" s="81">
        <v>0</v>
      </c>
      <c r="J75" s="81">
        <v>10319249000</v>
      </c>
    </row>
    <row r="76" spans="1:10" x14ac:dyDescent="0.4">
      <c r="A76" s="68" t="s">
        <v>170</v>
      </c>
      <c r="B76" s="68" t="s">
        <v>416</v>
      </c>
      <c r="C76" s="81">
        <v>1999999</v>
      </c>
      <c r="D76" s="81">
        <v>50</v>
      </c>
      <c r="E76" s="82"/>
      <c r="F76" s="82"/>
      <c r="G76" s="82"/>
      <c r="H76" s="81">
        <v>99999950</v>
      </c>
      <c r="I76" s="81">
        <v>0</v>
      </c>
      <c r="J76" s="81">
        <v>99999950</v>
      </c>
    </row>
    <row r="77" spans="1:10" x14ac:dyDescent="0.4">
      <c r="A77" s="68" t="s">
        <v>266</v>
      </c>
      <c r="B77" s="68" t="s">
        <v>361</v>
      </c>
      <c r="C77" s="81">
        <v>18635760</v>
      </c>
      <c r="D77" s="81">
        <v>390</v>
      </c>
      <c r="E77" s="82"/>
      <c r="F77" s="82"/>
      <c r="G77" s="82"/>
      <c r="H77" s="81">
        <v>7267946400</v>
      </c>
      <c r="I77" s="81">
        <v>0</v>
      </c>
      <c r="J77" s="81">
        <v>7267946400</v>
      </c>
    </row>
    <row r="78" spans="1:10" x14ac:dyDescent="0.4">
      <c r="A78" s="68" t="s">
        <v>340</v>
      </c>
      <c r="B78" s="68" t="s">
        <v>417</v>
      </c>
      <c r="C78" s="81">
        <v>8601572</v>
      </c>
      <c r="D78" s="81">
        <v>290</v>
      </c>
      <c r="E78" s="82"/>
      <c r="F78" s="82"/>
      <c r="G78" s="82"/>
      <c r="H78" s="81">
        <v>2494455880</v>
      </c>
      <c r="I78" s="81">
        <v>-30379030</v>
      </c>
      <c r="J78" s="81">
        <v>2464076850</v>
      </c>
    </row>
    <row r="79" spans="1:10" x14ac:dyDescent="0.4">
      <c r="A79" s="68" t="s">
        <v>418</v>
      </c>
      <c r="B79" s="68" t="s">
        <v>419</v>
      </c>
      <c r="C79" s="81">
        <v>845414</v>
      </c>
      <c r="D79" s="81">
        <v>620</v>
      </c>
      <c r="E79" s="82"/>
      <c r="F79" s="82"/>
      <c r="G79" s="82"/>
      <c r="H79" s="81">
        <v>524156680</v>
      </c>
      <c r="I79" s="81">
        <v>0</v>
      </c>
      <c r="J79" s="81">
        <v>524156680</v>
      </c>
    </row>
    <row r="80" spans="1:10" x14ac:dyDescent="0.4">
      <c r="A80" s="68" t="s">
        <v>286</v>
      </c>
      <c r="B80" s="68" t="s">
        <v>409</v>
      </c>
      <c r="C80" s="81">
        <v>177678</v>
      </c>
      <c r="D80" s="81">
        <v>4100</v>
      </c>
      <c r="E80" s="82"/>
      <c r="F80" s="82"/>
      <c r="G80" s="82"/>
      <c r="H80" s="81">
        <v>728479800</v>
      </c>
      <c r="I80" s="81">
        <v>0</v>
      </c>
      <c r="J80" s="81">
        <v>728479800</v>
      </c>
    </row>
    <row r="81" spans="1:10" x14ac:dyDescent="0.4">
      <c r="A81" s="68" t="s">
        <v>348</v>
      </c>
      <c r="B81" s="68" t="s">
        <v>420</v>
      </c>
      <c r="C81" s="81">
        <v>123</v>
      </c>
      <c r="D81" s="81">
        <v>400</v>
      </c>
      <c r="E81" s="82"/>
      <c r="F81" s="82"/>
      <c r="G81" s="82"/>
      <c r="H81" s="81">
        <v>49200</v>
      </c>
      <c r="I81" s="81">
        <v>0</v>
      </c>
      <c r="J81" s="81">
        <v>49200</v>
      </c>
    </row>
    <row r="82" spans="1:10" x14ac:dyDescent="0.4">
      <c r="A82" s="68" t="s">
        <v>335</v>
      </c>
      <c r="B82" s="68" t="s">
        <v>403</v>
      </c>
      <c r="C82" s="81">
        <v>2570924</v>
      </c>
      <c r="D82" s="81">
        <v>936</v>
      </c>
      <c r="E82" s="82"/>
      <c r="F82" s="82"/>
      <c r="G82" s="82"/>
      <c r="H82" s="81">
        <v>2406384864</v>
      </c>
      <c r="I82" s="81">
        <v>0</v>
      </c>
      <c r="J82" s="81">
        <v>2406384864</v>
      </c>
    </row>
    <row r="83" spans="1:10" x14ac:dyDescent="0.4">
      <c r="A83" s="68" t="s">
        <v>234</v>
      </c>
      <c r="B83" s="68" t="s">
        <v>421</v>
      </c>
      <c r="C83" s="81">
        <v>162629</v>
      </c>
      <c r="D83" s="81">
        <v>8700</v>
      </c>
      <c r="E83" s="82"/>
      <c r="F83" s="82"/>
      <c r="G83" s="82"/>
      <c r="H83" s="81">
        <v>1414872300</v>
      </c>
      <c r="I83" s="81">
        <v>0</v>
      </c>
      <c r="J83" s="81">
        <v>1414872300</v>
      </c>
    </row>
    <row r="84" spans="1:10" x14ac:dyDescent="0.4">
      <c r="A84" s="68" t="s">
        <v>239</v>
      </c>
      <c r="B84" s="68" t="s">
        <v>422</v>
      </c>
      <c r="C84" s="81">
        <v>4613772</v>
      </c>
      <c r="D84" s="81">
        <v>220</v>
      </c>
      <c r="E84" s="82"/>
      <c r="F84" s="82"/>
      <c r="G84" s="82"/>
      <c r="H84" s="81">
        <v>1015029840</v>
      </c>
      <c r="I84" s="81">
        <v>0</v>
      </c>
      <c r="J84" s="81">
        <v>1015029840</v>
      </c>
    </row>
    <row r="85" spans="1:10" x14ac:dyDescent="0.4">
      <c r="A85" s="68" t="s">
        <v>303</v>
      </c>
      <c r="B85" s="68" t="s">
        <v>423</v>
      </c>
      <c r="C85" s="81">
        <v>6744759</v>
      </c>
      <c r="D85" s="81">
        <v>480</v>
      </c>
      <c r="E85" s="82"/>
      <c r="F85" s="82"/>
      <c r="G85" s="82"/>
      <c r="H85" s="81">
        <v>3237484320</v>
      </c>
      <c r="I85" s="81">
        <v>0</v>
      </c>
      <c r="J85" s="81">
        <v>3237484320</v>
      </c>
    </row>
    <row r="86" spans="1:10" x14ac:dyDescent="0.4">
      <c r="A86" s="68" t="s">
        <v>231</v>
      </c>
      <c r="B86" s="68" t="s">
        <v>373</v>
      </c>
      <c r="C86" s="81">
        <v>3500000</v>
      </c>
      <c r="D86" s="81">
        <v>2280</v>
      </c>
      <c r="E86" s="82"/>
      <c r="F86" s="82"/>
      <c r="G86" s="82"/>
      <c r="H86" s="81">
        <v>7980000000</v>
      </c>
      <c r="I86" s="81">
        <v>0</v>
      </c>
      <c r="J86" s="81">
        <v>7980000000</v>
      </c>
    </row>
    <row r="87" spans="1:10" x14ac:dyDescent="0.4">
      <c r="A87" s="68" t="s">
        <v>285</v>
      </c>
      <c r="B87" s="68" t="s">
        <v>424</v>
      </c>
      <c r="C87" s="81">
        <v>65229</v>
      </c>
      <c r="D87" s="81">
        <v>38000</v>
      </c>
      <c r="E87" s="82"/>
      <c r="F87" s="82"/>
      <c r="G87" s="82"/>
      <c r="H87" s="81">
        <v>3010453000</v>
      </c>
      <c r="I87" s="81">
        <v>0</v>
      </c>
      <c r="J87" s="81">
        <v>3010453000</v>
      </c>
    </row>
    <row r="88" spans="1:10" x14ac:dyDescent="0.4">
      <c r="A88" s="68" t="s">
        <v>349</v>
      </c>
      <c r="B88" s="68" t="s">
        <v>425</v>
      </c>
      <c r="C88" s="81">
        <v>1947948</v>
      </c>
      <c r="D88" s="81">
        <v>5330</v>
      </c>
      <c r="E88" s="82"/>
      <c r="F88" s="82"/>
      <c r="G88" s="82"/>
      <c r="H88" s="81">
        <v>10382562840</v>
      </c>
      <c r="I88" s="81">
        <v>0</v>
      </c>
      <c r="J88" s="81">
        <v>10382562840</v>
      </c>
    </row>
    <row r="89" spans="1:10" x14ac:dyDescent="0.4">
      <c r="A89" s="68" t="s">
        <v>426</v>
      </c>
      <c r="B89" s="68" t="s">
        <v>399</v>
      </c>
      <c r="C89" s="81">
        <v>450000</v>
      </c>
      <c r="D89" s="81">
        <v>45</v>
      </c>
      <c r="E89" s="82"/>
      <c r="F89" s="82"/>
      <c r="G89" s="82"/>
      <c r="H89" s="81">
        <v>20250000</v>
      </c>
      <c r="I89" s="81">
        <v>0</v>
      </c>
      <c r="J89" s="81">
        <v>20250000</v>
      </c>
    </row>
    <row r="90" spans="1:10" x14ac:dyDescent="0.4">
      <c r="A90" s="68" t="s">
        <v>311</v>
      </c>
      <c r="B90" s="68" t="s">
        <v>385</v>
      </c>
      <c r="C90" s="81">
        <v>4067894</v>
      </c>
      <c r="D90" s="81">
        <v>200</v>
      </c>
      <c r="E90" s="82"/>
      <c r="F90" s="82"/>
      <c r="G90" s="82"/>
      <c r="H90" s="81">
        <v>813578800</v>
      </c>
      <c r="I90" s="81">
        <v>0</v>
      </c>
      <c r="J90" s="81">
        <v>813578800</v>
      </c>
    </row>
    <row r="91" spans="1:10" x14ac:dyDescent="0.4">
      <c r="A91" s="68" t="s">
        <v>427</v>
      </c>
      <c r="B91" s="68" t="s">
        <v>428</v>
      </c>
      <c r="C91" s="81">
        <v>2024465</v>
      </c>
      <c r="D91" s="81">
        <v>1000</v>
      </c>
      <c r="E91" s="81">
        <v>2024465000</v>
      </c>
      <c r="F91" s="81">
        <v>-77351100</v>
      </c>
      <c r="G91" s="81">
        <v>1947113900</v>
      </c>
      <c r="H91" s="81">
        <v>2024465000</v>
      </c>
      <c r="I91" s="81">
        <v>-77351100</v>
      </c>
      <c r="J91" s="81">
        <v>1947113900</v>
      </c>
    </row>
    <row r="92" spans="1:10" x14ac:dyDescent="0.4">
      <c r="A92" s="68" t="s">
        <v>429</v>
      </c>
      <c r="B92" s="68" t="s">
        <v>386</v>
      </c>
      <c r="C92" s="81">
        <v>2192838</v>
      </c>
      <c r="D92" s="81">
        <v>1350</v>
      </c>
      <c r="E92" s="81">
        <v>2960331300</v>
      </c>
      <c r="F92" s="81">
        <v>-45912084</v>
      </c>
      <c r="G92" s="81">
        <v>2914419216</v>
      </c>
      <c r="H92" s="81">
        <v>2960331300</v>
      </c>
      <c r="I92" s="81">
        <v>-45912084</v>
      </c>
      <c r="J92" s="81">
        <v>2914419216</v>
      </c>
    </row>
    <row r="93" spans="1:10" x14ac:dyDescent="0.4">
      <c r="A93" s="68" t="s">
        <v>269</v>
      </c>
      <c r="B93" s="68" t="s">
        <v>430</v>
      </c>
      <c r="C93" s="81">
        <v>6511043</v>
      </c>
      <c r="D93" s="81">
        <v>510</v>
      </c>
      <c r="E93" s="81">
        <v>3320631930</v>
      </c>
      <c r="F93" s="81">
        <v>-137360349</v>
      </c>
      <c r="G93" s="81">
        <v>3183271581</v>
      </c>
      <c r="H93" s="81">
        <v>3320631930</v>
      </c>
      <c r="I93" s="81">
        <v>-137360349</v>
      </c>
      <c r="J93" s="81">
        <v>3183271581</v>
      </c>
    </row>
    <row r="94" spans="1:10" x14ac:dyDescent="0.4">
      <c r="A94" s="68" t="s">
        <v>326</v>
      </c>
      <c r="B94" s="68" t="s">
        <v>431</v>
      </c>
      <c r="C94" s="81">
        <v>2800000</v>
      </c>
      <c r="D94" s="81">
        <v>380</v>
      </c>
      <c r="E94" s="82"/>
      <c r="F94" s="82"/>
      <c r="G94" s="82"/>
      <c r="H94" s="81">
        <v>1064000000</v>
      </c>
      <c r="I94" s="81">
        <v>0</v>
      </c>
      <c r="J94" s="81">
        <v>1064000000</v>
      </c>
    </row>
    <row r="95" spans="1:10" x14ac:dyDescent="0.4">
      <c r="A95" s="68" t="s">
        <v>432</v>
      </c>
      <c r="B95" s="68" t="s">
        <v>433</v>
      </c>
      <c r="C95" s="81">
        <v>9752234</v>
      </c>
      <c r="D95" s="81">
        <v>20</v>
      </c>
      <c r="E95" s="82"/>
      <c r="F95" s="82"/>
      <c r="G95" s="82"/>
      <c r="H95" s="81">
        <v>195044680</v>
      </c>
      <c r="I95" s="81">
        <v>0</v>
      </c>
      <c r="J95" s="81">
        <v>195044680</v>
      </c>
    </row>
    <row r="96" spans="1:10" x14ac:dyDescent="0.4">
      <c r="A96" s="68" t="s">
        <v>254</v>
      </c>
      <c r="B96" s="68" t="s">
        <v>421</v>
      </c>
      <c r="C96" s="81">
        <v>6800000</v>
      </c>
      <c r="D96" s="81">
        <v>600</v>
      </c>
      <c r="E96" s="82"/>
      <c r="F96" s="82"/>
      <c r="G96" s="82"/>
      <c r="H96" s="81">
        <v>4080000000</v>
      </c>
      <c r="I96" s="81">
        <v>0</v>
      </c>
      <c r="J96" s="81">
        <v>4080000000</v>
      </c>
    </row>
    <row r="97" spans="1:10" ht="16.5" thickBot="1" x14ac:dyDescent="0.45">
      <c r="A97" s="68" t="s">
        <v>2</v>
      </c>
      <c r="B97" s="68">
        <f t="shared" ref="B97:J97" si="0">SUM(B7:B96)</f>
        <v>0</v>
      </c>
      <c r="C97" s="83">
        <f t="shared" si="0"/>
        <v>516673845</v>
      </c>
      <c r="D97" s="83">
        <f t="shared" si="0"/>
        <v>156653</v>
      </c>
      <c r="E97" s="83">
        <f t="shared" si="0"/>
        <v>14563443230</v>
      </c>
      <c r="F97" s="83">
        <f t="shared" si="0"/>
        <v>-519194257</v>
      </c>
      <c r="G97" s="83">
        <f t="shared" si="0"/>
        <v>14044248973</v>
      </c>
      <c r="H97" s="83">
        <f t="shared" si="0"/>
        <v>293323453997</v>
      </c>
      <c r="I97" s="83">
        <f t="shared" si="0"/>
        <v>-828079250</v>
      </c>
      <c r="J97" s="83">
        <f t="shared" si="0"/>
        <v>292495374747</v>
      </c>
    </row>
    <row r="98" spans="1:10" ht="16.5" thickTop="1" x14ac:dyDescent="0.4"/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" right="0.7" top="0.75" bottom="0.75" header="0.3" footer="0.3"/>
  <pageSetup scale="6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rightToLeft="1" view="pageBreakPreview" zoomScale="106" zoomScaleNormal="100" zoomScaleSheetLayoutView="106" workbookViewId="0">
      <selection activeCell="S13" sqref="S13"/>
    </sheetView>
  </sheetViews>
  <sheetFormatPr defaultColWidth="9.140625" defaultRowHeight="12.75" x14ac:dyDescent="0.25"/>
  <cols>
    <col min="1" max="1" width="29.42578125" style="47" customWidth="1"/>
    <col min="2" max="2" width="10.5703125" style="47" customWidth="1"/>
    <col min="3" max="3" width="19.140625" style="47" customWidth="1"/>
    <col min="4" max="4" width="20.140625" style="47" customWidth="1"/>
    <col min="5" max="5" width="19.7109375" style="47" customWidth="1"/>
    <col min="6" max="6" width="18.5703125" style="47" customWidth="1"/>
    <col min="7" max="16384" width="9.140625" style="47"/>
  </cols>
  <sheetData>
    <row r="1" spans="1:10" ht="21" x14ac:dyDescent="0.25">
      <c r="A1" s="137" t="s">
        <v>156</v>
      </c>
      <c r="B1" s="137"/>
      <c r="C1" s="137"/>
      <c r="D1" s="137"/>
      <c r="E1" s="137"/>
      <c r="F1" s="137"/>
      <c r="G1" s="48"/>
    </row>
    <row r="2" spans="1:10" ht="21" x14ac:dyDescent="0.25">
      <c r="A2" s="137" t="s">
        <v>82</v>
      </c>
      <c r="B2" s="137"/>
      <c r="C2" s="137"/>
      <c r="D2" s="137"/>
      <c r="E2" s="137"/>
      <c r="F2" s="137"/>
      <c r="G2" s="48"/>
    </row>
    <row r="3" spans="1:10" ht="21" x14ac:dyDescent="0.25">
      <c r="A3" s="137" t="s">
        <v>157</v>
      </c>
      <c r="B3" s="137"/>
      <c r="C3" s="137"/>
      <c r="D3" s="137"/>
      <c r="E3" s="137"/>
      <c r="F3" s="137"/>
      <c r="G3" s="48"/>
    </row>
    <row r="4" spans="1:10" ht="25.5" x14ac:dyDescent="0.25">
      <c r="A4" s="107" t="s">
        <v>122</v>
      </c>
      <c r="B4" s="107"/>
      <c r="C4" s="107"/>
      <c r="D4" s="107"/>
      <c r="E4" s="107"/>
      <c r="F4" s="107"/>
      <c r="G4" s="24"/>
      <c r="H4" s="24"/>
      <c r="I4" s="24"/>
      <c r="J4" s="24"/>
    </row>
    <row r="5" spans="1:10" ht="16.5" thickBot="1" x14ac:dyDescent="0.3">
      <c r="A5" s="49"/>
      <c r="B5" s="49"/>
      <c r="C5" s="49"/>
      <c r="D5" s="49"/>
      <c r="E5" s="9" t="s">
        <v>136</v>
      </c>
      <c r="F5" s="9" t="s">
        <v>158</v>
      </c>
      <c r="G5" s="11"/>
    </row>
    <row r="6" spans="1:10" ht="47.25" customHeight="1" thickBot="1" x14ac:dyDescent="0.3">
      <c r="A6" s="55" t="s">
        <v>125</v>
      </c>
      <c r="B6" s="55" t="s">
        <v>126</v>
      </c>
      <c r="C6" s="55" t="s">
        <v>130</v>
      </c>
      <c r="D6" s="55" t="s">
        <v>127</v>
      </c>
      <c r="E6" s="16" t="s">
        <v>131</v>
      </c>
      <c r="F6" s="16" t="s">
        <v>131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rightToLeft="1" view="pageBreakPreview" zoomScale="60" zoomScaleNormal="100" workbookViewId="0">
      <selection activeCell="S13" sqref="S13"/>
    </sheetView>
  </sheetViews>
  <sheetFormatPr defaultRowHeight="15" x14ac:dyDescent="0.25"/>
  <cols>
    <col min="1" max="1" width="20.140625" customWidth="1"/>
    <col min="2" max="2" width="12.5703125" customWidth="1"/>
    <col min="3" max="3" width="12.42578125" customWidth="1"/>
    <col min="4" max="4" width="10.7109375" customWidth="1"/>
  </cols>
  <sheetData>
    <row r="1" spans="1:10" ht="19.5" x14ac:dyDescent="0.5">
      <c r="A1" s="139" t="s">
        <v>156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ht="19.5" x14ac:dyDescent="0.5">
      <c r="A2" s="139" t="s">
        <v>82</v>
      </c>
      <c r="B2" s="139"/>
      <c r="C2" s="139"/>
      <c r="D2" s="139"/>
      <c r="E2" s="139"/>
      <c r="F2" s="139"/>
      <c r="G2" s="139"/>
      <c r="H2" s="139"/>
      <c r="I2" s="139"/>
      <c r="J2" s="139"/>
    </row>
    <row r="3" spans="1:10" ht="19.5" x14ac:dyDescent="0.5">
      <c r="A3" s="139" t="s">
        <v>157</v>
      </c>
      <c r="B3" s="139"/>
      <c r="C3" s="139"/>
      <c r="D3" s="139"/>
      <c r="E3" s="139"/>
      <c r="F3" s="139"/>
      <c r="G3" s="139"/>
      <c r="H3" s="139"/>
      <c r="I3" s="139"/>
      <c r="J3" s="139"/>
    </row>
    <row r="4" spans="1:10" ht="25.5" x14ac:dyDescent="0.25">
      <c r="A4" s="107" t="s">
        <v>133</v>
      </c>
      <c r="B4" s="107"/>
      <c r="C4" s="107"/>
      <c r="D4" s="107"/>
      <c r="E4" s="107"/>
      <c r="F4" s="107"/>
      <c r="G4" s="107"/>
      <c r="H4" s="107"/>
      <c r="I4" s="107"/>
      <c r="J4" s="107"/>
    </row>
    <row r="5" spans="1:10" ht="16.5" customHeight="1" thickBot="1" x14ac:dyDescent="0.5">
      <c r="A5" s="27"/>
      <c r="B5" s="138"/>
      <c r="C5" s="138"/>
      <c r="D5" s="138"/>
      <c r="E5" s="126" t="s">
        <v>136</v>
      </c>
      <c r="F5" s="126"/>
      <c r="G5" s="126"/>
      <c r="H5" s="126" t="s">
        <v>158</v>
      </c>
      <c r="I5" s="126"/>
      <c r="J5" s="126"/>
    </row>
    <row r="6" spans="1:10" ht="38.25" customHeight="1" thickBot="1" x14ac:dyDescent="0.5">
      <c r="A6" s="52" t="s">
        <v>53</v>
      </c>
      <c r="B6" s="34" t="s">
        <v>62</v>
      </c>
      <c r="C6" s="34" t="s">
        <v>29</v>
      </c>
      <c r="D6" s="34" t="s">
        <v>51</v>
      </c>
      <c r="E6" s="34" t="s">
        <v>83</v>
      </c>
      <c r="F6" s="34" t="s">
        <v>58</v>
      </c>
      <c r="G6" s="34" t="s">
        <v>63</v>
      </c>
      <c r="H6" s="34" t="s">
        <v>83</v>
      </c>
      <c r="I6" s="34" t="s">
        <v>58</v>
      </c>
      <c r="J6" s="34" t="s">
        <v>63</v>
      </c>
    </row>
    <row r="7" spans="1:10" ht="18" x14ac:dyDescent="0.45">
      <c r="A7" s="10"/>
      <c r="B7" s="10"/>
      <c r="C7" s="10"/>
      <c r="D7" s="10"/>
      <c r="E7" s="10"/>
      <c r="F7" s="10"/>
      <c r="G7" s="10"/>
      <c r="H7" s="10"/>
      <c r="I7" s="10"/>
      <c r="J7" s="10"/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rightToLeft="1" view="pageBreakPreview" zoomScale="60" zoomScaleNormal="100" workbookViewId="0">
      <selection activeCell="S13" sqref="S13"/>
    </sheetView>
  </sheetViews>
  <sheetFormatPr defaultRowHeight="18" x14ac:dyDescent="0.45"/>
  <cols>
    <col min="1" max="1" width="34" style="10" customWidth="1"/>
    <col min="2" max="2" width="23.7109375" style="10" customWidth="1"/>
    <col min="3" max="3" width="20.28515625" style="10" customWidth="1"/>
    <col min="4" max="4" width="22" style="10" customWidth="1"/>
    <col min="5" max="5" width="21.42578125" style="10" customWidth="1"/>
    <col min="6" max="6" width="16.5703125" style="10" customWidth="1"/>
    <col min="7" max="7" width="21.28515625" style="10" customWidth="1"/>
    <col min="8" max="16384" width="9.140625" style="10"/>
  </cols>
  <sheetData>
    <row r="1" spans="1:7" ht="19.5" x14ac:dyDescent="0.5">
      <c r="A1" s="140" t="s">
        <v>156</v>
      </c>
      <c r="B1" s="140"/>
      <c r="C1" s="140"/>
      <c r="D1" s="140"/>
      <c r="E1" s="140"/>
      <c r="F1" s="140"/>
      <c r="G1" s="140"/>
    </row>
    <row r="2" spans="1:7" ht="19.5" x14ac:dyDescent="0.5">
      <c r="A2" s="140" t="s">
        <v>82</v>
      </c>
      <c r="B2" s="140"/>
      <c r="C2" s="140"/>
      <c r="D2" s="140"/>
      <c r="E2" s="140"/>
      <c r="F2" s="140"/>
      <c r="G2" s="140"/>
    </row>
    <row r="3" spans="1:7" ht="19.5" x14ac:dyDescent="0.5">
      <c r="A3" s="140" t="s">
        <v>157</v>
      </c>
      <c r="B3" s="140"/>
      <c r="C3" s="140"/>
      <c r="D3" s="140"/>
      <c r="E3" s="140"/>
      <c r="F3" s="140"/>
      <c r="G3" s="140"/>
    </row>
    <row r="4" spans="1:7" ht="21" x14ac:dyDescent="0.45">
      <c r="A4" s="105" t="s">
        <v>134</v>
      </c>
      <c r="B4" s="105"/>
      <c r="C4" s="105"/>
      <c r="D4" s="105"/>
      <c r="E4" s="105"/>
      <c r="F4" s="105"/>
      <c r="G4" s="105"/>
    </row>
    <row r="5" spans="1:7" ht="16.5" customHeight="1" thickBot="1" x14ac:dyDescent="0.5">
      <c r="A5" s="27"/>
      <c r="B5" s="126" t="s">
        <v>136</v>
      </c>
      <c r="C5" s="126"/>
      <c r="D5" s="126"/>
      <c r="E5" s="126" t="s">
        <v>158</v>
      </c>
      <c r="F5" s="126"/>
      <c r="G5" s="126"/>
    </row>
    <row r="6" spans="1:7" ht="38.25" customHeight="1" thickBot="1" x14ac:dyDescent="0.5">
      <c r="A6" s="52" t="s">
        <v>53</v>
      </c>
      <c r="B6" s="34" t="s">
        <v>83</v>
      </c>
      <c r="C6" s="34" t="s">
        <v>58</v>
      </c>
      <c r="D6" s="34" t="s">
        <v>63</v>
      </c>
      <c r="E6" s="34" t="s">
        <v>83</v>
      </c>
      <c r="F6" s="34" t="s">
        <v>58</v>
      </c>
      <c r="G6" s="34" t="s">
        <v>63</v>
      </c>
    </row>
    <row r="7" spans="1:7" x14ac:dyDescent="0.45">
      <c r="A7" s="68" t="s">
        <v>162</v>
      </c>
      <c r="B7" s="68">
        <v>4109</v>
      </c>
      <c r="C7" s="68">
        <v>0</v>
      </c>
      <c r="D7" s="68">
        <v>4109</v>
      </c>
      <c r="E7" s="68">
        <v>11375961</v>
      </c>
      <c r="F7" s="68">
        <v>0</v>
      </c>
      <c r="G7" s="68">
        <v>11375961</v>
      </c>
    </row>
    <row r="8" spans="1:7" x14ac:dyDescent="0.45">
      <c r="A8" s="68" t="s">
        <v>160</v>
      </c>
      <c r="B8" s="68">
        <v>3195</v>
      </c>
      <c r="C8" s="68">
        <v>0</v>
      </c>
      <c r="D8" s="68">
        <v>3195</v>
      </c>
      <c r="E8" s="68">
        <v>3178890</v>
      </c>
      <c r="F8" s="68">
        <v>0</v>
      </c>
      <c r="G8" s="68">
        <v>3178890</v>
      </c>
    </row>
    <row r="9" spans="1:7" x14ac:dyDescent="0.45">
      <c r="A9" s="68" t="s">
        <v>161</v>
      </c>
      <c r="B9" s="68">
        <v>69276</v>
      </c>
      <c r="C9" s="68">
        <v>0</v>
      </c>
      <c r="D9" s="68">
        <v>69276</v>
      </c>
      <c r="E9" s="68">
        <v>462844</v>
      </c>
      <c r="F9" s="68">
        <v>0</v>
      </c>
      <c r="G9" s="68">
        <v>462844</v>
      </c>
    </row>
    <row r="10" spans="1:7" x14ac:dyDescent="0.45">
      <c r="A10" s="68" t="s">
        <v>164</v>
      </c>
      <c r="B10" s="68">
        <v>5185</v>
      </c>
      <c r="C10" s="68">
        <v>0</v>
      </c>
      <c r="D10" s="68">
        <v>5185</v>
      </c>
      <c r="E10" s="68">
        <v>4121878</v>
      </c>
      <c r="F10" s="68">
        <v>0</v>
      </c>
      <c r="G10" s="68">
        <v>4121878</v>
      </c>
    </row>
    <row r="11" spans="1:7" x14ac:dyDescent="0.45">
      <c r="A11" s="68" t="s">
        <v>163</v>
      </c>
      <c r="B11" s="68">
        <v>1715780000</v>
      </c>
      <c r="C11" s="68">
        <v>0</v>
      </c>
      <c r="D11" s="68">
        <v>1715780000</v>
      </c>
      <c r="E11" s="68">
        <v>17779487129</v>
      </c>
      <c r="F11" s="68">
        <v>0</v>
      </c>
      <c r="G11" s="68">
        <v>17779487129</v>
      </c>
    </row>
    <row r="12" spans="1:7" x14ac:dyDescent="0.45">
      <c r="A12" s="68" t="s">
        <v>165</v>
      </c>
      <c r="E12" s="68">
        <v>734322</v>
      </c>
      <c r="F12" s="68">
        <v>0</v>
      </c>
      <c r="G12" s="68">
        <v>734322</v>
      </c>
    </row>
    <row r="13" spans="1:7" x14ac:dyDescent="0.45">
      <c r="A13" s="68" t="s">
        <v>166</v>
      </c>
      <c r="E13" s="68">
        <v>328931</v>
      </c>
      <c r="F13" s="68">
        <v>0</v>
      </c>
      <c r="G13" s="68">
        <v>328931</v>
      </c>
    </row>
    <row r="14" spans="1:7" ht="18.75" thickBot="1" x14ac:dyDescent="0.5">
      <c r="A14" s="68" t="s">
        <v>2</v>
      </c>
      <c r="B14" s="70">
        <f t="shared" ref="B14:G14" si="0">SUM(B7:B13)</f>
        <v>1715861765</v>
      </c>
      <c r="C14" s="70">
        <f t="shared" si="0"/>
        <v>0</v>
      </c>
      <c r="D14" s="70">
        <f t="shared" si="0"/>
        <v>1715861765</v>
      </c>
      <c r="E14" s="70">
        <f t="shared" si="0"/>
        <v>17799689955</v>
      </c>
      <c r="F14" s="70">
        <f t="shared" si="0"/>
        <v>0</v>
      </c>
      <c r="G14" s="70">
        <f t="shared" si="0"/>
        <v>17799689955</v>
      </c>
    </row>
    <row r="15" spans="1:7" ht="18.75" thickTop="1" x14ac:dyDescent="0.45"/>
  </sheetData>
  <mergeCells count="6">
    <mergeCell ref="A1:G1"/>
    <mergeCell ref="A2:G2"/>
    <mergeCell ref="A3:G3"/>
    <mergeCell ref="A4:G4"/>
    <mergeCell ref="B5:D5"/>
    <mergeCell ref="E5:G5"/>
  </mergeCells>
  <pageMargins left="0.7" right="0.7" top="0.75" bottom="0.75" header="0.3" footer="0.3"/>
  <pageSetup scale="7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97"/>
  <sheetViews>
    <sheetView rightToLeft="1" view="pageBreakPreview" topLeftCell="A3" zoomScale="60" zoomScaleNormal="100" workbookViewId="0">
      <selection activeCell="S13" sqref="S13"/>
    </sheetView>
  </sheetViews>
  <sheetFormatPr defaultRowHeight="18" x14ac:dyDescent="0.45"/>
  <cols>
    <col min="1" max="1" width="34.7109375" style="10" customWidth="1"/>
    <col min="2" max="2" width="16.5703125" style="10" customWidth="1"/>
    <col min="3" max="3" width="19.85546875" style="10" customWidth="1"/>
    <col min="4" max="4" width="19.5703125" style="10" customWidth="1"/>
    <col min="5" max="5" width="20.7109375" style="10" customWidth="1"/>
    <col min="6" max="6" width="14.42578125" style="10" customWidth="1"/>
    <col min="7" max="7" width="20.5703125" style="10" customWidth="1"/>
    <col min="8" max="8" width="20.28515625" style="10" customWidth="1"/>
    <col min="9" max="9" width="23.140625" style="10" customWidth="1"/>
    <col min="10" max="16384" width="9.140625" style="10"/>
  </cols>
  <sheetData>
    <row r="1" spans="1:9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</row>
    <row r="2" spans="1:9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</row>
    <row r="3" spans="1:9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</row>
    <row r="4" spans="1:9" ht="21" x14ac:dyDescent="0.45">
      <c r="A4" s="105" t="s">
        <v>72</v>
      </c>
      <c r="B4" s="105"/>
      <c r="C4" s="105"/>
      <c r="D4" s="105"/>
      <c r="E4" s="105"/>
      <c r="F4" s="105"/>
      <c r="G4" s="105"/>
      <c r="H4" s="105"/>
      <c r="I4" s="105"/>
    </row>
    <row r="5" spans="1:9" ht="16.5" customHeight="1" thickBot="1" x14ac:dyDescent="0.5">
      <c r="B5" s="126" t="s">
        <v>136</v>
      </c>
      <c r="C5" s="126"/>
      <c r="D5" s="126"/>
      <c r="E5" s="126"/>
      <c r="F5" s="126" t="s">
        <v>158</v>
      </c>
      <c r="G5" s="126"/>
      <c r="H5" s="126"/>
      <c r="I5" s="126"/>
    </row>
    <row r="6" spans="1:9" ht="18.75" thickBot="1" x14ac:dyDescent="0.5">
      <c r="A6" s="53" t="s">
        <v>53</v>
      </c>
      <c r="B6" s="28" t="s">
        <v>3</v>
      </c>
      <c r="C6" s="30" t="s">
        <v>67</v>
      </c>
      <c r="D6" s="28" t="s">
        <v>65</v>
      </c>
      <c r="E6" s="35" t="s">
        <v>68</v>
      </c>
      <c r="F6" s="28" t="s">
        <v>3</v>
      </c>
      <c r="G6" s="30" t="s">
        <v>27</v>
      </c>
      <c r="H6" s="28" t="s">
        <v>65</v>
      </c>
      <c r="I6" s="35" t="s">
        <v>68</v>
      </c>
    </row>
    <row r="7" spans="1:9" x14ac:dyDescent="0.45">
      <c r="A7" s="68" t="s">
        <v>168</v>
      </c>
      <c r="B7" s="84">
        <v>0</v>
      </c>
      <c r="C7" s="84">
        <v>0</v>
      </c>
      <c r="D7" s="84">
        <v>0</v>
      </c>
      <c r="E7" s="84">
        <v>0</v>
      </c>
      <c r="F7" s="84">
        <v>2902774</v>
      </c>
      <c r="G7" s="84">
        <v>6006479169</v>
      </c>
      <c r="H7" s="84">
        <v>3851363545</v>
      </c>
      <c r="I7" s="84">
        <v>2155115624</v>
      </c>
    </row>
    <row r="8" spans="1:9" x14ac:dyDescent="0.45">
      <c r="A8" s="68" t="s">
        <v>169</v>
      </c>
      <c r="B8" s="84">
        <v>0</v>
      </c>
      <c r="C8" s="84">
        <v>0</v>
      </c>
      <c r="D8" s="84">
        <v>0</v>
      </c>
      <c r="E8" s="84">
        <v>0</v>
      </c>
      <c r="F8" s="84">
        <v>411</v>
      </c>
      <c r="G8" s="84">
        <v>1101466</v>
      </c>
      <c r="H8" s="84">
        <v>992650</v>
      </c>
      <c r="I8" s="84">
        <v>108816</v>
      </c>
    </row>
    <row r="9" spans="1:9" x14ac:dyDescent="0.45">
      <c r="A9" s="68" t="s">
        <v>170</v>
      </c>
      <c r="B9" s="84">
        <v>0</v>
      </c>
      <c r="C9" s="84">
        <v>0</v>
      </c>
      <c r="D9" s="84">
        <v>0</v>
      </c>
      <c r="E9" s="84">
        <v>0</v>
      </c>
      <c r="F9" s="84">
        <v>1000000</v>
      </c>
      <c r="G9" s="84">
        <v>4284006369</v>
      </c>
      <c r="H9" s="84">
        <v>3549955462</v>
      </c>
      <c r="I9" s="84">
        <v>734050907</v>
      </c>
    </row>
    <row r="10" spans="1:9" x14ac:dyDescent="0.45">
      <c r="A10" s="68" t="s">
        <v>171</v>
      </c>
      <c r="B10" s="84">
        <v>0</v>
      </c>
      <c r="C10" s="84">
        <v>0</v>
      </c>
      <c r="D10" s="84">
        <v>0</v>
      </c>
      <c r="E10" s="84">
        <v>0</v>
      </c>
      <c r="F10" s="84">
        <v>1134242</v>
      </c>
      <c r="G10" s="84">
        <v>5966628419</v>
      </c>
      <c r="H10" s="84">
        <v>5734888175</v>
      </c>
      <c r="I10" s="84">
        <v>231740244</v>
      </c>
    </row>
    <row r="11" spans="1:9" x14ac:dyDescent="0.45">
      <c r="A11" s="68" t="s">
        <v>172</v>
      </c>
      <c r="B11" s="84">
        <v>0</v>
      </c>
      <c r="C11" s="84">
        <v>0</v>
      </c>
      <c r="D11" s="84">
        <v>0</v>
      </c>
      <c r="E11" s="84">
        <v>0</v>
      </c>
      <c r="F11" s="84">
        <v>202395</v>
      </c>
      <c r="G11" s="84">
        <v>307531647</v>
      </c>
      <c r="H11" s="84">
        <v>263370866</v>
      </c>
      <c r="I11" s="84">
        <v>44160781</v>
      </c>
    </row>
    <row r="12" spans="1:9" x14ac:dyDescent="0.45">
      <c r="A12" s="68" t="s">
        <v>173</v>
      </c>
      <c r="B12" s="84">
        <v>0</v>
      </c>
      <c r="C12" s="84">
        <v>0</v>
      </c>
      <c r="D12" s="84">
        <v>0</v>
      </c>
      <c r="E12" s="84">
        <v>0</v>
      </c>
      <c r="F12" s="84">
        <v>15118</v>
      </c>
      <c r="G12" s="84">
        <v>1570544571</v>
      </c>
      <c r="H12" s="84">
        <v>1359504255</v>
      </c>
      <c r="I12" s="84">
        <v>211040316</v>
      </c>
    </row>
    <row r="13" spans="1:9" x14ac:dyDescent="0.45">
      <c r="A13" s="68" t="s">
        <v>174</v>
      </c>
      <c r="B13" s="84">
        <v>0</v>
      </c>
      <c r="C13" s="84">
        <v>0</v>
      </c>
      <c r="D13" s="84">
        <v>0</v>
      </c>
      <c r="E13" s="84">
        <v>0</v>
      </c>
      <c r="F13" s="84">
        <v>14400000</v>
      </c>
      <c r="G13" s="84">
        <v>20314924338</v>
      </c>
      <c r="H13" s="84">
        <v>18332359372</v>
      </c>
      <c r="I13" s="84">
        <v>1982564966</v>
      </c>
    </row>
    <row r="14" spans="1:9" x14ac:dyDescent="0.45">
      <c r="A14" s="68" t="s">
        <v>175</v>
      </c>
      <c r="B14" s="84">
        <v>0</v>
      </c>
      <c r="C14" s="84">
        <v>0</v>
      </c>
      <c r="D14" s="84">
        <v>0</v>
      </c>
      <c r="E14" s="84">
        <v>0</v>
      </c>
      <c r="F14" s="84">
        <v>1074274</v>
      </c>
      <c r="G14" s="84">
        <v>32245588631</v>
      </c>
      <c r="H14" s="84">
        <v>29810271152</v>
      </c>
      <c r="I14" s="84">
        <v>2435317479</v>
      </c>
    </row>
    <row r="15" spans="1:9" x14ac:dyDescent="0.45">
      <c r="A15" s="68" t="s">
        <v>176</v>
      </c>
      <c r="B15" s="84">
        <v>0</v>
      </c>
      <c r="C15" s="84">
        <v>0</v>
      </c>
      <c r="D15" s="84">
        <v>0</v>
      </c>
      <c r="E15" s="84">
        <v>0</v>
      </c>
      <c r="F15" s="84">
        <v>42800000</v>
      </c>
      <c r="G15" s="84">
        <v>22012078684</v>
      </c>
      <c r="H15" s="84">
        <v>22064287788</v>
      </c>
      <c r="I15" s="84">
        <v>-52209104</v>
      </c>
    </row>
    <row r="16" spans="1:9" x14ac:dyDescent="0.45">
      <c r="A16" s="68" t="s">
        <v>177</v>
      </c>
      <c r="B16" s="84">
        <v>11191</v>
      </c>
      <c r="C16" s="84">
        <v>482985592</v>
      </c>
      <c r="D16" s="84">
        <v>641380377</v>
      </c>
      <c r="E16" s="84">
        <v>-158394785</v>
      </c>
      <c r="F16" s="84">
        <v>1129112</v>
      </c>
      <c r="G16" s="84">
        <v>62886013836</v>
      </c>
      <c r="H16" s="84">
        <v>58753227422</v>
      </c>
      <c r="I16" s="84">
        <v>4132786414</v>
      </c>
    </row>
    <row r="17" spans="1:9" x14ac:dyDescent="0.45">
      <c r="A17" s="68" t="s">
        <v>178</v>
      </c>
      <c r="B17" s="84">
        <v>0</v>
      </c>
      <c r="C17" s="84">
        <v>0</v>
      </c>
      <c r="D17" s="84">
        <v>0</v>
      </c>
      <c r="E17" s="84">
        <v>0</v>
      </c>
      <c r="F17" s="84">
        <v>1600000</v>
      </c>
      <c r="G17" s="84">
        <v>2982545370</v>
      </c>
      <c r="H17" s="84">
        <v>3187487570</v>
      </c>
      <c r="I17" s="84">
        <v>-204942200</v>
      </c>
    </row>
    <row r="18" spans="1:9" x14ac:dyDescent="0.45">
      <c r="A18" s="68" t="s">
        <v>179</v>
      </c>
      <c r="B18" s="84">
        <v>0</v>
      </c>
      <c r="C18" s="84">
        <v>0</v>
      </c>
      <c r="D18" s="84">
        <v>0</v>
      </c>
      <c r="E18" s="84">
        <v>0</v>
      </c>
      <c r="F18" s="84">
        <v>198085</v>
      </c>
      <c r="G18" s="84">
        <v>51727620588</v>
      </c>
      <c r="H18" s="84">
        <v>39537846094</v>
      </c>
      <c r="I18" s="84">
        <v>12189774494</v>
      </c>
    </row>
    <row r="19" spans="1:9" x14ac:dyDescent="0.45">
      <c r="A19" s="68" t="s">
        <v>180</v>
      </c>
      <c r="B19" s="84">
        <v>0</v>
      </c>
      <c r="C19" s="84">
        <v>0</v>
      </c>
      <c r="D19" s="84">
        <v>0</v>
      </c>
      <c r="E19" s="84">
        <v>0</v>
      </c>
      <c r="F19" s="84">
        <v>5003951</v>
      </c>
      <c r="G19" s="84">
        <v>40933056399</v>
      </c>
      <c r="H19" s="84">
        <v>41554477812</v>
      </c>
      <c r="I19" s="84">
        <v>-621421413</v>
      </c>
    </row>
    <row r="20" spans="1:9" x14ac:dyDescent="0.45">
      <c r="A20" s="68" t="s">
        <v>181</v>
      </c>
      <c r="B20" s="84">
        <v>0</v>
      </c>
      <c r="C20" s="84">
        <v>0</v>
      </c>
      <c r="D20" s="84">
        <v>0</v>
      </c>
      <c r="E20" s="84">
        <v>0</v>
      </c>
      <c r="F20" s="84">
        <v>4728850</v>
      </c>
      <c r="G20" s="84">
        <v>28203660611</v>
      </c>
      <c r="H20" s="84">
        <v>23510092208</v>
      </c>
      <c r="I20" s="84">
        <v>4693568403</v>
      </c>
    </row>
    <row r="21" spans="1:9" x14ac:dyDescent="0.45">
      <c r="A21" s="68" t="s">
        <v>182</v>
      </c>
      <c r="B21" s="84">
        <v>165077</v>
      </c>
      <c r="C21" s="84">
        <v>1520180862</v>
      </c>
      <c r="D21" s="84">
        <v>1749033491</v>
      </c>
      <c r="E21" s="84">
        <v>-228852629</v>
      </c>
      <c r="F21" s="84">
        <v>5614263</v>
      </c>
      <c r="G21" s="84">
        <v>87401990190</v>
      </c>
      <c r="H21" s="84">
        <v>65584346021</v>
      </c>
      <c r="I21" s="84">
        <v>21817644169</v>
      </c>
    </row>
    <row r="22" spans="1:9" x14ac:dyDescent="0.45">
      <c r="A22" s="68" t="s">
        <v>183</v>
      </c>
      <c r="B22" s="84">
        <v>0</v>
      </c>
      <c r="C22" s="84">
        <v>0</v>
      </c>
      <c r="D22" s="84">
        <v>0</v>
      </c>
      <c r="E22" s="84">
        <v>0</v>
      </c>
      <c r="F22" s="84">
        <v>200000</v>
      </c>
      <c r="G22" s="84">
        <v>5291690299</v>
      </c>
      <c r="H22" s="84">
        <v>4664218559</v>
      </c>
      <c r="I22" s="84">
        <v>627471740</v>
      </c>
    </row>
    <row r="23" spans="1:9" x14ac:dyDescent="0.45">
      <c r="A23" s="68" t="s">
        <v>184</v>
      </c>
      <c r="B23" s="84">
        <v>0</v>
      </c>
      <c r="C23" s="84">
        <v>0</v>
      </c>
      <c r="D23" s="84">
        <v>0</v>
      </c>
      <c r="E23" s="84">
        <v>0</v>
      </c>
      <c r="F23" s="84">
        <v>879966</v>
      </c>
      <c r="G23" s="84">
        <v>8614396419</v>
      </c>
      <c r="H23" s="84">
        <v>5498509005</v>
      </c>
      <c r="I23" s="84">
        <v>3115887414</v>
      </c>
    </row>
    <row r="24" spans="1:9" x14ac:dyDescent="0.45">
      <c r="A24" s="68" t="s">
        <v>185</v>
      </c>
      <c r="B24" s="84">
        <v>0</v>
      </c>
      <c r="C24" s="84">
        <v>0</v>
      </c>
      <c r="D24" s="84">
        <v>0</v>
      </c>
      <c r="E24" s="84">
        <v>0</v>
      </c>
      <c r="F24" s="84">
        <v>1400000</v>
      </c>
      <c r="G24" s="84">
        <v>8712404671</v>
      </c>
      <c r="H24" s="84">
        <v>7757896707</v>
      </c>
      <c r="I24" s="84">
        <v>954507964</v>
      </c>
    </row>
    <row r="25" spans="1:9" x14ac:dyDescent="0.45">
      <c r="A25" s="68" t="s">
        <v>186</v>
      </c>
      <c r="B25" s="84">
        <v>0</v>
      </c>
      <c r="C25" s="84">
        <v>0</v>
      </c>
      <c r="D25" s="84">
        <v>0</v>
      </c>
      <c r="E25" s="84">
        <v>0</v>
      </c>
      <c r="F25" s="84">
        <v>6533426</v>
      </c>
      <c r="G25" s="84">
        <v>63648133916</v>
      </c>
      <c r="H25" s="84">
        <v>53628688450</v>
      </c>
      <c r="I25" s="84">
        <v>10019445466</v>
      </c>
    </row>
    <row r="26" spans="1:9" x14ac:dyDescent="0.45">
      <c r="A26" s="68" t="s">
        <v>187</v>
      </c>
      <c r="B26" s="84">
        <v>38754</v>
      </c>
      <c r="C26" s="84">
        <v>895738701</v>
      </c>
      <c r="D26" s="84">
        <v>823151801</v>
      </c>
      <c r="E26" s="84">
        <v>72586900</v>
      </c>
      <c r="F26" s="84">
        <v>3684441</v>
      </c>
      <c r="G26" s="84">
        <v>93115183242</v>
      </c>
      <c r="H26" s="84">
        <v>77491824990</v>
      </c>
      <c r="I26" s="84">
        <v>15623358252</v>
      </c>
    </row>
    <row r="27" spans="1:9" x14ac:dyDescent="0.45">
      <c r="A27" s="68" t="s">
        <v>188</v>
      </c>
      <c r="B27" s="84">
        <v>400000</v>
      </c>
      <c r="C27" s="84">
        <v>1026405316</v>
      </c>
      <c r="D27" s="84">
        <v>1183313739</v>
      </c>
      <c r="E27" s="84">
        <v>-156908423</v>
      </c>
      <c r="F27" s="84">
        <v>827348</v>
      </c>
      <c r="G27" s="84">
        <v>2364035799</v>
      </c>
      <c r="H27" s="84">
        <v>2445652810</v>
      </c>
      <c r="I27" s="84">
        <v>-81617011</v>
      </c>
    </row>
    <row r="28" spans="1:9" x14ac:dyDescent="0.45">
      <c r="A28" s="68" t="s">
        <v>189</v>
      </c>
      <c r="B28" s="84">
        <v>0</v>
      </c>
      <c r="C28" s="84">
        <v>0</v>
      </c>
      <c r="D28" s="84">
        <v>0</v>
      </c>
      <c r="E28" s="84">
        <v>0</v>
      </c>
      <c r="F28" s="84">
        <v>324703</v>
      </c>
      <c r="G28" s="84">
        <v>4351143893</v>
      </c>
      <c r="H28" s="84">
        <v>3998814252</v>
      </c>
      <c r="I28" s="84">
        <v>352329641</v>
      </c>
    </row>
    <row r="29" spans="1:9" x14ac:dyDescent="0.45">
      <c r="A29" s="68" t="s">
        <v>190</v>
      </c>
      <c r="B29" s="84">
        <v>0</v>
      </c>
      <c r="C29" s="84">
        <v>0</v>
      </c>
      <c r="D29" s="84">
        <v>0</v>
      </c>
      <c r="E29" s="84">
        <v>0</v>
      </c>
      <c r="F29" s="84">
        <v>2800000</v>
      </c>
      <c r="G29" s="84">
        <v>8013502058</v>
      </c>
      <c r="H29" s="84">
        <v>10180454511</v>
      </c>
      <c r="I29" s="84">
        <v>-2166952453</v>
      </c>
    </row>
    <row r="30" spans="1:9" x14ac:dyDescent="0.45">
      <c r="A30" s="68" t="s">
        <v>191</v>
      </c>
      <c r="B30" s="84">
        <v>0</v>
      </c>
      <c r="C30" s="84">
        <v>0</v>
      </c>
      <c r="D30" s="84">
        <v>0</v>
      </c>
      <c r="E30" s="84">
        <v>0</v>
      </c>
      <c r="F30" s="84">
        <v>22712413</v>
      </c>
      <c r="G30" s="84">
        <v>38101787729</v>
      </c>
      <c r="H30" s="84">
        <v>35226488598</v>
      </c>
      <c r="I30" s="84">
        <v>2875299131</v>
      </c>
    </row>
    <row r="31" spans="1:9" x14ac:dyDescent="0.45">
      <c r="A31" s="68" t="s">
        <v>192</v>
      </c>
      <c r="B31" s="84">
        <v>0</v>
      </c>
      <c r="C31" s="84">
        <v>0</v>
      </c>
      <c r="D31" s="84">
        <v>0</v>
      </c>
      <c r="E31" s="84">
        <v>0</v>
      </c>
      <c r="F31" s="84">
        <v>2925551</v>
      </c>
      <c r="G31" s="84">
        <v>45800799897</v>
      </c>
      <c r="H31" s="84">
        <v>45671754464</v>
      </c>
      <c r="I31" s="84">
        <v>129045433</v>
      </c>
    </row>
    <row r="32" spans="1:9" x14ac:dyDescent="0.45">
      <c r="A32" s="68" t="s">
        <v>193</v>
      </c>
      <c r="B32" s="84">
        <v>19848213</v>
      </c>
      <c r="C32" s="84">
        <v>8469082141</v>
      </c>
      <c r="D32" s="84">
        <v>13683228869</v>
      </c>
      <c r="E32" s="84">
        <v>-5214146728</v>
      </c>
      <c r="F32" s="84">
        <v>39048213</v>
      </c>
      <c r="G32" s="84">
        <v>18316473993</v>
      </c>
      <c r="H32" s="84">
        <v>26906691932</v>
      </c>
      <c r="I32" s="84">
        <v>-8590217939</v>
      </c>
    </row>
    <row r="33" spans="1:9" x14ac:dyDescent="0.45">
      <c r="A33" s="68" t="s">
        <v>194</v>
      </c>
      <c r="B33" s="84">
        <v>0</v>
      </c>
      <c r="C33" s="84">
        <v>0</v>
      </c>
      <c r="D33" s="84">
        <v>0</v>
      </c>
      <c r="E33" s="84">
        <v>0</v>
      </c>
      <c r="F33" s="84">
        <v>3481452</v>
      </c>
      <c r="G33" s="84">
        <v>16836507223</v>
      </c>
      <c r="H33" s="84">
        <v>17643593631</v>
      </c>
      <c r="I33" s="84">
        <v>-807086408</v>
      </c>
    </row>
    <row r="34" spans="1:9" x14ac:dyDescent="0.45">
      <c r="A34" s="68" t="s">
        <v>195</v>
      </c>
      <c r="B34" s="84">
        <v>300000</v>
      </c>
      <c r="C34" s="84">
        <v>3678928106</v>
      </c>
      <c r="D34" s="84">
        <v>4020520210</v>
      </c>
      <c r="E34" s="84">
        <v>-341592104</v>
      </c>
      <c r="F34" s="84">
        <v>2215970</v>
      </c>
      <c r="G34" s="84">
        <v>33066112054</v>
      </c>
      <c r="H34" s="84">
        <v>28646197017</v>
      </c>
      <c r="I34" s="84">
        <v>4419915037</v>
      </c>
    </row>
    <row r="35" spans="1:9" x14ac:dyDescent="0.45">
      <c r="A35" s="68" t="s">
        <v>196</v>
      </c>
      <c r="B35" s="84">
        <v>0</v>
      </c>
      <c r="C35" s="84">
        <v>0</v>
      </c>
      <c r="D35" s="84">
        <v>0</v>
      </c>
      <c r="E35" s="84">
        <v>0</v>
      </c>
      <c r="F35" s="84">
        <v>13800006</v>
      </c>
      <c r="G35" s="84">
        <v>55960581029</v>
      </c>
      <c r="H35" s="84">
        <v>59921908185</v>
      </c>
      <c r="I35" s="84">
        <v>-3961327156</v>
      </c>
    </row>
    <row r="36" spans="1:9" x14ac:dyDescent="0.45">
      <c r="A36" s="68" t="s">
        <v>197</v>
      </c>
      <c r="B36" s="84">
        <v>0</v>
      </c>
      <c r="C36" s="84">
        <v>0</v>
      </c>
      <c r="D36" s="84">
        <v>0</v>
      </c>
      <c r="E36" s="84">
        <v>0</v>
      </c>
      <c r="F36" s="84">
        <v>50075</v>
      </c>
      <c r="G36" s="84">
        <v>6692430562</v>
      </c>
      <c r="H36" s="84">
        <v>5728220250</v>
      </c>
      <c r="I36" s="84">
        <v>964210312</v>
      </c>
    </row>
    <row r="37" spans="1:9" x14ac:dyDescent="0.45">
      <c r="A37" s="68" t="s">
        <v>198</v>
      </c>
      <c r="B37" s="84">
        <v>200000</v>
      </c>
      <c r="C37" s="84">
        <v>7020607651</v>
      </c>
      <c r="D37" s="84">
        <v>6132268920</v>
      </c>
      <c r="E37" s="84">
        <v>888338731</v>
      </c>
      <c r="F37" s="84">
        <v>504007</v>
      </c>
      <c r="G37" s="84">
        <v>16454824073</v>
      </c>
      <c r="H37" s="84">
        <v>14754892341</v>
      </c>
      <c r="I37" s="84">
        <v>1699931732</v>
      </c>
    </row>
    <row r="38" spans="1:9" x14ac:dyDescent="0.45">
      <c r="A38" s="68" t="s">
        <v>199</v>
      </c>
      <c r="B38" s="84">
        <v>0</v>
      </c>
      <c r="C38" s="84">
        <v>0</v>
      </c>
      <c r="D38" s="84">
        <v>0</v>
      </c>
      <c r="E38" s="84">
        <v>0</v>
      </c>
      <c r="F38" s="84">
        <v>10810714</v>
      </c>
      <c r="G38" s="84">
        <v>75431288688</v>
      </c>
      <c r="H38" s="84">
        <v>80797962603</v>
      </c>
      <c r="I38" s="84">
        <v>-5366673915</v>
      </c>
    </row>
    <row r="39" spans="1:9" x14ac:dyDescent="0.45">
      <c r="A39" s="68" t="s">
        <v>200</v>
      </c>
      <c r="B39" s="84">
        <v>1600000</v>
      </c>
      <c r="C39" s="84">
        <v>3397532504</v>
      </c>
      <c r="D39" s="84">
        <v>3587312471</v>
      </c>
      <c r="E39" s="84">
        <v>-189779967</v>
      </c>
      <c r="F39" s="84">
        <v>14127149</v>
      </c>
      <c r="G39" s="84">
        <v>30287539591</v>
      </c>
      <c r="H39" s="84">
        <v>26876561525</v>
      </c>
      <c r="I39" s="84">
        <v>3410978066</v>
      </c>
    </row>
    <row r="40" spans="1:9" x14ac:dyDescent="0.45">
      <c r="A40" s="68" t="s">
        <v>201</v>
      </c>
      <c r="B40" s="84">
        <v>0</v>
      </c>
      <c r="C40" s="84">
        <v>0</v>
      </c>
      <c r="D40" s="84">
        <v>0</v>
      </c>
      <c r="E40" s="84">
        <v>0</v>
      </c>
      <c r="F40" s="84">
        <v>1141455</v>
      </c>
      <c r="G40" s="84">
        <v>19033059467</v>
      </c>
      <c r="H40" s="84">
        <v>20279407945</v>
      </c>
      <c r="I40" s="84">
        <v>-1246348478</v>
      </c>
    </row>
    <row r="41" spans="1:9" x14ac:dyDescent="0.45">
      <c r="A41" s="68" t="s">
        <v>202</v>
      </c>
      <c r="B41" s="84">
        <v>0</v>
      </c>
      <c r="C41" s="84">
        <v>0</v>
      </c>
      <c r="D41" s="84">
        <v>0</v>
      </c>
      <c r="E41" s="84">
        <v>0</v>
      </c>
      <c r="F41" s="84">
        <v>1160494</v>
      </c>
      <c r="G41" s="84">
        <v>7694151589</v>
      </c>
      <c r="H41" s="84">
        <v>8105779941</v>
      </c>
      <c r="I41" s="84">
        <v>-411628352</v>
      </c>
    </row>
    <row r="42" spans="1:9" x14ac:dyDescent="0.45">
      <c r="A42" s="68" t="s">
        <v>203</v>
      </c>
      <c r="B42" s="84">
        <v>200000</v>
      </c>
      <c r="C42" s="84">
        <v>1196677632</v>
      </c>
      <c r="D42" s="84">
        <v>816842707</v>
      </c>
      <c r="E42" s="84">
        <v>379834925</v>
      </c>
      <c r="F42" s="84">
        <v>11029854</v>
      </c>
      <c r="G42" s="84">
        <v>55774004415</v>
      </c>
      <c r="H42" s="84">
        <v>45205094408</v>
      </c>
      <c r="I42" s="84">
        <v>10568910007</v>
      </c>
    </row>
    <row r="43" spans="1:9" x14ac:dyDescent="0.45">
      <c r="A43" s="68" t="s">
        <v>204</v>
      </c>
      <c r="B43" s="84">
        <v>0</v>
      </c>
      <c r="C43" s="84">
        <v>0</v>
      </c>
      <c r="D43" s="84">
        <v>0</v>
      </c>
      <c r="E43" s="84">
        <v>0</v>
      </c>
      <c r="F43" s="84">
        <v>1100000</v>
      </c>
      <c r="G43" s="84">
        <v>19574778400</v>
      </c>
      <c r="H43" s="84">
        <v>21960690466</v>
      </c>
      <c r="I43" s="84">
        <v>-2385912066</v>
      </c>
    </row>
    <row r="44" spans="1:9" x14ac:dyDescent="0.45">
      <c r="A44" s="68" t="s">
        <v>205</v>
      </c>
      <c r="B44" s="84">
        <v>400000</v>
      </c>
      <c r="C44" s="84">
        <v>3433804816</v>
      </c>
      <c r="D44" s="84">
        <v>2613674623</v>
      </c>
      <c r="E44" s="84">
        <v>820130193</v>
      </c>
      <c r="F44" s="84">
        <v>2062188</v>
      </c>
      <c r="G44" s="84">
        <v>17396034011</v>
      </c>
      <c r="H44" s="84">
        <v>13482171411</v>
      </c>
      <c r="I44" s="84">
        <v>3913862600</v>
      </c>
    </row>
    <row r="45" spans="1:9" x14ac:dyDescent="0.45">
      <c r="A45" s="68" t="s">
        <v>206</v>
      </c>
      <c r="B45" s="84">
        <v>200000</v>
      </c>
      <c r="C45" s="84">
        <v>1270985901</v>
      </c>
      <c r="D45" s="84">
        <v>1118217852</v>
      </c>
      <c r="E45" s="84">
        <v>152768049</v>
      </c>
      <c r="F45" s="84">
        <v>7052019</v>
      </c>
      <c r="G45" s="84">
        <v>41260164054</v>
      </c>
      <c r="H45" s="84">
        <v>38920847738</v>
      </c>
      <c r="I45" s="84">
        <v>2339316316</v>
      </c>
    </row>
    <row r="46" spans="1:9" x14ac:dyDescent="0.45">
      <c r="A46" s="68" t="s">
        <v>207</v>
      </c>
      <c r="B46" s="84">
        <v>0</v>
      </c>
      <c r="C46" s="84">
        <v>0</v>
      </c>
      <c r="D46" s="84">
        <v>0</v>
      </c>
      <c r="E46" s="84">
        <v>0</v>
      </c>
      <c r="F46" s="84">
        <v>1415474</v>
      </c>
      <c r="G46" s="84">
        <v>31359956929</v>
      </c>
      <c r="H46" s="84">
        <v>24496689627</v>
      </c>
      <c r="I46" s="84">
        <v>6863267302</v>
      </c>
    </row>
    <row r="47" spans="1:9" x14ac:dyDescent="0.45">
      <c r="A47" s="68" t="s">
        <v>208</v>
      </c>
      <c r="B47" s="84">
        <v>0</v>
      </c>
      <c r="C47" s="84">
        <v>0</v>
      </c>
      <c r="D47" s="84">
        <v>0</v>
      </c>
      <c r="E47" s="84">
        <v>0</v>
      </c>
      <c r="F47" s="84">
        <v>2200000</v>
      </c>
      <c r="G47" s="84">
        <v>18870261630</v>
      </c>
      <c r="H47" s="84">
        <v>15287092277</v>
      </c>
      <c r="I47" s="84">
        <v>3583169353</v>
      </c>
    </row>
    <row r="48" spans="1:9" x14ac:dyDescent="0.45">
      <c r="A48" s="68" t="s">
        <v>209</v>
      </c>
      <c r="B48" s="84">
        <v>0</v>
      </c>
      <c r="C48" s="84">
        <v>0</v>
      </c>
      <c r="D48" s="84">
        <v>0</v>
      </c>
      <c r="E48" s="84">
        <v>0</v>
      </c>
      <c r="F48" s="84">
        <v>4260000</v>
      </c>
      <c r="G48" s="84">
        <v>14770469820</v>
      </c>
      <c r="H48" s="84">
        <v>14466092181</v>
      </c>
      <c r="I48" s="84">
        <v>304377639</v>
      </c>
    </row>
    <row r="49" spans="1:9" x14ac:dyDescent="0.45">
      <c r="A49" s="68" t="s">
        <v>210</v>
      </c>
      <c r="B49" s="84">
        <v>0</v>
      </c>
      <c r="C49" s="84">
        <v>0</v>
      </c>
      <c r="D49" s="84">
        <v>0</v>
      </c>
      <c r="E49" s="84">
        <v>0</v>
      </c>
      <c r="F49" s="84">
        <v>2000000</v>
      </c>
      <c r="G49" s="84">
        <v>13965387709</v>
      </c>
      <c r="H49" s="84">
        <v>13019378180</v>
      </c>
      <c r="I49" s="84">
        <v>946009529</v>
      </c>
    </row>
    <row r="50" spans="1:9" x14ac:dyDescent="0.45">
      <c r="A50" s="68" t="s">
        <v>211</v>
      </c>
      <c r="B50" s="84">
        <v>114412</v>
      </c>
      <c r="C50" s="84">
        <v>619551260</v>
      </c>
      <c r="D50" s="84">
        <v>504695139</v>
      </c>
      <c r="E50" s="84">
        <v>114856121</v>
      </c>
      <c r="F50" s="84">
        <v>8303095</v>
      </c>
      <c r="G50" s="84">
        <v>42265112647</v>
      </c>
      <c r="H50" s="84">
        <v>33185142199</v>
      </c>
      <c r="I50" s="84">
        <v>9079970448</v>
      </c>
    </row>
    <row r="51" spans="1:9" x14ac:dyDescent="0.45">
      <c r="A51" s="68" t="s">
        <v>212</v>
      </c>
      <c r="B51" s="84">
        <v>0</v>
      </c>
      <c r="C51" s="84">
        <v>0</v>
      </c>
      <c r="D51" s="84">
        <v>0</v>
      </c>
      <c r="E51" s="84">
        <v>0</v>
      </c>
      <c r="F51" s="84">
        <v>5762092</v>
      </c>
      <c r="G51" s="84">
        <v>14310529866</v>
      </c>
      <c r="H51" s="84">
        <v>13872657815</v>
      </c>
      <c r="I51" s="84">
        <v>437872051</v>
      </c>
    </row>
    <row r="52" spans="1:9" x14ac:dyDescent="0.45">
      <c r="A52" s="68" t="s">
        <v>213</v>
      </c>
      <c r="B52" s="84">
        <v>0</v>
      </c>
      <c r="C52" s="84">
        <v>0</v>
      </c>
      <c r="D52" s="84">
        <v>0</v>
      </c>
      <c r="E52" s="84">
        <v>0</v>
      </c>
      <c r="F52" s="84">
        <v>26868176</v>
      </c>
      <c r="G52" s="84">
        <v>108674319279</v>
      </c>
      <c r="H52" s="84">
        <v>95734327617</v>
      </c>
      <c r="I52" s="84">
        <v>12939991662</v>
      </c>
    </row>
    <row r="53" spans="1:9" x14ac:dyDescent="0.45">
      <c r="A53" s="68" t="s">
        <v>214</v>
      </c>
      <c r="B53" s="84">
        <v>0</v>
      </c>
      <c r="C53" s="84">
        <v>0</v>
      </c>
      <c r="D53" s="84">
        <v>0</v>
      </c>
      <c r="E53" s="84">
        <v>0</v>
      </c>
      <c r="F53" s="84">
        <v>1186353</v>
      </c>
      <c r="G53" s="84">
        <v>60228986918</v>
      </c>
      <c r="H53" s="84">
        <v>56481474431</v>
      </c>
      <c r="I53" s="84">
        <v>3747512487</v>
      </c>
    </row>
    <row r="54" spans="1:9" x14ac:dyDescent="0.45">
      <c r="A54" s="68" t="s">
        <v>215</v>
      </c>
      <c r="B54" s="84">
        <v>0</v>
      </c>
      <c r="C54" s="84">
        <v>0</v>
      </c>
      <c r="D54" s="84">
        <v>0</v>
      </c>
      <c r="E54" s="84">
        <v>0</v>
      </c>
      <c r="F54" s="84">
        <v>224981</v>
      </c>
      <c r="G54" s="84">
        <v>7643282208</v>
      </c>
      <c r="H54" s="84">
        <v>7590497238</v>
      </c>
      <c r="I54" s="84">
        <v>52784970</v>
      </c>
    </row>
    <row r="55" spans="1:9" x14ac:dyDescent="0.45">
      <c r="A55" s="68" t="s">
        <v>216</v>
      </c>
      <c r="B55" s="84">
        <v>0</v>
      </c>
      <c r="C55" s="84">
        <v>0</v>
      </c>
      <c r="D55" s="84">
        <v>0</v>
      </c>
      <c r="E55" s="84">
        <v>0</v>
      </c>
      <c r="F55" s="84">
        <v>1800000</v>
      </c>
      <c r="G55" s="84">
        <v>23201780175</v>
      </c>
      <c r="H55" s="84">
        <v>18164036156</v>
      </c>
      <c r="I55" s="84">
        <v>5037744019</v>
      </c>
    </row>
    <row r="56" spans="1:9" x14ac:dyDescent="0.45">
      <c r="A56" s="68" t="s">
        <v>217</v>
      </c>
      <c r="B56" s="84">
        <v>110985</v>
      </c>
      <c r="C56" s="84">
        <v>376545694</v>
      </c>
      <c r="D56" s="84">
        <v>280093151</v>
      </c>
      <c r="E56" s="84">
        <v>96452543</v>
      </c>
      <c r="F56" s="84">
        <v>1450394</v>
      </c>
      <c r="G56" s="84">
        <v>5873745756</v>
      </c>
      <c r="H56" s="84">
        <v>4327292471</v>
      </c>
      <c r="I56" s="84">
        <v>1546453285</v>
      </c>
    </row>
    <row r="57" spans="1:9" x14ac:dyDescent="0.45">
      <c r="A57" s="68" t="s">
        <v>218</v>
      </c>
      <c r="B57" s="84">
        <v>0</v>
      </c>
      <c r="C57" s="84">
        <v>0</v>
      </c>
      <c r="D57" s="84">
        <v>0</v>
      </c>
      <c r="E57" s="84">
        <v>0</v>
      </c>
      <c r="F57" s="84">
        <v>7990687</v>
      </c>
      <c r="G57" s="84">
        <v>11237999633</v>
      </c>
      <c r="H57" s="84">
        <v>11463139623</v>
      </c>
      <c r="I57" s="84">
        <v>-225139990</v>
      </c>
    </row>
    <row r="58" spans="1:9" x14ac:dyDescent="0.45">
      <c r="A58" s="68" t="s">
        <v>219</v>
      </c>
      <c r="B58" s="84">
        <v>400000</v>
      </c>
      <c r="C58" s="84">
        <v>1616299152</v>
      </c>
      <c r="D58" s="84">
        <v>1005740874</v>
      </c>
      <c r="E58" s="84">
        <v>610558278</v>
      </c>
      <c r="F58" s="84">
        <v>2400000</v>
      </c>
      <c r="G58" s="84">
        <v>8970478964</v>
      </c>
      <c r="H58" s="84">
        <v>5350164845</v>
      </c>
      <c r="I58" s="84">
        <v>3620314119</v>
      </c>
    </row>
    <row r="59" spans="1:9" x14ac:dyDescent="0.45">
      <c r="A59" s="68" t="s">
        <v>220</v>
      </c>
      <c r="B59" s="84">
        <v>400000</v>
      </c>
      <c r="C59" s="84">
        <v>1275662324</v>
      </c>
      <c r="D59" s="84">
        <v>1444609112</v>
      </c>
      <c r="E59" s="84">
        <v>-168946788</v>
      </c>
      <c r="F59" s="84">
        <v>5465775</v>
      </c>
      <c r="G59" s="84">
        <v>20525455302</v>
      </c>
      <c r="H59" s="84">
        <v>18633013514</v>
      </c>
      <c r="I59" s="84">
        <v>1892441788</v>
      </c>
    </row>
    <row r="60" spans="1:9" x14ac:dyDescent="0.45">
      <c r="A60" s="68" t="s">
        <v>221</v>
      </c>
      <c r="B60" s="84">
        <v>3200000</v>
      </c>
      <c r="C60" s="84">
        <v>6200384234</v>
      </c>
      <c r="D60" s="84">
        <v>6806471230</v>
      </c>
      <c r="E60" s="84">
        <v>-606086996</v>
      </c>
      <c r="F60" s="84">
        <v>11942273</v>
      </c>
      <c r="G60" s="84">
        <v>25412046839</v>
      </c>
      <c r="H60" s="84">
        <v>25194259030</v>
      </c>
      <c r="I60" s="84">
        <v>217787809</v>
      </c>
    </row>
    <row r="61" spans="1:9" x14ac:dyDescent="0.45">
      <c r="A61" s="68" t="s">
        <v>222</v>
      </c>
      <c r="B61" s="84">
        <v>0</v>
      </c>
      <c r="C61" s="84">
        <v>0</v>
      </c>
      <c r="D61" s="84">
        <v>0</v>
      </c>
      <c r="E61" s="84">
        <v>0</v>
      </c>
      <c r="F61" s="84">
        <v>2838120</v>
      </c>
      <c r="G61" s="84">
        <v>11214374490</v>
      </c>
      <c r="H61" s="84">
        <v>12978257492</v>
      </c>
      <c r="I61" s="84">
        <v>-1763883002</v>
      </c>
    </row>
    <row r="62" spans="1:9" x14ac:dyDescent="0.45">
      <c r="A62" s="68" t="s">
        <v>223</v>
      </c>
      <c r="B62" s="84">
        <v>0</v>
      </c>
      <c r="C62" s="84">
        <v>0</v>
      </c>
      <c r="D62" s="84">
        <v>0</v>
      </c>
      <c r="E62" s="84">
        <v>0</v>
      </c>
      <c r="F62" s="84">
        <v>9334050</v>
      </c>
      <c r="G62" s="84">
        <v>27355886174</v>
      </c>
      <c r="H62" s="84">
        <v>21991745474</v>
      </c>
      <c r="I62" s="84">
        <v>5364140700</v>
      </c>
    </row>
    <row r="63" spans="1:9" x14ac:dyDescent="0.45">
      <c r="A63" s="68" t="s">
        <v>224</v>
      </c>
      <c r="B63" s="84">
        <v>200000</v>
      </c>
      <c r="C63" s="84">
        <v>1595570179</v>
      </c>
      <c r="D63" s="84">
        <v>1236070422</v>
      </c>
      <c r="E63" s="84">
        <v>359499757</v>
      </c>
      <c r="F63" s="84">
        <v>4441607</v>
      </c>
      <c r="G63" s="84">
        <v>29878064652</v>
      </c>
      <c r="H63" s="84">
        <v>27071907123</v>
      </c>
      <c r="I63" s="84">
        <v>2806157529</v>
      </c>
    </row>
    <row r="64" spans="1:9" x14ac:dyDescent="0.45">
      <c r="A64" s="68" t="s">
        <v>225</v>
      </c>
      <c r="B64" s="84">
        <v>100000</v>
      </c>
      <c r="C64" s="84">
        <v>2948034202</v>
      </c>
      <c r="D64" s="84">
        <v>3655864459</v>
      </c>
      <c r="E64" s="84">
        <v>-707830257</v>
      </c>
      <c r="F64" s="84">
        <v>200000</v>
      </c>
      <c r="G64" s="84">
        <v>5896068378</v>
      </c>
      <c r="H64" s="84">
        <v>7311728892</v>
      </c>
      <c r="I64" s="84">
        <v>-1415660514</v>
      </c>
    </row>
    <row r="65" spans="1:9" x14ac:dyDescent="0.45">
      <c r="A65" s="68" t="s">
        <v>226</v>
      </c>
      <c r="B65" s="84">
        <v>0</v>
      </c>
      <c r="C65" s="84">
        <v>0</v>
      </c>
      <c r="D65" s="84">
        <v>0</v>
      </c>
      <c r="E65" s="84">
        <v>0</v>
      </c>
      <c r="F65" s="84">
        <v>3029940</v>
      </c>
      <c r="G65" s="84">
        <v>16355089026</v>
      </c>
      <c r="H65" s="84">
        <v>19773097066</v>
      </c>
      <c r="I65" s="84">
        <v>-3418008040</v>
      </c>
    </row>
    <row r="66" spans="1:9" x14ac:dyDescent="0.45">
      <c r="A66" s="68" t="s">
        <v>227</v>
      </c>
      <c r="B66" s="84">
        <v>0</v>
      </c>
      <c r="C66" s="84">
        <v>0</v>
      </c>
      <c r="D66" s="84">
        <v>0</v>
      </c>
      <c r="E66" s="84">
        <v>0</v>
      </c>
      <c r="F66" s="84">
        <v>4817029</v>
      </c>
      <c r="G66" s="84">
        <v>25066650452</v>
      </c>
      <c r="H66" s="84">
        <v>20639723888</v>
      </c>
      <c r="I66" s="84">
        <v>4426926564</v>
      </c>
    </row>
    <row r="67" spans="1:9" x14ac:dyDescent="0.45">
      <c r="A67" s="68" t="s">
        <v>228</v>
      </c>
      <c r="B67" s="84">
        <v>0</v>
      </c>
      <c r="C67" s="84">
        <v>0</v>
      </c>
      <c r="D67" s="84">
        <v>0</v>
      </c>
      <c r="E67" s="84">
        <v>0</v>
      </c>
      <c r="F67" s="84">
        <v>444699</v>
      </c>
      <c r="G67" s="84">
        <v>4647411119</v>
      </c>
      <c r="H67" s="84">
        <v>5692349199</v>
      </c>
      <c r="I67" s="84">
        <v>-1044938080</v>
      </c>
    </row>
    <row r="68" spans="1:9" x14ac:dyDescent="0.45">
      <c r="A68" s="68" t="s">
        <v>229</v>
      </c>
      <c r="B68" s="84">
        <v>0</v>
      </c>
      <c r="C68" s="84">
        <v>0</v>
      </c>
      <c r="D68" s="84">
        <v>0</v>
      </c>
      <c r="E68" s="84">
        <v>0</v>
      </c>
      <c r="F68" s="84">
        <v>400000</v>
      </c>
      <c r="G68" s="84">
        <v>2992686332</v>
      </c>
      <c r="H68" s="84">
        <v>2394026855</v>
      </c>
      <c r="I68" s="84">
        <v>598659477</v>
      </c>
    </row>
    <row r="69" spans="1:9" x14ac:dyDescent="0.45">
      <c r="A69" s="68" t="s">
        <v>230</v>
      </c>
      <c r="B69" s="84">
        <v>0</v>
      </c>
      <c r="C69" s="84">
        <v>0</v>
      </c>
      <c r="D69" s="84">
        <v>0</v>
      </c>
      <c r="E69" s="84">
        <v>0</v>
      </c>
      <c r="F69" s="84">
        <v>800000</v>
      </c>
      <c r="G69" s="84">
        <v>3268436423</v>
      </c>
      <c r="H69" s="84">
        <v>2614078160</v>
      </c>
      <c r="I69" s="84">
        <v>654358263</v>
      </c>
    </row>
    <row r="70" spans="1:9" x14ac:dyDescent="0.45">
      <c r="A70" s="68" t="s">
        <v>231</v>
      </c>
      <c r="B70" s="84">
        <v>100000</v>
      </c>
      <c r="C70" s="84">
        <v>2634476880</v>
      </c>
      <c r="D70" s="84">
        <v>2575702254</v>
      </c>
      <c r="E70" s="84">
        <v>58774626</v>
      </c>
      <c r="F70" s="84">
        <v>5769976</v>
      </c>
      <c r="G70" s="84">
        <v>155319381230</v>
      </c>
      <c r="H70" s="84">
        <v>110714659807</v>
      </c>
      <c r="I70" s="84">
        <v>44604721423</v>
      </c>
    </row>
    <row r="71" spans="1:9" x14ac:dyDescent="0.45">
      <c r="A71" s="68" t="s">
        <v>232</v>
      </c>
      <c r="B71" s="84">
        <v>0</v>
      </c>
      <c r="C71" s="84">
        <v>0</v>
      </c>
      <c r="D71" s="84">
        <v>0</v>
      </c>
      <c r="E71" s="84">
        <v>0</v>
      </c>
      <c r="F71" s="84">
        <v>275000</v>
      </c>
      <c r="G71" s="84">
        <v>33343934010</v>
      </c>
      <c r="H71" s="84">
        <v>36184381179</v>
      </c>
      <c r="I71" s="84">
        <v>-2840447169</v>
      </c>
    </row>
    <row r="72" spans="1:9" x14ac:dyDescent="0.45">
      <c r="A72" s="68" t="s">
        <v>233</v>
      </c>
      <c r="B72" s="84">
        <v>0</v>
      </c>
      <c r="C72" s="84">
        <v>0</v>
      </c>
      <c r="D72" s="84">
        <v>0</v>
      </c>
      <c r="E72" s="84">
        <v>0</v>
      </c>
      <c r="F72" s="84">
        <v>3600000</v>
      </c>
      <c r="G72" s="84">
        <v>5579356894</v>
      </c>
      <c r="H72" s="84">
        <v>4577258897</v>
      </c>
      <c r="I72" s="84">
        <v>1002097997</v>
      </c>
    </row>
    <row r="73" spans="1:9" x14ac:dyDescent="0.45">
      <c r="A73" s="68" t="s">
        <v>234</v>
      </c>
      <c r="B73" s="84">
        <v>0</v>
      </c>
      <c r="C73" s="84">
        <v>0</v>
      </c>
      <c r="D73" s="84">
        <v>0</v>
      </c>
      <c r="E73" s="84">
        <v>0</v>
      </c>
      <c r="F73" s="84">
        <v>237371</v>
      </c>
      <c r="G73" s="84">
        <v>15624371286</v>
      </c>
      <c r="H73" s="84">
        <v>14297382485</v>
      </c>
      <c r="I73" s="84">
        <v>1326988801</v>
      </c>
    </row>
    <row r="74" spans="1:9" x14ac:dyDescent="0.45">
      <c r="A74" s="68" t="s">
        <v>235</v>
      </c>
      <c r="B74" s="84">
        <v>0</v>
      </c>
      <c r="C74" s="84">
        <v>0</v>
      </c>
      <c r="D74" s="84">
        <v>0</v>
      </c>
      <c r="E74" s="84">
        <v>0</v>
      </c>
      <c r="F74" s="84">
        <v>3913777</v>
      </c>
      <c r="G74" s="84">
        <v>28303088521</v>
      </c>
      <c r="H74" s="84">
        <v>31075452644</v>
      </c>
      <c r="I74" s="84">
        <v>-2772364123</v>
      </c>
    </row>
    <row r="75" spans="1:9" x14ac:dyDescent="0.45">
      <c r="A75" s="68" t="s">
        <v>236</v>
      </c>
      <c r="B75" s="84">
        <v>2365900</v>
      </c>
      <c r="C75" s="84">
        <v>3586494566</v>
      </c>
      <c r="D75" s="84">
        <v>5336367570</v>
      </c>
      <c r="E75" s="84">
        <v>-1749873004</v>
      </c>
      <c r="F75" s="84">
        <v>17510944</v>
      </c>
      <c r="G75" s="84">
        <v>29573707526</v>
      </c>
      <c r="H75" s="84">
        <v>40319509367</v>
      </c>
      <c r="I75" s="84">
        <v>-10745801841</v>
      </c>
    </row>
    <row r="76" spans="1:9" x14ac:dyDescent="0.45">
      <c r="A76" s="68" t="s">
        <v>237</v>
      </c>
      <c r="B76" s="84">
        <v>0</v>
      </c>
      <c r="C76" s="84">
        <v>0</v>
      </c>
      <c r="D76" s="84">
        <v>0</v>
      </c>
      <c r="E76" s="84">
        <v>0</v>
      </c>
      <c r="F76" s="84">
        <v>2400000</v>
      </c>
      <c r="G76" s="84">
        <v>2838757544</v>
      </c>
      <c r="H76" s="84">
        <v>2608475573</v>
      </c>
      <c r="I76" s="84">
        <v>230281971</v>
      </c>
    </row>
    <row r="77" spans="1:9" x14ac:dyDescent="0.45">
      <c r="A77" s="68" t="s">
        <v>238</v>
      </c>
      <c r="B77" s="84">
        <v>0</v>
      </c>
      <c r="C77" s="84">
        <v>0</v>
      </c>
      <c r="D77" s="84">
        <v>0</v>
      </c>
      <c r="E77" s="84">
        <v>0</v>
      </c>
      <c r="F77" s="84">
        <v>3600000</v>
      </c>
      <c r="G77" s="84">
        <v>1829029226</v>
      </c>
      <c r="H77" s="84">
        <v>1399291156</v>
      </c>
      <c r="I77" s="84">
        <v>429738070</v>
      </c>
    </row>
    <row r="78" spans="1:9" x14ac:dyDescent="0.45">
      <c r="A78" s="68" t="s">
        <v>239</v>
      </c>
      <c r="B78" s="84">
        <v>0</v>
      </c>
      <c r="C78" s="84">
        <v>0</v>
      </c>
      <c r="D78" s="84">
        <v>0</v>
      </c>
      <c r="E78" s="84">
        <v>0</v>
      </c>
      <c r="F78" s="84">
        <v>3546214</v>
      </c>
      <c r="G78" s="84">
        <v>21514228215</v>
      </c>
      <c r="H78" s="84">
        <v>23741167272</v>
      </c>
      <c r="I78" s="84">
        <v>-2226939057</v>
      </c>
    </row>
    <row r="79" spans="1:9" x14ac:dyDescent="0.45">
      <c r="A79" s="68" t="s">
        <v>240</v>
      </c>
      <c r="B79" s="84">
        <v>0</v>
      </c>
      <c r="C79" s="84">
        <v>0</v>
      </c>
      <c r="D79" s="84">
        <v>0</v>
      </c>
      <c r="E79" s="84">
        <v>0</v>
      </c>
      <c r="F79" s="84">
        <v>1799522</v>
      </c>
      <c r="G79" s="84">
        <v>5404094896</v>
      </c>
      <c r="H79" s="84">
        <v>5846207927</v>
      </c>
      <c r="I79" s="84">
        <v>-442113031</v>
      </c>
    </row>
    <row r="80" spans="1:9" x14ac:dyDescent="0.45">
      <c r="A80" s="68" t="s">
        <v>241</v>
      </c>
      <c r="B80" s="84">
        <v>0</v>
      </c>
      <c r="C80" s="84">
        <v>0</v>
      </c>
      <c r="D80" s="84">
        <v>0</v>
      </c>
      <c r="E80" s="84">
        <v>0</v>
      </c>
      <c r="F80" s="84">
        <v>2462547</v>
      </c>
      <c r="G80" s="84">
        <v>10207033250</v>
      </c>
      <c r="H80" s="84">
        <v>10718588366</v>
      </c>
      <c r="I80" s="84">
        <v>-511555116</v>
      </c>
    </row>
    <row r="81" spans="1:9" x14ac:dyDescent="0.45">
      <c r="A81" s="68" t="s">
        <v>242</v>
      </c>
      <c r="B81" s="84">
        <v>0</v>
      </c>
      <c r="C81" s="84">
        <v>0</v>
      </c>
      <c r="D81" s="84">
        <v>0</v>
      </c>
      <c r="E81" s="84">
        <v>0</v>
      </c>
      <c r="F81" s="84">
        <v>9758132</v>
      </c>
      <c r="G81" s="84">
        <v>21015170026</v>
      </c>
      <c r="H81" s="84">
        <v>27832408260</v>
      </c>
      <c r="I81" s="84">
        <v>-6817238234</v>
      </c>
    </row>
    <row r="82" spans="1:9" x14ac:dyDescent="0.45">
      <c r="A82" s="68" t="s">
        <v>243</v>
      </c>
      <c r="B82" s="84">
        <v>367988</v>
      </c>
      <c r="C82" s="84">
        <v>2059012800</v>
      </c>
      <c r="D82" s="84">
        <v>2339964292</v>
      </c>
      <c r="E82" s="84">
        <v>-280951492</v>
      </c>
      <c r="F82" s="84">
        <v>1047670</v>
      </c>
      <c r="G82" s="84">
        <v>5899740740</v>
      </c>
      <c r="H82" s="84">
        <v>6661636690</v>
      </c>
      <c r="I82" s="84">
        <v>-761895950</v>
      </c>
    </row>
    <row r="83" spans="1:9" x14ac:dyDescent="0.45">
      <c r="A83" s="68" t="s">
        <v>244</v>
      </c>
      <c r="B83" s="84">
        <v>0</v>
      </c>
      <c r="C83" s="84">
        <v>0</v>
      </c>
      <c r="D83" s="84">
        <v>0</v>
      </c>
      <c r="E83" s="84">
        <v>0</v>
      </c>
      <c r="F83" s="84">
        <v>562500</v>
      </c>
      <c r="G83" s="84">
        <v>5893474057</v>
      </c>
      <c r="H83" s="84">
        <v>4896698224</v>
      </c>
      <c r="I83" s="84">
        <v>996775833</v>
      </c>
    </row>
    <row r="84" spans="1:9" x14ac:dyDescent="0.45">
      <c r="A84" s="68" t="s">
        <v>245</v>
      </c>
      <c r="B84" s="84">
        <v>0</v>
      </c>
      <c r="C84" s="84">
        <v>0</v>
      </c>
      <c r="D84" s="84">
        <v>0</v>
      </c>
      <c r="E84" s="84">
        <v>0</v>
      </c>
      <c r="F84" s="84">
        <v>6199</v>
      </c>
      <c r="G84" s="84">
        <v>156164327</v>
      </c>
      <c r="H84" s="84">
        <v>177766649</v>
      </c>
      <c r="I84" s="84">
        <v>-21602322</v>
      </c>
    </row>
    <row r="85" spans="1:9" x14ac:dyDescent="0.45">
      <c r="A85" s="68" t="s">
        <v>246</v>
      </c>
      <c r="B85" s="84">
        <v>1486640</v>
      </c>
      <c r="C85" s="84">
        <v>2769678003</v>
      </c>
      <c r="D85" s="84">
        <v>2642994754</v>
      </c>
      <c r="E85" s="84">
        <v>126683249</v>
      </c>
      <c r="F85" s="84">
        <v>24437867</v>
      </c>
      <c r="G85" s="84">
        <v>39852550934</v>
      </c>
      <c r="H85" s="84">
        <v>39012526896</v>
      </c>
      <c r="I85" s="84">
        <v>840024038</v>
      </c>
    </row>
    <row r="86" spans="1:9" x14ac:dyDescent="0.45">
      <c r="A86" s="68" t="s">
        <v>247</v>
      </c>
      <c r="B86" s="84">
        <v>0</v>
      </c>
      <c r="C86" s="84">
        <v>0</v>
      </c>
      <c r="D86" s="84">
        <v>0</v>
      </c>
      <c r="E86" s="84">
        <v>0</v>
      </c>
      <c r="F86" s="84">
        <v>200000</v>
      </c>
      <c r="G86" s="84">
        <v>1218507562</v>
      </c>
      <c r="H86" s="84">
        <v>775979448</v>
      </c>
      <c r="I86" s="84">
        <v>442528114</v>
      </c>
    </row>
    <row r="87" spans="1:9" x14ac:dyDescent="0.45">
      <c r="A87" s="68" t="s">
        <v>248</v>
      </c>
      <c r="B87" s="84">
        <v>1600000</v>
      </c>
      <c r="C87" s="84">
        <v>3512972768</v>
      </c>
      <c r="D87" s="84">
        <v>4360902246</v>
      </c>
      <c r="E87" s="84">
        <v>-847929478</v>
      </c>
      <c r="F87" s="84">
        <v>1600000</v>
      </c>
      <c r="G87" s="84">
        <v>3512972768</v>
      </c>
      <c r="H87" s="84">
        <v>4360902246</v>
      </c>
      <c r="I87" s="84">
        <v>-847929478</v>
      </c>
    </row>
    <row r="88" spans="1:9" x14ac:dyDescent="0.45">
      <c r="A88" s="68" t="s">
        <v>249</v>
      </c>
      <c r="B88" s="84">
        <v>222789</v>
      </c>
      <c r="C88" s="84">
        <v>614495658</v>
      </c>
      <c r="D88" s="84">
        <v>794649534</v>
      </c>
      <c r="E88" s="84">
        <v>-180153876</v>
      </c>
      <c r="F88" s="84">
        <v>4622789</v>
      </c>
      <c r="G88" s="84">
        <v>14756368071</v>
      </c>
      <c r="H88" s="84">
        <v>16473055299</v>
      </c>
      <c r="I88" s="84">
        <v>-1716687228</v>
      </c>
    </row>
    <row r="89" spans="1:9" x14ac:dyDescent="0.45">
      <c r="A89" s="68" t="s">
        <v>250</v>
      </c>
      <c r="B89" s="84">
        <v>0</v>
      </c>
      <c r="C89" s="84">
        <v>0</v>
      </c>
      <c r="D89" s="84">
        <v>0</v>
      </c>
      <c r="E89" s="84">
        <v>0</v>
      </c>
      <c r="F89" s="84">
        <v>8955528</v>
      </c>
      <c r="G89" s="84">
        <v>22114432065</v>
      </c>
      <c r="H89" s="84">
        <v>32934620744</v>
      </c>
      <c r="I89" s="84">
        <v>-10820188679</v>
      </c>
    </row>
    <row r="90" spans="1:9" x14ac:dyDescent="0.45">
      <c r="A90" s="68" t="s">
        <v>251</v>
      </c>
      <c r="B90" s="84">
        <v>0</v>
      </c>
      <c r="C90" s="84">
        <v>0</v>
      </c>
      <c r="D90" s="84">
        <v>0</v>
      </c>
      <c r="E90" s="84">
        <v>0</v>
      </c>
      <c r="F90" s="84">
        <v>1200000</v>
      </c>
      <c r="G90" s="84">
        <v>5868681710</v>
      </c>
      <c r="H90" s="84">
        <v>4950869199</v>
      </c>
      <c r="I90" s="84">
        <v>917812511</v>
      </c>
    </row>
    <row r="91" spans="1:9" x14ac:dyDescent="0.45">
      <c r="A91" s="68" t="s">
        <v>252</v>
      </c>
      <c r="B91" s="84">
        <v>0</v>
      </c>
      <c r="C91" s="84">
        <v>0</v>
      </c>
      <c r="D91" s="84">
        <v>0</v>
      </c>
      <c r="E91" s="84">
        <v>0</v>
      </c>
      <c r="F91" s="84">
        <v>30000000</v>
      </c>
      <c r="G91" s="84">
        <v>17773642714</v>
      </c>
      <c r="H91" s="84">
        <v>17240806349</v>
      </c>
      <c r="I91" s="84">
        <v>532836365</v>
      </c>
    </row>
    <row r="92" spans="1:9" x14ac:dyDescent="0.45">
      <c r="A92" s="68" t="s">
        <v>253</v>
      </c>
      <c r="B92" s="84">
        <v>0</v>
      </c>
      <c r="C92" s="84">
        <v>0</v>
      </c>
      <c r="D92" s="84">
        <v>0</v>
      </c>
      <c r="E92" s="84">
        <v>0</v>
      </c>
      <c r="F92" s="84">
        <v>6177539</v>
      </c>
      <c r="G92" s="84">
        <v>11830355660</v>
      </c>
      <c r="H92" s="84">
        <v>10673254289</v>
      </c>
      <c r="I92" s="84">
        <v>1157101371</v>
      </c>
    </row>
    <row r="93" spans="1:9" x14ac:dyDescent="0.45">
      <c r="A93" s="68" t="s">
        <v>254</v>
      </c>
      <c r="B93" s="84">
        <v>0</v>
      </c>
      <c r="C93" s="84">
        <v>0</v>
      </c>
      <c r="D93" s="84">
        <v>0</v>
      </c>
      <c r="E93" s="84">
        <v>0</v>
      </c>
      <c r="F93" s="84">
        <v>1600000</v>
      </c>
      <c r="G93" s="84">
        <v>5010126874</v>
      </c>
      <c r="H93" s="84">
        <v>5437442878</v>
      </c>
      <c r="I93" s="84">
        <v>-427316004</v>
      </c>
    </row>
    <row r="94" spans="1:9" x14ac:dyDescent="0.45">
      <c r="A94" s="68" t="s">
        <v>255</v>
      </c>
      <c r="B94" s="84">
        <v>0</v>
      </c>
      <c r="C94" s="84">
        <v>0</v>
      </c>
      <c r="D94" s="84">
        <v>0</v>
      </c>
      <c r="E94" s="84">
        <v>0</v>
      </c>
      <c r="F94" s="84">
        <v>9856287</v>
      </c>
      <c r="G94" s="84">
        <v>28338435472</v>
      </c>
      <c r="H94" s="84">
        <v>25076043041</v>
      </c>
      <c r="I94" s="84">
        <v>3262392431</v>
      </c>
    </row>
    <row r="95" spans="1:9" x14ac:dyDescent="0.45">
      <c r="A95" s="68" t="s">
        <v>256</v>
      </c>
      <c r="B95" s="84">
        <v>0</v>
      </c>
      <c r="C95" s="84">
        <v>0</v>
      </c>
      <c r="D95" s="84">
        <v>0</v>
      </c>
      <c r="E95" s="84">
        <v>0</v>
      </c>
      <c r="F95" s="84">
        <v>3000000</v>
      </c>
      <c r="G95" s="84">
        <v>21038652257</v>
      </c>
      <c r="H95" s="84">
        <v>18618379893</v>
      </c>
      <c r="I95" s="84">
        <v>2420272364</v>
      </c>
    </row>
    <row r="96" spans="1:9" x14ac:dyDescent="0.45">
      <c r="A96" s="68" t="s">
        <v>257</v>
      </c>
      <c r="B96" s="84">
        <v>532915</v>
      </c>
      <c r="C96" s="84">
        <v>952304353</v>
      </c>
      <c r="D96" s="84">
        <v>434856053</v>
      </c>
      <c r="E96" s="84">
        <v>517448300</v>
      </c>
      <c r="F96" s="84">
        <v>5332915</v>
      </c>
      <c r="G96" s="84">
        <v>15582104042</v>
      </c>
      <c r="H96" s="84">
        <v>11091524334</v>
      </c>
      <c r="I96" s="84">
        <v>4490579708</v>
      </c>
    </row>
    <row r="97" spans="1:9" x14ac:dyDescent="0.45">
      <c r="A97" s="68" t="s">
        <v>258</v>
      </c>
      <c r="B97" s="84">
        <v>0</v>
      </c>
      <c r="C97" s="84">
        <v>0</v>
      </c>
      <c r="D97" s="84">
        <v>0</v>
      </c>
      <c r="E97" s="84">
        <v>0</v>
      </c>
      <c r="F97" s="84">
        <v>800000</v>
      </c>
      <c r="G97" s="84">
        <v>5996109686</v>
      </c>
      <c r="H97" s="84">
        <v>7154632734</v>
      </c>
      <c r="I97" s="84">
        <v>-1158523048</v>
      </c>
    </row>
    <row r="98" spans="1:9" x14ac:dyDescent="0.45">
      <c r="A98" s="68" t="s">
        <v>259</v>
      </c>
      <c r="B98" s="84">
        <v>0</v>
      </c>
      <c r="C98" s="84">
        <v>0</v>
      </c>
      <c r="D98" s="84">
        <v>0</v>
      </c>
      <c r="E98" s="84">
        <v>0</v>
      </c>
      <c r="F98" s="84">
        <v>863829</v>
      </c>
      <c r="G98" s="84">
        <v>10585984363</v>
      </c>
      <c r="H98" s="84">
        <v>9524082458</v>
      </c>
      <c r="I98" s="84">
        <v>1061901905</v>
      </c>
    </row>
    <row r="99" spans="1:9" x14ac:dyDescent="0.45">
      <c r="A99" s="68" t="s">
        <v>260</v>
      </c>
      <c r="B99" s="84">
        <v>0</v>
      </c>
      <c r="C99" s="84">
        <v>0</v>
      </c>
      <c r="D99" s="84">
        <v>0</v>
      </c>
      <c r="E99" s="84">
        <v>0</v>
      </c>
      <c r="F99" s="84">
        <v>5328318</v>
      </c>
      <c r="G99" s="84">
        <v>12758386096</v>
      </c>
      <c r="H99" s="84">
        <v>11760734944</v>
      </c>
      <c r="I99" s="84">
        <v>997651152</v>
      </c>
    </row>
    <row r="100" spans="1:9" x14ac:dyDescent="0.45">
      <c r="A100" s="68" t="s">
        <v>261</v>
      </c>
      <c r="B100" s="84">
        <v>0</v>
      </c>
      <c r="C100" s="84">
        <v>0</v>
      </c>
      <c r="D100" s="84">
        <v>0</v>
      </c>
      <c r="E100" s="84">
        <v>0</v>
      </c>
      <c r="F100" s="84">
        <v>1</v>
      </c>
      <c r="G100" s="84">
        <v>1</v>
      </c>
      <c r="H100" s="84">
        <v>3927</v>
      </c>
      <c r="I100" s="84">
        <v>-3926</v>
      </c>
    </row>
    <row r="101" spans="1:9" x14ac:dyDescent="0.45">
      <c r="A101" s="68" t="s">
        <v>262</v>
      </c>
      <c r="B101" s="84">
        <v>0</v>
      </c>
      <c r="C101" s="84">
        <v>0</v>
      </c>
      <c r="D101" s="84">
        <v>0</v>
      </c>
      <c r="E101" s="84">
        <v>0</v>
      </c>
      <c r="F101" s="84">
        <v>337057</v>
      </c>
      <c r="G101" s="84">
        <v>2200247831</v>
      </c>
      <c r="H101" s="84">
        <v>1922449803</v>
      </c>
      <c r="I101" s="84">
        <v>277798028</v>
      </c>
    </row>
    <row r="102" spans="1:9" x14ac:dyDescent="0.45">
      <c r="A102" s="68" t="s">
        <v>263</v>
      </c>
      <c r="B102" s="84">
        <v>100000</v>
      </c>
      <c r="C102" s="84">
        <v>3300428666</v>
      </c>
      <c r="D102" s="84">
        <v>2528146697</v>
      </c>
      <c r="E102" s="84">
        <v>772281969</v>
      </c>
      <c r="F102" s="84">
        <v>1078839</v>
      </c>
      <c r="G102" s="84">
        <v>33172265825</v>
      </c>
      <c r="H102" s="84">
        <v>26113991665</v>
      </c>
      <c r="I102" s="84">
        <v>7058274160</v>
      </c>
    </row>
    <row r="103" spans="1:9" x14ac:dyDescent="0.45">
      <c r="A103" s="68" t="s">
        <v>264</v>
      </c>
      <c r="B103" s="84">
        <v>300000</v>
      </c>
      <c r="C103" s="84">
        <v>11580004584</v>
      </c>
      <c r="D103" s="84">
        <v>13531791031</v>
      </c>
      <c r="E103" s="84">
        <v>-1951786447</v>
      </c>
      <c r="F103" s="84">
        <v>1300914</v>
      </c>
      <c r="G103" s="84">
        <v>54261846862</v>
      </c>
      <c r="H103" s="84">
        <v>55247257078</v>
      </c>
      <c r="I103" s="84">
        <v>-985410216</v>
      </c>
    </row>
    <row r="104" spans="1:9" x14ac:dyDescent="0.45">
      <c r="A104" s="68" t="s">
        <v>265</v>
      </c>
      <c r="B104" s="84">
        <v>100000</v>
      </c>
      <c r="C104" s="84">
        <v>2566010226</v>
      </c>
      <c r="D104" s="84">
        <v>1859984634</v>
      </c>
      <c r="E104" s="84">
        <v>706025592</v>
      </c>
      <c r="F104" s="84">
        <v>200000</v>
      </c>
      <c r="G104" s="84">
        <v>5679753491</v>
      </c>
      <c r="H104" s="84">
        <v>3715702307</v>
      </c>
      <c r="I104" s="84">
        <v>1964051184</v>
      </c>
    </row>
    <row r="105" spans="1:9" x14ac:dyDescent="0.45">
      <c r="A105" s="68" t="s">
        <v>266</v>
      </c>
      <c r="B105" s="84">
        <v>2800000</v>
      </c>
      <c r="C105" s="84">
        <v>6095996628</v>
      </c>
      <c r="D105" s="84">
        <v>9356712062</v>
      </c>
      <c r="E105" s="84">
        <v>-3260715434</v>
      </c>
      <c r="F105" s="84">
        <v>16714185</v>
      </c>
      <c r="G105" s="84">
        <v>50745756077</v>
      </c>
      <c r="H105" s="84">
        <v>53598861799</v>
      </c>
      <c r="I105" s="84">
        <v>-2853105722</v>
      </c>
    </row>
    <row r="106" spans="1:9" x14ac:dyDescent="0.45">
      <c r="A106" s="68" t="s">
        <v>267</v>
      </c>
      <c r="B106" s="84">
        <v>0</v>
      </c>
      <c r="C106" s="84">
        <v>0</v>
      </c>
      <c r="D106" s="84">
        <v>0</v>
      </c>
      <c r="E106" s="84">
        <v>0</v>
      </c>
      <c r="F106" s="84">
        <v>1810386</v>
      </c>
      <c r="G106" s="84">
        <v>12602590809</v>
      </c>
      <c r="H106" s="84">
        <v>12534442754</v>
      </c>
      <c r="I106" s="84">
        <v>68148055</v>
      </c>
    </row>
    <row r="107" spans="1:9" x14ac:dyDescent="0.45">
      <c r="A107" s="68" t="s">
        <v>268</v>
      </c>
      <c r="B107" s="84">
        <v>0</v>
      </c>
      <c r="C107" s="84">
        <v>0</v>
      </c>
      <c r="D107" s="84">
        <v>0</v>
      </c>
      <c r="E107" s="84">
        <v>0</v>
      </c>
      <c r="F107" s="84">
        <v>2283</v>
      </c>
      <c r="G107" s="84">
        <v>11846355</v>
      </c>
      <c r="H107" s="84">
        <v>11510074</v>
      </c>
      <c r="I107" s="84">
        <v>336281</v>
      </c>
    </row>
    <row r="108" spans="1:9" x14ac:dyDescent="0.45">
      <c r="A108" s="68" t="s">
        <v>269</v>
      </c>
      <c r="B108" s="84">
        <v>0</v>
      </c>
      <c r="C108" s="84">
        <v>0</v>
      </c>
      <c r="D108" s="84">
        <v>0</v>
      </c>
      <c r="E108" s="84">
        <v>0</v>
      </c>
      <c r="F108" s="84">
        <v>400000</v>
      </c>
      <c r="G108" s="84">
        <v>1715833290</v>
      </c>
      <c r="H108" s="84">
        <v>1644952106</v>
      </c>
      <c r="I108" s="84">
        <v>70881184</v>
      </c>
    </row>
    <row r="109" spans="1:9" x14ac:dyDescent="0.45">
      <c r="A109" s="68" t="s">
        <v>270</v>
      </c>
      <c r="B109" s="84">
        <v>0</v>
      </c>
      <c r="C109" s="84">
        <v>0</v>
      </c>
      <c r="D109" s="84">
        <v>0</v>
      </c>
      <c r="E109" s="84">
        <v>0</v>
      </c>
      <c r="F109" s="84">
        <v>3200000</v>
      </c>
      <c r="G109" s="84">
        <v>5585289441</v>
      </c>
      <c r="H109" s="84">
        <v>4391052231</v>
      </c>
      <c r="I109" s="84">
        <v>1194237210</v>
      </c>
    </row>
    <row r="110" spans="1:9" x14ac:dyDescent="0.45">
      <c r="A110" s="68" t="s">
        <v>271</v>
      </c>
      <c r="B110" s="84">
        <v>0</v>
      </c>
      <c r="C110" s="84">
        <v>0</v>
      </c>
      <c r="D110" s="84">
        <v>0</v>
      </c>
      <c r="E110" s="84">
        <v>0</v>
      </c>
      <c r="F110" s="84">
        <v>1466267</v>
      </c>
      <c r="G110" s="84">
        <v>5010614684</v>
      </c>
      <c r="H110" s="84">
        <v>4846099673</v>
      </c>
      <c r="I110" s="84">
        <v>164515011</v>
      </c>
    </row>
    <row r="111" spans="1:9" x14ac:dyDescent="0.45">
      <c r="A111" s="68" t="s">
        <v>272</v>
      </c>
      <c r="B111" s="84">
        <v>384157</v>
      </c>
      <c r="C111" s="84">
        <v>1752261030</v>
      </c>
      <c r="D111" s="84">
        <v>928106200</v>
      </c>
      <c r="E111" s="84">
        <v>824154830</v>
      </c>
      <c r="F111" s="84">
        <v>3680163</v>
      </c>
      <c r="G111" s="84">
        <v>15332725950</v>
      </c>
      <c r="H111" s="84">
        <v>10466010541</v>
      </c>
      <c r="I111" s="84">
        <v>4866715409</v>
      </c>
    </row>
    <row r="112" spans="1:9" x14ac:dyDescent="0.45">
      <c r="A112" s="68" t="s">
        <v>273</v>
      </c>
      <c r="B112" s="84">
        <v>0</v>
      </c>
      <c r="C112" s="84">
        <v>0</v>
      </c>
      <c r="D112" s="84">
        <v>0</v>
      </c>
      <c r="E112" s="84">
        <v>0</v>
      </c>
      <c r="F112" s="84">
        <v>3813925</v>
      </c>
      <c r="G112" s="84">
        <v>17420282417</v>
      </c>
      <c r="H112" s="84">
        <v>9642986119</v>
      </c>
      <c r="I112" s="84">
        <v>7777296298</v>
      </c>
    </row>
    <row r="113" spans="1:9" x14ac:dyDescent="0.45">
      <c r="A113" s="68" t="s">
        <v>274</v>
      </c>
      <c r="B113" s="84">
        <v>800000</v>
      </c>
      <c r="C113" s="84">
        <v>2296754712</v>
      </c>
      <c r="D113" s="84">
        <v>2362508044</v>
      </c>
      <c r="E113" s="84">
        <v>-65753332</v>
      </c>
      <c r="F113" s="84">
        <v>3400000</v>
      </c>
      <c r="G113" s="84">
        <v>10830308500</v>
      </c>
      <c r="H113" s="84">
        <v>9958805759</v>
      </c>
      <c r="I113" s="84">
        <v>871502741</v>
      </c>
    </row>
    <row r="114" spans="1:9" x14ac:dyDescent="0.45">
      <c r="A114" s="68" t="s">
        <v>275</v>
      </c>
      <c r="B114" s="84">
        <v>0</v>
      </c>
      <c r="C114" s="84">
        <v>0</v>
      </c>
      <c r="D114" s="84">
        <v>0</v>
      </c>
      <c r="E114" s="84">
        <v>0</v>
      </c>
      <c r="F114" s="84">
        <v>400000</v>
      </c>
      <c r="G114" s="84">
        <v>1637023421</v>
      </c>
      <c r="H114" s="84">
        <v>1786016677</v>
      </c>
      <c r="I114" s="84">
        <v>-148993256</v>
      </c>
    </row>
    <row r="115" spans="1:9" x14ac:dyDescent="0.45">
      <c r="A115" s="68" t="s">
        <v>276</v>
      </c>
      <c r="B115" s="84">
        <v>0</v>
      </c>
      <c r="C115" s="84">
        <v>0</v>
      </c>
      <c r="D115" s="84">
        <v>0</v>
      </c>
      <c r="E115" s="84">
        <v>0</v>
      </c>
      <c r="F115" s="84">
        <v>20088686</v>
      </c>
      <c r="G115" s="84">
        <v>144509739517</v>
      </c>
      <c r="H115" s="84">
        <v>124075733041</v>
      </c>
      <c r="I115" s="84">
        <v>20434006476</v>
      </c>
    </row>
    <row r="116" spans="1:9" x14ac:dyDescent="0.45">
      <c r="A116" s="68" t="s">
        <v>277</v>
      </c>
      <c r="B116" s="84">
        <v>0</v>
      </c>
      <c r="C116" s="84">
        <v>0</v>
      </c>
      <c r="D116" s="84">
        <v>0</v>
      </c>
      <c r="E116" s="84">
        <v>0</v>
      </c>
      <c r="F116" s="84">
        <v>500000</v>
      </c>
      <c r="G116" s="84">
        <v>8820784209</v>
      </c>
      <c r="H116" s="84">
        <v>8014046651</v>
      </c>
      <c r="I116" s="84">
        <v>806737558</v>
      </c>
    </row>
    <row r="117" spans="1:9" x14ac:dyDescent="0.45">
      <c r="A117" s="68" t="s">
        <v>278</v>
      </c>
      <c r="B117" s="84">
        <v>0</v>
      </c>
      <c r="C117" s="84">
        <v>0</v>
      </c>
      <c r="D117" s="84">
        <v>0</v>
      </c>
      <c r="E117" s="84">
        <v>0</v>
      </c>
      <c r="F117" s="84">
        <v>900000</v>
      </c>
      <c r="G117" s="84">
        <v>24032779452</v>
      </c>
      <c r="H117" s="84">
        <v>16447788311</v>
      </c>
      <c r="I117" s="84">
        <v>7584991141</v>
      </c>
    </row>
    <row r="118" spans="1:9" x14ac:dyDescent="0.45">
      <c r="A118" s="68" t="s">
        <v>279</v>
      </c>
      <c r="B118" s="84">
        <v>0</v>
      </c>
      <c r="C118" s="84">
        <v>0</v>
      </c>
      <c r="D118" s="84">
        <v>0</v>
      </c>
      <c r="E118" s="84">
        <v>0</v>
      </c>
      <c r="F118" s="84">
        <v>9790999</v>
      </c>
      <c r="G118" s="84">
        <v>100301046696</v>
      </c>
      <c r="H118" s="84">
        <v>86443417357</v>
      </c>
      <c r="I118" s="84">
        <v>13857629339</v>
      </c>
    </row>
    <row r="119" spans="1:9" x14ac:dyDescent="0.45">
      <c r="A119" s="68" t="s">
        <v>280</v>
      </c>
      <c r="B119" s="84">
        <v>0</v>
      </c>
      <c r="C119" s="84">
        <v>0</v>
      </c>
      <c r="D119" s="84">
        <v>0</v>
      </c>
      <c r="E119" s="84">
        <v>0</v>
      </c>
      <c r="F119" s="84">
        <v>3200000</v>
      </c>
      <c r="G119" s="84">
        <v>14461074647</v>
      </c>
      <c r="H119" s="84">
        <v>11978996325</v>
      </c>
      <c r="I119" s="84">
        <v>2482078322</v>
      </c>
    </row>
    <row r="120" spans="1:9" x14ac:dyDescent="0.45">
      <c r="A120" s="68" t="s">
        <v>281</v>
      </c>
      <c r="B120" s="84">
        <v>0</v>
      </c>
      <c r="C120" s="84">
        <v>0</v>
      </c>
      <c r="D120" s="84">
        <v>0</v>
      </c>
      <c r="E120" s="84">
        <v>0</v>
      </c>
      <c r="F120" s="84">
        <v>19621</v>
      </c>
      <c r="G120" s="84">
        <v>134338381</v>
      </c>
      <c r="H120" s="84">
        <v>116501950</v>
      </c>
      <c r="I120" s="84">
        <v>17836431</v>
      </c>
    </row>
    <row r="121" spans="1:9" x14ac:dyDescent="0.45">
      <c r="A121" s="68" t="s">
        <v>282</v>
      </c>
      <c r="B121" s="84">
        <v>0</v>
      </c>
      <c r="C121" s="84">
        <v>0</v>
      </c>
      <c r="D121" s="84">
        <v>0</v>
      </c>
      <c r="E121" s="84">
        <v>0</v>
      </c>
      <c r="F121" s="84">
        <v>2512217</v>
      </c>
      <c r="G121" s="84">
        <v>7338849409</v>
      </c>
      <c r="H121" s="84">
        <v>4654488939</v>
      </c>
      <c r="I121" s="84">
        <v>2684360470</v>
      </c>
    </row>
    <row r="122" spans="1:9" x14ac:dyDescent="0.45">
      <c r="A122" s="68" t="s">
        <v>283</v>
      </c>
      <c r="B122" s="84">
        <v>1246954</v>
      </c>
      <c r="C122" s="84">
        <v>4028644212</v>
      </c>
      <c r="D122" s="84">
        <v>5241439111</v>
      </c>
      <c r="E122" s="84">
        <v>-1212794899</v>
      </c>
      <c r="F122" s="84">
        <v>3818427</v>
      </c>
      <c r="G122" s="84">
        <v>15472827276</v>
      </c>
      <c r="H122" s="84">
        <v>16704541273</v>
      </c>
      <c r="I122" s="84">
        <v>-1231713997</v>
      </c>
    </row>
    <row r="123" spans="1:9" x14ac:dyDescent="0.45">
      <c r="A123" s="68" t="s">
        <v>284</v>
      </c>
      <c r="B123" s="84">
        <v>0</v>
      </c>
      <c r="C123" s="84">
        <v>0</v>
      </c>
      <c r="D123" s="84">
        <v>0</v>
      </c>
      <c r="E123" s="84">
        <v>0</v>
      </c>
      <c r="F123" s="84">
        <v>5125551</v>
      </c>
      <c r="G123" s="84">
        <v>14454656319</v>
      </c>
      <c r="H123" s="84">
        <v>11209920146</v>
      </c>
      <c r="I123" s="84">
        <v>3244736173</v>
      </c>
    </row>
    <row r="124" spans="1:9" x14ac:dyDescent="0.45">
      <c r="A124" s="68" t="s">
        <v>285</v>
      </c>
      <c r="B124" s="84">
        <v>0</v>
      </c>
      <c r="C124" s="84">
        <v>0</v>
      </c>
      <c r="D124" s="84">
        <v>0</v>
      </c>
      <c r="E124" s="84">
        <v>0</v>
      </c>
      <c r="F124" s="84">
        <v>66888</v>
      </c>
      <c r="G124" s="84">
        <v>17351055718</v>
      </c>
      <c r="H124" s="84">
        <v>17114520081</v>
      </c>
      <c r="I124" s="84">
        <v>236535637</v>
      </c>
    </row>
    <row r="125" spans="1:9" x14ac:dyDescent="0.45">
      <c r="A125" s="68" t="s">
        <v>286</v>
      </c>
      <c r="B125" s="84">
        <v>9902</v>
      </c>
      <c r="C125" s="84">
        <v>507976156</v>
      </c>
      <c r="D125" s="84">
        <v>610249925</v>
      </c>
      <c r="E125" s="84">
        <v>-102273769</v>
      </c>
      <c r="F125" s="84">
        <v>187580</v>
      </c>
      <c r="G125" s="84">
        <v>6496976761</v>
      </c>
      <c r="H125" s="84">
        <v>6985738047</v>
      </c>
      <c r="I125" s="84">
        <v>-488761286</v>
      </c>
    </row>
    <row r="126" spans="1:9" x14ac:dyDescent="0.45">
      <c r="A126" s="68" t="s">
        <v>287</v>
      </c>
      <c r="B126" s="84">
        <v>0</v>
      </c>
      <c r="C126" s="84">
        <v>0</v>
      </c>
      <c r="D126" s="84">
        <v>0</v>
      </c>
      <c r="E126" s="84">
        <v>0</v>
      </c>
      <c r="F126" s="84">
        <v>602017</v>
      </c>
      <c r="G126" s="84">
        <v>25409983577</v>
      </c>
      <c r="H126" s="84">
        <v>27105414026</v>
      </c>
      <c r="I126" s="84">
        <v>-1695430449</v>
      </c>
    </row>
    <row r="127" spans="1:9" x14ac:dyDescent="0.45">
      <c r="A127" s="68" t="s">
        <v>288</v>
      </c>
      <c r="B127" s="84">
        <v>0</v>
      </c>
      <c r="C127" s="84">
        <v>0</v>
      </c>
      <c r="D127" s="84">
        <v>0</v>
      </c>
      <c r="E127" s="84">
        <v>0</v>
      </c>
      <c r="F127" s="84">
        <v>1313770</v>
      </c>
      <c r="G127" s="84">
        <v>34590634395</v>
      </c>
      <c r="H127" s="84">
        <v>45318479673</v>
      </c>
      <c r="I127" s="84">
        <v>-10727845278</v>
      </c>
    </row>
    <row r="128" spans="1:9" x14ac:dyDescent="0.45">
      <c r="A128" s="68" t="s">
        <v>289</v>
      </c>
      <c r="B128" s="84">
        <v>0</v>
      </c>
      <c r="C128" s="84">
        <v>0</v>
      </c>
      <c r="D128" s="84">
        <v>0</v>
      </c>
      <c r="E128" s="84">
        <v>0</v>
      </c>
      <c r="F128" s="84">
        <v>3250000</v>
      </c>
      <c r="G128" s="84">
        <v>4477257642</v>
      </c>
      <c r="H128" s="84">
        <v>3912524843</v>
      </c>
      <c r="I128" s="84">
        <v>564732799</v>
      </c>
    </row>
    <row r="129" spans="1:9" x14ac:dyDescent="0.45">
      <c r="A129" s="68" t="s">
        <v>290</v>
      </c>
      <c r="B129" s="84">
        <v>0</v>
      </c>
      <c r="C129" s="84">
        <v>0</v>
      </c>
      <c r="D129" s="84">
        <v>0</v>
      </c>
      <c r="E129" s="84">
        <v>0</v>
      </c>
      <c r="F129" s="84">
        <v>3010435</v>
      </c>
      <c r="G129" s="84">
        <v>14812999242</v>
      </c>
      <c r="H129" s="84">
        <v>15871540740</v>
      </c>
      <c r="I129" s="84">
        <v>-1058541498</v>
      </c>
    </row>
    <row r="130" spans="1:9" x14ac:dyDescent="0.45">
      <c r="A130" s="68" t="s">
        <v>291</v>
      </c>
      <c r="B130" s="84">
        <v>0</v>
      </c>
      <c r="C130" s="84">
        <v>0</v>
      </c>
      <c r="D130" s="84">
        <v>0</v>
      </c>
      <c r="E130" s="84">
        <v>0</v>
      </c>
      <c r="F130" s="84">
        <v>1256501</v>
      </c>
      <c r="G130" s="84">
        <v>9681655815</v>
      </c>
      <c r="H130" s="84">
        <v>8239411074</v>
      </c>
      <c r="I130" s="84">
        <v>1442244741</v>
      </c>
    </row>
    <row r="131" spans="1:9" x14ac:dyDescent="0.45">
      <c r="A131" s="68" t="s">
        <v>292</v>
      </c>
      <c r="B131" s="84">
        <v>0</v>
      </c>
      <c r="C131" s="84">
        <v>0</v>
      </c>
      <c r="D131" s="84">
        <v>0</v>
      </c>
      <c r="E131" s="84">
        <v>0</v>
      </c>
      <c r="F131" s="84">
        <v>1871432</v>
      </c>
      <c r="G131" s="84">
        <v>8310873569</v>
      </c>
      <c r="H131" s="84">
        <v>8032213706</v>
      </c>
      <c r="I131" s="84">
        <v>278659863</v>
      </c>
    </row>
    <row r="132" spans="1:9" x14ac:dyDescent="0.45">
      <c r="A132" s="68" t="s">
        <v>293</v>
      </c>
      <c r="B132" s="84">
        <v>0</v>
      </c>
      <c r="C132" s="84">
        <v>0</v>
      </c>
      <c r="D132" s="84">
        <v>0</v>
      </c>
      <c r="E132" s="84">
        <v>0</v>
      </c>
      <c r="F132" s="84">
        <v>1600000</v>
      </c>
      <c r="G132" s="84">
        <v>17388639886</v>
      </c>
      <c r="H132" s="84">
        <v>17081064806</v>
      </c>
      <c r="I132" s="84">
        <v>307575080</v>
      </c>
    </row>
    <row r="133" spans="1:9" x14ac:dyDescent="0.45">
      <c r="A133" s="68" t="s">
        <v>294</v>
      </c>
      <c r="B133" s="84">
        <v>20104</v>
      </c>
      <c r="C133" s="84">
        <v>186818090</v>
      </c>
      <c r="D133" s="84">
        <v>198313454</v>
      </c>
      <c r="E133" s="84">
        <v>-11495364</v>
      </c>
      <c r="F133" s="84">
        <v>922089</v>
      </c>
      <c r="G133" s="84">
        <v>10479278548</v>
      </c>
      <c r="H133" s="84">
        <v>8759518909</v>
      </c>
      <c r="I133" s="84">
        <v>1719759639</v>
      </c>
    </row>
    <row r="134" spans="1:9" x14ac:dyDescent="0.45">
      <c r="A134" s="68" t="s">
        <v>295</v>
      </c>
      <c r="B134" s="84">
        <v>0</v>
      </c>
      <c r="C134" s="84">
        <v>0</v>
      </c>
      <c r="D134" s="84">
        <v>0</v>
      </c>
      <c r="E134" s="84">
        <v>0</v>
      </c>
      <c r="F134" s="84">
        <v>100000</v>
      </c>
      <c r="G134" s="84">
        <v>12188816271</v>
      </c>
      <c r="H134" s="84">
        <v>12573431642</v>
      </c>
      <c r="I134" s="84">
        <v>-384615371</v>
      </c>
    </row>
    <row r="135" spans="1:9" x14ac:dyDescent="0.45">
      <c r="A135" s="68" t="s">
        <v>296</v>
      </c>
      <c r="B135" s="84">
        <v>0</v>
      </c>
      <c r="C135" s="84">
        <v>0</v>
      </c>
      <c r="D135" s="84">
        <v>0</v>
      </c>
      <c r="E135" s="84">
        <v>0</v>
      </c>
      <c r="F135" s="84">
        <v>200000</v>
      </c>
      <c r="G135" s="84">
        <v>1805931406</v>
      </c>
      <c r="H135" s="84">
        <v>1360508008</v>
      </c>
      <c r="I135" s="84">
        <v>445423398</v>
      </c>
    </row>
    <row r="136" spans="1:9" x14ac:dyDescent="0.45">
      <c r="A136" s="68" t="s">
        <v>297</v>
      </c>
      <c r="B136" s="84">
        <v>0</v>
      </c>
      <c r="C136" s="84">
        <v>0</v>
      </c>
      <c r="D136" s="84">
        <v>0</v>
      </c>
      <c r="E136" s="84">
        <v>0</v>
      </c>
      <c r="F136" s="84">
        <v>15531165</v>
      </c>
      <c r="G136" s="84">
        <v>97454612102</v>
      </c>
      <c r="H136" s="84">
        <v>139142212519</v>
      </c>
      <c r="I136" s="84">
        <v>-41687600417</v>
      </c>
    </row>
    <row r="137" spans="1:9" x14ac:dyDescent="0.45">
      <c r="A137" s="68" t="s">
        <v>298</v>
      </c>
      <c r="B137" s="84">
        <v>0</v>
      </c>
      <c r="C137" s="84">
        <v>0</v>
      </c>
      <c r="D137" s="84">
        <v>0</v>
      </c>
      <c r="E137" s="84">
        <v>0</v>
      </c>
      <c r="F137" s="84">
        <v>204953</v>
      </c>
      <c r="G137" s="84">
        <v>4006347223</v>
      </c>
      <c r="H137" s="84">
        <v>2976994813</v>
      </c>
      <c r="I137" s="84">
        <v>1029352410</v>
      </c>
    </row>
    <row r="138" spans="1:9" x14ac:dyDescent="0.45">
      <c r="A138" s="68" t="s">
        <v>299</v>
      </c>
      <c r="B138" s="84">
        <v>0</v>
      </c>
      <c r="C138" s="84">
        <v>0</v>
      </c>
      <c r="D138" s="84">
        <v>0</v>
      </c>
      <c r="E138" s="84">
        <v>0</v>
      </c>
      <c r="F138" s="84">
        <v>10148510</v>
      </c>
      <c r="G138" s="84">
        <v>23061457106</v>
      </c>
      <c r="H138" s="84">
        <v>37934552149</v>
      </c>
      <c r="I138" s="84">
        <v>-14873095043</v>
      </c>
    </row>
    <row r="139" spans="1:9" x14ac:dyDescent="0.45">
      <c r="A139" s="68" t="s">
        <v>300</v>
      </c>
      <c r="B139" s="84">
        <v>0</v>
      </c>
      <c r="C139" s="84">
        <v>0</v>
      </c>
      <c r="D139" s="84">
        <v>0</v>
      </c>
      <c r="E139" s="84">
        <v>0</v>
      </c>
      <c r="F139" s="84">
        <v>14800000</v>
      </c>
      <c r="G139" s="84">
        <v>8039625892</v>
      </c>
      <c r="H139" s="84">
        <v>6807486354</v>
      </c>
      <c r="I139" s="84">
        <v>1232139538</v>
      </c>
    </row>
    <row r="140" spans="1:9" x14ac:dyDescent="0.45">
      <c r="A140" s="68" t="s">
        <v>301</v>
      </c>
      <c r="B140" s="84">
        <v>227589</v>
      </c>
      <c r="C140" s="84">
        <v>848668171</v>
      </c>
      <c r="D140" s="84">
        <v>854761647</v>
      </c>
      <c r="E140" s="84">
        <v>-6093476</v>
      </c>
      <c r="F140" s="84">
        <v>5858865</v>
      </c>
      <c r="G140" s="84">
        <v>23302027038</v>
      </c>
      <c r="H140" s="84">
        <v>21015322143</v>
      </c>
      <c r="I140" s="84">
        <v>2286704895</v>
      </c>
    </row>
    <row r="141" spans="1:9" x14ac:dyDescent="0.45">
      <c r="A141" s="68" t="s">
        <v>302</v>
      </c>
      <c r="B141" s="84">
        <v>1200000</v>
      </c>
      <c r="C141" s="84">
        <v>2343619767</v>
      </c>
      <c r="D141" s="84">
        <v>1901664217</v>
      </c>
      <c r="E141" s="84">
        <v>441955550</v>
      </c>
      <c r="F141" s="84">
        <v>5859613</v>
      </c>
      <c r="G141" s="84">
        <v>11470652483</v>
      </c>
      <c r="H141" s="84">
        <v>9291006652</v>
      </c>
      <c r="I141" s="84">
        <v>2179645831</v>
      </c>
    </row>
    <row r="142" spans="1:9" x14ac:dyDescent="0.45">
      <c r="A142" s="68" t="s">
        <v>303</v>
      </c>
      <c r="B142" s="84">
        <v>0</v>
      </c>
      <c r="C142" s="84">
        <v>0</v>
      </c>
      <c r="D142" s="84">
        <v>0</v>
      </c>
      <c r="E142" s="84">
        <v>0</v>
      </c>
      <c r="F142" s="84">
        <v>4021192</v>
      </c>
      <c r="G142" s="84">
        <v>22550550705</v>
      </c>
      <c r="H142" s="84">
        <v>27924885047</v>
      </c>
      <c r="I142" s="84">
        <v>-5374334342</v>
      </c>
    </row>
    <row r="143" spans="1:9" x14ac:dyDescent="0.45">
      <c r="A143" s="68" t="s">
        <v>304</v>
      </c>
      <c r="B143" s="84">
        <v>0</v>
      </c>
      <c r="C143" s="84">
        <v>0</v>
      </c>
      <c r="D143" s="84">
        <v>0</v>
      </c>
      <c r="E143" s="84">
        <v>0</v>
      </c>
      <c r="F143" s="84">
        <v>6847087</v>
      </c>
      <c r="G143" s="84">
        <v>29901025067</v>
      </c>
      <c r="H143" s="84">
        <v>29115540893</v>
      </c>
      <c r="I143" s="84">
        <v>785484174</v>
      </c>
    </row>
    <row r="144" spans="1:9" x14ac:dyDescent="0.45">
      <c r="A144" s="68" t="s">
        <v>305</v>
      </c>
      <c r="B144" s="84">
        <v>0</v>
      </c>
      <c r="C144" s="84">
        <v>0</v>
      </c>
      <c r="D144" s="84">
        <v>0</v>
      </c>
      <c r="E144" s="84">
        <v>0</v>
      </c>
      <c r="F144" s="84">
        <v>10258397</v>
      </c>
      <c r="G144" s="84">
        <v>17418477479</v>
      </c>
      <c r="H144" s="84">
        <v>20331248787</v>
      </c>
      <c r="I144" s="84">
        <v>-2912771308</v>
      </c>
    </row>
    <row r="145" spans="1:9" x14ac:dyDescent="0.45">
      <c r="A145" s="68" t="s">
        <v>306</v>
      </c>
      <c r="B145" s="84">
        <v>0</v>
      </c>
      <c r="C145" s="84">
        <v>0</v>
      </c>
      <c r="D145" s="84">
        <v>0</v>
      </c>
      <c r="E145" s="84">
        <v>0</v>
      </c>
      <c r="F145" s="84">
        <v>1000000</v>
      </c>
      <c r="G145" s="84">
        <v>32000731270</v>
      </c>
      <c r="H145" s="84">
        <v>28480592016</v>
      </c>
      <c r="I145" s="84">
        <v>3520139254</v>
      </c>
    </row>
    <row r="146" spans="1:9" x14ac:dyDescent="0.45">
      <c r="A146" s="68" t="s">
        <v>307</v>
      </c>
      <c r="B146" s="84">
        <v>0</v>
      </c>
      <c r="C146" s="84">
        <v>0</v>
      </c>
      <c r="D146" s="84">
        <v>0</v>
      </c>
      <c r="E146" s="84">
        <v>0</v>
      </c>
      <c r="F146" s="84">
        <v>3400268</v>
      </c>
      <c r="G146" s="84">
        <v>14484646087</v>
      </c>
      <c r="H146" s="84">
        <v>15243530729</v>
      </c>
      <c r="I146" s="84">
        <v>-758884642</v>
      </c>
    </row>
    <row r="147" spans="1:9" x14ac:dyDescent="0.45">
      <c r="A147" s="68" t="s">
        <v>308</v>
      </c>
      <c r="B147" s="84">
        <v>0</v>
      </c>
      <c r="C147" s="84">
        <v>0</v>
      </c>
      <c r="D147" s="84">
        <v>0</v>
      </c>
      <c r="E147" s="84">
        <v>0</v>
      </c>
      <c r="F147" s="84">
        <v>19134677</v>
      </c>
      <c r="G147" s="84">
        <v>44742024865</v>
      </c>
      <c r="H147" s="84">
        <v>63096887511</v>
      </c>
      <c r="I147" s="84">
        <v>-18354862646</v>
      </c>
    </row>
    <row r="148" spans="1:9" x14ac:dyDescent="0.45">
      <c r="A148" s="68" t="s">
        <v>309</v>
      </c>
      <c r="B148" s="84">
        <v>1035659</v>
      </c>
      <c r="C148" s="84">
        <v>3003240947</v>
      </c>
      <c r="D148" s="84">
        <v>2217677346</v>
      </c>
      <c r="E148" s="84">
        <v>785563601</v>
      </c>
      <c r="F148" s="84">
        <v>3435659</v>
      </c>
      <c r="G148" s="84">
        <v>9854455436</v>
      </c>
      <c r="H148" s="84">
        <v>7357689491</v>
      </c>
      <c r="I148" s="84">
        <v>2496765945</v>
      </c>
    </row>
    <row r="149" spans="1:9" x14ac:dyDescent="0.45">
      <c r="A149" s="68" t="s">
        <v>310</v>
      </c>
      <c r="B149" s="84">
        <v>0</v>
      </c>
      <c r="C149" s="84">
        <v>0</v>
      </c>
      <c r="D149" s="84">
        <v>0</v>
      </c>
      <c r="E149" s="84">
        <v>0</v>
      </c>
      <c r="F149" s="84">
        <v>600000</v>
      </c>
      <c r="G149" s="84">
        <v>6358466227</v>
      </c>
      <c r="H149" s="84">
        <v>5445636962</v>
      </c>
      <c r="I149" s="84">
        <v>912829265</v>
      </c>
    </row>
    <row r="150" spans="1:9" x14ac:dyDescent="0.45">
      <c r="A150" s="68" t="s">
        <v>311</v>
      </c>
      <c r="B150" s="84">
        <v>0</v>
      </c>
      <c r="C150" s="84">
        <v>0</v>
      </c>
      <c r="D150" s="84">
        <v>0</v>
      </c>
      <c r="E150" s="84">
        <v>0</v>
      </c>
      <c r="F150" s="84">
        <v>5200000</v>
      </c>
      <c r="G150" s="84">
        <v>17185200405</v>
      </c>
      <c r="H150" s="84">
        <v>17968814178</v>
      </c>
      <c r="I150" s="84">
        <v>-783613773</v>
      </c>
    </row>
    <row r="151" spans="1:9" x14ac:dyDescent="0.45">
      <c r="A151" s="68" t="s">
        <v>312</v>
      </c>
      <c r="B151" s="84">
        <v>0</v>
      </c>
      <c r="C151" s="84">
        <v>0</v>
      </c>
      <c r="D151" s="84">
        <v>0</v>
      </c>
      <c r="E151" s="84">
        <v>0</v>
      </c>
      <c r="F151" s="84">
        <v>200000</v>
      </c>
      <c r="G151" s="84">
        <v>8314800312</v>
      </c>
      <c r="H151" s="84">
        <v>6531753654</v>
      </c>
      <c r="I151" s="84">
        <v>1783046658</v>
      </c>
    </row>
    <row r="152" spans="1:9" x14ac:dyDescent="0.45">
      <c r="A152" s="68" t="s">
        <v>313</v>
      </c>
      <c r="B152" s="84">
        <v>903324</v>
      </c>
      <c r="C152" s="84">
        <v>8822771871</v>
      </c>
      <c r="D152" s="84">
        <v>7952075517</v>
      </c>
      <c r="E152" s="84">
        <v>870696354</v>
      </c>
      <c r="F152" s="84">
        <v>2911397</v>
      </c>
      <c r="G152" s="84">
        <v>35744217568</v>
      </c>
      <c r="H152" s="84">
        <v>32563930160</v>
      </c>
      <c r="I152" s="84">
        <v>3180287408</v>
      </c>
    </row>
    <row r="153" spans="1:9" x14ac:dyDescent="0.45">
      <c r="A153" s="68" t="s">
        <v>314</v>
      </c>
      <c r="B153" s="84">
        <v>0</v>
      </c>
      <c r="C153" s="84">
        <v>0</v>
      </c>
      <c r="D153" s="84">
        <v>0</v>
      </c>
      <c r="E153" s="84">
        <v>0</v>
      </c>
      <c r="F153" s="84">
        <v>5200000</v>
      </c>
      <c r="G153" s="84">
        <v>25764534866</v>
      </c>
      <c r="H153" s="84">
        <v>28005669779</v>
      </c>
      <c r="I153" s="84">
        <v>-2241134913</v>
      </c>
    </row>
    <row r="154" spans="1:9" x14ac:dyDescent="0.45">
      <c r="A154" s="68" t="s">
        <v>315</v>
      </c>
      <c r="B154" s="84">
        <v>0</v>
      </c>
      <c r="C154" s="84">
        <v>0</v>
      </c>
      <c r="D154" s="84">
        <v>0</v>
      </c>
      <c r="E154" s="84">
        <v>0</v>
      </c>
      <c r="F154" s="84">
        <v>29140929</v>
      </c>
      <c r="G154" s="84">
        <v>47568910745</v>
      </c>
      <c r="H154" s="84">
        <v>44837360540</v>
      </c>
      <c r="I154" s="84">
        <v>2731550205</v>
      </c>
    </row>
    <row r="155" spans="1:9" x14ac:dyDescent="0.45">
      <c r="A155" s="68" t="s">
        <v>316</v>
      </c>
      <c r="B155" s="84">
        <v>2046178</v>
      </c>
      <c r="C155" s="84">
        <v>2040521747</v>
      </c>
      <c r="D155" s="84">
        <v>2601823550</v>
      </c>
      <c r="E155" s="84">
        <v>-561301803</v>
      </c>
      <c r="F155" s="84">
        <v>30031615</v>
      </c>
      <c r="G155" s="84">
        <v>32051541375</v>
      </c>
      <c r="H155" s="84">
        <v>38893646572</v>
      </c>
      <c r="I155" s="84">
        <v>-6842105197</v>
      </c>
    </row>
    <row r="156" spans="1:9" x14ac:dyDescent="0.45">
      <c r="A156" s="68" t="s">
        <v>317</v>
      </c>
      <c r="B156" s="84">
        <v>400000</v>
      </c>
      <c r="C156" s="84">
        <v>2711790177</v>
      </c>
      <c r="D156" s="84">
        <v>3287588330</v>
      </c>
      <c r="E156" s="84">
        <v>-575798153</v>
      </c>
      <c r="F156" s="84">
        <v>1800000</v>
      </c>
      <c r="G156" s="84">
        <v>14470358412</v>
      </c>
      <c r="H156" s="84">
        <v>14776484702</v>
      </c>
      <c r="I156" s="84">
        <v>-306126290</v>
      </c>
    </row>
    <row r="157" spans="1:9" x14ac:dyDescent="0.45">
      <c r="A157" s="68" t="s">
        <v>318</v>
      </c>
      <c r="B157" s="84">
        <v>0</v>
      </c>
      <c r="C157" s="84">
        <v>0</v>
      </c>
      <c r="D157" s="84">
        <v>0</v>
      </c>
      <c r="E157" s="84">
        <v>0</v>
      </c>
      <c r="F157" s="84">
        <v>400000</v>
      </c>
      <c r="G157" s="84">
        <v>1218904474</v>
      </c>
      <c r="H157" s="84">
        <v>1120627118</v>
      </c>
      <c r="I157" s="84">
        <v>98277356</v>
      </c>
    </row>
    <row r="158" spans="1:9" x14ac:dyDescent="0.45">
      <c r="A158" s="68" t="s">
        <v>319</v>
      </c>
      <c r="B158" s="84">
        <v>6526</v>
      </c>
      <c r="C158" s="84">
        <v>87419981</v>
      </c>
      <c r="D158" s="84">
        <v>61022645</v>
      </c>
      <c r="E158" s="84">
        <v>26397336</v>
      </c>
      <c r="F158" s="84">
        <v>662788</v>
      </c>
      <c r="G158" s="84">
        <v>7488516384</v>
      </c>
      <c r="H158" s="84">
        <v>6208357334</v>
      </c>
      <c r="I158" s="84">
        <v>1280159050</v>
      </c>
    </row>
    <row r="159" spans="1:9" x14ac:dyDescent="0.45">
      <c r="A159" s="68" t="s">
        <v>320</v>
      </c>
      <c r="B159" s="84">
        <v>0</v>
      </c>
      <c r="C159" s="84">
        <v>0</v>
      </c>
      <c r="D159" s="84">
        <v>0</v>
      </c>
      <c r="E159" s="84">
        <v>0</v>
      </c>
      <c r="F159" s="84">
        <v>1875000</v>
      </c>
      <c r="G159" s="84">
        <v>6181102605</v>
      </c>
      <c r="H159" s="84">
        <v>5874615480</v>
      </c>
      <c r="I159" s="84">
        <v>306487125</v>
      </c>
    </row>
    <row r="160" spans="1:9" x14ac:dyDescent="0.45">
      <c r="A160" s="68" t="s">
        <v>321</v>
      </c>
      <c r="B160" s="84">
        <v>0</v>
      </c>
      <c r="C160" s="84">
        <v>0</v>
      </c>
      <c r="D160" s="84">
        <v>0</v>
      </c>
      <c r="E160" s="84">
        <v>0</v>
      </c>
      <c r="F160" s="84">
        <v>1547356</v>
      </c>
      <c r="G160" s="84">
        <v>14217825552</v>
      </c>
      <c r="H160" s="84">
        <v>23203362482</v>
      </c>
      <c r="I160" s="84">
        <v>-8985536930</v>
      </c>
    </row>
    <row r="161" spans="1:9" x14ac:dyDescent="0.45">
      <c r="A161" s="68" t="s">
        <v>322</v>
      </c>
      <c r="B161" s="84">
        <v>0</v>
      </c>
      <c r="C161" s="84">
        <v>0</v>
      </c>
      <c r="D161" s="84">
        <v>0</v>
      </c>
      <c r="E161" s="84">
        <v>0</v>
      </c>
      <c r="F161" s="84">
        <v>4816904</v>
      </c>
      <c r="G161" s="84">
        <v>57362339349</v>
      </c>
      <c r="H161" s="84">
        <v>55170823741</v>
      </c>
      <c r="I161" s="84">
        <v>2191515608</v>
      </c>
    </row>
    <row r="162" spans="1:9" x14ac:dyDescent="0.45">
      <c r="A162" s="68" t="s">
        <v>323</v>
      </c>
      <c r="B162" s="84">
        <v>0</v>
      </c>
      <c r="C162" s="84">
        <v>0</v>
      </c>
      <c r="D162" s="84">
        <v>0</v>
      </c>
      <c r="E162" s="84">
        <v>0</v>
      </c>
      <c r="F162" s="84">
        <v>39341220</v>
      </c>
      <c r="G162" s="84">
        <v>53939317415</v>
      </c>
      <c r="H162" s="84">
        <v>48092287281</v>
      </c>
      <c r="I162" s="84">
        <v>5847030134</v>
      </c>
    </row>
    <row r="163" spans="1:9" x14ac:dyDescent="0.45">
      <c r="A163" s="68" t="s">
        <v>324</v>
      </c>
      <c r="B163" s="84">
        <v>0</v>
      </c>
      <c r="C163" s="84">
        <v>0</v>
      </c>
      <c r="D163" s="84">
        <v>0</v>
      </c>
      <c r="E163" s="84">
        <v>0</v>
      </c>
      <c r="F163" s="84">
        <v>2400000</v>
      </c>
      <c r="G163" s="84">
        <v>13582522587</v>
      </c>
      <c r="H163" s="84">
        <v>8106919558</v>
      </c>
      <c r="I163" s="84">
        <v>5475603029</v>
      </c>
    </row>
    <row r="164" spans="1:9" x14ac:dyDescent="0.45">
      <c r="A164" s="68" t="s">
        <v>325</v>
      </c>
      <c r="B164" s="84">
        <v>100000</v>
      </c>
      <c r="C164" s="84">
        <v>1086535664</v>
      </c>
      <c r="D164" s="84">
        <v>920671337</v>
      </c>
      <c r="E164" s="84">
        <v>165864327</v>
      </c>
      <c r="F164" s="84">
        <v>1197410</v>
      </c>
      <c r="G164" s="84">
        <v>12875268186</v>
      </c>
      <c r="H164" s="84">
        <v>10338525306</v>
      </c>
      <c r="I164" s="84">
        <v>2536742880</v>
      </c>
    </row>
    <row r="165" spans="1:9" x14ac:dyDescent="0.45">
      <c r="A165" s="68" t="s">
        <v>326</v>
      </c>
      <c r="B165" s="84">
        <v>1023784</v>
      </c>
      <c r="C165" s="84">
        <v>2496380215</v>
      </c>
      <c r="D165" s="84">
        <v>2737101447</v>
      </c>
      <c r="E165" s="84">
        <v>-240721232</v>
      </c>
      <c r="F165" s="84">
        <v>10623784</v>
      </c>
      <c r="G165" s="84">
        <v>26633148343</v>
      </c>
      <c r="H165" s="84">
        <v>27772723640</v>
      </c>
      <c r="I165" s="84">
        <v>-1139575297</v>
      </c>
    </row>
    <row r="166" spans="1:9" x14ac:dyDescent="0.45">
      <c r="A166" s="68" t="s">
        <v>327</v>
      </c>
      <c r="B166" s="84">
        <v>0</v>
      </c>
      <c r="C166" s="84">
        <v>0</v>
      </c>
      <c r="D166" s="84">
        <v>0</v>
      </c>
      <c r="E166" s="84">
        <v>0</v>
      </c>
      <c r="F166" s="84">
        <v>250126</v>
      </c>
      <c r="G166" s="84">
        <v>5949099256</v>
      </c>
      <c r="H166" s="84">
        <v>4651241856</v>
      </c>
      <c r="I166" s="84">
        <v>1297857400</v>
      </c>
    </row>
    <row r="167" spans="1:9" x14ac:dyDescent="0.45">
      <c r="A167" s="68" t="s">
        <v>328</v>
      </c>
      <c r="B167" s="84">
        <v>0</v>
      </c>
      <c r="C167" s="84">
        <v>0</v>
      </c>
      <c r="D167" s="84">
        <v>0</v>
      </c>
      <c r="E167" s="84">
        <v>0</v>
      </c>
      <c r="F167" s="84">
        <v>3844129</v>
      </c>
      <c r="G167" s="84">
        <v>11980664108</v>
      </c>
      <c r="H167" s="84">
        <v>7246860608</v>
      </c>
      <c r="I167" s="84">
        <v>4733803500</v>
      </c>
    </row>
    <row r="168" spans="1:9" x14ac:dyDescent="0.45">
      <c r="A168" s="68" t="s">
        <v>329</v>
      </c>
      <c r="B168" s="84">
        <v>0</v>
      </c>
      <c r="C168" s="84">
        <v>0</v>
      </c>
      <c r="D168" s="84">
        <v>0</v>
      </c>
      <c r="E168" s="84">
        <v>0</v>
      </c>
      <c r="F168" s="84">
        <v>1473767</v>
      </c>
      <c r="G168" s="84">
        <v>4458085477</v>
      </c>
      <c r="H168" s="84">
        <v>4804881175</v>
      </c>
      <c r="I168" s="84">
        <v>-346795698</v>
      </c>
    </row>
    <row r="169" spans="1:9" x14ac:dyDescent="0.45">
      <c r="A169" s="68" t="s">
        <v>330</v>
      </c>
      <c r="B169" s="84">
        <v>101654</v>
      </c>
      <c r="C169" s="84">
        <v>483158779</v>
      </c>
      <c r="D169" s="84">
        <v>548253208</v>
      </c>
      <c r="E169" s="84">
        <v>-65094429</v>
      </c>
      <c r="F169" s="84">
        <v>2271692</v>
      </c>
      <c r="G169" s="84">
        <v>13705700869</v>
      </c>
      <c r="H169" s="84">
        <v>10882928114</v>
      </c>
      <c r="I169" s="84">
        <v>2822772755</v>
      </c>
    </row>
    <row r="170" spans="1:9" x14ac:dyDescent="0.45">
      <c r="A170" s="68" t="s">
        <v>331</v>
      </c>
      <c r="B170" s="84">
        <v>3084217</v>
      </c>
      <c r="C170" s="84">
        <v>5246962350</v>
      </c>
      <c r="D170" s="84">
        <v>5462872921</v>
      </c>
      <c r="E170" s="84">
        <v>-215910571</v>
      </c>
      <c r="F170" s="84">
        <v>15697862</v>
      </c>
      <c r="G170" s="84">
        <v>27002047488</v>
      </c>
      <c r="H170" s="84">
        <v>27406359518</v>
      </c>
      <c r="I170" s="84">
        <v>-404312030</v>
      </c>
    </row>
    <row r="171" spans="1:9" x14ac:dyDescent="0.45">
      <c r="A171" s="68" t="s">
        <v>332</v>
      </c>
      <c r="B171" s="84">
        <v>0</v>
      </c>
      <c r="C171" s="84">
        <v>0</v>
      </c>
      <c r="D171" s="84">
        <v>0</v>
      </c>
      <c r="E171" s="84">
        <v>0</v>
      </c>
      <c r="F171" s="84">
        <v>5620673</v>
      </c>
      <c r="G171" s="84">
        <v>22373918449</v>
      </c>
      <c r="H171" s="84">
        <v>19284819566</v>
      </c>
      <c r="I171" s="84">
        <v>3089098883</v>
      </c>
    </row>
    <row r="172" spans="1:9" x14ac:dyDescent="0.45">
      <c r="A172" s="68" t="s">
        <v>333</v>
      </c>
      <c r="B172" s="84">
        <v>800000</v>
      </c>
      <c r="C172" s="84">
        <v>3084769012</v>
      </c>
      <c r="D172" s="84">
        <v>2925023235</v>
      </c>
      <c r="E172" s="84">
        <v>159745777</v>
      </c>
      <c r="F172" s="84">
        <v>5053402</v>
      </c>
      <c r="G172" s="84">
        <v>19151846879</v>
      </c>
      <c r="H172" s="84">
        <v>17414995306</v>
      </c>
      <c r="I172" s="84">
        <v>1736851573</v>
      </c>
    </row>
    <row r="173" spans="1:9" x14ac:dyDescent="0.45">
      <c r="A173" s="68" t="s">
        <v>334</v>
      </c>
      <c r="B173" s="84">
        <v>0</v>
      </c>
      <c r="C173" s="84">
        <v>0</v>
      </c>
      <c r="D173" s="84">
        <v>0</v>
      </c>
      <c r="E173" s="84">
        <v>0</v>
      </c>
      <c r="F173" s="84">
        <v>2212667</v>
      </c>
      <c r="G173" s="84">
        <v>10378460704</v>
      </c>
      <c r="H173" s="84">
        <v>7729758996</v>
      </c>
      <c r="I173" s="84">
        <v>2648701708</v>
      </c>
    </row>
    <row r="174" spans="1:9" x14ac:dyDescent="0.45">
      <c r="A174" s="68" t="s">
        <v>335</v>
      </c>
      <c r="B174" s="84">
        <v>0</v>
      </c>
      <c r="C174" s="84">
        <v>0</v>
      </c>
      <c r="D174" s="84">
        <v>0</v>
      </c>
      <c r="E174" s="84">
        <v>0</v>
      </c>
      <c r="F174" s="84">
        <v>3609494</v>
      </c>
      <c r="G174" s="84">
        <v>33383448064</v>
      </c>
      <c r="H174" s="84">
        <v>28745053145</v>
      </c>
      <c r="I174" s="84">
        <v>4638394919</v>
      </c>
    </row>
    <row r="175" spans="1:9" x14ac:dyDescent="0.45">
      <c r="A175" s="68" t="s">
        <v>336</v>
      </c>
      <c r="B175" s="84">
        <v>0</v>
      </c>
      <c r="C175" s="84">
        <v>0</v>
      </c>
      <c r="D175" s="84">
        <v>0</v>
      </c>
      <c r="E175" s="84">
        <v>0</v>
      </c>
      <c r="F175" s="84">
        <v>750</v>
      </c>
      <c r="G175" s="84">
        <v>34443835</v>
      </c>
      <c r="H175" s="84">
        <v>35616912</v>
      </c>
      <c r="I175" s="84">
        <v>-1173077</v>
      </c>
    </row>
    <row r="176" spans="1:9" x14ac:dyDescent="0.45">
      <c r="A176" s="68" t="s">
        <v>337</v>
      </c>
      <c r="B176" s="84">
        <v>109354</v>
      </c>
      <c r="C176" s="84">
        <v>855184533</v>
      </c>
      <c r="D176" s="84">
        <v>787280987</v>
      </c>
      <c r="E176" s="84">
        <v>67903546</v>
      </c>
      <c r="F176" s="84">
        <v>109354</v>
      </c>
      <c r="G176" s="84">
        <v>855184533</v>
      </c>
      <c r="H176" s="84">
        <v>787280987</v>
      </c>
      <c r="I176" s="84">
        <v>67903546</v>
      </c>
    </row>
    <row r="177" spans="1:9" x14ac:dyDescent="0.45">
      <c r="A177" s="68" t="s">
        <v>338</v>
      </c>
      <c r="B177" s="84">
        <v>2800000</v>
      </c>
      <c r="C177" s="84">
        <v>4089766936</v>
      </c>
      <c r="D177" s="84">
        <v>4353896327</v>
      </c>
      <c r="E177" s="84">
        <v>-264129391</v>
      </c>
      <c r="F177" s="84">
        <v>7575521</v>
      </c>
      <c r="G177" s="84">
        <v>11477106590</v>
      </c>
      <c r="H177" s="84">
        <v>11776444559</v>
      </c>
      <c r="I177" s="84">
        <v>-299337969</v>
      </c>
    </row>
    <row r="178" spans="1:9" x14ac:dyDescent="0.45">
      <c r="A178" s="68" t="s">
        <v>339</v>
      </c>
      <c r="B178" s="84">
        <v>0</v>
      </c>
      <c r="C178" s="84">
        <v>0</v>
      </c>
      <c r="D178" s="84">
        <v>0</v>
      </c>
      <c r="E178" s="84">
        <v>0</v>
      </c>
      <c r="F178" s="84">
        <v>19290180</v>
      </c>
      <c r="G178" s="84">
        <v>59829482450</v>
      </c>
      <c r="H178" s="84">
        <v>80770699412</v>
      </c>
      <c r="I178" s="84">
        <v>-20941216962</v>
      </c>
    </row>
    <row r="179" spans="1:9" x14ac:dyDescent="0.45">
      <c r="A179" s="68" t="s">
        <v>340</v>
      </c>
      <c r="B179" s="84">
        <v>0</v>
      </c>
      <c r="C179" s="84">
        <v>0</v>
      </c>
      <c r="D179" s="84">
        <v>0</v>
      </c>
      <c r="E179" s="84">
        <v>0</v>
      </c>
      <c r="F179" s="84">
        <v>19200000</v>
      </c>
      <c r="G179" s="84">
        <v>28937919617</v>
      </c>
      <c r="H179" s="84">
        <v>30007296547</v>
      </c>
      <c r="I179" s="84">
        <v>-1069376930</v>
      </c>
    </row>
    <row r="180" spans="1:9" x14ac:dyDescent="0.45">
      <c r="A180" s="68" t="s">
        <v>341</v>
      </c>
      <c r="B180" s="84">
        <v>0</v>
      </c>
      <c r="C180" s="84">
        <v>0</v>
      </c>
      <c r="D180" s="84">
        <v>0</v>
      </c>
      <c r="E180" s="84">
        <v>0</v>
      </c>
      <c r="F180" s="84">
        <v>500000</v>
      </c>
      <c r="G180" s="84">
        <v>6011371915</v>
      </c>
      <c r="H180" s="84">
        <v>8791182875</v>
      </c>
      <c r="I180" s="84">
        <v>-2779810960</v>
      </c>
    </row>
    <row r="181" spans="1:9" x14ac:dyDescent="0.45">
      <c r="A181" s="68" t="s">
        <v>342</v>
      </c>
      <c r="B181" s="84">
        <v>0</v>
      </c>
      <c r="C181" s="84">
        <v>0</v>
      </c>
      <c r="D181" s="84">
        <v>0</v>
      </c>
      <c r="E181" s="84">
        <v>0</v>
      </c>
      <c r="F181" s="84">
        <v>2556635</v>
      </c>
      <c r="G181" s="84">
        <v>30091637060</v>
      </c>
      <c r="H181" s="84">
        <v>24018075307</v>
      </c>
      <c r="I181" s="84">
        <v>6073561753</v>
      </c>
    </row>
    <row r="182" spans="1:9" x14ac:dyDescent="0.45">
      <c r="A182" s="68" t="s">
        <v>343</v>
      </c>
      <c r="B182" s="84">
        <v>0</v>
      </c>
      <c r="C182" s="84">
        <v>0</v>
      </c>
      <c r="D182" s="84">
        <v>0</v>
      </c>
      <c r="E182" s="84">
        <v>0</v>
      </c>
      <c r="F182" s="84">
        <v>313138</v>
      </c>
      <c r="G182" s="84">
        <v>13117119461</v>
      </c>
      <c r="H182" s="84">
        <v>10224651314</v>
      </c>
      <c r="I182" s="84">
        <v>2892468147</v>
      </c>
    </row>
    <row r="183" spans="1:9" x14ac:dyDescent="0.45">
      <c r="A183" s="68" t="s">
        <v>344</v>
      </c>
      <c r="B183" s="84">
        <v>32055</v>
      </c>
      <c r="C183" s="84">
        <v>1253204268</v>
      </c>
      <c r="D183" s="84">
        <v>1251735494</v>
      </c>
      <c r="E183" s="84">
        <v>1468774</v>
      </c>
      <c r="F183" s="84">
        <v>232055</v>
      </c>
      <c r="G183" s="84">
        <v>10025075455</v>
      </c>
      <c r="H183" s="84">
        <v>8128087774</v>
      </c>
      <c r="I183" s="84">
        <v>1896987681</v>
      </c>
    </row>
    <row r="184" spans="1:9" x14ac:dyDescent="0.45">
      <c r="A184" s="68" t="s">
        <v>345</v>
      </c>
      <c r="B184" s="84">
        <v>0</v>
      </c>
      <c r="C184" s="84">
        <v>0</v>
      </c>
      <c r="D184" s="84">
        <v>0</v>
      </c>
      <c r="E184" s="84">
        <v>0</v>
      </c>
      <c r="F184" s="84">
        <v>3670216</v>
      </c>
      <c r="G184" s="84">
        <v>28005729951</v>
      </c>
      <c r="H184" s="84">
        <v>19864293654</v>
      </c>
      <c r="I184" s="84">
        <v>8141436297</v>
      </c>
    </row>
    <row r="185" spans="1:9" x14ac:dyDescent="0.45">
      <c r="A185" s="68" t="s">
        <v>346</v>
      </c>
      <c r="B185" s="84">
        <v>145347</v>
      </c>
      <c r="C185" s="84">
        <v>577643938</v>
      </c>
      <c r="D185" s="84">
        <v>574843241</v>
      </c>
      <c r="E185" s="84">
        <v>2800697</v>
      </c>
      <c r="F185" s="84">
        <v>4058673</v>
      </c>
      <c r="G185" s="84">
        <v>16586678737</v>
      </c>
      <c r="H185" s="84">
        <v>16048379657</v>
      </c>
      <c r="I185" s="84">
        <v>538299080</v>
      </c>
    </row>
    <row r="186" spans="1:9" x14ac:dyDescent="0.45">
      <c r="A186" s="68" t="s">
        <v>347</v>
      </c>
      <c r="B186" s="84">
        <v>0</v>
      </c>
      <c r="C186" s="84">
        <v>0</v>
      </c>
      <c r="D186" s="84">
        <v>0</v>
      </c>
      <c r="E186" s="84">
        <v>0</v>
      </c>
      <c r="F186" s="84">
        <v>400000</v>
      </c>
      <c r="G186" s="84">
        <v>2171154321</v>
      </c>
      <c r="H186" s="84">
        <v>1961995973</v>
      </c>
      <c r="I186" s="84">
        <v>209158348</v>
      </c>
    </row>
    <row r="187" spans="1:9" x14ac:dyDescent="0.45">
      <c r="A187" s="68" t="s">
        <v>348</v>
      </c>
      <c r="B187" s="84">
        <v>300000</v>
      </c>
      <c r="C187" s="84">
        <v>11520112698</v>
      </c>
      <c r="D187" s="84">
        <v>11017743314</v>
      </c>
      <c r="E187" s="84">
        <v>502369384</v>
      </c>
      <c r="F187" s="84">
        <v>621245</v>
      </c>
      <c r="G187" s="84">
        <v>22750501035</v>
      </c>
      <c r="H187" s="84">
        <v>22723049511</v>
      </c>
      <c r="I187" s="84">
        <v>27451524</v>
      </c>
    </row>
    <row r="188" spans="1:9" x14ac:dyDescent="0.45">
      <c r="A188" s="68" t="s">
        <v>349</v>
      </c>
      <c r="B188" s="84">
        <v>0</v>
      </c>
      <c r="C188" s="84">
        <v>0</v>
      </c>
      <c r="D188" s="84">
        <v>0</v>
      </c>
      <c r="E188" s="84">
        <v>0</v>
      </c>
      <c r="F188" s="84">
        <v>17238636</v>
      </c>
      <c r="G188" s="84">
        <v>40568951218</v>
      </c>
      <c r="H188" s="84">
        <v>39256683796</v>
      </c>
      <c r="I188" s="84">
        <v>1312267422</v>
      </c>
    </row>
    <row r="189" spans="1:9" x14ac:dyDescent="0.45">
      <c r="A189" s="68" t="s">
        <v>350</v>
      </c>
      <c r="B189" s="84">
        <v>143742</v>
      </c>
      <c r="C189" s="84">
        <v>434168387</v>
      </c>
      <c r="D189" s="84">
        <v>500542456</v>
      </c>
      <c r="E189" s="84">
        <v>-66374069</v>
      </c>
      <c r="F189" s="84">
        <v>3247457</v>
      </c>
      <c r="G189" s="84">
        <v>12065946914</v>
      </c>
      <c r="H189" s="84">
        <v>11290803224</v>
      </c>
      <c r="I189" s="84">
        <v>775143690</v>
      </c>
    </row>
    <row r="190" spans="1:9" x14ac:dyDescent="0.45">
      <c r="A190" s="68" t="s">
        <v>351</v>
      </c>
      <c r="B190" s="84">
        <v>0</v>
      </c>
      <c r="C190" s="84">
        <v>0</v>
      </c>
      <c r="D190" s="84">
        <v>0</v>
      </c>
      <c r="E190" s="84">
        <v>0</v>
      </c>
      <c r="F190" s="84">
        <v>743914</v>
      </c>
      <c r="G190" s="84">
        <v>19470976840</v>
      </c>
      <c r="H190" s="84">
        <v>11255703562</v>
      </c>
      <c r="I190" s="84">
        <v>8215273278</v>
      </c>
    </row>
    <row r="191" spans="1:9" x14ac:dyDescent="0.45">
      <c r="A191" s="68" t="s">
        <v>352</v>
      </c>
      <c r="B191" s="84">
        <v>4400000</v>
      </c>
      <c r="C191" s="84">
        <v>6243490716</v>
      </c>
      <c r="D191" s="84">
        <v>7917948738</v>
      </c>
      <c r="E191" s="84">
        <v>-1674458022</v>
      </c>
      <c r="F191" s="84">
        <v>14268326</v>
      </c>
      <c r="G191" s="84">
        <v>22172794653</v>
      </c>
      <c r="H191" s="84">
        <v>25661328027</v>
      </c>
      <c r="I191" s="84">
        <v>-3488533374</v>
      </c>
    </row>
    <row r="192" spans="1:9" x14ac:dyDescent="0.45">
      <c r="A192" s="68" t="s">
        <v>353</v>
      </c>
      <c r="B192" s="84">
        <v>100000</v>
      </c>
      <c r="C192" s="84">
        <v>1528095805</v>
      </c>
      <c r="D192" s="84">
        <v>1849702476</v>
      </c>
      <c r="E192" s="84">
        <v>-321606671</v>
      </c>
      <c r="F192" s="84">
        <v>800000</v>
      </c>
      <c r="G192" s="84">
        <v>12998711774</v>
      </c>
      <c r="H192" s="84">
        <v>14386875756</v>
      </c>
      <c r="I192" s="84">
        <v>-1388163982</v>
      </c>
    </row>
    <row r="193" spans="1:9" x14ac:dyDescent="0.45">
      <c r="A193" s="68" t="s">
        <v>354</v>
      </c>
      <c r="B193" s="84">
        <v>0</v>
      </c>
      <c r="C193" s="84">
        <v>0</v>
      </c>
      <c r="D193" s="84">
        <v>0</v>
      </c>
      <c r="E193" s="84">
        <v>0</v>
      </c>
      <c r="F193" s="84">
        <v>100000</v>
      </c>
      <c r="G193" s="84">
        <v>3252661073</v>
      </c>
      <c r="H193" s="84">
        <v>3214579960</v>
      </c>
      <c r="I193" s="84">
        <v>38081113</v>
      </c>
    </row>
    <row r="194" spans="1:9" x14ac:dyDescent="0.45">
      <c r="A194" s="68" t="s">
        <v>355</v>
      </c>
      <c r="B194" s="84">
        <v>0</v>
      </c>
      <c r="C194" s="84">
        <v>0</v>
      </c>
      <c r="D194" s="84">
        <v>0</v>
      </c>
      <c r="E194" s="84">
        <v>0</v>
      </c>
      <c r="F194" s="84">
        <v>230180</v>
      </c>
      <c r="G194" s="84">
        <v>4393589308</v>
      </c>
      <c r="H194" s="84">
        <v>4394477993</v>
      </c>
      <c r="I194" s="84">
        <v>-888685</v>
      </c>
    </row>
    <row r="195" spans="1:9" x14ac:dyDescent="0.45">
      <c r="A195" s="68" t="s">
        <v>356</v>
      </c>
      <c r="B195" s="84">
        <v>190104</v>
      </c>
      <c r="C195" s="84">
        <v>1339304925</v>
      </c>
      <c r="D195" s="84">
        <v>1283114298</v>
      </c>
      <c r="E195" s="84">
        <v>56190627</v>
      </c>
      <c r="F195" s="84">
        <v>246893</v>
      </c>
      <c r="G195" s="84">
        <v>1959068821</v>
      </c>
      <c r="H195" s="84">
        <v>1838311248</v>
      </c>
      <c r="I195" s="84">
        <v>120757573</v>
      </c>
    </row>
    <row r="196" spans="1:9" ht="18.75" thickBot="1" x14ac:dyDescent="0.5">
      <c r="A196" s="68" t="s">
        <v>2</v>
      </c>
      <c r="B196" s="85">
        <f t="shared" ref="B196:I196" si="0">SUM(B7:B195)</f>
        <v>59475514</v>
      </c>
      <c r="C196" s="85">
        <f t="shared" si="0"/>
        <v>155566116486</v>
      </c>
      <c r="D196" s="85">
        <f t="shared" si="0"/>
        <v>167412520039</v>
      </c>
      <c r="E196" s="85">
        <f t="shared" si="0"/>
        <v>-11846403553</v>
      </c>
      <c r="F196" s="85">
        <f t="shared" si="0"/>
        <v>973740595</v>
      </c>
      <c r="G196" s="85">
        <f t="shared" si="0"/>
        <v>4074487688206</v>
      </c>
      <c r="H196" s="85">
        <f t="shared" si="0"/>
        <v>3892868848716</v>
      </c>
      <c r="I196" s="85">
        <f t="shared" si="0"/>
        <v>181618839490</v>
      </c>
    </row>
    <row r="197" spans="1:9" ht="18.75" thickTop="1" x14ac:dyDescent="0.45"/>
  </sheetData>
  <mergeCells count="7">
    <mergeCell ref="A1:I1"/>
    <mergeCell ref="A2:I2"/>
    <mergeCell ref="A3:I3"/>
    <mergeCell ref="B5:E5"/>
    <mergeCell ref="F5:I5"/>
    <mergeCell ref="A4:E4"/>
    <mergeCell ref="F4:I4"/>
  </mergeCells>
  <pageMargins left="0.7" right="0.7" top="0.75" bottom="0.75" header="0.3" footer="0.3"/>
  <pageSetup scale="64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5"/>
  <sheetViews>
    <sheetView rightToLeft="1" view="pageBreakPreview" topLeftCell="A215" zoomScaleNormal="100" zoomScaleSheetLayoutView="100" workbookViewId="0">
      <selection activeCell="S13" sqref="S13"/>
    </sheetView>
  </sheetViews>
  <sheetFormatPr defaultRowHeight="18" x14ac:dyDescent="0.45"/>
  <cols>
    <col min="1" max="1" width="32.5703125" style="10" customWidth="1"/>
    <col min="2" max="2" width="21.5703125" style="10" customWidth="1"/>
    <col min="3" max="3" width="20.7109375" style="10" customWidth="1"/>
    <col min="4" max="4" width="23" style="10" customWidth="1"/>
    <col min="5" max="5" width="18.7109375" style="10" customWidth="1"/>
    <col min="6" max="6" width="24.28515625" style="10" customWidth="1"/>
    <col min="7" max="7" width="21.5703125" style="10" customWidth="1"/>
    <col min="8" max="8" width="28.7109375" style="10" customWidth="1"/>
    <col min="9" max="9" width="25.7109375" style="10" customWidth="1"/>
    <col min="10" max="16384" width="9.140625" style="10"/>
  </cols>
  <sheetData>
    <row r="1" spans="1:9" ht="21" x14ac:dyDescent="0.55000000000000004">
      <c r="A1" s="104" t="s">
        <v>156</v>
      </c>
      <c r="B1" s="104"/>
      <c r="C1" s="104"/>
      <c r="D1" s="104"/>
      <c r="E1" s="104"/>
      <c r="F1" s="104"/>
      <c r="G1" s="104"/>
      <c r="H1" s="104"/>
      <c r="I1" s="104"/>
    </row>
    <row r="2" spans="1:9" ht="21" x14ac:dyDescent="0.55000000000000004">
      <c r="A2" s="104" t="s">
        <v>82</v>
      </c>
      <c r="B2" s="104"/>
      <c r="C2" s="104"/>
      <c r="D2" s="104"/>
      <c r="E2" s="104"/>
      <c r="F2" s="104"/>
      <c r="G2" s="104"/>
      <c r="H2" s="104"/>
      <c r="I2" s="104"/>
    </row>
    <row r="3" spans="1:9" ht="21" x14ac:dyDescent="0.55000000000000004">
      <c r="A3" s="104" t="s">
        <v>157</v>
      </c>
      <c r="B3" s="104"/>
      <c r="C3" s="104"/>
      <c r="D3" s="104"/>
      <c r="E3" s="104"/>
      <c r="F3" s="104"/>
      <c r="G3" s="104"/>
      <c r="H3" s="104"/>
      <c r="I3" s="104"/>
    </row>
    <row r="4" spans="1:9" ht="21" x14ac:dyDescent="0.45">
      <c r="A4" s="105" t="s">
        <v>64</v>
      </c>
      <c r="B4" s="105"/>
      <c r="C4" s="105"/>
      <c r="D4" s="105"/>
    </row>
    <row r="5" spans="1:9" ht="16.5" customHeight="1" thickBot="1" x14ac:dyDescent="0.5">
      <c r="B5" s="138" t="s">
        <v>136</v>
      </c>
      <c r="C5" s="138"/>
      <c r="D5" s="138"/>
      <c r="E5" s="138"/>
      <c r="F5" s="126" t="s">
        <v>158</v>
      </c>
      <c r="G5" s="126"/>
      <c r="H5" s="126"/>
      <c r="I5" s="126"/>
    </row>
    <row r="6" spans="1:9" ht="53.25" customHeight="1" thickBot="1" x14ac:dyDescent="0.5">
      <c r="A6" s="53" t="s">
        <v>53</v>
      </c>
      <c r="B6" s="28" t="s">
        <v>3</v>
      </c>
      <c r="C6" s="30" t="s">
        <v>27</v>
      </c>
      <c r="D6" s="28" t="s">
        <v>65</v>
      </c>
      <c r="E6" s="35" t="s">
        <v>66</v>
      </c>
      <c r="F6" s="28" t="s">
        <v>3</v>
      </c>
      <c r="G6" s="30" t="s">
        <v>27</v>
      </c>
      <c r="H6" s="28" t="s">
        <v>65</v>
      </c>
      <c r="I6" s="35" t="s">
        <v>66</v>
      </c>
    </row>
    <row r="7" spans="1:9" x14ac:dyDescent="0.45">
      <c r="A7" s="68" t="s">
        <v>243</v>
      </c>
      <c r="B7" s="84">
        <v>5383135</v>
      </c>
      <c r="C7" s="84">
        <v>30286437488</v>
      </c>
      <c r="D7" s="84">
        <v>30343196462</v>
      </c>
      <c r="E7" s="84">
        <v>-56758974</v>
      </c>
      <c r="F7" s="84">
        <v>5383135</v>
      </c>
      <c r="G7" s="84">
        <v>30286437488</v>
      </c>
      <c r="H7" s="84">
        <v>34464954868</v>
      </c>
      <c r="I7" s="84">
        <v>-4178517380</v>
      </c>
    </row>
    <row r="8" spans="1:9" x14ac:dyDescent="0.45">
      <c r="A8" s="68" t="s">
        <v>356</v>
      </c>
      <c r="B8" s="84">
        <v>6742935</v>
      </c>
      <c r="C8" s="84">
        <v>48441479694</v>
      </c>
      <c r="D8" s="84">
        <v>47963289944</v>
      </c>
      <c r="E8" s="84">
        <v>478189750</v>
      </c>
      <c r="F8" s="84">
        <v>6742935</v>
      </c>
      <c r="G8" s="84">
        <v>48441479694</v>
      </c>
      <c r="H8" s="84">
        <v>45881772879</v>
      </c>
      <c r="I8" s="84">
        <v>2559706815</v>
      </c>
    </row>
    <row r="9" spans="1:9" x14ac:dyDescent="0.45">
      <c r="A9" s="68" t="s">
        <v>197</v>
      </c>
      <c r="B9" s="84">
        <v>158909</v>
      </c>
      <c r="C9" s="84">
        <v>17472590990</v>
      </c>
      <c r="D9" s="84">
        <v>19585511478</v>
      </c>
      <c r="E9" s="84">
        <v>-2112920488</v>
      </c>
      <c r="F9" s="84">
        <v>158909</v>
      </c>
      <c r="G9" s="84">
        <v>17472590990</v>
      </c>
      <c r="H9" s="84">
        <v>18355763158</v>
      </c>
      <c r="I9" s="84">
        <v>-883172168</v>
      </c>
    </row>
    <row r="10" spans="1:9" x14ac:dyDescent="0.45">
      <c r="A10" s="68" t="s">
        <v>262</v>
      </c>
      <c r="B10" s="84">
        <v>2862943</v>
      </c>
      <c r="C10" s="84">
        <v>15823325350</v>
      </c>
      <c r="D10" s="84">
        <v>16817609708</v>
      </c>
      <c r="E10" s="84">
        <v>-994284358</v>
      </c>
      <c r="F10" s="84">
        <v>2862943</v>
      </c>
      <c r="G10" s="84">
        <v>15823325350</v>
      </c>
      <c r="H10" s="84">
        <v>16474768843</v>
      </c>
      <c r="I10" s="84">
        <v>-651443493</v>
      </c>
    </row>
    <row r="11" spans="1:9" x14ac:dyDescent="0.45">
      <c r="A11" s="68" t="s">
        <v>357</v>
      </c>
      <c r="B11" s="84">
        <v>50000</v>
      </c>
      <c r="C11" s="84">
        <v>1227934125</v>
      </c>
      <c r="D11" s="84">
        <v>1262663575</v>
      </c>
      <c r="E11" s="84">
        <v>-34729450</v>
      </c>
      <c r="F11" s="84">
        <v>50000</v>
      </c>
      <c r="G11" s="84">
        <v>1227934125</v>
      </c>
      <c r="H11" s="84">
        <v>1304690625</v>
      </c>
      <c r="I11" s="84">
        <v>-76756500</v>
      </c>
    </row>
    <row r="12" spans="1:9" x14ac:dyDescent="0.45">
      <c r="A12" s="68" t="s">
        <v>292</v>
      </c>
      <c r="B12" s="84">
        <v>3814542</v>
      </c>
      <c r="C12" s="84">
        <v>15851812812</v>
      </c>
      <c r="D12" s="84">
        <v>16885132989</v>
      </c>
      <c r="E12" s="84">
        <v>-1033320177</v>
      </c>
      <c r="F12" s="84">
        <v>3814542</v>
      </c>
      <c r="G12" s="84">
        <v>15851812812</v>
      </c>
      <c r="H12" s="84">
        <v>16572695909</v>
      </c>
      <c r="I12" s="84">
        <v>-720883097</v>
      </c>
    </row>
    <row r="13" spans="1:9" x14ac:dyDescent="0.45">
      <c r="A13" s="68" t="s">
        <v>359</v>
      </c>
      <c r="B13" s="84">
        <v>245000</v>
      </c>
      <c r="C13" s="84">
        <v>2525872898</v>
      </c>
      <c r="D13" s="84">
        <v>2479682730</v>
      </c>
      <c r="E13" s="84">
        <v>46190168</v>
      </c>
      <c r="F13" s="84">
        <v>245000</v>
      </c>
      <c r="G13" s="84">
        <v>2525872898</v>
      </c>
      <c r="H13" s="84">
        <v>1736456242</v>
      </c>
      <c r="I13" s="84">
        <v>789416656</v>
      </c>
    </row>
    <row r="14" spans="1:9" x14ac:dyDescent="0.45">
      <c r="A14" s="68" t="s">
        <v>304</v>
      </c>
      <c r="B14" s="84">
        <v>2124125</v>
      </c>
      <c r="C14" s="84">
        <v>7929188143</v>
      </c>
      <c r="D14" s="84">
        <v>8093589173</v>
      </c>
      <c r="E14" s="84">
        <v>-164401030</v>
      </c>
      <c r="F14" s="84">
        <v>2124125</v>
      </c>
      <c r="G14" s="84">
        <v>7929188143</v>
      </c>
      <c r="H14" s="84">
        <v>8803931592</v>
      </c>
      <c r="I14" s="84">
        <v>-874743449</v>
      </c>
    </row>
    <row r="15" spans="1:9" x14ac:dyDescent="0.45">
      <c r="A15" s="68" t="s">
        <v>325</v>
      </c>
      <c r="B15" s="84">
        <v>2398170</v>
      </c>
      <c r="C15" s="84">
        <v>25842805104</v>
      </c>
      <c r="D15" s="84">
        <v>27429012956</v>
      </c>
      <c r="E15" s="84">
        <v>-1586207852</v>
      </c>
      <c r="F15" s="84">
        <v>2398170</v>
      </c>
      <c r="G15" s="84">
        <v>25842805104</v>
      </c>
      <c r="H15" s="84">
        <v>22282252977</v>
      </c>
      <c r="I15" s="84">
        <v>3560552127</v>
      </c>
    </row>
    <row r="16" spans="1:9" x14ac:dyDescent="0.45">
      <c r="A16" s="68" t="s">
        <v>280</v>
      </c>
      <c r="B16" s="84">
        <v>8948358</v>
      </c>
      <c r="C16" s="84">
        <v>17971474878</v>
      </c>
      <c r="D16" s="84">
        <v>17420965272</v>
      </c>
      <c r="E16" s="84">
        <v>550509606</v>
      </c>
      <c r="F16" s="84">
        <v>8948358</v>
      </c>
      <c r="G16" s="84">
        <v>17971474878</v>
      </c>
      <c r="H16" s="84">
        <v>14347988206</v>
      </c>
      <c r="I16" s="84">
        <v>3623486672</v>
      </c>
    </row>
    <row r="17" spans="1:9" x14ac:dyDescent="0.45">
      <c r="A17" s="68" t="s">
        <v>307</v>
      </c>
      <c r="B17" s="84">
        <v>8421427</v>
      </c>
      <c r="C17" s="84">
        <v>28737416701</v>
      </c>
      <c r="D17" s="84">
        <v>31829258568</v>
      </c>
      <c r="E17" s="84">
        <v>-3091841867</v>
      </c>
      <c r="F17" s="84">
        <v>8421427</v>
      </c>
      <c r="G17" s="84">
        <v>28737416701</v>
      </c>
      <c r="H17" s="84">
        <v>38251154824</v>
      </c>
      <c r="I17" s="84">
        <v>-9513738123</v>
      </c>
    </row>
    <row r="18" spans="1:9" x14ac:dyDescent="0.45">
      <c r="A18" s="68" t="s">
        <v>192</v>
      </c>
      <c r="B18" s="84">
        <v>1705609</v>
      </c>
      <c r="C18" s="84">
        <v>29515885764</v>
      </c>
      <c r="D18" s="84">
        <v>30886749724</v>
      </c>
      <c r="E18" s="84">
        <v>-1370863960</v>
      </c>
      <c r="F18" s="84">
        <v>1705609</v>
      </c>
      <c r="G18" s="84">
        <v>29515885764</v>
      </c>
      <c r="H18" s="84">
        <v>27901925335</v>
      </c>
      <c r="I18" s="84">
        <v>1613960429</v>
      </c>
    </row>
    <row r="19" spans="1:9" x14ac:dyDescent="0.45">
      <c r="A19" s="68" t="s">
        <v>248</v>
      </c>
      <c r="B19" s="84">
        <v>8803637</v>
      </c>
      <c r="C19" s="84">
        <v>19331849353</v>
      </c>
      <c r="D19" s="84">
        <v>19076402948</v>
      </c>
      <c r="E19" s="84">
        <v>255446405</v>
      </c>
      <c r="F19" s="84">
        <v>8803637</v>
      </c>
      <c r="G19" s="84">
        <v>19331849353</v>
      </c>
      <c r="H19" s="84">
        <v>24145454769</v>
      </c>
      <c r="I19" s="84">
        <v>-4813605416</v>
      </c>
    </row>
    <row r="20" spans="1:9" x14ac:dyDescent="0.45">
      <c r="A20" s="68" t="s">
        <v>223</v>
      </c>
      <c r="B20" s="84">
        <v>22471939</v>
      </c>
      <c r="C20" s="84">
        <v>51486615175</v>
      </c>
      <c r="D20" s="84">
        <v>54050911730</v>
      </c>
      <c r="E20" s="84">
        <v>-2564296555</v>
      </c>
      <c r="F20" s="84">
        <v>22471939</v>
      </c>
      <c r="G20" s="84">
        <v>51486615175</v>
      </c>
      <c r="H20" s="84">
        <v>46596101855</v>
      </c>
      <c r="I20" s="84">
        <v>4890513320</v>
      </c>
    </row>
    <row r="21" spans="1:9" x14ac:dyDescent="0.45">
      <c r="A21" s="68" t="s">
        <v>300</v>
      </c>
      <c r="B21" s="84">
        <v>63507736</v>
      </c>
      <c r="C21" s="84">
        <v>29932990070</v>
      </c>
      <c r="D21" s="84">
        <v>31634444243</v>
      </c>
      <c r="E21" s="84">
        <v>-1701454173</v>
      </c>
      <c r="F21" s="84">
        <v>63507736</v>
      </c>
      <c r="G21" s="84">
        <v>29932990070</v>
      </c>
      <c r="H21" s="84">
        <v>33657865436</v>
      </c>
      <c r="I21" s="84">
        <v>-3724875366</v>
      </c>
    </row>
    <row r="22" spans="1:9" x14ac:dyDescent="0.45">
      <c r="A22" s="68" t="s">
        <v>367</v>
      </c>
      <c r="B22" s="84">
        <v>1750000</v>
      </c>
      <c r="C22" s="84">
        <v>4554767367</v>
      </c>
      <c r="D22" s="84">
        <v>4601652125</v>
      </c>
      <c r="E22" s="84">
        <v>-46884758</v>
      </c>
      <c r="F22" s="84">
        <v>1750000</v>
      </c>
      <c r="G22" s="84">
        <v>4554767367</v>
      </c>
      <c r="H22" s="84">
        <v>4695146662</v>
      </c>
      <c r="I22" s="84">
        <v>-140379295</v>
      </c>
    </row>
    <row r="23" spans="1:9" x14ac:dyDescent="0.45">
      <c r="A23" s="68" t="s">
        <v>174</v>
      </c>
      <c r="B23" s="84">
        <v>9109504</v>
      </c>
      <c r="C23" s="84">
        <v>14462540055</v>
      </c>
      <c r="D23" s="84">
        <v>15212784320</v>
      </c>
      <c r="E23" s="84">
        <v>-750244265</v>
      </c>
      <c r="F23" s="84">
        <v>9109504</v>
      </c>
      <c r="G23" s="84">
        <v>14462540055</v>
      </c>
      <c r="H23" s="84">
        <v>11695704176</v>
      </c>
      <c r="I23" s="84">
        <v>2766835879</v>
      </c>
    </row>
    <row r="24" spans="1:9" x14ac:dyDescent="0.45">
      <c r="A24" s="68" t="s">
        <v>176</v>
      </c>
      <c r="B24" s="84">
        <v>33702691</v>
      </c>
      <c r="C24" s="84">
        <v>13510636356</v>
      </c>
      <c r="D24" s="84">
        <v>13610962864</v>
      </c>
      <c r="E24" s="84">
        <v>-100326508</v>
      </c>
      <c r="F24" s="84">
        <v>33702691</v>
      </c>
      <c r="G24" s="84">
        <v>13510636356</v>
      </c>
      <c r="H24" s="84">
        <v>17509466015</v>
      </c>
      <c r="I24" s="84">
        <v>-3998829659</v>
      </c>
    </row>
    <row r="25" spans="1:9" x14ac:dyDescent="0.45">
      <c r="A25" s="68" t="s">
        <v>318</v>
      </c>
      <c r="B25" s="84">
        <v>5600000</v>
      </c>
      <c r="C25" s="84">
        <v>14614152560</v>
      </c>
      <c r="D25" s="84">
        <v>15497669768</v>
      </c>
      <c r="E25" s="84">
        <v>-883517208</v>
      </c>
      <c r="F25" s="84">
        <v>5600000</v>
      </c>
      <c r="G25" s="84">
        <v>14614152560</v>
      </c>
      <c r="H25" s="84">
        <v>15821717016</v>
      </c>
      <c r="I25" s="84">
        <v>-1207564456</v>
      </c>
    </row>
    <row r="26" spans="1:9" x14ac:dyDescent="0.45">
      <c r="A26" s="68" t="s">
        <v>190</v>
      </c>
      <c r="B26" s="84">
        <v>5392254</v>
      </c>
      <c r="C26" s="84">
        <v>14339532629</v>
      </c>
      <c r="D26" s="84">
        <v>14746176092</v>
      </c>
      <c r="E26" s="84">
        <v>-406643463</v>
      </c>
      <c r="F26" s="84">
        <v>5392254</v>
      </c>
      <c r="G26" s="84">
        <v>14339532629</v>
      </c>
      <c r="H26" s="84">
        <v>19725792207</v>
      </c>
      <c r="I26" s="84">
        <v>-5386259578</v>
      </c>
    </row>
    <row r="27" spans="1:9" x14ac:dyDescent="0.45">
      <c r="A27" s="68" t="s">
        <v>252</v>
      </c>
      <c r="B27" s="84">
        <v>45323085</v>
      </c>
      <c r="C27" s="84">
        <v>21901723188</v>
      </c>
      <c r="D27" s="84">
        <v>22666259727</v>
      </c>
      <c r="E27" s="84">
        <v>-764536539</v>
      </c>
      <c r="F27" s="84">
        <v>45323085</v>
      </c>
      <c r="G27" s="84">
        <v>21901723188</v>
      </c>
      <c r="H27" s="84">
        <v>27296589533</v>
      </c>
      <c r="I27" s="84">
        <v>-5394866345</v>
      </c>
    </row>
    <row r="28" spans="1:9" x14ac:dyDescent="0.45">
      <c r="A28" s="68" t="s">
        <v>323</v>
      </c>
      <c r="B28" s="84">
        <v>17508571</v>
      </c>
      <c r="C28" s="84">
        <v>21560178115</v>
      </c>
      <c r="D28" s="84">
        <v>21838149791</v>
      </c>
      <c r="E28" s="84">
        <v>-277971676</v>
      </c>
      <c r="F28" s="84">
        <v>17508571</v>
      </c>
      <c r="G28" s="84">
        <v>21560178115</v>
      </c>
      <c r="H28" s="84">
        <v>23868058509</v>
      </c>
      <c r="I28" s="84">
        <v>-2307880394</v>
      </c>
    </row>
    <row r="29" spans="1:9" x14ac:dyDescent="0.45">
      <c r="A29" s="68" t="s">
        <v>227</v>
      </c>
      <c r="B29" s="84">
        <v>5952212</v>
      </c>
      <c r="C29" s="84">
        <v>25130886962</v>
      </c>
      <c r="D29" s="84">
        <v>25999098568</v>
      </c>
      <c r="E29" s="84">
        <v>-868211606</v>
      </c>
      <c r="F29" s="84">
        <v>5952212</v>
      </c>
      <c r="G29" s="84">
        <v>25130886962</v>
      </c>
      <c r="H29" s="84">
        <v>27256905650</v>
      </c>
      <c r="I29" s="84">
        <v>-2126018688</v>
      </c>
    </row>
    <row r="30" spans="1:9" x14ac:dyDescent="0.45">
      <c r="A30" s="68" t="s">
        <v>191</v>
      </c>
      <c r="B30" s="84">
        <v>22445192</v>
      </c>
      <c r="C30" s="84">
        <v>34075686719</v>
      </c>
      <c r="D30" s="84">
        <v>34543392223</v>
      </c>
      <c r="E30" s="84">
        <v>-467705504</v>
      </c>
      <c r="F30" s="84">
        <v>22445192</v>
      </c>
      <c r="G30" s="84">
        <v>34075686719</v>
      </c>
      <c r="H30" s="84">
        <v>30293640914</v>
      </c>
      <c r="I30" s="84">
        <v>3782045805</v>
      </c>
    </row>
    <row r="31" spans="1:9" x14ac:dyDescent="0.45">
      <c r="A31" s="68" t="s">
        <v>168</v>
      </c>
      <c r="B31" s="84">
        <v>9210264</v>
      </c>
      <c r="C31" s="84">
        <v>17537872757</v>
      </c>
      <c r="D31" s="84">
        <v>18524892172</v>
      </c>
      <c r="E31" s="84">
        <v>-987019415</v>
      </c>
      <c r="F31" s="84">
        <v>9210264</v>
      </c>
      <c r="G31" s="84">
        <v>17537872757</v>
      </c>
      <c r="H31" s="84">
        <v>15031859870</v>
      </c>
      <c r="I31" s="84">
        <v>2506012887</v>
      </c>
    </row>
    <row r="32" spans="1:9" x14ac:dyDescent="0.45">
      <c r="A32" s="68" t="s">
        <v>260</v>
      </c>
      <c r="B32" s="84">
        <v>7041661</v>
      </c>
      <c r="C32" s="84">
        <v>14673180817</v>
      </c>
      <c r="D32" s="84">
        <v>15022542265</v>
      </c>
      <c r="E32" s="84">
        <v>-349361448</v>
      </c>
      <c r="F32" s="84">
        <v>7041661</v>
      </c>
      <c r="G32" s="84">
        <v>14673180817</v>
      </c>
      <c r="H32" s="84">
        <v>16060551276</v>
      </c>
      <c r="I32" s="84">
        <v>-1387370459</v>
      </c>
    </row>
    <row r="33" spans="1:9" x14ac:dyDescent="0.45">
      <c r="A33" s="68" t="s">
        <v>370</v>
      </c>
      <c r="B33" s="84">
        <v>2875000</v>
      </c>
      <c r="C33" s="84">
        <v>5668466409</v>
      </c>
      <c r="D33" s="84">
        <v>5674171961</v>
      </c>
      <c r="E33" s="84">
        <v>-5705552</v>
      </c>
      <c r="F33" s="84">
        <v>2875000</v>
      </c>
      <c r="G33" s="84">
        <v>5668466409</v>
      </c>
      <c r="H33" s="84">
        <v>5893653906</v>
      </c>
      <c r="I33" s="84">
        <v>-225187497</v>
      </c>
    </row>
    <row r="34" spans="1:9" x14ac:dyDescent="0.45">
      <c r="A34" s="68" t="s">
        <v>172</v>
      </c>
      <c r="B34" s="84">
        <v>10263245</v>
      </c>
      <c r="C34" s="84">
        <v>12729887645</v>
      </c>
      <c r="D34" s="84">
        <v>12617864634</v>
      </c>
      <c r="E34" s="84">
        <v>112023011</v>
      </c>
      <c r="F34" s="84">
        <v>10263245</v>
      </c>
      <c r="G34" s="84">
        <v>12729887645</v>
      </c>
      <c r="H34" s="84">
        <v>14354875783</v>
      </c>
      <c r="I34" s="84">
        <v>-1624988138</v>
      </c>
    </row>
    <row r="35" spans="1:9" x14ac:dyDescent="0.45">
      <c r="A35" s="68" t="s">
        <v>284</v>
      </c>
      <c r="B35" s="84">
        <v>3665469</v>
      </c>
      <c r="C35" s="84">
        <v>10354923130</v>
      </c>
      <c r="D35" s="84">
        <v>10707725218</v>
      </c>
      <c r="E35" s="84">
        <v>-352802088</v>
      </c>
      <c r="F35" s="84">
        <v>3665469</v>
      </c>
      <c r="G35" s="84">
        <v>10354923130</v>
      </c>
      <c r="H35" s="84">
        <v>8097151442</v>
      </c>
      <c r="I35" s="84">
        <v>2257771688</v>
      </c>
    </row>
    <row r="36" spans="1:9" x14ac:dyDescent="0.45">
      <c r="A36" s="68" t="s">
        <v>338</v>
      </c>
      <c r="B36" s="84">
        <v>8417878</v>
      </c>
      <c r="C36" s="84">
        <v>12721326284</v>
      </c>
      <c r="D36" s="84">
        <v>12745104675</v>
      </c>
      <c r="E36" s="84">
        <v>-23778391</v>
      </c>
      <c r="F36" s="84">
        <v>8417878</v>
      </c>
      <c r="G36" s="84">
        <v>12721326284</v>
      </c>
      <c r="H36" s="84">
        <v>13185272310</v>
      </c>
      <c r="I36" s="84">
        <v>-463946026</v>
      </c>
    </row>
    <row r="37" spans="1:9" x14ac:dyDescent="0.45">
      <c r="A37" s="68" t="s">
        <v>213</v>
      </c>
      <c r="B37" s="84">
        <v>4264408</v>
      </c>
      <c r="C37" s="84">
        <v>11416436252</v>
      </c>
      <c r="D37" s="84">
        <v>12135781754</v>
      </c>
      <c r="E37" s="84">
        <v>-719345502</v>
      </c>
      <c r="F37" s="84">
        <v>4264408</v>
      </c>
      <c r="G37" s="84">
        <v>11416436252</v>
      </c>
      <c r="H37" s="84">
        <v>15942054870</v>
      </c>
      <c r="I37" s="84">
        <v>-4525618618</v>
      </c>
    </row>
    <row r="38" spans="1:9" x14ac:dyDescent="0.45">
      <c r="A38" s="68" t="s">
        <v>276</v>
      </c>
      <c r="B38" s="84">
        <v>3275356</v>
      </c>
      <c r="C38" s="84">
        <v>25902798860</v>
      </c>
      <c r="D38" s="84">
        <v>26617807110</v>
      </c>
      <c r="E38" s="84">
        <v>-715008250</v>
      </c>
      <c r="F38" s="84">
        <v>3275356</v>
      </c>
      <c r="G38" s="84">
        <v>25902798860</v>
      </c>
      <c r="H38" s="84">
        <v>20812614630</v>
      </c>
      <c r="I38" s="84">
        <v>5090184230</v>
      </c>
    </row>
    <row r="39" spans="1:9" x14ac:dyDescent="0.45">
      <c r="A39" s="68" t="s">
        <v>328</v>
      </c>
      <c r="B39" s="84">
        <v>5516183</v>
      </c>
      <c r="C39" s="84">
        <v>24795149362</v>
      </c>
      <c r="D39" s="84">
        <v>25802281256</v>
      </c>
      <c r="E39" s="84">
        <v>-1007131894</v>
      </c>
      <c r="F39" s="84">
        <v>5516183</v>
      </c>
      <c r="G39" s="84">
        <v>24795149362</v>
      </c>
      <c r="H39" s="84">
        <v>10525602537</v>
      </c>
      <c r="I39" s="84">
        <v>14269546825</v>
      </c>
    </row>
    <row r="40" spans="1:9" x14ac:dyDescent="0.45">
      <c r="A40" s="68" t="s">
        <v>222</v>
      </c>
      <c r="B40" s="84">
        <v>4316567</v>
      </c>
      <c r="C40" s="84">
        <v>11136319836</v>
      </c>
      <c r="D40" s="84">
        <v>12168571021</v>
      </c>
      <c r="E40" s="84">
        <v>-1032251185</v>
      </c>
      <c r="F40" s="84">
        <v>4316567</v>
      </c>
      <c r="G40" s="84">
        <v>11136319836</v>
      </c>
      <c r="H40" s="84">
        <v>19034240181</v>
      </c>
      <c r="I40" s="84">
        <v>-7897920345</v>
      </c>
    </row>
    <row r="41" spans="1:9" x14ac:dyDescent="0.45">
      <c r="A41" s="68" t="s">
        <v>200</v>
      </c>
      <c r="B41" s="84">
        <v>11800000</v>
      </c>
      <c r="C41" s="84">
        <v>26110592780</v>
      </c>
      <c r="D41" s="84">
        <v>25771303813</v>
      </c>
      <c r="E41" s="84">
        <v>339288967</v>
      </c>
      <c r="F41" s="84">
        <v>11800000</v>
      </c>
      <c r="G41" s="84">
        <v>26110592780</v>
      </c>
      <c r="H41" s="84">
        <v>26651627260</v>
      </c>
      <c r="I41" s="84">
        <v>-541034480</v>
      </c>
    </row>
    <row r="42" spans="1:9" x14ac:dyDescent="0.45">
      <c r="A42" s="68" t="s">
        <v>346</v>
      </c>
      <c r="B42" s="84">
        <v>7357161</v>
      </c>
      <c r="C42" s="84">
        <v>29639177991</v>
      </c>
      <c r="D42" s="84">
        <v>31528844006</v>
      </c>
      <c r="E42" s="84">
        <v>-1889666015</v>
      </c>
      <c r="F42" s="84">
        <v>7357161</v>
      </c>
      <c r="G42" s="84">
        <v>29639177991</v>
      </c>
      <c r="H42" s="84">
        <v>29325140888</v>
      </c>
      <c r="I42" s="84">
        <v>314037103</v>
      </c>
    </row>
    <row r="43" spans="1:9" x14ac:dyDescent="0.45">
      <c r="A43" s="68" t="s">
        <v>375</v>
      </c>
      <c r="B43" s="84">
        <v>842177</v>
      </c>
      <c r="C43" s="84">
        <v>2619815957</v>
      </c>
      <c r="D43" s="84">
        <v>2673298643</v>
      </c>
      <c r="E43" s="84">
        <v>-53482686</v>
      </c>
      <c r="F43" s="84">
        <v>842177</v>
      </c>
      <c r="G43" s="84">
        <v>2619815957</v>
      </c>
      <c r="H43" s="84">
        <v>5324376058</v>
      </c>
      <c r="I43" s="84">
        <v>-2704560101</v>
      </c>
    </row>
    <row r="44" spans="1:9" x14ac:dyDescent="0.45">
      <c r="A44" s="68" t="s">
        <v>336</v>
      </c>
      <c r="B44" s="84">
        <v>285750</v>
      </c>
      <c r="C44" s="84">
        <v>14956795794</v>
      </c>
      <c r="D44" s="84">
        <v>16331970384</v>
      </c>
      <c r="E44" s="84">
        <v>-1375174590</v>
      </c>
      <c r="F44" s="84">
        <v>285750</v>
      </c>
      <c r="G44" s="84">
        <v>14956795794</v>
      </c>
      <c r="H44" s="84">
        <v>13648592289</v>
      </c>
      <c r="I44" s="84">
        <v>1308203505</v>
      </c>
    </row>
    <row r="45" spans="1:9" x14ac:dyDescent="0.45">
      <c r="A45" s="68" t="s">
        <v>253</v>
      </c>
      <c r="B45" s="84">
        <v>11278863</v>
      </c>
      <c r="C45" s="84">
        <v>14403688800</v>
      </c>
      <c r="D45" s="84">
        <v>14123896865</v>
      </c>
      <c r="E45" s="84">
        <v>279791935</v>
      </c>
      <c r="F45" s="84">
        <v>11278863</v>
      </c>
      <c r="G45" s="84">
        <v>14403688800</v>
      </c>
      <c r="H45" s="84">
        <v>13153897968</v>
      </c>
      <c r="I45" s="84">
        <v>1249790832</v>
      </c>
    </row>
    <row r="46" spans="1:9" x14ac:dyDescent="0.45">
      <c r="A46" s="68" t="s">
        <v>456</v>
      </c>
      <c r="B46" s="84">
        <v>1648155</v>
      </c>
      <c r="C46" s="84">
        <v>13410401047</v>
      </c>
      <c r="D46" s="84">
        <v>13884671328</v>
      </c>
      <c r="E46" s="84">
        <v>-474270281</v>
      </c>
      <c r="F46" s="84">
        <v>1648155</v>
      </c>
      <c r="G46" s="84">
        <v>13410401047</v>
      </c>
      <c r="H46" s="84">
        <v>11910020869</v>
      </c>
      <c r="I46" s="84">
        <v>1500380178</v>
      </c>
    </row>
    <row r="47" spans="1:9" x14ac:dyDescent="0.45">
      <c r="A47" s="68" t="s">
        <v>472</v>
      </c>
      <c r="B47" s="84">
        <v>250000</v>
      </c>
      <c r="C47" s="84">
        <v>1200646700</v>
      </c>
      <c r="D47" s="84">
        <v>1230414800</v>
      </c>
      <c r="E47" s="84">
        <v>-29768100</v>
      </c>
      <c r="F47" s="84">
        <v>250000</v>
      </c>
      <c r="G47" s="84">
        <v>1200646700</v>
      </c>
      <c r="H47" s="84">
        <v>810399262</v>
      </c>
      <c r="I47" s="84">
        <v>390247438</v>
      </c>
    </row>
    <row r="48" spans="1:9" x14ac:dyDescent="0.45">
      <c r="A48" s="68" t="s">
        <v>251</v>
      </c>
      <c r="B48" s="84">
        <v>3860139</v>
      </c>
      <c r="C48" s="84">
        <v>17048665859</v>
      </c>
      <c r="D48" s="84">
        <v>18347137601</v>
      </c>
      <c r="E48" s="84">
        <v>-1298471742</v>
      </c>
      <c r="F48" s="84">
        <v>3860139</v>
      </c>
      <c r="G48" s="84">
        <v>17048665859</v>
      </c>
      <c r="H48" s="84">
        <v>16072935194</v>
      </c>
      <c r="I48" s="84">
        <v>975730665</v>
      </c>
    </row>
    <row r="49" spans="1:9" x14ac:dyDescent="0.45">
      <c r="A49" s="68" t="s">
        <v>232</v>
      </c>
      <c r="B49" s="84">
        <v>189400</v>
      </c>
      <c r="C49" s="84">
        <v>23736308969</v>
      </c>
      <c r="D49" s="84">
        <v>22073075918</v>
      </c>
      <c r="E49" s="84">
        <v>1663233051</v>
      </c>
      <c r="F49" s="84">
        <v>189400</v>
      </c>
      <c r="G49" s="84">
        <v>23736308969</v>
      </c>
      <c r="H49" s="84">
        <v>27382794088</v>
      </c>
      <c r="I49" s="84">
        <v>-3646485119</v>
      </c>
    </row>
    <row r="50" spans="1:9" x14ac:dyDescent="0.45">
      <c r="A50" s="68" t="s">
        <v>322</v>
      </c>
      <c r="B50" s="84">
        <v>3735701</v>
      </c>
      <c r="C50" s="84">
        <v>37516766020</v>
      </c>
      <c r="D50" s="84">
        <v>39129240114</v>
      </c>
      <c r="E50" s="84">
        <v>-1612474094</v>
      </c>
      <c r="F50" s="84">
        <v>3735701</v>
      </c>
      <c r="G50" s="84">
        <v>37516766020</v>
      </c>
      <c r="H50" s="84">
        <v>29717163524</v>
      </c>
      <c r="I50" s="84">
        <v>7799602496</v>
      </c>
    </row>
    <row r="51" spans="1:9" x14ac:dyDescent="0.45">
      <c r="A51" s="68" t="s">
        <v>267</v>
      </c>
      <c r="B51" s="84">
        <v>3283236</v>
      </c>
      <c r="C51" s="84">
        <v>17462111299</v>
      </c>
      <c r="D51" s="84">
        <v>18243996880</v>
      </c>
      <c r="E51" s="84">
        <v>-781885581</v>
      </c>
      <c r="F51" s="84">
        <v>3283236</v>
      </c>
      <c r="G51" s="84">
        <v>17462111299</v>
      </c>
      <c r="H51" s="84">
        <v>23088463998</v>
      </c>
      <c r="I51" s="84">
        <v>-5626352699</v>
      </c>
    </row>
    <row r="52" spans="1:9" x14ac:dyDescent="0.45">
      <c r="A52" s="68" t="s">
        <v>440</v>
      </c>
      <c r="B52" s="84">
        <v>9760615</v>
      </c>
      <c r="C52" s="84">
        <v>16058004310</v>
      </c>
      <c r="D52" s="84">
        <v>17026520854</v>
      </c>
      <c r="E52" s="84">
        <v>-968516544</v>
      </c>
      <c r="F52" s="84">
        <v>9760615</v>
      </c>
      <c r="G52" s="84">
        <v>16058004310</v>
      </c>
      <c r="H52" s="84">
        <v>23853455812</v>
      </c>
      <c r="I52" s="84">
        <v>-7795451502</v>
      </c>
    </row>
    <row r="53" spans="1:9" x14ac:dyDescent="0.45">
      <c r="A53" s="68" t="s">
        <v>331</v>
      </c>
      <c r="B53" s="84">
        <v>20508665</v>
      </c>
      <c r="C53" s="84">
        <v>35083629326</v>
      </c>
      <c r="D53" s="84">
        <v>36658579307</v>
      </c>
      <c r="E53" s="84">
        <v>-1574949981</v>
      </c>
      <c r="F53" s="84">
        <v>20508665</v>
      </c>
      <c r="G53" s="84">
        <v>35083629326</v>
      </c>
      <c r="H53" s="84">
        <v>36597461369</v>
      </c>
      <c r="I53" s="84">
        <v>-1513832043</v>
      </c>
    </row>
    <row r="54" spans="1:9" x14ac:dyDescent="0.45">
      <c r="A54" s="68" t="s">
        <v>241</v>
      </c>
      <c r="B54" s="84">
        <v>3641112</v>
      </c>
      <c r="C54" s="84">
        <v>11619299313</v>
      </c>
      <c r="D54" s="84">
        <v>12533379763</v>
      </c>
      <c r="E54" s="84">
        <v>-914080450</v>
      </c>
      <c r="F54" s="84">
        <v>3641112</v>
      </c>
      <c r="G54" s="84">
        <v>11619299313</v>
      </c>
      <c r="H54" s="84">
        <v>16857149000</v>
      </c>
      <c r="I54" s="84">
        <v>-5237849687</v>
      </c>
    </row>
    <row r="55" spans="1:9" x14ac:dyDescent="0.45">
      <c r="A55" s="68" t="s">
        <v>226</v>
      </c>
      <c r="B55" s="84">
        <v>4607801</v>
      </c>
      <c r="C55" s="84">
        <v>35205806777</v>
      </c>
      <c r="D55" s="84">
        <v>38040560050</v>
      </c>
      <c r="E55" s="84">
        <v>-2834753273</v>
      </c>
      <c r="F55" s="84">
        <v>4607801</v>
      </c>
      <c r="G55" s="84">
        <v>35205806777</v>
      </c>
      <c r="H55" s="84">
        <v>29853988691</v>
      </c>
      <c r="I55" s="84">
        <v>5351818086</v>
      </c>
    </row>
    <row r="56" spans="1:9" x14ac:dyDescent="0.45">
      <c r="A56" s="68" t="s">
        <v>187</v>
      </c>
      <c r="B56" s="84">
        <v>1111278</v>
      </c>
      <c r="C56" s="84">
        <v>26354238923</v>
      </c>
      <c r="D56" s="84">
        <v>26192118803</v>
      </c>
      <c r="E56" s="84">
        <v>162120120</v>
      </c>
      <c r="F56" s="84">
        <v>1111278</v>
      </c>
      <c r="G56" s="84">
        <v>26354238923</v>
      </c>
      <c r="H56" s="84">
        <v>23804121310</v>
      </c>
      <c r="I56" s="84">
        <v>2550117613</v>
      </c>
    </row>
    <row r="57" spans="1:9" x14ac:dyDescent="0.45">
      <c r="A57" s="68" t="s">
        <v>334</v>
      </c>
      <c r="B57" s="84">
        <v>5580504</v>
      </c>
      <c r="C57" s="84">
        <v>29680285534</v>
      </c>
      <c r="D57" s="84">
        <v>30510890539</v>
      </c>
      <c r="E57" s="84">
        <v>-830605005</v>
      </c>
      <c r="F57" s="84">
        <v>5580504</v>
      </c>
      <c r="G57" s="84">
        <v>29680285534</v>
      </c>
      <c r="H57" s="84">
        <v>20174684246</v>
      </c>
      <c r="I57" s="84">
        <v>9505601288</v>
      </c>
    </row>
    <row r="58" spans="1:9" x14ac:dyDescent="0.45">
      <c r="A58" s="68" t="s">
        <v>354</v>
      </c>
      <c r="B58" s="84">
        <v>940025</v>
      </c>
      <c r="C58" s="84">
        <v>23020482415</v>
      </c>
      <c r="D58" s="84">
        <v>24354327222</v>
      </c>
      <c r="E58" s="84">
        <v>-1333844807</v>
      </c>
      <c r="F58" s="84">
        <v>940025</v>
      </c>
      <c r="G58" s="84">
        <v>23020482415</v>
      </c>
      <c r="H58" s="84">
        <v>30456047518</v>
      </c>
      <c r="I58" s="84">
        <v>-7435565103</v>
      </c>
    </row>
    <row r="59" spans="1:9" x14ac:dyDescent="0.45">
      <c r="A59" s="68" t="s">
        <v>330</v>
      </c>
      <c r="B59" s="84">
        <v>5599143</v>
      </c>
      <c r="C59" s="84">
        <v>27390397809</v>
      </c>
      <c r="D59" s="84">
        <v>29711487551</v>
      </c>
      <c r="E59" s="84">
        <v>-2321089742</v>
      </c>
      <c r="F59" s="84">
        <v>5599143</v>
      </c>
      <c r="G59" s="84">
        <v>27390397809</v>
      </c>
      <c r="H59" s="84">
        <v>30405322174</v>
      </c>
      <c r="I59" s="84">
        <v>-3014924365</v>
      </c>
    </row>
    <row r="60" spans="1:9" x14ac:dyDescent="0.45">
      <c r="A60" s="68" t="s">
        <v>203</v>
      </c>
      <c r="B60" s="84">
        <v>4929408</v>
      </c>
      <c r="C60" s="84">
        <v>30277169755</v>
      </c>
      <c r="D60" s="84">
        <v>29152507638</v>
      </c>
      <c r="E60" s="84">
        <v>1124662117</v>
      </c>
      <c r="F60" s="84">
        <v>4929408</v>
      </c>
      <c r="G60" s="84">
        <v>30277169755</v>
      </c>
      <c r="H60" s="84">
        <v>20362523662</v>
      </c>
      <c r="I60" s="84">
        <v>9914646093</v>
      </c>
    </row>
    <row r="61" spans="1:9" x14ac:dyDescent="0.45">
      <c r="A61" s="68" t="s">
        <v>184</v>
      </c>
      <c r="B61" s="84">
        <v>2428938</v>
      </c>
      <c r="C61" s="84">
        <v>19088485489</v>
      </c>
      <c r="D61" s="84">
        <v>20245363398</v>
      </c>
      <c r="E61" s="84">
        <v>-1156877909</v>
      </c>
      <c r="F61" s="84">
        <v>2428938</v>
      </c>
      <c r="G61" s="84">
        <v>19088485489</v>
      </c>
      <c r="H61" s="84">
        <v>16382419946</v>
      </c>
      <c r="I61" s="84">
        <v>2706065543</v>
      </c>
    </row>
    <row r="62" spans="1:9" x14ac:dyDescent="0.45">
      <c r="A62" s="68" t="s">
        <v>293</v>
      </c>
      <c r="B62" s="84">
        <v>2649593</v>
      </c>
      <c r="C62" s="84">
        <v>24450738309</v>
      </c>
      <c r="D62" s="84">
        <v>24845105056</v>
      </c>
      <c r="E62" s="84">
        <v>-394366747</v>
      </c>
      <c r="F62" s="84">
        <v>2649593</v>
      </c>
      <c r="G62" s="84">
        <v>24450738309</v>
      </c>
      <c r="H62" s="84">
        <v>28510491782</v>
      </c>
      <c r="I62" s="84">
        <v>-4059753473</v>
      </c>
    </row>
    <row r="63" spans="1:9" x14ac:dyDescent="0.45">
      <c r="A63" s="68" t="s">
        <v>327</v>
      </c>
      <c r="B63" s="84">
        <v>1133693</v>
      </c>
      <c r="C63" s="84">
        <v>9595649088</v>
      </c>
      <c r="D63" s="84">
        <v>9978125136</v>
      </c>
      <c r="E63" s="84">
        <v>-382476048</v>
      </c>
      <c r="F63" s="84">
        <v>1133693</v>
      </c>
      <c r="G63" s="84">
        <v>9595649088</v>
      </c>
      <c r="H63" s="84">
        <v>7137083695</v>
      </c>
      <c r="I63" s="84">
        <v>2458565393</v>
      </c>
    </row>
    <row r="64" spans="1:9" x14ac:dyDescent="0.45">
      <c r="A64" s="68" t="s">
        <v>352</v>
      </c>
      <c r="B64" s="84">
        <v>16854222</v>
      </c>
      <c r="C64" s="84">
        <v>24333331047</v>
      </c>
      <c r="D64" s="84">
        <v>24301001280</v>
      </c>
      <c r="E64" s="84">
        <v>32329767</v>
      </c>
      <c r="F64" s="84">
        <v>16854222</v>
      </c>
      <c r="G64" s="84">
        <v>24333331047</v>
      </c>
      <c r="H64" s="84">
        <v>30516050656</v>
      </c>
      <c r="I64" s="84">
        <v>-6182719609</v>
      </c>
    </row>
    <row r="65" spans="1:9" x14ac:dyDescent="0.45">
      <c r="A65" s="68" t="s">
        <v>321</v>
      </c>
      <c r="B65" s="84">
        <v>1125246</v>
      </c>
      <c r="C65" s="84">
        <v>14224819589</v>
      </c>
      <c r="D65" s="84">
        <v>14503956551</v>
      </c>
      <c r="E65" s="84">
        <v>-279136962</v>
      </c>
      <c r="F65" s="84">
        <v>1125246</v>
      </c>
      <c r="G65" s="84">
        <v>14224819589</v>
      </c>
      <c r="H65" s="84">
        <v>16940751284</v>
      </c>
      <c r="I65" s="84">
        <v>-2715931695</v>
      </c>
    </row>
    <row r="66" spans="1:9" x14ac:dyDescent="0.45">
      <c r="A66" s="68" t="s">
        <v>236</v>
      </c>
      <c r="B66" s="84">
        <v>18020136</v>
      </c>
      <c r="C66" s="84">
        <v>27500732456</v>
      </c>
      <c r="D66" s="84">
        <v>26798931528</v>
      </c>
      <c r="E66" s="84">
        <v>701800928</v>
      </c>
      <c r="F66" s="84">
        <v>18020136</v>
      </c>
      <c r="G66" s="84">
        <v>27500732456</v>
      </c>
      <c r="H66" s="84">
        <v>40857831166</v>
      </c>
      <c r="I66" s="84">
        <v>-13357098710</v>
      </c>
    </row>
    <row r="67" spans="1:9" x14ac:dyDescent="0.45">
      <c r="A67" s="68" t="s">
        <v>242</v>
      </c>
      <c r="B67" s="84">
        <v>14209755</v>
      </c>
      <c r="C67" s="84">
        <v>22418862614</v>
      </c>
      <c r="D67" s="84">
        <v>24167251900</v>
      </c>
      <c r="E67" s="84">
        <v>-1748389286</v>
      </c>
      <c r="F67" s="84">
        <v>14209755</v>
      </c>
      <c r="G67" s="84">
        <v>22418862614</v>
      </c>
      <c r="H67" s="84">
        <v>38545187769</v>
      </c>
      <c r="I67" s="84">
        <v>-16126325155</v>
      </c>
    </row>
    <row r="68" spans="1:9" x14ac:dyDescent="0.45">
      <c r="A68" s="68" t="s">
        <v>220</v>
      </c>
      <c r="B68" s="84">
        <v>9169674</v>
      </c>
      <c r="C68" s="84">
        <v>29243518838</v>
      </c>
      <c r="D68" s="84">
        <v>30640920632</v>
      </c>
      <c r="E68" s="84">
        <v>-1397401794</v>
      </c>
      <c r="F68" s="84">
        <v>9169674</v>
      </c>
      <c r="G68" s="84">
        <v>29243518838</v>
      </c>
      <c r="H68" s="84">
        <v>33344299669</v>
      </c>
      <c r="I68" s="84">
        <v>-4100780831</v>
      </c>
    </row>
    <row r="69" spans="1:9" x14ac:dyDescent="0.45">
      <c r="A69" s="68" t="s">
        <v>244</v>
      </c>
      <c r="B69" s="84">
        <v>562500</v>
      </c>
      <c r="C69" s="84">
        <v>4632660562</v>
      </c>
      <c r="D69" s="84">
        <v>4906154981</v>
      </c>
      <c r="E69" s="84">
        <v>-273494419</v>
      </c>
      <c r="F69" s="84">
        <v>562500</v>
      </c>
      <c r="G69" s="84">
        <v>4632660562</v>
      </c>
      <c r="H69" s="84">
        <v>4931974167</v>
      </c>
      <c r="I69" s="84">
        <v>-299313605</v>
      </c>
    </row>
    <row r="70" spans="1:9" x14ac:dyDescent="0.45">
      <c r="A70" s="68" t="s">
        <v>468</v>
      </c>
      <c r="B70" s="84">
        <v>3973870</v>
      </c>
      <c r="C70" s="84">
        <v>19163718647</v>
      </c>
      <c r="D70" s="84">
        <v>20819842480</v>
      </c>
      <c r="E70" s="84">
        <v>-1656123833</v>
      </c>
      <c r="F70" s="84">
        <v>3973870</v>
      </c>
      <c r="G70" s="84">
        <v>19163718647</v>
      </c>
      <c r="H70" s="84">
        <v>21132612639</v>
      </c>
      <c r="I70" s="84">
        <v>-1968893992</v>
      </c>
    </row>
    <row r="71" spans="1:9" x14ac:dyDescent="0.45">
      <c r="A71" s="68" t="s">
        <v>238</v>
      </c>
      <c r="B71" s="84">
        <v>25600000</v>
      </c>
      <c r="C71" s="84">
        <v>12802664448</v>
      </c>
      <c r="D71" s="84">
        <v>13082087680</v>
      </c>
      <c r="E71" s="84">
        <v>-279423232</v>
      </c>
      <c r="F71" s="84">
        <v>25600000</v>
      </c>
      <c r="G71" s="84">
        <v>12802664448</v>
      </c>
      <c r="H71" s="84">
        <v>10028365723</v>
      </c>
      <c r="I71" s="84">
        <v>2774298725</v>
      </c>
    </row>
    <row r="72" spans="1:9" x14ac:dyDescent="0.45">
      <c r="A72" s="68" t="s">
        <v>212</v>
      </c>
      <c r="B72" s="84">
        <v>11440020</v>
      </c>
      <c r="C72" s="84">
        <v>33736921454</v>
      </c>
      <c r="D72" s="84">
        <v>33498538093</v>
      </c>
      <c r="E72" s="84">
        <v>238383361</v>
      </c>
      <c r="F72" s="84">
        <v>11440020</v>
      </c>
      <c r="G72" s="84">
        <v>33736921454</v>
      </c>
      <c r="H72" s="84">
        <v>29362345072</v>
      </c>
      <c r="I72" s="84">
        <v>4374576382</v>
      </c>
    </row>
    <row r="73" spans="1:9" x14ac:dyDescent="0.45">
      <c r="A73" s="68" t="s">
        <v>489</v>
      </c>
      <c r="B73" s="84">
        <v>0</v>
      </c>
      <c r="C73" s="84">
        <v>0</v>
      </c>
      <c r="D73" s="84">
        <v>0</v>
      </c>
      <c r="E73" s="84">
        <v>0</v>
      </c>
      <c r="F73" s="84">
        <v>0</v>
      </c>
      <c r="G73" s="84">
        <v>0</v>
      </c>
      <c r="H73" s="84">
        <v>-3981368184</v>
      </c>
      <c r="I73" s="84">
        <v>3981368184</v>
      </c>
    </row>
    <row r="74" spans="1:9" x14ac:dyDescent="0.45">
      <c r="A74" s="68" t="s">
        <v>189</v>
      </c>
      <c r="B74" s="84">
        <v>7640317</v>
      </c>
      <c r="C74" s="84">
        <v>41090414835</v>
      </c>
      <c r="D74" s="84">
        <v>41469477702</v>
      </c>
      <c r="E74" s="84">
        <v>-379062867</v>
      </c>
      <c r="F74" s="84">
        <v>7640317</v>
      </c>
      <c r="G74" s="84">
        <v>41090414835</v>
      </c>
      <c r="H74" s="84">
        <v>29107496818</v>
      </c>
      <c r="I74" s="84">
        <v>11982918017</v>
      </c>
    </row>
    <row r="75" spans="1:9" x14ac:dyDescent="0.45">
      <c r="A75" s="68" t="s">
        <v>315</v>
      </c>
      <c r="B75" s="84">
        <v>12459071</v>
      </c>
      <c r="C75" s="84">
        <v>20262567543</v>
      </c>
      <c r="D75" s="84">
        <v>20361469642</v>
      </c>
      <c r="E75" s="84">
        <v>-98902099</v>
      </c>
      <c r="F75" s="84">
        <v>12459071</v>
      </c>
      <c r="G75" s="84">
        <v>20262567543</v>
      </c>
      <c r="H75" s="84">
        <v>20282791106</v>
      </c>
      <c r="I75" s="84">
        <v>-20223563</v>
      </c>
    </row>
    <row r="76" spans="1:9" x14ac:dyDescent="0.45">
      <c r="A76" s="68" t="s">
        <v>185</v>
      </c>
      <c r="B76" s="84">
        <v>3380920</v>
      </c>
      <c r="C76" s="84">
        <v>15801039650</v>
      </c>
      <c r="D76" s="84">
        <v>21336435706</v>
      </c>
      <c r="E76" s="84">
        <v>-5535396056</v>
      </c>
      <c r="F76" s="84">
        <v>3380920</v>
      </c>
      <c r="G76" s="84">
        <v>15801039650</v>
      </c>
      <c r="H76" s="84">
        <v>16767735799</v>
      </c>
      <c r="I76" s="84">
        <v>-966696149</v>
      </c>
    </row>
    <row r="77" spans="1:9" x14ac:dyDescent="0.45">
      <c r="A77" s="68" t="s">
        <v>216</v>
      </c>
      <c r="B77" s="84">
        <v>874591</v>
      </c>
      <c r="C77" s="84">
        <v>11880598334</v>
      </c>
      <c r="D77" s="84">
        <v>11672319036</v>
      </c>
      <c r="E77" s="84">
        <v>208279298</v>
      </c>
      <c r="F77" s="84">
        <v>874591</v>
      </c>
      <c r="G77" s="84">
        <v>11880598334</v>
      </c>
      <c r="H77" s="84">
        <v>8904195778</v>
      </c>
      <c r="I77" s="84">
        <v>2976402556</v>
      </c>
    </row>
    <row r="78" spans="1:9" x14ac:dyDescent="0.45">
      <c r="A78" s="68" t="s">
        <v>342</v>
      </c>
      <c r="B78" s="84">
        <v>860136</v>
      </c>
      <c r="C78" s="84">
        <v>11590355480</v>
      </c>
      <c r="D78" s="84">
        <v>12802307231</v>
      </c>
      <c r="E78" s="84">
        <v>-1211951751</v>
      </c>
      <c r="F78" s="84">
        <v>860136</v>
      </c>
      <c r="G78" s="84">
        <v>11590355480</v>
      </c>
      <c r="H78" s="84">
        <v>8232282439</v>
      </c>
      <c r="I78" s="84">
        <v>3358073041</v>
      </c>
    </row>
    <row r="79" spans="1:9" x14ac:dyDescent="0.45">
      <c r="A79" s="68" t="s">
        <v>312</v>
      </c>
      <c r="B79" s="84">
        <v>517391</v>
      </c>
      <c r="C79" s="84">
        <v>16228307451</v>
      </c>
      <c r="D79" s="84">
        <v>17706875165</v>
      </c>
      <c r="E79" s="84">
        <v>-1478567714</v>
      </c>
      <c r="F79" s="84">
        <v>517391</v>
      </c>
      <c r="G79" s="84">
        <v>16228307451</v>
      </c>
      <c r="H79" s="84">
        <v>17064920422</v>
      </c>
      <c r="I79" s="84">
        <v>-836612971</v>
      </c>
    </row>
    <row r="80" spans="1:9" x14ac:dyDescent="0.45">
      <c r="A80" s="68" t="s">
        <v>247</v>
      </c>
      <c r="B80" s="84">
        <v>3534630</v>
      </c>
      <c r="C80" s="84">
        <v>18308144159</v>
      </c>
      <c r="D80" s="84">
        <v>18799167182</v>
      </c>
      <c r="E80" s="84">
        <v>-491023023</v>
      </c>
      <c r="F80" s="84">
        <v>3534630</v>
      </c>
      <c r="G80" s="84">
        <v>18308144159</v>
      </c>
      <c r="H80" s="84">
        <v>13881762462</v>
      </c>
      <c r="I80" s="84">
        <v>4426381697</v>
      </c>
    </row>
    <row r="81" spans="1:9" x14ac:dyDescent="0.45">
      <c r="A81" s="68" t="s">
        <v>289</v>
      </c>
      <c r="B81" s="84">
        <v>3250000</v>
      </c>
      <c r="C81" s="84">
        <v>3537690617</v>
      </c>
      <c r="D81" s="84">
        <v>3621537432</v>
      </c>
      <c r="E81" s="84">
        <v>-83846815</v>
      </c>
      <c r="F81" s="84">
        <v>3250000</v>
      </c>
      <c r="G81" s="84">
        <v>3537690617</v>
      </c>
      <c r="H81" s="84">
        <v>3939323661</v>
      </c>
      <c r="I81" s="84">
        <v>-401633044</v>
      </c>
    </row>
    <row r="82" spans="1:9" x14ac:dyDescent="0.45">
      <c r="A82" s="68" t="s">
        <v>194</v>
      </c>
      <c r="B82" s="84">
        <v>4215293</v>
      </c>
      <c r="C82" s="84">
        <v>15685157944</v>
      </c>
      <c r="D82" s="84">
        <v>15915206927</v>
      </c>
      <c r="E82" s="84">
        <v>-230048983</v>
      </c>
      <c r="F82" s="84">
        <v>4215293</v>
      </c>
      <c r="G82" s="84">
        <v>15685157944</v>
      </c>
      <c r="H82" s="84">
        <v>21878273592</v>
      </c>
      <c r="I82" s="84">
        <v>-6193115648</v>
      </c>
    </row>
    <row r="83" spans="1:9" x14ac:dyDescent="0.45">
      <c r="A83" s="68" t="s">
        <v>210</v>
      </c>
      <c r="B83" s="84">
        <v>2874653</v>
      </c>
      <c r="C83" s="84">
        <v>19510634417</v>
      </c>
      <c r="D83" s="84">
        <v>19824401930</v>
      </c>
      <c r="E83" s="84">
        <v>-313767513</v>
      </c>
      <c r="F83" s="84">
        <v>2874653</v>
      </c>
      <c r="G83" s="84">
        <v>19510634417</v>
      </c>
      <c r="H83" s="84">
        <v>19251319867</v>
      </c>
      <c r="I83" s="84">
        <v>259314550</v>
      </c>
    </row>
    <row r="84" spans="1:9" x14ac:dyDescent="0.45">
      <c r="A84" s="68" t="s">
        <v>173</v>
      </c>
      <c r="B84" s="84">
        <v>84882</v>
      </c>
      <c r="C84" s="84">
        <v>10580452802</v>
      </c>
      <c r="D84" s="84">
        <v>10251129681</v>
      </c>
      <c r="E84" s="84">
        <v>329323121</v>
      </c>
      <c r="F84" s="84">
        <v>84882</v>
      </c>
      <c r="G84" s="84">
        <v>10580452802</v>
      </c>
      <c r="H84" s="84">
        <v>7685896566</v>
      </c>
      <c r="I84" s="84">
        <v>2894556236</v>
      </c>
    </row>
    <row r="85" spans="1:9" x14ac:dyDescent="0.45">
      <c r="A85" s="68" t="s">
        <v>225</v>
      </c>
      <c r="B85" s="84">
        <v>612681</v>
      </c>
      <c r="C85" s="84">
        <v>18524083415</v>
      </c>
      <c r="D85" s="84">
        <v>17182743031</v>
      </c>
      <c r="E85" s="84">
        <v>1341340384</v>
      </c>
      <c r="F85" s="84">
        <v>612681</v>
      </c>
      <c r="G85" s="84">
        <v>18524083415</v>
      </c>
      <c r="H85" s="84">
        <v>22539494006</v>
      </c>
      <c r="I85" s="84">
        <v>-4015410591</v>
      </c>
    </row>
    <row r="86" spans="1:9" x14ac:dyDescent="0.45">
      <c r="A86" s="68" t="s">
        <v>482</v>
      </c>
      <c r="B86" s="84">
        <v>3983350</v>
      </c>
      <c r="C86" s="84">
        <v>14442649506</v>
      </c>
      <c r="D86" s="84">
        <v>14497985328</v>
      </c>
      <c r="E86" s="84">
        <v>-55335822</v>
      </c>
      <c r="F86" s="84">
        <v>3983350</v>
      </c>
      <c r="G86" s="84">
        <v>14442649506</v>
      </c>
      <c r="H86" s="84">
        <v>16626478656</v>
      </c>
      <c r="I86" s="84">
        <v>-2183829150</v>
      </c>
    </row>
    <row r="87" spans="1:9" x14ac:dyDescent="0.45">
      <c r="A87" s="68" t="s">
        <v>186</v>
      </c>
      <c r="B87" s="84">
        <v>2830564</v>
      </c>
      <c r="C87" s="84">
        <v>22357122573</v>
      </c>
      <c r="D87" s="84">
        <v>23087380345</v>
      </c>
      <c r="E87" s="84">
        <v>-730257772</v>
      </c>
      <c r="F87" s="84">
        <v>2830564</v>
      </c>
      <c r="G87" s="84">
        <v>22357122573</v>
      </c>
      <c r="H87" s="84">
        <v>24505426975</v>
      </c>
      <c r="I87" s="84">
        <v>-2148304402</v>
      </c>
    </row>
    <row r="88" spans="1:9" x14ac:dyDescent="0.45">
      <c r="A88" s="68" t="s">
        <v>205</v>
      </c>
      <c r="B88" s="84">
        <v>2001235</v>
      </c>
      <c r="C88" s="84">
        <v>17593881918</v>
      </c>
      <c r="D88" s="84">
        <v>18565369119</v>
      </c>
      <c r="E88" s="84">
        <v>-971487201</v>
      </c>
      <c r="F88" s="84">
        <v>2001235</v>
      </c>
      <c r="G88" s="84">
        <v>17593881918</v>
      </c>
      <c r="H88" s="84">
        <v>13210275397</v>
      </c>
      <c r="I88" s="84">
        <v>4383606521</v>
      </c>
    </row>
    <row r="89" spans="1:9" x14ac:dyDescent="0.45">
      <c r="A89" s="68" t="s">
        <v>275</v>
      </c>
      <c r="B89" s="84">
        <v>5476907</v>
      </c>
      <c r="C89" s="84">
        <v>22221958811</v>
      </c>
      <c r="D89" s="84">
        <v>22357823074</v>
      </c>
      <c r="E89" s="84">
        <v>-135864263</v>
      </c>
      <c r="F89" s="84">
        <v>5476907</v>
      </c>
      <c r="G89" s="84">
        <v>22221958811</v>
      </c>
      <c r="H89" s="84">
        <v>24541931735</v>
      </c>
      <c r="I89" s="84">
        <v>-2319972924</v>
      </c>
    </row>
    <row r="90" spans="1:9" x14ac:dyDescent="0.45">
      <c r="A90" s="68" t="s">
        <v>180</v>
      </c>
      <c r="B90" s="84">
        <v>2800000</v>
      </c>
      <c r="C90" s="84">
        <v>21337774080</v>
      </c>
      <c r="D90" s="84">
        <v>20921020680</v>
      </c>
      <c r="E90" s="84">
        <v>416753400</v>
      </c>
      <c r="F90" s="84">
        <v>2800000</v>
      </c>
      <c r="G90" s="84">
        <v>21337774080</v>
      </c>
      <c r="H90" s="84">
        <v>24063676301</v>
      </c>
      <c r="I90" s="84">
        <v>-2725902221</v>
      </c>
    </row>
    <row r="91" spans="1:9" x14ac:dyDescent="0.45">
      <c r="A91" s="68" t="s">
        <v>182</v>
      </c>
      <c r="B91" s="84">
        <v>2913758</v>
      </c>
      <c r="C91" s="84">
        <v>27871502032</v>
      </c>
      <c r="D91" s="84">
        <v>26559304044</v>
      </c>
      <c r="E91" s="84">
        <v>1312197988</v>
      </c>
      <c r="F91" s="84">
        <v>2913758</v>
      </c>
      <c r="G91" s="84">
        <v>27871502032</v>
      </c>
      <c r="H91" s="84">
        <v>31081050601</v>
      </c>
      <c r="I91" s="84">
        <v>-3209548569</v>
      </c>
    </row>
    <row r="92" spans="1:9" x14ac:dyDescent="0.45">
      <c r="A92" s="68" t="s">
        <v>183</v>
      </c>
      <c r="B92" s="84">
        <v>1209154</v>
      </c>
      <c r="C92" s="84">
        <v>14913603988</v>
      </c>
      <c r="D92" s="84">
        <v>15441519173</v>
      </c>
      <c r="E92" s="84">
        <v>-527915185</v>
      </c>
      <c r="F92" s="84">
        <v>1209154</v>
      </c>
      <c r="G92" s="84">
        <v>14913603988</v>
      </c>
      <c r="H92" s="84">
        <v>13559690174</v>
      </c>
      <c r="I92" s="84">
        <v>1353913814</v>
      </c>
    </row>
    <row r="93" spans="1:9" x14ac:dyDescent="0.45">
      <c r="A93" s="68" t="s">
        <v>484</v>
      </c>
      <c r="B93" s="84">
        <v>1813731</v>
      </c>
      <c r="C93" s="84">
        <v>20570695123</v>
      </c>
      <c r="D93" s="84">
        <v>12543984690</v>
      </c>
      <c r="E93" s="84">
        <v>8026710433</v>
      </c>
      <c r="F93" s="84">
        <v>1813731</v>
      </c>
      <c r="G93" s="84">
        <v>20570695123</v>
      </c>
      <c r="H93" s="84">
        <v>18525804260</v>
      </c>
      <c r="I93" s="84">
        <v>2044890863</v>
      </c>
    </row>
    <row r="94" spans="1:9" x14ac:dyDescent="0.45">
      <c r="A94" s="68" t="s">
        <v>460</v>
      </c>
      <c r="B94" s="84">
        <v>104452</v>
      </c>
      <c r="C94" s="84">
        <v>13160789535</v>
      </c>
      <c r="D94" s="84">
        <v>13022942236</v>
      </c>
      <c r="E94" s="84">
        <v>137847299</v>
      </c>
      <c r="F94" s="84">
        <v>104452</v>
      </c>
      <c r="G94" s="84">
        <v>13160789535</v>
      </c>
      <c r="H94" s="84">
        <v>12026316222</v>
      </c>
      <c r="I94" s="84">
        <v>1134473313</v>
      </c>
    </row>
    <row r="95" spans="1:9" x14ac:dyDescent="0.45">
      <c r="A95" s="68" t="s">
        <v>235</v>
      </c>
      <c r="B95" s="84">
        <v>144247</v>
      </c>
      <c r="C95" s="84">
        <v>913181973</v>
      </c>
      <c r="D95" s="84">
        <v>961846843</v>
      </c>
      <c r="E95" s="84">
        <v>-48664870</v>
      </c>
      <c r="F95" s="84">
        <v>144247</v>
      </c>
      <c r="G95" s="84">
        <v>913181973</v>
      </c>
      <c r="H95" s="84">
        <v>1152844494</v>
      </c>
      <c r="I95" s="84">
        <v>-239662521</v>
      </c>
    </row>
    <row r="96" spans="1:9" x14ac:dyDescent="0.45">
      <c r="A96" s="68" t="s">
        <v>215</v>
      </c>
      <c r="B96" s="84">
        <v>336344</v>
      </c>
      <c r="C96" s="84">
        <v>10663122745</v>
      </c>
      <c r="D96" s="84">
        <v>10923443113</v>
      </c>
      <c r="E96" s="84">
        <v>-260320368</v>
      </c>
      <c r="F96" s="84">
        <v>336344</v>
      </c>
      <c r="G96" s="84">
        <v>10663122745</v>
      </c>
      <c r="H96" s="84">
        <v>11436721532</v>
      </c>
      <c r="I96" s="84">
        <v>-773598787</v>
      </c>
    </row>
    <row r="97" spans="1:9" x14ac:dyDescent="0.45">
      <c r="A97" s="68" t="s">
        <v>353</v>
      </c>
      <c r="B97" s="84">
        <v>1824791</v>
      </c>
      <c r="C97" s="84">
        <v>28427760239</v>
      </c>
      <c r="D97" s="84">
        <v>27780233243</v>
      </c>
      <c r="E97" s="84">
        <v>647526996</v>
      </c>
      <c r="F97" s="84">
        <v>1824791</v>
      </c>
      <c r="G97" s="84">
        <v>28427760239</v>
      </c>
      <c r="H97" s="84">
        <v>33970430990</v>
      </c>
      <c r="I97" s="84">
        <v>-5542670751</v>
      </c>
    </row>
    <row r="98" spans="1:9" x14ac:dyDescent="0.45">
      <c r="A98" s="68" t="s">
        <v>475</v>
      </c>
      <c r="B98" s="84">
        <v>1504289</v>
      </c>
      <c r="C98" s="84">
        <v>16150590354</v>
      </c>
      <c r="D98" s="84">
        <v>15896838010</v>
      </c>
      <c r="E98" s="84">
        <v>253752344</v>
      </c>
      <c r="F98" s="84">
        <v>1504289</v>
      </c>
      <c r="G98" s="84">
        <v>16150590354</v>
      </c>
      <c r="H98" s="84">
        <v>9141298952</v>
      </c>
      <c r="I98" s="84">
        <v>7009291402</v>
      </c>
    </row>
    <row r="99" spans="1:9" x14ac:dyDescent="0.45">
      <c r="A99" s="68" t="s">
        <v>287</v>
      </c>
      <c r="B99" s="84">
        <v>512506</v>
      </c>
      <c r="C99" s="84">
        <v>17890589481</v>
      </c>
      <c r="D99" s="84">
        <v>18210972408</v>
      </c>
      <c r="E99" s="84">
        <v>-320382927</v>
      </c>
      <c r="F99" s="84">
        <v>512506</v>
      </c>
      <c r="G99" s="84">
        <v>17890589481</v>
      </c>
      <c r="H99" s="84">
        <v>23243757956</v>
      </c>
      <c r="I99" s="84">
        <v>-5353168475</v>
      </c>
    </row>
    <row r="100" spans="1:9" x14ac:dyDescent="0.45">
      <c r="A100" s="68" t="s">
        <v>295</v>
      </c>
      <c r="B100" s="84">
        <v>21110</v>
      </c>
      <c r="C100" s="84">
        <v>2291372607</v>
      </c>
      <c r="D100" s="84">
        <v>2270635255</v>
      </c>
      <c r="E100" s="84">
        <v>20737352</v>
      </c>
      <c r="F100" s="84">
        <v>21110</v>
      </c>
      <c r="G100" s="84">
        <v>2291372607</v>
      </c>
      <c r="H100" s="84">
        <v>2674296095</v>
      </c>
      <c r="I100" s="84">
        <v>-382923488</v>
      </c>
    </row>
    <row r="101" spans="1:9" x14ac:dyDescent="0.45">
      <c r="A101" s="68" t="s">
        <v>302</v>
      </c>
      <c r="B101" s="84">
        <v>6761644</v>
      </c>
      <c r="C101" s="84">
        <v>13606615526</v>
      </c>
      <c r="D101" s="84">
        <v>14986293566</v>
      </c>
      <c r="E101" s="84">
        <v>-1379678040</v>
      </c>
      <c r="F101" s="84">
        <v>6761644</v>
      </c>
      <c r="G101" s="84">
        <v>13606615526</v>
      </c>
      <c r="H101" s="84">
        <v>10818188004</v>
      </c>
      <c r="I101" s="84">
        <v>2788427522</v>
      </c>
    </row>
    <row r="102" spans="1:9" x14ac:dyDescent="0.45">
      <c r="A102" s="68" t="s">
        <v>344</v>
      </c>
      <c r="B102" s="84">
        <v>520570</v>
      </c>
      <c r="C102" s="84">
        <v>20982098272</v>
      </c>
      <c r="D102" s="84">
        <v>20623278335</v>
      </c>
      <c r="E102" s="84">
        <v>358819937</v>
      </c>
      <c r="F102" s="84">
        <v>520570</v>
      </c>
      <c r="G102" s="84">
        <v>20982098272</v>
      </c>
      <c r="H102" s="84">
        <v>20486605262</v>
      </c>
      <c r="I102" s="84">
        <v>495493010</v>
      </c>
    </row>
    <row r="103" spans="1:9" x14ac:dyDescent="0.45">
      <c r="A103" s="68" t="s">
        <v>296</v>
      </c>
      <c r="B103" s="84">
        <v>1155746</v>
      </c>
      <c r="C103" s="84">
        <v>15745729905</v>
      </c>
      <c r="D103" s="84">
        <v>16376476551</v>
      </c>
      <c r="E103" s="84">
        <v>-630746646</v>
      </c>
      <c r="F103" s="84">
        <v>1155746</v>
      </c>
      <c r="G103" s="84">
        <v>15745729905</v>
      </c>
      <c r="H103" s="84">
        <v>7943307049</v>
      </c>
      <c r="I103" s="84">
        <v>7802422856</v>
      </c>
    </row>
    <row r="104" spans="1:9" x14ac:dyDescent="0.45">
      <c r="A104" s="68" t="s">
        <v>257</v>
      </c>
      <c r="B104" s="84">
        <v>3019851</v>
      </c>
      <c r="C104" s="84">
        <v>8764784589</v>
      </c>
      <c r="D104" s="84">
        <v>9148337556</v>
      </c>
      <c r="E104" s="84">
        <v>-383552967</v>
      </c>
      <c r="F104" s="84">
        <v>3019851</v>
      </c>
      <c r="G104" s="84">
        <v>8764784589</v>
      </c>
      <c r="H104" s="84">
        <v>5526073732</v>
      </c>
      <c r="I104" s="84">
        <v>3238710857</v>
      </c>
    </row>
    <row r="105" spans="1:9" x14ac:dyDescent="0.45">
      <c r="A105" s="68" t="s">
        <v>485</v>
      </c>
      <c r="B105" s="84">
        <v>0</v>
      </c>
      <c r="C105" s="84">
        <v>0</v>
      </c>
      <c r="D105" s="84">
        <v>593635819</v>
      </c>
      <c r="E105" s="84">
        <v>-593635819</v>
      </c>
      <c r="F105" s="84">
        <v>0</v>
      </c>
      <c r="G105" s="84">
        <v>0</v>
      </c>
      <c r="H105" s="84">
        <v>0</v>
      </c>
      <c r="I105" s="84">
        <v>0</v>
      </c>
    </row>
    <row r="106" spans="1:9" x14ac:dyDescent="0.45">
      <c r="A106" s="68" t="s">
        <v>281</v>
      </c>
      <c r="B106" s="84">
        <v>3863965</v>
      </c>
      <c r="C106" s="84">
        <v>25343378199</v>
      </c>
      <c r="D106" s="84">
        <v>24384854061</v>
      </c>
      <c r="E106" s="84">
        <v>958524138</v>
      </c>
      <c r="F106" s="84">
        <v>3863965</v>
      </c>
      <c r="G106" s="84">
        <v>25343378199</v>
      </c>
      <c r="H106" s="84">
        <v>23148828819</v>
      </c>
      <c r="I106" s="84">
        <v>2194549380</v>
      </c>
    </row>
    <row r="107" spans="1:9" x14ac:dyDescent="0.45">
      <c r="A107" s="68" t="s">
        <v>277</v>
      </c>
      <c r="B107" s="84">
        <v>1467107</v>
      </c>
      <c r="C107" s="84">
        <v>24748026469</v>
      </c>
      <c r="D107" s="84">
        <v>24354969578</v>
      </c>
      <c r="E107" s="84">
        <v>393056891</v>
      </c>
      <c r="F107" s="84">
        <v>1467107</v>
      </c>
      <c r="G107" s="84">
        <v>24748026469</v>
      </c>
      <c r="H107" s="84">
        <v>23716554717</v>
      </c>
      <c r="I107" s="84">
        <v>1031471752</v>
      </c>
    </row>
    <row r="108" spans="1:9" x14ac:dyDescent="0.45">
      <c r="A108" s="68" t="s">
        <v>294</v>
      </c>
      <c r="B108" s="84">
        <v>2277911</v>
      </c>
      <c r="C108" s="84">
        <v>21111227666</v>
      </c>
      <c r="D108" s="84">
        <v>23264017526</v>
      </c>
      <c r="E108" s="84">
        <v>-2152789860</v>
      </c>
      <c r="F108" s="84">
        <v>2277911</v>
      </c>
      <c r="G108" s="84">
        <v>21111227666</v>
      </c>
      <c r="H108" s="84">
        <v>22635075434</v>
      </c>
      <c r="I108" s="84">
        <v>-1523847768</v>
      </c>
    </row>
    <row r="109" spans="1:9" x14ac:dyDescent="0.45">
      <c r="A109" s="68" t="s">
        <v>246</v>
      </c>
      <c r="B109" s="84">
        <v>22585402</v>
      </c>
      <c r="C109" s="84">
        <v>42401265466</v>
      </c>
      <c r="D109" s="84">
        <v>42527674899</v>
      </c>
      <c r="E109" s="84">
        <v>-126409433</v>
      </c>
      <c r="F109" s="84">
        <v>22585402</v>
      </c>
      <c r="G109" s="84">
        <v>42401265466</v>
      </c>
      <c r="H109" s="84">
        <v>40480822150</v>
      </c>
      <c r="I109" s="84">
        <v>1920443316</v>
      </c>
    </row>
    <row r="110" spans="1:9" x14ac:dyDescent="0.45">
      <c r="A110" s="68" t="s">
        <v>245</v>
      </c>
      <c r="B110" s="84">
        <v>835696</v>
      </c>
      <c r="C110" s="84">
        <v>20614808698</v>
      </c>
      <c r="D110" s="84">
        <v>22248403756</v>
      </c>
      <c r="E110" s="84">
        <v>-1633595058</v>
      </c>
      <c r="F110" s="84">
        <v>835696</v>
      </c>
      <c r="G110" s="84">
        <v>20614808698</v>
      </c>
      <c r="H110" s="84">
        <v>25344863627</v>
      </c>
      <c r="I110" s="84">
        <v>-4730054929</v>
      </c>
    </row>
    <row r="111" spans="1:9" x14ac:dyDescent="0.45">
      <c r="A111" s="68" t="s">
        <v>454</v>
      </c>
      <c r="B111" s="84">
        <v>200000</v>
      </c>
      <c r="C111" s="84">
        <v>1210569400</v>
      </c>
      <c r="D111" s="84">
        <v>1224461180</v>
      </c>
      <c r="E111" s="84">
        <v>-13891780</v>
      </c>
      <c r="F111" s="84">
        <v>200000</v>
      </c>
      <c r="G111" s="84">
        <v>1210569400</v>
      </c>
      <c r="H111" s="84">
        <v>1501990667</v>
      </c>
      <c r="I111" s="84">
        <v>-291421267</v>
      </c>
    </row>
    <row r="112" spans="1:9" x14ac:dyDescent="0.45">
      <c r="A112" s="68" t="s">
        <v>486</v>
      </c>
      <c r="B112" s="84">
        <v>2478</v>
      </c>
      <c r="C112" s="84">
        <v>664134051</v>
      </c>
      <c r="D112" s="84">
        <v>666469954</v>
      </c>
      <c r="E112" s="84">
        <v>-2335903</v>
      </c>
      <c r="F112" s="84">
        <v>2478</v>
      </c>
      <c r="G112" s="84">
        <v>664134051</v>
      </c>
      <c r="H112" s="84">
        <v>634181829</v>
      </c>
      <c r="I112" s="84">
        <v>29952222</v>
      </c>
    </row>
    <row r="113" spans="1:9" x14ac:dyDescent="0.45">
      <c r="A113" s="68" t="s">
        <v>193</v>
      </c>
      <c r="B113" s="84">
        <v>0</v>
      </c>
      <c r="C113" s="84">
        <v>0</v>
      </c>
      <c r="D113" s="84">
        <v>-4925940439</v>
      </c>
      <c r="E113" s="84">
        <v>4925940439</v>
      </c>
      <c r="F113" s="84">
        <v>0</v>
      </c>
      <c r="G113" s="84">
        <v>0</v>
      </c>
      <c r="H113" s="84">
        <v>0</v>
      </c>
      <c r="I113" s="84">
        <v>0</v>
      </c>
    </row>
    <row r="114" spans="1:9" x14ac:dyDescent="0.45">
      <c r="A114" s="68" t="s">
        <v>398</v>
      </c>
      <c r="B114" s="84">
        <v>249996</v>
      </c>
      <c r="C114" s="84">
        <v>1478458644</v>
      </c>
      <c r="D114" s="84">
        <v>1545435798</v>
      </c>
      <c r="E114" s="84">
        <v>-66977154</v>
      </c>
      <c r="F114" s="84">
        <v>249996</v>
      </c>
      <c r="G114" s="84">
        <v>1478458644</v>
      </c>
      <c r="H114" s="84">
        <v>1732104411</v>
      </c>
      <c r="I114" s="84">
        <v>-253645767</v>
      </c>
    </row>
    <row r="115" spans="1:9" x14ac:dyDescent="0.45">
      <c r="A115" s="68" t="s">
        <v>188</v>
      </c>
      <c r="B115" s="84">
        <v>13572652</v>
      </c>
      <c r="C115" s="84">
        <v>35298934484</v>
      </c>
      <c r="D115" s="84">
        <v>37255346493</v>
      </c>
      <c r="E115" s="84">
        <v>-1956412009</v>
      </c>
      <c r="F115" s="84">
        <v>13572652</v>
      </c>
      <c r="G115" s="84">
        <v>35298934484</v>
      </c>
      <c r="H115" s="84">
        <v>40423078437</v>
      </c>
      <c r="I115" s="84">
        <v>-5124143953</v>
      </c>
    </row>
    <row r="116" spans="1:9" x14ac:dyDescent="0.45">
      <c r="A116" s="68" t="s">
        <v>320</v>
      </c>
      <c r="B116" s="84">
        <v>1875000</v>
      </c>
      <c r="C116" s="84">
        <v>6586192125</v>
      </c>
      <c r="D116" s="84">
        <v>6818755406</v>
      </c>
      <c r="E116" s="84">
        <v>-232563281</v>
      </c>
      <c r="F116" s="84">
        <v>1875000</v>
      </c>
      <c r="G116" s="84">
        <v>6586192125</v>
      </c>
      <c r="H116" s="84">
        <v>5911612875</v>
      </c>
      <c r="I116" s="84">
        <v>674579250</v>
      </c>
    </row>
    <row r="117" spans="1:9" x14ac:dyDescent="0.45">
      <c r="A117" s="68" t="s">
        <v>448</v>
      </c>
      <c r="B117" s="84">
        <v>23792</v>
      </c>
      <c r="C117" s="84">
        <v>1431830527</v>
      </c>
      <c r="D117" s="84">
        <v>1534525710</v>
      </c>
      <c r="E117" s="84">
        <v>-102695183</v>
      </c>
      <c r="F117" s="84">
        <v>23792</v>
      </c>
      <c r="G117" s="84">
        <v>1431830527</v>
      </c>
      <c r="H117" s="84">
        <v>1265552380</v>
      </c>
      <c r="I117" s="84">
        <v>166278147</v>
      </c>
    </row>
    <row r="118" spans="1:9" x14ac:dyDescent="0.45">
      <c r="A118" s="68" t="s">
        <v>453</v>
      </c>
      <c r="B118" s="84">
        <v>943421</v>
      </c>
      <c r="C118" s="84">
        <v>15904820763</v>
      </c>
      <c r="D118" s="84">
        <v>16709891149</v>
      </c>
      <c r="E118" s="84">
        <v>-805070386</v>
      </c>
      <c r="F118" s="84">
        <v>943421</v>
      </c>
      <c r="G118" s="84">
        <v>15904820763</v>
      </c>
      <c r="H118" s="84">
        <v>12470037471</v>
      </c>
      <c r="I118" s="84">
        <v>3434783292</v>
      </c>
    </row>
    <row r="119" spans="1:9" x14ac:dyDescent="0.45">
      <c r="A119" s="68" t="s">
        <v>449</v>
      </c>
      <c r="B119" s="84">
        <v>3733986</v>
      </c>
      <c r="C119" s="84">
        <v>31975205347</v>
      </c>
      <c r="D119" s="84">
        <v>30863668661</v>
      </c>
      <c r="E119" s="84">
        <v>1111536686</v>
      </c>
      <c r="F119" s="84">
        <v>3733986</v>
      </c>
      <c r="G119" s="84">
        <v>31975205347</v>
      </c>
      <c r="H119" s="84">
        <v>14066948730</v>
      </c>
      <c r="I119" s="84">
        <v>17908256617</v>
      </c>
    </row>
    <row r="120" spans="1:9" x14ac:dyDescent="0.45">
      <c r="A120" s="68" t="s">
        <v>339</v>
      </c>
      <c r="B120" s="84">
        <v>7083396</v>
      </c>
      <c r="C120" s="84">
        <v>19504479743</v>
      </c>
      <c r="D120" s="84">
        <v>19820768604</v>
      </c>
      <c r="E120" s="84">
        <v>-316288861</v>
      </c>
      <c r="F120" s="84">
        <v>7083396</v>
      </c>
      <c r="G120" s="84">
        <v>19504479743</v>
      </c>
      <c r="H120" s="84">
        <v>21700886395</v>
      </c>
      <c r="I120" s="84">
        <v>-2196406652</v>
      </c>
    </row>
    <row r="121" spans="1:9" x14ac:dyDescent="0.45">
      <c r="A121" s="68" t="s">
        <v>199</v>
      </c>
      <c r="B121" s="84">
        <v>3429795</v>
      </c>
      <c r="C121" s="84">
        <v>23006190948</v>
      </c>
      <c r="D121" s="84">
        <v>22121337450</v>
      </c>
      <c r="E121" s="84">
        <v>884853498</v>
      </c>
      <c r="F121" s="84">
        <v>3429795</v>
      </c>
      <c r="G121" s="84">
        <v>23006190948</v>
      </c>
      <c r="H121" s="84">
        <v>25843996755</v>
      </c>
      <c r="I121" s="84">
        <v>-2837805807</v>
      </c>
    </row>
    <row r="122" spans="1:9" x14ac:dyDescent="0.45">
      <c r="A122" s="68" t="s">
        <v>219</v>
      </c>
      <c r="B122" s="84">
        <v>6157463</v>
      </c>
      <c r="C122" s="84">
        <v>25624777211</v>
      </c>
      <c r="D122" s="84">
        <v>28105987392</v>
      </c>
      <c r="E122" s="84">
        <v>-2481210181</v>
      </c>
      <c r="F122" s="84">
        <v>6157463</v>
      </c>
      <c r="G122" s="84">
        <v>25624777211</v>
      </c>
      <c r="H122" s="84">
        <v>15675856896</v>
      </c>
      <c r="I122" s="84">
        <v>9948920315</v>
      </c>
    </row>
    <row r="123" spans="1:9" x14ac:dyDescent="0.45">
      <c r="A123" s="68" t="s">
        <v>309</v>
      </c>
      <c r="B123" s="84">
        <v>11896052</v>
      </c>
      <c r="C123" s="84">
        <v>34763061301</v>
      </c>
      <c r="D123" s="84">
        <v>36895760967</v>
      </c>
      <c r="E123" s="84">
        <v>-2132699666</v>
      </c>
      <c r="F123" s="84">
        <v>11896052</v>
      </c>
      <c r="G123" s="84">
        <v>34763061301</v>
      </c>
      <c r="H123" s="84">
        <v>25741988551</v>
      </c>
      <c r="I123" s="84">
        <v>9021072750</v>
      </c>
    </row>
    <row r="124" spans="1:9" x14ac:dyDescent="0.45">
      <c r="A124" s="68" t="s">
        <v>250</v>
      </c>
      <c r="B124" s="84">
        <v>5065914</v>
      </c>
      <c r="C124" s="84">
        <v>13697905971</v>
      </c>
      <c r="D124" s="84">
        <v>14567534497</v>
      </c>
      <c r="E124" s="84">
        <v>-869628526</v>
      </c>
      <c r="F124" s="84">
        <v>5065914</v>
      </c>
      <c r="G124" s="84">
        <v>13697905971</v>
      </c>
      <c r="H124" s="84">
        <v>18707892280</v>
      </c>
      <c r="I124" s="84">
        <v>-5009986309</v>
      </c>
    </row>
    <row r="125" spans="1:9" x14ac:dyDescent="0.45">
      <c r="A125" s="68" t="s">
        <v>274</v>
      </c>
      <c r="B125" s="84">
        <v>7380289</v>
      </c>
      <c r="C125" s="84">
        <v>21530323736</v>
      </c>
      <c r="D125" s="84">
        <v>22433438031</v>
      </c>
      <c r="E125" s="84">
        <v>-903114295</v>
      </c>
      <c r="F125" s="84">
        <v>7380289</v>
      </c>
      <c r="G125" s="84">
        <v>21530323736</v>
      </c>
      <c r="H125" s="84">
        <v>21960051981</v>
      </c>
      <c r="I125" s="84">
        <v>-429728245</v>
      </c>
    </row>
    <row r="126" spans="1:9" x14ac:dyDescent="0.45">
      <c r="A126" s="68" t="s">
        <v>301</v>
      </c>
      <c r="B126" s="84">
        <v>4262072</v>
      </c>
      <c r="C126" s="84">
        <v>15732349402</v>
      </c>
      <c r="D126" s="84">
        <v>15109644037</v>
      </c>
      <c r="E126" s="84">
        <v>622705365</v>
      </c>
      <c r="F126" s="84">
        <v>4262072</v>
      </c>
      <c r="G126" s="84">
        <v>15732349402</v>
      </c>
      <c r="H126" s="84">
        <v>16130979435</v>
      </c>
      <c r="I126" s="84">
        <v>-398630033</v>
      </c>
    </row>
    <row r="127" spans="1:9" x14ac:dyDescent="0.45">
      <c r="A127" s="68" t="s">
        <v>298</v>
      </c>
      <c r="B127" s="84">
        <v>2038313</v>
      </c>
      <c r="C127" s="84">
        <v>25443765054</v>
      </c>
      <c r="D127" s="84">
        <v>28659630430</v>
      </c>
      <c r="E127" s="84">
        <v>-3215865376</v>
      </c>
      <c r="F127" s="84">
        <v>2038313</v>
      </c>
      <c r="G127" s="84">
        <v>25443765054</v>
      </c>
      <c r="H127" s="84">
        <v>35612740710</v>
      </c>
      <c r="I127" s="84">
        <v>-10168975656</v>
      </c>
    </row>
    <row r="128" spans="1:9" x14ac:dyDescent="0.45">
      <c r="A128" s="68" t="s">
        <v>217</v>
      </c>
      <c r="B128" s="84">
        <v>7043843</v>
      </c>
      <c r="C128" s="84">
        <v>23889749012</v>
      </c>
      <c r="D128" s="84">
        <v>25793514841</v>
      </c>
      <c r="E128" s="84">
        <v>-1903765829</v>
      </c>
      <c r="F128" s="84">
        <v>7043843</v>
      </c>
      <c r="G128" s="84">
        <v>23889749012</v>
      </c>
      <c r="H128" s="84">
        <v>17962732742</v>
      </c>
      <c r="I128" s="84">
        <v>5927016270</v>
      </c>
    </row>
    <row r="129" spans="1:9" x14ac:dyDescent="0.45">
      <c r="A129" s="68" t="s">
        <v>230</v>
      </c>
      <c r="B129" s="84">
        <v>2789045</v>
      </c>
      <c r="C129" s="84">
        <v>15027447254</v>
      </c>
      <c r="D129" s="84">
        <v>15663968961</v>
      </c>
      <c r="E129" s="84">
        <v>-636521707</v>
      </c>
      <c r="F129" s="84">
        <v>2789045</v>
      </c>
      <c r="G129" s="84">
        <v>15027447254</v>
      </c>
      <c r="H129" s="84">
        <v>9704409400</v>
      </c>
      <c r="I129" s="84">
        <v>5323037854</v>
      </c>
    </row>
    <row r="130" spans="1:9" x14ac:dyDescent="0.45">
      <c r="A130" s="68" t="s">
        <v>195</v>
      </c>
      <c r="B130" s="84">
        <v>1200163</v>
      </c>
      <c r="C130" s="84">
        <v>15219519757</v>
      </c>
      <c r="D130" s="84">
        <v>15302187816</v>
      </c>
      <c r="E130" s="84">
        <v>-82668059</v>
      </c>
      <c r="F130" s="84">
        <v>1200163</v>
      </c>
      <c r="G130" s="84">
        <v>15219519757</v>
      </c>
      <c r="H130" s="84">
        <v>16198919272</v>
      </c>
      <c r="I130" s="84">
        <v>-979399515</v>
      </c>
    </row>
    <row r="131" spans="1:9" x14ac:dyDescent="0.45">
      <c r="A131" s="68" t="s">
        <v>310</v>
      </c>
      <c r="B131" s="84">
        <v>2116099</v>
      </c>
      <c r="C131" s="84">
        <v>20766443976</v>
      </c>
      <c r="D131" s="84">
        <v>23118154518</v>
      </c>
      <c r="E131" s="84">
        <v>-2351710542</v>
      </c>
      <c r="F131" s="84">
        <v>2116099</v>
      </c>
      <c r="G131" s="84">
        <v>20766443976</v>
      </c>
      <c r="H131" s="84">
        <v>19380542164</v>
      </c>
      <c r="I131" s="84">
        <v>1385901812</v>
      </c>
    </row>
    <row r="132" spans="1:9" x14ac:dyDescent="0.45">
      <c r="A132" s="68" t="s">
        <v>263</v>
      </c>
      <c r="B132" s="84">
        <v>204021</v>
      </c>
      <c r="C132" s="84">
        <v>6577402885</v>
      </c>
      <c r="D132" s="84">
        <v>7923173280</v>
      </c>
      <c r="E132" s="84">
        <v>-1345770395</v>
      </c>
      <c r="F132" s="84">
        <v>204021</v>
      </c>
      <c r="G132" s="84">
        <v>6577402885</v>
      </c>
      <c r="H132" s="84">
        <v>5210406001</v>
      </c>
      <c r="I132" s="84">
        <v>1366996884</v>
      </c>
    </row>
    <row r="133" spans="1:9" x14ac:dyDescent="0.45">
      <c r="A133" s="68" t="s">
        <v>181</v>
      </c>
      <c r="B133" s="84">
        <v>4967900</v>
      </c>
      <c r="C133" s="84">
        <v>20260237327</v>
      </c>
      <c r="D133" s="84">
        <v>20960226062</v>
      </c>
      <c r="E133" s="84">
        <v>-699988735</v>
      </c>
      <c r="F133" s="84">
        <v>4967900</v>
      </c>
      <c r="G133" s="84">
        <v>20260237327</v>
      </c>
      <c r="H133" s="84">
        <v>27318914165</v>
      </c>
      <c r="I133" s="84">
        <v>-7058676838</v>
      </c>
    </row>
    <row r="134" spans="1:9" x14ac:dyDescent="0.45">
      <c r="A134" s="68" t="s">
        <v>178</v>
      </c>
      <c r="B134" s="84">
        <v>19600000</v>
      </c>
      <c r="C134" s="84">
        <v>25574766980</v>
      </c>
      <c r="D134" s="84">
        <v>27519616180</v>
      </c>
      <c r="E134" s="84">
        <v>-1944849200</v>
      </c>
      <c r="F134" s="84">
        <v>19600000</v>
      </c>
      <c r="G134" s="84">
        <v>25574766980</v>
      </c>
      <c r="H134" s="84">
        <v>39331346955</v>
      </c>
      <c r="I134" s="84">
        <v>-13756579975</v>
      </c>
    </row>
    <row r="135" spans="1:9" x14ac:dyDescent="0.45">
      <c r="A135" s="68" t="s">
        <v>271</v>
      </c>
      <c r="B135" s="84">
        <v>3915801</v>
      </c>
      <c r="C135" s="84">
        <v>12433701946</v>
      </c>
      <c r="D135" s="84">
        <v>13459482357</v>
      </c>
      <c r="E135" s="84">
        <v>-1025780411</v>
      </c>
      <c r="F135" s="84">
        <v>3915801</v>
      </c>
      <c r="G135" s="84">
        <v>12433701946</v>
      </c>
      <c r="H135" s="84">
        <v>13026834643</v>
      </c>
      <c r="I135" s="84">
        <v>-593132697</v>
      </c>
    </row>
    <row r="136" spans="1:9" x14ac:dyDescent="0.45">
      <c r="A136" s="68" t="s">
        <v>447</v>
      </c>
      <c r="B136" s="84">
        <v>1440400</v>
      </c>
      <c r="C136" s="84">
        <v>9470314581</v>
      </c>
      <c r="D136" s="84">
        <v>9647543529</v>
      </c>
      <c r="E136" s="84">
        <v>-177228948</v>
      </c>
      <c r="F136" s="84">
        <v>1440400</v>
      </c>
      <c r="G136" s="84">
        <v>9470314581</v>
      </c>
      <c r="H136" s="84">
        <v>8499361036</v>
      </c>
      <c r="I136" s="84">
        <v>970953545</v>
      </c>
    </row>
    <row r="137" spans="1:9" x14ac:dyDescent="0.45">
      <c r="A137" s="68" t="s">
        <v>233</v>
      </c>
      <c r="B137" s="84">
        <v>8858150</v>
      </c>
      <c r="C137" s="84">
        <v>17579353001</v>
      </c>
      <c r="D137" s="84">
        <v>17588142678</v>
      </c>
      <c r="E137" s="84">
        <v>-8789677</v>
      </c>
      <c r="F137" s="84">
        <v>8858150</v>
      </c>
      <c r="G137" s="84">
        <v>17579353001</v>
      </c>
      <c r="H137" s="84">
        <v>11344964033</v>
      </c>
      <c r="I137" s="84">
        <v>6234388968</v>
      </c>
    </row>
    <row r="138" spans="1:9" x14ac:dyDescent="0.45">
      <c r="A138" s="68" t="s">
        <v>470</v>
      </c>
      <c r="B138" s="84">
        <v>5800000</v>
      </c>
      <c r="C138" s="84">
        <v>24419169338</v>
      </c>
      <c r="D138" s="84">
        <v>26675194410</v>
      </c>
      <c r="E138" s="84">
        <v>-2256025072</v>
      </c>
      <c r="F138" s="84">
        <v>5800000</v>
      </c>
      <c r="G138" s="84">
        <v>24419169338</v>
      </c>
      <c r="H138" s="84">
        <v>21338456733</v>
      </c>
      <c r="I138" s="84">
        <v>3080712605</v>
      </c>
    </row>
    <row r="139" spans="1:9" x14ac:dyDescent="0.45">
      <c r="A139" s="68" t="s">
        <v>255</v>
      </c>
      <c r="B139" s="84">
        <v>4441456</v>
      </c>
      <c r="C139" s="84">
        <v>14838784976</v>
      </c>
      <c r="D139" s="84">
        <v>14852006347</v>
      </c>
      <c r="E139" s="84">
        <v>-13221371</v>
      </c>
      <c r="F139" s="84">
        <v>4441456</v>
      </c>
      <c r="G139" s="84">
        <v>14838784976</v>
      </c>
      <c r="H139" s="84">
        <v>11625693660</v>
      </c>
      <c r="I139" s="84">
        <v>3213091316</v>
      </c>
    </row>
    <row r="140" spans="1:9" x14ac:dyDescent="0.45">
      <c r="A140" s="68" t="s">
        <v>272</v>
      </c>
      <c r="B140" s="84">
        <v>5802164</v>
      </c>
      <c r="C140" s="84">
        <v>26598787318</v>
      </c>
      <c r="D140" s="84">
        <v>27915335430</v>
      </c>
      <c r="E140" s="84">
        <v>-1316548112</v>
      </c>
      <c r="F140" s="84">
        <v>5802164</v>
      </c>
      <c r="G140" s="84">
        <v>26598787318</v>
      </c>
      <c r="H140" s="84">
        <v>14223939448</v>
      </c>
      <c r="I140" s="84">
        <v>12374847870</v>
      </c>
    </row>
    <row r="141" spans="1:9" x14ac:dyDescent="0.45">
      <c r="A141" s="68" t="s">
        <v>237</v>
      </c>
      <c r="B141" s="84">
        <v>19209541</v>
      </c>
      <c r="C141" s="84">
        <v>21691476320</v>
      </c>
      <c r="D141" s="84">
        <v>23616642496</v>
      </c>
      <c r="E141" s="84">
        <v>-1925166176</v>
      </c>
      <c r="F141" s="84">
        <v>19209541</v>
      </c>
      <c r="G141" s="84">
        <v>21691476320</v>
      </c>
      <c r="H141" s="84">
        <v>21405614361</v>
      </c>
      <c r="I141" s="84">
        <v>285861959</v>
      </c>
    </row>
    <row r="142" spans="1:9" x14ac:dyDescent="0.45">
      <c r="A142" s="68" t="s">
        <v>451</v>
      </c>
      <c r="B142" s="84">
        <v>1447708</v>
      </c>
      <c r="C142" s="84">
        <v>10400384652</v>
      </c>
      <c r="D142" s="84">
        <v>11721980492</v>
      </c>
      <c r="E142" s="84">
        <v>-1321595840</v>
      </c>
      <c r="F142" s="84">
        <v>1447708</v>
      </c>
      <c r="G142" s="84">
        <v>10400384652</v>
      </c>
      <c r="H142" s="84">
        <v>7589659743</v>
      </c>
      <c r="I142" s="84">
        <v>2810724909</v>
      </c>
    </row>
    <row r="143" spans="1:9" x14ac:dyDescent="0.45">
      <c r="A143" s="68" t="s">
        <v>319</v>
      </c>
      <c r="B143" s="84">
        <v>2867583</v>
      </c>
      <c r="C143" s="84">
        <v>36392878102</v>
      </c>
      <c r="D143" s="84">
        <v>35843618346</v>
      </c>
      <c r="E143" s="84">
        <v>549259756</v>
      </c>
      <c r="F143" s="84">
        <v>2867583</v>
      </c>
      <c r="G143" s="84">
        <v>36392878102</v>
      </c>
      <c r="H143" s="84">
        <v>27113143892</v>
      </c>
      <c r="I143" s="84">
        <v>9279734210</v>
      </c>
    </row>
    <row r="144" spans="1:9" x14ac:dyDescent="0.45">
      <c r="A144" s="68" t="s">
        <v>290</v>
      </c>
      <c r="B144" s="84">
        <v>5309272</v>
      </c>
      <c r="C144" s="84">
        <v>25550921938</v>
      </c>
      <c r="D144" s="84">
        <v>29186001554</v>
      </c>
      <c r="E144" s="84">
        <v>-3635079616</v>
      </c>
      <c r="F144" s="84">
        <v>5309272</v>
      </c>
      <c r="G144" s="84">
        <v>25550921938</v>
      </c>
      <c r="H144" s="84">
        <v>28666134962</v>
      </c>
      <c r="I144" s="84">
        <v>-3115213024</v>
      </c>
    </row>
    <row r="145" spans="1:9" x14ac:dyDescent="0.45">
      <c r="A145" s="68" t="s">
        <v>406</v>
      </c>
      <c r="B145" s="84">
        <v>241083</v>
      </c>
      <c r="C145" s="84">
        <v>2545294718</v>
      </c>
      <c r="D145" s="84">
        <v>2841926810</v>
      </c>
      <c r="E145" s="84">
        <v>-296632092</v>
      </c>
      <c r="F145" s="84">
        <v>241083</v>
      </c>
      <c r="G145" s="84">
        <v>2545294718</v>
      </c>
      <c r="H145" s="84">
        <v>1966102194</v>
      </c>
      <c r="I145" s="84">
        <v>579192524</v>
      </c>
    </row>
    <row r="146" spans="1:9" x14ac:dyDescent="0.45">
      <c r="A146" s="68" t="s">
        <v>240</v>
      </c>
      <c r="B146" s="84">
        <v>5849737</v>
      </c>
      <c r="C146" s="84">
        <v>18319060490</v>
      </c>
      <c r="D146" s="84">
        <v>19265197011</v>
      </c>
      <c r="E146" s="84">
        <v>-946136521</v>
      </c>
      <c r="F146" s="84">
        <v>5849737</v>
      </c>
      <c r="G146" s="84">
        <v>18319060490</v>
      </c>
      <c r="H146" s="84">
        <v>19361267899</v>
      </c>
      <c r="I146" s="84">
        <v>-1042207409</v>
      </c>
    </row>
    <row r="147" spans="1:9" x14ac:dyDescent="0.45">
      <c r="A147" s="68" t="s">
        <v>282</v>
      </c>
      <c r="B147" s="84">
        <v>10684873</v>
      </c>
      <c r="C147" s="84">
        <v>25519685389</v>
      </c>
      <c r="D147" s="84">
        <v>26590515561</v>
      </c>
      <c r="E147" s="84">
        <v>-1070830172</v>
      </c>
      <c r="F147" s="84">
        <v>10684873</v>
      </c>
      <c r="G147" s="84">
        <v>25519685389</v>
      </c>
      <c r="H147" s="84">
        <v>20039466760</v>
      </c>
      <c r="I147" s="84">
        <v>5480218629</v>
      </c>
    </row>
    <row r="148" spans="1:9" x14ac:dyDescent="0.45">
      <c r="A148" s="68" t="s">
        <v>196</v>
      </c>
      <c r="B148" s="84">
        <v>14665640</v>
      </c>
      <c r="C148" s="84">
        <v>51544156643</v>
      </c>
      <c r="D148" s="84">
        <v>54381850191</v>
      </c>
      <c r="E148" s="84">
        <v>-2837693548</v>
      </c>
      <c r="F148" s="84">
        <v>14665640</v>
      </c>
      <c r="G148" s="84">
        <v>51544156643</v>
      </c>
      <c r="H148" s="84">
        <v>61002687836</v>
      </c>
      <c r="I148" s="84">
        <v>-9458531193</v>
      </c>
    </row>
    <row r="149" spans="1:9" x14ac:dyDescent="0.45">
      <c r="A149" s="68" t="s">
        <v>218</v>
      </c>
      <c r="B149" s="84">
        <v>21893355</v>
      </c>
      <c r="C149" s="84">
        <v>26612046223</v>
      </c>
      <c r="D149" s="84">
        <v>28024113982</v>
      </c>
      <c r="E149" s="84">
        <v>-1412067759</v>
      </c>
      <c r="F149" s="84">
        <v>21893355</v>
      </c>
      <c r="G149" s="84">
        <v>26612046223</v>
      </c>
      <c r="H149" s="84">
        <v>31647249596</v>
      </c>
      <c r="I149" s="84">
        <v>-5035203373</v>
      </c>
    </row>
    <row r="150" spans="1:9" x14ac:dyDescent="0.45">
      <c r="A150" s="68" t="s">
        <v>317</v>
      </c>
      <c r="B150" s="84">
        <v>3340260</v>
      </c>
      <c r="C150" s="84">
        <v>24858298426</v>
      </c>
      <c r="D150" s="84">
        <v>23116082513</v>
      </c>
      <c r="E150" s="84">
        <v>1742215913</v>
      </c>
      <c r="F150" s="84">
        <v>3340260</v>
      </c>
      <c r="G150" s="84">
        <v>24858298426</v>
      </c>
      <c r="H150" s="84">
        <v>27629910504</v>
      </c>
      <c r="I150" s="84">
        <v>-2771612078</v>
      </c>
    </row>
    <row r="151" spans="1:9" x14ac:dyDescent="0.45">
      <c r="A151" s="68" t="s">
        <v>228</v>
      </c>
      <c r="B151" s="84">
        <v>862852</v>
      </c>
      <c r="C151" s="84">
        <v>11130368003</v>
      </c>
      <c r="D151" s="84">
        <v>10984817036</v>
      </c>
      <c r="E151" s="84">
        <v>145550967</v>
      </c>
      <c r="F151" s="84">
        <v>862852</v>
      </c>
      <c r="G151" s="84">
        <v>11130368003</v>
      </c>
      <c r="H151" s="84">
        <v>7777212626</v>
      </c>
      <c r="I151" s="84">
        <v>3353155377</v>
      </c>
    </row>
    <row r="152" spans="1:9" x14ac:dyDescent="0.45">
      <c r="A152" s="68" t="s">
        <v>224</v>
      </c>
      <c r="B152" s="84">
        <v>3484284</v>
      </c>
      <c r="C152" s="84">
        <v>27797097897</v>
      </c>
      <c r="D152" s="84">
        <v>28619422397</v>
      </c>
      <c r="E152" s="84">
        <v>-822324500</v>
      </c>
      <c r="F152" s="84">
        <v>3484284</v>
      </c>
      <c r="G152" s="84">
        <v>27797097897</v>
      </c>
      <c r="H152" s="84">
        <v>21750647098</v>
      </c>
      <c r="I152" s="84">
        <v>6046450799</v>
      </c>
    </row>
    <row r="153" spans="1:9" x14ac:dyDescent="0.45">
      <c r="A153" s="68" t="s">
        <v>259</v>
      </c>
      <c r="B153" s="84">
        <v>881085</v>
      </c>
      <c r="C153" s="84">
        <v>4196516222</v>
      </c>
      <c r="D153" s="84">
        <v>4808508171</v>
      </c>
      <c r="E153" s="84">
        <v>-611991949</v>
      </c>
      <c r="F153" s="84">
        <v>881085</v>
      </c>
      <c r="G153" s="84">
        <v>4196516222</v>
      </c>
      <c r="H153" s="84">
        <v>4471783787</v>
      </c>
      <c r="I153" s="84">
        <v>-275267565</v>
      </c>
    </row>
    <row r="154" spans="1:9" x14ac:dyDescent="0.45">
      <c r="A154" s="68" t="s">
        <v>487</v>
      </c>
      <c r="B154" s="84">
        <v>1321627</v>
      </c>
      <c r="C154" s="84">
        <v>4209628743</v>
      </c>
      <c r="D154" s="84">
        <v>5901348705</v>
      </c>
      <c r="E154" s="84">
        <v>-1691719962</v>
      </c>
      <c r="F154" s="84">
        <v>1321627</v>
      </c>
      <c r="G154" s="84">
        <v>4209628743</v>
      </c>
      <c r="H154" s="84">
        <v>5324651420</v>
      </c>
      <c r="I154" s="84">
        <v>-1115022677</v>
      </c>
    </row>
    <row r="155" spans="1:9" x14ac:dyDescent="0.45">
      <c r="A155" s="68" t="s">
        <v>297</v>
      </c>
      <c r="B155" s="84">
        <v>4568835</v>
      </c>
      <c r="C155" s="84">
        <v>28153146193</v>
      </c>
      <c r="D155" s="84">
        <v>28742503521</v>
      </c>
      <c r="E155" s="84">
        <v>-589357328</v>
      </c>
      <c r="F155" s="84">
        <v>4568835</v>
      </c>
      <c r="G155" s="84">
        <v>28153146193</v>
      </c>
      <c r="H155" s="84">
        <v>37344634449</v>
      </c>
      <c r="I155" s="84">
        <v>-9191488256</v>
      </c>
    </row>
    <row r="156" spans="1:9" x14ac:dyDescent="0.45">
      <c r="A156" s="68" t="s">
        <v>471</v>
      </c>
      <c r="B156" s="84">
        <v>1764830</v>
      </c>
      <c r="C156" s="84">
        <v>18965364568</v>
      </c>
      <c r="D156" s="84">
        <v>20243731709</v>
      </c>
      <c r="E156" s="84">
        <v>-1278367141</v>
      </c>
      <c r="F156" s="84">
        <v>1764830</v>
      </c>
      <c r="G156" s="84">
        <v>18965364568</v>
      </c>
      <c r="H156" s="84">
        <v>16756051992</v>
      </c>
      <c r="I156" s="84">
        <v>2209312576</v>
      </c>
    </row>
    <row r="157" spans="1:9" x14ac:dyDescent="0.45">
      <c r="A157" s="68" t="s">
        <v>347</v>
      </c>
      <c r="B157" s="84">
        <v>3600000</v>
      </c>
      <c r="C157" s="84">
        <v>22647570480</v>
      </c>
      <c r="D157" s="84">
        <v>23219118000</v>
      </c>
      <c r="E157" s="84">
        <v>-571547520</v>
      </c>
      <c r="F157" s="84">
        <v>3600000</v>
      </c>
      <c r="G157" s="84">
        <v>22647570480</v>
      </c>
      <c r="H157" s="84">
        <v>19417906724</v>
      </c>
      <c r="I157" s="84">
        <v>3229663756</v>
      </c>
    </row>
    <row r="158" spans="1:9" x14ac:dyDescent="0.45">
      <c r="A158" s="68" t="s">
        <v>211</v>
      </c>
      <c r="B158" s="84">
        <v>6741110</v>
      </c>
      <c r="C158" s="84">
        <v>36388166635</v>
      </c>
      <c r="D158" s="84">
        <v>38877120310</v>
      </c>
      <c r="E158" s="84">
        <v>-2488953675</v>
      </c>
      <c r="F158" s="84">
        <v>6741110</v>
      </c>
      <c r="G158" s="84">
        <v>36388166635</v>
      </c>
      <c r="H158" s="84">
        <v>30020807954</v>
      </c>
      <c r="I158" s="84">
        <v>6367358681</v>
      </c>
    </row>
    <row r="159" spans="1:9" x14ac:dyDescent="0.45">
      <c r="A159" s="68" t="s">
        <v>273</v>
      </c>
      <c r="B159" s="84">
        <v>2141672</v>
      </c>
      <c r="C159" s="84">
        <v>11326872946</v>
      </c>
      <c r="D159" s="84">
        <v>12091915021</v>
      </c>
      <c r="E159" s="84">
        <v>-765042075</v>
      </c>
      <c r="F159" s="84">
        <v>2141672</v>
      </c>
      <c r="G159" s="84">
        <v>11326872946</v>
      </c>
      <c r="H159" s="84">
        <v>5543199042</v>
      </c>
      <c r="I159" s="84">
        <v>5783673904</v>
      </c>
    </row>
    <row r="160" spans="1:9" x14ac:dyDescent="0.45">
      <c r="A160" s="68" t="s">
        <v>270</v>
      </c>
      <c r="B160" s="84">
        <v>9904132</v>
      </c>
      <c r="C160" s="84">
        <v>13768429857</v>
      </c>
      <c r="D160" s="84">
        <v>14043601902</v>
      </c>
      <c r="E160" s="84">
        <v>-275172045</v>
      </c>
      <c r="F160" s="84">
        <v>9904132</v>
      </c>
      <c r="G160" s="84">
        <v>13768429857</v>
      </c>
      <c r="H160" s="84">
        <v>13725154759</v>
      </c>
      <c r="I160" s="84">
        <v>43275098</v>
      </c>
    </row>
    <row r="161" spans="1:9" x14ac:dyDescent="0.45">
      <c r="A161" s="68" t="s">
        <v>229</v>
      </c>
      <c r="B161" s="84">
        <v>2451893</v>
      </c>
      <c r="C161" s="84">
        <v>13989404236</v>
      </c>
      <c r="D161" s="84">
        <v>13527145661</v>
      </c>
      <c r="E161" s="84">
        <v>462258575</v>
      </c>
      <c r="F161" s="84">
        <v>2451893</v>
      </c>
      <c r="G161" s="84">
        <v>13989404236</v>
      </c>
      <c r="H161" s="84">
        <v>14817650768</v>
      </c>
      <c r="I161" s="84">
        <v>-828246532</v>
      </c>
    </row>
    <row r="162" spans="1:9" x14ac:dyDescent="0.45">
      <c r="A162" s="68" t="s">
        <v>206</v>
      </c>
      <c r="B162" s="84">
        <v>3667933</v>
      </c>
      <c r="C162" s="84">
        <v>22601791042</v>
      </c>
      <c r="D162" s="84">
        <v>24625088250</v>
      </c>
      <c r="E162" s="84">
        <v>-2023297208</v>
      </c>
      <c r="F162" s="84">
        <v>3667933</v>
      </c>
      <c r="G162" s="84">
        <v>22601791042</v>
      </c>
      <c r="H162" s="84">
        <v>20689325833</v>
      </c>
      <c r="I162" s="84">
        <v>1912465209</v>
      </c>
    </row>
    <row r="163" spans="1:9" x14ac:dyDescent="0.45">
      <c r="A163" s="68" t="s">
        <v>441</v>
      </c>
      <c r="B163" s="84">
        <v>267500</v>
      </c>
      <c r="C163" s="84">
        <v>10046609716</v>
      </c>
      <c r="D163" s="84">
        <v>10245683885</v>
      </c>
      <c r="E163" s="84">
        <v>-199074169</v>
      </c>
      <c r="F163" s="84">
        <v>267500</v>
      </c>
      <c r="G163" s="84">
        <v>10046609716</v>
      </c>
      <c r="H163" s="84">
        <v>7375699925</v>
      </c>
      <c r="I163" s="84">
        <v>2670909791</v>
      </c>
    </row>
    <row r="164" spans="1:9" x14ac:dyDescent="0.45">
      <c r="A164" s="68" t="s">
        <v>333</v>
      </c>
      <c r="B164" s="84">
        <v>5118151</v>
      </c>
      <c r="C164" s="84">
        <v>20040107036</v>
      </c>
      <c r="D164" s="84">
        <v>21486017543</v>
      </c>
      <c r="E164" s="84">
        <v>-1445910507</v>
      </c>
      <c r="F164" s="84">
        <v>5118151</v>
      </c>
      <c r="G164" s="84">
        <v>20040107036</v>
      </c>
      <c r="H164" s="84">
        <v>18867131026</v>
      </c>
      <c r="I164" s="84">
        <v>1172976010</v>
      </c>
    </row>
    <row r="165" spans="1:9" x14ac:dyDescent="0.45">
      <c r="A165" s="68" t="s">
        <v>291</v>
      </c>
      <c r="B165" s="84">
        <v>1256499</v>
      </c>
      <c r="C165" s="84">
        <v>7630331928</v>
      </c>
      <c r="D165" s="84">
        <v>8166450021</v>
      </c>
      <c r="E165" s="84">
        <v>-536118093</v>
      </c>
      <c r="F165" s="84">
        <v>1256499</v>
      </c>
      <c r="G165" s="84">
        <v>7630331928</v>
      </c>
      <c r="H165" s="84">
        <v>8314819804</v>
      </c>
      <c r="I165" s="84">
        <v>-684487876</v>
      </c>
    </row>
    <row r="166" spans="1:9" x14ac:dyDescent="0.45">
      <c r="A166" s="68" t="s">
        <v>413</v>
      </c>
      <c r="B166" s="84">
        <v>700000</v>
      </c>
      <c r="C166" s="84">
        <v>12044173260</v>
      </c>
      <c r="D166" s="84">
        <v>12447034880</v>
      </c>
      <c r="E166" s="84">
        <v>-402861620</v>
      </c>
      <c r="F166" s="84">
        <v>700000</v>
      </c>
      <c r="G166" s="84">
        <v>12044173260</v>
      </c>
      <c r="H166" s="84">
        <v>9581647950</v>
      </c>
      <c r="I166" s="84">
        <v>2462525310</v>
      </c>
    </row>
    <row r="167" spans="1:9" x14ac:dyDescent="0.45">
      <c r="A167" s="68" t="s">
        <v>283</v>
      </c>
      <c r="B167" s="84">
        <v>7979362</v>
      </c>
      <c r="C167" s="84">
        <v>26247114278</v>
      </c>
      <c r="D167" s="84">
        <v>26760509954</v>
      </c>
      <c r="E167" s="84">
        <v>-513395676</v>
      </c>
      <c r="F167" s="84">
        <v>7979362</v>
      </c>
      <c r="G167" s="84">
        <v>26247114278</v>
      </c>
      <c r="H167" s="84">
        <v>33741231869</v>
      </c>
      <c r="I167" s="84">
        <v>-7494117591</v>
      </c>
    </row>
    <row r="168" spans="1:9" x14ac:dyDescent="0.45">
      <c r="A168" s="68" t="s">
        <v>208</v>
      </c>
      <c r="B168" s="84">
        <v>1293618</v>
      </c>
      <c r="C168" s="84">
        <v>17585571160</v>
      </c>
      <c r="D168" s="84">
        <v>17380192227</v>
      </c>
      <c r="E168" s="84">
        <v>205378933</v>
      </c>
      <c r="F168" s="84">
        <v>1293618</v>
      </c>
      <c r="G168" s="84">
        <v>17585571160</v>
      </c>
      <c r="H168" s="84">
        <v>9058195859</v>
      </c>
      <c r="I168" s="84">
        <v>8527375301</v>
      </c>
    </row>
    <row r="169" spans="1:9" x14ac:dyDescent="0.45">
      <c r="A169" s="68" t="s">
        <v>171</v>
      </c>
      <c r="B169" s="84">
        <v>8154486</v>
      </c>
      <c r="C169" s="84">
        <v>39971772007</v>
      </c>
      <c r="D169" s="84">
        <v>40942746225</v>
      </c>
      <c r="E169" s="84">
        <v>-970974218</v>
      </c>
      <c r="F169" s="84">
        <v>8154486</v>
      </c>
      <c r="G169" s="84">
        <v>39971772007</v>
      </c>
      <c r="H169" s="84">
        <v>41564406435</v>
      </c>
      <c r="I169" s="84">
        <v>-1592634428</v>
      </c>
    </row>
    <row r="170" spans="1:9" x14ac:dyDescent="0.45">
      <c r="A170" s="68" t="s">
        <v>279</v>
      </c>
      <c r="B170" s="84">
        <v>2470314</v>
      </c>
      <c r="C170" s="84">
        <v>19364625935</v>
      </c>
      <c r="D170" s="84">
        <v>19658772152</v>
      </c>
      <c r="E170" s="84">
        <v>-294146217</v>
      </c>
      <c r="F170" s="84">
        <v>2470314</v>
      </c>
      <c r="G170" s="84">
        <v>19364625935</v>
      </c>
      <c r="H170" s="84">
        <v>14160062309</v>
      </c>
      <c r="I170" s="84">
        <v>5204563626</v>
      </c>
    </row>
    <row r="171" spans="1:9" x14ac:dyDescent="0.45">
      <c r="A171" s="68" t="s">
        <v>170</v>
      </c>
      <c r="B171" s="84">
        <v>1483336</v>
      </c>
      <c r="C171" s="84">
        <v>4854226642</v>
      </c>
      <c r="D171" s="84">
        <v>4739420797</v>
      </c>
      <c r="E171" s="84">
        <v>114805845</v>
      </c>
      <c r="F171" s="84">
        <v>1483336</v>
      </c>
      <c r="G171" s="84">
        <v>4854226642</v>
      </c>
      <c r="H171" s="84">
        <v>3575594274</v>
      </c>
      <c r="I171" s="84">
        <v>1278632368</v>
      </c>
    </row>
    <row r="172" spans="1:9" x14ac:dyDescent="0.45">
      <c r="A172" s="68" t="s">
        <v>351</v>
      </c>
      <c r="B172" s="84">
        <v>1086071</v>
      </c>
      <c r="C172" s="84">
        <v>20411177212</v>
      </c>
      <c r="D172" s="84">
        <v>20314186402</v>
      </c>
      <c r="E172" s="84">
        <v>96990810</v>
      </c>
      <c r="F172" s="84">
        <v>1086071</v>
      </c>
      <c r="G172" s="84">
        <v>20411177212</v>
      </c>
      <c r="H172" s="84">
        <v>14201676419</v>
      </c>
      <c r="I172" s="84">
        <v>6209500793</v>
      </c>
    </row>
    <row r="173" spans="1:9" x14ac:dyDescent="0.45">
      <c r="A173" s="68" t="s">
        <v>266</v>
      </c>
      <c r="B173" s="84">
        <v>8155401</v>
      </c>
      <c r="C173" s="84">
        <v>17738452573</v>
      </c>
      <c r="D173" s="84">
        <v>17044250373</v>
      </c>
      <c r="E173" s="84">
        <v>694202200</v>
      </c>
      <c r="F173" s="84">
        <v>8155401</v>
      </c>
      <c r="G173" s="84">
        <v>17738452573</v>
      </c>
      <c r="H173" s="84">
        <v>27391082366</v>
      </c>
      <c r="I173" s="84">
        <v>-9652629793</v>
      </c>
    </row>
    <row r="174" spans="1:9" x14ac:dyDescent="0.45">
      <c r="A174" s="68" t="s">
        <v>340</v>
      </c>
      <c r="B174" s="84">
        <v>15001572</v>
      </c>
      <c r="C174" s="84">
        <v>29205566523</v>
      </c>
      <c r="D174" s="84">
        <v>29815876526</v>
      </c>
      <c r="E174" s="84">
        <v>-610310003</v>
      </c>
      <c r="F174" s="84">
        <v>15001572</v>
      </c>
      <c r="G174" s="84">
        <v>29205566523</v>
      </c>
      <c r="H174" s="84">
        <v>28761839566</v>
      </c>
      <c r="I174" s="84">
        <v>443726957</v>
      </c>
    </row>
    <row r="175" spans="1:9" x14ac:dyDescent="0.45">
      <c r="A175" s="68" t="s">
        <v>418</v>
      </c>
      <c r="B175" s="84">
        <v>1145414</v>
      </c>
      <c r="C175" s="84">
        <v>14218364972</v>
      </c>
      <c r="D175" s="84">
        <v>14491139360</v>
      </c>
      <c r="E175" s="84">
        <v>-272774388</v>
      </c>
      <c r="F175" s="84">
        <v>1145414</v>
      </c>
      <c r="G175" s="84">
        <v>14218364972</v>
      </c>
      <c r="H175" s="84">
        <v>14519339942</v>
      </c>
      <c r="I175" s="84">
        <v>-300974970</v>
      </c>
    </row>
    <row r="176" spans="1:9" x14ac:dyDescent="0.45">
      <c r="A176" s="68" t="s">
        <v>286</v>
      </c>
      <c r="B176" s="84">
        <v>594875</v>
      </c>
      <c r="C176" s="84">
        <v>30104107429</v>
      </c>
      <c r="D176" s="84">
        <v>32001340541</v>
      </c>
      <c r="E176" s="84">
        <v>-1897233112</v>
      </c>
      <c r="F176" s="84">
        <v>594875</v>
      </c>
      <c r="G176" s="84">
        <v>30104107429</v>
      </c>
      <c r="H176" s="84">
        <v>36899261714</v>
      </c>
      <c r="I176" s="84">
        <v>-6795154285</v>
      </c>
    </row>
    <row r="177" spans="1:9" x14ac:dyDescent="0.45">
      <c r="A177" s="68" t="s">
        <v>355</v>
      </c>
      <c r="B177" s="84">
        <v>795841</v>
      </c>
      <c r="C177" s="84">
        <v>14530280343</v>
      </c>
      <c r="D177" s="84">
        <v>15004093832</v>
      </c>
      <c r="E177" s="84">
        <v>-473813489</v>
      </c>
      <c r="F177" s="84">
        <v>795841</v>
      </c>
      <c r="G177" s="84">
        <v>14530280343</v>
      </c>
      <c r="H177" s="84">
        <v>15363300834</v>
      </c>
      <c r="I177" s="84">
        <v>-833020491</v>
      </c>
    </row>
    <row r="178" spans="1:9" x14ac:dyDescent="0.45">
      <c r="A178" s="68" t="s">
        <v>348</v>
      </c>
      <c r="B178" s="84">
        <v>523913</v>
      </c>
      <c r="C178" s="84">
        <v>21454752304</v>
      </c>
      <c r="D178" s="84">
        <v>19574944558</v>
      </c>
      <c r="E178" s="84">
        <v>1879807746</v>
      </c>
      <c r="F178" s="84">
        <v>523913</v>
      </c>
      <c r="G178" s="84">
        <v>21454752304</v>
      </c>
      <c r="H178" s="84">
        <v>19397856971</v>
      </c>
      <c r="I178" s="84">
        <v>2056895333</v>
      </c>
    </row>
    <row r="179" spans="1:9" x14ac:dyDescent="0.45">
      <c r="A179" s="68" t="s">
        <v>350</v>
      </c>
      <c r="B179" s="84">
        <v>10190676</v>
      </c>
      <c r="C179" s="84">
        <v>31458127354</v>
      </c>
      <c r="D179" s="84">
        <v>32874580032</v>
      </c>
      <c r="E179" s="84">
        <v>-1416452678</v>
      </c>
      <c r="F179" s="84">
        <v>10190676</v>
      </c>
      <c r="G179" s="84">
        <v>31458127354</v>
      </c>
      <c r="H179" s="84">
        <v>35726047499</v>
      </c>
      <c r="I179" s="84">
        <v>-4267920145</v>
      </c>
    </row>
    <row r="180" spans="1:9" x14ac:dyDescent="0.45">
      <c r="A180" s="68" t="s">
        <v>201</v>
      </c>
      <c r="B180" s="84">
        <v>1842980</v>
      </c>
      <c r="C180" s="84">
        <v>27906477248</v>
      </c>
      <c r="D180" s="84">
        <v>27851615235</v>
      </c>
      <c r="E180" s="84">
        <v>54862013</v>
      </c>
      <c r="F180" s="84">
        <v>1842980</v>
      </c>
      <c r="G180" s="84">
        <v>27906477248</v>
      </c>
      <c r="H180" s="84">
        <v>33172875317</v>
      </c>
      <c r="I180" s="84">
        <v>-5266398069</v>
      </c>
    </row>
    <row r="181" spans="1:9" x14ac:dyDescent="0.45">
      <c r="A181" s="68" t="s">
        <v>209</v>
      </c>
      <c r="B181" s="84">
        <v>3052977</v>
      </c>
      <c r="C181" s="84">
        <v>18630671550</v>
      </c>
      <c r="D181" s="84">
        <v>19175959498</v>
      </c>
      <c r="E181" s="84">
        <v>-545287948</v>
      </c>
      <c r="F181" s="84">
        <v>3052977</v>
      </c>
      <c r="G181" s="84">
        <v>18630671550</v>
      </c>
      <c r="H181" s="84">
        <v>9377372255</v>
      </c>
      <c r="I181" s="84">
        <v>9253299295</v>
      </c>
    </row>
    <row r="182" spans="1:9" x14ac:dyDescent="0.45">
      <c r="A182" s="68" t="s">
        <v>335</v>
      </c>
      <c r="B182" s="84">
        <v>4665617</v>
      </c>
      <c r="C182" s="84">
        <v>32129089357</v>
      </c>
      <c r="D182" s="84">
        <v>34906820426</v>
      </c>
      <c r="E182" s="84">
        <v>-2777731069</v>
      </c>
      <c r="F182" s="84">
        <v>4665617</v>
      </c>
      <c r="G182" s="84">
        <v>32129089357</v>
      </c>
      <c r="H182" s="84">
        <v>14386160455</v>
      </c>
      <c r="I182" s="84">
        <v>17742928902</v>
      </c>
    </row>
    <row r="183" spans="1:9" x14ac:dyDescent="0.45">
      <c r="A183" s="68" t="s">
        <v>207</v>
      </c>
      <c r="B183" s="84">
        <v>1726440</v>
      </c>
      <c r="C183" s="84">
        <v>34655904138</v>
      </c>
      <c r="D183" s="84">
        <v>35067046847</v>
      </c>
      <c r="E183" s="84">
        <v>-411142709</v>
      </c>
      <c r="F183" s="84">
        <v>1726440</v>
      </c>
      <c r="G183" s="84">
        <v>34655904138</v>
      </c>
      <c r="H183" s="84">
        <v>30613372268</v>
      </c>
      <c r="I183" s="84">
        <v>4042531870</v>
      </c>
    </row>
    <row r="184" spans="1:9" x14ac:dyDescent="0.45">
      <c r="A184" s="68" t="s">
        <v>265</v>
      </c>
      <c r="B184" s="84">
        <v>835048</v>
      </c>
      <c r="C184" s="84">
        <v>21460560745</v>
      </c>
      <c r="D184" s="84">
        <v>23430957346</v>
      </c>
      <c r="E184" s="84">
        <v>-1970396601</v>
      </c>
      <c r="F184" s="84">
        <v>835048</v>
      </c>
      <c r="G184" s="84">
        <v>21460560745</v>
      </c>
      <c r="H184" s="84">
        <v>15698688691</v>
      </c>
      <c r="I184" s="84">
        <v>5761872054</v>
      </c>
    </row>
    <row r="185" spans="1:9" x14ac:dyDescent="0.45">
      <c r="A185" s="68" t="s">
        <v>337</v>
      </c>
      <c r="B185" s="84">
        <v>3490646</v>
      </c>
      <c r="C185" s="84">
        <v>27709306451</v>
      </c>
      <c r="D185" s="84">
        <v>28140650146</v>
      </c>
      <c r="E185" s="84">
        <v>-431343695</v>
      </c>
      <c r="F185" s="84">
        <v>3490646</v>
      </c>
      <c r="G185" s="84">
        <v>27709306451</v>
      </c>
      <c r="H185" s="84">
        <v>25343143786</v>
      </c>
      <c r="I185" s="84">
        <v>2366162665</v>
      </c>
    </row>
    <row r="186" spans="1:9" x14ac:dyDescent="0.45">
      <c r="A186" s="68" t="s">
        <v>175</v>
      </c>
      <c r="B186" s="84">
        <v>275726</v>
      </c>
      <c r="C186" s="84">
        <v>6374755066</v>
      </c>
      <c r="D186" s="84">
        <v>6662029436</v>
      </c>
      <c r="E186" s="84">
        <v>-287274370</v>
      </c>
      <c r="F186" s="84">
        <v>275726</v>
      </c>
      <c r="G186" s="84">
        <v>6374755066</v>
      </c>
      <c r="H186" s="84">
        <v>7715656489</v>
      </c>
      <c r="I186" s="84">
        <v>-1340901423</v>
      </c>
    </row>
    <row r="187" spans="1:9" x14ac:dyDescent="0.45">
      <c r="A187" s="68" t="s">
        <v>234</v>
      </c>
      <c r="B187" s="84">
        <v>487887</v>
      </c>
      <c r="C187" s="84">
        <v>13075963261</v>
      </c>
      <c r="D187" s="84">
        <v>13516508487</v>
      </c>
      <c r="E187" s="84">
        <v>-440545226</v>
      </c>
      <c r="F187" s="84">
        <v>487887</v>
      </c>
      <c r="G187" s="84">
        <v>13075963261</v>
      </c>
      <c r="H187" s="84">
        <v>9859579712</v>
      </c>
      <c r="I187" s="84">
        <v>3216383549</v>
      </c>
    </row>
    <row r="188" spans="1:9" x14ac:dyDescent="0.45">
      <c r="A188" s="68" t="s">
        <v>239</v>
      </c>
      <c r="B188" s="84">
        <v>1667558</v>
      </c>
      <c r="C188" s="84">
        <v>11781234570</v>
      </c>
      <c r="D188" s="84">
        <v>13088422113</v>
      </c>
      <c r="E188" s="84">
        <v>-1307187543</v>
      </c>
      <c r="F188" s="84">
        <v>1667558</v>
      </c>
      <c r="G188" s="84">
        <v>11781234570</v>
      </c>
      <c r="H188" s="84">
        <v>11006701263</v>
      </c>
      <c r="I188" s="84">
        <v>774533307</v>
      </c>
    </row>
    <row r="189" spans="1:9" x14ac:dyDescent="0.45">
      <c r="A189" s="68" t="s">
        <v>202</v>
      </c>
      <c r="B189" s="84">
        <v>5116431</v>
      </c>
      <c r="C189" s="84">
        <v>23607496596</v>
      </c>
      <c r="D189" s="84">
        <v>25643325872</v>
      </c>
      <c r="E189" s="84">
        <v>-2035829276</v>
      </c>
      <c r="F189" s="84">
        <v>5116431</v>
      </c>
      <c r="G189" s="84">
        <v>23607496596</v>
      </c>
      <c r="H189" s="84">
        <v>37383815268</v>
      </c>
      <c r="I189" s="84">
        <v>-13776318672</v>
      </c>
    </row>
    <row r="190" spans="1:9" x14ac:dyDescent="0.45">
      <c r="A190" s="68" t="s">
        <v>204</v>
      </c>
      <c r="B190" s="84">
        <v>828772</v>
      </c>
      <c r="C190" s="84">
        <v>12730219371</v>
      </c>
      <c r="D190" s="84">
        <v>13527913996</v>
      </c>
      <c r="E190" s="84">
        <v>-797694625</v>
      </c>
      <c r="F190" s="84">
        <v>828772</v>
      </c>
      <c r="G190" s="84">
        <v>12730219371</v>
      </c>
      <c r="H190" s="84">
        <v>16660714616</v>
      </c>
      <c r="I190" s="84">
        <v>-3930495245</v>
      </c>
    </row>
    <row r="191" spans="1:9" x14ac:dyDescent="0.45">
      <c r="A191" s="68" t="s">
        <v>332</v>
      </c>
      <c r="B191" s="84">
        <v>4033345</v>
      </c>
      <c r="C191" s="84">
        <v>14595903936</v>
      </c>
      <c r="D191" s="84">
        <v>15744525935</v>
      </c>
      <c r="E191" s="84">
        <v>-1148621999</v>
      </c>
      <c r="F191" s="84">
        <v>4033345</v>
      </c>
      <c r="G191" s="84">
        <v>14595903936</v>
      </c>
      <c r="H191" s="84">
        <v>14222585282</v>
      </c>
      <c r="I191" s="84">
        <v>373318654</v>
      </c>
    </row>
    <row r="192" spans="1:9" x14ac:dyDescent="0.45">
      <c r="A192" s="68" t="s">
        <v>303</v>
      </c>
      <c r="B192" s="84">
        <v>2723567</v>
      </c>
      <c r="C192" s="84">
        <v>22268713935</v>
      </c>
      <c r="D192" s="84">
        <v>23998322785</v>
      </c>
      <c r="E192" s="84">
        <v>-1729608850</v>
      </c>
      <c r="F192" s="84">
        <v>2723567</v>
      </c>
      <c r="G192" s="84">
        <v>22268713935</v>
      </c>
      <c r="H192" s="84">
        <v>19009668439</v>
      </c>
      <c r="I192" s="84">
        <v>3259045496</v>
      </c>
    </row>
    <row r="193" spans="1:9" x14ac:dyDescent="0.45">
      <c r="A193" s="68" t="s">
        <v>488</v>
      </c>
      <c r="B193" s="84">
        <v>3014987</v>
      </c>
      <c r="C193" s="84">
        <v>14796854970</v>
      </c>
      <c r="D193" s="84">
        <v>14264335726</v>
      </c>
      <c r="E193" s="84">
        <v>532519244</v>
      </c>
      <c r="F193" s="84">
        <v>3014987</v>
      </c>
      <c r="G193" s="84">
        <v>14796854970</v>
      </c>
      <c r="H193" s="84">
        <v>14987389690</v>
      </c>
      <c r="I193" s="84">
        <v>-190534720</v>
      </c>
    </row>
    <row r="194" spans="1:9" x14ac:dyDescent="0.45">
      <c r="A194" s="68" t="s">
        <v>444</v>
      </c>
      <c r="B194" s="84">
        <v>4173330</v>
      </c>
      <c r="C194" s="84">
        <v>12899433546</v>
      </c>
      <c r="D194" s="84">
        <v>12121332969</v>
      </c>
      <c r="E194" s="84">
        <v>778100577</v>
      </c>
      <c r="F194" s="84">
        <v>4173330</v>
      </c>
      <c r="G194" s="84">
        <v>12899433546</v>
      </c>
      <c r="H194" s="84">
        <v>11616275685</v>
      </c>
      <c r="I194" s="84">
        <v>1283157861</v>
      </c>
    </row>
    <row r="195" spans="1:9" x14ac:dyDescent="0.45">
      <c r="A195" s="68" t="s">
        <v>345</v>
      </c>
      <c r="B195" s="84">
        <v>2586957</v>
      </c>
      <c r="C195" s="84">
        <v>17018943622</v>
      </c>
      <c r="D195" s="84">
        <v>18174075543</v>
      </c>
      <c r="E195" s="84">
        <v>-1155131921</v>
      </c>
      <c r="F195" s="84">
        <v>2586957</v>
      </c>
      <c r="G195" s="84">
        <v>17018943622</v>
      </c>
      <c r="H195" s="84">
        <v>14869302601</v>
      </c>
      <c r="I195" s="84">
        <v>2149641021</v>
      </c>
    </row>
    <row r="196" spans="1:9" x14ac:dyDescent="0.45">
      <c r="A196" s="68" t="s">
        <v>329</v>
      </c>
      <c r="B196" s="84">
        <v>7969322</v>
      </c>
      <c r="C196" s="84">
        <v>19848375044</v>
      </c>
      <c r="D196" s="84">
        <v>19769297852</v>
      </c>
      <c r="E196" s="84">
        <v>79077192</v>
      </c>
      <c r="F196" s="84">
        <v>7969322</v>
      </c>
      <c r="G196" s="84">
        <v>19848375044</v>
      </c>
      <c r="H196" s="84">
        <v>26169954207</v>
      </c>
      <c r="I196" s="84">
        <v>-6321579163</v>
      </c>
    </row>
    <row r="197" spans="1:9" x14ac:dyDescent="0.45">
      <c r="A197" s="68" t="s">
        <v>264</v>
      </c>
      <c r="B197" s="84">
        <v>206895</v>
      </c>
      <c r="C197" s="84">
        <v>8076332903</v>
      </c>
      <c r="D197" s="84">
        <v>7301829152</v>
      </c>
      <c r="E197" s="84">
        <v>774503751</v>
      </c>
      <c r="F197" s="84">
        <v>206895</v>
      </c>
      <c r="G197" s="84">
        <v>8076332903</v>
      </c>
      <c r="H197" s="84">
        <v>9394413429</v>
      </c>
      <c r="I197" s="84">
        <v>-1318080526</v>
      </c>
    </row>
    <row r="198" spans="1:9" x14ac:dyDescent="0.45">
      <c r="A198" s="68" t="s">
        <v>324</v>
      </c>
      <c r="B198" s="84">
        <v>3683366</v>
      </c>
      <c r="C198" s="84">
        <v>20723246603</v>
      </c>
      <c r="D198" s="84">
        <v>20284659374</v>
      </c>
      <c r="E198" s="84">
        <v>438587229</v>
      </c>
      <c r="F198" s="84">
        <v>3683366</v>
      </c>
      <c r="G198" s="84">
        <v>20723246603</v>
      </c>
      <c r="H198" s="84">
        <v>10573465274</v>
      </c>
      <c r="I198" s="84">
        <v>10149781329</v>
      </c>
    </row>
    <row r="199" spans="1:9" x14ac:dyDescent="0.45">
      <c r="A199" s="68" t="s">
        <v>231</v>
      </c>
      <c r="B199" s="84">
        <v>1032048</v>
      </c>
      <c r="C199" s="84">
        <v>26625826993</v>
      </c>
      <c r="D199" s="84">
        <v>29193087338</v>
      </c>
      <c r="E199" s="84">
        <v>-2567260345</v>
      </c>
      <c r="F199" s="84">
        <v>1032048</v>
      </c>
      <c r="G199" s="84">
        <v>26625826993</v>
      </c>
      <c r="H199" s="84">
        <v>26794292050</v>
      </c>
      <c r="I199" s="84">
        <v>-168465057</v>
      </c>
    </row>
    <row r="200" spans="1:9" x14ac:dyDescent="0.45">
      <c r="A200" s="68" t="s">
        <v>177</v>
      </c>
      <c r="B200" s="84">
        <v>0</v>
      </c>
      <c r="C200" s="84">
        <v>0</v>
      </c>
      <c r="D200" s="84">
        <v>-125230546</v>
      </c>
      <c r="E200" s="84">
        <v>125230546</v>
      </c>
      <c r="F200" s="84">
        <v>0</v>
      </c>
      <c r="G200" s="84">
        <v>0</v>
      </c>
      <c r="H200" s="84">
        <v>0</v>
      </c>
      <c r="I200" s="84">
        <v>0</v>
      </c>
    </row>
    <row r="201" spans="1:9" x14ac:dyDescent="0.45">
      <c r="A201" s="68" t="s">
        <v>439</v>
      </c>
      <c r="B201" s="84">
        <v>938593</v>
      </c>
      <c r="C201" s="84">
        <v>33304635298</v>
      </c>
      <c r="D201" s="84">
        <v>36372461603</v>
      </c>
      <c r="E201" s="84">
        <v>-3067826305</v>
      </c>
      <c r="F201" s="84">
        <v>938593</v>
      </c>
      <c r="G201" s="84">
        <v>33304635298</v>
      </c>
      <c r="H201" s="84">
        <v>36753852071</v>
      </c>
      <c r="I201" s="84">
        <v>-3449216773</v>
      </c>
    </row>
    <row r="202" spans="1:9" x14ac:dyDescent="0.45">
      <c r="A202" s="68" t="s">
        <v>198</v>
      </c>
      <c r="B202" s="84">
        <v>795993</v>
      </c>
      <c r="C202" s="84">
        <v>28299966272</v>
      </c>
      <c r="D202" s="84">
        <v>28857943393</v>
      </c>
      <c r="E202" s="84">
        <v>-557977121</v>
      </c>
      <c r="F202" s="84">
        <v>795993</v>
      </c>
      <c r="G202" s="84">
        <v>28299966272</v>
      </c>
      <c r="H202" s="84">
        <v>24623887954</v>
      </c>
      <c r="I202" s="84">
        <v>3676078318</v>
      </c>
    </row>
    <row r="203" spans="1:9" x14ac:dyDescent="0.45">
      <c r="A203" s="68" t="s">
        <v>343</v>
      </c>
      <c r="B203" s="84">
        <v>392921</v>
      </c>
      <c r="C203" s="84">
        <v>17778697663</v>
      </c>
      <c r="D203" s="84">
        <v>17989234872</v>
      </c>
      <c r="E203" s="84">
        <v>-210537209</v>
      </c>
      <c r="F203" s="84">
        <v>392921</v>
      </c>
      <c r="G203" s="84">
        <v>17778697663</v>
      </c>
      <c r="H203" s="84">
        <v>15618857021</v>
      </c>
      <c r="I203" s="84">
        <v>2159840642</v>
      </c>
    </row>
    <row r="204" spans="1:9" x14ac:dyDescent="0.45">
      <c r="A204" s="68" t="s">
        <v>285</v>
      </c>
      <c r="B204" s="84">
        <v>48341</v>
      </c>
      <c r="C204" s="84">
        <v>24334782847</v>
      </c>
      <c r="D204" s="84">
        <v>25217861283</v>
      </c>
      <c r="E204" s="84">
        <v>-883078436</v>
      </c>
      <c r="F204" s="84">
        <v>48341</v>
      </c>
      <c r="G204" s="84">
        <v>24334782847</v>
      </c>
      <c r="H204" s="84">
        <v>13238121345</v>
      </c>
      <c r="I204" s="84">
        <v>11096661502</v>
      </c>
    </row>
    <row r="205" spans="1:9" x14ac:dyDescent="0.45">
      <c r="A205" s="68" t="s">
        <v>278</v>
      </c>
      <c r="B205" s="84">
        <v>1036013</v>
      </c>
      <c r="C205" s="84">
        <v>19501247632</v>
      </c>
      <c r="D205" s="84">
        <v>20220850866</v>
      </c>
      <c r="E205" s="84">
        <v>-719603234</v>
      </c>
      <c r="F205" s="84">
        <v>1036013</v>
      </c>
      <c r="G205" s="84">
        <v>19501247632</v>
      </c>
      <c r="H205" s="84">
        <v>19148983815</v>
      </c>
      <c r="I205" s="84">
        <v>352263817</v>
      </c>
    </row>
    <row r="206" spans="1:9" x14ac:dyDescent="0.45">
      <c r="A206" s="68" t="s">
        <v>261</v>
      </c>
      <c r="B206" s="84">
        <v>5391749</v>
      </c>
      <c r="C206" s="84">
        <v>31244413357</v>
      </c>
      <c r="D206" s="84">
        <v>30469466246</v>
      </c>
      <c r="E206" s="84">
        <v>774947111</v>
      </c>
      <c r="F206" s="84">
        <v>5391749</v>
      </c>
      <c r="G206" s="84">
        <v>31244413357</v>
      </c>
      <c r="H206" s="84">
        <v>26565928068</v>
      </c>
      <c r="I206" s="84">
        <v>4678485289</v>
      </c>
    </row>
    <row r="207" spans="1:9" x14ac:dyDescent="0.45">
      <c r="A207" s="68" t="s">
        <v>490</v>
      </c>
      <c r="B207" s="84">
        <v>0</v>
      </c>
      <c r="C207" s="84">
        <v>0</v>
      </c>
      <c r="D207" s="84">
        <v>368360584</v>
      </c>
      <c r="E207" s="84">
        <v>-368360584</v>
      </c>
      <c r="F207" s="84">
        <v>0</v>
      </c>
      <c r="G207" s="84">
        <v>0</v>
      </c>
      <c r="H207" s="84">
        <v>0</v>
      </c>
      <c r="I207" s="84">
        <v>0</v>
      </c>
    </row>
    <row r="208" spans="1:9" x14ac:dyDescent="0.45">
      <c r="A208" s="68" t="s">
        <v>349</v>
      </c>
      <c r="B208" s="84">
        <v>14595002</v>
      </c>
      <c r="C208" s="84">
        <v>38986035652</v>
      </c>
      <c r="D208" s="84">
        <v>41549381978</v>
      </c>
      <c r="E208" s="84">
        <v>-2563346326</v>
      </c>
      <c r="F208" s="84">
        <v>14595002</v>
      </c>
      <c r="G208" s="84">
        <v>38986035652</v>
      </c>
      <c r="H208" s="84">
        <v>35460184000</v>
      </c>
      <c r="I208" s="84">
        <v>3525851652</v>
      </c>
    </row>
    <row r="209" spans="1:9" x14ac:dyDescent="0.45">
      <c r="A209" s="68" t="s">
        <v>313</v>
      </c>
      <c r="B209" s="84">
        <v>4368712</v>
      </c>
      <c r="C209" s="84">
        <v>43392767981</v>
      </c>
      <c r="D209" s="84">
        <v>47535420431</v>
      </c>
      <c r="E209" s="84">
        <v>-4142652450</v>
      </c>
      <c r="F209" s="84">
        <v>4368712</v>
      </c>
      <c r="G209" s="84">
        <v>43392767981</v>
      </c>
      <c r="H209" s="84">
        <v>38790727008</v>
      </c>
      <c r="I209" s="84">
        <v>4602040973</v>
      </c>
    </row>
    <row r="210" spans="1:9" x14ac:dyDescent="0.45">
      <c r="A210" s="68" t="s">
        <v>426</v>
      </c>
      <c r="B210" s="84">
        <v>450000</v>
      </c>
      <c r="C210" s="84">
        <v>4728662685</v>
      </c>
      <c r="D210" s="84">
        <v>4983179940</v>
      </c>
      <c r="E210" s="84">
        <v>-254517255</v>
      </c>
      <c r="F210" s="84">
        <v>450000</v>
      </c>
      <c r="G210" s="84">
        <v>4728662685</v>
      </c>
      <c r="H210" s="84">
        <v>8423082675</v>
      </c>
      <c r="I210" s="84">
        <v>-3694419990</v>
      </c>
    </row>
    <row r="211" spans="1:9" x14ac:dyDescent="0.45">
      <c r="A211" s="68" t="s">
        <v>479</v>
      </c>
      <c r="B211" s="84">
        <v>1405716</v>
      </c>
      <c r="C211" s="84">
        <v>13251073246</v>
      </c>
      <c r="D211" s="84">
        <v>13348712733</v>
      </c>
      <c r="E211" s="84">
        <v>-97639487</v>
      </c>
      <c r="F211" s="84">
        <v>1405716</v>
      </c>
      <c r="G211" s="84">
        <v>13251073246</v>
      </c>
      <c r="H211" s="84">
        <v>7977806216</v>
      </c>
      <c r="I211" s="84">
        <v>5273267030</v>
      </c>
    </row>
    <row r="212" spans="1:9" x14ac:dyDescent="0.45">
      <c r="A212" s="68" t="s">
        <v>311</v>
      </c>
      <c r="B212" s="84">
        <v>5658733</v>
      </c>
      <c r="C212" s="84">
        <v>20500332119</v>
      </c>
      <c r="D212" s="84">
        <v>19781613272</v>
      </c>
      <c r="E212" s="84">
        <v>718718847</v>
      </c>
      <c r="F212" s="84">
        <v>5658733</v>
      </c>
      <c r="G212" s="84">
        <v>20500332119</v>
      </c>
      <c r="H212" s="84">
        <v>21329982959</v>
      </c>
      <c r="I212" s="84">
        <v>-829650840</v>
      </c>
    </row>
    <row r="213" spans="1:9" x14ac:dyDescent="0.45">
      <c r="A213" s="68" t="s">
        <v>427</v>
      </c>
      <c r="B213" s="84">
        <v>2024465</v>
      </c>
      <c r="C213" s="84">
        <v>15407617842</v>
      </c>
      <c r="D213" s="84">
        <v>18380665353</v>
      </c>
      <c r="E213" s="84">
        <v>-2973047511</v>
      </c>
      <c r="F213" s="84">
        <v>2024465</v>
      </c>
      <c r="G213" s="84">
        <v>15407617842</v>
      </c>
      <c r="H213" s="84">
        <v>16984113641</v>
      </c>
      <c r="I213" s="84">
        <v>-1576495799</v>
      </c>
    </row>
    <row r="214" spans="1:9" x14ac:dyDescent="0.45">
      <c r="A214" s="68" t="s">
        <v>429</v>
      </c>
      <c r="B214" s="84">
        <v>2192838</v>
      </c>
      <c r="C214" s="84">
        <v>20061681480</v>
      </c>
      <c r="D214" s="84">
        <v>22999129419</v>
      </c>
      <c r="E214" s="84">
        <v>-2937447939</v>
      </c>
      <c r="F214" s="84">
        <v>2192838</v>
      </c>
      <c r="G214" s="84">
        <v>20061681480</v>
      </c>
      <c r="H214" s="84">
        <v>16347830069</v>
      </c>
      <c r="I214" s="84">
        <v>3713851411</v>
      </c>
    </row>
    <row r="215" spans="1:9" x14ac:dyDescent="0.45">
      <c r="A215" s="68" t="s">
        <v>269</v>
      </c>
      <c r="B215" s="84">
        <v>6511043</v>
      </c>
      <c r="C215" s="84">
        <v>26314482573</v>
      </c>
      <c r="D215" s="84">
        <v>26999318113</v>
      </c>
      <c r="E215" s="84">
        <v>-684835540</v>
      </c>
      <c r="F215" s="84">
        <v>6511043</v>
      </c>
      <c r="G215" s="84">
        <v>26314482573</v>
      </c>
      <c r="H215" s="84">
        <v>26993462798</v>
      </c>
      <c r="I215" s="84">
        <v>-678980225</v>
      </c>
    </row>
    <row r="216" spans="1:9" x14ac:dyDescent="0.45">
      <c r="A216" s="68" t="s">
        <v>326</v>
      </c>
      <c r="B216" s="84">
        <v>13112263</v>
      </c>
      <c r="C216" s="84">
        <v>32332099439</v>
      </c>
      <c r="D216" s="84">
        <v>32534818082</v>
      </c>
      <c r="E216" s="84">
        <v>-202718643</v>
      </c>
      <c r="F216" s="84">
        <v>13112263</v>
      </c>
      <c r="G216" s="84">
        <v>32332099439</v>
      </c>
      <c r="H216" s="84">
        <v>35304899987</v>
      </c>
      <c r="I216" s="84">
        <v>-2972800548</v>
      </c>
    </row>
    <row r="217" spans="1:9" x14ac:dyDescent="0.45">
      <c r="A217" s="68" t="s">
        <v>432</v>
      </c>
      <c r="B217" s="84">
        <v>9752234</v>
      </c>
      <c r="C217" s="84">
        <v>13286313994</v>
      </c>
      <c r="D217" s="84">
        <v>14515273847</v>
      </c>
      <c r="E217" s="84">
        <v>-1228959853</v>
      </c>
      <c r="F217" s="84">
        <v>9752234</v>
      </c>
      <c r="G217" s="84">
        <v>13286313994</v>
      </c>
      <c r="H217" s="84">
        <v>13415884464</v>
      </c>
      <c r="I217" s="84">
        <v>-129570470</v>
      </c>
    </row>
    <row r="218" spans="1:9" x14ac:dyDescent="0.45">
      <c r="A218" s="68" t="s">
        <v>491</v>
      </c>
      <c r="B218" s="84">
        <v>1500000</v>
      </c>
      <c r="C218" s="84">
        <v>13112848050</v>
      </c>
      <c r="D218" s="84">
        <v>14095195350</v>
      </c>
      <c r="E218" s="84">
        <v>-982347300</v>
      </c>
      <c r="F218" s="84">
        <v>1500000</v>
      </c>
      <c r="G218" s="84">
        <v>13112848050</v>
      </c>
      <c r="H218" s="84">
        <v>12197164260</v>
      </c>
      <c r="I218" s="84">
        <v>915683790</v>
      </c>
    </row>
    <row r="219" spans="1:9" x14ac:dyDescent="0.45">
      <c r="A219" s="68" t="s">
        <v>316</v>
      </c>
      <c r="B219" s="84">
        <v>26913216</v>
      </c>
      <c r="C219" s="84">
        <v>26838702725</v>
      </c>
      <c r="D219" s="84">
        <v>28186777021</v>
      </c>
      <c r="E219" s="84">
        <v>-1348074296</v>
      </c>
      <c r="F219" s="84">
        <v>26913216</v>
      </c>
      <c r="G219" s="84">
        <v>26838702725</v>
      </c>
      <c r="H219" s="84">
        <v>34430656948</v>
      </c>
      <c r="I219" s="84">
        <v>-7591954223</v>
      </c>
    </row>
    <row r="220" spans="1:9" x14ac:dyDescent="0.45">
      <c r="A220" s="68" t="s">
        <v>254</v>
      </c>
      <c r="B220" s="84">
        <v>5200000</v>
      </c>
      <c r="C220" s="84">
        <v>15035668856</v>
      </c>
      <c r="D220" s="84">
        <v>15015029640</v>
      </c>
      <c r="E220" s="84">
        <v>20639216</v>
      </c>
      <c r="F220" s="84">
        <v>5200000</v>
      </c>
      <c r="G220" s="84">
        <v>15035668856</v>
      </c>
      <c r="H220" s="84">
        <v>17798536615</v>
      </c>
      <c r="I220" s="84">
        <v>-2762867759</v>
      </c>
    </row>
    <row r="221" spans="1:9" x14ac:dyDescent="0.45">
      <c r="A221" s="68" t="s">
        <v>221</v>
      </c>
      <c r="B221" s="84">
        <v>11242355</v>
      </c>
      <c r="C221" s="84">
        <v>22255125934</v>
      </c>
      <c r="D221" s="84">
        <v>22838469342</v>
      </c>
      <c r="E221" s="84">
        <v>-583343408</v>
      </c>
      <c r="F221" s="84">
        <v>11242355</v>
      </c>
      <c r="G221" s="84">
        <v>22255125934</v>
      </c>
      <c r="H221" s="84">
        <v>24082436155</v>
      </c>
      <c r="I221" s="84">
        <v>-1827310221</v>
      </c>
    </row>
    <row r="222" spans="1:9" x14ac:dyDescent="0.45">
      <c r="A222" s="68" t="s">
        <v>249</v>
      </c>
      <c r="B222" s="84">
        <v>8112972</v>
      </c>
      <c r="C222" s="84">
        <v>22943237370</v>
      </c>
      <c r="D222" s="84">
        <v>23824299715</v>
      </c>
      <c r="E222" s="84">
        <v>-881062345</v>
      </c>
      <c r="F222" s="84">
        <v>8112972</v>
      </c>
      <c r="G222" s="84">
        <v>22943237370</v>
      </c>
      <c r="H222" s="84">
        <v>29111876861</v>
      </c>
      <c r="I222" s="84">
        <v>-6168639491</v>
      </c>
    </row>
    <row r="223" spans="1:9" ht="18.75" thickBot="1" x14ac:dyDescent="0.5">
      <c r="A223" s="68" t="s">
        <v>2</v>
      </c>
      <c r="B223" s="85">
        <f t="shared" ref="B223:I223" si="0">SUM(B7:B222)</f>
        <v>1166180733</v>
      </c>
      <c r="C223" s="85">
        <f t="shared" si="0"/>
        <v>4146422808542</v>
      </c>
      <c r="D223" s="85">
        <f t="shared" si="0"/>
        <v>4281154819000</v>
      </c>
      <c r="E223" s="85">
        <f t="shared" si="0"/>
        <v>-134732010458</v>
      </c>
      <c r="F223" s="85">
        <f t="shared" si="0"/>
        <v>1166180733</v>
      </c>
      <c r="G223" s="85">
        <f t="shared" si="0"/>
        <v>4146422808542</v>
      </c>
      <c r="H223" s="85">
        <f t="shared" si="0"/>
        <v>4090992277942</v>
      </c>
      <c r="I223" s="85">
        <f t="shared" si="0"/>
        <v>55430530600</v>
      </c>
    </row>
    <row r="224" spans="1:9" ht="18.75" thickTop="1" x14ac:dyDescent="0.45"/>
    <row r="225" spans="1:1" x14ac:dyDescent="0.45">
      <c r="A225" s="68" t="s">
        <v>492</v>
      </c>
    </row>
  </sheetData>
  <mergeCells count="6"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15</vt:i4>
      </vt:variant>
    </vt:vector>
  </HeadingPairs>
  <TitlesOfParts>
    <vt:vector size="39" baseType="lpstr">
      <vt:lpstr>0</vt:lpstr>
      <vt:lpstr> سهام</vt:lpstr>
      <vt:lpstr>اوراق مشتقه</vt:lpstr>
      <vt:lpstr>واحدهای صندوق</vt:lpstr>
      <vt:lpstr>گواهی سپرده کالا</vt:lpstr>
      <vt:lpstr>اوراق</vt:lpstr>
      <vt:lpstr>تعدیل قیمت</vt:lpstr>
      <vt:lpstr>سپرده</vt:lpstr>
      <vt:lpstr>درآمدها</vt:lpstr>
      <vt:lpstr>درآمد سرمایه گذاری در سهام </vt:lpstr>
      <vt:lpstr>درآمد سرمایه گذاری در صندوق</vt:lpstr>
      <vt:lpstr>درآمد سرمایه گذاری در اوراق بها</vt:lpstr>
      <vt:lpstr>درآمد سرمایه گذاری در گواهی سپر</vt:lpstr>
      <vt:lpstr>مبالغ تخصیصی اوراق </vt:lpstr>
      <vt:lpstr>درآمد سپرده بانکی</vt:lpstr>
      <vt:lpstr>درآمد بازارگردانی</vt:lpstr>
      <vt:lpstr>درآمد سرمایه گذاری مشتقه </vt:lpstr>
      <vt:lpstr>سایر درآمدها</vt:lpstr>
      <vt:lpstr>درآمد سود سهام</vt:lpstr>
      <vt:lpstr>درآمد سود صندوق</vt:lpstr>
      <vt:lpstr>سود اوراق بهادار</vt:lpstr>
      <vt:lpstr>سود  سپرده بانکی</vt:lpstr>
      <vt:lpstr>درآمد ناشی ازفروش</vt:lpstr>
      <vt:lpstr>درآمد ناشی از تغییر قیمت اوراق </vt:lpstr>
      <vt:lpstr>' سهام'!Print_Area</vt:lpstr>
      <vt:lpstr>اوراق!Print_Area</vt:lpstr>
      <vt:lpstr>'تعدیل قیمت'!Print_Area</vt:lpstr>
      <vt:lpstr>'درآمد بازارگردانی'!Print_Area</vt:lpstr>
      <vt:lpstr>'درآمد سرمایه گذاری در اوراق بها'!Print_Area</vt:lpstr>
      <vt:lpstr>'درآمد سرمایه گذاری در گواهی سپر'!Print_Area</vt:lpstr>
      <vt:lpstr>'درآمد ناشی از تغییر قیمت اوراق '!Print_Area</vt:lpstr>
      <vt:lpstr>سپرده!Print_Area</vt:lpstr>
      <vt:lpstr>'گواهی سپرده کالا'!Print_Area</vt:lpstr>
      <vt:lpstr>'مبالغ تخصیصی اوراق '!Print_Area</vt:lpstr>
      <vt:lpstr>'واحدهای صندوق'!Print_Area</vt:lpstr>
      <vt:lpstr>'درآمد سرمایه گذاری در سهام '!Print_Titles</vt:lpstr>
      <vt:lpstr>'درآمد سود سهام'!Print_Titles</vt:lpstr>
      <vt:lpstr>'درآمد ناشی از تغییر قیمت اوراق '!Print_Titles</vt:lpstr>
      <vt:lpstr>'درآمد ناشی ازفروش'!Print_Titles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Fatemeh Rezaei</cp:lastModifiedBy>
  <cp:lastPrinted>2026-03-25T09:42:45Z</cp:lastPrinted>
  <dcterms:created xsi:type="dcterms:W3CDTF">2017-11-22T14:26:20Z</dcterms:created>
  <dcterms:modified xsi:type="dcterms:W3CDTF">2026-03-25T09:42:49Z</dcterms:modified>
</cp:coreProperties>
</file>