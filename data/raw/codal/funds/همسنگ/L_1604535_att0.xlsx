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L:\Portfolio Operation\Accounting\E.Kashef Bahrami\همسنگ\پرتفوی\"/>
    </mc:Choice>
  </mc:AlternateContent>
  <xr:revisionPtr revIDLastSave="0" documentId="13_ncr:1_{B9D0DB5D-EF2F-4603-BAE6-687AA5D811DC}" xr6:coauthVersionLast="47" xr6:coauthVersionMax="47" xr10:uidLastSave="{00000000-0000-0000-0000-000000000000}"/>
  <bookViews>
    <workbookView xWindow="28800" yWindow="780" windowWidth="28830" windowHeight="14595" tabRatio="862" xr2:uid="{00000000-000D-0000-FFFF-FFFF00000000}"/>
  </bookViews>
  <sheets>
    <sheet name="شاخصی هم وزن همسنگ" sheetId="20" r:id="rId1"/>
    <sheet name="سهام" sheetId="15" r:id="rId2"/>
    <sheet name="اوراق مشتقه" sheetId="9" r:id="rId3"/>
    <sheet name="سپرده" sheetId="11" r:id="rId4"/>
    <sheet name="درامدها" sheetId="19" r:id="rId5"/>
    <sheet name="درامد سرمایه گذاری در سهام" sheetId="16" r:id="rId6"/>
    <sheet name="درامد سپرده بانکی" sheetId="2" r:id="rId7"/>
    <sheet name="سایر درامدها" sheetId="7" r:id="rId8"/>
    <sheet name="درامد سود سهام" sheetId="10" r:id="rId9"/>
    <sheet name="سود سپرده بانکی" sheetId="3" r:id="rId10"/>
    <sheet name="درامد ناشی از فروش" sheetId="18" r:id="rId11"/>
    <sheet name="درآمد ناشی از تغییر قیمت اوراق" sheetId="17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10" i="16" l="1"/>
  <c r="S18" i="16" s="1"/>
  <c r="I210" i="16"/>
  <c r="J12" i="16" s="1"/>
  <c r="O11" i="15"/>
  <c r="O12" i="15"/>
  <c r="O13" i="15"/>
  <c r="O14" i="15"/>
  <c r="O15" i="15"/>
  <c r="O16" i="15"/>
  <c r="O17" i="15"/>
  <c r="O18" i="15"/>
  <c r="O19" i="15"/>
  <c r="O20" i="15"/>
  <c r="O21" i="15"/>
  <c r="O22" i="15"/>
  <c r="O23" i="15"/>
  <c r="O24" i="15"/>
  <c r="O25" i="15"/>
  <c r="O26" i="15"/>
  <c r="O27" i="15"/>
  <c r="O28" i="15"/>
  <c r="O29" i="15"/>
  <c r="O30" i="15"/>
  <c r="O31" i="15"/>
  <c r="O32" i="15"/>
  <c r="O33" i="15"/>
  <c r="O34" i="15"/>
  <c r="O35" i="15"/>
  <c r="O36" i="15"/>
  <c r="O37" i="15"/>
  <c r="O38" i="15"/>
  <c r="O39" i="15"/>
  <c r="O40" i="15"/>
  <c r="O41" i="15"/>
  <c r="O42" i="15"/>
  <c r="O43" i="15"/>
  <c r="O44" i="15"/>
  <c r="O45" i="15"/>
  <c r="O46" i="15"/>
  <c r="O47" i="15"/>
  <c r="O48" i="15"/>
  <c r="O49" i="15"/>
  <c r="O50" i="15"/>
  <c r="O51" i="15"/>
  <c r="O52" i="15"/>
  <c r="O53" i="15"/>
  <c r="O54" i="15"/>
  <c r="O55" i="15"/>
  <c r="O56" i="15"/>
  <c r="O57" i="15"/>
  <c r="O58" i="15"/>
  <c r="O59" i="15"/>
  <c r="O60" i="15"/>
  <c r="O61" i="15"/>
  <c r="O62" i="15"/>
  <c r="O63" i="15"/>
  <c r="O64" i="15"/>
  <c r="O65" i="15"/>
  <c r="O66" i="15"/>
  <c r="O67" i="15"/>
  <c r="O68" i="15"/>
  <c r="O69" i="15"/>
  <c r="O70" i="15"/>
  <c r="O71" i="15"/>
  <c r="O72" i="15"/>
  <c r="O73" i="15"/>
  <c r="O74" i="15"/>
  <c r="O75" i="15"/>
  <c r="O76" i="15"/>
  <c r="O77" i="15"/>
  <c r="O78" i="15"/>
  <c r="O79" i="15"/>
  <c r="O80" i="15"/>
  <c r="O81" i="15"/>
  <c r="O82" i="15"/>
  <c r="O83" i="15"/>
  <c r="O84" i="15"/>
  <c r="O85" i="15"/>
  <c r="O86" i="15"/>
  <c r="O87" i="15"/>
  <c r="O88" i="15"/>
  <c r="O89" i="15"/>
  <c r="O90" i="15"/>
  <c r="O91" i="15"/>
  <c r="O92" i="15"/>
  <c r="O93" i="15"/>
  <c r="O94" i="15"/>
  <c r="O95" i="15"/>
  <c r="O96" i="15"/>
  <c r="O97" i="15"/>
  <c r="O98" i="15"/>
  <c r="O99" i="15"/>
  <c r="O100" i="15"/>
  <c r="O101" i="15"/>
  <c r="O102" i="15"/>
  <c r="O103" i="15"/>
  <c r="O104" i="15"/>
  <c r="O105" i="15"/>
  <c r="O106" i="15"/>
  <c r="O107" i="15"/>
  <c r="O108" i="15"/>
  <c r="O109" i="15"/>
  <c r="O110" i="15"/>
  <c r="O111" i="15"/>
  <c r="O112" i="15"/>
  <c r="O113" i="15"/>
  <c r="O114" i="15"/>
  <c r="O115" i="15"/>
  <c r="O116" i="15"/>
  <c r="O117" i="15"/>
  <c r="O118" i="15"/>
  <c r="O119" i="15"/>
  <c r="O120" i="15"/>
  <c r="O121" i="15"/>
  <c r="O122" i="15"/>
  <c r="O123" i="15"/>
  <c r="O124" i="15"/>
  <c r="O125" i="15"/>
  <c r="O126" i="15"/>
  <c r="O127" i="15"/>
  <c r="O128" i="15"/>
  <c r="O129" i="15"/>
  <c r="O130" i="15"/>
  <c r="O131" i="15"/>
  <c r="O132" i="15"/>
  <c r="O133" i="15"/>
  <c r="O134" i="15"/>
  <c r="O135" i="15"/>
  <c r="O136" i="15"/>
  <c r="O137" i="15"/>
  <c r="O138" i="15"/>
  <c r="O139" i="15"/>
  <c r="O140" i="15"/>
  <c r="O141" i="15"/>
  <c r="O142" i="15"/>
  <c r="O143" i="15"/>
  <c r="O144" i="15"/>
  <c r="O145" i="15"/>
  <c r="O146" i="15"/>
  <c r="O147" i="15"/>
  <c r="O148" i="15"/>
  <c r="O149" i="15"/>
  <c r="O150" i="15"/>
  <c r="O151" i="15"/>
  <c r="O152" i="15"/>
  <c r="O153" i="15"/>
  <c r="O154" i="15"/>
  <c r="O155" i="15"/>
  <c r="O156" i="15"/>
  <c r="O157" i="15"/>
  <c r="O158" i="15"/>
  <c r="O159" i="15"/>
  <c r="O160" i="15"/>
  <c r="O161" i="15"/>
  <c r="O162" i="15"/>
  <c r="O163" i="15"/>
  <c r="O164" i="15"/>
  <c r="O165" i="15"/>
  <c r="O166" i="15"/>
  <c r="O167" i="15"/>
  <c r="O168" i="15"/>
  <c r="O169" i="15"/>
  <c r="O170" i="15"/>
  <c r="O171" i="15"/>
  <c r="O172" i="15"/>
  <c r="O173" i="15"/>
  <c r="O174" i="15"/>
  <c r="O175" i="15"/>
  <c r="O176" i="15"/>
  <c r="O177" i="15"/>
  <c r="O178" i="15"/>
  <c r="O179" i="15"/>
  <c r="O180" i="15"/>
  <c r="O10" i="15"/>
  <c r="E9" i="7"/>
  <c r="C9" i="7"/>
  <c r="C8" i="19" s="1"/>
  <c r="K95" i="10"/>
  <c r="K99" i="10"/>
  <c r="W181" i="15"/>
  <c r="K11" i="11"/>
  <c r="G9" i="19"/>
  <c r="M95" i="10"/>
  <c r="M96" i="10"/>
  <c r="M97" i="10"/>
  <c r="M98" i="10"/>
  <c r="C7" i="19"/>
  <c r="L9" i="3"/>
  <c r="J9" i="3"/>
  <c r="H9" i="3"/>
  <c r="B9" i="3"/>
  <c r="D9" i="3"/>
  <c r="F9" i="3"/>
  <c r="L8" i="3"/>
  <c r="L7" i="3"/>
  <c r="F8" i="3"/>
  <c r="F7" i="3"/>
  <c r="L113" i="18"/>
  <c r="N113" i="18"/>
  <c r="F113" i="18"/>
  <c r="D113" i="18"/>
  <c r="P8" i="18"/>
  <c r="P9" i="18"/>
  <c r="P10" i="18"/>
  <c r="P11" i="18"/>
  <c r="P12" i="18"/>
  <c r="P13" i="18"/>
  <c r="P14" i="18"/>
  <c r="P15" i="18"/>
  <c r="P16" i="18"/>
  <c r="P17" i="18"/>
  <c r="P18" i="18"/>
  <c r="P19" i="18"/>
  <c r="P20" i="18"/>
  <c r="P21" i="18"/>
  <c r="P22" i="18"/>
  <c r="P23" i="18"/>
  <c r="P24" i="18"/>
  <c r="P25" i="18"/>
  <c r="P26" i="18"/>
  <c r="P27" i="18"/>
  <c r="P28" i="18"/>
  <c r="P29" i="18"/>
  <c r="P30" i="18"/>
  <c r="P31" i="18"/>
  <c r="P32" i="18"/>
  <c r="P33" i="18"/>
  <c r="P34" i="18"/>
  <c r="P35" i="18"/>
  <c r="P36" i="18"/>
  <c r="P37" i="18"/>
  <c r="P38" i="18"/>
  <c r="P39" i="18"/>
  <c r="P40" i="18"/>
  <c r="P41" i="18"/>
  <c r="P42" i="18"/>
  <c r="P43" i="18"/>
  <c r="P44" i="18"/>
  <c r="P45" i="18"/>
  <c r="P46" i="18"/>
  <c r="P47" i="18"/>
  <c r="P48" i="18"/>
  <c r="P49" i="18"/>
  <c r="P50" i="18"/>
  <c r="P51" i="18"/>
  <c r="P52" i="18"/>
  <c r="P53" i="18"/>
  <c r="P54" i="18"/>
  <c r="P55" i="18"/>
  <c r="P56" i="18"/>
  <c r="P57" i="18"/>
  <c r="P58" i="18"/>
  <c r="P59" i="18"/>
  <c r="P60" i="18"/>
  <c r="P61" i="18"/>
  <c r="P62" i="18"/>
  <c r="P63" i="18"/>
  <c r="P64" i="18"/>
  <c r="P65" i="18"/>
  <c r="P66" i="18"/>
  <c r="P67" i="18"/>
  <c r="P68" i="18"/>
  <c r="P69" i="18"/>
  <c r="P70" i="18"/>
  <c r="P71" i="18"/>
  <c r="P72" i="18"/>
  <c r="P73" i="18"/>
  <c r="P74" i="18"/>
  <c r="P75" i="18"/>
  <c r="P76" i="18"/>
  <c r="P77" i="18"/>
  <c r="P78" i="18"/>
  <c r="P79" i="18"/>
  <c r="P80" i="18"/>
  <c r="P81" i="18"/>
  <c r="P82" i="18"/>
  <c r="P83" i="18"/>
  <c r="P84" i="18"/>
  <c r="P85" i="18"/>
  <c r="P86" i="18"/>
  <c r="P87" i="18"/>
  <c r="P88" i="18"/>
  <c r="P89" i="18"/>
  <c r="P90" i="18"/>
  <c r="P91" i="18"/>
  <c r="P92" i="18"/>
  <c r="P93" i="18"/>
  <c r="P94" i="18"/>
  <c r="P95" i="18"/>
  <c r="P96" i="18"/>
  <c r="P97" i="18"/>
  <c r="P98" i="18"/>
  <c r="P99" i="18"/>
  <c r="P100" i="18"/>
  <c r="P101" i="18"/>
  <c r="P102" i="18"/>
  <c r="P103" i="18"/>
  <c r="P104" i="18"/>
  <c r="P105" i="18"/>
  <c r="P106" i="18"/>
  <c r="P107" i="18"/>
  <c r="P108" i="18"/>
  <c r="P109" i="18"/>
  <c r="P113" i="18" s="1"/>
  <c r="P110" i="18"/>
  <c r="P111" i="18"/>
  <c r="P112" i="18"/>
  <c r="P7" i="18"/>
  <c r="H8" i="18"/>
  <c r="H9" i="18"/>
  <c r="H10" i="18"/>
  <c r="H11" i="18"/>
  <c r="H12" i="18"/>
  <c r="H13" i="18"/>
  <c r="H14" i="18"/>
  <c r="H15" i="18"/>
  <c r="H16" i="18"/>
  <c r="H17" i="18"/>
  <c r="H18" i="18"/>
  <c r="H19" i="18"/>
  <c r="H20" i="18"/>
  <c r="H21" i="18"/>
  <c r="H22" i="18"/>
  <c r="H23" i="18"/>
  <c r="H24" i="18"/>
  <c r="H25" i="18"/>
  <c r="H26" i="18"/>
  <c r="H27" i="18"/>
  <c r="H28" i="18"/>
  <c r="H29" i="18"/>
  <c r="H30" i="18"/>
  <c r="H31" i="18"/>
  <c r="H32" i="18"/>
  <c r="H33" i="18"/>
  <c r="H34" i="18"/>
  <c r="H35" i="18"/>
  <c r="H36" i="18"/>
  <c r="H37" i="18"/>
  <c r="H38" i="18"/>
  <c r="H39" i="18"/>
  <c r="H40" i="18"/>
  <c r="H41" i="18"/>
  <c r="H42" i="18"/>
  <c r="H43" i="18"/>
  <c r="H44" i="18"/>
  <c r="H45" i="18"/>
  <c r="H46" i="18"/>
  <c r="H47" i="18"/>
  <c r="H48" i="18"/>
  <c r="H49" i="18"/>
  <c r="H50" i="18"/>
  <c r="H51" i="18"/>
  <c r="H52" i="18"/>
  <c r="H53" i="18"/>
  <c r="H54" i="18"/>
  <c r="H55" i="18"/>
  <c r="H56" i="18"/>
  <c r="H57" i="18"/>
  <c r="H58" i="18"/>
  <c r="H59" i="18"/>
  <c r="H60" i="18"/>
  <c r="H61" i="18"/>
  <c r="H62" i="18"/>
  <c r="H63" i="18"/>
  <c r="H64" i="18"/>
  <c r="H65" i="18"/>
  <c r="H66" i="18"/>
  <c r="H67" i="18"/>
  <c r="H68" i="18"/>
  <c r="H69" i="18"/>
  <c r="H70" i="18"/>
  <c r="H71" i="18"/>
  <c r="H72" i="18"/>
  <c r="H73" i="18"/>
  <c r="H74" i="18"/>
  <c r="H75" i="18"/>
  <c r="H76" i="18"/>
  <c r="H77" i="18"/>
  <c r="H78" i="18"/>
  <c r="H79" i="18"/>
  <c r="H80" i="18"/>
  <c r="H81" i="18"/>
  <c r="H82" i="18"/>
  <c r="H83" i="18"/>
  <c r="H84" i="18"/>
  <c r="H85" i="18"/>
  <c r="H86" i="18"/>
  <c r="H87" i="18"/>
  <c r="H88" i="18"/>
  <c r="H89" i="18"/>
  <c r="H90" i="18"/>
  <c r="H91" i="18"/>
  <c r="H92" i="18"/>
  <c r="H93" i="18"/>
  <c r="H94" i="18"/>
  <c r="H95" i="18"/>
  <c r="H96" i="18"/>
  <c r="H97" i="18"/>
  <c r="H98" i="18"/>
  <c r="H99" i="18"/>
  <c r="H100" i="18"/>
  <c r="H101" i="18"/>
  <c r="H102" i="18"/>
  <c r="H103" i="18"/>
  <c r="H104" i="18"/>
  <c r="H105" i="18"/>
  <c r="H106" i="18"/>
  <c r="H107" i="18"/>
  <c r="H113" i="18" s="1"/>
  <c r="H108" i="18"/>
  <c r="H109" i="18"/>
  <c r="H110" i="18"/>
  <c r="H111" i="18"/>
  <c r="H112" i="18"/>
  <c r="H7" i="18"/>
  <c r="P8" i="17"/>
  <c r="P9" i="17"/>
  <c r="P10" i="17"/>
  <c r="P11" i="17"/>
  <c r="P12" i="17"/>
  <c r="P13" i="17"/>
  <c r="P14" i="17"/>
  <c r="P15" i="17"/>
  <c r="P16" i="17"/>
  <c r="P17" i="17"/>
  <c r="P18" i="17"/>
  <c r="P19" i="17"/>
  <c r="P20" i="17"/>
  <c r="P21" i="17"/>
  <c r="P22" i="17"/>
  <c r="P23" i="17"/>
  <c r="P24" i="17"/>
  <c r="P25" i="17"/>
  <c r="P26" i="17"/>
  <c r="P27" i="17"/>
  <c r="P28" i="17"/>
  <c r="P29" i="17"/>
  <c r="P30" i="17"/>
  <c r="P31" i="17"/>
  <c r="P32" i="17"/>
  <c r="P33" i="17"/>
  <c r="P34" i="17"/>
  <c r="P35" i="17"/>
  <c r="P36" i="17"/>
  <c r="P37" i="17"/>
  <c r="P38" i="17"/>
  <c r="P39" i="17"/>
  <c r="P40" i="17"/>
  <c r="P41" i="17"/>
  <c r="P42" i="17"/>
  <c r="P43" i="17"/>
  <c r="P44" i="17"/>
  <c r="P45" i="17"/>
  <c r="P46" i="17"/>
  <c r="P47" i="17"/>
  <c r="P48" i="17"/>
  <c r="P49" i="17"/>
  <c r="P50" i="17"/>
  <c r="P51" i="17"/>
  <c r="P52" i="17"/>
  <c r="P53" i="17"/>
  <c r="P54" i="17"/>
  <c r="P55" i="17"/>
  <c r="P56" i="17"/>
  <c r="P57" i="17"/>
  <c r="P58" i="17"/>
  <c r="P59" i="17"/>
  <c r="P60" i="17"/>
  <c r="P61" i="17"/>
  <c r="P62" i="17"/>
  <c r="P63" i="17"/>
  <c r="P64" i="17"/>
  <c r="P65" i="17"/>
  <c r="P66" i="17"/>
  <c r="P67" i="17"/>
  <c r="P68" i="17"/>
  <c r="P69" i="17"/>
  <c r="P70" i="17"/>
  <c r="P71" i="17"/>
  <c r="P72" i="17"/>
  <c r="P73" i="17"/>
  <c r="P74" i="17"/>
  <c r="P75" i="17"/>
  <c r="P76" i="17"/>
  <c r="P77" i="17"/>
  <c r="P78" i="17"/>
  <c r="P79" i="17"/>
  <c r="P80" i="17"/>
  <c r="P81" i="17"/>
  <c r="P82" i="17"/>
  <c r="P83" i="17"/>
  <c r="P84" i="17"/>
  <c r="P85" i="17"/>
  <c r="P86" i="17"/>
  <c r="P87" i="17"/>
  <c r="P88" i="17"/>
  <c r="P89" i="17"/>
  <c r="P90" i="17"/>
  <c r="P91" i="17"/>
  <c r="P92" i="17"/>
  <c r="P93" i="17"/>
  <c r="P94" i="17"/>
  <c r="P95" i="17"/>
  <c r="P96" i="17"/>
  <c r="P97" i="17"/>
  <c r="P98" i="17"/>
  <c r="P99" i="17"/>
  <c r="P100" i="17"/>
  <c r="P101" i="17"/>
  <c r="P102" i="17"/>
  <c r="P103" i="17"/>
  <c r="P104" i="17"/>
  <c r="P105" i="17"/>
  <c r="P106" i="17"/>
  <c r="P107" i="17"/>
  <c r="P108" i="17"/>
  <c r="P109" i="17"/>
  <c r="P110" i="17"/>
  <c r="P111" i="17"/>
  <c r="P112" i="17"/>
  <c r="P113" i="17"/>
  <c r="P114" i="17"/>
  <c r="P115" i="17"/>
  <c r="P116" i="17"/>
  <c r="P117" i="17"/>
  <c r="P118" i="17"/>
  <c r="P119" i="17"/>
  <c r="P120" i="17"/>
  <c r="P121" i="17"/>
  <c r="P122" i="17"/>
  <c r="P123" i="17"/>
  <c r="P124" i="17"/>
  <c r="P125" i="17"/>
  <c r="P126" i="17"/>
  <c r="P127" i="17"/>
  <c r="P128" i="17"/>
  <c r="P129" i="17"/>
  <c r="P130" i="17"/>
  <c r="P131" i="17"/>
  <c r="P132" i="17"/>
  <c r="P133" i="17"/>
  <c r="P134" i="17"/>
  <c r="P135" i="17"/>
  <c r="P136" i="17"/>
  <c r="P137" i="17"/>
  <c r="P138" i="17"/>
  <c r="P139" i="17"/>
  <c r="P140" i="17"/>
  <c r="P141" i="17"/>
  <c r="P142" i="17"/>
  <c r="P143" i="17"/>
  <c r="P144" i="17"/>
  <c r="P145" i="17"/>
  <c r="P146" i="17"/>
  <c r="P147" i="17"/>
  <c r="P148" i="17"/>
  <c r="P149" i="17"/>
  <c r="P150" i="17"/>
  <c r="P151" i="17"/>
  <c r="P152" i="17"/>
  <c r="P153" i="17"/>
  <c r="P154" i="17"/>
  <c r="P155" i="17"/>
  <c r="P156" i="17"/>
  <c r="P157" i="17"/>
  <c r="P158" i="17"/>
  <c r="P159" i="17"/>
  <c r="P160" i="17"/>
  <c r="P161" i="17"/>
  <c r="P162" i="17"/>
  <c r="P163" i="17"/>
  <c r="P164" i="17"/>
  <c r="P165" i="17"/>
  <c r="P166" i="17"/>
  <c r="P167" i="17"/>
  <c r="P168" i="17"/>
  <c r="P169" i="17"/>
  <c r="P170" i="17"/>
  <c r="P171" i="17"/>
  <c r="P172" i="17"/>
  <c r="P173" i="17"/>
  <c r="P174" i="17"/>
  <c r="P175" i="17"/>
  <c r="P176" i="17"/>
  <c r="P177" i="17"/>
  <c r="P178" i="17"/>
  <c r="P7" i="17"/>
  <c r="H8" i="17"/>
  <c r="H9" i="17"/>
  <c r="H10" i="17"/>
  <c r="H11" i="17"/>
  <c r="H12" i="17"/>
  <c r="H13" i="17"/>
  <c r="H14" i="17"/>
  <c r="H15" i="17"/>
  <c r="H16" i="17"/>
  <c r="H17" i="17"/>
  <c r="H18" i="17"/>
  <c r="H19" i="17"/>
  <c r="H20" i="17"/>
  <c r="H21" i="17"/>
  <c r="H22" i="17"/>
  <c r="H23" i="17"/>
  <c r="H24" i="17"/>
  <c r="H25" i="17"/>
  <c r="H26" i="17"/>
  <c r="H27" i="17"/>
  <c r="H28" i="17"/>
  <c r="H29" i="17"/>
  <c r="H30" i="17"/>
  <c r="H31" i="17"/>
  <c r="H32" i="17"/>
  <c r="H33" i="17"/>
  <c r="H34" i="17"/>
  <c r="H35" i="17"/>
  <c r="H36" i="17"/>
  <c r="H37" i="17"/>
  <c r="H38" i="17"/>
  <c r="H39" i="17"/>
  <c r="H40" i="17"/>
  <c r="H41" i="17"/>
  <c r="H42" i="17"/>
  <c r="H43" i="17"/>
  <c r="H44" i="17"/>
  <c r="H45" i="17"/>
  <c r="H46" i="17"/>
  <c r="H47" i="17"/>
  <c r="H48" i="17"/>
  <c r="H49" i="17"/>
  <c r="H50" i="17"/>
  <c r="H51" i="17"/>
  <c r="H52" i="17"/>
  <c r="H53" i="17"/>
  <c r="H54" i="17"/>
  <c r="H55" i="17"/>
  <c r="H56" i="17"/>
  <c r="H57" i="17"/>
  <c r="H58" i="17"/>
  <c r="H59" i="17"/>
  <c r="H60" i="17"/>
  <c r="H61" i="17"/>
  <c r="H62" i="17"/>
  <c r="H63" i="17"/>
  <c r="H64" i="17"/>
  <c r="H65" i="17"/>
  <c r="H66" i="17"/>
  <c r="H67" i="17"/>
  <c r="H68" i="17"/>
  <c r="H69" i="17"/>
  <c r="H70" i="17"/>
  <c r="H71" i="17"/>
  <c r="H72" i="17"/>
  <c r="H73" i="17"/>
  <c r="H74" i="17"/>
  <c r="H75" i="17"/>
  <c r="H76" i="17"/>
  <c r="H77" i="17"/>
  <c r="H78" i="17"/>
  <c r="H79" i="17"/>
  <c r="H80" i="17"/>
  <c r="H81" i="17"/>
  <c r="H82" i="17"/>
  <c r="H83" i="17"/>
  <c r="H84" i="17"/>
  <c r="H85" i="17"/>
  <c r="H86" i="17"/>
  <c r="H87" i="17"/>
  <c r="H88" i="17"/>
  <c r="H89" i="17"/>
  <c r="H90" i="17"/>
  <c r="H91" i="17"/>
  <c r="H92" i="17"/>
  <c r="H93" i="17"/>
  <c r="H94" i="17"/>
  <c r="H95" i="17"/>
  <c r="H96" i="17"/>
  <c r="H97" i="17"/>
  <c r="H98" i="17"/>
  <c r="H99" i="17"/>
  <c r="H100" i="17"/>
  <c r="H101" i="17"/>
  <c r="H102" i="17"/>
  <c r="H103" i="17"/>
  <c r="H104" i="17"/>
  <c r="H105" i="17"/>
  <c r="H106" i="17"/>
  <c r="H107" i="17"/>
  <c r="H108" i="17"/>
  <c r="H109" i="17"/>
  <c r="H110" i="17"/>
  <c r="H111" i="17"/>
  <c r="H112" i="17"/>
  <c r="H113" i="17"/>
  <c r="H114" i="17"/>
  <c r="H115" i="17"/>
  <c r="H116" i="17"/>
  <c r="H117" i="17"/>
  <c r="H118" i="17"/>
  <c r="H119" i="17"/>
  <c r="H120" i="17"/>
  <c r="H121" i="17"/>
  <c r="H122" i="17"/>
  <c r="H123" i="17"/>
  <c r="H124" i="17"/>
  <c r="H125" i="17"/>
  <c r="H126" i="17"/>
  <c r="H127" i="17"/>
  <c r="H128" i="17"/>
  <c r="H129" i="17"/>
  <c r="H130" i="17"/>
  <c r="H131" i="17"/>
  <c r="H132" i="17"/>
  <c r="H133" i="17"/>
  <c r="H134" i="17"/>
  <c r="H135" i="17"/>
  <c r="H136" i="17"/>
  <c r="H137" i="17"/>
  <c r="H138" i="17"/>
  <c r="H139" i="17"/>
  <c r="H140" i="17"/>
  <c r="H141" i="17"/>
  <c r="H142" i="17"/>
  <c r="H143" i="17"/>
  <c r="H144" i="17"/>
  <c r="H145" i="17"/>
  <c r="H146" i="17"/>
  <c r="H147" i="17"/>
  <c r="H148" i="17"/>
  <c r="H149" i="17"/>
  <c r="H150" i="17"/>
  <c r="H151" i="17"/>
  <c r="H152" i="17"/>
  <c r="H153" i="17"/>
  <c r="H154" i="17"/>
  <c r="H155" i="17"/>
  <c r="H156" i="17"/>
  <c r="H157" i="17"/>
  <c r="H158" i="17"/>
  <c r="H159" i="17"/>
  <c r="H160" i="17"/>
  <c r="H161" i="17"/>
  <c r="H162" i="17"/>
  <c r="H163" i="17"/>
  <c r="H164" i="17"/>
  <c r="H165" i="17"/>
  <c r="H166" i="17"/>
  <c r="H167" i="17"/>
  <c r="H168" i="17"/>
  <c r="H169" i="17"/>
  <c r="H170" i="17"/>
  <c r="H171" i="17"/>
  <c r="H172" i="17"/>
  <c r="H173" i="17"/>
  <c r="H174" i="17"/>
  <c r="H175" i="17"/>
  <c r="H176" i="17"/>
  <c r="H177" i="17"/>
  <c r="H178" i="17"/>
  <c r="H7" i="17"/>
  <c r="S14" i="16"/>
  <c r="S16" i="16"/>
  <c r="S17" i="16"/>
  <c r="S22" i="16"/>
  <c r="S24" i="16"/>
  <c r="S25" i="16"/>
  <c r="S26" i="16"/>
  <c r="S30" i="16"/>
  <c r="S32" i="16"/>
  <c r="S33" i="16"/>
  <c r="S34" i="16"/>
  <c r="S38" i="16"/>
  <c r="S40" i="16"/>
  <c r="S41" i="16"/>
  <c r="S42" i="16"/>
  <c r="S46" i="16"/>
  <c r="S48" i="16"/>
  <c r="S49" i="16"/>
  <c r="S50" i="16"/>
  <c r="S54" i="16"/>
  <c r="S56" i="16"/>
  <c r="S57" i="16"/>
  <c r="S58" i="16"/>
  <c r="S62" i="16"/>
  <c r="S64" i="16"/>
  <c r="S65" i="16"/>
  <c r="S66" i="16"/>
  <c r="S70" i="16"/>
  <c r="S72" i="16"/>
  <c r="S73" i="16"/>
  <c r="S74" i="16"/>
  <c r="S78" i="16"/>
  <c r="S80" i="16"/>
  <c r="S81" i="16"/>
  <c r="S82" i="16"/>
  <c r="S86" i="16"/>
  <c r="S88" i="16"/>
  <c r="S89" i="16"/>
  <c r="S90" i="16"/>
  <c r="S94" i="16"/>
  <c r="S96" i="16"/>
  <c r="S97" i="16"/>
  <c r="S98" i="16"/>
  <c r="S102" i="16"/>
  <c r="S104" i="16"/>
  <c r="S105" i="16"/>
  <c r="S106" i="16"/>
  <c r="S110" i="16"/>
  <c r="S112" i="16"/>
  <c r="S113" i="16"/>
  <c r="S114" i="16"/>
  <c r="S118" i="16"/>
  <c r="S120" i="16"/>
  <c r="S121" i="16"/>
  <c r="S122" i="16"/>
  <c r="S126" i="16"/>
  <c r="S128" i="16"/>
  <c r="S129" i="16"/>
  <c r="S130" i="16"/>
  <c r="S134" i="16"/>
  <c r="S136" i="16"/>
  <c r="S137" i="16"/>
  <c r="S138" i="16"/>
  <c r="S142" i="16"/>
  <c r="S144" i="16"/>
  <c r="S145" i="16"/>
  <c r="S146" i="16"/>
  <c r="S147" i="16"/>
  <c r="S148" i="16"/>
  <c r="S149" i="16"/>
  <c r="S150" i="16"/>
  <c r="S151" i="16"/>
  <c r="S152" i="16"/>
  <c r="S153" i="16"/>
  <c r="S154" i="16"/>
  <c r="S155" i="16"/>
  <c r="S156" i="16"/>
  <c r="S157" i="16"/>
  <c r="S158" i="16"/>
  <c r="S159" i="16"/>
  <c r="S160" i="16"/>
  <c r="S161" i="16"/>
  <c r="S162" i="16"/>
  <c r="S163" i="16"/>
  <c r="S164" i="16"/>
  <c r="S165" i="16"/>
  <c r="S166" i="16"/>
  <c r="S167" i="16"/>
  <c r="S168" i="16"/>
  <c r="S169" i="16"/>
  <c r="S170" i="16"/>
  <c r="S171" i="16"/>
  <c r="S172" i="16"/>
  <c r="S173" i="16"/>
  <c r="S174" i="16"/>
  <c r="S175" i="16"/>
  <c r="S176" i="16"/>
  <c r="S177" i="16"/>
  <c r="S178" i="16"/>
  <c r="S179" i="16"/>
  <c r="S180" i="16"/>
  <c r="S181" i="16"/>
  <c r="S182" i="16"/>
  <c r="S183" i="16"/>
  <c r="S184" i="16"/>
  <c r="S185" i="16"/>
  <c r="S186" i="16"/>
  <c r="S187" i="16"/>
  <c r="S188" i="16"/>
  <c r="S189" i="16"/>
  <c r="S190" i="16"/>
  <c r="S191" i="16"/>
  <c r="S192" i="16"/>
  <c r="S193" i="16"/>
  <c r="S194" i="16"/>
  <c r="S195" i="16"/>
  <c r="S196" i="16"/>
  <c r="S197" i="16"/>
  <c r="S198" i="16"/>
  <c r="S199" i="16"/>
  <c r="S200" i="16"/>
  <c r="S201" i="16"/>
  <c r="S202" i="16"/>
  <c r="S203" i="16"/>
  <c r="S204" i="16"/>
  <c r="S205" i="16"/>
  <c r="S206" i="16"/>
  <c r="S207" i="16"/>
  <c r="S208" i="16"/>
  <c r="S209" i="16"/>
  <c r="J147" i="16"/>
  <c r="J155" i="16"/>
  <c r="J163" i="16"/>
  <c r="J171" i="16"/>
  <c r="J179" i="16"/>
  <c r="J187" i="16"/>
  <c r="J195" i="16"/>
  <c r="J203" i="16"/>
  <c r="S11" i="16"/>
  <c r="J11" i="16"/>
  <c r="R12" i="16"/>
  <c r="R13" i="16"/>
  <c r="R14" i="16"/>
  <c r="R15" i="16"/>
  <c r="R16" i="16"/>
  <c r="R17" i="16"/>
  <c r="R18" i="16"/>
  <c r="R19" i="16"/>
  <c r="R20" i="16"/>
  <c r="R21" i="16"/>
  <c r="R22" i="16"/>
  <c r="R23" i="16"/>
  <c r="R24" i="16"/>
  <c r="R25" i="16"/>
  <c r="R26" i="16"/>
  <c r="R27" i="16"/>
  <c r="R28" i="16"/>
  <c r="R29" i="16"/>
  <c r="R30" i="16"/>
  <c r="R31" i="16"/>
  <c r="R32" i="16"/>
  <c r="R33" i="16"/>
  <c r="R34" i="16"/>
  <c r="R35" i="16"/>
  <c r="R36" i="16"/>
  <c r="R37" i="16"/>
  <c r="R38" i="16"/>
  <c r="R39" i="16"/>
  <c r="R40" i="16"/>
  <c r="R41" i="16"/>
  <c r="R42" i="16"/>
  <c r="R43" i="16"/>
  <c r="R44" i="16"/>
  <c r="R45" i="16"/>
  <c r="R46" i="16"/>
  <c r="R47" i="16"/>
  <c r="R48" i="16"/>
  <c r="R49" i="16"/>
  <c r="R50" i="16"/>
  <c r="R51" i="16"/>
  <c r="R52" i="16"/>
  <c r="R53" i="16"/>
  <c r="R54" i="16"/>
  <c r="R55" i="16"/>
  <c r="R56" i="16"/>
  <c r="R57" i="16"/>
  <c r="R58" i="16"/>
  <c r="R59" i="16"/>
  <c r="R60" i="16"/>
  <c r="R61" i="16"/>
  <c r="R62" i="16"/>
  <c r="R63" i="16"/>
  <c r="R64" i="16"/>
  <c r="R65" i="16"/>
  <c r="R66" i="16"/>
  <c r="R67" i="16"/>
  <c r="R68" i="16"/>
  <c r="R69" i="16"/>
  <c r="R70" i="16"/>
  <c r="R71" i="16"/>
  <c r="R72" i="16"/>
  <c r="R73" i="16"/>
  <c r="R74" i="16"/>
  <c r="R75" i="16"/>
  <c r="R76" i="16"/>
  <c r="R77" i="16"/>
  <c r="R78" i="16"/>
  <c r="R79" i="16"/>
  <c r="R80" i="16"/>
  <c r="R81" i="16"/>
  <c r="R82" i="16"/>
  <c r="R83" i="16"/>
  <c r="R84" i="16"/>
  <c r="R85" i="16"/>
  <c r="R86" i="16"/>
  <c r="R87" i="16"/>
  <c r="R88" i="16"/>
  <c r="R89" i="16"/>
  <c r="R90" i="16"/>
  <c r="R91" i="16"/>
  <c r="R92" i="16"/>
  <c r="R93" i="16"/>
  <c r="R94" i="16"/>
  <c r="R95" i="16"/>
  <c r="R96" i="16"/>
  <c r="R97" i="16"/>
  <c r="R98" i="16"/>
  <c r="R99" i="16"/>
  <c r="R100" i="16"/>
  <c r="R101" i="16"/>
  <c r="R102" i="16"/>
  <c r="R103" i="16"/>
  <c r="R104" i="16"/>
  <c r="R105" i="16"/>
  <c r="R106" i="16"/>
  <c r="R107" i="16"/>
  <c r="R108" i="16"/>
  <c r="R109" i="16"/>
  <c r="R110" i="16"/>
  <c r="R111" i="16"/>
  <c r="R112" i="16"/>
  <c r="R113" i="16"/>
  <c r="R114" i="16"/>
  <c r="R115" i="16"/>
  <c r="R116" i="16"/>
  <c r="R117" i="16"/>
  <c r="R118" i="16"/>
  <c r="R119" i="16"/>
  <c r="R120" i="16"/>
  <c r="R121" i="16"/>
  <c r="R122" i="16"/>
  <c r="R123" i="16"/>
  <c r="R124" i="16"/>
  <c r="R125" i="16"/>
  <c r="R126" i="16"/>
  <c r="R127" i="16"/>
  <c r="R128" i="16"/>
  <c r="R129" i="16"/>
  <c r="R130" i="16"/>
  <c r="R131" i="16"/>
  <c r="R132" i="16"/>
  <c r="R133" i="16"/>
  <c r="R134" i="16"/>
  <c r="R135" i="16"/>
  <c r="R136" i="16"/>
  <c r="R137" i="16"/>
  <c r="R138" i="16"/>
  <c r="R139" i="16"/>
  <c r="R140" i="16"/>
  <c r="R141" i="16"/>
  <c r="R142" i="16"/>
  <c r="R143" i="16"/>
  <c r="R144" i="16"/>
  <c r="R145" i="16"/>
  <c r="R146" i="16"/>
  <c r="R147" i="16"/>
  <c r="R148" i="16"/>
  <c r="R149" i="16"/>
  <c r="R150" i="16"/>
  <c r="R151" i="16"/>
  <c r="R152" i="16"/>
  <c r="R153" i="16"/>
  <c r="R154" i="16"/>
  <c r="R155" i="16"/>
  <c r="R156" i="16"/>
  <c r="R157" i="16"/>
  <c r="R158" i="16"/>
  <c r="R159" i="16"/>
  <c r="R160" i="16"/>
  <c r="R161" i="16"/>
  <c r="R162" i="16"/>
  <c r="R163" i="16"/>
  <c r="R164" i="16"/>
  <c r="R165" i="16"/>
  <c r="R166" i="16"/>
  <c r="R167" i="16"/>
  <c r="R168" i="16"/>
  <c r="R169" i="16"/>
  <c r="R170" i="16"/>
  <c r="R171" i="16"/>
  <c r="R172" i="16"/>
  <c r="R173" i="16"/>
  <c r="R174" i="16"/>
  <c r="R175" i="16"/>
  <c r="R176" i="16"/>
  <c r="R177" i="16"/>
  <c r="R178" i="16"/>
  <c r="R179" i="16"/>
  <c r="R180" i="16"/>
  <c r="R181" i="16"/>
  <c r="R182" i="16"/>
  <c r="R183" i="16"/>
  <c r="R184" i="16"/>
  <c r="R185" i="16"/>
  <c r="R186" i="16"/>
  <c r="R187" i="16"/>
  <c r="R188" i="16"/>
  <c r="R189" i="16"/>
  <c r="R190" i="16"/>
  <c r="R191" i="16"/>
  <c r="R192" i="16"/>
  <c r="R193" i="16"/>
  <c r="R194" i="16"/>
  <c r="R195" i="16"/>
  <c r="R196" i="16"/>
  <c r="R197" i="16"/>
  <c r="R198" i="16"/>
  <c r="R199" i="16"/>
  <c r="R200" i="16"/>
  <c r="R201" i="16"/>
  <c r="R202" i="16"/>
  <c r="R203" i="16"/>
  <c r="R204" i="16"/>
  <c r="R205" i="16"/>
  <c r="R206" i="16"/>
  <c r="R207" i="16"/>
  <c r="R208" i="16"/>
  <c r="R209" i="16"/>
  <c r="I12" i="16"/>
  <c r="I13" i="16"/>
  <c r="I14" i="16"/>
  <c r="I15" i="16"/>
  <c r="I16" i="16"/>
  <c r="I17" i="16"/>
  <c r="I18" i="16"/>
  <c r="I19" i="16"/>
  <c r="I20" i="16"/>
  <c r="I21" i="16"/>
  <c r="I22" i="16"/>
  <c r="I23" i="16"/>
  <c r="I24" i="16"/>
  <c r="I25" i="16"/>
  <c r="I26" i="16"/>
  <c r="I27" i="16"/>
  <c r="I28" i="16"/>
  <c r="I29" i="16"/>
  <c r="I30" i="16"/>
  <c r="I31" i="16"/>
  <c r="I32" i="16"/>
  <c r="I33" i="16"/>
  <c r="I34" i="16"/>
  <c r="I35" i="16"/>
  <c r="I36" i="16"/>
  <c r="I37" i="16"/>
  <c r="I38" i="16"/>
  <c r="I39" i="16"/>
  <c r="I40" i="16"/>
  <c r="I41" i="16"/>
  <c r="I42" i="16"/>
  <c r="I43" i="16"/>
  <c r="I44" i="16"/>
  <c r="I45" i="16"/>
  <c r="I46" i="16"/>
  <c r="I47" i="16"/>
  <c r="I48" i="16"/>
  <c r="I49" i="16"/>
  <c r="I50" i="16"/>
  <c r="I51" i="16"/>
  <c r="I52" i="16"/>
  <c r="I53" i="16"/>
  <c r="I54" i="16"/>
  <c r="I55" i="16"/>
  <c r="I56" i="16"/>
  <c r="I57" i="16"/>
  <c r="I58" i="16"/>
  <c r="I59" i="16"/>
  <c r="I60" i="16"/>
  <c r="I61" i="16"/>
  <c r="I62" i="16"/>
  <c r="I63" i="16"/>
  <c r="I64" i="16"/>
  <c r="I65" i="16"/>
  <c r="I66" i="16"/>
  <c r="I67" i="16"/>
  <c r="I68" i="16"/>
  <c r="I69" i="16"/>
  <c r="I70" i="16"/>
  <c r="I71" i="16"/>
  <c r="I72" i="16"/>
  <c r="I73" i="16"/>
  <c r="I74" i="16"/>
  <c r="I75" i="16"/>
  <c r="I76" i="16"/>
  <c r="I77" i="16"/>
  <c r="I78" i="16"/>
  <c r="I79" i="16"/>
  <c r="I80" i="16"/>
  <c r="I81" i="16"/>
  <c r="I82" i="16"/>
  <c r="I83" i="16"/>
  <c r="I84" i="16"/>
  <c r="I85" i="16"/>
  <c r="I86" i="16"/>
  <c r="I87" i="16"/>
  <c r="I88" i="16"/>
  <c r="I89" i="16"/>
  <c r="I90" i="16"/>
  <c r="I91" i="16"/>
  <c r="I92" i="16"/>
  <c r="I93" i="16"/>
  <c r="I94" i="16"/>
  <c r="I95" i="16"/>
  <c r="I96" i="16"/>
  <c r="I97" i="16"/>
  <c r="I98" i="16"/>
  <c r="I99" i="16"/>
  <c r="I100" i="16"/>
  <c r="I101" i="16"/>
  <c r="I102" i="16"/>
  <c r="I103" i="16"/>
  <c r="I104" i="16"/>
  <c r="I105" i="16"/>
  <c r="I106" i="16"/>
  <c r="I107" i="16"/>
  <c r="I108" i="16"/>
  <c r="I109" i="16"/>
  <c r="I110" i="16"/>
  <c r="I111" i="16"/>
  <c r="I112" i="16"/>
  <c r="I113" i="16"/>
  <c r="I114" i="16"/>
  <c r="I115" i="16"/>
  <c r="I116" i="16"/>
  <c r="I117" i="16"/>
  <c r="I118" i="16"/>
  <c r="I119" i="16"/>
  <c r="I120" i="16"/>
  <c r="I121" i="16"/>
  <c r="I122" i="16"/>
  <c r="I123" i="16"/>
  <c r="I124" i="16"/>
  <c r="I125" i="16"/>
  <c r="I126" i="16"/>
  <c r="I127" i="16"/>
  <c r="I128" i="16"/>
  <c r="I129" i="16"/>
  <c r="I130" i="16"/>
  <c r="I131" i="16"/>
  <c r="I132" i="16"/>
  <c r="I133" i="16"/>
  <c r="I134" i="16"/>
  <c r="I135" i="16"/>
  <c r="I136" i="16"/>
  <c r="I137" i="16"/>
  <c r="I138" i="16"/>
  <c r="I139" i="16"/>
  <c r="I140" i="16"/>
  <c r="I141" i="16"/>
  <c r="I142" i="16"/>
  <c r="I143" i="16"/>
  <c r="I144" i="16"/>
  <c r="I145" i="16"/>
  <c r="I146" i="16"/>
  <c r="I147" i="16"/>
  <c r="I148" i="16"/>
  <c r="I149" i="16"/>
  <c r="I150" i="16"/>
  <c r="I151" i="16"/>
  <c r="I152" i="16"/>
  <c r="I153" i="16"/>
  <c r="I154" i="16"/>
  <c r="I155" i="16"/>
  <c r="I156" i="16"/>
  <c r="I157" i="16"/>
  <c r="I158" i="16"/>
  <c r="I159" i="16"/>
  <c r="I160" i="16"/>
  <c r="I161" i="16"/>
  <c r="I162" i="16"/>
  <c r="I163" i="16"/>
  <c r="I164" i="16"/>
  <c r="I165" i="16"/>
  <c r="I166" i="16"/>
  <c r="I167" i="16"/>
  <c r="I168" i="16"/>
  <c r="I169" i="16"/>
  <c r="I170" i="16"/>
  <c r="I171" i="16"/>
  <c r="I172" i="16"/>
  <c r="I173" i="16"/>
  <c r="I174" i="16"/>
  <c r="I175" i="16"/>
  <c r="I176" i="16"/>
  <c r="I177" i="16"/>
  <c r="I178" i="16"/>
  <c r="I179" i="16"/>
  <c r="I180" i="16"/>
  <c r="I181" i="16"/>
  <c r="I182" i="16"/>
  <c r="I183" i="16"/>
  <c r="I184" i="16"/>
  <c r="I185" i="16"/>
  <c r="I186" i="16"/>
  <c r="I187" i="16"/>
  <c r="I188" i="16"/>
  <c r="I189" i="16"/>
  <c r="I190" i="16"/>
  <c r="I191" i="16"/>
  <c r="I192" i="16"/>
  <c r="I193" i="16"/>
  <c r="I194" i="16"/>
  <c r="I195" i="16"/>
  <c r="I196" i="16"/>
  <c r="I197" i="16"/>
  <c r="I198" i="16"/>
  <c r="I199" i="16"/>
  <c r="I200" i="16"/>
  <c r="I201" i="16"/>
  <c r="I202" i="16"/>
  <c r="I203" i="16"/>
  <c r="I204" i="16"/>
  <c r="I205" i="16"/>
  <c r="I206" i="16"/>
  <c r="I207" i="16"/>
  <c r="I208" i="16"/>
  <c r="I209" i="16"/>
  <c r="R11" i="16"/>
  <c r="I11" i="16"/>
  <c r="C210" i="16"/>
  <c r="E10" i="2"/>
  <c r="I10" i="2"/>
  <c r="I9" i="2"/>
  <c r="I8" i="2"/>
  <c r="E9" i="2"/>
  <c r="E8" i="2"/>
  <c r="S99" i="10"/>
  <c r="S8" i="10"/>
  <c r="S9" i="10"/>
  <c r="S10" i="10"/>
  <c r="S11" i="10"/>
  <c r="S12" i="10"/>
  <c r="S13" i="10"/>
  <c r="S14" i="10"/>
  <c r="S15" i="10"/>
  <c r="S16" i="10"/>
  <c r="S17" i="10"/>
  <c r="S18" i="10"/>
  <c r="S19" i="10"/>
  <c r="S20" i="10"/>
  <c r="S21" i="10"/>
  <c r="S22" i="10"/>
  <c r="S23" i="10"/>
  <c r="S24" i="10"/>
  <c r="S25" i="10"/>
  <c r="S26" i="10"/>
  <c r="S27" i="10"/>
  <c r="S28" i="10"/>
  <c r="S29" i="10"/>
  <c r="S30" i="10"/>
  <c r="S31" i="10"/>
  <c r="S32" i="10"/>
  <c r="S33" i="10"/>
  <c r="S34" i="10"/>
  <c r="S35" i="10"/>
  <c r="S36" i="10"/>
  <c r="S37" i="10"/>
  <c r="S38" i="10"/>
  <c r="S39" i="10"/>
  <c r="S40" i="10"/>
  <c r="S41" i="10"/>
  <c r="S42" i="10"/>
  <c r="S43" i="10"/>
  <c r="S44" i="10"/>
  <c r="S45" i="10"/>
  <c r="S46" i="10"/>
  <c r="S47" i="10"/>
  <c r="S48" i="10"/>
  <c r="S49" i="10"/>
  <c r="S50" i="10"/>
  <c r="S51" i="10"/>
  <c r="S52" i="10"/>
  <c r="S53" i="10"/>
  <c r="S54" i="10"/>
  <c r="S55" i="10"/>
  <c r="S56" i="10"/>
  <c r="S57" i="10"/>
  <c r="S58" i="10"/>
  <c r="S59" i="10"/>
  <c r="S60" i="10"/>
  <c r="S61" i="10"/>
  <c r="S62" i="10"/>
  <c r="S63" i="10"/>
  <c r="S64" i="10"/>
  <c r="S65" i="10"/>
  <c r="S66" i="10"/>
  <c r="S67" i="10"/>
  <c r="S68" i="10"/>
  <c r="S69" i="10"/>
  <c r="S70" i="10"/>
  <c r="S71" i="10"/>
  <c r="S72" i="10"/>
  <c r="S73" i="10"/>
  <c r="S74" i="10"/>
  <c r="S75" i="10"/>
  <c r="S76" i="10"/>
  <c r="S77" i="10"/>
  <c r="S78" i="10"/>
  <c r="S79" i="10"/>
  <c r="S80" i="10"/>
  <c r="S81" i="10"/>
  <c r="S82" i="10"/>
  <c r="S83" i="10"/>
  <c r="S84" i="10"/>
  <c r="S85" i="10"/>
  <c r="S86" i="10"/>
  <c r="S87" i="10"/>
  <c r="S88" i="10"/>
  <c r="S89" i="10"/>
  <c r="S90" i="10"/>
  <c r="S91" i="10"/>
  <c r="S92" i="10"/>
  <c r="S93" i="10"/>
  <c r="S94" i="10"/>
  <c r="S95" i="10"/>
  <c r="S96" i="10"/>
  <c r="S97" i="10"/>
  <c r="S98" i="10"/>
  <c r="S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M30" i="10"/>
  <c r="M31" i="10"/>
  <c r="M32" i="10"/>
  <c r="M33" i="10"/>
  <c r="M34" i="10"/>
  <c r="M35" i="10"/>
  <c r="M36" i="10"/>
  <c r="M37" i="10"/>
  <c r="M38" i="10"/>
  <c r="M39" i="10"/>
  <c r="M40" i="10"/>
  <c r="M41" i="10"/>
  <c r="M42" i="10"/>
  <c r="M43" i="10"/>
  <c r="M44" i="10"/>
  <c r="M45" i="10"/>
  <c r="M46" i="10"/>
  <c r="M47" i="10"/>
  <c r="M48" i="10"/>
  <c r="M49" i="10"/>
  <c r="M50" i="10"/>
  <c r="M51" i="10"/>
  <c r="M52" i="10"/>
  <c r="M53" i="10"/>
  <c r="M54" i="10"/>
  <c r="M55" i="10"/>
  <c r="M56" i="10"/>
  <c r="M57" i="10"/>
  <c r="M58" i="10"/>
  <c r="M59" i="10"/>
  <c r="M60" i="10"/>
  <c r="M61" i="10"/>
  <c r="M62" i="10"/>
  <c r="M63" i="10"/>
  <c r="M64" i="10"/>
  <c r="M65" i="10"/>
  <c r="M66" i="10"/>
  <c r="M67" i="10"/>
  <c r="M68" i="10"/>
  <c r="M69" i="10"/>
  <c r="M70" i="10"/>
  <c r="M71" i="10"/>
  <c r="M72" i="10"/>
  <c r="M73" i="10"/>
  <c r="M74" i="10"/>
  <c r="M75" i="10"/>
  <c r="M76" i="10"/>
  <c r="M77" i="10"/>
  <c r="M78" i="10"/>
  <c r="M79" i="10"/>
  <c r="M80" i="10"/>
  <c r="M81" i="10"/>
  <c r="M82" i="10"/>
  <c r="M83" i="10"/>
  <c r="M84" i="10"/>
  <c r="M85" i="10"/>
  <c r="M86" i="10"/>
  <c r="M87" i="10"/>
  <c r="M88" i="10"/>
  <c r="M89" i="10"/>
  <c r="M90" i="10"/>
  <c r="M91" i="10"/>
  <c r="M92" i="10"/>
  <c r="M93" i="10"/>
  <c r="M94" i="10"/>
  <c r="M7" i="10"/>
  <c r="Q99" i="10"/>
  <c r="O99" i="10"/>
  <c r="I99" i="10"/>
  <c r="L179" i="17"/>
  <c r="N179" i="17"/>
  <c r="E210" i="16"/>
  <c r="F179" i="17"/>
  <c r="D179" i="17"/>
  <c r="I10" i="11"/>
  <c r="I9" i="11"/>
  <c r="I11" i="11" s="1"/>
  <c r="P210" i="16"/>
  <c r="N210" i="16"/>
  <c r="L210" i="16"/>
  <c r="G210" i="16"/>
  <c r="E11" i="11"/>
  <c r="C11" i="11"/>
  <c r="U181" i="15"/>
  <c r="S181" i="15"/>
  <c r="M181" i="15"/>
  <c r="J181" i="15"/>
  <c r="G181" i="15"/>
  <c r="E181" i="15"/>
  <c r="S143" i="16" l="1"/>
  <c r="S135" i="16"/>
  <c r="S127" i="16"/>
  <c r="S119" i="16"/>
  <c r="S111" i="16"/>
  <c r="S103" i="16"/>
  <c r="S95" i="16"/>
  <c r="S87" i="16"/>
  <c r="S79" i="16"/>
  <c r="S71" i="16"/>
  <c r="S63" i="16"/>
  <c r="S55" i="16"/>
  <c r="S47" i="16"/>
  <c r="S39" i="16"/>
  <c r="S31" i="16"/>
  <c r="S23" i="16"/>
  <c r="S15" i="16"/>
  <c r="S141" i="16"/>
  <c r="S133" i="16"/>
  <c r="S125" i="16"/>
  <c r="S117" i="16"/>
  <c r="S109" i="16"/>
  <c r="S101" i="16"/>
  <c r="S93" i="16"/>
  <c r="S85" i="16"/>
  <c r="S77" i="16"/>
  <c r="S69" i="16"/>
  <c r="S61" i="16"/>
  <c r="S53" i="16"/>
  <c r="S45" i="16"/>
  <c r="S37" i="16"/>
  <c r="S29" i="16"/>
  <c r="S21" i="16"/>
  <c r="S13" i="16"/>
  <c r="S140" i="16"/>
  <c r="S132" i="16"/>
  <c r="S124" i="16"/>
  <c r="S116" i="16"/>
  <c r="S108" i="16"/>
  <c r="S100" i="16"/>
  <c r="S92" i="16"/>
  <c r="S84" i="16"/>
  <c r="S76" i="16"/>
  <c r="S68" i="16"/>
  <c r="S60" i="16"/>
  <c r="S52" i="16"/>
  <c r="S44" i="16"/>
  <c r="S36" i="16"/>
  <c r="S28" i="16"/>
  <c r="S20" i="16"/>
  <c r="S12" i="16"/>
  <c r="S139" i="16"/>
  <c r="S131" i="16"/>
  <c r="S123" i="16"/>
  <c r="S115" i="16"/>
  <c r="S107" i="16"/>
  <c r="S99" i="16"/>
  <c r="S91" i="16"/>
  <c r="S83" i="16"/>
  <c r="S75" i="16"/>
  <c r="S67" i="16"/>
  <c r="S59" i="16"/>
  <c r="S51" i="16"/>
  <c r="S43" i="16"/>
  <c r="S35" i="16"/>
  <c r="S27" i="16"/>
  <c r="S19" i="16"/>
  <c r="J202" i="16"/>
  <c r="J194" i="16"/>
  <c r="J186" i="16"/>
  <c r="J178" i="16"/>
  <c r="J170" i="16"/>
  <c r="J162" i="16"/>
  <c r="J154" i="16"/>
  <c r="J146" i="16"/>
  <c r="J138" i="16"/>
  <c r="J130" i="16"/>
  <c r="J122" i="16"/>
  <c r="J114" i="16"/>
  <c r="J106" i="16"/>
  <c r="J98" i="16"/>
  <c r="J90" i="16"/>
  <c r="J82" i="16"/>
  <c r="J74" i="16"/>
  <c r="J66" i="16"/>
  <c r="J58" i="16"/>
  <c r="J50" i="16"/>
  <c r="J42" i="16"/>
  <c r="J34" i="16"/>
  <c r="J26" i="16"/>
  <c r="J18" i="16"/>
  <c r="J139" i="16"/>
  <c r="J123" i="16"/>
  <c r="J83" i="16"/>
  <c r="J67" i="16"/>
  <c r="J27" i="16"/>
  <c r="J209" i="16"/>
  <c r="J201" i="16"/>
  <c r="J193" i="16"/>
  <c r="J185" i="16"/>
  <c r="J177" i="16"/>
  <c r="J169" i="16"/>
  <c r="J161" i="16"/>
  <c r="J153" i="16"/>
  <c r="J145" i="16"/>
  <c r="J137" i="16"/>
  <c r="J129" i="16"/>
  <c r="J121" i="16"/>
  <c r="J113" i="16"/>
  <c r="J105" i="16"/>
  <c r="J97" i="16"/>
  <c r="J89" i="16"/>
  <c r="J81" i="16"/>
  <c r="J73" i="16"/>
  <c r="J65" i="16"/>
  <c r="J57" i="16"/>
  <c r="J49" i="16"/>
  <c r="J41" i="16"/>
  <c r="J33" i="16"/>
  <c r="J25" i="16"/>
  <c r="J17" i="16"/>
  <c r="J91" i="16"/>
  <c r="J43" i="16"/>
  <c r="C6" i="19"/>
  <c r="C9" i="19" s="1"/>
  <c r="J208" i="16"/>
  <c r="J200" i="16"/>
  <c r="J192" i="16"/>
  <c r="J184" i="16"/>
  <c r="J176" i="16"/>
  <c r="J168" i="16"/>
  <c r="J160" i="16"/>
  <c r="J152" i="16"/>
  <c r="J144" i="16"/>
  <c r="J136" i="16"/>
  <c r="J128" i="16"/>
  <c r="J120" i="16"/>
  <c r="J112" i="16"/>
  <c r="J104" i="16"/>
  <c r="J96" i="16"/>
  <c r="J88" i="16"/>
  <c r="J80" i="16"/>
  <c r="J72" i="16"/>
  <c r="J64" i="16"/>
  <c r="J56" i="16"/>
  <c r="J48" i="16"/>
  <c r="J40" i="16"/>
  <c r="J32" i="16"/>
  <c r="J24" i="16"/>
  <c r="J16" i="16"/>
  <c r="J207" i="16"/>
  <c r="J199" i="16"/>
  <c r="J191" i="16"/>
  <c r="J183" i="16"/>
  <c r="J175" i="16"/>
  <c r="J167" i="16"/>
  <c r="J159" i="16"/>
  <c r="J151" i="16"/>
  <c r="J143" i="16"/>
  <c r="J135" i="16"/>
  <c r="J127" i="16"/>
  <c r="J119" i="16"/>
  <c r="J111" i="16"/>
  <c r="J103" i="16"/>
  <c r="J95" i="16"/>
  <c r="J87" i="16"/>
  <c r="J79" i="16"/>
  <c r="J71" i="16"/>
  <c r="J63" i="16"/>
  <c r="J55" i="16"/>
  <c r="J47" i="16"/>
  <c r="J39" i="16"/>
  <c r="J31" i="16"/>
  <c r="J23" i="16"/>
  <c r="J15" i="16"/>
  <c r="J107" i="16"/>
  <c r="J35" i="16"/>
  <c r="J206" i="16"/>
  <c r="J198" i="16"/>
  <c r="J190" i="16"/>
  <c r="J182" i="16"/>
  <c r="J174" i="16"/>
  <c r="J166" i="16"/>
  <c r="J158" i="16"/>
  <c r="J150" i="16"/>
  <c r="J142" i="16"/>
  <c r="J134" i="16"/>
  <c r="J126" i="16"/>
  <c r="J118" i="16"/>
  <c r="J110" i="16"/>
  <c r="J102" i="16"/>
  <c r="J94" i="16"/>
  <c r="J86" i="16"/>
  <c r="J78" i="16"/>
  <c r="J70" i="16"/>
  <c r="J62" i="16"/>
  <c r="J54" i="16"/>
  <c r="J46" i="16"/>
  <c r="J38" i="16"/>
  <c r="J30" i="16"/>
  <c r="J22" i="16"/>
  <c r="J14" i="16"/>
  <c r="J131" i="16"/>
  <c r="J115" i="16"/>
  <c r="J75" i="16"/>
  <c r="J59" i="16"/>
  <c r="J19" i="16"/>
  <c r="J205" i="16"/>
  <c r="J197" i="16"/>
  <c r="J189" i="16"/>
  <c r="J181" i="16"/>
  <c r="J173" i="16"/>
  <c r="J165" i="16"/>
  <c r="J157" i="16"/>
  <c r="J149" i="16"/>
  <c r="J141" i="16"/>
  <c r="J133" i="16"/>
  <c r="J125" i="16"/>
  <c r="J117" i="16"/>
  <c r="J109" i="16"/>
  <c r="J101" i="16"/>
  <c r="J93" i="16"/>
  <c r="J85" i="16"/>
  <c r="J77" i="16"/>
  <c r="J69" i="16"/>
  <c r="J61" i="16"/>
  <c r="J53" i="16"/>
  <c r="J45" i="16"/>
  <c r="J37" i="16"/>
  <c r="J29" i="16"/>
  <c r="J21" i="16"/>
  <c r="J13" i="16"/>
  <c r="J99" i="16"/>
  <c r="J51" i="16"/>
  <c r="J204" i="16"/>
  <c r="J196" i="16"/>
  <c r="J188" i="16"/>
  <c r="J180" i="16"/>
  <c r="J172" i="16"/>
  <c r="J164" i="16"/>
  <c r="J156" i="16"/>
  <c r="J148" i="16"/>
  <c r="J140" i="16"/>
  <c r="J132" i="16"/>
  <c r="J124" i="16"/>
  <c r="J116" i="16"/>
  <c r="J108" i="16"/>
  <c r="J100" i="16"/>
  <c r="J92" i="16"/>
  <c r="J84" i="16"/>
  <c r="J76" i="16"/>
  <c r="J68" i="16"/>
  <c r="J60" i="16"/>
  <c r="J52" i="16"/>
  <c r="J44" i="16"/>
  <c r="J36" i="16"/>
  <c r="J28" i="16"/>
  <c r="J20" i="16"/>
  <c r="M99" i="10"/>
  <c r="S210" i="16"/>
  <c r="P179" i="17"/>
  <c r="H179" i="17"/>
  <c r="E8" i="19" l="1"/>
  <c r="E7" i="19"/>
  <c r="E9" i="19" s="1"/>
  <c r="E6" i="19"/>
  <c r="J210" i="16"/>
</calcChain>
</file>

<file path=xl/sharedStrings.xml><?xml version="1.0" encoding="utf-8"?>
<sst xmlns="http://schemas.openxmlformats.org/spreadsheetml/2006/main" count="1033" uniqueCount="327">
  <si>
    <t>صندوق سرمایه گذاری شاخصی هم وزن همسنگ مفید</t>
  </si>
  <si>
    <t>صورت وضعیت درآمدها</t>
  </si>
  <si>
    <t>برای ماه منتهی به ۱۴۰۵/۰۶/۳۱</t>
  </si>
  <si>
    <t>تعداد اوراق</t>
  </si>
  <si>
    <t xml:space="preserve">صورت وضعیت درآمدها </t>
  </si>
  <si>
    <t>۴-۲- درآمد حاصل از سرمایه گذاری در سپرده بانکی و گواهی سپرده</t>
  </si>
  <si>
    <t>نام سپرده بانکی</t>
  </si>
  <si>
    <t xml:space="preserve"> طی  شهریور ماه </t>
  </si>
  <si>
    <t>از ابتدای سال مالی تا پایان شهریور ماه</t>
  </si>
  <si>
    <t>نام سپرده</t>
  </si>
  <si>
    <t>سود سپرده بانکی و گواهی سپرده</t>
  </si>
  <si>
    <t>درصد سود به میانگین سپرده</t>
  </si>
  <si>
    <t xml:space="preserve">  بانک خاورمیانه-آفریقا </t>
  </si>
  <si>
    <t xml:space="preserve">  بانک ملت-مستقل مرکزی </t>
  </si>
  <si>
    <t>جمع</t>
  </si>
  <si>
    <t>صورت وضعیت پرتفوی</t>
  </si>
  <si>
    <t>سود سپرده بانکی</t>
  </si>
  <si>
    <t>شرح</t>
  </si>
  <si>
    <t>درآمد سود</t>
  </si>
  <si>
    <t>هزینه تنزیل</t>
  </si>
  <si>
    <t>خالص درآمد</t>
  </si>
  <si>
    <t>درآمد تغییر ارزش</t>
  </si>
  <si>
    <t>درآمد فروش</t>
  </si>
  <si>
    <t/>
  </si>
  <si>
    <t>مبلغ</t>
  </si>
  <si>
    <t>درصد از کل درآمد ها</t>
  </si>
  <si>
    <t>۵-۲- سایر درآمدها</t>
  </si>
  <si>
    <t>سایر درآمدها</t>
  </si>
  <si>
    <t>سایر درآمدهای تنزیل سود سهام</t>
  </si>
  <si>
    <t>۱۴۰۵/۰۶/۰۱</t>
  </si>
  <si>
    <t>۱۴۰۵/۰۶/۳۱</t>
  </si>
  <si>
    <t>نام سهام</t>
  </si>
  <si>
    <t>قیمت اعمال</t>
  </si>
  <si>
    <t>تاریخ اعمال</t>
  </si>
  <si>
    <t>نوع اختیار</t>
  </si>
  <si>
    <t>نوع موقعیت</t>
  </si>
  <si>
    <t>استراتژی ماخوذه</t>
  </si>
  <si>
    <t>طستا70601</t>
  </si>
  <si>
    <t>اختیار فروش</t>
  </si>
  <si>
    <t>بلند</t>
  </si>
  <si>
    <t>پوشش ریسک</t>
  </si>
  <si>
    <t>1405/07/15</t>
  </si>
  <si>
    <t>درآمد سود سهام</t>
  </si>
  <si>
    <t>اطلاعات مجمع</t>
  </si>
  <si>
    <t>تاریخ تشکیل مجمع</t>
  </si>
  <si>
    <t>تعداد سهام متعلقه در زمان مجمع</t>
  </si>
  <si>
    <t>سود متعلق به هر سهم</t>
  </si>
  <si>
    <t>جمع درآمد سود سهام</t>
  </si>
  <si>
    <t>خالص درآمد سود سهام</t>
  </si>
  <si>
    <t>فرآورده‌های‌نسوزآذر</t>
  </si>
  <si>
    <t>1405/03/02</t>
  </si>
  <si>
    <t>پرداخت الکترونیک پاسارگاد</t>
  </si>
  <si>
    <t>1405/03/04</t>
  </si>
  <si>
    <t>بیمه پارسیان</t>
  </si>
  <si>
    <t>1405/03/05</t>
  </si>
  <si>
    <t>فولاد امیرکبیرکاشان</t>
  </si>
  <si>
    <t>تامین سرمایه نوین</t>
  </si>
  <si>
    <t>1405/03/09</t>
  </si>
  <si>
    <t>بورس کالای ایران</t>
  </si>
  <si>
    <t>1405/03/12</t>
  </si>
  <si>
    <t>کاشی‌ پارس‌</t>
  </si>
  <si>
    <t>1405/03/13</t>
  </si>
  <si>
    <t>ایران یاساتایرورابر</t>
  </si>
  <si>
    <t>دوده‌ صنعتی‌ پارس‌</t>
  </si>
  <si>
    <t>1405/03/16</t>
  </si>
  <si>
    <t>سیمان فارس نو</t>
  </si>
  <si>
    <t>1405/03/18</t>
  </si>
  <si>
    <t>سیمان‌ارومیه‌</t>
  </si>
  <si>
    <t>1405/03/21</t>
  </si>
  <si>
    <t>سیمان‌ بهبهان‌</t>
  </si>
  <si>
    <t>1405/03/24</t>
  </si>
  <si>
    <t xml:space="preserve">سرمایه گذاری بوعلی </t>
  </si>
  <si>
    <t>سیمان آبیک</t>
  </si>
  <si>
    <t>1405/03/26</t>
  </si>
  <si>
    <t>سپید ماکیان</t>
  </si>
  <si>
    <t>1405/03/28</t>
  </si>
  <si>
    <t>بیمه  ما</t>
  </si>
  <si>
    <t>1405/03/27</t>
  </si>
  <si>
    <t>پتروشیمی شیراز</t>
  </si>
  <si>
    <t>ریخته‌گری‌ تراکتورسازی‌ ایران‌</t>
  </si>
  <si>
    <t>لیزینگ کارآفرین</t>
  </si>
  <si>
    <t>توسعه معدنی و صنعتی صبانور</t>
  </si>
  <si>
    <t>موتورسازان‌تراکتورسازی‌ایران‌</t>
  </si>
  <si>
    <t>غلتک سازان سپاهان</t>
  </si>
  <si>
    <t>1405/03/30</t>
  </si>
  <si>
    <t>سیمان‌هگمتان‌</t>
  </si>
  <si>
    <t>1405/03/31</t>
  </si>
  <si>
    <t>سرمایه‌ گذاری‌ آتیه‌ دماوند</t>
  </si>
  <si>
    <t>سرمایه‌گذاری‌توکافولاد(هلدینگ</t>
  </si>
  <si>
    <t>داروسازی زاگرس فارمد پارس</t>
  </si>
  <si>
    <t>1405/04/01</t>
  </si>
  <si>
    <t>داروسازی‌ اکسیر</t>
  </si>
  <si>
    <t>1405/04/07</t>
  </si>
  <si>
    <t>الکتریک‌ خودرو شرق‌</t>
  </si>
  <si>
    <t xml:space="preserve">سرمایه  گذاری  البرز(هلدینگ </t>
  </si>
  <si>
    <t>1405/04/08</t>
  </si>
  <si>
    <t>فروشگاههای زنجیره ای افق کوروش</t>
  </si>
  <si>
    <t>1405/04/10</t>
  </si>
  <si>
    <t>حفاری شمال</t>
  </si>
  <si>
    <t>سیمرغ</t>
  </si>
  <si>
    <t>1405/04/12</t>
  </si>
  <si>
    <t>گروه‌ صنعتی‌ بارز</t>
  </si>
  <si>
    <t>1405/04/11</t>
  </si>
  <si>
    <t>باما</t>
  </si>
  <si>
    <t>1405/04/13</t>
  </si>
  <si>
    <t>صنایع پتروشیمی کرمانشاه</t>
  </si>
  <si>
    <t>1405/04/17</t>
  </si>
  <si>
    <t>تراکتورسازی‌ایران‌</t>
  </si>
  <si>
    <t>پالایش نفت شیراز</t>
  </si>
  <si>
    <t>1405/04/20</t>
  </si>
  <si>
    <t xml:space="preserve">توسعه معادن وفلزات </t>
  </si>
  <si>
    <t>سیمان اردستان</t>
  </si>
  <si>
    <t>1405/04/21</t>
  </si>
  <si>
    <t>کربن‌ ایران‌</t>
  </si>
  <si>
    <t>دارویی‌ لقمان‌</t>
  </si>
  <si>
    <t>صنعتی‌ آما</t>
  </si>
  <si>
    <t>پالایش نفت تبریز</t>
  </si>
  <si>
    <t>1405/04/22</t>
  </si>
  <si>
    <t>ایران‌ ترانسفو</t>
  </si>
  <si>
    <t>رادیاتور ایران‌</t>
  </si>
  <si>
    <t>نوردوقطعات‌ فولادی‌</t>
  </si>
  <si>
    <t>فنرسازی زر</t>
  </si>
  <si>
    <t>1405/04/23</t>
  </si>
  <si>
    <t>پتروشیمی پارس</t>
  </si>
  <si>
    <t>1405/04/25</t>
  </si>
  <si>
    <t>لیزینگ رایان  سایپا</t>
  </si>
  <si>
    <t>1405/04/24</t>
  </si>
  <si>
    <t>تولیدی چدن سازان</t>
  </si>
  <si>
    <t>پتروشیمی شازند</t>
  </si>
  <si>
    <t>مبین انرژی خلیج فارس</t>
  </si>
  <si>
    <t>1405/04/28</t>
  </si>
  <si>
    <t>سالمین‌</t>
  </si>
  <si>
    <t>1405/04/27</t>
  </si>
  <si>
    <t>نیروترانس‌</t>
  </si>
  <si>
    <t>زامیاد</t>
  </si>
  <si>
    <t>بیمه آسیا</t>
  </si>
  <si>
    <t>1405/04/29</t>
  </si>
  <si>
    <t>سرمایه‌گذاری‌ سایپا</t>
  </si>
  <si>
    <t xml:space="preserve">ذغال سنگ  نگین  ط بس </t>
  </si>
  <si>
    <t>ایران‌ تایر</t>
  </si>
  <si>
    <t>سرما آفرین‌</t>
  </si>
  <si>
    <t>گروه‌صنعتی‌سپاهان‌</t>
  </si>
  <si>
    <t>مس‌ شهیدباهنر</t>
  </si>
  <si>
    <t>1405/04/30</t>
  </si>
  <si>
    <t>تولیدی فولاد سپید فراب کویر</t>
  </si>
  <si>
    <t>پارس  خزر</t>
  </si>
  <si>
    <t>داروسازی‌ فارابی‌</t>
  </si>
  <si>
    <t>آلومینیوم‌ایران‌</t>
  </si>
  <si>
    <t>سرمایه‌گذاری‌صندوق‌بازنشستگی‌</t>
  </si>
  <si>
    <t>1405/04/31</t>
  </si>
  <si>
    <t>دانش بنیان پویا نیرو</t>
  </si>
  <si>
    <t>1405/05/01</t>
  </si>
  <si>
    <t>صنعتی زر ماکارون</t>
  </si>
  <si>
    <t>گ.س.وت.ص.پتروشیمی خلیج فارس</t>
  </si>
  <si>
    <t>فجر انرژی خلیج فارس</t>
  </si>
  <si>
    <t>بیمه البرز</t>
  </si>
  <si>
    <t>کاشی‌ الوند</t>
  </si>
  <si>
    <t>قنداصفهان‌</t>
  </si>
  <si>
    <t>کاشی‌ وسرامیک‌ حافظ‌</t>
  </si>
  <si>
    <t>سرمایه گذاری گروه توسعه ملی</t>
  </si>
  <si>
    <t>گروه‌بهمن‌</t>
  </si>
  <si>
    <t xml:space="preserve">سازه  پویش </t>
  </si>
  <si>
    <t>بانک سینا</t>
  </si>
  <si>
    <t>گروه‌صنعتی‌بوتان‌</t>
  </si>
  <si>
    <t>بانک ملت</t>
  </si>
  <si>
    <t>رینگ‌سازی‌مشهد</t>
  </si>
  <si>
    <t xml:space="preserve">کمباین  سازی  ایران </t>
  </si>
  <si>
    <t>1405/05/03</t>
  </si>
  <si>
    <t>پالایش نفت تهران</t>
  </si>
  <si>
    <t>1405/05/06</t>
  </si>
  <si>
    <t>سیمان‌ تهران‌</t>
  </si>
  <si>
    <t>1405/05/11</t>
  </si>
  <si>
    <t>سرمایه‌ گذاری‌ پارس‌ توشه‌</t>
  </si>
  <si>
    <t>1405/05/13</t>
  </si>
  <si>
    <t>انتقال داده های آسیاتک</t>
  </si>
  <si>
    <t>1405/05/28</t>
  </si>
  <si>
    <t xml:space="preserve">بهنوش  ایران </t>
  </si>
  <si>
    <t>1405/06/01</t>
  </si>
  <si>
    <t>شیشه‌ و گاز</t>
  </si>
  <si>
    <t>1405/06/03</t>
  </si>
  <si>
    <t>سرمایه گذاری دارویی تامین</t>
  </si>
  <si>
    <t>1405/06/17</t>
  </si>
  <si>
    <t>گروه مپنا (سهامی عام)</t>
  </si>
  <si>
    <t>1405/06/29</t>
  </si>
  <si>
    <t>گروه مالی صبا تامین</t>
  </si>
  <si>
    <t>1405/06/31</t>
  </si>
  <si>
    <t>جمع کل</t>
  </si>
  <si>
    <t>۴-۱- سرمایه گذاری در سپرده بانکی</t>
  </si>
  <si>
    <t>تغییرات طی دوره</t>
  </si>
  <si>
    <t>سپرده های بانکی</t>
  </si>
  <si>
    <t>افزایش</t>
  </si>
  <si>
    <t>کاهش</t>
  </si>
  <si>
    <t>درصد به کل داراییها</t>
  </si>
  <si>
    <t>تعداد</t>
  </si>
  <si>
    <t>بهای تمام شده</t>
  </si>
  <si>
    <t>خالص ارزش فروش</t>
  </si>
  <si>
    <t>درصد به کل  داراییها</t>
  </si>
  <si>
    <t>مبلغ فروش</t>
  </si>
  <si>
    <t>خرید طی دوره</t>
  </si>
  <si>
    <t>فروش طی دوره</t>
  </si>
  <si>
    <t>۱- سرمایه گذاری ها</t>
  </si>
  <si>
    <t>۱-۱- سرمایه گذاری در سهام و حق تقدم سهام</t>
  </si>
  <si>
    <t>شرکت</t>
  </si>
  <si>
    <t>قیمت بازار هر سهم</t>
  </si>
  <si>
    <t>شمش طلا</t>
  </si>
  <si>
    <t>شمش نقره</t>
  </si>
  <si>
    <t>سرمایه گذاری پردیس</t>
  </si>
  <si>
    <t>بهساز کاشانه تهران</t>
  </si>
  <si>
    <t xml:space="preserve">بین  المللی  محصولات   پارس </t>
  </si>
  <si>
    <t>پتروشیمی بوعلی سینا</t>
  </si>
  <si>
    <t xml:space="preserve">بانک پارسیان </t>
  </si>
  <si>
    <t>پست بانک ایران</t>
  </si>
  <si>
    <t>کشت‌ و صنعت‌ چین‌ چین</t>
  </si>
  <si>
    <t>معدنی وصنعتی چادرملو</t>
  </si>
  <si>
    <t>البرزدارو</t>
  </si>
  <si>
    <t>داروسازی‌ جابرابن‌حیان‌</t>
  </si>
  <si>
    <t>دشت‌ مرغاب‌</t>
  </si>
  <si>
    <t>سبحان دارو</t>
  </si>
  <si>
    <t>داروسازی‌زهراوی‌</t>
  </si>
  <si>
    <t>تجارت الکترونیک  پارسیان</t>
  </si>
  <si>
    <t>فولاد خراسان</t>
  </si>
  <si>
    <t>فولاد  خوزستان</t>
  </si>
  <si>
    <t xml:space="preserve">گروه صنایع بهشهرایران </t>
  </si>
  <si>
    <t>سرمایه‌گذاری‌غدیر(هلدینگ‌</t>
  </si>
  <si>
    <t>شهد</t>
  </si>
  <si>
    <t xml:space="preserve">قند لرستان </t>
  </si>
  <si>
    <t>گروه مالی شهر</t>
  </si>
  <si>
    <t>قند  نیشابور</t>
  </si>
  <si>
    <t>معدنی و صنعتی گل گهر</t>
  </si>
  <si>
    <t>فرآورده های غدایی وقندپیرانشهر</t>
  </si>
  <si>
    <t>قند ثابت‌ خراسان‌</t>
  </si>
  <si>
    <t>گلتاش‌</t>
  </si>
  <si>
    <t>نساجی هدیه البرز مشهد</t>
  </si>
  <si>
    <t>حمل ونقل توکا</t>
  </si>
  <si>
    <t>ایران‌ خودرو</t>
  </si>
  <si>
    <t>کابل  البرز</t>
  </si>
  <si>
    <t>گروه صنایع کاغذ پارس</t>
  </si>
  <si>
    <t>سیمان خوزستان</t>
  </si>
  <si>
    <t>سرمایه گذاری کشاورزی کوثر</t>
  </si>
  <si>
    <t>تامین سرمایه کاردان</t>
  </si>
  <si>
    <t xml:space="preserve">کارتن  ایران </t>
  </si>
  <si>
    <t>کالسیمین‌</t>
  </si>
  <si>
    <t xml:space="preserve">صنایع کاغذسازی کاوه </t>
  </si>
  <si>
    <t>فولاد کاوه جنوب کیش</t>
  </si>
  <si>
    <t>کویر تایر</t>
  </si>
  <si>
    <t>ص. معدنی کیمیای زنجان گستران</t>
  </si>
  <si>
    <t>لبنیات‌ پاک‌</t>
  </si>
  <si>
    <t>لیزینگ پارسیان</t>
  </si>
  <si>
    <t>لیزینگ‌صنعت‌ومعدن‌</t>
  </si>
  <si>
    <t>تامین سرمایه لوتوس پارسیان</t>
  </si>
  <si>
    <t xml:space="preserve">ماشین  سازی  اراک </t>
  </si>
  <si>
    <t xml:space="preserve">موتوژن </t>
  </si>
  <si>
    <t>سرمایه‌گذاری‌ مسکن‌</t>
  </si>
  <si>
    <t xml:space="preserve">ملی  صنایع  مس  ایران </t>
  </si>
  <si>
    <t xml:space="preserve">سرمایه گذاری  ملی ایران </t>
  </si>
  <si>
    <t>افست‌</t>
  </si>
  <si>
    <t>گروه مدیریت سرمایه گذاری امید</t>
  </si>
  <si>
    <t>تامین سرمایه امید</t>
  </si>
  <si>
    <t xml:space="preserve">پاکسان </t>
  </si>
  <si>
    <t>گسترش نفت و گاز پارسیان</t>
  </si>
  <si>
    <t>پالایش نفت اصفهان</t>
  </si>
  <si>
    <t>به پرداخت ملت</t>
  </si>
  <si>
    <t>س. نفت و گاز و پتروشیمی تأمین</t>
  </si>
  <si>
    <t>توسعه‌ معادن‌ روی‌ ایران‌</t>
  </si>
  <si>
    <t>سرمایه گذاری صدرتامین</t>
  </si>
  <si>
    <t>سرمایه‌گذاری‌بهمن‌</t>
  </si>
  <si>
    <t>سیمان‌ بجنورد</t>
  </si>
  <si>
    <t xml:space="preserve">شیشه  همدان </t>
  </si>
  <si>
    <t>سرمایه گذاری سیمان تامین</t>
  </si>
  <si>
    <t>سیمان‌ خزر</t>
  </si>
  <si>
    <t>سیمان کردستان</t>
  </si>
  <si>
    <t>سیمان‌مازندران‌</t>
  </si>
  <si>
    <t>سرمایه گذاری توسعه صنعت وتجارت</t>
  </si>
  <si>
    <t>سرمایه‌گذاری‌ سپه‌</t>
  </si>
  <si>
    <t>شیرپاستوریزه‌پگاه‌خراسان‌</t>
  </si>
  <si>
    <t>شیرپاستوریزه‌پگاه‌اصفهان‌</t>
  </si>
  <si>
    <t>فولاد سیرجان ایرانیان</t>
  </si>
  <si>
    <t>سیمان‌سپاهان‌</t>
  </si>
  <si>
    <t>سرمایه گذاری تامین اجتماعی</t>
  </si>
  <si>
    <t xml:space="preserve">سرمایه گذاری توسعه ملی </t>
  </si>
  <si>
    <t>بین المللی توسعه ص. معادن غدیر</t>
  </si>
  <si>
    <t>تامین سرمایه بانک ملت</t>
  </si>
  <si>
    <t>توسعه و عمران امید</t>
  </si>
  <si>
    <t>لیزینگ اقتصاد نوین</t>
  </si>
  <si>
    <t>گ.مدیریت ارزش سرمایه ص ب کشوری</t>
  </si>
  <si>
    <t>سنگ آهن گهرزمین</t>
  </si>
  <si>
    <t>ح. کویر تایر</t>
  </si>
  <si>
    <t>ح. گروه مپنا (سهامی عام)</t>
  </si>
  <si>
    <t>ح . سرمایه‌گذاری‌ ملی‌ایران‌</t>
  </si>
  <si>
    <t>ح . پاکسان‌</t>
  </si>
  <si>
    <t xml:space="preserve">ح . سرمایه گذاری توسعه ملی </t>
  </si>
  <si>
    <t>۱-۲- درآمد حاصل از سرمایه گذاری در سهام و حق تقدم سهام</t>
  </si>
  <si>
    <t>سهام</t>
  </si>
  <si>
    <t>صنعت غذایی کورش</t>
  </si>
  <si>
    <t xml:space="preserve">شهد ایران  </t>
  </si>
  <si>
    <t>س. صنایع‌شیمیایی‌ایران</t>
  </si>
  <si>
    <t>کشاورزی‌ ودامپروی‌ مگسال‌</t>
  </si>
  <si>
    <t xml:space="preserve">بانک اقتصادنوین </t>
  </si>
  <si>
    <t>پگاه‌آذربایجان‌غربی‌</t>
  </si>
  <si>
    <t>ح . دشت‌ مرغاب‌</t>
  </si>
  <si>
    <t>سیمان‌شاهرود</t>
  </si>
  <si>
    <t>پتروشیمی جم پیلن</t>
  </si>
  <si>
    <t>ح . معدنی‌وصنعتی‌چادرملو</t>
  </si>
  <si>
    <t>معادن‌منگنزایران‌</t>
  </si>
  <si>
    <t>نورد آلومینیوم‌</t>
  </si>
  <si>
    <t>ح . تامین سرمایه لوتوس پارسیان</t>
  </si>
  <si>
    <t>آلومینای ایران</t>
  </si>
  <si>
    <t xml:space="preserve">صنایع  شیمیایی  فارس </t>
  </si>
  <si>
    <t>کارت اعتباری ایران کیش</t>
  </si>
  <si>
    <t>ح . توسعه‌معادن‌وفلزات‌</t>
  </si>
  <si>
    <t>ح . معدنی و صنعتی گل گهر</t>
  </si>
  <si>
    <t>توسعه معادن روی ایران</t>
  </si>
  <si>
    <t>اختیارخ شپنا-14000-1405/06/18</t>
  </si>
  <si>
    <t>درآمد ناشی از تغییر قیمت اوراق بهادار</t>
  </si>
  <si>
    <t>خالص بهای فروش</t>
  </si>
  <si>
    <t>ارزش دفتری</t>
  </si>
  <si>
    <t>سود و زیان ناشی از تغییر قیمت</t>
  </si>
  <si>
    <t>اختیارف شستا-2800-1405/07/15</t>
  </si>
  <si>
    <t>سود(زیان) حاصل از فروش اوراق بهادار</t>
  </si>
  <si>
    <t>سود و زیان ناشی از فروش</t>
  </si>
  <si>
    <t>۲- درآمد حاصل از سرمایه گذاری ها</t>
  </si>
  <si>
    <t>درصد از کل درآمدها</t>
  </si>
  <si>
    <t>درصد از کل دارایی ها</t>
  </si>
  <si>
    <t>درآمد حاصل از سرمایه گذاری در سهام و حق تقدم سهام</t>
  </si>
  <si>
    <t>درآمد حاصل از سرمایه گذاری در سپرده بانکی و گواهی سپرده</t>
  </si>
  <si>
    <t>طی شهریور ماه</t>
  </si>
  <si>
    <t xml:space="preserve"> اطلاعات آماری مرتبط با موقعیت های اخذ شده در اوراق اختیار معامله توسط صندوق سرمایه گذاری شاخصی هم وزن همسنگ مفید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</si>
</sst>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_-;\(#,##0\)"/>
    <numFmt numFmtId="165" formatCode="#,##0.0000_-;\(#,##0.0000\)"/>
  </numFmts>
  <fonts count="14" x14ac:knownFonts="1">
    <font>
      <sz val="11"/>
      <color indexed="8"/>
      <name val="Arial"/>
      <family val="2"/>
      <scheme val="minor"/>
    </font>
    <font>
      <sz val="11"/>
      <color indexed="8"/>
      <name val="Arial"/>
      <family val="2"/>
      <scheme val="minor"/>
    </font>
    <font>
      <sz val="11"/>
      <color indexed="8"/>
      <name val="B Nazanin"/>
      <charset val="178"/>
    </font>
    <font>
      <b/>
      <sz val="12"/>
      <color indexed="8"/>
      <name val="B Nazanin"/>
      <charset val="178"/>
    </font>
    <font>
      <b/>
      <sz val="12"/>
      <color indexed="48"/>
      <name val="B Nazanin"/>
      <charset val="178"/>
    </font>
    <font>
      <sz val="10"/>
      <color indexed="8"/>
      <name val="B Nazanin"/>
      <charset val="178"/>
    </font>
    <font>
      <b/>
      <sz val="11"/>
      <color indexed="8"/>
      <name val="B Nazanin"/>
      <charset val="178"/>
    </font>
    <font>
      <sz val="12"/>
      <color indexed="8"/>
      <name val="B Nazanin"/>
      <charset val="178"/>
    </font>
    <font>
      <b/>
      <sz val="14"/>
      <color indexed="8"/>
      <name val="B Nazanin"/>
      <charset val="178"/>
    </font>
    <font>
      <b/>
      <sz val="11"/>
      <color rgb="FF35383D"/>
      <name val="Arial"/>
      <family val="2"/>
      <scheme val="minor"/>
    </font>
    <font>
      <b/>
      <sz val="9"/>
      <color rgb="FF4B525C"/>
      <name val="Arial"/>
      <family val="2"/>
      <scheme val="minor"/>
    </font>
    <font>
      <b/>
      <sz val="12"/>
      <color rgb="FF35383D"/>
      <name val="Arial"/>
      <family val="2"/>
      <scheme val="minor"/>
    </font>
    <font>
      <b/>
      <sz val="16"/>
      <color indexed="48"/>
      <name val="B Nazanin"/>
      <charset val="178"/>
    </font>
    <font>
      <sz val="16"/>
      <color indexed="8"/>
      <name val="B Nazanin"/>
      <charset val="178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8">
    <border>
      <left/>
      <right/>
      <top/>
      <bottom/>
      <diagonal/>
    </border>
    <border>
      <left/>
      <right/>
      <top style="thick">
        <color indexed="8"/>
      </top>
      <bottom/>
      <diagonal/>
    </border>
    <border>
      <left/>
      <right/>
      <top/>
      <bottom style="thick">
        <color auto="1"/>
      </bottom>
      <diagonal/>
    </border>
    <border>
      <left/>
      <right/>
      <top style="thick">
        <color indexed="8"/>
      </top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/>
      <right/>
      <top style="thick">
        <color indexed="8"/>
      </top>
      <bottom style="double">
        <color indexed="8"/>
      </bottom>
      <diagonal/>
    </border>
    <border>
      <left/>
      <right/>
      <top/>
      <bottom style="double">
        <color indexed="8"/>
      </bottom>
      <diagonal/>
    </border>
    <border>
      <left/>
      <right/>
      <top style="thick">
        <color indexed="8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3">
    <xf numFmtId="0" fontId="0" fillId="0" borderId="0" xfId="0"/>
    <xf numFmtId="164" fontId="2" fillId="0" borderId="0" xfId="0" applyNumberFormat="1" applyFont="1" applyAlignment="1">
      <alignment vertical="center"/>
    </xf>
    <xf numFmtId="164" fontId="2" fillId="2" borderId="3" xfId="0" applyNumberFormat="1" applyFont="1" applyFill="1" applyBorder="1" applyAlignment="1">
      <alignment vertical="center"/>
    </xf>
    <xf numFmtId="164" fontId="2" fillId="0" borderId="0" xfId="0" applyNumberFormat="1" applyFont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164" fontId="3" fillId="2" borderId="4" xfId="0" applyNumberFormat="1" applyFont="1" applyFill="1" applyBorder="1" applyAlignment="1">
      <alignment horizontal="center" vertical="center" wrapText="1"/>
    </xf>
    <xf numFmtId="164" fontId="3" fillId="2" borderId="3" xfId="0" applyNumberFormat="1" applyFont="1" applyFill="1" applyBorder="1" applyAlignment="1">
      <alignment horizontal="center" vertical="center" wrapText="1"/>
    </xf>
    <xf numFmtId="164" fontId="2" fillId="2" borderId="4" xfId="0" applyNumberFormat="1" applyFont="1" applyFill="1" applyBorder="1" applyAlignment="1">
      <alignment vertical="center"/>
    </xf>
    <xf numFmtId="164" fontId="2" fillId="2" borderId="4" xfId="0" applyNumberFormat="1" applyFont="1" applyFill="1" applyBorder="1" applyAlignment="1">
      <alignment horizontal="center" vertical="center"/>
    </xf>
    <xf numFmtId="164" fontId="6" fillId="0" borderId="0" xfId="0" applyNumberFormat="1" applyFont="1" applyAlignment="1">
      <alignment vertical="center"/>
    </xf>
    <xf numFmtId="164" fontId="3" fillId="2" borderId="4" xfId="0" applyNumberFormat="1" applyFont="1" applyFill="1" applyBorder="1" applyAlignment="1">
      <alignment vertical="center" wrapText="1"/>
    </xf>
    <xf numFmtId="164" fontId="2" fillId="2" borderId="0" xfId="0" applyNumberFormat="1" applyFont="1" applyFill="1" applyBorder="1" applyAlignment="1">
      <alignment horizontal="center" vertical="center"/>
    </xf>
    <xf numFmtId="164" fontId="6" fillId="2" borderId="4" xfId="0" applyNumberFormat="1" applyFont="1" applyFill="1" applyBorder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164" fontId="3" fillId="0" borderId="0" xfId="0" applyNumberFormat="1" applyFont="1" applyAlignment="1">
      <alignment vertical="center"/>
    </xf>
    <xf numFmtId="164" fontId="3" fillId="2" borderId="6" xfId="0" applyNumberFormat="1" applyFont="1" applyFill="1" applyBorder="1" applyAlignment="1">
      <alignment horizontal="center" vertical="center"/>
    </xf>
    <xf numFmtId="164" fontId="3" fillId="2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Alignment="1">
      <alignment horizontal="center" vertical="center" wrapText="1"/>
    </xf>
    <xf numFmtId="0" fontId="2" fillId="2" borderId="4" xfId="0" applyNumberFormat="1" applyFont="1" applyFill="1" applyBorder="1" applyAlignment="1">
      <alignment horizontal="center" vertical="center" wrapText="1"/>
    </xf>
    <xf numFmtId="164" fontId="3" fillId="2" borderId="5" xfId="0" applyNumberFormat="1" applyFont="1" applyFill="1" applyBorder="1" applyAlignment="1">
      <alignment vertical="center"/>
    </xf>
    <xf numFmtId="164" fontId="3" fillId="2" borderId="5" xfId="0" applyNumberFormat="1" applyFont="1" applyFill="1" applyBorder="1" applyAlignment="1">
      <alignment horizontal="center" vertical="center"/>
    </xf>
    <xf numFmtId="164" fontId="6" fillId="0" borderId="2" xfId="0" applyNumberFormat="1" applyFont="1" applyBorder="1" applyAlignment="1">
      <alignment vertical="center"/>
    </xf>
    <xf numFmtId="164" fontId="7" fillId="0" borderId="0" xfId="0" applyNumberFormat="1" applyFont="1" applyAlignment="1">
      <alignment horizontal="center" vertical="center" wrapText="1"/>
    </xf>
    <xf numFmtId="164" fontId="7" fillId="0" borderId="0" xfId="0" applyNumberFormat="1" applyFont="1" applyAlignment="1">
      <alignment vertical="center"/>
    </xf>
    <xf numFmtId="164" fontId="7" fillId="0" borderId="0" xfId="0" applyNumberFormat="1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 wrapText="1"/>
    </xf>
    <xf numFmtId="164" fontId="8" fillId="0" borderId="0" xfId="0" applyNumberFormat="1" applyFont="1" applyAlignment="1">
      <alignment vertical="center"/>
    </xf>
    <xf numFmtId="164" fontId="8" fillId="2" borderId="5" xfId="0" applyNumberFormat="1" applyFont="1" applyFill="1" applyBorder="1" applyAlignment="1">
      <alignment horizontal="center" vertical="center"/>
    </xf>
    <xf numFmtId="164" fontId="6" fillId="2" borderId="7" xfId="0" applyNumberFormat="1" applyFont="1" applyFill="1" applyBorder="1" applyAlignment="1">
      <alignment horizontal="center" vertical="center" wrapText="1"/>
    </xf>
    <xf numFmtId="164" fontId="6" fillId="2" borderId="4" xfId="0" applyNumberFormat="1" applyFont="1" applyFill="1" applyBorder="1" applyAlignment="1">
      <alignment vertical="center"/>
    </xf>
    <xf numFmtId="3" fontId="0" fillId="0" borderId="0" xfId="0" applyNumberFormat="1" applyAlignment="1">
      <alignment vertical="center" wrapText="1"/>
    </xf>
    <xf numFmtId="164" fontId="2" fillId="0" borderId="0" xfId="0" applyNumberFormat="1" applyFont="1" applyFill="1" applyAlignment="1">
      <alignment horizontal="center" vertical="center" wrapText="1"/>
    </xf>
    <xf numFmtId="164" fontId="2" fillId="0" borderId="0" xfId="0" applyNumberFormat="1" applyFont="1" applyFill="1" applyAlignment="1">
      <alignment vertical="center"/>
    </xf>
    <xf numFmtId="164" fontId="2" fillId="0" borderId="0" xfId="0" applyNumberFormat="1" applyFont="1" applyFill="1" applyAlignment="1">
      <alignment horizontal="center" vertical="center"/>
    </xf>
    <xf numFmtId="9" fontId="2" fillId="0" borderId="0" xfId="1" applyFont="1" applyFill="1" applyAlignment="1">
      <alignment vertical="center"/>
    </xf>
    <xf numFmtId="164" fontId="3" fillId="2" borderId="3" xfId="0" applyNumberFormat="1" applyFont="1" applyFill="1" applyBorder="1" applyAlignment="1">
      <alignment vertical="center"/>
    </xf>
    <xf numFmtId="164" fontId="2" fillId="2" borderId="1" xfId="0" applyNumberFormat="1" applyFont="1" applyFill="1" applyBorder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/>
    </xf>
    <xf numFmtId="9" fontId="2" fillId="0" borderId="0" xfId="1" applyFont="1" applyAlignment="1">
      <alignment horizontal="center" vertical="center"/>
    </xf>
    <xf numFmtId="9" fontId="3" fillId="2" borderId="5" xfId="1" applyFont="1" applyFill="1" applyBorder="1" applyAlignment="1">
      <alignment horizontal="center" vertical="center"/>
    </xf>
    <xf numFmtId="9" fontId="2" fillId="0" borderId="0" xfId="1" applyNumberFormat="1" applyFont="1" applyAlignment="1">
      <alignment horizontal="center" vertical="center"/>
    </xf>
    <xf numFmtId="10" fontId="2" fillId="0" borderId="0" xfId="1" applyNumberFormat="1" applyFont="1" applyAlignment="1">
      <alignment horizontal="center" vertical="center" wrapText="1"/>
    </xf>
    <xf numFmtId="3" fontId="9" fillId="0" borderId="0" xfId="0" applyNumberFormat="1" applyFont="1"/>
    <xf numFmtId="3" fontId="10" fillId="0" borderId="0" xfId="0" applyNumberFormat="1" applyFont="1"/>
    <xf numFmtId="3" fontId="11" fillId="0" borderId="0" xfId="0" applyNumberFormat="1" applyFont="1"/>
    <xf numFmtId="9" fontId="8" fillId="2" borderId="5" xfId="1" applyFont="1" applyFill="1" applyBorder="1" applyAlignment="1">
      <alignment horizontal="center" vertical="center" wrapText="1"/>
    </xf>
    <xf numFmtId="9" fontId="8" fillId="0" borderId="0" xfId="1" applyFont="1" applyAlignment="1">
      <alignment vertical="center"/>
    </xf>
    <xf numFmtId="10" fontId="7" fillId="0" borderId="0" xfId="1" applyNumberFormat="1" applyFont="1" applyAlignment="1">
      <alignment horizontal="center" vertical="center" wrapText="1"/>
    </xf>
    <xf numFmtId="10" fontId="7" fillId="0" borderId="0" xfId="1" applyNumberFormat="1" applyFont="1" applyAlignment="1">
      <alignment vertical="center"/>
    </xf>
    <xf numFmtId="10" fontId="5" fillId="0" borderId="0" xfId="1" applyNumberFormat="1" applyFont="1" applyAlignment="1">
      <alignment horizontal="center" vertical="center" wrapText="1"/>
    </xf>
    <xf numFmtId="10" fontId="3" fillId="2" borderId="5" xfId="1" applyNumberFormat="1" applyFont="1" applyFill="1" applyBorder="1" applyAlignment="1">
      <alignment horizontal="center" vertical="center" wrapText="1"/>
    </xf>
    <xf numFmtId="10" fontId="3" fillId="2" borderId="6" xfId="1" applyNumberFormat="1" applyFont="1" applyFill="1" applyBorder="1" applyAlignment="1">
      <alignment horizontal="center" vertical="center"/>
    </xf>
    <xf numFmtId="10" fontId="2" fillId="2" borderId="4" xfId="1" applyNumberFormat="1" applyFont="1" applyFill="1" applyBorder="1" applyAlignment="1">
      <alignment horizontal="center" vertical="center"/>
    </xf>
    <xf numFmtId="165" fontId="2" fillId="0" borderId="0" xfId="0" applyNumberFormat="1" applyFont="1" applyAlignment="1">
      <alignment vertical="center"/>
    </xf>
    <xf numFmtId="10" fontId="2" fillId="0" borderId="0" xfId="1" applyNumberFormat="1" applyFont="1" applyFill="1" applyAlignment="1">
      <alignment horizontal="center" vertical="center" wrapText="1"/>
    </xf>
    <xf numFmtId="164" fontId="3" fillId="0" borderId="0" xfId="0" applyNumberFormat="1" applyFont="1" applyAlignment="1">
      <alignment vertical="center" wrapText="1"/>
    </xf>
    <xf numFmtId="164" fontId="4" fillId="0" borderId="0" xfId="0" applyNumberFormat="1" applyFont="1" applyAlignment="1">
      <alignment vertical="center" wrapText="1" readingOrder="2"/>
    </xf>
    <xf numFmtId="164" fontId="2" fillId="2" borderId="0" xfId="0" applyNumberFormat="1" applyFont="1" applyFill="1" applyBorder="1" applyAlignment="1">
      <alignment vertical="center"/>
    </xf>
    <xf numFmtId="164" fontId="2" fillId="0" borderId="0" xfId="0" applyNumberFormat="1" applyFont="1" applyBorder="1" applyAlignment="1">
      <alignment vertical="center"/>
    </xf>
    <xf numFmtId="164" fontId="2" fillId="0" borderId="0" xfId="0" applyNumberFormat="1" applyFont="1" applyBorder="1" applyAlignment="1">
      <alignment horizontal="center" vertical="center"/>
    </xf>
    <xf numFmtId="164" fontId="3" fillId="2" borderId="0" xfId="0" applyNumberFormat="1" applyFont="1" applyFill="1" applyBorder="1" applyAlignment="1">
      <alignment vertical="center" wrapText="1"/>
    </xf>
    <xf numFmtId="164" fontId="4" fillId="0" borderId="0" xfId="0" applyNumberFormat="1" applyFont="1" applyBorder="1" applyAlignment="1">
      <alignment vertical="center" wrapText="1" readingOrder="2"/>
    </xf>
    <xf numFmtId="164" fontId="13" fillId="0" borderId="0" xfId="0" applyNumberFormat="1" applyFont="1" applyAlignment="1">
      <alignment vertical="center"/>
    </xf>
    <xf numFmtId="164" fontId="6" fillId="0" borderId="0" xfId="0" applyNumberFormat="1" applyFont="1" applyAlignment="1">
      <alignment horizontal="center" vertical="center" wrapText="1"/>
    </xf>
    <xf numFmtId="164" fontId="6" fillId="2" borderId="4" xfId="0" applyNumberFormat="1" applyFont="1" applyFill="1" applyBorder="1" applyAlignment="1">
      <alignment horizontal="center" vertical="center" wrapText="1"/>
    </xf>
    <xf numFmtId="164" fontId="3" fillId="2" borderId="4" xfId="0" applyNumberFormat="1" applyFont="1" applyFill="1" applyBorder="1" applyAlignment="1">
      <alignment horizontal="center" vertical="center" wrapText="1"/>
    </xf>
    <xf numFmtId="164" fontId="2" fillId="2" borderId="4" xfId="0" applyNumberFormat="1" applyFont="1" applyFill="1" applyBorder="1" applyAlignment="1">
      <alignment vertical="center"/>
    </xf>
    <xf numFmtId="164" fontId="6" fillId="0" borderId="0" xfId="0" applyNumberFormat="1" applyFont="1" applyAlignment="1">
      <alignment vertical="center"/>
    </xf>
    <xf numFmtId="164" fontId="3" fillId="0" borderId="0" xfId="0" applyNumberFormat="1" applyFont="1" applyAlignment="1">
      <alignment horizontal="center" vertical="center" wrapText="1"/>
    </xf>
    <xf numFmtId="164" fontId="2" fillId="0" borderId="0" xfId="0" applyNumberFormat="1" applyFont="1" applyAlignment="1">
      <alignment vertical="center"/>
    </xf>
    <xf numFmtId="164" fontId="12" fillId="0" borderId="0" xfId="0" applyNumberFormat="1" applyFont="1" applyAlignment="1">
      <alignment horizontal="right" vertical="center" wrapText="1" readingOrder="2"/>
    </xf>
    <xf numFmtId="164" fontId="13" fillId="0" borderId="0" xfId="0" applyNumberFormat="1" applyFont="1" applyAlignment="1">
      <alignment vertical="center"/>
    </xf>
    <xf numFmtId="164" fontId="3" fillId="2" borderId="3" xfId="0" applyNumberFormat="1" applyFont="1" applyFill="1" applyBorder="1" applyAlignment="1">
      <alignment horizontal="center" vertical="center" wrapText="1"/>
    </xf>
    <xf numFmtId="164" fontId="3" fillId="2" borderId="0" xfId="0" applyNumberFormat="1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right" vertical="center" wrapText="1" readingOrder="2"/>
    </xf>
    <xf numFmtId="164" fontId="6" fillId="2" borderId="4" xfId="0" applyNumberFormat="1" applyFont="1" applyFill="1" applyBorder="1" applyAlignment="1">
      <alignment vertical="center"/>
    </xf>
    <xf numFmtId="164" fontId="6" fillId="0" borderId="1" xfId="0" applyNumberFormat="1" applyFont="1" applyBorder="1" applyAlignment="1">
      <alignment horizontal="center" vertical="center" wrapText="1"/>
    </xf>
    <xf numFmtId="164" fontId="6" fillId="0" borderId="4" xfId="0" applyNumberFormat="1" applyFont="1" applyBorder="1" applyAlignment="1">
      <alignment horizontal="center" vertical="center" wrapText="1"/>
    </xf>
    <xf numFmtId="164" fontId="2" fillId="2" borderId="3" xfId="0" applyNumberFormat="1" applyFont="1" applyFill="1" applyBorder="1" applyAlignment="1">
      <alignment vertical="center"/>
    </xf>
    <xf numFmtId="164" fontId="3" fillId="2" borderId="1" xfId="0" applyNumberFormat="1" applyFont="1" applyFill="1" applyBorder="1" applyAlignment="1">
      <alignment horizontal="center" vertical="center" wrapText="1"/>
    </xf>
    <xf numFmtId="164" fontId="3" fillId="0" borderId="0" xfId="0" applyNumberFormat="1" applyFont="1" applyAlignment="1">
      <alignment vertical="center"/>
    </xf>
    <xf numFmtId="164" fontId="3" fillId="2" borderId="4" xfId="0" applyNumberFormat="1" applyFont="1" applyFill="1" applyBorder="1" applyAlignment="1">
      <alignment vertical="center"/>
    </xf>
  </cellXfs>
  <cellStyles count="2">
    <cellStyle name="Normal" xfId="0" builtinId="0"/>
    <cellStyle name="Percent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35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134600" cy="6477000"/>
        </a:xfrm>
        <a:prstGeom prst="rect">
          <a:avLst/>
        </a:prstGeom>
      </xdr:spPr>
    </xdr:pic>
    <xdr:clientData/>
  </xdr:twoCellAnchor>
  <xdr:twoCellAnchor>
    <xdr:from>
      <xdr:col>13</xdr:col>
      <xdr:colOff>0</xdr:colOff>
      <xdr:row>24</xdr:row>
      <xdr:rowOff>0</xdr:rowOff>
    </xdr:from>
    <xdr:to>
      <xdr:col>17</xdr:col>
      <xdr:colOff>0</xdr:colOff>
      <xdr:row>24</xdr:row>
      <xdr:rowOff>0</xdr:rowOff>
    </xdr:to>
    <xdr:sp macro="" textlink="">
      <xdr:nvSpPr>
        <xdr:cNvPr id="3" name="Shap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  <xdr:txBody>
        <a:bodyPr rtlCol="0" anchor="ctr"/>
        <a:lstStyle/>
        <a:p>
          <a:pPr algn="ctr" rtl="1"/>
          <a:r>
            <a:rPr lang="en-US" sz="2800" b="1">
              <a:solidFill>
                <a:srgbClr val="000000"/>
              </a:solidFill>
              <a:latin typeface="Calibri"/>
              <a:cs typeface="Calibri"/>
            </a:rPr>
            <a:t> ۳۱ شهریور ۱۴۰۵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7"/>
  <sheetViews>
    <sheetView showGridLines="0" rightToLeft="1" tabSelected="1" topLeftCell="A4" workbookViewId="0">
      <selection activeCell="C47" sqref="C47"/>
    </sheetView>
  </sheetViews>
  <sheetFormatPr defaultRowHeight="18" x14ac:dyDescent="0.2"/>
  <cols>
    <col min="1" max="16384" width="9" style="1"/>
  </cols>
  <sheetData>
    <row r="47" spans="3:3" ht="18.75" x14ac:dyDescent="0.2">
      <c r="C47" s="24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88"/>
  <sheetViews>
    <sheetView rightToLeft="1" zoomScaleNormal="100" workbookViewId="0">
      <selection activeCell="A5" sqref="A5:W5"/>
    </sheetView>
  </sheetViews>
  <sheetFormatPr defaultRowHeight="18" x14ac:dyDescent="0.2"/>
  <cols>
    <col min="1" max="1" width="26.375" style="1" customWidth="1"/>
    <col min="2" max="2" width="0.5" style="1" customWidth="1"/>
    <col min="3" max="3" width="10.25" style="1" bestFit="1" customWidth="1"/>
    <col min="4" max="4" width="0.5" style="1" customWidth="1"/>
    <col min="5" max="5" width="19.375" style="1" bestFit="1" customWidth="1"/>
    <col min="6" max="6" width="0.5" style="1" customWidth="1"/>
    <col min="7" max="7" width="18.375" style="1" bestFit="1" customWidth="1"/>
    <col min="8" max="8" width="0.5" style="1" customWidth="1"/>
    <col min="9" max="9" width="9.375" style="1" bestFit="1" customWidth="1"/>
    <col min="10" max="10" width="17.375" style="1" bestFit="1" customWidth="1"/>
    <col min="11" max="11" width="0.5" style="1" customWidth="1"/>
    <col min="12" max="12" width="9.375" style="1" bestFit="1" customWidth="1"/>
    <col min="13" max="13" width="17.625" style="1" bestFit="1" customWidth="1"/>
    <col min="14" max="14" width="0.5" style="1" customWidth="1"/>
    <col min="15" max="15" width="10.25" style="1" bestFit="1" customWidth="1"/>
    <col min="16" max="16" width="0.5" style="1" customWidth="1"/>
    <col min="17" max="17" width="10.375" style="1" bestFit="1" customWidth="1"/>
    <col min="18" max="18" width="0.5" style="1" customWidth="1"/>
    <col min="19" max="19" width="17.75" style="1" bestFit="1" customWidth="1"/>
    <col min="20" max="20" width="0.5" style="1" customWidth="1"/>
    <col min="21" max="21" width="18.625" style="1" bestFit="1" customWidth="1"/>
    <col min="22" max="22" width="0.5" style="1" customWidth="1"/>
    <col min="23" max="23" width="12.625" style="1" bestFit="1" customWidth="1"/>
    <col min="24" max="24" width="12.375" style="1" bestFit="1" customWidth="1"/>
    <col min="25" max="25" width="13.375" style="1" bestFit="1" customWidth="1"/>
    <col min="26" max="16384" width="9" style="1"/>
  </cols>
  <sheetData>
    <row r="1" spans="1:23" x14ac:dyDescent="0.2">
      <c r="A1" s="69" t="s">
        <v>0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69" t="s">
        <v>23</v>
      </c>
    </row>
    <row r="2" spans="1:23" x14ac:dyDescent="0.2">
      <c r="A2" s="69" t="s">
        <v>15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69" t="s">
        <v>23</v>
      </c>
    </row>
    <row r="3" spans="1:23" x14ac:dyDescent="0.2">
      <c r="A3" s="69" t="s">
        <v>2</v>
      </c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69" t="s">
        <v>23</v>
      </c>
    </row>
    <row r="4" spans="1:23" ht="24.75" x14ac:dyDescent="0.2">
      <c r="A4" s="71" t="s">
        <v>200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1" t="s">
        <v>23</v>
      </c>
    </row>
    <row r="5" spans="1:23" ht="24.75" x14ac:dyDescent="0.2">
      <c r="A5" s="71" t="s">
        <v>201</v>
      </c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1" t="s">
        <v>23</v>
      </c>
    </row>
    <row r="6" spans="1:23" x14ac:dyDescent="0.2">
      <c r="W6" s="1" t="s">
        <v>23</v>
      </c>
    </row>
    <row r="7" spans="1:23" x14ac:dyDescent="0.2">
      <c r="C7" s="66" t="s">
        <v>29</v>
      </c>
      <c r="D7" s="67"/>
      <c r="E7" s="67"/>
      <c r="F7" s="67"/>
      <c r="G7" s="67"/>
      <c r="I7" s="66" t="s">
        <v>188</v>
      </c>
      <c r="J7" s="67"/>
      <c r="K7" s="67"/>
      <c r="L7" s="67"/>
      <c r="M7" s="67"/>
      <c r="O7" s="66" t="s">
        <v>30</v>
      </c>
      <c r="P7" s="67"/>
      <c r="Q7" s="67"/>
      <c r="R7" s="67"/>
      <c r="S7" s="67"/>
      <c r="T7" s="67"/>
      <c r="U7" s="67"/>
      <c r="V7" s="67"/>
      <c r="W7" s="66" t="s">
        <v>23</v>
      </c>
    </row>
    <row r="8" spans="1:23" ht="19.5" x14ac:dyDescent="0.2">
      <c r="A8" s="64" t="s">
        <v>202</v>
      </c>
      <c r="B8" s="9"/>
      <c r="C8" s="64" t="s">
        <v>193</v>
      </c>
      <c r="D8" s="9"/>
      <c r="E8" s="64" t="s">
        <v>194</v>
      </c>
      <c r="F8" s="9"/>
      <c r="G8" s="64" t="s">
        <v>195</v>
      </c>
      <c r="H8" s="9"/>
      <c r="I8" s="64" t="s">
        <v>198</v>
      </c>
      <c r="J8" s="68"/>
      <c r="K8" s="9"/>
      <c r="L8" s="64" t="s">
        <v>199</v>
      </c>
      <c r="M8" s="68"/>
      <c r="N8" s="9"/>
      <c r="O8" s="64" t="s">
        <v>193</v>
      </c>
      <c r="P8" s="9"/>
      <c r="Q8" s="64" t="s">
        <v>203</v>
      </c>
      <c r="R8" s="9"/>
      <c r="S8" s="64" t="s">
        <v>194</v>
      </c>
      <c r="T8" s="9"/>
      <c r="U8" s="64" t="s">
        <v>195</v>
      </c>
      <c r="V8" s="9"/>
      <c r="W8" s="64" t="s">
        <v>196</v>
      </c>
    </row>
    <row r="9" spans="1:23" ht="19.5" x14ac:dyDescent="0.2">
      <c r="A9" s="65" t="s">
        <v>23</v>
      </c>
      <c r="B9" s="9"/>
      <c r="C9" s="65" t="s">
        <v>23</v>
      </c>
      <c r="D9" s="9"/>
      <c r="E9" s="65" t="s">
        <v>23</v>
      </c>
      <c r="F9" s="9"/>
      <c r="G9" s="65" t="s">
        <v>23</v>
      </c>
      <c r="H9" s="9"/>
      <c r="I9" s="12" t="s">
        <v>193</v>
      </c>
      <c r="J9" s="12" t="s">
        <v>194</v>
      </c>
      <c r="K9" s="9"/>
      <c r="L9" s="12" t="s">
        <v>193</v>
      </c>
      <c r="M9" s="12" t="s">
        <v>197</v>
      </c>
      <c r="N9" s="9"/>
      <c r="O9" s="65" t="s">
        <v>23</v>
      </c>
      <c r="P9" s="9"/>
      <c r="Q9" s="65" t="s">
        <v>23</v>
      </c>
      <c r="R9" s="9"/>
      <c r="S9" s="65" t="s">
        <v>23</v>
      </c>
      <c r="T9" s="9"/>
      <c r="U9" s="65" t="s">
        <v>23</v>
      </c>
      <c r="V9" s="9"/>
      <c r="W9" s="65" t="s">
        <v>23</v>
      </c>
    </row>
    <row r="10" spans="1:23" ht="18.75" thickTop="1" x14ac:dyDescent="0.2">
      <c r="A10" s="13" t="s">
        <v>204</v>
      </c>
      <c r="C10" s="3">
        <v>34618</v>
      </c>
      <c r="E10" s="3">
        <v>828048366816</v>
      </c>
      <c r="G10" s="3">
        <v>966977670400</v>
      </c>
      <c r="I10" s="3">
        <v>20690</v>
      </c>
      <c r="J10" s="3">
        <v>668729001948</v>
      </c>
      <c r="L10" s="3">
        <v>37765</v>
      </c>
      <c r="M10" s="3">
        <v>1195109399966.9441</v>
      </c>
      <c r="O10" s="3">
        <f>C10+I10-L10</f>
        <v>17543</v>
      </c>
      <c r="Q10" s="3">
        <v>31873242</v>
      </c>
      <c r="S10" s="3">
        <v>488236856359</v>
      </c>
      <c r="U10" s="3">
        <v>556003491336</v>
      </c>
      <c r="W10" s="42">
        <v>2.2447937434287215E-2</v>
      </c>
    </row>
    <row r="11" spans="1:23" x14ac:dyDescent="0.2">
      <c r="A11" s="13" t="s">
        <v>205</v>
      </c>
      <c r="C11" s="3">
        <v>24632</v>
      </c>
      <c r="E11" s="3">
        <v>101934237498</v>
      </c>
      <c r="G11" s="3">
        <v>110825423334</v>
      </c>
      <c r="I11" s="3">
        <v>47631</v>
      </c>
      <c r="J11" s="3">
        <v>230001609026</v>
      </c>
      <c r="L11" s="3">
        <v>41046</v>
      </c>
      <c r="M11" s="3">
        <v>200000673671</v>
      </c>
      <c r="O11" s="3">
        <f t="shared" ref="O11:O74" si="0">C11+I11-L11</f>
        <v>31217</v>
      </c>
      <c r="Q11" s="3">
        <v>5011375</v>
      </c>
      <c r="S11" s="3">
        <v>143393456139</v>
      </c>
      <c r="U11" s="3">
        <v>156333237584</v>
      </c>
      <c r="W11" s="42">
        <v>6.311756654176188E-3</v>
      </c>
    </row>
    <row r="12" spans="1:23" x14ac:dyDescent="0.2">
      <c r="A12" s="13" t="s">
        <v>147</v>
      </c>
      <c r="C12" s="3">
        <v>16124293</v>
      </c>
      <c r="E12" s="3">
        <v>76357703590</v>
      </c>
      <c r="G12" s="3">
        <v>235034891040</v>
      </c>
      <c r="I12" s="3">
        <v>4195234</v>
      </c>
      <c r="J12" s="3">
        <v>64831091006</v>
      </c>
      <c r="L12" s="3">
        <v>0</v>
      </c>
      <c r="M12" s="3">
        <v>0</v>
      </c>
      <c r="O12" s="3">
        <f t="shared" si="0"/>
        <v>20319527</v>
      </c>
      <c r="Q12" s="3">
        <v>13920</v>
      </c>
      <c r="S12" s="3">
        <v>141188794596</v>
      </c>
      <c r="U12" s="3">
        <v>292355627316</v>
      </c>
      <c r="W12" s="42">
        <v>1.1803488526271477E-2</v>
      </c>
    </row>
    <row r="13" spans="1:23" x14ac:dyDescent="0.2">
      <c r="A13" s="13" t="s">
        <v>156</v>
      </c>
      <c r="C13" s="3">
        <v>28306998</v>
      </c>
      <c r="E13" s="3">
        <v>114903274224</v>
      </c>
      <c r="G13" s="3">
        <v>174989391961</v>
      </c>
      <c r="I13" s="3">
        <v>1045000</v>
      </c>
      <c r="J13" s="3">
        <v>7073995102.9331999</v>
      </c>
      <c r="L13" s="3">
        <v>0</v>
      </c>
      <c r="M13" s="3">
        <v>0</v>
      </c>
      <c r="O13" s="3">
        <f t="shared" si="0"/>
        <v>29351998</v>
      </c>
      <c r="Q13" s="3">
        <v>6760</v>
      </c>
      <c r="S13" s="3">
        <v>121977269327</v>
      </c>
      <c r="U13" s="3">
        <v>198924481189</v>
      </c>
      <c r="W13" s="42">
        <v>8.0313242227110244E-3</v>
      </c>
    </row>
    <row r="14" spans="1:23" x14ac:dyDescent="0.2">
      <c r="A14" s="13" t="s">
        <v>111</v>
      </c>
      <c r="C14" s="3">
        <v>985856</v>
      </c>
      <c r="E14" s="3">
        <v>23033010610</v>
      </c>
      <c r="G14" s="3">
        <v>25649330434</v>
      </c>
      <c r="I14" s="3">
        <v>0</v>
      </c>
      <c r="J14" s="3">
        <v>0</v>
      </c>
      <c r="L14" s="3">
        <v>0</v>
      </c>
      <c r="M14" s="3">
        <v>0</v>
      </c>
      <c r="O14" s="3">
        <f t="shared" si="0"/>
        <v>985856</v>
      </c>
      <c r="Q14" s="3">
        <v>30770</v>
      </c>
      <c r="S14" s="3">
        <v>23033010610</v>
      </c>
      <c r="U14" s="3">
        <v>30325295327</v>
      </c>
      <c r="W14" s="42">
        <v>1.2243454272940859E-3</v>
      </c>
    </row>
    <row r="15" spans="1:23" x14ac:dyDescent="0.2">
      <c r="A15" s="13" t="s">
        <v>135</v>
      </c>
      <c r="C15" s="3">
        <v>39219246</v>
      </c>
      <c r="E15" s="3">
        <v>97831350468</v>
      </c>
      <c r="G15" s="3">
        <v>134649641050</v>
      </c>
      <c r="I15" s="3">
        <v>178450</v>
      </c>
      <c r="J15" s="3">
        <v>726437079</v>
      </c>
      <c r="L15" s="3">
        <v>0</v>
      </c>
      <c r="M15" s="3">
        <v>0</v>
      </c>
      <c r="O15" s="3">
        <f t="shared" si="0"/>
        <v>39397696</v>
      </c>
      <c r="Q15" s="3">
        <v>3630</v>
      </c>
      <c r="S15" s="3">
        <v>98557787547</v>
      </c>
      <c r="U15" s="3">
        <v>140344414998</v>
      </c>
      <c r="W15" s="42">
        <v>5.6662281734178744E-3</v>
      </c>
    </row>
    <row r="16" spans="1:23" x14ac:dyDescent="0.2">
      <c r="A16" s="13" t="s">
        <v>174</v>
      </c>
      <c r="C16" s="3">
        <v>60072168</v>
      </c>
      <c r="E16" s="3">
        <v>150022696733</v>
      </c>
      <c r="G16" s="3">
        <v>231278303348</v>
      </c>
      <c r="I16" s="3">
        <v>0</v>
      </c>
      <c r="J16" s="3">
        <v>0</v>
      </c>
      <c r="L16" s="3">
        <v>2000000</v>
      </c>
      <c r="M16" s="3">
        <v>8066296993</v>
      </c>
      <c r="O16" s="3">
        <f t="shared" si="0"/>
        <v>58072168</v>
      </c>
      <c r="Q16" s="3">
        <v>4130</v>
      </c>
      <c r="S16" s="3">
        <v>145027947859</v>
      </c>
      <c r="U16" s="3">
        <v>239136571087</v>
      </c>
      <c r="W16" s="42">
        <v>9.6548364707424623E-3</v>
      </c>
    </row>
    <row r="17" spans="1:23" x14ac:dyDescent="0.2">
      <c r="A17" s="13" t="s">
        <v>87</v>
      </c>
      <c r="C17" s="3">
        <v>16112175</v>
      </c>
      <c r="E17" s="3">
        <v>72754129846</v>
      </c>
      <c r="G17" s="3">
        <v>113831910557</v>
      </c>
      <c r="I17" s="3">
        <v>0</v>
      </c>
      <c r="J17" s="3">
        <v>0</v>
      </c>
      <c r="L17" s="3">
        <v>0</v>
      </c>
      <c r="M17" s="3">
        <v>0</v>
      </c>
      <c r="O17" s="3">
        <f t="shared" si="0"/>
        <v>16112175</v>
      </c>
      <c r="Q17" s="3">
        <v>7010</v>
      </c>
      <c r="S17" s="3">
        <v>72754129846</v>
      </c>
      <c r="U17" s="3">
        <v>112073271490</v>
      </c>
      <c r="W17" s="42">
        <v>4.5248165266341227E-3</v>
      </c>
    </row>
    <row r="18" spans="1:23" x14ac:dyDescent="0.2">
      <c r="A18" s="13" t="s">
        <v>206</v>
      </c>
      <c r="C18" s="3">
        <v>1025794</v>
      </c>
      <c r="E18" s="3">
        <v>1965147918</v>
      </c>
      <c r="G18" s="3">
        <v>1979746671</v>
      </c>
      <c r="I18" s="3">
        <v>0</v>
      </c>
      <c r="J18" s="3">
        <v>0</v>
      </c>
      <c r="L18" s="3">
        <v>0</v>
      </c>
      <c r="M18" s="3">
        <v>0</v>
      </c>
      <c r="O18" s="3">
        <f t="shared" si="0"/>
        <v>1025794</v>
      </c>
      <c r="Q18" s="3">
        <v>2020</v>
      </c>
      <c r="S18" s="3">
        <v>1965147918</v>
      </c>
      <c r="U18" s="3">
        <v>2047943600</v>
      </c>
      <c r="W18" s="42">
        <v>8.2683131523660514E-5</v>
      </c>
    </row>
    <row r="19" spans="1:23" x14ac:dyDescent="0.2">
      <c r="A19" s="13" t="s">
        <v>142</v>
      </c>
      <c r="C19" s="3">
        <v>14936648</v>
      </c>
      <c r="E19" s="3">
        <v>127143026956</v>
      </c>
      <c r="G19" s="3">
        <v>154288564071</v>
      </c>
      <c r="I19" s="3">
        <v>0</v>
      </c>
      <c r="J19" s="3">
        <v>0</v>
      </c>
      <c r="L19" s="3">
        <v>0</v>
      </c>
      <c r="M19" s="3">
        <v>0</v>
      </c>
      <c r="O19" s="3">
        <f t="shared" si="0"/>
        <v>14936648</v>
      </c>
      <c r="Q19" s="3">
        <v>11830</v>
      </c>
      <c r="S19" s="3">
        <v>127143026956</v>
      </c>
      <c r="U19" s="3">
        <v>174741803112</v>
      </c>
      <c r="W19" s="42">
        <v>7.0549791944422126E-3</v>
      </c>
    </row>
    <row r="20" spans="1:23" x14ac:dyDescent="0.2">
      <c r="A20" s="13" t="s">
        <v>155</v>
      </c>
      <c r="C20" s="3">
        <v>39745427</v>
      </c>
      <c r="E20" s="3">
        <v>82376133450</v>
      </c>
      <c r="G20" s="3">
        <v>82228636261</v>
      </c>
      <c r="I20" s="3">
        <v>0</v>
      </c>
      <c r="J20" s="3">
        <v>0</v>
      </c>
      <c r="L20" s="3">
        <v>0</v>
      </c>
      <c r="M20" s="3">
        <v>0</v>
      </c>
      <c r="O20" s="3">
        <f t="shared" si="0"/>
        <v>39745427</v>
      </c>
      <c r="Q20" s="3">
        <v>3082</v>
      </c>
      <c r="S20" s="3">
        <v>82376133450</v>
      </c>
      <c r="U20" s="3">
        <v>121548516526</v>
      </c>
      <c r="W20" s="42">
        <v>4.9073675556421965E-3</v>
      </c>
    </row>
    <row r="21" spans="1:23" x14ac:dyDescent="0.2">
      <c r="A21" s="13" t="s">
        <v>103</v>
      </c>
      <c r="C21" s="3">
        <v>13744017</v>
      </c>
      <c r="E21" s="3">
        <v>42174548592</v>
      </c>
      <c r="G21" s="3">
        <v>64779434806</v>
      </c>
      <c r="I21" s="3">
        <v>0</v>
      </c>
      <c r="J21" s="3">
        <v>0</v>
      </c>
      <c r="L21" s="3">
        <v>13744017</v>
      </c>
      <c r="M21" s="3">
        <v>72838689176</v>
      </c>
      <c r="O21" s="3">
        <f t="shared" si="0"/>
        <v>0</v>
      </c>
      <c r="Q21" s="3">
        <v>5060</v>
      </c>
      <c r="S21" s="18">
        <v>0</v>
      </c>
      <c r="U21" s="18">
        <v>0</v>
      </c>
      <c r="W21" s="42">
        <v>0</v>
      </c>
    </row>
    <row r="22" spans="1:23" x14ac:dyDescent="0.2">
      <c r="A22" s="13" t="s">
        <v>159</v>
      </c>
      <c r="C22" s="3">
        <v>19036740</v>
      </c>
      <c r="E22" s="3">
        <v>151359089860</v>
      </c>
      <c r="G22" s="3">
        <v>171517440878</v>
      </c>
      <c r="I22" s="3">
        <v>0</v>
      </c>
      <c r="J22" s="3">
        <v>0</v>
      </c>
      <c r="L22" s="3">
        <v>0</v>
      </c>
      <c r="M22" s="3">
        <v>0</v>
      </c>
      <c r="O22" s="3">
        <f t="shared" si="0"/>
        <v>19036740</v>
      </c>
      <c r="Q22" s="3">
        <v>11510</v>
      </c>
      <c r="S22" s="3">
        <v>151359089860</v>
      </c>
      <c r="U22" s="3">
        <v>217985822438</v>
      </c>
      <c r="W22" s="42">
        <v>8.8009017567351275E-3</v>
      </c>
    </row>
    <row r="23" spans="1:23" x14ac:dyDescent="0.2">
      <c r="A23" s="13" t="s">
        <v>207</v>
      </c>
      <c r="C23" s="3">
        <v>100418221</v>
      </c>
      <c r="E23" s="3">
        <v>125243621535</v>
      </c>
      <c r="G23" s="3">
        <v>185433739950</v>
      </c>
      <c r="I23" s="3">
        <v>0</v>
      </c>
      <c r="J23" s="3">
        <v>0</v>
      </c>
      <c r="L23" s="3">
        <v>0</v>
      </c>
      <c r="M23" s="3">
        <v>0</v>
      </c>
      <c r="O23" s="3">
        <f t="shared" si="0"/>
        <v>100418221</v>
      </c>
      <c r="Q23" s="3">
        <v>1784</v>
      </c>
      <c r="S23" s="3">
        <v>125243621535</v>
      </c>
      <c r="U23" s="3">
        <v>178060232827</v>
      </c>
      <c r="W23" s="42">
        <v>7.1889565952736462E-3</v>
      </c>
    </row>
    <row r="24" spans="1:23" x14ac:dyDescent="0.2">
      <c r="A24" s="13" t="s">
        <v>176</v>
      </c>
      <c r="C24" s="3">
        <v>1300000</v>
      </c>
      <c r="E24" s="3">
        <v>106121826822</v>
      </c>
      <c r="G24" s="3">
        <v>99390724550</v>
      </c>
      <c r="I24" s="3">
        <v>0</v>
      </c>
      <c r="J24" s="3">
        <v>0</v>
      </c>
      <c r="L24" s="3">
        <v>0</v>
      </c>
      <c r="M24" s="3">
        <v>0</v>
      </c>
      <c r="O24" s="3">
        <f t="shared" si="0"/>
        <v>1300000</v>
      </c>
      <c r="Q24" s="3">
        <v>83090</v>
      </c>
      <c r="S24" s="3">
        <v>106121826822</v>
      </c>
      <c r="U24" s="3">
        <v>107194928100</v>
      </c>
      <c r="W24" s="42">
        <v>4.3278595849815553E-3</v>
      </c>
    </row>
    <row r="25" spans="1:23" x14ac:dyDescent="0.2">
      <c r="A25" s="13" t="s">
        <v>154</v>
      </c>
      <c r="C25" s="3">
        <v>521375</v>
      </c>
      <c r="E25" s="3">
        <v>7957646998</v>
      </c>
      <c r="G25" s="3">
        <v>4872353056</v>
      </c>
      <c r="I25" s="3">
        <v>0</v>
      </c>
      <c r="J25" s="3">
        <v>0</v>
      </c>
      <c r="L25" s="3">
        <v>0</v>
      </c>
      <c r="M25" s="3">
        <v>0</v>
      </c>
      <c r="O25" s="3">
        <f t="shared" si="0"/>
        <v>521375</v>
      </c>
      <c r="Q25" s="3">
        <v>10700</v>
      </c>
      <c r="S25" s="3">
        <v>7957646998</v>
      </c>
      <c r="U25" s="3">
        <v>5535589052</v>
      </c>
      <c r="W25" s="42">
        <v>2.2349240362256616E-4</v>
      </c>
    </row>
    <row r="26" spans="1:23" x14ac:dyDescent="0.2">
      <c r="A26" s="13" t="s">
        <v>160</v>
      </c>
      <c r="C26" s="3">
        <v>22333259</v>
      </c>
      <c r="E26" s="3">
        <v>38799607021</v>
      </c>
      <c r="G26" s="3">
        <v>54315686747</v>
      </c>
      <c r="I26" s="3">
        <v>0</v>
      </c>
      <c r="J26" s="3">
        <v>0</v>
      </c>
      <c r="L26" s="3">
        <v>0</v>
      </c>
      <c r="M26" s="3">
        <v>0</v>
      </c>
      <c r="O26" s="3">
        <f t="shared" si="0"/>
        <v>22333259</v>
      </c>
      <c r="Q26" s="3">
        <v>2509</v>
      </c>
      <c r="S26" s="3">
        <v>38799607021</v>
      </c>
      <c r="U26" s="3">
        <v>55423717893</v>
      </c>
      <c r="W26" s="42">
        <v>2.2376624805864652E-3</v>
      </c>
    </row>
    <row r="27" spans="1:23" x14ac:dyDescent="0.2">
      <c r="A27" s="13" t="s">
        <v>164</v>
      </c>
      <c r="C27" s="3">
        <v>125596583</v>
      </c>
      <c r="E27" s="3">
        <v>114541084270</v>
      </c>
      <c r="G27" s="3">
        <v>170612612615</v>
      </c>
      <c r="I27" s="3">
        <v>32789942</v>
      </c>
      <c r="J27" s="3">
        <v>50271751458</v>
      </c>
      <c r="L27" s="3">
        <v>0</v>
      </c>
      <c r="M27" s="3">
        <v>0</v>
      </c>
      <c r="O27" s="3">
        <f t="shared" si="0"/>
        <v>158386525</v>
      </c>
      <c r="Q27" s="3">
        <v>1444</v>
      </c>
      <c r="S27" s="3">
        <v>164812835728</v>
      </c>
      <c r="U27" s="3">
        <v>226156401716</v>
      </c>
      <c r="W27" s="42">
        <v>9.1307785565978624E-3</v>
      </c>
    </row>
    <row r="28" spans="1:23" x14ac:dyDescent="0.2">
      <c r="A28" s="13" t="s">
        <v>208</v>
      </c>
      <c r="C28" s="3">
        <v>110011001</v>
      </c>
      <c r="E28" s="3">
        <v>142516969105</v>
      </c>
      <c r="G28" s="3">
        <v>217884589461</v>
      </c>
      <c r="I28" s="3">
        <v>1000000</v>
      </c>
      <c r="J28" s="3">
        <v>2917752230</v>
      </c>
      <c r="L28" s="3">
        <v>0</v>
      </c>
      <c r="M28" s="3">
        <v>0</v>
      </c>
      <c r="O28" s="3">
        <f t="shared" si="0"/>
        <v>111011001</v>
      </c>
      <c r="Q28" s="3">
        <v>2456</v>
      </c>
      <c r="S28" s="3">
        <v>145434721335</v>
      </c>
      <c r="U28" s="3">
        <v>270425335037</v>
      </c>
      <c r="W28" s="42">
        <v>1.0918080724583543E-2</v>
      </c>
    </row>
    <row r="29" spans="1:23" x14ac:dyDescent="0.2">
      <c r="A29" s="13" t="s">
        <v>209</v>
      </c>
      <c r="C29" s="3">
        <v>0</v>
      </c>
      <c r="E29" s="18">
        <v>0</v>
      </c>
      <c r="G29" s="18">
        <v>0</v>
      </c>
      <c r="I29" s="3">
        <v>2260823</v>
      </c>
      <c r="J29" s="3">
        <v>117598151234</v>
      </c>
      <c r="L29" s="3">
        <v>0</v>
      </c>
      <c r="M29" s="3">
        <v>0</v>
      </c>
      <c r="O29" s="3">
        <f t="shared" si="0"/>
        <v>2260823</v>
      </c>
      <c r="Q29" s="3">
        <v>59510</v>
      </c>
      <c r="S29" s="3">
        <v>117598151234</v>
      </c>
      <c r="U29" s="3">
        <v>133501570342</v>
      </c>
      <c r="W29" s="42">
        <v>5.3899569788947322E-3</v>
      </c>
    </row>
    <row r="30" spans="1:23" x14ac:dyDescent="0.2">
      <c r="A30" s="13" t="s">
        <v>163</v>
      </c>
      <c r="C30" s="3">
        <v>13226334</v>
      </c>
      <c r="E30" s="3">
        <v>43056077281</v>
      </c>
      <c r="G30" s="3">
        <v>56433606084</v>
      </c>
      <c r="I30" s="3">
        <v>0</v>
      </c>
      <c r="J30" s="3">
        <v>0</v>
      </c>
      <c r="L30" s="3">
        <v>0</v>
      </c>
      <c r="M30" s="3">
        <v>0</v>
      </c>
      <c r="O30" s="3">
        <f t="shared" si="0"/>
        <v>13226334</v>
      </c>
      <c r="Q30" s="3">
        <v>4230</v>
      </c>
      <c r="S30" s="3">
        <v>43056077281</v>
      </c>
      <c r="U30" s="3">
        <v>54727473807</v>
      </c>
      <c r="W30" s="42">
        <v>2.209552506593378E-3</v>
      </c>
    </row>
    <row r="31" spans="1:23" x14ac:dyDescent="0.2">
      <c r="A31" s="13" t="s">
        <v>210</v>
      </c>
      <c r="C31" s="3">
        <v>112986992</v>
      </c>
      <c r="E31" s="3">
        <v>119883577541</v>
      </c>
      <c r="G31" s="3">
        <v>172767061532</v>
      </c>
      <c r="I31" s="3">
        <v>12435386</v>
      </c>
      <c r="J31" s="3">
        <v>20296248622</v>
      </c>
      <c r="L31" s="3">
        <v>0</v>
      </c>
      <c r="M31" s="3">
        <v>0</v>
      </c>
      <c r="O31" s="3">
        <f t="shared" si="0"/>
        <v>125422378</v>
      </c>
      <c r="Q31" s="3">
        <v>2308</v>
      </c>
      <c r="S31" s="3">
        <v>140179826163</v>
      </c>
      <c r="U31" s="3">
        <v>284872603448</v>
      </c>
      <c r="W31" s="42">
        <v>1.1501370906102379E-2</v>
      </c>
    </row>
    <row r="32" spans="1:23" x14ac:dyDescent="0.2">
      <c r="A32" s="13" t="s">
        <v>211</v>
      </c>
      <c r="C32" s="3">
        <v>0</v>
      </c>
      <c r="E32" s="18">
        <v>0</v>
      </c>
      <c r="G32" s="18">
        <v>0</v>
      </c>
      <c r="I32" s="3">
        <v>6000000</v>
      </c>
      <c r="J32" s="3">
        <v>59591059103</v>
      </c>
      <c r="L32" s="3">
        <v>0</v>
      </c>
      <c r="M32" s="3">
        <v>0</v>
      </c>
      <c r="O32" s="3">
        <f t="shared" si="0"/>
        <v>6000000</v>
      </c>
      <c r="Q32" s="3">
        <v>9870</v>
      </c>
      <c r="S32" s="3">
        <v>59591059103</v>
      </c>
      <c r="U32" s="3">
        <v>58345476000</v>
      </c>
      <c r="W32" s="42">
        <v>2.3556247671657452E-3</v>
      </c>
    </row>
    <row r="33" spans="1:23" x14ac:dyDescent="0.2">
      <c r="A33" s="13" t="s">
        <v>212</v>
      </c>
      <c r="C33" s="3">
        <v>23345802</v>
      </c>
      <c r="E33" s="3">
        <v>79633567985</v>
      </c>
      <c r="G33" s="3">
        <v>93587969360</v>
      </c>
      <c r="I33" s="3">
        <v>500000</v>
      </c>
      <c r="J33" s="3">
        <v>2262715959.7224002</v>
      </c>
      <c r="L33" s="3">
        <v>0</v>
      </c>
      <c r="M33" s="3">
        <v>0</v>
      </c>
      <c r="O33" s="3">
        <f t="shared" si="0"/>
        <v>23845802</v>
      </c>
      <c r="Q33" s="3">
        <v>4430</v>
      </c>
      <c r="S33" s="3">
        <v>81896283945</v>
      </c>
      <c r="U33" s="3">
        <v>107423091735</v>
      </c>
      <c r="W33" s="42">
        <v>4.33707140304218E-3</v>
      </c>
    </row>
    <row r="34" spans="1:23" x14ac:dyDescent="0.2">
      <c r="A34" s="13" t="s">
        <v>127</v>
      </c>
      <c r="C34" s="3">
        <v>71225071</v>
      </c>
      <c r="E34" s="3">
        <v>107990713434</v>
      </c>
      <c r="G34" s="3">
        <v>205662798495</v>
      </c>
      <c r="I34" s="3">
        <v>0</v>
      </c>
      <c r="J34" s="3">
        <v>0</v>
      </c>
      <c r="L34" s="3">
        <v>0</v>
      </c>
      <c r="M34" s="3">
        <v>0</v>
      </c>
      <c r="O34" s="3">
        <f t="shared" si="0"/>
        <v>71225071</v>
      </c>
      <c r="Q34" s="3">
        <v>4290</v>
      </c>
      <c r="S34" s="3">
        <v>107990713434</v>
      </c>
      <c r="U34" s="3">
        <v>297539650057</v>
      </c>
      <c r="W34" s="42">
        <v>1.2012786884935138E-2</v>
      </c>
    </row>
    <row r="35" spans="1:23" x14ac:dyDescent="0.2">
      <c r="A35" s="13" t="s">
        <v>213</v>
      </c>
      <c r="C35" s="3">
        <v>41899420</v>
      </c>
      <c r="E35" s="3">
        <v>104314578053</v>
      </c>
      <c r="G35" s="3">
        <v>103398361721</v>
      </c>
      <c r="I35" s="3">
        <v>5500000</v>
      </c>
      <c r="J35" s="3">
        <v>15915863517.2901</v>
      </c>
      <c r="L35" s="3">
        <v>0</v>
      </c>
      <c r="M35" s="3">
        <v>0</v>
      </c>
      <c r="O35" s="3">
        <f t="shared" si="0"/>
        <v>47399420</v>
      </c>
      <c r="Q35" s="3">
        <v>2800</v>
      </c>
      <c r="S35" s="3">
        <v>120230441570</v>
      </c>
      <c r="U35" s="3">
        <v>131222132729</v>
      </c>
      <c r="W35" s="42">
        <v>5.2979275695127269E-3</v>
      </c>
    </row>
    <row r="36" spans="1:23" x14ac:dyDescent="0.2">
      <c r="A36" s="13" t="s">
        <v>166</v>
      </c>
      <c r="C36" s="3">
        <v>18416407</v>
      </c>
      <c r="E36" s="3">
        <v>119084627106</v>
      </c>
      <c r="G36" s="3">
        <v>155512149960</v>
      </c>
      <c r="I36" s="3">
        <v>0</v>
      </c>
      <c r="J36" s="3">
        <v>0</v>
      </c>
      <c r="L36" s="3">
        <v>0</v>
      </c>
      <c r="M36" s="3">
        <v>0</v>
      </c>
      <c r="O36" s="3">
        <f t="shared" si="0"/>
        <v>18416407</v>
      </c>
      <c r="Q36" s="3">
        <v>8570</v>
      </c>
      <c r="S36" s="3">
        <v>119084627106</v>
      </c>
      <c r="U36" s="3">
        <v>154232966588</v>
      </c>
      <c r="W36" s="42">
        <v>6.2269608702504994E-3</v>
      </c>
    </row>
    <row r="37" spans="1:23" x14ac:dyDescent="0.2">
      <c r="A37" s="13" t="s">
        <v>113</v>
      </c>
      <c r="C37" s="3">
        <v>19749859</v>
      </c>
      <c r="E37" s="3">
        <v>138053969327</v>
      </c>
      <c r="G37" s="3">
        <v>160109063460</v>
      </c>
      <c r="I37" s="3">
        <v>0</v>
      </c>
      <c r="J37" s="3">
        <v>0</v>
      </c>
      <c r="L37" s="3">
        <v>0</v>
      </c>
      <c r="M37" s="3">
        <v>0</v>
      </c>
      <c r="O37" s="3">
        <f t="shared" si="0"/>
        <v>19749859</v>
      </c>
      <c r="Q37" s="3">
        <v>9810</v>
      </c>
      <c r="S37" s="3">
        <v>138053969327</v>
      </c>
      <c r="U37" s="3">
        <v>192836375085</v>
      </c>
      <c r="W37" s="42">
        <v>7.7855246422308634E-3</v>
      </c>
    </row>
    <row r="38" spans="1:23" x14ac:dyDescent="0.2">
      <c r="A38" s="13" t="s">
        <v>214</v>
      </c>
      <c r="C38" s="3">
        <v>21410183</v>
      </c>
      <c r="E38" s="3">
        <v>94475767628</v>
      </c>
      <c r="G38" s="3">
        <v>329717469070</v>
      </c>
      <c r="I38" s="3">
        <v>0</v>
      </c>
      <c r="J38" s="3">
        <v>0</v>
      </c>
      <c r="L38" s="3">
        <v>0</v>
      </c>
      <c r="M38" s="3">
        <v>0</v>
      </c>
      <c r="O38" s="3">
        <f t="shared" si="0"/>
        <v>21410183</v>
      </c>
      <c r="Q38" s="3">
        <v>15090</v>
      </c>
      <c r="S38" s="3">
        <v>94475767628</v>
      </c>
      <c r="U38" s="3">
        <v>321432042978</v>
      </c>
      <c r="W38" s="42">
        <v>1.2977412017337231E-2</v>
      </c>
    </row>
    <row r="39" spans="1:23" x14ac:dyDescent="0.2">
      <c r="A39" s="13" t="s">
        <v>89</v>
      </c>
      <c r="C39" s="3">
        <v>6466528</v>
      </c>
      <c r="E39" s="3">
        <v>44687308690</v>
      </c>
      <c r="G39" s="3">
        <v>55503086039</v>
      </c>
      <c r="I39" s="3">
        <v>0</v>
      </c>
      <c r="J39" s="3">
        <v>0</v>
      </c>
      <c r="L39" s="3">
        <v>0</v>
      </c>
      <c r="M39" s="3">
        <v>0</v>
      </c>
      <c r="O39" s="3">
        <f t="shared" si="0"/>
        <v>6466528</v>
      </c>
      <c r="Q39" s="3">
        <v>12640</v>
      </c>
      <c r="S39" s="3">
        <v>44687308690</v>
      </c>
      <c r="U39" s="3">
        <v>81939238001</v>
      </c>
      <c r="W39" s="42">
        <v>3.3081930540397714E-3</v>
      </c>
    </row>
    <row r="40" spans="1:23" x14ac:dyDescent="0.2">
      <c r="A40" s="13" t="s">
        <v>146</v>
      </c>
      <c r="C40" s="3">
        <v>8500000</v>
      </c>
      <c r="E40" s="3">
        <v>58296658489</v>
      </c>
      <c r="G40" s="3">
        <v>144479473350</v>
      </c>
      <c r="I40" s="3">
        <v>0</v>
      </c>
      <c r="J40" s="3">
        <v>0</v>
      </c>
      <c r="L40" s="3">
        <v>0</v>
      </c>
      <c r="M40" s="3">
        <v>0</v>
      </c>
      <c r="O40" s="3">
        <f t="shared" si="0"/>
        <v>8500000</v>
      </c>
      <c r="Q40" s="3">
        <v>17230</v>
      </c>
      <c r="S40" s="3">
        <v>58296658489</v>
      </c>
      <c r="U40" s="3">
        <v>145322902850</v>
      </c>
      <c r="W40" s="42">
        <v>5.8672283210078092E-3</v>
      </c>
    </row>
    <row r="41" spans="1:23" x14ac:dyDescent="0.2">
      <c r="A41" s="13" t="s">
        <v>215</v>
      </c>
      <c r="C41" s="3">
        <v>7958995</v>
      </c>
      <c r="E41" s="3">
        <v>97005088381</v>
      </c>
      <c r="G41" s="3">
        <v>301288555604</v>
      </c>
      <c r="I41" s="3">
        <v>0</v>
      </c>
      <c r="J41" s="3">
        <v>0</v>
      </c>
      <c r="L41" s="3">
        <v>858995</v>
      </c>
      <c r="M41" s="3">
        <v>37558658567</v>
      </c>
      <c r="O41" s="3">
        <f t="shared" si="0"/>
        <v>7100000</v>
      </c>
      <c r="Q41" s="3">
        <v>46380</v>
      </c>
      <c r="S41" s="3">
        <v>86535564792</v>
      </c>
      <c r="U41" s="3">
        <v>326752526460</v>
      </c>
      <c r="W41" s="42">
        <v>1.3192219805750773E-2</v>
      </c>
    </row>
    <row r="42" spans="1:23" x14ac:dyDescent="0.2">
      <c r="A42" s="13" t="s">
        <v>114</v>
      </c>
      <c r="C42" s="3">
        <v>41266782</v>
      </c>
      <c r="E42" s="3">
        <v>93030969367</v>
      </c>
      <c r="G42" s="3">
        <v>469671148721</v>
      </c>
      <c r="I42" s="3">
        <v>0</v>
      </c>
      <c r="J42" s="3">
        <v>0</v>
      </c>
      <c r="L42" s="3">
        <v>0</v>
      </c>
      <c r="M42" s="3">
        <v>0</v>
      </c>
      <c r="O42" s="3">
        <f t="shared" si="0"/>
        <v>41266782</v>
      </c>
      <c r="Q42" s="3">
        <v>9180</v>
      </c>
      <c r="S42" s="3">
        <v>93030969367</v>
      </c>
      <c r="U42" s="3">
        <v>375900710136</v>
      </c>
      <c r="W42" s="42">
        <v>1.5176515532953287E-2</v>
      </c>
    </row>
    <row r="43" spans="1:23" x14ac:dyDescent="0.2">
      <c r="A43" s="13" t="s">
        <v>216</v>
      </c>
      <c r="C43" s="3">
        <v>55734456</v>
      </c>
      <c r="E43" s="3">
        <v>152439057571</v>
      </c>
      <c r="G43" s="3">
        <v>206835571170</v>
      </c>
      <c r="I43" s="3">
        <v>0</v>
      </c>
      <c r="J43" s="3">
        <v>0</v>
      </c>
      <c r="L43" s="3">
        <v>0</v>
      </c>
      <c r="M43" s="3">
        <v>0</v>
      </c>
      <c r="O43" s="3">
        <f t="shared" si="0"/>
        <v>55734456</v>
      </c>
      <c r="Q43" s="3">
        <v>3740</v>
      </c>
      <c r="S43" s="3">
        <v>152439057571</v>
      </c>
      <c r="U43" s="3">
        <v>206282534884</v>
      </c>
      <c r="W43" s="42">
        <v>8.3283963302738708E-3</v>
      </c>
    </row>
    <row r="44" spans="1:23" x14ac:dyDescent="0.2">
      <c r="A44" s="13" t="s">
        <v>63</v>
      </c>
      <c r="C44" s="3">
        <v>30288805</v>
      </c>
      <c r="E44" s="3">
        <v>144911516523</v>
      </c>
      <c r="G44" s="3">
        <v>207677787233</v>
      </c>
      <c r="I44" s="3">
        <v>0</v>
      </c>
      <c r="J44" s="3">
        <v>0</v>
      </c>
      <c r="L44" s="3">
        <v>0</v>
      </c>
      <c r="M44" s="3">
        <v>0</v>
      </c>
      <c r="O44" s="3">
        <f t="shared" si="0"/>
        <v>30288805</v>
      </c>
      <c r="Q44" s="3">
        <v>6660</v>
      </c>
      <c r="S44" s="3">
        <v>144911516523</v>
      </c>
      <c r="U44" s="3">
        <v>201967399451</v>
      </c>
      <c r="W44" s="42">
        <v>8.1541781972407409E-3</v>
      </c>
    </row>
    <row r="45" spans="1:23" x14ac:dyDescent="0.2">
      <c r="A45" s="13" t="s">
        <v>217</v>
      </c>
      <c r="C45" s="3">
        <v>25275427</v>
      </c>
      <c r="E45" s="3">
        <v>85434879528</v>
      </c>
      <c r="G45" s="3">
        <v>309989392653</v>
      </c>
      <c r="I45" s="3">
        <v>0</v>
      </c>
      <c r="J45" s="3">
        <v>0</v>
      </c>
      <c r="L45" s="3">
        <v>0</v>
      </c>
      <c r="M45" s="3">
        <v>0</v>
      </c>
      <c r="O45" s="3">
        <f t="shared" si="0"/>
        <v>25275427</v>
      </c>
      <c r="Q45" s="3">
        <v>16100</v>
      </c>
      <c r="S45" s="3">
        <v>85434879528</v>
      </c>
      <c r="U45" s="3">
        <v>403788771984</v>
      </c>
      <c r="W45" s="42">
        <v>1.6302460742439604E-2</v>
      </c>
    </row>
    <row r="46" spans="1:23" x14ac:dyDescent="0.2">
      <c r="A46" s="13" t="s">
        <v>180</v>
      </c>
      <c r="C46" s="3">
        <v>7598313</v>
      </c>
      <c r="E46" s="3">
        <v>87427277218</v>
      </c>
      <c r="G46" s="3">
        <v>224377842486</v>
      </c>
      <c r="I46" s="3">
        <v>0</v>
      </c>
      <c r="J46" s="3">
        <v>0</v>
      </c>
      <c r="L46" s="3">
        <v>0</v>
      </c>
      <c r="M46" s="3">
        <v>0</v>
      </c>
      <c r="O46" s="3">
        <f t="shared" si="0"/>
        <v>7598313</v>
      </c>
      <c r="Q46" s="3">
        <v>26010</v>
      </c>
      <c r="S46" s="3">
        <v>87427277218</v>
      </c>
      <c r="U46" s="3">
        <v>196104424834</v>
      </c>
      <c r="W46" s="42">
        <v>7.9174680156823742E-3</v>
      </c>
    </row>
    <row r="47" spans="1:23" x14ac:dyDescent="0.2">
      <c r="A47" s="13" t="s">
        <v>218</v>
      </c>
      <c r="C47" s="3">
        <v>2243834</v>
      </c>
      <c r="E47" s="3">
        <v>10146650066</v>
      </c>
      <c r="G47" s="3">
        <v>10330909717</v>
      </c>
      <c r="I47" s="3">
        <v>1000000</v>
      </c>
      <c r="J47" s="3">
        <v>4782707260</v>
      </c>
      <c r="L47" s="3">
        <v>0</v>
      </c>
      <c r="M47" s="3">
        <v>0</v>
      </c>
      <c r="O47" s="3">
        <f t="shared" si="0"/>
        <v>3243834</v>
      </c>
      <c r="Q47" s="3">
        <v>4530</v>
      </c>
      <c r="S47" s="3">
        <v>14929357326</v>
      </c>
      <c r="U47" s="3">
        <v>14645354192</v>
      </c>
      <c r="W47" s="42">
        <v>5.912876442826496E-4</v>
      </c>
    </row>
    <row r="48" spans="1:23" x14ac:dyDescent="0.2">
      <c r="A48" s="13" t="s">
        <v>219</v>
      </c>
      <c r="C48" s="3">
        <v>27020717</v>
      </c>
      <c r="E48" s="3">
        <v>134150519745</v>
      </c>
      <c r="G48" s="3">
        <v>229509409101</v>
      </c>
      <c r="I48" s="3">
        <v>0</v>
      </c>
      <c r="J48" s="3">
        <v>0</v>
      </c>
      <c r="L48" s="3">
        <v>0</v>
      </c>
      <c r="M48" s="3">
        <v>0</v>
      </c>
      <c r="O48" s="3">
        <f t="shared" si="0"/>
        <v>27020717</v>
      </c>
      <c r="Q48" s="3">
        <v>9630</v>
      </c>
      <c r="S48" s="3">
        <v>134150519745</v>
      </c>
      <c r="U48" s="3">
        <v>256053137490</v>
      </c>
      <c r="W48" s="42">
        <v>1.0337821434209223E-2</v>
      </c>
    </row>
    <row r="49" spans="1:23" x14ac:dyDescent="0.2">
      <c r="A49" s="13" t="s">
        <v>55</v>
      </c>
      <c r="C49" s="3">
        <v>45520958</v>
      </c>
      <c r="E49" s="3">
        <v>120950925159</v>
      </c>
      <c r="G49" s="3">
        <v>244364728181</v>
      </c>
      <c r="I49" s="3">
        <v>0</v>
      </c>
      <c r="J49" s="3">
        <v>0</v>
      </c>
      <c r="L49" s="3">
        <v>0</v>
      </c>
      <c r="M49" s="3">
        <v>0</v>
      </c>
      <c r="O49" s="3">
        <f t="shared" si="0"/>
        <v>45520958</v>
      </c>
      <c r="Q49" s="3">
        <v>6760</v>
      </c>
      <c r="S49" s="3">
        <v>120950925159</v>
      </c>
      <c r="U49" s="3">
        <v>303987915094</v>
      </c>
      <c r="W49" s="42">
        <v>1.2273127426614945E-2</v>
      </c>
    </row>
    <row r="50" spans="1:23" x14ac:dyDescent="0.2">
      <c r="A50" s="13" t="s">
        <v>220</v>
      </c>
      <c r="C50" s="3">
        <v>1000000</v>
      </c>
      <c r="E50" s="3">
        <v>2534734577</v>
      </c>
      <c r="G50" s="3">
        <v>2576925190</v>
      </c>
      <c r="I50" s="3">
        <v>0</v>
      </c>
      <c r="J50" s="3">
        <v>0</v>
      </c>
      <c r="L50" s="3">
        <v>0</v>
      </c>
      <c r="M50" s="3">
        <v>0</v>
      </c>
      <c r="O50" s="3">
        <f t="shared" si="0"/>
        <v>1000000</v>
      </c>
      <c r="Q50" s="3">
        <v>3220</v>
      </c>
      <c r="S50" s="3">
        <v>2534734577</v>
      </c>
      <c r="U50" s="3">
        <v>3214954800</v>
      </c>
      <c r="W50" s="42">
        <v>1.2979973206831655E-4</v>
      </c>
    </row>
    <row r="51" spans="1:23" x14ac:dyDescent="0.2">
      <c r="A51" s="13" t="s">
        <v>221</v>
      </c>
      <c r="C51" s="3">
        <v>0</v>
      </c>
      <c r="E51" s="18">
        <v>0</v>
      </c>
      <c r="G51" s="18">
        <v>0</v>
      </c>
      <c r="I51" s="3">
        <v>1000000</v>
      </c>
      <c r="J51" s="3">
        <v>3148364960</v>
      </c>
      <c r="L51" s="3">
        <v>0</v>
      </c>
      <c r="M51" s="3">
        <v>0</v>
      </c>
      <c r="O51" s="3">
        <f t="shared" si="0"/>
        <v>1000000</v>
      </c>
      <c r="Q51" s="3">
        <v>2900</v>
      </c>
      <c r="S51" s="3">
        <v>3148364960</v>
      </c>
      <c r="U51" s="3">
        <v>2867660300</v>
      </c>
      <c r="W51" s="42">
        <v>1.1577815607328237E-4</v>
      </c>
    </row>
    <row r="52" spans="1:23" x14ac:dyDescent="0.2">
      <c r="A52" s="13" t="s">
        <v>121</v>
      </c>
      <c r="C52" s="3">
        <v>5818022</v>
      </c>
      <c r="E52" s="3">
        <v>7087836432</v>
      </c>
      <c r="G52" s="3">
        <v>10454991177</v>
      </c>
      <c r="I52" s="3">
        <v>0</v>
      </c>
      <c r="J52" s="3">
        <v>0</v>
      </c>
      <c r="L52" s="3">
        <v>0</v>
      </c>
      <c r="M52" s="3">
        <v>0</v>
      </c>
      <c r="O52" s="3">
        <f t="shared" si="0"/>
        <v>5818022</v>
      </c>
      <c r="Q52" s="3">
        <v>2075</v>
      </c>
      <c r="S52" s="3">
        <v>7087836432</v>
      </c>
      <c r="U52" s="3">
        <v>11904026399</v>
      </c>
      <c r="W52" s="42">
        <v>4.8061000332706613E-4</v>
      </c>
    </row>
    <row r="53" spans="1:23" x14ac:dyDescent="0.2">
      <c r="A53" s="13" t="s">
        <v>83</v>
      </c>
      <c r="C53" s="3">
        <v>20202020</v>
      </c>
      <c r="E53" s="3">
        <v>72662410882</v>
      </c>
      <c r="G53" s="3">
        <v>214089767556</v>
      </c>
      <c r="I53" s="3">
        <v>0</v>
      </c>
      <c r="J53" s="3">
        <v>0</v>
      </c>
      <c r="L53" s="3">
        <v>0</v>
      </c>
      <c r="M53" s="3">
        <v>0</v>
      </c>
      <c r="O53" s="3">
        <f t="shared" si="0"/>
        <v>20202020</v>
      </c>
      <c r="Q53" s="3">
        <v>13650</v>
      </c>
      <c r="S53" s="3">
        <v>72662410882</v>
      </c>
      <c r="U53" s="3">
        <v>273625966961</v>
      </c>
      <c r="W53" s="42">
        <v>1.1047302188656537E-2</v>
      </c>
    </row>
    <row r="54" spans="1:23" x14ac:dyDescent="0.2">
      <c r="A54" s="13" t="s">
        <v>222</v>
      </c>
      <c r="C54" s="3">
        <v>9791998</v>
      </c>
      <c r="E54" s="3">
        <v>33193818864</v>
      </c>
      <c r="G54" s="3">
        <v>47415572575</v>
      </c>
      <c r="I54" s="3">
        <v>0</v>
      </c>
      <c r="J54" s="3">
        <v>0</v>
      </c>
      <c r="L54" s="3">
        <v>0</v>
      </c>
      <c r="M54" s="3">
        <v>0</v>
      </c>
      <c r="O54" s="3">
        <f t="shared" si="0"/>
        <v>9791998</v>
      </c>
      <c r="Q54" s="3">
        <v>5780</v>
      </c>
      <c r="S54" s="3">
        <v>33193818864</v>
      </c>
      <c r="U54" s="3">
        <v>56646063137</v>
      </c>
      <c r="W54" s="42">
        <v>2.2870131231417447E-3</v>
      </c>
    </row>
    <row r="55" spans="1:23" x14ac:dyDescent="0.2">
      <c r="A55" s="13" t="s">
        <v>223</v>
      </c>
      <c r="C55" s="3">
        <v>10941094</v>
      </c>
      <c r="E55" s="3">
        <v>152583287697</v>
      </c>
      <c r="G55" s="3">
        <v>205948171944</v>
      </c>
      <c r="I55" s="3">
        <v>1600000</v>
      </c>
      <c r="J55" s="3">
        <v>33416785693</v>
      </c>
      <c r="L55" s="3">
        <v>0</v>
      </c>
      <c r="M55" s="3">
        <v>0</v>
      </c>
      <c r="O55" s="3">
        <f t="shared" si="0"/>
        <v>12541094</v>
      </c>
      <c r="Q55" s="3">
        <v>20490</v>
      </c>
      <c r="S55" s="3">
        <v>186000073390</v>
      </c>
      <c r="U55" s="3">
        <v>254109570432</v>
      </c>
      <c r="W55" s="42">
        <v>1.0259352373497947E-2</v>
      </c>
    </row>
    <row r="56" spans="1:23" x14ac:dyDescent="0.2">
      <c r="A56" s="13" t="s">
        <v>157</v>
      </c>
      <c r="C56" s="3">
        <v>80326024</v>
      </c>
      <c r="E56" s="3">
        <v>107976579827</v>
      </c>
      <c r="G56" s="3">
        <v>164591039418</v>
      </c>
      <c r="I56" s="3">
        <v>0</v>
      </c>
      <c r="J56" s="3">
        <v>0</v>
      </c>
      <c r="L56" s="3">
        <v>0</v>
      </c>
      <c r="M56" s="3">
        <v>0</v>
      </c>
      <c r="O56" s="3">
        <f t="shared" si="0"/>
        <v>80326024</v>
      </c>
      <c r="Q56" s="3">
        <v>2228</v>
      </c>
      <c r="S56" s="3">
        <v>107976579827</v>
      </c>
      <c r="U56" s="3">
        <v>175351228436</v>
      </c>
      <c r="W56" s="42">
        <v>7.0795839707740128E-3</v>
      </c>
    </row>
    <row r="57" spans="1:23" x14ac:dyDescent="0.2">
      <c r="A57" s="13" t="s">
        <v>224</v>
      </c>
      <c r="C57" s="3">
        <v>24486301</v>
      </c>
      <c r="E57" s="3">
        <v>37215382697</v>
      </c>
      <c r="G57" s="3">
        <v>62005999872</v>
      </c>
      <c r="I57" s="3">
        <v>0</v>
      </c>
      <c r="J57" s="3">
        <v>0</v>
      </c>
      <c r="L57" s="3">
        <v>0</v>
      </c>
      <c r="M57" s="3">
        <v>0</v>
      </c>
      <c r="O57" s="3">
        <f t="shared" si="0"/>
        <v>24486301</v>
      </c>
      <c r="Q57" s="3">
        <v>3980</v>
      </c>
      <c r="S57" s="3">
        <v>37215382697</v>
      </c>
      <c r="U57" s="3">
        <v>96702147135</v>
      </c>
      <c r="W57" s="42">
        <v>3.9042268303597694E-3</v>
      </c>
    </row>
    <row r="58" spans="1:23" x14ac:dyDescent="0.2">
      <c r="A58" s="13" t="s">
        <v>225</v>
      </c>
      <c r="C58" s="3">
        <v>8656771</v>
      </c>
      <c r="E58" s="3">
        <v>80257724303</v>
      </c>
      <c r="G58" s="3">
        <v>218869484001</v>
      </c>
      <c r="I58" s="3">
        <v>0</v>
      </c>
      <c r="J58" s="3">
        <v>0</v>
      </c>
      <c r="L58" s="3">
        <v>0</v>
      </c>
      <c r="M58" s="3">
        <v>0</v>
      </c>
      <c r="O58" s="3">
        <f t="shared" si="0"/>
        <v>8656771</v>
      </c>
      <c r="Q58" s="3">
        <v>28720</v>
      </c>
      <c r="S58" s="3">
        <v>80257724303</v>
      </c>
      <c r="U58" s="3">
        <v>246700611480</v>
      </c>
      <c r="W58" s="42">
        <v>9.9602250305957218E-3</v>
      </c>
    </row>
    <row r="59" spans="1:23" x14ac:dyDescent="0.2">
      <c r="A59" s="13" t="s">
        <v>226</v>
      </c>
      <c r="C59" s="3">
        <v>3436571</v>
      </c>
      <c r="E59" s="3">
        <v>5700110608</v>
      </c>
      <c r="G59" s="3">
        <v>6895032751</v>
      </c>
      <c r="I59" s="3">
        <v>0</v>
      </c>
      <c r="J59" s="3">
        <v>0</v>
      </c>
      <c r="L59" s="3">
        <v>1500000</v>
      </c>
      <c r="M59" s="3">
        <v>2977840880</v>
      </c>
      <c r="O59" s="3">
        <f t="shared" si="0"/>
        <v>1936571</v>
      </c>
      <c r="Q59" s="3">
        <v>2296</v>
      </c>
      <c r="S59" s="3">
        <v>3212117224</v>
      </c>
      <c r="U59" s="3">
        <v>4417761403</v>
      </c>
      <c r="W59" s="42">
        <v>1.7836152671606777E-4</v>
      </c>
    </row>
    <row r="60" spans="1:23" x14ac:dyDescent="0.2">
      <c r="A60" s="13" t="s">
        <v>227</v>
      </c>
      <c r="C60" s="3">
        <v>7684640</v>
      </c>
      <c r="E60" s="3">
        <v>18967604894</v>
      </c>
      <c r="G60" s="3">
        <v>22105564187</v>
      </c>
      <c r="I60" s="3">
        <v>0</v>
      </c>
      <c r="J60" s="3">
        <v>0</v>
      </c>
      <c r="L60" s="3">
        <v>2323319</v>
      </c>
      <c r="M60" s="3">
        <v>7073377057</v>
      </c>
      <c r="O60" s="3">
        <f t="shared" si="0"/>
        <v>5361321</v>
      </c>
      <c r="Q60" s="3">
        <v>3310</v>
      </c>
      <c r="S60" s="3">
        <v>13233075126</v>
      </c>
      <c r="U60" s="3">
        <v>17449199803</v>
      </c>
      <c r="W60" s="42">
        <v>7.0448936303425542E-4</v>
      </c>
    </row>
    <row r="61" spans="1:23" x14ac:dyDescent="0.2">
      <c r="A61" s="13" t="s">
        <v>228</v>
      </c>
      <c r="C61" s="3">
        <v>62313759</v>
      </c>
      <c r="E61" s="3">
        <v>128846889103</v>
      </c>
      <c r="G61" s="3">
        <v>172387821316</v>
      </c>
      <c r="I61" s="3">
        <v>0</v>
      </c>
      <c r="J61" s="3">
        <v>0</v>
      </c>
      <c r="L61" s="3">
        <v>0</v>
      </c>
      <c r="M61" s="3">
        <v>0</v>
      </c>
      <c r="O61" s="3">
        <f t="shared" si="0"/>
        <v>62313759</v>
      </c>
      <c r="Q61" s="3">
        <v>2770</v>
      </c>
      <c r="S61" s="3">
        <v>128846889103</v>
      </c>
      <c r="U61" s="3">
        <v>170656523254</v>
      </c>
      <c r="W61" s="42">
        <v>6.8900411894063443E-3</v>
      </c>
    </row>
    <row r="62" spans="1:23" x14ac:dyDescent="0.2">
      <c r="A62" s="13" t="s">
        <v>229</v>
      </c>
      <c r="C62" s="3">
        <v>1229748</v>
      </c>
      <c r="E62" s="3">
        <v>17364091733</v>
      </c>
      <c r="G62" s="3">
        <v>20622090611</v>
      </c>
      <c r="I62" s="3">
        <v>0</v>
      </c>
      <c r="J62" s="3">
        <v>0</v>
      </c>
      <c r="L62" s="3">
        <v>0</v>
      </c>
      <c r="M62" s="3">
        <v>0</v>
      </c>
      <c r="O62" s="3">
        <f t="shared" si="0"/>
        <v>1229748</v>
      </c>
      <c r="Q62" s="3">
        <v>24120</v>
      </c>
      <c r="S62" s="3">
        <v>17364091733</v>
      </c>
      <c r="U62" s="3">
        <v>29432238197</v>
      </c>
      <c r="W62" s="42">
        <v>1.1882893756831271E-3</v>
      </c>
    </row>
    <row r="63" spans="1:23" x14ac:dyDescent="0.2">
      <c r="A63" s="13" t="s">
        <v>230</v>
      </c>
      <c r="C63" s="3">
        <v>36687225</v>
      </c>
      <c r="E63" s="3">
        <v>81632652727</v>
      </c>
      <c r="G63" s="3">
        <v>154715439191</v>
      </c>
      <c r="I63" s="3">
        <v>0</v>
      </c>
      <c r="J63" s="3">
        <v>0</v>
      </c>
      <c r="L63" s="3">
        <v>3687225</v>
      </c>
      <c r="M63" s="3">
        <v>13923354847</v>
      </c>
      <c r="O63" s="3">
        <f t="shared" si="0"/>
        <v>33000000</v>
      </c>
      <c r="Q63" s="3">
        <v>3720</v>
      </c>
      <c r="S63" s="3">
        <v>73428217588</v>
      </c>
      <c r="U63" s="3">
        <v>121483616100</v>
      </c>
      <c r="W63" s="42">
        <v>4.9047472830629621E-3</v>
      </c>
    </row>
    <row r="64" spans="1:23" x14ac:dyDescent="0.2">
      <c r="A64" s="13" t="s">
        <v>231</v>
      </c>
      <c r="C64" s="3">
        <v>8578139</v>
      </c>
      <c r="E64" s="3">
        <v>24648604361</v>
      </c>
      <c r="G64" s="3">
        <v>22530813972</v>
      </c>
      <c r="I64" s="3">
        <v>0</v>
      </c>
      <c r="J64" s="3">
        <v>0</v>
      </c>
      <c r="L64" s="3">
        <v>0</v>
      </c>
      <c r="M64" s="3">
        <v>0</v>
      </c>
      <c r="O64" s="3">
        <f t="shared" si="0"/>
        <v>8578139</v>
      </c>
      <c r="Q64" s="3">
        <v>3020</v>
      </c>
      <c r="S64" s="3">
        <v>24648604361</v>
      </c>
      <c r="U64" s="3">
        <v>25705726556</v>
      </c>
      <c r="W64" s="42">
        <v>1.0378361834481188E-3</v>
      </c>
    </row>
    <row r="65" spans="1:23" x14ac:dyDescent="0.2">
      <c r="A65" s="13" t="s">
        <v>232</v>
      </c>
      <c r="C65" s="3">
        <v>0</v>
      </c>
      <c r="E65" s="18">
        <v>0</v>
      </c>
      <c r="G65" s="18">
        <v>0</v>
      </c>
      <c r="I65" s="3">
        <v>1000000</v>
      </c>
      <c r="J65" s="3">
        <v>16193023600</v>
      </c>
      <c r="L65" s="3">
        <v>0</v>
      </c>
      <c r="M65" s="3">
        <v>0</v>
      </c>
      <c r="O65" s="3">
        <f t="shared" si="0"/>
        <v>1000000</v>
      </c>
      <c r="Q65" s="3">
        <v>16110</v>
      </c>
      <c r="S65" s="3">
        <v>16193023600</v>
      </c>
      <c r="U65" s="3">
        <v>16074774000</v>
      </c>
      <c r="W65" s="42">
        <v>6.4899866034158287E-4</v>
      </c>
    </row>
    <row r="66" spans="1:23" x14ac:dyDescent="0.2">
      <c r="A66" s="13" t="s">
        <v>98</v>
      </c>
      <c r="C66" s="3">
        <v>31240600</v>
      </c>
      <c r="E66" s="3">
        <v>139889383621</v>
      </c>
      <c r="G66" s="3">
        <v>169255141485</v>
      </c>
      <c r="I66" s="3">
        <v>11536772</v>
      </c>
      <c r="J66" s="3">
        <v>74782120638</v>
      </c>
      <c r="L66" s="3">
        <v>0</v>
      </c>
      <c r="M66" s="3">
        <v>0</v>
      </c>
      <c r="O66" s="3">
        <f t="shared" si="0"/>
        <v>42777372</v>
      </c>
      <c r="Q66" s="3">
        <v>5470</v>
      </c>
      <c r="S66" s="3">
        <v>214671504259</v>
      </c>
      <c r="U66" s="3">
        <v>231758997913</v>
      </c>
      <c r="W66" s="42">
        <v>9.3569762889135922E-3</v>
      </c>
    </row>
    <row r="67" spans="1:23" x14ac:dyDescent="0.2">
      <c r="A67" s="13" t="s">
        <v>233</v>
      </c>
      <c r="C67" s="3">
        <v>65955263</v>
      </c>
      <c r="E67" s="3">
        <v>139224499162</v>
      </c>
      <c r="G67" s="3">
        <v>149215577703</v>
      </c>
      <c r="I67" s="3">
        <v>0</v>
      </c>
      <c r="J67" s="3">
        <v>0</v>
      </c>
      <c r="L67" s="3">
        <v>0</v>
      </c>
      <c r="M67" s="3">
        <v>0</v>
      </c>
      <c r="O67" s="3">
        <f t="shared" si="0"/>
        <v>65955263</v>
      </c>
      <c r="Q67" s="3">
        <v>2649</v>
      </c>
      <c r="S67" s="3">
        <v>139224499162</v>
      </c>
      <c r="U67" s="3">
        <v>171728805216</v>
      </c>
      <c r="W67" s="42">
        <v>6.9333332168305829E-3</v>
      </c>
    </row>
    <row r="68" spans="1:23" x14ac:dyDescent="0.2">
      <c r="A68" s="13" t="s">
        <v>234</v>
      </c>
      <c r="C68" s="3">
        <v>286928701</v>
      </c>
      <c r="E68" s="3">
        <v>161462614485</v>
      </c>
      <c r="G68" s="3">
        <v>184207850165</v>
      </c>
      <c r="I68" s="3">
        <v>5000000</v>
      </c>
      <c r="J68" s="3">
        <v>3589537104</v>
      </c>
      <c r="L68" s="3">
        <v>0</v>
      </c>
      <c r="M68" s="3">
        <v>0</v>
      </c>
      <c r="O68" s="3">
        <f t="shared" si="0"/>
        <v>291928701</v>
      </c>
      <c r="Q68" s="3">
        <v>667</v>
      </c>
      <c r="S68" s="3">
        <v>165052151589</v>
      </c>
      <c r="U68" s="3">
        <v>192921613366</v>
      </c>
      <c r="W68" s="42">
        <v>7.7889660299716064E-3</v>
      </c>
    </row>
    <row r="69" spans="1:23" x14ac:dyDescent="0.2">
      <c r="A69" s="13" t="s">
        <v>53</v>
      </c>
      <c r="C69" s="3">
        <v>105191782</v>
      </c>
      <c r="E69" s="3">
        <v>155150676361</v>
      </c>
      <c r="G69" s="3">
        <v>170867849273</v>
      </c>
      <c r="I69" s="3">
        <v>2734466</v>
      </c>
      <c r="J69" s="3">
        <v>4474456905</v>
      </c>
      <c r="L69" s="3">
        <v>0</v>
      </c>
      <c r="M69" s="3">
        <v>0</v>
      </c>
      <c r="O69" s="3">
        <f t="shared" si="0"/>
        <v>107926248</v>
      </c>
      <c r="Q69" s="3">
        <v>1837</v>
      </c>
      <c r="S69" s="3">
        <v>159625133266</v>
      </c>
      <c r="U69" s="3">
        <v>196942147731</v>
      </c>
      <c r="W69" s="42">
        <v>7.951290017652074E-3</v>
      </c>
    </row>
    <row r="70" spans="1:23" x14ac:dyDescent="0.2">
      <c r="A70" s="13" t="s">
        <v>153</v>
      </c>
      <c r="C70" s="3">
        <v>85110564</v>
      </c>
      <c r="E70" s="3">
        <v>167841917164</v>
      </c>
      <c r="G70" s="3">
        <v>185880303208</v>
      </c>
      <c r="I70" s="3">
        <v>0</v>
      </c>
      <c r="J70" s="3">
        <v>0</v>
      </c>
      <c r="L70" s="3">
        <v>0</v>
      </c>
      <c r="M70" s="3">
        <v>0</v>
      </c>
      <c r="O70" s="3">
        <f t="shared" si="0"/>
        <v>85110564</v>
      </c>
      <c r="Q70" s="3">
        <v>2498</v>
      </c>
      <c r="S70" s="3">
        <v>167841917164</v>
      </c>
      <c r="U70" s="3">
        <v>209611500483</v>
      </c>
      <c r="W70" s="42">
        <v>8.4627991040904238E-3</v>
      </c>
    </row>
    <row r="71" spans="1:23" x14ac:dyDescent="0.2">
      <c r="A71" s="13" t="s">
        <v>58</v>
      </c>
      <c r="C71" s="3">
        <v>20222222</v>
      </c>
      <c r="E71" s="3">
        <v>83599003598</v>
      </c>
      <c r="G71" s="3">
        <v>185007636945</v>
      </c>
      <c r="I71" s="3">
        <v>0</v>
      </c>
      <c r="J71" s="3">
        <v>0</v>
      </c>
      <c r="L71" s="3">
        <v>0</v>
      </c>
      <c r="M71" s="3">
        <v>0</v>
      </c>
      <c r="O71" s="3">
        <f t="shared" si="0"/>
        <v>20222222</v>
      </c>
      <c r="Q71" s="3">
        <v>10900</v>
      </c>
      <c r="S71" s="3">
        <v>83599003598</v>
      </c>
      <c r="U71" s="3">
        <v>217715060830</v>
      </c>
      <c r="W71" s="42">
        <v>8.7899700994151595E-3</v>
      </c>
    </row>
    <row r="72" spans="1:23" x14ac:dyDescent="0.2">
      <c r="A72" s="13" t="s">
        <v>235</v>
      </c>
      <c r="C72" s="3">
        <v>3387852</v>
      </c>
      <c r="E72" s="3">
        <v>93413954974</v>
      </c>
      <c r="G72" s="3">
        <v>85285413245</v>
      </c>
      <c r="I72" s="3">
        <v>0</v>
      </c>
      <c r="J72" s="3">
        <v>0</v>
      </c>
      <c r="L72" s="3">
        <v>0</v>
      </c>
      <c r="M72" s="3">
        <v>0</v>
      </c>
      <c r="O72" s="3">
        <f t="shared" si="0"/>
        <v>3387852</v>
      </c>
      <c r="Q72" s="3">
        <v>27620</v>
      </c>
      <c r="S72" s="3">
        <v>93413954974</v>
      </c>
      <c r="U72" s="3">
        <v>92849157030</v>
      </c>
      <c r="W72" s="42">
        <v>3.7486672301778709E-3</v>
      </c>
    </row>
    <row r="73" spans="1:23" x14ac:dyDescent="0.2">
      <c r="A73" s="13" t="s">
        <v>236</v>
      </c>
      <c r="C73" s="3">
        <v>76000000</v>
      </c>
      <c r="E73" s="3">
        <v>98691625876</v>
      </c>
      <c r="G73" s="3">
        <v>123450295240</v>
      </c>
      <c r="I73" s="3">
        <v>0</v>
      </c>
      <c r="J73" s="3">
        <v>0</v>
      </c>
      <c r="L73" s="3">
        <v>15561008</v>
      </c>
      <c r="M73" s="3">
        <v>31657598813.597401</v>
      </c>
      <c r="O73" s="3">
        <f t="shared" si="0"/>
        <v>60438992</v>
      </c>
      <c r="Q73" s="3">
        <v>2211</v>
      </c>
      <c r="S73" s="3">
        <v>78484505089</v>
      </c>
      <c r="U73" s="3">
        <v>132597646687</v>
      </c>
      <c r="W73" s="42">
        <v>5.353462205086648E-3</v>
      </c>
    </row>
    <row r="74" spans="1:23" x14ac:dyDescent="0.2">
      <c r="A74" s="13" t="s">
        <v>145</v>
      </c>
      <c r="C74" s="3">
        <v>27517788</v>
      </c>
      <c r="E74" s="3">
        <v>89381097155</v>
      </c>
      <c r="G74" s="3">
        <v>119050129175</v>
      </c>
      <c r="I74" s="3">
        <v>0</v>
      </c>
      <c r="J74" s="3">
        <v>0</v>
      </c>
      <c r="L74" s="3">
        <v>0</v>
      </c>
      <c r="M74" s="3">
        <v>0</v>
      </c>
      <c r="O74" s="3">
        <f t="shared" si="0"/>
        <v>27517788</v>
      </c>
      <c r="Q74" s="3">
        <v>4600</v>
      </c>
      <c r="S74" s="3">
        <v>89381097155</v>
      </c>
      <c r="U74" s="3">
        <v>128879956354</v>
      </c>
      <c r="W74" s="42">
        <v>5.2033651620002662E-3</v>
      </c>
    </row>
    <row r="75" spans="1:23" x14ac:dyDescent="0.2">
      <c r="A75" s="13" t="s">
        <v>158</v>
      </c>
      <c r="C75" s="3">
        <v>42098225</v>
      </c>
      <c r="E75" s="3">
        <v>63035090071</v>
      </c>
      <c r="G75" s="3">
        <v>96160998769</v>
      </c>
      <c r="I75" s="3">
        <v>0</v>
      </c>
      <c r="J75" s="3">
        <v>0</v>
      </c>
      <c r="L75" s="3">
        <v>4000000</v>
      </c>
      <c r="M75" s="3">
        <v>9755998679</v>
      </c>
      <c r="O75" s="3">
        <f t="shared" ref="O75:O138" si="1">C75+I75-L75</f>
        <v>38098225</v>
      </c>
      <c r="Q75" s="3">
        <v>2466</v>
      </c>
      <c r="S75" s="3">
        <v>57045755360</v>
      </c>
      <c r="U75" s="3">
        <v>93072772724</v>
      </c>
      <c r="W75" s="42">
        <v>3.7576954308752714E-3</v>
      </c>
    </row>
    <row r="76" spans="1:23" x14ac:dyDescent="0.2">
      <c r="A76" s="13" t="s">
        <v>237</v>
      </c>
      <c r="C76" s="3">
        <v>725131</v>
      </c>
      <c r="E76" s="3">
        <v>51713535060</v>
      </c>
      <c r="G76" s="3">
        <v>61022977786</v>
      </c>
      <c r="I76" s="3">
        <v>0</v>
      </c>
      <c r="J76" s="3">
        <v>0</v>
      </c>
      <c r="L76" s="3">
        <v>125131</v>
      </c>
      <c r="M76" s="3">
        <v>12776547896</v>
      </c>
      <c r="O76" s="3">
        <f t="shared" si="1"/>
        <v>600000</v>
      </c>
      <c r="Q76" s="3">
        <v>91100</v>
      </c>
      <c r="S76" s="3">
        <v>42789676674</v>
      </c>
      <c r="U76" s="3">
        <v>54535159200</v>
      </c>
      <c r="W76" s="42">
        <v>2.20178804767737E-3</v>
      </c>
    </row>
    <row r="77" spans="1:23" x14ac:dyDescent="0.2">
      <c r="A77" s="13" t="s">
        <v>93</v>
      </c>
      <c r="C77" s="3">
        <v>84676761</v>
      </c>
      <c r="E77" s="3">
        <v>167652393473</v>
      </c>
      <c r="G77" s="3">
        <v>204846147096</v>
      </c>
      <c r="I77" s="3">
        <v>0</v>
      </c>
      <c r="J77" s="3">
        <v>0</v>
      </c>
      <c r="L77" s="3">
        <v>0</v>
      </c>
      <c r="M77" s="3">
        <v>0</v>
      </c>
      <c r="O77" s="3">
        <f t="shared" si="1"/>
        <v>84676761</v>
      </c>
      <c r="Q77" s="3">
        <v>2691</v>
      </c>
      <c r="S77" s="3">
        <v>167652393473</v>
      </c>
      <c r="U77" s="3">
        <v>224255277522</v>
      </c>
      <c r="W77" s="42">
        <v>9.0540230728163185E-3</v>
      </c>
    </row>
    <row r="78" spans="1:23" x14ac:dyDescent="0.2">
      <c r="A78" s="13" t="s">
        <v>81</v>
      </c>
      <c r="C78" s="3">
        <v>44537340</v>
      </c>
      <c r="E78" s="3">
        <v>169715243982</v>
      </c>
      <c r="G78" s="3">
        <v>208149342564</v>
      </c>
      <c r="I78" s="3">
        <v>8430124</v>
      </c>
      <c r="J78" s="3">
        <v>52606414326</v>
      </c>
      <c r="L78" s="3">
        <v>0</v>
      </c>
      <c r="M78" s="3">
        <v>0</v>
      </c>
      <c r="O78" s="3">
        <f t="shared" si="1"/>
        <v>52967464</v>
      </c>
      <c r="Q78" s="3">
        <v>5970</v>
      </c>
      <c r="S78" s="3">
        <v>222321658308</v>
      </c>
      <c r="U78" s="3">
        <v>313245832000</v>
      </c>
      <c r="W78" s="42">
        <v>1.2646904107366269E-2</v>
      </c>
    </row>
    <row r="79" spans="1:23" x14ac:dyDescent="0.2">
      <c r="A79" s="13" t="s">
        <v>238</v>
      </c>
      <c r="C79" s="3">
        <v>930925</v>
      </c>
      <c r="E79" s="3">
        <v>38616528596</v>
      </c>
      <c r="G79" s="3">
        <v>74766621193</v>
      </c>
      <c r="I79" s="3">
        <v>0</v>
      </c>
      <c r="J79" s="3">
        <v>0</v>
      </c>
      <c r="L79" s="3">
        <v>0</v>
      </c>
      <c r="M79" s="3">
        <v>0</v>
      </c>
      <c r="O79" s="3">
        <f t="shared" si="1"/>
        <v>930925</v>
      </c>
      <c r="Q79" s="3">
        <v>80080</v>
      </c>
      <c r="S79" s="3">
        <v>38616528596</v>
      </c>
      <c r="U79" s="3">
        <v>74267807560</v>
      </c>
      <c r="W79" s="42">
        <v>2.9984687568824593E-3</v>
      </c>
    </row>
    <row r="80" spans="1:23" x14ac:dyDescent="0.2">
      <c r="A80" s="13" t="s">
        <v>60</v>
      </c>
      <c r="C80" s="3">
        <v>10302604</v>
      </c>
      <c r="E80" s="3">
        <v>91414532389</v>
      </c>
      <c r="G80" s="3">
        <v>137498877516</v>
      </c>
      <c r="I80" s="3">
        <v>4000000</v>
      </c>
      <c r="J80" s="3">
        <v>76683742447</v>
      </c>
      <c r="L80" s="3">
        <v>0</v>
      </c>
      <c r="M80" s="3">
        <v>0</v>
      </c>
      <c r="O80" s="3">
        <f t="shared" si="1"/>
        <v>14302604</v>
      </c>
      <c r="Q80" s="3">
        <v>17980</v>
      </c>
      <c r="S80" s="3">
        <v>168098274836</v>
      </c>
      <c r="U80" s="3">
        <v>255031046333</v>
      </c>
      <c r="W80" s="42">
        <v>1.0296555797028881E-2</v>
      </c>
    </row>
    <row r="81" spans="1:23" x14ac:dyDescent="0.2">
      <c r="A81" s="13" t="s">
        <v>239</v>
      </c>
      <c r="C81" s="3">
        <v>9994150</v>
      </c>
      <c r="E81" s="3">
        <v>17660904855</v>
      </c>
      <c r="G81" s="3">
        <v>24831905632</v>
      </c>
      <c r="I81" s="3">
        <v>0</v>
      </c>
      <c r="J81" s="3">
        <v>0</v>
      </c>
      <c r="L81" s="3">
        <v>0</v>
      </c>
      <c r="M81" s="3">
        <v>0</v>
      </c>
      <c r="O81" s="3">
        <f t="shared" si="1"/>
        <v>9994150</v>
      </c>
      <c r="Q81" s="3">
        <v>2662</v>
      </c>
      <c r="S81" s="3">
        <v>17660904855</v>
      </c>
      <c r="U81" s="3">
        <v>26478110239</v>
      </c>
      <c r="W81" s="42">
        <v>1.0690201973282951E-3</v>
      </c>
    </row>
    <row r="82" spans="1:23" x14ac:dyDescent="0.2">
      <c r="A82" s="13" t="s">
        <v>240</v>
      </c>
      <c r="C82" s="3">
        <v>5243789</v>
      </c>
      <c r="E82" s="3">
        <v>23580180508</v>
      </c>
      <c r="G82" s="3">
        <v>24559361292</v>
      </c>
      <c r="I82" s="3">
        <v>0</v>
      </c>
      <c r="J82" s="3">
        <v>0</v>
      </c>
      <c r="L82" s="3">
        <v>0</v>
      </c>
      <c r="M82" s="3">
        <v>0</v>
      </c>
      <c r="O82" s="3">
        <f t="shared" si="1"/>
        <v>5243789</v>
      </c>
      <c r="Q82" s="3">
        <v>4790</v>
      </c>
      <c r="S82" s="3">
        <v>23580180508</v>
      </c>
      <c r="U82" s="3">
        <v>24455296202</v>
      </c>
      <c r="W82" s="42">
        <v>9.8735164011354683E-4</v>
      </c>
    </row>
    <row r="83" spans="1:23" s="33" customFormat="1" x14ac:dyDescent="0.2">
      <c r="A83" s="32" t="s">
        <v>241</v>
      </c>
      <c r="C83" s="34">
        <v>31742081</v>
      </c>
      <c r="E83" s="34">
        <v>98756308516</v>
      </c>
      <c r="G83" s="34">
        <v>82489895836</v>
      </c>
      <c r="I83" s="34">
        <v>0</v>
      </c>
      <c r="J83" s="34">
        <v>0</v>
      </c>
      <c r="L83" s="34">
        <v>0</v>
      </c>
      <c r="M83" s="34">
        <v>0</v>
      </c>
      <c r="O83" s="3">
        <f t="shared" si="1"/>
        <v>31742081</v>
      </c>
      <c r="Q83" s="34">
        <v>4978</v>
      </c>
      <c r="S83" s="34">
        <v>98756308516</v>
      </c>
      <c r="U83" s="34">
        <v>153672471089</v>
      </c>
      <c r="W83" s="42">
        <v>6.2043315736906544E-3</v>
      </c>
    </row>
    <row r="84" spans="1:23" x14ac:dyDescent="0.2">
      <c r="A84" s="13" t="s">
        <v>242</v>
      </c>
      <c r="C84" s="3">
        <v>4980360</v>
      </c>
      <c r="E84" s="3">
        <v>43628602856</v>
      </c>
      <c r="G84" s="3">
        <v>47738385154</v>
      </c>
      <c r="I84" s="3">
        <v>0</v>
      </c>
      <c r="J84" s="3">
        <v>0</v>
      </c>
      <c r="L84" s="3">
        <v>0</v>
      </c>
      <c r="M84" s="3">
        <v>0</v>
      </c>
      <c r="O84" s="3">
        <f t="shared" si="1"/>
        <v>4980360</v>
      </c>
      <c r="Q84" s="3">
        <v>12870</v>
      </c>
      <c r="S84" s="3">
        <v>43628602856</v>
      </c>
      <c r="U84" s="3">
        <v>63601761587</v>
      </c>
      <c r="W84" s="42">
        <v>2.5678406468002436E-3</v>
      </c>
    </row>
    <row r="85" spans="1:23" x14ac:dyDescent="0.2">
      <c r="A85" s="13" t="s">
        <v>243</v>
      </c>
      <c r="C85" s="3">
        <v>19463545</v>
      </c>
      <c r="E85" s="3">
        <v>91709813946</v>
      </c>
      <c r="G85" s="3">
        <v>103518172033</v>
      </c>
      <c r="I85" s="3">
        <v>0</v>
      </c>
      <c r="J85" s="3">
        <v>0</v>
      </c>
      <c r="L85" s="3">
        <v>0</v>
      </c>
      <c r="M85" s="3">
        <v>0</v>
      </c>
      <c r="O85" s="3">
        <f t="shared" si="1"/>
        <v>19463545</v>
      </c>
      <c r="Q85" s="3">
        <v>7340</v>
      </c>
      <c r="S85" s="3">
        <v>91709813946</v>
      </c>
      <c r="U85" s="3">
        <v>137509213596</v>
      </c>
      <c r="W85" s="42">
        <v>5.5517605042800953E-3</v>
      </c>
    </row>
    <row r="86" spans="1:23" x14ac:dyDescent="0.2">
      <c r="A86" s="13" t="s">
        <v>144</v>
      </c>
      <c r="C86" s="3">
        <v>24292197</v>
      </c>
      <c r="E86" s="3">
        <v>38886953203</v>
      </c>
      <c r="G86" s="3">
        <v>43773623664</v>
      </c>
      <c r="I86" s="3">
        <v>0</v>
      </c>
      <c r="J86" s="3">
        <v>0</v>
      </c>
      <c r="L86" s="3">
        <v>0</v>
      </c>
      <c r="M86" s="3">
        <v>0</v>
      </c>
      <c r="O86" s="3">
        <f t="shared" si="1"/>
        <v>24292197</v>
      </c>
      <c r="Q86" s="3">
        <v>2714</v>
      </c>
      <c r="S86" s="3">
        <v>38886953203</v>
      </c>
      <c r="U86" s="3">
        <v>63274098083</v>
      </c>
      <c r="W86" s="42">
        <v>2.5546116474290037E-3</v>
      </c>
    </row>
    <row r="87" spans="1:23" x14ac:dyDescent="0.2">
      <c r="A87" s="13" t="s">
        <v>244</v>
      </c>
      <c r="C87" s="3">
        <v>5817302</v>
      </c>
      <c r="E87" s="3">
        <v>39238446032</v>
      </c>
      <c r="G87" s="3">
        <v>39194149595</v>
      </c>
      <c r="I87" s="3">
        <v>0</v>
      </c>
      <c r="J87" s="3">
        <v>0</v>
      </c>
      <c r="L87" s="3">
        <v>0</v>
      </c>
      <c r="M87" s="3">
        <v>0</v>
      </c>
      <c r="O87" s="3">
        <f t="shared" si="1"/>
        <v>5817302</v>
      </c>
      <c r="Q87" s="3">
        <v>3710</v>
      </c>
      <c r="S87" s="3">
        <v>19388979736</v>
      </c>
      <c r="U87" s="3">
        <v>21415360088</v>
      </c>
      <c r="W87" s="42">
        <v>8.6461806603592688E-4</v>
      </c>
    </row>
    <row r="88" spans="1:23" x14ac:dyDescent="0.2">
      <c r="A88" s="13" t="s">
        <v>245</v>
      </c>
      <c r="C88" s="3">
        <v>8649791</v>
      </c>
      <c r="E88" s="3">
        <v>40071651343</v>
      </c>
      <c r="G88" s="3">
        <v>45489519013</v>
      </c>
      <c r="I88" s="3">
        <v>4710310</v>
      </c>
      <c r="J88" s="3">
        <v>30647634823.983002</v>
      </c>
      <c r="L88" s="3">
        <v>0</v>
      </c>
      <c r="M88" s="3">
        <v>0</v>
      </c>
      <c r="O88" s="3">
        <f t="shared" si="1"/>
        <v>13360101</v>
      </c>
      <c r="Q88" s="3">
        <v>6000</v>
      </c>
      <c r="S88" s="3">
        <v>70719286167</v>
      </c>
      <c r="U88" s="3">
        <v>79275827967</v>
      </c>
      <c r="W88" s="42">
        <v>3.2006612440120641E-3</v>
      </c>
    </row>
    <row r="89" spans="1:23" x14ac:dyDescent="0.2">
      <c r="A89" s="13" t="s">
        <v>80</v>
      </c>
      <c r="C89" s="3">
        <v>3891738</v>
      </c>
      <c r="E89" s="3">
        <v>14012237116</v>
      </c>
      <c r="G89" s="3">
        <v>20930169370</v>
      </c>
      <c r="I89" s="3">
        <v>0</v>
      </c>
      <c r="J89" s="3">
        <v>0</v>
      </c>
      <c r="L89" s="3">
        <v>0</v>
      </c>
      <c r="M89" s="3">
        <v>0</v>
      </c>
      <c r="O89" s="3">
        <f t="shared" si="1"/>
        <v>3891738</v>
      </c>
      <c r="Q89" s="3">
        <v>5050</v>
      </c>
      <c r="S89" s="3">
        <v>14012237116</v>
      </c>
      <c r="U89" s="3">
        <v>19385507424</v>
      </c>
      <c r="W89" s="42">
        <v>7.8266533316224593E-4</v>
      </c>
    </row>
    <row r="90" spans="1:23" x14ac:dyDescent="0.2">
      <c r="A90" s="13" t="s">
        <v>246</v>
      </c>
      <c r="C90" s="3">
        <v>21355798</v>
      </c>
      <c r="E90" s="3">
        <v>28155042764</v>
      </c>
      <c r="G90" s="3">
        <v>39859739959</v>
      </c>
      <c r="I90" s="3">
        <v>0</v>
      </c>
      <c r="J90" s="3">
        <v>0</v>
      </c>
      <c r="L90" s="3">
        <v>9355798</v>
      </c>
      <c r="M90" s="3">
        <v>20193391639</v>
      </c>
      <c r="O90" s="3">
        <f t="shared" si="1"/>
        <v>12000000</v>
      </c>
      <c r="Q90" s="3">
        <v>2175</v>
      </c>
      <c r="S90" s="3">
        <v>15820552019</v>
      </c>
      <c r="U90" s="3">
        <v>25874432520</v>
      </c>
      <c r="W90" s="42">
        <v>1.0446474732757477E-3</v>
      </c>
    </row>
    <row r="91" spans="1:23" x14ac:dyDescent="0.2">
      <c r="A91" s="13" t="s">
        <v>247</v>
      </c>
      <c r="C91" s="3">
        <v>2364070</v>
      </c>
      <c r="E91" s="3">
        <v>6845053436</v>
      </c>
      <c r="G91" s="3">
        <v>8444864660</v>
      </c>
      <c r="I91" s="3">
        <v>0</v>
      </c>
      <c r="J91" s="3">
        <v>0</v>
      </c>
      <c r="L91" s="3">
        <v>0</v>
      </c>
      <c r="M91" s="3">
        <v>0</v>
      </c>
      <c r="O91" s="3">
        <f t="shared" si="1"/>
        <v>2364070</v>
      </c>
      <c r="Q91" s="3">
        <v>3650</v>
      </c>
      <c r="S91" s="3">
        <v>6845053436</v>
      </c>
      <c r="U91" s="3">
        <v>8468322617</v>
      </c>
      <c r="W91" s="42">
        <v>3.4189781043100992E-4</v>
      </c>
    </row>
    <row r="92" spans="1:23" x14ac:dyDescent="0.2">
      <c r="A92" s="13" t="s">
        <v>248</v>
      </c>
      <c r="C92" s="3">
        <v>22670431</v>
      </c>
      <c r="E92" s="3">
        <v>65490107572</v>
      </c>
      <c r="G92" s="3">
        <v>62266681957</v>
      </c>
      <c r="I92" s="3">
        <v>0</v>
      </c>
      <c r="J92" s="3">
        <v>0</v>
      </c>
      <c r="L92" s="3">
        <v>0</v>
      </c>
      <c r="M92" s="3">
        <v>0</v>
      </c>
      <c r="O92" s="3">
        <f t="shared" si="1"/>
        <v>22670431</v>
      </c>
      <c r="Q92" s="3">
        <v>3070</v>
      </c>
      <c r="S92" s="3">
        <v>65490107572</v>
      </c>
      <c r="U92" s="3">
        <v>69510132676</v>
      </c>
      <c r="W92" s="42">
        <v>2.8063836534740509E-3</v>
      </c>
    </row>
    <row r="93" spans="1:23" x14ac:dyDescent="0.2">
      <c r="A93" s="13" t="s">
        <v>249</v>
      </c>
      <c r="C93" s="3">
        <v>3837529</v>
      </c>
      <c r="E93" s="3">
        <v>8635543368</v>
      </c>
      <c r="G93" s="3">
        <v>10639174533</v>
      </c>
      <c r="I93" s="3">
        <v>0</v>
      </c>
      <c r="J93" s="3">
        <v>0</v>
      </c>
      <c r="L93" s="3">
        <v>0</v>
      </c>
      <c r="M93" s="3">
        <v>0</v>
      </c>
      <c r="O93" s="3">
        <f t="shared" si="1"/>
        <v>3837529</v>
      </c>
      <c r="Q93" s="3">
        <v>3420</v>
      </c>
      <c r="S93" s="3">
        <v>8635543368</v>
      </c>
      <c r="U93" s="3">
        <v>12870583365</v>
      </c>
      <c r="W93" s="42">
        <v>5.1963351781491056E-4</v>
      </c>
    </row>
    <row r="94" spans="1:23" x14ac:dyDescent="0.2">
      <c r="A94" s="13" t="s">
        <v>110</v>
      </c>
      <c r="C94" s="3">
        <v>86648549</v>
      </c>
      <c r="E94" s="3">
        <v>166185553958</v>
      </c>
      <c r="G94" s="3">
        <v>244867496280</v>
      </c>
      <c r="I94" s="3">
        <v>1000000</v>
      </c>
      <c r="J94" s="3">
        <v>3609590400</v>
      </c>
      <c r="L94" s="3">
        <v>9257835</v>
      </c>
      <c r="M94" s="3">
        <v>25308251347</v>
      </c>
      <c r="O94" s="3">
        <f t="shared" si="1"/>
        <v>78390714</v>
      </c>
      <c r="Q94" s="3">
        <v>3260</v>
      </c>
      <c r="S94" s="3">
        <v>152039296676</v>
      </c>
      <c r="U94" s="3">
        <v>252800449788</v>
      </c>
      <c r="W94" s="42">
        <v>1.0206498283967263E-2</v>
      </c>
    </row>
    <row r="95" spans="1:23" x14ac:dyDescent="0.2">
      <c r="A95" s="13" t="s">
        <v>182</v>
      </c>
      <c r="C95" s="3">
        <v>3000000</v>
      </c>
      <c r="E95" s="3">
        <v>42307690302</v>
      </c>
      <c r="G95" s="3">
        <v>87577750200</v>
      </c>
      <c r="I95" s="3">
        <v>14017350</v>
      </c>
      <c r="J95" s="3">
        <v>281695386640.67651</v>
      </c>
      <c r="L95" s="3">
        <v>0</v>
      </c>
      <c r="M95" s="3">
        <v>0</v>
      </c>
      <c r="O95" s="3">
        <f t="shared" si="1"/>
        <v>17017350</v>
      </c>
      <c r="Q95" s="3">
        <v>11443</v>
      </c>
      <c r="S95" s="3">
        <v>119345925555</v>
      </c>
      <c r="U95" s="3">
        <v>194186767672</v>
      </c>
      <c r="W95" s="42">
        <v>7.8400450342375073E-3</v>
      </c>
    </row>
    <row r="96" spans="1:23" x14ac:dyDescent="0.2">
      <c r="A96" s="13" t="s">
        <v>250</v>
      </c>
      <c r="C96" s="3">
        <v>28431228</v>
      </c>
      <c r="E96" s="3">
        <v>40393340440</v>
      </c>
      <c r="G96" s="3">
        <v>83788020184</v>
      </c>
      <c r="I96" s="3">
        <v>0</v>
      </c>
      <c r="J96" s="3">
        <v>0</v>
      </c>
      <c r="L96" s="3">
        <v>5000000</v>
      </c>
      <c r="M96" s="3">
        <v>13911207319</v>
      </c>
      <c r="O96" s="3">
        <f t="shared" si="1"/>
        <v>23431228</v>
      </c>
      <c r="Q96" s="3">
        <v>3010</v>
      </c>
      <c r="S96" s="3">
        <v>33289647901</v>
      </c>
      <c r="U96" s="3">
        <v>69517812777</v>
      </c>
      <c r="W96" s="42">
        <v>2.8066937278340568E-3</v>
      </c>
    </row>
    <row r="97" spans="1:23" x14ac:dyDescent="0.2">
      <c r="A97" s="13" t="s">
        <v>129</v>
      </c>
      <c r="C97" s="3">
        <v>6154842</v>
      </c>
      <c r="E97" s="3">
        <v>82678919993</v>
      </c>
      <c r="G97" s="3">
        <v>68834984619</v>
      </c>
      <c r="I97" s="3">
        <v>0</v>
      </c>
      <c r="J97" s="3">
        <v>0</v>
      </c>
      <c r="L97" s="3">
        <v>0</v>
      </c>
      <c r="M97" s="3">
        <v>0</v>
      </c>
      <c r="O97" s="3">
        <f t="shared" si="1"/>
        <v>6154842</v>
      </c>
      <c r="Q97" s="3">
        <v>12210</v>
      </c>
      <c r="S97" s="3">
        <v>82678919993</v>
      </c>
      <c r="U97" s="3">
        <v>73775762062</v>
      </c>
      <c r="W97" s="42">
        <v>2.9786030425010871E-3</v>
      </c>
    </row>
    <row r="98" spans="1:23" x14ac:dyDescent="0.2">
      <c r="A98" s="13" t="s">
        <v>251</v>
      </c>
      <c r="C98" s="3">
        <v>7049594</v>
      </c>
      <c r="E98" s="3">
        <v>17325821464</v>
      </c>
      <c r="G98" s="3">
        <v>20985301915</v>
      </c>
      <c r="I98" s="3">
        <v>0</v>
      </c>
      <c r="J98" s="3">
        <v>0</v>
      </c>
      <c r="L98" s="3">
        <v>1049594</v>
      </c>
      <c r="M98" s="3">
        <v>3614355423</v>
      </c>
      <c r="O98" s="3">
        <f t="shared" si="1"/>
        <v>6000000</v>
      </c>
      <c r="Q98" s="3">
        <v>3260</v>
      </c>
      <c r="S98" s="3">
        <v>14746229184</v>
      </c>
      <c r="U98" s="3">
        <v>19527873600</v>
      </c>
      <c r="W98" s="42">
        <v>7.8841318737792282E-4</v>
      </c>
    </row>
    <row r="99" spans="1:23" x14ac:dyDescent="0.2">
      <c r="A99" s="13" t="s">
        <v>252</v>
      </c>
      <c r="C99" s="3">
        <v>43000000</v>
      </c>
      <c r="E99" s="3">
        <v>95945811715</v>
      </c>
      <c r="G99" s="3">
        <v>118957296680</v>
      </c>
      <c r="I99" s="3">
        <v>0</v>
      </c>
      <c r="J99" s="3">
        <v>0</v>
      </c>
      <c r="L99" s="3">
        <v>4000000</v>
      </c>
      <c r="M99" s="3">
        <v>12859819293</v>
      </c>
      <c r="O99" s="3">
        <f t="shared" si="1"/>
        <v>39000000</v>
      </c>
      <c r="Q99" s="3">
        <v>3130</v>
      </c>
      <c r="S99" s="3">
        <v>87020619927</v>
      </c>
      <c r="U99" s="3">
        <v>121126398900</v>
      </c>
      <c r="W99" s="42">
        <v>4.8903250906109268E-3</v>
      </c>
    </row>
    <row r="100" spans="1:23" x14ac:dyDescent="0.2">
      <c r="A100" s="13" t="s">
        <v>253</v>
      </c>
      <c r="C100" s="3">
        <v>0</v>
      </c>
      <c r="E100" s="18">
        <v>0</v>
      </c>
      <c r="G100" s="18">
        <v>0</v>
      </c>
      <c r="I100" s="3">
        <v>600000</v>
      </c>
      <c r="J100" s="3">
        <v>16000512036</v>
      </c>
      <c r="L100" s="3">
        <v>0</v>
      </c>
      <c r="M100" s="3">
        <v>0</v>
      </c>
      <c r="O100" s="3">
        <f t="shared" si="1"/>
        <v>600000</v>
      </c>
      <c r="Q100" s="3">
        <v>24310</v>
      </c>
      <c r="S100" s="3">
        <v>16000512036</v>
      </c>
      <c r="U100" s="3">
        <v>14383945920</v>
      </c>
      <c r="W100" s="42">
        <v>5.8073361606861631E-4</v>
      </c>
    </row>
    <row r="101" spans="1:23" x14ac:dyDescent="0.2">
      <c r="A101" s="13" t="s">
        <v>82</v>
      </c>
      <c r="C101" s="3">
        <v>72962098</v>
      </c>
      <c r="E101" s="3">
        <v>136263172009</v>
      </c>
      <c r="G101" s="3">
        <v>164995272139</v>
      </c>
      <c r="I101" s="3">
        <v>0</v>
      </c>
      <c r="J101" s="3">
        <v>0</v>
      </c>
      <c r="L101" s="3">
        <v>0</v>
      </c>
      <c r="M101" s="3">
        <v>0</v>
      </c>
      <c r="O101" s="3">
        <f t="shared" si="1"/>
        <v>72962098</v>
      </c>
      <c r="Q101" s="3">
        <v>2191</v>
      </c>
      <c r="S101" s="3">
        <v>136263172009</v>
      </c>
      <c r="U101" s="3">
        <v>158479443051</v>
      </c>
      <c r="W101" s="42">
        <v>6.3984069842461964E-3</v>
      </c>
    </row>
    <row r="102" spans="1:23" x14ac:dyDescent="0.2">
      <c r="A102" s="13" t="s">
        <v>120</v>
      </c>
      <c r="C102" s="3">
        <v>13857880</v>
      </c>
      <c r="E102" s="3">
        <v>60170440711</v>
      </c>
      <c r="G102" s="3">
        <v>132694820370</v>
      </c>
      <c r="I102" s="3">
        <v>0</v>
      </c>
      <c r="J102" s="3">
        <v>0</v>
      </c>
      <c r="L102" s="3">
        <v>0</v>
      </c>
      <c r="M102" s="3">
        <v>0</v>
      </c>
      <c r="O102" s="3">
        <f t="shared" si="1"/>
        <v>13857880</v>
      </c>
      <c r="Q102" s="3">
        <v>11690</v>
      </c>
      <c r="S102" s="3">
        <v>60170440711</v>
      </c>
      <c r="U102" s="3">
        <v>160196337546</v>
      </c>
      <c r="W102" s="42">
        <v>6.4677244270421475E-3</v>
      </c>
    </row>
    <row r="103" spans="1:23" x14ac:dyDescent="0.2">
      <c r="A103" s="13" t="s">
        <v>254</v>
      </c>
      <c r="C103" s="3">
        <v>24615757</v>
      </c>
      <c r="E103" s="3">
        <v>124751404920</v>
      </c>
      <c r="G103" s="3">
        <v>161696659053</v>
      </c>
      <c r="I103" s="3">
        <v>6153939</v>
      </c>
      <c r="J103" s="3">
        <v>15661774755</v>
      </c>
      <c r="L103" s="3">
        <v>0</v>
      </c>
      <c r="M103" s="3">
        <v>0</v>
      </c>
      <c r="O103" s="3">
        <f t="shared" si="1"/>
        <v>30769696</v>
      </c>
      <c r="Q103" s="3">
        <v>5660</v>
      </c>
      <c r="S103" s="3">
        <v>109089630165</v>
      </c>
      <c r="U103" s="3">
        <v>170062383612</v>
      </c>
      <c r="W103" s="42">
        <v>6.866053553143848E-3</v>
      </c>
    </row>
    <row r="104" spans="1:23" x14ac:dyDescent="0.2">
      <c r="A104" s="13" t="s">
        <v>133</v>
      </c>
      <c r="C104" s="3">
        <v>34348554</v>
      </c>
      <c r="E104" s="3">
        <v>83941387854</v>
      </c>
      <c r="G104" s="3">
        <v>120313130062</v>
      </c>
      <c r="I104" s="3">
        <v>0</v>
      </c>
      <c r="J104" s="3">
        <v>0</v>
      </c>
      <c r="L104" s="3">
        <v>0</v>
      </c>
      <c r="M104" s="3">
        <v>0</v>
      </c>
      <c r="O104" s="3">
        <f t="shared" si="1"/>
        <v>34348554</v>
      </c>
      <c r="Q104" s="3">
        <v>3770</v>
      </c>
      <c r="S104" s="3">
        <v>83941387854</v>
      </c>
      <c r="U104" s="3">
        <v>128493059584</v>
      </c>
      <c r="W104" s="42">
        <v>5.1877446944639579E-3</v>
      </c>
    </row>
    <row r="105" spans="1:23" x14ac:dyDescent="0.2">
      <c r="A105" s="13" t="s">
        <v>49</v>
      </c>
      <c r="C105" s="3">
        <v>51313628</v>
      </c>
      <c r="E105" s="3">
        <v>132006098891</v>
      </c>
      <c r="G105" s="3">
        <v>213851289353</v>
      </c>
      <c r="I105" s="3">
        <v>0</v>
      </c>
      <c r="J105" s="3">
        <v>0</v>
      </c>
      <c r="L105" s="3">
        <v>0</v>
      </c>
      <c r="M105" s="3">
        <v>0</v>
      </c>
      <c r="O105" s="3">
        <f t="shared" si="1"/>
        <v>51313628</v>
      </c>
      <c r="Q105" s="3">
        <v>5070</v>
      </c>
      <c r="S105" s="3">
        <v>132006098891</v>
      </c>
      <c r="U105" s="3">
        <v>256621547224</v>
      </c>
      <c r="W105" s="42">
        <v>1.0360770257993066E-2</v>
      </c>
    </row>
    <row r="106" spans="1:23" x14ac:dyDescent="0.2">
      <c r="A106" s="13" t="s">
        <v>255</v>
      </c>
      <c r="C106" s="3">
        <v>4181188</v>
      </c>
      <c r="E106" s="3">
        <v>67490026682</v>
      </c>
      <c r="G106" s="3">
        <v>99946216070</v>
      </c>
      <c r="I106" s="3">
        <v>0</v>
      </c>
      <c r="J106" s="3">
        <v>0</v>
      </c>
      <c r="L106" s="3">
        <v>0</v>
      </c>
      <c r="M106" s="3">
        <v>0</v>
      </c>
      <c r="O106" s="3">
        <f t="shared" si="1"/>
        <v>4181188</v>
      </c>
      <c r="Q106" s="3">
        <v>21960</v>
      </c>
      <c r="S106" s="3">
        <v>67490026682</v>
      </c>
      <c r="U106" s="3">
        <v>92436766045</v>
      </c>
      <c r="W106" s="42">
        <v>3.7320174659695566E-3</v>
      </c>
    </row>
    <row r="107" spans="1:23" x14ac:dyDescent="0.2">
      <c r="A107" s="13" t="s">
        <v>256</v>
      </c>
      <c r="C107" s="3">
        <v>0</v>
      </c>
      <c r="E107" s="18">
        <v>0</v>
      </c>
      <c r="G107" s="18">
        <v>0</v>
      </c>
      <c r="I107" s="3">
        <v>3000000</v>
      </c>
      <c r="J107" s="3">
        <v>18155481901</v>
      </c>
      <c r="L107" s="3">
        <v>0</v>
      </c>
      <c r="M107" s="3">
        <v>0</v>
      </c>
      <c r="O107" s="3">
        <f t="shared" si="1"/>
        <v>3000000</v>
      </c>
      <c r="Q107" s="3">
        <v>5750</v>
      </c>
      <c r="S107" s="3">
        <v>18155481901</v>
      </c>
      <c r="U107" s="3">
        <v>17116657500</v>
      </c>
      <c r="W107" s="42">
        <v>6.9106338832668538E-4</v>
      </c>
    </row>
    <row r="108" spans="1:23" x14ac:dyDescent="0.2">
      <c r="A108" s="13" t="s">
        <v>257</v>
      </c>
      <c r="C108" s="3">
        <v>8076466</v>
      </c>
      <c r="E108" s="3">
        <v>26071974107</v>
      </c>
      <c r="G108" s="3">
        <v>29010806403</v>
      </c>
      <c r="I108" s="3">
        <v>0</v>
      </c>
      <c r="J108" s="3">
        <v>0</v>
      </c>
      <c r="L108" s="3">
        <v>4000000</v>
      </c>
      <c r="M108" s="3">
        <v>14617666378</v>
      </c>
      <c r="O108" s="3">
        <f t="shared" si="1"/>
        <v>4076466</v>
      </c>
      <c r="Q108" s="3">
        <v>3530</v>
      </c>
      <c r="S108" s="3">
        <v>13159408583</v>
      </c>
      <c r="U108" s="3">
        <v>14278690860</v>
      </c>
      <c r="W108" s="42">
        <v>5.7648407620359719E-4</v>
      </c>
    </row>
    <row r="109" spans="1:23" x14ac:dyDescent="0.2">
      <c r="A109" s="13" t="s">
        <v>258</v>
      </c>
      <c r="C109" s="3">
        <v>83165511</v>
      </c>
      <c r="E109" s="3">
        <v>113286542896</v>
      </c>
      <c r="G109" s="3">
        <v>198054339840</v>
      </c>
      <c r="I109" s="3">
        <v>0</v>
      </c>
      <c r="J109" s="3">
        <v>0</v>
      </c>
      <c r="L109" s="3">
        <v>0</v>
      </c>
      <c r="M109" s="3">
        <v>0</v>
      </c>
      <c r="O109" s="3">
        <f t="shared" si="1"/>
        <v>83165511</v>
      </c>
      <c r="Q109" s="3">
        <v>2510</v>
      </c>
      <c r="S109" s="3">
        <v>113286542896</v>
      </c>
      <c r="U109" s="3">
        <v>208782283248</v>
      </c>
      <c r="W109" s="42">
        <v>8.429320507461497E-3</v>
      </c>
    </row>
    <row r="110" spans="1:23" x14ac:dyDescent="0.2">
      <c r="A110" s="13" t="s">
        <v>128</v>
      </c>
      <c r="C110" s="3">
        <v>11496767</v>
      </c>
      <c r="E110" s="3">
        <v>137545410439</v>
      </c>
      <c r="G110" s="3">
        <v>223594781025</v>
      </c>
      <c r="I110" s="3">
        <v>0</v>
      </c>
      <c r="J110" s="3">
        <v>0</v>
      </c>
      <c r="L110" s="3">
        <v>0</v>
      </c>
      <c r="M110" s="3">
        <v>0</v>
      </c>
      <c r="O110" s="3">
        <f t="shared" si="1"/>
        <v>11496767</v>
      </c>
      <c r="Q110" s="3">
        <v>28070</v>
      </c>
      <c r="S110" s="3">
        <v>137545410439</v>
      </c>
      <c r="U110" s="3">
        <v>322957563818</v>
      </c>
      <c r="W110" s="42">
        <v>1.3039002990963559E-2</v>
      </c>
    </row>
    <row r="111" spans="1:23" x14ac:dyDescent="0.2">
      <c r="A111" s="13" t="s">
        <v>123</v>
      </c>
      <c r="C111" s="3">
        <v>28832379</v>
      </c>
      <c r="E111" s="3">
        <v>71072736422</v>
      </c>
      <c r="G111" s="3">
        <v>66345441423</v>
      </c>
      <c r="I111" s="3">
        <v>19061888</v>
      </c>
      <c r="J111" s="3">
        <v>50853894469</v>
      </c>
      <c r="L111" s="3">
        <v>0</v>
      </c>
      <c r="M111" s="3">
        <v>0</v>
      </c>
      <c r="O111" s="3">
        <f t="shared" si="1"/>
        <v>47894267</v>
      </c>
      <c r="Q111" s="3">
        <v>2758</v>
      </c>
      <c r="S111" s="3">
        <v>121926630891</v>
      </c>
      <c r="U111" s="3">
        <v>131071314224</v>
      </c>
      <c r="W111" s="42">
        <v>5.2918384632086677E-3</v>
      </c>
    </row>
    <row r="112" spans="1:23" x14ac:dyDescent="0.2">
      <c r="A112" s="13" t="s">
        <v>259</v>
      </c>
      <c r="C112" s="3">
        <v>5486326</v>
      </c>
      <c r="E112" s="3">
        <v>145044976847</v>
      </c>
      <c r="G112" s="3">
        <v>160432225150</v>
      </c>
      <c r="I112" s="3">
        <v>0</v>
      </c>
      <c r="J112" s="3">
        <v>0</v>
      </c>
      <c r="L112" s="3">
        <v>0</v>
      </c>
      <c r="M112" s="3">
        <v>0</v>
      </c>
      <c r="O112" s="3">
        <f t="shared" si="1"/>
        <v>5486326</v>
      </c>
      <c r="Q112" s="3">
        <v>34110</v>
      </c>
      <c r="S112" s="3">
        <v>145044976847</v>
      </c>
      <c r="U112" s="3">
        <v>185365363636</v>
      </c>
      <c r="W112" s="42">
        <v>7.4838920082792052E-3</v>
      </c>
    </row>
    <row r="113" spans="1:26" x14ac:dyDescent="0.2">
      <c r="A113" s="13" t="s">
        <v>105</v>
      </c>
      <c r="C113" s="3">
        <v>3000000</v>
      </c>
      <c r="E113" s="3">
        <v>65871552314</v>
      </c>
      <c r="G113" s="3">
        <v>69210832500</v>
      </c>
      <c r="I113" s="3">
        <v>0</v>
      </c>
      <c r="J113" s="3">
        <v>0</v>
      </c>
      <c r="L113" s="3">
        <v>0</v>
      </c>
      <c r="M113" s="3">
        <v>0</v>
      </c>
      <c r="O113" s="3">
        <f t="shared" si="1"/>
        <v>3000000</v>
      </c>
      <c r="Q113" s="3">
        <v>29320</v>
      </c>
      <c r="S113" s="3">
        <v>65871552314</v>
      </c>
      <c r="U113" s="3">
        <v>86744243400</v>
      </c>
      <c r="W113" s="42">
        <v>3.5021890671025411E-3</v>
      </c>
    </row>
    <row r="114" spans="1:26" x14ac:dyDescent="0.2">
      <c r="A114" s="13" t="s">
        <v>260</v>
      </c>
      <c r="C114" s="3">
        <v>0</v>
      </c>
      <c r="E114" s="18">
        <v>0</v>
      </c>
      <c r="G114" s="18">
        <v>0</v>
      </c>
      <c r="I114" s="3">
        <v>2700000</v>
      </c>
      <c r="J114" s="3">
        <v>37738267501</v>
      </c>
      <c r="L114" s="3">
        <v>0</v>
      </c>
      <c r="M114" s="3">
        <v>0</v>
      </c>
      <c r="O114" s="3">
        <f t="shared" si="1"/>
        <v>2700000</v>
      </c>
      <c r="Q114" s="3">
        <v>12400</v>
      </c>
      <c r="S114" s="3">
        <v>37738267501</v>
      </c>
      <c r="U114" s="3">
        <v>33167617020</v>
      </c>
      <c r="W114" s="42">
        <v>1.3391005691714658E-3</v>
      </c>
    </row>
    <row r="115" spans="1:26" x14ac:dyDescent="0.2">
      <c r="A115" s="13" t="s">
        <v>116</v>
      </c>
      <c r="C115" s="3">
        <v>2832843</v>
      </c>
      <c r="E115" s="3">
        <v>83998977106</v>
      </c>
      <c r="G115" s="3">
        <v>129444022942</v>
      </c>
      <c r="I115" s="3">
        <v>0</v>
      </c>
      <c r="J115" s="3">
        <v>0</v>
      </c>
      <c r="L115" s="3">
        <v>0</v>
      </c>
      <c r="M115" s="3">
        <v>0</v>
      </c>
      <c r="O115" s="3">
        <f t="shared" si="1"/>
        <v>2832843</v>
      </c>
      <c r="Q115" s="3">
        <v>56570</v>
      </c>
      <c r="S115" s="3">
        <v>83998977106</v>
      </c>
      <c r="U115" s="3">
        <v>158902727838</v>
      </c>
      <c r="W115" s="42">
        <v>6.4154965719259967E-3</v>
      </c>
    </row>
    <row r="116" spans="1:26" x14ac:dyDescent="0.2">
      <c r="A116" s="13" t="s">
        <v>150</v>
      </c>
      <c r="C116" s="3">
        <v>16099143</v>
      </c>
      <c r="E116" s="3">
        <v>110241608010</v>
      </c>
      <c r="G116" s="3">
        <v>86902349638</v>
      </c>
      <c r="I116" s="3">
        <v>0</v>
      </c>
      <c r="J116" s="3">
        <v>0</v>
      </c>
      <c r="L116" s="3">
        <v>0</v>
      </c>
      <c r="M116" s="3">
        <v>0</v>
      </c>
      <c r="O116" s="3">
        <f t="shared" si="1"/>
        <v>16099143</v>
      </c>
      <c r="Q116" s="3">
        <v>5840</v>
      </c>
      <c r="S116" s="3">
        <v>110241608010</v>
      </c>
      <c r="U116" s="3">
        <v>92653240423</v>
      </c>
      <c r="W116" s="42">
        <v>3.7407573450695848E-3</v>
      </c>
    </row>
    <row r="117" spans="1:26" x14ac:dyDescent="0.2">
      <c r="A117" s="13" t="s">
        <v>261</v>
      </c>
      <c r="C117" s="3">
        <v>7000000</v>
      </c>
      <c r="E117" s="3">
        <v>40691856413</v>
      </c>
      <c r="G117" s="3">
        <v>41675340000</v>
      </c>
      <c r="I117" s="3">
        <v>0</v>
      </c>
      <c r="J117" s="3">
        <v>0</v>
      </c>
      <c r="L117" s="3">
        <v>1000000</v>
      </c>
      <c r="M117" s="3">
        <v>7184034840</v>
      </c>
      <c r="O117" s="3">
        <f t="shared" si="1"/>
        <v>6000000</v>
      </c>
      <c r="Q117" s="3">
        <v>6810</v>
      </c>
      <c r="S117" s="3">
        <v>34878734068</v>
      </c>
      <c r="U117" s="3">
        <v>40663224600</v>
      </c>
      <c r="W117" s="42">
        <v>1.6417262407900039E-3</v>
      </c>
    </row>
    <row r="118" spans="1:26" x14ac:dyDescent="0.2">
      <c r="A118" s="13" t="s">
        <v>108</v>
      </c>
      <c r="C118" s="3">
        <v>2082029</v>
      </c>
      <c r="E118" s="3">
        <v>60946187303</v>
      </c>
      <c r="G118" s="3">
        <v>170109080969</v>
      </c>
      <c r="I118" s="3">
        <v>0</v>
      </c>
      <c r="J118" s="3">
        <v>0</v>
      </c>
      <c r="L118" s="3">
        <v>0</v>
      </c>
      <c r="M118" s="3">
        <v>0</v>
      </c>
      <c r="O118" s="3">
        <f t="shared" si="1"/>
        <v>2082029</v>
      </c>
      <c r="Q118" s="3">
        <v>93850</v>
      </c>
      <c r="S118" s="3">
        <v>60946187303</v>
      </c>
      <c r="U118" s="3">
        <v>190727111429</v>
      </c>
      <c r="W118" s="42">
        <v>7.7003657910363647E-3</v>
      </c>
    </row>
    <row r="119" spans="1:26" x14ac:dyDescent="0.2">
      <c r="A119" s="13" t="s">
        <v>262</v>
      </c>
      <c r="C119" s="3">
        <v>0</v>
      </c>
      <c r="E119" s="18">
        <v>0</v>
      </c>
      <c r="G119" s="18">
        <v>0</v>
      </c>
      <c r="I119" s="3">
        <v>400000</v>
      </c>
      <c r="J119" s="3">
        <v>18641529088</v>
      </c>
      <c r="L119" s="3">
        <v>0</v>
      </c>
      <c r="M119" s="3">
        <v>0</v>
      </c>
      <c r="O119" s="3">
        <f t="shared" si="1"/>
        <v>400000</v>
      </c>
      <c r="Q119" s="3">
        <v>46250</v>
      </c>
      <c r="S119" s="3">
        <v>18641529088</v>
      </c>
      <c r="U119" s="3">
        <v>18476067400</v>
      </c>
      <c r="W119" s="42">
        <v>7.459478429358193E-4</v>
      </c>
    </row>
    <row r="120" spans="1:26" x14ac:dyDescent="0.2">
      <c r="A120" s="13" t="s">
        <v>168</v>
      </c>
      <c r="C120" s="3">
        <v>21586148</v>
      </c>
      <c r="E120" s="3">
        <v>56651614240</v>
      </c>
      <c r="G120" s="3">
        <v>117163500306</v>
      </c>
      <c r="I120" s="3">
        <v>3000000</v>
      </c>
      <c r="J120" s="3">
        <v>20903305240.728401</v>
      </c>
      <c r="L120" s="3">
        <v>0</v>
      </c>
      <c r="M120" s="3">
        <v>0</v>
      </c>
      <c r="O120" s="3">
        <f t="shared" si="1"/>
        <v>24586148</v>
      </c>
      <c r="Q120" s="3">
        <v>6380</v>
      </c>
      <c r="S120" s="3">
        <v>77554919480</v>
      </c>
      <c r="U120" s="3">
        <v>155403138374</v>
      </c>
      <c r="W120" s="42">
        <v>6.2742050754557186E-3</v>
      </c>
    </row>
    <row r="121" spans="1:26" x14ac:dyDescent="0.2">
      <c r="A121" s="13" t="s">
        <v>51</v>
      </c>
      <c r="C121" s="3">
        <v>33360782</v>
      </c>
      <c r="E121" s="3">
        <v>120732650835</v>
      </c>
      <c r="G121" s="3">
        <v>206893144720</v>
      </c>
      <c r="I121" s="3">
        <v>0</v>
      </c>
      <c r="J121" s="3">
        <v>0</v>
      </c>
      <c r="L121" s="3">
        <v>0</v>
      </c>
      <c r="M121" s="3">
        <v>0</v>
      </c>
      <c r="O121" s="3">
        <f t="shared" si="1"/>
        <v>33360782</v>
      </c>
      <c r="Q121" s="3">
        <v>7130</v>
      </c>
      <c r="S121" s="3">
        <v>120732650835</v>
      </c>
      <c r="U121" s="3">
        <v>242975309159</v>
      </c>
      <c r="W121" s="42">
        <v>9.8098206631255236E-3</v>
      </c>
    </row>
    <row r="122" spans="1:26" x14ac:dyDescent="0.2">
      <c r="A122" s="13" t="s">
        <v>119</v>
      </c>
      <c r="C122" s="3">
        <v>69995860</v>
      </c>
      <c r="E122" s="3">
        <v>132189649545</v>
      </c>
      <c r="G122" s="3">
        <v>187805757574</v>
      </c>
      <c r="I122" s="3">
        <v>0</v>
      </c>
      <c r="J122" s="3">
        <v>0</v>
      </c>
      <c r="L122" s="3">
        <v>0</v>
      </c>
      <c r="M122" s="3">
        <v>0</v>
      </c>
      <c r="O122" s="3">
        <f t="shared" si="1"/>
        <v>69995860</v>
      </c>
      <c r="Q122" s="3">
        <v>3830</v>
      </c>
      <c r="S122" s="3">
        <v>132189649545</v>
      </c>
      <c r="U122" s="3">
        <v>264622757528</v>
      </c>
      <c r="W122" s="42">
        <v>1.0683808999838349E-2</v>
      </c>
    </row>
    <row r="123" spans="1:26" s="33" customFormat="1" x14ac:dyDescent="0.2">
      <c r="A123" s="32" t="s">
        <v>165</v>
      </c>
      <c r="C123" s="34">
        <v>14575402</v>
      </c>
      <c r="E123" s="34">
        <v>163827734164</v>
      </c>
      <c r="G123" s="34">
        <v>208263371653</v>
      </c>
      <c r="I123" s="34">
        <v>0</v>
      </c>
      <c r="J123" s="34">
        <v>0</v>
      </c>
      <c r="L123" s="34">
        <v>0</v>
      </c>
      <c r="M123" s="34">
        <v>0</v>
      </c>
      <c r="O123" s="3">
        <f t="shared" si="1"/>
        <v>14575402</v>
      </c>
      <c r="Q123" s="34">
        <v>18190</v>
      </c>
      <c r="S123" s="34">
        <v>163827734164</v>
      </c>
      <c r="U123" s="34">
        <v>257147413054</v>
      </c>
      <c r="W123" s="42">
        <v>1.0382001425485027E-2</v>
      </c>
      <c r="Z123" s="35"/>
    </row>
    <row r="124" spans="1:26" s="33" customFormat="1" x14ac:dyDescent="0.2">
      <c r="A124" s="32" t="s">
        <v>263</v>
      </c>
      <c r="C124" s="34">
        <v>14200000</v>
      </c>
      <c r="E124" s="34">
        <v>70603204565</v>
      </c>
      <c r="G124" s="34">
        <v>59390336310</v>
      </c>
      <c r="I124" s="34">
        <v>0</v>
      </c>
      <c r="J124" s="34">
        <v>0</v>
      </c>
      <c r="L124" s="34">
        <v>0</v>
      </c>
      <c r="M124" s="34">
        <v>0</v>
      </c>
      <c r="O124" s="34">
        <f t="shared" si="1"/>
        <v>14200000</v>
      </c>
      <c r="Q124" s="34">
        <v>7412</v>
      </c>
      <c r="S124" s="34">
        <v>70603204565</v>
      </c>
      <c r="U124" s="34">
        <v>104436814408</v>
      </c>
      <c r="W124" s="55">
        <v>4.2165042345935636E-3</v>
      </c>
      <c r="Z124" s="35"/>
    </row>
    <row r="125" spans="1:26" x14ac:dyDescent="0.2">
      <c r="A125" s="13" t="s">
        <v>125</v>
      </c>
      <c r="C125" s="3">
        <v>194250514</v>
      </c>
      <c r="E125" s="3">
        <v>149099313723</v>
      </c>
      <c r="G125" s="3">
        <v>195640191890</v>
      </c>
      <c r="I125" s="3">
        <v>0</v>
      </c>
      <c r="J125" s="3">
        <v>0</v>
      </c>
      <c r="L125" s="3">
        <v>0</v>
      </c>
      <c r="M125" s="3">
        <v>0</v>
      </c>
      <c r="O125" s="3">
        <f t="shared" si="1"/>
        <v>194250514</v>
      </c>
      <c r="Q125" s="3">
        <v>1382</v>
      </c>
      <c r="S125" s="3">
        <v>149099313723</v>
      </c>
      <c r="U125" s="3">
        <v>267342804090</v>
      </c>
      <c r="W125" s="42">
        <v>1.0793627438020106E-2</v>
      </c>
    </row>
    <row r="126" spans="1:26" x14ac:dyDescent="0.2">
      <c r="A126" s="13" t="s">
        <v>79</v>
      </c>
      <c r="C126" s="3">
        <v>43117772</v>
      </c>
      <c r="E126" s="3">
        <v>63841599182</v>
      </c>
      <c r="G126" s="3">
        <v>70679947120</v>
      </c>
      <c r="I126" s="3">
        <v>0</v>
      </c>
      <c r="J126" s="3">
        <v>0</v>
      </c>
      <c r="L126" s="3">
        <v>0</v>
      </c>
      <c r="M126" s="3">
        <v>0</v>
      </c>
      <c r="O126" s="3">
        <f t="shared" si="1"/>
        <v>43117772</v>
      </c>
      <c r="Q126" s="3">
        <v>1609</v>
      </c>
      <c r="S126" s="3">
        <v>63841599182</v>
      </c>
      <c r="U126" s="3">
        <v>68754645897</v>
      </c>
      <c r="W126" s="42">
        <v>2.7758818307126996E-3</v>
      </c>
    </row>
    <row r="127" spans="1:26" x14ac:dyDescent="0.2">
      <c r="A127" s="13" t="s">
        <v>264</v>
      </c>
      <c r="C127" s="3">
        <v>0</v>
      </c>
      <c r="E127" s="18">
        <v>0</v>
      </c>
      <c r="G127" s="18">
        <v>0</v>
      </c>
      <c r="I127" s="3">
        <v>100000</v>
      </c>
      <c r="J127" s="3">
        <v>2914744248</v>
      </c>
      <c r="L127" s="3">
        <v>0</v>
      </c>
      <c r="M127" s="3">
        <v>0</v>
      </c>
      <c r="O127" s="3">
        <f t="shared" si="1"/>
        <v>100000</v>
      </c>
      <c r="Q127" s="3">
        <v>29940</v>
      </c>
      <c r="S127" s="3">
        <v>2914744248</v>
      </c>
      <c r="U127" s="3">
        <v>2970856380</v>
      </c>
      <c r="W127" s="42">
        <v>1.1994456722609253E-4</v>
      </c>
    </row>
    <row r="128" spans="1:26" x14ac:dyDescent="0.2">
      <c r="A128" s="13" t="s">
        <v>115</v>
      </c>
      <c r="C128" s="3">
        <v>24771686</v>
      </c>
      <c r="E128" s="3">
        <v>78041634276</v>
      </c>
      <c r="G128" s="3">
        <v>130275064596</v>
      </c>
      <c r="I128" s="3">
        <v>0</v>
      </c>
      <c r="J128" s="3">
        <v>0</v>
      </c>
      <c r="L128" s="3">
        <v>0</v>
      </c>
      <c r="M128" s="3">
        <v>0</v>
      </c>
      <c r="O128" s="3">
        <f t="shared" si="1"/>
        <v>24771686</v>
      </c>
      <c r="Q128" s="3">
        <v>6530</v>
      </c>
      <c r="S128" s="3">
        <v>78041634276</v>
      </c>
      <c r="U128" s="3">
        <v>160508711663</v>
      </c>
      <c r="W128" s="42">
        <v>6.4803361367593961E-3</v>
      </c>
    </row>
    <row r="129" spans="1:23" x14ac:dyDescent="0.2">
      <c r="A129" s="13" t="s">
        <v>148</v>
      </c>
      <c r="C129" s="3">
        <v>9425959</v>
      </c>
      <c r="E129" s="3">
        <v>162593960031</v>
      </c>
      <c r="G129" s="3">
        <v>170787539112</v>
      </c>
      <c r="I129" s="3">
        <v>800000</v>
      </c>
      <c r="J129" s="3">
        <v>20790296140</v>
      </c>
      <c r="L129" s="3">
        <v>0</v>
      </c>
      <c r="M129" s="3">
        <v>0</v>
      </c>
      <c r="O129" s="3">
        <f t="shared" si="1"/>
        <v>10225959</v>
      </c>
      <c r="Q129" s="3">
        <v>23400</v>
      </c>
      <c r="S129" s="3">
        <v>183384256171</v>
      </c>
      <c r="U129" s="3">
        <v>240481822385</v>
      </c>
      <c r="W129" s="42">
        <v>9.7091492897111633E-3</v>
      </c>
    </row>
    <row r="130" spans="1:23" x14ac:dyDescent="0.2">
      <c r="A130" s="13" t="s">
        <v>265</v>
      </c>
      <c r="C130" s="3">
        <v>84605557</v>
      </c>
      <c r="E130" s="3">
        <v>160606996352</v>
      </c>
      <c r="G130" s="3">
        <v>174115527236</v>
      </c>
      <c r="I130" s="3">
        <v>274337</v>
      </c>
      <c r="J130" s="3">
        <v>572416156</v>
      </c>
      <c r="L130" s="3">
        <v>0</v>
      </c>
      <c r="M130" s="3">
        <v>0</v>
      </c>
      <c r="O130" s="3">
        <f t="shared" si="1"/>
        <v>84879894</v>
      </c>
      <c r="Q130" s="3">
        <v>2063</v>
      </c>
      <c r="S130" s="3">
        <v>161179412508</v>
      </c>
      <c r="U130" s="3">
        <v>173416747412</v>
      </c>
      <c r="W130" s="42">
        <v>7.0014817471886481E-3</v>
      </c>
    </row>
    <row r="131" spans="1:23" x14ac:dyDescent="0.2">
      <c r="A131" s="13" t="s">
        <v>69</v>
      </c>
      <c r="C131" s="3">
        <v>29480615</v>
      </c>
      <c r="E131" s="3">
        <v>148324300222</v>
      </c>
      <c r="G131" s="3">
        <v>157672213870</v>
      </c>
      <c r="I131" s="3">
        <v>2324319</v>
      </c>
      <c r="J131" s="3">
        <v>15332278829</v>
      </c>
      <c r="L131" s="3">
        <v>0</v>
      </c>
      <c r="M131" s="3">
        <v>0</v>
      </c>
      <c r="O131" s="3">
        <f t="shared" si="1"/>
        <v>31804934</v>
      </c>
      <c r="Q131" s="3">
        <v>5580</v>
      </c>
      <c r="S131" s="3">
        <v>163656579051</v>
      </c>
      <c r="U131" s="3">
        <v>175468495143</v>
      </c>
      <c r="W131" s="42">
        <v>7.0843184656879492E-3</v>
      </c>
    </row>
    <row r="132" spans="1:23" x14ac:dyDescent="0.2">
      <c r="A132" s="13" t="s">
        <v>266</v>
      </c>
      <c r="C132" s="3">
        <v>1799032</v>
      </c>
      <c r="E132" s="3">
        <v>89222170546</v>
      </c>
      <c r="G132" s="3">
        <v>81490978283</v>
      </c>
      <c r="I132" s="3">
        <v>0</v>
      </c>
      <c r="J132" s="3">
        <v>0</v>
      </c>
      <c r="L132" s="3">
        <v>0</v>
      </c>
      <c r="M132" s="3">
        <v>0</v>
      </c>
      <c r="O132" s="3">
        <f t="shared" si="1"/>
        <v>1799032</v>
      </c>
      <c r="Q132" s="3">
        <v>48940</v>
      </c>
      <c r="S132" s="3">
        <v>89222170546</v>
      </c>
      <c r="U132" s="3">
        <v>87970983784</v>
      </c>
      <c r="W132" s="42">
        <v>3.5517171578740145E-3</v>
      </c>
    </row>
    <row r="133" spans="1:23" x14ac:dyDescent="0.2">
      <c r="A133" s="13" t="s">
        <v>141</v>
      </c>
      <c r="C133" s="3">
        <v>16432454</v>
      </c>
      <c r="E133" s="3">
        <v>31346421179</v>
      </c>
      <c r="G133" s="3">
        <v>92614848822</v>
      </c>
      <c r="I133" s="3">
        <v>1000000</v>
      </c>
      <c r="J133" s="3">
        <v>8241898080</v>
      </c>
      <c r="L133" s="3">
        <v>0</v>
      </c>
      <c r="M133" s="3">
        <v>0</v>
      </c>
      <c r="O133" s="3">
        <f t="shared" si="1"/>
        <v>17432454</v>
      </c>
      <c r="Q133" s="3">
        <v>8010</v>
      </c>
      <c r="S133" s="3">
        <v>39588319259</v>
      </c>
      <c r="U133" s="3">
        <v>141841149271</v>
      </c>
      <c r="W133" s="42">
        <v>5.7266569258261095E-3</v>
      </c>
    </row>
    <row r="134" spans="1:23" x14ac:dyDescent="0.2">
      <c r="A134" s="13" t="s">
        <v>65</v>
      </c>
      <c r="C134" s="3">
        <v>2147520</v>
      </c>
      <c r="E134" s="3">
        <v>78081012829</v>
      </c>
      <c r="G134" s="3">
        <v>113663255219</v>
      </c>
      <c r="I134" s="3">
        <v>0</v>
      </c>
      <c r="J134" s="3">
        <v>0</v>
      </c>
      <c r="L134" s="3">
        <v>0</v>
      </c>
      <c r="M134" s="3">
        <v>0</v>
      </c>
      <c r="O134" s="3">
        <f t="shared" si="1"/>
        <v>2147520</v>
      </c>
      <c r="Q134" s="3">
        <v>53380</v>
      </c>
      <c r="S134" s="3">
        <v>78081012829</v>
      </c>
      <c r="U134" s="3">
        <v>113535400039</v>
      </c>
      <c r="W134" s="42">
        <v>4.5838481167235498E-3</v>
      </c>
    </row>
    <row r="135" spans="1:23" x14ac:dyDescent="0.2">
      <c r="A135" s="13" t="s">
        <v>178</v>
      </c>
      <c r="C135" s="3">
        <v>4153262</v>
      </c>
      <c r="E135" s="3">
        <v>136208972139</v>
      </c>
      <c r="G135" s="3">
        <v>197815549668</v>
      </c>
      <c r="I135" s="3">
        <v>0</v>
      </c>
      <c r="J135" s="3">
        <v>0</v>
      </c>
      <c r="L135" s="3">
        <v>0</v>
      </c>
      <c r="M135" s="3">
        <v>0</v>
      </c>
      <c r="O135" s="3">
        <f t="shared" si="1"/>
        <v>4153262</v>
      </c>
      <c r="Q135" s="3">
        <v>54930</v>
      </c>
      <c r="S135" s="3">
        <v>136208972139</v>
      </c>
      <c r="U135" s="3">
        <v>225138822465</v>
      </c>
      <c r="W135" s="42">
        <v>9.0896950819132176E-3</v>
      </c>
    </row>
    <row r="136" spans="1:23" x14ac:dyDescent="0.2">
      <c r="A136" s="13" t="s">
        <v>85</v>
      </c>
      <c r="C136" s="3">
        <v>929636</v>
      </c>
      <c r="E136" s="3">
        <v>118459052633</v>
      </c>
      <c r="G136" s="3">
        <v>122962573499</v>
      </c>
      <c r="I136" s="3">
        <v>200000</v>
      </c>
      <c r="J136" s="3">
        <v>29756348557</v>
      </c>
      <c r="L136" s="3">
        <v>0</v>
      </c>
      <c r="M136" s="3">
        <v>0</v>
      </c>
      <c r="O136" s="3">
        <f t="shared" si="1"/>
        <v>1129636</v>
      </c>
      <c r="Q136" s="3">
        <v>136600</v>
      </c>
      <c r="S136" s="3">
        <v>148215401190</v>
      </c>
      <c r="U136" s="3">
        <v>153003384223</v>
      </c>
      <c r="W136" s="42">
        <v>6.177318038092198E-3</v>
      </c>
    </row>
    <row r="137" spans="1:23" x14ac:dyDescent="0.2">
      <c r="A137" s="13" t="s">
        <v>267</v>
      </c>
      <c r="C137" s="3">
        <v>44130626</v>
      </c>
      <c r="E137" s="3">
        <v>77865219886</v>
      </c>
      <c r="G137" s="3">
        <v>213254846791</v>
      </c>
      <c r="I137" s="3">
        <v>0</v>
      </c>
      <c r="J137" s="3">
        <v>0</v>
      </c>
      <c r="L137" s="3">
        <v>2011402</v>
      </c>
      <c r="M137" s="3">
        <v>10672515662</v>
      </c>
      <c r="O137" s="3">
        <f t="shared" si="1"/>
        <v>42119224</v>
      </c>
      <c r="Q137" s="3">
        <v>5390</v>
      </c>
      <c r="S137" s="3">
        <v>74316250084</v>
      </c>
      <c r="U137" s="3">
        <v>224431859680</v>
      </c>
      <c r="W137" s="42">
        <v>9.0611523540107056E-3</v>
      </c>
    </row>
    <row r="138" spans="1:23" x14ac:dyDescent="0.2">
      <c r="A138" s="13" t="s">
        <v>268</v>
      </c>
      <c r="C138" s="3">
        <v>0</v>
      </c>
      <c r="E138" s="18">
        <v>0</v>
      </c>
      <c r="G138" s="18">
        <v>0</v>
      </c>
      <c r="I138" s="3">
        <v>300000</v>
      </c>
      <c r="J138" s="3">
        <v>9053796440.5834007</v>
      </c>
      <c r="L138" s="3">
        <v>0</v>
      </c>
      <c r="M138" s="3">
        <v>0</v>
      </c>
      <c r="O138" s="3">
        <f t="shared" si="1"/>
        <v>300000</v>
      </c>
      <c r="Q138" s="3">
        <v>29040</v>
      </c>
      <c r="S138" s="3">
        <v>9053796441</v>
      </c>
      <c r="U138" s="3">
        <v>8620841760</v>
      </c>
      <c r="W138" s="42">
        <v>3.4805557784244886E-4</v>
      </c>
    </row>
    <row r="139" spans="1:23" x14ac:dyDescent="0.2">
      <c r="A139" s="13" t="s">
        <v>269</v>
      </c>
      <c r="C139" s="3">
        <v>31314176</v>
      </c>
      <c r="E139" s="3">
        <v>140307287358</v>
      </c>
      <c r="G139" s="3">
        <v>169032318762</v>
      </c>
      <c r="I139" s="3">
        <v>0</v>
      </c>
      <c r="J139" s="3">
        <v>0</v>
      </c>
      <c r="L139" s="3">
        <v>0</v>
      </c>
      <c r="M139" s="3">
        <v>0</v>
      </c>
      <c r="O139" s="3">
        <f t="shared" ref="O139:O180" si="2">C139+I139-L139</f>
        <v>31314176</v>
      </c>
      <c r="Q139" s="3">
        <v>5980</v>
      </c>
      <c r="S139" s="3">
        <v>140307287358</v>
      </c>
      <c r="U139" s="3">
        <v>186432704517</v>
      </c>
      <c r="W139" s="42">
        <v>7.5269845458101718E-3</v>
      </c>
    </row>
    <row r="140" spans="1:23" x14ac:dyDescent="0.2">
      <c r="A140" s="13" t="s">
        <v>270</v>
      </c>
      <c r="C140" s="3">
        <v>7465301</v>
      </c>
      <c r="E140" s="3">
        <v>76161642146</v>
      </c>
      <c r="G140" s="3">
        <v>94743130116</v>
      </c>
      <c r="I140" s="3">
        <v>0</v>
      </c>
      <c r="J140" s="3">
        <v>0</v>
      </c>
      <c r="L140" s="3">
        <v>0</v>
      </c>
      <c r="M140" s="3">
        <v>0</v>
      </c>
      <c r="O140" s="3">
        <f t="shared" si="2"/>
        <v>7465301</v>
      </c>
      <c r="Q140" s="3">
        <v>14660</v>
      </c>
      <c r="S140" s="3">
        <v>76161642146</v>
      </c>
      <c r="U140" s="3">
        <v>108743483198</v>
      </c>
      <c r="W140" s="42">
        <v>4.3903805376286735E-3</v>
      </c>
    </row>
    <row r="141" spans="1:23" x14ac:dyDescent="0.2">
      <c r="A141" s="13" t="s">
        <v>131</v>
      </c>
      <c r="C141" s="3">
        <v>22078291</v>
      </c>
      <c r="E141" s="3">
        <v>111844952418</v>
      </c>
      <c r="G141" s="3">
        <v>190158192036</v>
      </c>
      <c r="I141" s="3">
        <v>125891</v>
      </c>
      <c r="J141" s="3">
        <v>1167593942</v>
      </c>
      <c r="L141" s="3">
        <v>0</v>
      </c>
      <c r="M141" s="3">
        <v>0</v>
      </c>
      <c r="O141" s="3">
        <f t="shared" si="2"/>
        <v>22204182</v>
      </c>
      <c r="Q141" s="3">
        <v>8480</v>
      </c>
      <c r="S141" s="3">
        <v>113012546360</v>
      </c>
      <c r="U141" s="3">
        <v>186615644911</v>
      </c>
      <c r="W141" s="42">
        <v>7.5343705327377865E-3</v>
      </c>
    </row>
    <row r="142" spans="1:23" x14ac:dyDescent="0.2">
      <c r="A142" s="13" t="s">
        <v>271</v>
      </c>
      <c r="C142" s="3">
        <v>2392736</v>
      </c>
      <c r="E142" s="3">
        <v>111402527525</v>
      </c>
      <c r="G142" s="3">
        <v>183362566840</v>
      </c>
      <c r="I142" s="3">
        <v>0</v>
      </c>
      <c r="J142" s="3">
        <v>0</v>
      </c>
      <c r="L142" s="3">
        <v>0</v>
      </c>
      <c r="M142" s="3">
        <v>0</v>
      </c>
      <c r="O142" s="3">
        <f t="shared" si="2"/>
        <v>2392736</v>
      </c>
      <c r="Q142" s="3">
        <v>80740</v>
      </c>
      <c r="S142" s="3">
        <v>111402527525</v>
      </c>
      <c r="U142" s="3">
        <v>193405602678</v>
      </c>
      <c r="W142" s="42">
        <v>7.80850648603697E-3</v>
      </c>
    </row>
    <row r="143" spans="1:23" x14ac:dyDescent="0.2">
      <c r="A143" s="13" t="s">
        <v>99</v>
      </c>
      <c r="C143" s="3">
        <v>34000000</v>
      </c>
      <c r="E143" s="3">
        <v>69263553800</v>
      </c>
      <c r="G143" s="3">
        <v>149455707400</v>
      </c>
      <c r="I143" s="3">
        <v>0</v>
      </c>
      <c r="J143" s="3">
        <v>0</v>
      </c>
      <c r="L143" s="3">
        <v>4000000</v>
      </c>
      <c r="M143" s="3">
        <v>20609361541</v>
      </c>
      <c r="O143" s="3">
        <f t="shared" si="2"/>
        <v>30000000</v>
      </c>
      <c r="Q143" s="3">
        <v>5500</v>
      </c>
      <c r="S143" s="3">
        <v>61114900412</v>
      </c>
      <c r="U143" s="3">
        <v>163724550000</v>
      </c>
      <c r="W143" s="42">
        <v>6.6101715405161212E-3</v>
      </c>
    </row>
    <row r="144" spans="1:23" x14ac:dyDescent="0.2">
      <c r="A144" s="13" t="s">
        <v>272</v>
      </c>
      <c r="C144" s="3">
        <v>13479488</v>
      </c>
      <c r="E144" s="3">
        <v>25236747567</v>
      </c>
      <c r="G144" s="3">
        <v>33745860600</v>
      </c>
      <c r="I144" s="3">
        <v>0</v>
      </c>
      <c r="J144" s="3">
        <v>0</v>
      </c>
      <c r="L144" s="3">
        <v>0</v>
      </c>
      <c r="M144" s="3">
        <v>0</v>
      </c>
      <c r="O144" s="3">
        <f t="shared" si="2"/>
        <v>13479488</v>
      </c>
      <c r="Q144" s="3">
        <v>2790</v>
      </c>
      <c r="S144" s="3">
        <v>25236747567</v>
      </c>
      <c r="U144" s="3">
        <v>37985828024</v>
      </c>
      <c r="W144" s="42">
        <v>1.5336297418266506E-3</v>
      </c>
    </row>
    <row r="145" spans="1:23" x14ac:dyDescent="0.2">
      <c r="A145" s="13" t="s">
        <v>273</v>
      </c>
      <c r="C145" s="3">
        <v>3000000</v>
      </c>
      <c r="E145" s="3">
        <v>16213076880</v>
      </c>
      <c r="G145" s="3">
        <v>17592947100</v>
      </c>
      <c r="I145" s="3">
        <v>4000000</v>
      </c>
      <c r="J145" s="3">
        <v>26429366930</v>
      </c>
      <c r="L145" s="3">
        <v>0</v>
      </c>
      <c r="M145" s="3">
        <v>0</v>
      </c>
      <c r="O145" s="3">
        <f t="shared" si="2"/>
        <v>7000000</v>
      </c>
      <c r="Q145" s="3">
        <v>7040</v>
      </c>
      <c r="S145" s="3">
        <v>42642443810</v>
      </c>
      <c r="U145" s="3">
        <v>48065558800</v>
      </c>
      <c r="W145" s="42">
        <v>1.9405861177127328E-3</v>
      </c>
    </row>
    <row r="146" spans="1:23" x14ac:dyDescent="0.2">
      <c r="A146" s="13" t="s">
        <v>74</v>
      </c>
      <c r="C146" s="3">
        <v>1846489</v>
      </c>
      <c r="E146" s="3">
        <v>32737822252</v>
      </c>
      <c r="G146" s="3">
        <v>79811313280</v>
      </c>
      <c r="I146" s="3">
        <v>0</v>
      </c>
      <c r="J146" s="3">
        <v>0</v>
      </c>
      <c r="L146" s="3">
        <v>0</v>
      </c>
      <c r="M146" s="3">
        <v>0</v>
      </c>
      <c r="O146" s="3">
        <f t="shared" si="2"/>
        <v>1846489</v>
      </c>
      <c r="Q146" s="3">
        <v>43320</v>
      </c>
      <c r="S146" s="3">
        <v>32737822252</v>
      </c>
      <c r="U146" s="3">
        <v>78437151550</v>
      </c>
      <c r="W146" s="42">
        <v>3.1668007448788834E-3</v>
      </c>
    </row>
    <row r="147" spans="1:23" x14ac:dyDescent="0.2">
      <c r="A147" s="13" t="s">
        <v>274</v>
      </c>
      <c r="C147" s="3">
        <v>12882814</v>
      </c>
      <c r="E147" s="3">
        <v>71431864764</v>
      </c>
      <c r="G147" s="3">
        <v>168227304797</v>
      </c>
      <c r="I147" s="3">
        <v>0</v>
      </c>
      <c r="J147" s="3">
        <v>0</v>
      </c>
      <c r="L147" s="3">
        <v>2882814</v>
      </c>
      <c r="M147" s="3">
        <v>42839733051</v>
      </c>
      <c r="O147" s="3">
        <f t="shared" si="2"/>
        <v>10000000</v>
      </c>
      <c r="Q147" s="3">
        <v>17380</v>
      </c>
      <c r="S147" s="3">
        <v>55447408279</v>
      </c>
      <c r="U147" s="3">
        <v>173349569000</v>
      </c>
      <c r="W147" s="42">
        <v>6.9987695038070692E-3</v>
      </c>
    </row>
    <row r="148" spans="1:23" x14ac:dyDescent="0.2">
      <c r="A148" s="13" t="s">
        <v>275</v>
      </c>
      <c r="C148" s="3">
        <v>9227875</v>
      </c>
      <c r="E148" s="3">
        <v>99688210337</v>
      </c>
      <c r="G148" s="3">
        <v>178735729632</v>
      </c>
      <c r="I148" s="3">
        <v>0</v>
      </c>
      <c r="J148" s="3">
        <v>0</v>
      </c>
      <c r="L148" s="3">
        <v>0</v>
      </c>
      <c r="M148" s="3">
        <v>0</v>
      </c>
      <c r="O148" s="3">
        <f t="shared" si="2"/>
        <v>9227875</v>
      </c>
      <c r="Q148" s="3">
        <v>24140</v>
      </c>
      <c r="S148" s="3">
        <v>99688210337</v>
      </c>
      <c r="U148" s="3">
        <v>219573913759</v>
      </c>
      <c r="W148" s="42">
        <v>8.8650189343594653E-3</v>
      </c>
    </row>
    <row r="149" spans="1:23" x14ac:dyDescent="0.2">
      <c r="A149" s="13" t="s">
        <v>140</v>
      </c>
      <c r="C149" s="3">
        <v>2760101</v>
      </c>
      <c r="E149" s="3">
        <v>12932117054</v>
      </c>
      <c r="G149" s="3">
        <v>16925570291</v>
      </c>
      <c r="I149" s="3">
        <v>0</v>
      </c>
      <c r="J149" s="3">
        <v>0</v>
      </c>
      <c r="L149" s="3">
        <v>0</v>
      </c>
      <c r="M149" s="3">
        <v>0</v>
      </c>
      <c r="O149" s="3">
        <f t="shared" si="2"/>
        <v>2760101</v>
      </c>
      <c r="Q149" s="3">
        <v>7080</v>
      </c>
      <c r="S149" s="3">
        <v>12932117054</v>
      </c>
      <c r="U149" s="3">
        <v>19445234477</v>
      </c>
      <c r="W149" s="42">
        <v>7.8507673735263457E-4</v>
      </c>
    </row>
    <row r="150" spans="1:23" x14ac:dyDescent="0.2">
      <c r="A150" s="13" t="s">
        <v>137</v>
      </c>
      <c r="C150" s="3">
        <v>28806837</v>
      </c>
      <c r="E150" s="3">
        <v>181014526862</v>
      </c>
      <c r="G150" s="3">
        <v>226958231591</v>
      </c>
      <c r="I150" s="3">
        <v>0</v>
      </c>
      <c r="J150" s="3">
        <v>0</v>
      </c>
      <c r="L150" s="3">
        <v>0</v>
      </c>
      <c r="M150" s="3">
        <v>0</v>
      </c>
      <c r="O150" s="3">
        <f t="shared" si="2"/>
        <v>28806837</v>
      </c>
      <c r="Q150" s="3">
        <v>9580</v>
      </c>
      <c r="S150" s="3">
        <v>181014526862</v>
      </c>
      <c r="U150" s="3">
        <v>272978729432</v>
      </c>
      <c r="W150" s="42">
        <v>1.1021170792392815E-2</v>
      </c>
    </row>
    <row r="151" spans="1:23" x14ac:dyDescent="0.2">
      <c r="A151" s="13" t="s">
        <v>276</v>
      </c>
      <c r="C151" s="3">
        <v>0</v>
      </c>
      <c r="E151" s="18">
        <v>0</v>
      </c>
      <c r="G151" s="18">
        <v>0</v>
      </c>
      <c r="I151" s="3">
        <v>2300000</v>
      </c>
      <c r="J151" s="3">
        <v>15933333548</v>
      </c>
      <c r="L151" s="3">
        <v>0</v>
      </c>
      <c r="M151" s="3">
        <v>0</v>
      </c>
      <c r="O151" s="3">
        <f t="shared" si="2"/>
        <v>2300000</v>
      </c>
      <c r="Q151" s="3">
        <v>6190</v>
      </c>
      <c r="S151" s="3">
        <v>15933333548</v>
      </c>
      <c r="U151" s="3">
        <v>14149770200</v>
      </c>
      <c r="W151" s="42">
        <v>5.7127906768339324E-4</v>
      </c>
    </row>
    <row r="152" spans="1:23" x14ac:dyDescent="0.2">
      <c r="A152" s="13" t="s">
        <v>277</v>
      </c>
      <c r="C152" s="3">
        <v>10907504</v>
      </c>
      <c r="E152" s="3">
        <v>127527132479</v>
      </c>
      <c r="G152" s="3">
        <v>195358561343</v>
      </c>
      <c r="I152" s="3">
        <v>0</v>
      </c>
      <c r="J152" s="3">
        <v>0</v>
      </c>
      <c r="L152" s="3">
        <v>0</v>
      </c>
      <c r="M152" s="3">
        <v>0</v>
      </c>
      <c r="O152" s="3">
        <f t="shared" si="2"/>
        <v>10907504</v>
      </c>
      <c r="Q152" s="3">
        <v>18440</v>
      </c>
      <c r="S152" s="3">
        <v>127527132479</v>
      </c>
      <c r="U152" s="3">
        <v>201311315290</v>
      </c>
      <c r="W152" s="42">
        <v>8.1276896294039339E-3</v>
      </c>
    </row>
    <row r="153" spans="1:23" x14ac:dyDescent="0.2">
      <c r="A153" s="13" t="s">
        <v>170</v>
      </c>
      <c r="C153" s="3">
        <v>1371791</v>
      </c>
      <c r="E153" s="3">
        <v>12870860832</v>
      </c>
      <c r="G153" s="3">
        <v>16293409055</v>
      </c>
      <c r="I153" s="3">
        <v>0</v>
      </c>
      <c r="J153" s="3">
        <v>0</v>
      </c>
      <c r="L153" s="3">
        <v>171791</v>
      </c>
      <c r="M153" s="3">
        <v>2342162383.5317998</v>
      </c>
      <c r="O153" s="3">
        <f t="shared" si="2"/>
        <v>1200000</v>
      </c>
      <c r="Q153" s="3">
        <v>13290</v>
      </c>
      <c r="S153" s="3">
        <v>11259027796</v>
      </c>
      <c r="U153" s="3">
        <v>15646113360</v>
      </c>
      <c r="W153" s="42">
        <v>6.3169202939914056E-4</v>
      </c>
    </row>
    <row r="154" spans="1:23" x14ac:dyDescent="0.2">
      <c r="A154" s="13" t="s">
        <v>184</v>
      </c>
      <c r="C154" s="3">
        <v>29603315</v>
      </c>
      <c r="E154" s="3">
        <v>114741621615</v>
      </c>
      <c r="G154" s="3">
        <v>205327624812</v>
      </c>
      <c r="I154" s="3">
        <v>0</v>
      </c>
      <c r="J154" s="3">
        <v>0</v>
      </c>
      <c r="L154" s="3">
        <v>0</v>
      </c>
      <c r="M154" s="3">
        <v>0</v>
      </c>
      <c r="O154" s="3">
        <f t="shared" si="2"/>
        <v>29603315</v>
      </c>
      <c r="Q154" s="3">
        <v>8720</v>
      </c>
      <c r="S154" s="3">
        <v>114741621615</v>
      </c>
      <c r="U154" s="3">
        <v>264076587562</v>
      </c>
      <c r="W154" s="42">
        <v>1.066175807854684E-2</v>
      </c>
    </row>
    <row r="155" spans="1:23" x14ac:dyDescent="0.2">
      <c r="A155" s="13" t="s">
        <v>161</v>
      </c>
      <c r="C155" s="3">
        <v>25017386</v>
      </c>
      <c r="E155" s="3">
        <v>88765983930</v>
      </c>
      <c r="G155" s="3">
        <v>90607605863</v>
      </c>
      <c r="I155" s="3">
        <v>0</v>
      </c>
      <c r="J155" s="3">
        <v>0</v>
      </c>
      <c r="L155" s="3">
        <v>0</v>
      </c>
      <c r="M155" s="3">
        <v>0</v>
      </c>
      <c r="O155" s="3">
        <f t="shared" si="2"/>
        <v>25017386</v>
      </c>
      <c r="Q155" s="3">
        <v>4870</v>
      </c>
      <c r="S155" s="3">
        <v>88765983930</v>
      </c>
      <c r="U155" s="3">
        <v>121389367854</v>
      </c>
      <c r="W155" s="42">
        <v>4.9009421293859309E-3</v>
      </c>
    </row>
    <row r="156" spans="1:23" x14ac:dyDescent="0.2">
      <c r="A156" s="13" t="s">
        <v>139</v>
      </c>
      <c r="C156" s="3">
        <v>70000000</v>
      </c>
      <c r="E156" s="3">
        <v>120086775732</v>
      </c>
      <c r="G156" s="3">
        <v>176981277200</v>
      </c>
      <c r="I156" s="3">
        <v>0</v>
      </c>
      <c r="J156" s="3">
        <v>0</v>
      </c>
      <c r="L156" s="3">
        <v>0</v>
      </c>
      <c r="M156" s="3">
        <v>0</v>
      </c>
      <c r="O156" s="3">
        <f t="shared" si="2"/>
        <v>70000000</v>
      </c>
      <c r="Q156" s="3">
        <v>2630</v>
      </c>
      <c r="S156" s="3">
        <v>120086775732</v>
      </c>
      <c r="U156" s="3">
        <v>182190694700</v>
      </c>
      <c r="W156" s="42">
        <v>7.3557187669949396E-3</v>
      </c>
    </row>
    <row r="157" spans="1:23" x14ac:dyDescent="0.2">
      <c r="A157" s="13" t="s">
        <v>278</v>
      </c>
      <c r="C157" s="3">
        <v>0</v>
      </c>
      <c r="E157" s="18">
        <v>0</v>
      </c>
      <c r="G157" s="18">
        <v>0</v>
      </c>
      <c r="I157" s="3">
        <v>3000000</v>
      </c>
      <c r="J157" s="3">
        <v>11092457854.8638</v>
      </c>
      <c r="L157" s="3">
        <v>0</v>
      </c>
      <c r="M157" s="3">
        <v>0</v>
      </c>
      <c r="O157" s="3">
        <f t="shared" si="2"/>
        <v>3000000</v>
      </c>
      <c r="Q157" s="3">
        <v>3540</v>
      </c>
      <c r="S157" s="3">
        <v>11092457855</v>
      </c>
      <c r="U157" s="3">
        <v>10537907400</v>
      </c>
      <c r="W157" s="42">
        <v>4.2545467733503764E-4</v>
      </c>
    </row>
    <row r="158" spans="1:23" x14ac:dyDescent="0.2">
      <c r="A158" s="13" t="s">
        <v>138</v>
      </c>
      <c r="C158" s="3">
        <v>10439342</v>
      </c>
      <c r="E158" s="3">
        <v>84011903260</v>
      </c>
      <c r="G158" s="3">
        <v>150718297646</v>
      </c>
      <c r="I158" s="3">
        <v>0</v>
      </c>
      <c r="J158" s="3">
        <v>0</v>
      </c>
      <c r="L158" s="3">
        <v>0</v>
      </c>
      <c r="M158" s="3">
        <v>0</v>
      </c>
      <c r="O158" s="3">
        <f t="shared" si="2"/>
        <v>10439342</v>
      </c>
      <c r="Q158" s="3">
        <v>18470</v>
      </c>
      <c r="S158" s="3">
        <v>84011903260</v>
      </c>
      <c r="U158" s="3">
        <v>189252460343</v>
      </c>
      <c r="W158" s="42">
        <v>7.640828619360716E-3</v>
      </c>
    </row>
    <row r="159" spans="1:23" x14ac:dyDescent="0.2">
      <c r="A159" s="13" t="s">
        <v>279</v>
      </c>
      <c r="C159" s="3">
        <v>12072780</v>
      </c>
      <c r="E159" s="3">
        <v>39501017538</v>
      </c>
      <c r="G159" s="3">
        <v>52949201755</v>
      </c>
      <c r="I159" s="3">
        <v>0</v>
      </c>
      <c r="J159" s="3">
        <v>0</v>
      </c>
      <c r="L159" s="3">
        <v>0</v>
      </c>
      <c r="M159" s="3">
        <v>0</v>
      </c>
      <c r="O159" s="3">
        <f t="shared" si="2"/>
        <v>12072780</v>
      </c>
      <c r="Q159" s="3">
        <v>4520</v>
      </c>
      <c r="S159" s="3">
        <v>33699900480</v>
      </c>
      <c r="U159" s="3">
        <v>53907558348</v>
      </c>
      <c r="W159" s="42">
        <v>2.1764494574006274E-3</v>
      </c>
    </row>
    <row r="160" spans="1:23" x14ac:dyDescent="0.2">
      <c r="A160" s="13" t="s">
        <v>280</v>
      </c>
      <c r="C160" s="3">
        <v>0</v>
      </c>
      <c r="E160" s="18">
        <v>0</v>
      </c>
      <c r="G160" s="18">
        <v>0</v>
      </c>
      <c r="I160" s="3">
        <v>300000</v>
      </c>
      <c r="J160" s="3">
        <v>1976250739</v>
      </c>
      <c r="L160" s="3">
        <v>0</v>
      </c>
      <c r="M160" s="3">
        <v>0</v>
      </c>
      <c r="O160" s="3">
        <f t="shared" si="2"/>
        <v>300000</v>
      </c>
      <c r="Q160" s="3">
        <v>6800</v>
      </c>
      <c r="S160" s="3">
        <v>1976250739</v>
      </c>
      <c r="U160" s="3">
        <v>2012323560</v>
      </c>
      <c r="W160" s="42">
        <v>8.1245017479798139E-5</v>
      </c>
    </row>
    <row r="161" spans="1:23" x14ac:dyDescent="0.2">
      <c r="A161" s="13" t="s">
        <v>281</v>
      </c>
      <c r="C161" s="3">
        <v>74573344</v>
      </c>
      <c r="E161" s="3">
        <v>124036721238</v>
      </c>
      <c r="G161" s="3">
        <v>145033908420</v>
      </c>
      <c r="I161" s="3">
        <v>3000000</v>
      </c>
      <c r="J161" s="3">
        <v>6472089758</v>
      </c>
      <c r="L161" s="3">
        <v>0</v>
      </c>
      <c r="M161" s="3">
        <v>0</v>
      </c>
      <c r="O161" s="3">
        <f t="shared" si="2"/>
        <v>77573344</v>
      </c>
      <c r="Q161" s="3">
        <v>2114</v>
      </c>
      <c r="S161" s="3">
        <v>130508810996</v>
      </c>
      <c r="U161" s="3">
        <v>162876353540</v>
      </c>
      <c r="W161" s="42">
        <v>6.5759266816928204E-3</v>
      </c>
    </row>
    <row r="162" spans="1:23" x14ac:dyDescent="0.2">
      <c r="A162" s="13" t="s">
        <v>56</v>
      </c>
      <c r="C162" s="3">
        <v>67141583</v>
      </c>
      <c r="E162" s="3">
        <v>108387298642</v>
      </c>
      <c r="G162" s="3">
        <v>176416588036</v>
      </c>
      <c r="I162" s="3">
        <v>0</v>
      </c>
      <c r="J162" s="3">
        <v>0</v>
      </c>
      <c r="L162" s="3">
        <v>0</v>
      </c>
      <c r="M162" s="3">
        <v>0</v>
      </c>
      <c r="O162" s="3">
        <f t="shared" si="2"/>
        <v>67141583</v>
      </c>
      <c r="Q162" s="3">
        <v>2777</v>
      </c>
      <c r="S162" s="3">
        <v>108387298642</v>
      </c>
      <c r="U162" s="3">
        <v>182279374949</v>
      </c>
      <c r="W162" s="42">
        <v>7.3592991198384548E-3</v>
      </c>
    </row>
    <row r="163" spans="1:23" x14ac:dyDescent="0.2">
      <c r="A163" s="13" t="s">
        <v>88</v>
      </c>
      <c r="C163" s="3">
        <v>40012218</v>
      </c>
      <c r="E163" s="3">
        <v>103099682318</v>
      </c>
      <c r="G163" s="3">
        <v>119823423289</v>
      </c>
      <c r="I163" s="3">
        <v>0</v>
      </c>
      <c r="J163" s="3">
        <v>0</v>
      </c>
      <c r="L163" s="3">
        <v>0</v>
      </c>
      <c r="M163" s="3">
        <v>0</v>
      </c>
      <c r="O163" s="3">
        <f t="shared" si="2"/>
        <v>40012218</v>
      </c>
      <c r="Q163" s="3">
        <v>3520</v>
      </c>
      <c r="S163" s="3">
        <v>103099682318</v>
      </c>
      <c r="U163" s="3">
        <v>139357261678</v>
      </c>
      <c r="W163" s="42">
        <v>5.6263731071984832E-3</v>
      </c>
    </row>
    <row r="164" spans="1:23" x14ac:dyDescent="0.2">
      <c r="A164" s="13" t="s">
        <v>282</v>
      </c>
      <c r="C164" s="3">
        <v>108436347</v>
      </c>
      <c r="E164" s="3">
        <v>147670994172</v>
      </c>
      <c r="G164" s="3">
        <v>179688883843</v>
      </c>
      <c r="I164" s="3">
        <v>10772977</v>
      </c>
      <c r="J164" s="3">
        <v>19788670579</v>
      </c>
      <c r="L164" s="3">
        <v>0</v>
      </c>
      <c r="M164" s="3">
        <v>0</v>
      </c>
      <c r="O164" s="3">
        <f t="shared" si="2"/>
        <v>119209324</v>
      </c>
      <c r="Q164" s="3">
        <v>1764</v>
      </c>
      <c r="S164" s="3">
        <v>167459664751</v>
      </c>
      <c r="U164" s="3">
        <v>208068303393</v>
      </c>
      <c r="W164" s="42">
        <v>8.4004944742366531E-3</v>
      </c>
    </row>
    <row r="165" spans="1:23" x14ac:dyDescent="0.2">
      <c r="A165" s="13" t="s">
        <v>107</v>
      </c>
      <c r="C165" s="3">
        <v>63315977</v>
      </c>
      <c r="E165" s="3">
        <v>147061599161</v>
      </c>
      <c r="G165" s="3">
        <v>177484988206</v>
      </c>
      <c r="I165" s="3">
        <v>0</v>
      </c>
      <c r="J165" s="3">
        <v>0</v>
      </c>
      <c r="L165" s="3">
        <v>0</v>
      </c>
      <c r="M165" s="3">
        <v>0</v>
      </c>
      <c r="O165" s="3">
        <f t="shared" si="2"/>
        <v>63315977</v>
      </c>
      <c r="Q165" s="3">
        <v>3110</v>
      </c>
      <c r="S165" s="3">
        <v>147061599161</v>
      </c>
      <c r="U165" s="3">
        <v>192877491608</v>
      </c>
      <c r="W165" s="42">
        <v>7.7871846698209807E-3</v>
      </c>
    </row>
    <row r="166" spans="1:23" x14ac:dyDescent="0.2">
      <c r="A166" s="13" t="s">
        <v>118</v>
      </c>
      <c r="C166" s="3">
        <v>51672819</v>
      </c>
      <c r="E166" s="3">
        <v>142774885041</v>
      </c>
      <c r="G166" s="3">
        <v>159460237019</v>
      </c>
      <c r="I166" s="3">
        <v>0</v>
      </c>
      <c r="J166" s="3">
        <v>0</v>
      </c>
      <c r="L166" s="3">
        <v>0</v>
      </c>
      <c r="M166" s="3">
        <v>0</v>
      </c>
      <c r="O166" s="3">
        <f t="shared" si="2"/>
        <v>51672819</v>
      </c>
      <c r="Q166" s="3">
        <v>3550</v>
      </c>
      <c r="S166" s="3">
        <v>142774885041</v>
      </c>
      <c r="U166" s="3">
        <v>182020527787</v>
      </c>
      <c r="W166" s="42">
        <v>7.3488484932000197E-3</v>
      </c>
    </row>
    <row r="167" spans="1:23" x14ac:dyDescent="0.2">
      <c r="A167" s="13" t="s">
        <v>172</v>
      </c>
      <c r="C167" s="3">
        <v>24124561</v>
      </c>
      <c r="E167" s="3">
        <v>143452751735</v>
      </c>
      <c r="G167" s="3">
        <v>191983386711</v>
      </c>
      <c r="I167" s="3">
        <v>0</v>
      </c>
      <c r="J167" s="3">
        <v>0</v>
      </c>
      <c r="L167" s="3">
        <v>0</v>
      </c>
      <c r="M167" s="3">
        <v>0</v>
      </c>
      <c r="O167" s="3">
        <f t="shared" si="2"/>
        <v>24124561</v>
      </c>
      <c r="Q167" s="3">
        <v>8270</v>
      </c>
      <c r="S167" s="3">
        <v>143452751735</v>
      </c>
      <c r="U167" s="3">
        <v>196531621558</v>
      </c>
      <c r="W167" s="42">
        <v>7.9347155428686547E-3</v>
      </c>
    </row>
    <row r="168" spans="1:23" x14ac:dyDescent="0.2">
      <c r="A168" s="13" t="s">
        <v>283</v>
      </c>
      <c r="C168" s="3">
        <v>6780400</v>
      </c>
      <c r="E168" s="3">
        <v>16985529515</v>
      </c>
      <c r="G168" s="3">
        <v>18064646459</v>
      </c>
      <c r="I168" s="3">
        <v>0</v>
      </c>
      <c r="J168" s="3">
        <v>0</v>
      </c>
      <c r="L168" s="3">
        <v>0</v>
      </c>
      <c r="M168" s="3">
        <v>0</v>
      </c>
      <c r="O168" s="3">
        <f t="shared" si="2"/>
        <v>6780400</v>
      </c>
      <c r="Q168" s="3">
        <v>2860</v>
      </c>
      <c r="S168" s="3">
        <v>16985529515</v>
      </c>
      <c r="U168" s="3">
        <v>19242044273</v>
      </c>
      <c r="W168" s="42">
        <v>7.768731899689803E-4</v>
      </c>
    </row>
    <row r="169" spans="1:23" x14ac:dyDescent="0.2">
      <c r="A169" s="13" t="s">
        <v>284</v>
      </c>
      <c r="C169" s="3">
        <v>72356569</v>
      </c>
      <c r="E169" s="3">
        <v>158796691719</v>
      </c>
      <c r="G169" s="3">
        <v>187678018614</v>
      </c>
      <c r="I169" s="3">
        <v>0</v>
      </c>
      <c r="J169" s="3">
        <v>0</v>
      </c>
      <c r="L169" s="3">
        <v>0</v>
      </c>
      <c r="M169" s="3">
        <v>0</v>
      </c>
      <c r="O169" s="3">
        <f t="shared" si="2"/>
        <v>72356569</v>
      </c>
      <c r="Q169" s="3">
        <v>2850</v>
      </c>
      <c r="S169" s="3">
        <v>158796691719</v>
      </c>
      <c r="U169" s="3">
        <v>205340142784</v>
      </c>
      <c r="W169" s="42">
        <v>8.2903484416742244E-3</v>
      </c>
    </row>
    <row r="170" spans="1:23" x14ac:dyDescent="0.2">
      <c r="A170" s="13" t="s">
        <v>162</v>
      </c>
      <c r="C170" s="3">
        <v>9830861</v>
      </c>
      <c r="E170" s="3">
        <v>22972711595</v>
      </c>
      <c r="G170" s="3">
        <v>31605773760</v>
      </c>
      <c r="I170" s="3">
        <v>0</v>
      </c>
      <c r="J170" s="3">
        <v>0</v>
      </c>
      <c r="L170" s="3">
        <v>8953145</v>
      </c>
      <c r="M170" s="3">
        <v>30480522345</v>
      </c>
      <c r="O170" s="3">
        <f t="shared" si="2"/>
        <v>877716</v>
      </c>
      <c r="Q170" s="3">
        <v>3210</v>
      </c>
      <c r="S170" s="3">
        <v>2051042786</v>
      </c>
      <c r="U170" s="3">
        <v>2795689330</v>
      </c>
      <c r="W170" s="42">
        <v>1.1287241922662535E-4</v>
      </c>
    </row>
    <row r="171" spans="1:23" x14ac:dyDescent="0.2">
      <c r="A171" s="13" t="s">
        <v>62</v>
      </c>
      <c r="C171" s="3">
        <v>15534546</v>
      </c>
      <c r="E171" s="3">
        <v>111224244688</v>
      </c>
      <c r="G171" s="3">
        <v>130868799015</v>
      </c>
      <c r="I171" s="3">
        <v>1600000</v>
      </c>
      <c r="J171" s="3">
        <v>16765860717</v>
      </c>
      <c r="L171" s="3">
        <v>0</v>
      </c>
      <c r="M171" s="3">
        <v>0</v>
      </c>
      <c r="O171" s="3">
        <f t="shared" si="2"/>
        <v>17134546</v>
      </c>
      <c r="Q171" s="3">
        <v>10190</v>
      </c>
      <c r="S171" s="3">
        <v>127990105405</v>
      </c>
      <c r="U171" s="3">
        <v>173081336867</v>
      </c>
      <c r="W171" s="42">
        <v>6.9879399708396035E-3</v>
      </c>
    </row>
    <row r="172" spans="1:23" x14ac:dyDescent="0.2">
      <c r="A172" s="13" t="s">
        <v>152</v>
      </c>
      <c r="C172" s="3">
        <v>28267094</v>
      </c>
      <c r="E172" s="3">
        <v>52706951556</v>
      </c>
      <c r="G172" s="3">
        <v>112755329241</v>
      </c>
      <c r="I172" s="3">
        <v>0</v>
      </c>
      <c r="J172" s="3">
        <v>0</v>
      </c>
      <c r="L172" s="3">
        <v>0</v>
      </c>
      <c r="M172" s="3">
        <v>0</v>
      </c>
      <c r="O172" s="3">
        <f t="shared" si="2"/>
        <v>28267094</v>
      </c>
      <c r="Q172" s="3">
        <v>4820</v>
      </c>
      <c r="S172" s="3">
        <v>52706951556</v>
      </c>
      <c r="U172" s="3">
        <v>134352743051</v>
      </c>
      <c r="W172" s="42">
        <v>5.4243220000054684E-3</v>
      </c>
    </row>
    <row r="173" spans="1:23" x14ac:dyDescent="0.2">
      <c r="A173" s="13" t="s">
        <v>134</v>
      </c>
      <c r="C173" s="3">
        <v>20000000</v>
      </c>
      <c r="E173" s="3">
        <v>23511683642</v>
      </c>
      <c r="G173" s="3">
        <v>28438458200</v>
      </c>
      <c r="I173" s="3">
        <v>0</v>
      </c>
      <c r="J173" s="3">
        <v>0</v>
      </c>
      <c r="L173" s="3">
        <v>10000000</v>
      </c>
      <c r="M173" s="3">
        <v>16422068604</v>
      </c>
      <c r="O173" s="3">
        <f t="shared" si="2"/>
        <v>10000000</v>
      </c>
      <c r="Q173" s="3">
        <v>1729</v>
      </c>
      <c r="S173" s="3">
        <v>11755841821</v>
      </c>
      <c r="U173" s="3">
        <v>17196039100</v>
      </c>
      <c r="W173" s="42">
        <v>6.9426831998269318E-4</v>
      </c>
    </row>
    <row r="174" spans="1:23" x14ac:dyDescent="0.2">
      <c r="A174" s="13" t="s">
        <v>285</v>
      </c>
      <c r="C174" s="3">
        <v>0</v>
      </c>
      <c r="E174" s="18">
        <v>0</v>
      </c>
      <c r="G174" s="18">
        <v>0</v>
      </c>
      <c r="I174" s="3">
        <v>8000000</v>
      </c>
      <c r="J174" s="3">
        <v>67919104481.999901</v>
      </c>
      <c r="L174" s="3">
        <v>0</v>
      </c>
      <c r="M174" s="3">
        <v>0</v>
      </c>
      <c r="O174" s="3">
        <f t="shared" si="2"/>
        <v>8000000</v>
      </c>
      <c r="Q174" s="3">
        <v>7320</v>
      </c>
      <c r="S174" s="3">
        <v>67919104482</v>
      </c>
      <c r="U174" s="3">
        <v>57948568000</v>
      </c>
      <c r="W174" s="42">
        <v>2.3396001088857058E-3</v>
      </c>
    </row>
    <row r="175" spans="1:23" x14ac:dyDescent="0.2">
      <c r="A175" s="13" t="s">
        <v>317</v>
      </c>
      <c r="C175" s="3">
        <v>0</v>
      </c>
      <c r="E175" s="13">
        <v>0</v>
      </c>
      <c r="G175" s="13">
        <v>0</v>
      </c>
      <c r="I175" s="3">
        <v>21000000</v>
      </c>
      <c r="J175" s="3">
        <v>1460784576</v>
      </c>
      <c r="L175" s="3">
        <v>0</v>
      </c>
      <c r="M175" s="3">
        <v>0</v>
      </c>
      <c r="O175" s="3">
        <f t="shared" si="2"/>
        <v>21000000</v>
      </c>
      <c r="Q175" s="3">
        <v>10.97</v>
      </c>
      <c r="S175" s="3">
        <v>1460784576</v>
      </c>
      <c r="U175" s="3">
        <v>230821552</v>
      </c>
      <c r="W175" s="42">
        <v>9.3191280963555071E-6</v>
      </c>
    </row>
    <row r="176" spans="1:23" x14ac:dyDescent="0.2">
      <c r="A176" s="13" t="s">
        <v>286</v>
      </c>
      <c r="C176" s="3">
        <v>0</v>
      </c>
      <c r="E176" s="18">
        <v>0</v>
      </c>
      <c r="G176" s="18">
        <v>0</v>
      </c>
      <c r="I176" s="3">
        <v>8511778</v>
      </c>
      <c r="J176" s="3">
        <v>19849466296</v>
      </c>
      <c r="L176" s="3">
        <v>0</v>
      </c>
      <c r="M176" s="3">
        <v>0</v>
      </c>
      <c r="O176" s="3">
        <f t="shared" si="2"/>
        <v>8511778</v>
      </c>
      <c r="Q176" s="3">
        <v>2710</v>
      </c>
      <c r="S176" s="3">
        <v>19849466296</v>
      </c>
      <c r="U176" s="3">
        <v>22888611101</v>
      </c>
      <c r="W176" s="42">
        <v>9.2409871153575668E-4</v>
      </c>
    </row>
    <row r="177" spans="1:23" x14ac:dyDescent="0.2">
      <c r="A177" s="13" t="s">
        <v>287</v>
      </c>
      <c r="C177" s="3">
        <v>0</v>
      </c>
      <c r="E177" s="18">
        <v>0</v>
      </c>
      <c r="G177" s="18">
        <v>0</v>
      </c>
      <c r="I177" s="3">
        <v>17017350</v>
      </c>
      <c r="J177" s="3">
        <v>102328575693.6765</v>
      </c>
      <c r="L177" s="3">
        <v>0</v>
      </c>
      <c r="M177" s="3">
        <v>0</v>
      </c>
      <c r="O177" s="3">
        <f t="shared" si="2"/>
        <v>17017350</v>
      </c>
      <c r="Q177" s="3">
        <v>10443</v>
      </c>
      <c r="S177" s="3">
        <v>102328575694</v>
      </c>
      <c r="U177" s="3">
        <v>177300961787</v>
      </c>
      <c r="W177" s="42">
        <v>7.1583019877627619E-3</v>
      </c>
    </row>
    <row r="178" spans="1:23" x14ac:dyDescent="0.2">
      <c r="A178" s="13" t="s">
        <v>288</v>
      </c>
      <c r="C178" s="3">
        <v>0</v>
      </c>
      <c r="E178" s="18">
        <v>0</v>
      </c>
      <c r="G178" s="18">
        <v>0</v>
      </c>
      <c r="I178" s="3">
        <v>6153939</v>
      </c>
      <c r="J178" s="3">
        <v>15661774755</v>
      </c>
      <c r="L178" s="3">
        <v>0</v>
      </c>
      <c r="M178" s="3">
        <v>0</v>
      </c>
      <c r="O178" s="3">
        <f t="shared" si="2"/>
        <v>6153939</v>
      </c>
      <c r="Q178" s="3">
        <v>4470</v>
      </c>
      <c r="S178" s="3">
        <v>15661774755</v>
      </c>
      <c r="U178" s="3">
        <v>27051214898</v>
      </c>
      <c r="W178" s="42">
        <v>1.0921585727683802E-3</v>
      </c>
    </row>
    <row r="179" spans="1:23" x14ac:dyDescent="0.2">
      <c r="A179" s="13" t="s">
        <v>289</v>
      </c>
      <c r="C179" s="3">
        <v>38007767</v>
      </c>
      <c r="E179" s="3">
        <v>13758811654</v>
      </c>
      <c r="G179" s="3">
        <v>52799553746</v>
      </c>
      <c r="I179" s="3">
        <v>0</v>
      </c>
      <c r="J179" s="3">
        <v>0</v>
      </c>
      <c r="L179" s="3">
        <v>0</v>
      </c>
      <c r="M179" s="3">
        <v>0</v>
      </c>
      <c r="O179" s="3">
        <f t="shared" si="2"/>
        <v>38007767</v>
      </c>
      <c r="Q179" s="3">
        <v>1317</v>
      </c>
      <c r="S179" s="3">
        <v>13758811654</v>
      </c>
      <c r="U179" s="3">
        <v>49556152587</v>
      </c>
      <c r="W179" s="42">
        <v>2.0007669557684645E-3</v>
      </c>
    </row>
    <row r="180" spans="1:23" ht="18.75" thickBot="1" x14ac:dyDescent="0.25">
      <c r="A180" s="13" t="s">
        <v>290</v>
      </c>
      <c r="C180" s="3">
        <v>0</v>
      </c>
      <c r="E180" s="19">
        <v>0</v>
      </c>
      <c r="G180" s="19">
        <v>0</v>
      </c>
      <c r="I180" s="11">
        <v>3239038</v>
      </c>
      <c r="J180" s="8">
        <v>5801117058</v>
      </c>
      <c r="L180" s="11">
        <v>0</v>
      </c>
      <c r="M180" s="8">
        <v>0</v>
      </c>
      <c r="O180" s="3">
        <f t="shared" si="2"/>
        <v>3239038</v>
      </c>
      <c r="Q180" s="3">
        <v>3520</v>
      </c>
      <c r="S180" s="8">
        <v>5801117058</v>
      </c>
      <c r="U180" s="8">
        <v>11249000827</v>
      </c>
      <c r="W180" s="53">
        <v>4.5416417468166937E-4</v>
      </c>
    </row>
    <row r="181" spans="1:23" s="15" customFormat="1" ht="22.5" thickTop="1" thickBot="1" x14ac:dyDescent="0.25">
      <c r="A181" s="14" t="s">
        <v>14</v>
      </c>
      <c r="C181" s="14"/>
      <c r="E181" s="16">
        <f>SUM(E10:E180)</f>
        <v>13832309049759</v>
      </c>
      <c r="G181" s="16">
        <f>SUM(G10:G180)</f>
        <v>20218228941111</v>
      </c>
      <c r="I181" s="17"/>
      <c r="J181" s="16">
        <f>SUM(J10:J180)</f>
        <v>2403108431453.457</v>
      </c>
      <c r="L181" s="17"/>
      <c r="M181" s="16">
        <f>SUM(M10:M180)</f>
        <v>1812793526372.0732</v>
      </c>
      <c r="O181" s="14"/>
      <c r="Q181" s="14"/>
      <c r="S181" s="16">
        <f>SUM(S10:S180)</f>
        <v>14538121274697</v>
      </c>
      <c r="U181" s="16">
        <f>SUM(U10:U180)</f>
        <v>23321103885093</v>
      </c>
      <c r="W181" s="52">
        <f>SUM(W10:W180)</f>
        <v>0.94156006044702267</v>
      </c>
    </row>
    <row r="182" spans="1:23" ht="18.75" thickTop="1" x14ac:dyDescent="0.2">
      <c r="U182" s="31"/>
    </row>
    <row r="183" spans="1:23" x14ac:dyDescent="0.25">
      <c r="U183" s="43"/>
    </row>
    <row r="184" spans="1:23" x14ac:dyDescent="0.2">
      <c r="U184" s="54"/>
    </row>
    <row r="185" spans="1:23" ht="19.5" x14ac:dyDescent="0.2">
      <c r="U185" s="9"/>
    </row>
    <row r="186" spans="1:23" ht="19.5" x14ac:dyDescent="0.2">
      <c r="U186" s="9"/>
    </row>
    <row r="187" spans="1:23" ht="19.5" x14ac:dyDescent="0.2">
      <c r="U187" s="9"/>
    </row>
    <row r="188" spans="1:23" ht="19.5" x14ac:dyDescent="0.2">
      <c r="U188" s="9"/>
    </row>
  </sheetData>
  <mergeCells count="19">
    <mergeCell ref="A1:W1"/>
    <mergeCell ref="A2:W2"/>
    <mergeCell ref="A3:W3"/>
    <mergeCell ref="A4:W4"/>
    <mergeCell ref="A5:W5"/>
    <mergeCell ref="C7:G7"/>
    <mergeCell ref="I7:M7"/>
    <mergeCell ref="O7:W7"/>
    <mergeCell ref="I8:J8"/>
    <mergeCell ref="L8:M8"/>
    <mergeCell ref="Q8:Q9"/>
    <mergeCell ref="S8:S9"/>
    <mergeCell ref="U8:U9"/>
    <mergeCell ref="W8:W9"/>
    <mergeCell ref="A8:A9"/>
    <mergeCell ref="C8:C9"/>
    <mergeCell ref="E8:E9"/>
    <mergeCell ref="G8:G9"/>
    <mergeCell ref="O8:O9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8"/>
  <sheetViews>
    <sheetView rightToLeft="1" workbookViewId="0">
      <selection activeCell="A4" sqref="A4:M4"/>
    </sheetView>
  </sheetViews>
  <sheetFormatPr defaultRowHeight="18" x14ac:dyDescent="0.2"/>
  <cols>
    <col min="1" max="1" width="14" style="1" customWidth="1"/>
    <col min="2" max="2" width="0.5" style="1" customWidth="1"/>
    <col min="3" max="3" width="12.25" style="1" customWidth="1"/>
    <col min="4" max="4" width="0.5" style="1" customWidth="1"/>
    <col min="5" max="5" width="12.25" style="1" customWidth="1"/>
    <col min="6" max="6" width="0.5" style="1" customWidth="1"/>
    <col min="7" max="7" width="13.5" style="1" customWidth="1"/>
    <col min="8" max="8" width="0.5" style="1" customWidth="1"/>
    <col min="9" max="9" width="12.75" style="1" customWidth="1"/>
    <col min="10" max="10" width="0.5" style="1" customWidth="1"/>
    <col min="11" max="11" width="12.75" style="1" customWidth="1"/>
    <col min="12" max="12" width="0.5" style="1" customWidth="1"/>
    <col min="13" max="13" width="12.75" style="1" customWidth="1"/>
    <col min="14" max="14" width="0.5" style="1" customWidth="1"/>
    <col min="15" max="15" width="9.25" style="1" bestFit="1" customWidth="1"/>
    <col min="16" max="16" width="0.5" style="1" customWidth="1"/>
    <col min="17" max="17" width="10.375" style="1" bestFit="1" customWidth="1"/>
    <col min="18" max="18" width="0.5" style="1" customWidth="1"/>
    <col min="19" max="19" width="12.875" style="1" bestFit="1" customWidth="1"/>
    <col min="20" max="20" width="0.5" style="1" customWidth="1"/>
    <col min="21" max="21" width="9.375" style="1" bestFit="1" customWidth="1"/>
    <col min="22" max="22" width="0.5" style="1" customWidth="1"/>
    <col min="23" max="23" width="9.25" style="1" bestFit="1" customWidth="1"/>
    <col min="24" max="24" width="0.5" style="1" customWidth="1"/>
    <col min="25" max="25" width="9.125" style="1" bestFit="1" customWidth="1"/>
    <col min="26" max="16384" width="9" style="1"/>
  </cols>
  <sheetData>
    <row r="1" spans="1:25" ht="18" customHeight="1" x14ac:dyDescent="0.2">
      <c r="A1" s="69" t="s">
        <v>0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56"/>
      <c r="O1" s="56"/>
      <c r="P1" s="56"/>
      <c r="Q1" s="56"/>
    </row>
    <row r="2" spans="1:25" ht="18" customHeight="1" x14ac:dyDescent="0.2">
      <c r="A2" s="69" t="s">
        <v>15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56"/>
      <c r="O2" s="56"/>
      <c r="P2" s="56"/>
      <c r="Q2" s="56"/>
    </row>
    <row r="3" spans="1:25" ht="18.75" customHeight="1" thickBot="1" x14ac:dyDescent="0.25">
      <c r="A3" s="66" t="s">
        <v>2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10"/>
      <c r="O3" s="61"/>
      <c r="P3" s="61"/>
      <c r="Q3" s="61"/>
    </row>
    <row r="4" spans="1:25" ht="36.75" customHeight="1" thickTop="1" x14ac:dyDescent="0.2">
      <c r="A4" s="75" t="s">
        <v>326</v>
      </c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  <c r="M4" s="75"/>
      <c r="N4" s="57"/>
      <c r="O4" s="62"/>
      <c r="P4" s="62"/>
      <c r="Q4" s="62"/>
    </row>
    <row r="5" spans="1:25" ht="18.75" thickBot="1" x14ac:dyDescent="0.25">
      <c r="C5" s="7"/>
      <c r="D5" s="7"/>
      <c r="E5" s="7"/>
      <c r="F5" s="7"/>
      <c r="G5" s="7"/>
      <c r="H5" s="7"/>
      <c r="I5" s="7"/>
      <c r="J5" s="7"/>
      <c r="K5" s="7"/>
      <c r="L5" s="7"/>
      <c r="M5" s="7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</row>
    <row r="6" spans="1:25" ht="18" customHeight="1" thickTop="1" thickBot="1" x14ac:dyDescent="0.25">
      <c r="A6" s="7"/>
      <c r="C6" s="73" t="s">
        <v>325</v>
      </c>
      <c r="D6" s="73"/>
      <c r="E6" s="73"/>
      <c r="F6" s="73"/>
      <c r="G6" s="73"/>
      <c r="H6" s="73"/>
      <c r="I6" s="73"/>
      <c r="J6" s="73"/>
      <c r="K6" s="73"/>
      <c r="L6" s="73"/>
      <c r="M6" s="73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</row>
    <row r="7" spans="1:25" ht="31.5" customHeight="1" thickTop="1" thickBot="1" x14ac:dyDescent="0.25">
      <c r="A7" s="5" t="s">
        <v>31</v>
      </c>
      <c r="C7" s="5" t="s">
        <v>34</v>
      </c>
      <c r="E7" s="5" t="s">
        <v>35</v>
      </c>
      <c r="G7" s="5" t="s">
        <v>36</v>
      </c>
      <c r="I7" s="5" t="s">
        <v>3</v>
      </c>
      <c r="K7" s="5" t="s">
        <v>32</v>
      </c>
      <c r="M7" s="5" t="s">
        <v>33</v>
      </c>
      <c r="O7" s="17"/>
      <c r="P7" s="59"/>
      <c r="Q7" s="17"/>
      <c r="R7" s="59"/>
      <c r="S7" s="17"/>
      <c r="T7" s="58"/>
      <c r="U7" s="17"/>
      <c r="V7" s="59"/>
      <c r="W7" s="17"/>
      <c r="X7" s="59"/>
      <c r="Y7" s="17"/>
    </row>
    <row r="8" spans="1:25" ht="24.75" customHeight="1" thickTop="1" x14ac:dyDescent="0.2">
      <c r="A8" s="3" t="s">
        <v>37</v>
      </c>
      <c r="B8" s="3"/>
      <c r="C8" s="3" t="s">
        <v>38</v>
      </c>
      <c r="D8" s="3"/>
      <c r="E8" s="3" t="s">
        <v>39</v>
      </c>
      <c r="F8" s="3"/>
      <c r="G8" s="3" t="s">
        <v>40</v>
      </c>
      <c r="H8" s="3"/>
      <c r="I8" s="3">
        <v>21000000</v>
      </c>
      <c r="J8" s="3"/>
      <c r="K8" s="3">
        <v>2800</v>
      </c>
      <c r="L8" s="3"/>
      <c r="M8" s="3" t="s">
        <v>41</v>
      </c>
      <c r="N8" s="3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</row>
  </sheetData>
  <mergeCells count="6">
    <mergeCell ref="A1:M1"/>
    <mergeCell ref="C6:M6"/>
    <mergeCell ref="O6:Y6"/>
    <mergeCell ref="A4:M4"/>
    <mergeCell ref="A3:M3"/>
    <mergeCell ref="A2:M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1"/>
  <sheetViews>
    <sheetView rightToLeft="1" workbookViewId="0">
      <selection activeCell="A4" sqref="A4:K4"/>
    </sheetView>
  </sheetViews>
  <sheetFormatPr defaultRowHeight="18" x14ac:dyDescent="0.2"/>
  <cols>
    <col min="1" max="1" width="22.375" style="1" customWidth="1"/>
    <col min="2" max="2" width="0.5" style="1" customWidth="1"/>
    <col min="3" max="3" width="14.75" style="1" bestFit="1" customWidth="1"/>
    <col min="4" max="4" width="0.5" style="1" customWidth="1"/>
    <col min="5" max="5" width="14.25" style="1" bestFit="1" customWidth="1"/>
    <col min="6" max="6" width="0.5" style="1" customWidth="1"/>
    <col min="7" max="7" width="9.25" style="1" customWidth="1"/>
    <col min="8" max="8" width="0.5" style="1" customWidth="1"/>
    <col min="9" max="9" width="15.125" style="1" bestFit="1" customWidth="1"/>
    <col min="10" max="10" width="0.5" style="1" customWidth="1"/>
    <col min="11" max="11" width="10.75" style="1" bestFit="1" customWidth="1"/>
    <col min="12" max="16384" width="9" style="1"/>
  </cols>
  <sheetData>
    <row r="1" spans="1:11" ht="18" customHeight="1" x14ac:dyDescent="0.2">
      <c r="A1" s="69" t="s">
        <v>0</v>
      </c>
      <c r="B1" s="69"/>
      <c r="C1" s="69"/>
      <c r="D1" s="69"/>
      <c r="E1" s="69"/>
      <c r="F1" s="69"/>
      <c r="G1" s="69"/>
      <c r="H1" s="69"/>
      <c r="I1" s="69"/>
      <c r="J1" s="69"/>
      <c r="K1" s="69"/>
    </row>
    <row r="2" spans="1:11" ht="18" customHeight="1" x14ac:dyDescent="0.2">
      <c r="A2" s="69" t="s">
        <v>15</v>
      </c>
      <c r="B2" s="69"/>
      <c r="C2" s="69"/>
      <c r="D2" s="69"/>
      <c r="E2" s="69"/>
      <c r="F2" s="69"/>
      <c r="G2" s="69"/>
      <c r="H2" s="69"/>
      <c r="I2" s="69"/>
      <c r="J2" s="69"/>
      <c r="K2" s="69"/>
    </row>
    <row r="3" spans="1:11" ht="18" customHeight="1" x14ac:dyDescent="0.2">
      <c r="A3" s="69" t="s">
        <v>2</v>
      </c>
      <c r="B3" s="69"/>
      <c r="C3" s="69"/>
      <c r="D3" s="69"/>
      <c r="E3" s="69"/>
      <c r="F3" s="69"/>
      <c r="G3" s="69"/>
      <c r="H3" s="69"/>
      <c r="I3" s="69"/>
      <c r="J3" s="69"/>
      <c r="K3" s="69"/>
    </row>
    <row r="4" spans="1:11" ht="18" customHeight="1" x14ac:dyDescent="0.2">
      <c r="A4" s="71" t="s">
        <v>187</v>
      </c>
      <c r="B4" s="71"/>
      <c r="C4" s="71"/>
      <c r="D4" s="71"/>
      <c r="E4" s="71"/>
      <c r="F4" s="71"/>
      <c r="G4" s="71"/>
      <c r="H4" s="71"/>
      <c r="I4" s="71"/>
      <c r="J4" s="71"/>
      <c r="K4" s="71"/>
    </row>
    <row r="5" spans="1:11" x14ac:dyDescent="0.2">
      <c r="B5" s="7"/>
      <c r="C5" s="7"/>
      <c r="D5" s="7"/>
      <c r="E5" s="7"/>
      <c r="F5" s="7"/>
      <c r="G5" s="7"/>
      <c r="H5" s="7"/>
      <c r="I5" s="7"/>
      <c r="J5" s="7"/>
      <c r="K5" s="7"/>
    </row>
    <row r="6" spans="1:11" ht="21" x14ac:dyDescent="0.2">
      <c r="B6" s="7"/>
      <c r="C6" s="5" t="s">
        <v>29</v>
      </c>
      <c r="D6" s="7"/>
      <c r="E6" s="66" t="s">
        <v>188</v>
      </c>
      <c r="F6" s="67"/>
      <c r="G6" s="67"/>
      <c r="H6" s="7"/>
      <c r="I6" s="66" t="s">
        <v>30</v>
      </c>
      <c r="J6" s="67"/>
      <c r="K6" s="67"/>
    </row>
    <row r="7" spans="1:11" s="9" customFormat="1" ht="19.5" x14ac:dyDescent="0.2">
      <c r="A7" s="64" t="s">
        <v>189</v>
      </c>
      <c r="C7" s="64" t="s">
        <v>24</v>
      </c>
      <c r="E7" s="64" t="s">
        <v>190</v>
      </c>
      <c r="G7" s="64" t="s">
        <v>191</v>
      </c>
      <c r="I7" s="64" t="s">
        <v>24</v>
      </c>
      <c r="K7" s="64" t="s">
        <v>192</v>
      </c>
    </row>
    <row r="8" spans="1:11" s="9" customFormat="1" ht="19.5" x14ac:dyDescent="0.2">
      <c r="A8" s="68"/>
      <c r="C8" s="68"/>
      <c r="E8" s="68"/>
      <c r="G8" s="68"/>
      <c r="I8" s="68"/>
      <c r="K8" s="68"/>
    </row>
    <row r="9" spans="1:11" x14ac:dyDescent="0.2">
      <c r="A9" s="13" t="s">
        <v>12</v>
      </c>
      <c r="C9" s="3">
        <v>12220181871</v>
      </c>
      <c r="E9" s="3">
        <v>199401779405</v>
      </c>
      <c r="G9" s="3">
        <v>0</v>
      </c>
      <c r="I9" s="3">
        <f>C9+E9-G9</f>
        <v>211621961276</v>
      </c>
      <c r="K9" s="50">
        <v>8.5439689147096144E-3</v>
      </c>
    </row>
    <row r="10" spans="1:11" x14ac:dyDescent="0.2">
      <c r="A10" s="13" t="s">
        <v>13</v>
      </c>
      <c r="C10" s="3">
        <v>5035926</v>
      </c>
      <c r="E10" s="3">
        <v>21295</v>
      </c>
      <c r="G10" s="3">
        <v>0</v>
      </c>
      <c r="I10" s="3">
        <f>C10+E10-G10</f>
        <v>5057221</v>
      </c>
      <c r="K10" s="50">
        <v>2.0417889881694882E-7</v>
      </c>
    </row>
    <row r="11" spans="1:11" s="15" customFormat="1" ht="21" x14ac:dyDescent="0.2">
      <c r="A11" s="14" t="s">
        <v>14</v>
      </c>
      <c r="B11" s="20"/>
      <c r="C11" s="21">
        <f>SUM(C9:C10)</f>
        <v>12225217797</v>
      </c>
      <c r="D11" s="20"/>
      <c r="E11" s="21">
        <f>SUM(E9:E10)</f>
        <v>199401800700</v>
      </c>
      <c r="F11" s="20"/>
      <c r="G11" s="21">
        <v>0</v>
      </c>
      <c r="H11" s="20"/>
      <c r="I11" s="21">
        <f>SUM(I9:I10)</f>
        <v>211627018497</v>
      </c>
      <c r="J11" s="20"/>
      <c r="K11" s="51">
        <f>SUM(K9:K10)</f>
        <v>8.5441730936084322E-3</v>
      </c>
    </row>
  </sheetData>
  <mergeCells count="12">
    <mergeCell ref="I7:I8"/>
    <mergeCell ref="K7:K8"/>
    <mergeCell ref="A1:K1"/>
    <mergeCell ref="A2:K2"/>
    <mergeCell ref="A3:K3"/>
    <mergeCell ref="A4:K4"/>
    <mergeCell ref="A7:A8"/>
    <mergeCell ref="C7:C8"/>
    <mergeCell ref="E7:E8"/>
    <mergeCell ref="G7:G8"/>
    <mergeCell ref="E6:G6"/>
    <mergeCell ref="I6:K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0"/>
  <sheetViews>
    <sheetView rightToLeft="1" workbookViewId="0">
      <selection activeCell="A4" sqref="A4:G4"/>
    </sheetView>
  </sheetViews>
  <sheetFormatPr defaultRowHeight="18" x14ac:dyDescent="0.2"/>
  <cols>
    <col min="1" max="1" width="42.625" style="1" customWidth="1"/>
    <col min="2" max="2" width="0.5" style="1" customWidth="1"/>
    <col min="3" max="3" width="19.75" style="1" bestFit="1" customWidth="1"/>
    <col min="4" max="4" width="0.5" style="1" customWidth="1"/>
    <col min="5" max="5" width="10.875" style="1" bestFit="1" customWidth="1"/>
    <col min="6" max="6" width="0.5" style="1" customWidth="1"/>
    <col min="7" max="7" width="11.5" style="1" bestFit="1" customWidth="1"/>
    <col min="8" max="16384" width="9" style="1"/>
  </cols>
  <sheetData>
    <row r="1" spans="1:7" x14ac:dyDescent="0.2">
      <c r="A1" s="69" t="s">
        <v>0</v>
      </c>
      <c r="B1" s="70"/>
      <c r="C1" s="70"/>
      <c r="D1" s="70"/>
      <c r="E1" s="70"/>
      <c r="F1" s="70"/>
      <c r="G1" s="70"/>
    </row>
    <row r="2" spans="1:7" x14ac:dyDescent="0.2">
      <c r="A2" s="69" t="s">
        <v>4</v>
      </c>
      <c r="B2" s="70"/>
      <c r="C2" s="70"/>
      <c r="D2" s="70"/>
      <c r="E2" s="70"/>
      <c r="F2" s="70"/>
      <c r="G2" s="70"/>
    </row>
    <row r="3" spans="1:7" x14ac:dyDescent="0.2">
      <c r="A3" s="69" t="s">
        <v>2</v>
      </c>
      <c r="B3" s="70"/>
      <c r="C3" s="70"/>
      <c r="D3" s="70"/>
      <c r="E3" s="70"/>
      <c r="F3" s="70"/>
      <c r="G3" s="70"/>
    </row>
    <row r="4" spans="1:7" ht="25.5" thickBot="1" x14ac:dyDescent="0.25">
      <c r="A4" s="71" t="s">
        <v>320</v>
      </c>
      <c r="B4" s="72"/>
      <c r="C4" s="72"/>
      <c r="D4" s="72"/>
      <c r="E4" s="72"/>
      <c r="F4" s="72"/>
      <c r="G4" s="72"/>
    </row>
    <row r="5" spans="1:7" s="9" customFormat="1" ht="40.5" thickTop="1" thickBot="1" x14ac:dyDescent="0.25">
      <c r="A5" s="29" t="s">
        <v>17</v>
      </c>
      <c r="B5" s="22"/>
      <c r="C5" s="29" t="s">
        <v>24</v>
      </c>
      <c r="D5" s="22"/>
      <c r="E5" s="29" t="s">
        <v>321</v>
      </c>
      <c r="F5" s="22"/>
      <c r="G5" s="29" t="s">
        <v>322</v>
      </c>
    </row>
    <row r="6" spans="1:7" s="24" customFormat="1" ht="25.5" customHeight="1" thickTop="1" x14ac:dyDescent="0.2">
      <c r="A6" s="23" t="s">
        <v>323</v>
      </c>
      <c r="C6" s="25">
        <f>'درامد سرمایه گذاری در سهام'!I210</f>
        <v>2820465464259</v>
      </c>
      <c r="E6" s="48">
        <f>C6/$C$9</f>
        <v>0.99688412018813422</v>
      </c>
      <c r="F6" s="49"/>
      <c r="G6" s="48">
        <v>0.11387272429732395</v>
      </c>
    </row>
    <row r="7" spans="1:7" s="24" customFormat="1" ht="25.5" customHeight="1" x14ac:dyDescent="0.2">
      <c r="A7" s="23" t="s">
        <v>324</v>
      </c>
      <c r="C7" s="25">
        <f>'درامد سپرده بانکی'!C10</f>
        <v>8054938055</v>
      </c>
      <c r="E7" s="48">
        <f t="shared" ref="E7:E8" si="0">C7/$C$9</f>
        <v>2.8469910154486563E-3</v>
      </c>
      <c r="F7" s="49"/>
      <c r="G7" s="48">
        <v>3.25207931808524E-4</v>
      </c>
    </row>
    <row r="8" spans="1:7" s="24" customFormat="1" ht="25.5" customHeight="1" thickBot="1" x14ac:dyDescent="0.25">
      <c r="A8" s="23" t="s">
        <v>27</v>
      </c>
      <c r="C8" s="25">
        <f>'سایر درامدها'!C9</f>
        <v>760762007</v>
      </c>
      <c r="E8" s="48">
        <f t="shared" si="0"/>
        <v>2.6888879641715478E-4</v>
      </c>
      <c r="F8" s="49"/>
      <c r="G8" s="48">
        <v>3.1942173590861764E-5</v>
      </c>
    </row>
    <row r="9" spans="1:7" s="27" customFormat="1" ht="25.5" thickTop="1" thickBot="1" x14ac:dyDescent="0.25">
      <c r="A9" s="26" t="s">
        <v>14</v>
      </c>
      <c r="C9" s="28">
        <f>SUM(C6:C8)</f>
        <v>2829281164321</v>
      </c>
      <c r="E9" s="46">
        <f>SUM(E6:E8)</f>
        <v>1</v>
      </c>
      <c r="F9" s="47"/>
      <c r="G9" s="46">
        <f>SUM(G6:G8)</f>
        <v>0.11422987440272334</v>
      </c>
    </row>
    <row r="10" spans="1:7" ht="18.75" thickTop="1" x14ac:dyDescent="0.2"/>
    <row r="11" spans="1:7" x14ac:dyDescent="0.25">
      <c r="C11" s="43"/>
    </row>
    <row r="12" spans="1:7" x14ac:dyDescent="0.2">
      <c r="C12" s="44"/>
    </row>
    <row r="13" spans="1:7" x14ac:dyDescent="0.2">
      <c r="C13" s="44"/>
    </row>
    <row r="19" spans="3:3" x14ac:dyDescent="0.25">
      <c r="C19" s="45"/>
    </row>
    <row r="20" spans="3:3" x14ac:dyDescent="0.25">
      <c r="C20" s="43"/>
    </row>
  </sheetData>
  <mergeCells count="4">
    <mergeCell ref="A1:G1"/>
    <mergeCell ref="A2:G2"/>
    <mergeCell ref="A3:G3"/>
    <mergeCell ref="A4:G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381"/>
  <sheetViews>
    <sheetView rightToLeft="1" zoomScaleNormal="100" workbookViewId="0">
      <selection activeCell="A5" sqref="A5:S5"/>
    </sheetView>
  </sheetViews>
  <sheetFormatPr defaultRowHeight="18" x14ac:dyDescent="0.2"/>
  <cols>
    <col min="1" max="1" width="29.75" style="1" customWidth="1"/>
    <col min="2" max="2" width="0.5" style="1" customWidth="1"/>
    <col min="3" max="3" width="14.25" style="1" bestFit="1" customWidth="1"/>
    <col min="4" max="4" width="0.5" style="1" customWidth="1"/>
    <col min="5" max="5" width="18.125" style="1" bestFit="1" customWidth="1"/>
    <col min="6" max="6" width="0.5" style="1" customWidth="1"/>
    <col min="7" max="7" width="16.125" style="1" bestFit="1" customWidth="1"/>
    <col min="8" max="8" width="0.5" style="1" customWidth="1"/>
    <col min="9" max="9" width="17.625" style="1" bestFit="1" customWidth="1"/>
    <col min="10" max="10" width="11.25" style="1" bestFit="1" customWidth="1"/>
    <col min="11" max="11" width="0.5" style="1" customWidth="1"/>
    <col min="12" max="12" width="15.375" style="1" bestFit="1" customWidth="1"/>
    <col min="13" max="13" width="0.5" style="1" customWidth="1"/>
    <col min="14" max="14" width="17.5" style="1" bestFit="1" customWidth="1"/>
    <col min="15" max="15" width="0.5" style="1" customWidth="1"/>
    <col min="16" max="16" width="17" style="1" bestFit="1" customWidth="1"/>
    <col min="17" max="17" width="0.5" style="1" customWidth="1"/>
    <col min="18" max="18" width="18.375" style="1" bestFit="1" customWidth="1"/>
    <col min="19" max="19" width="11.25" style="1" bestFit="1" customWidth="1"/>
    <col min="20" max="16384" width="9" style="1"/>
  </cols>
  <sheetData>
    <row r="1" spans="1:19" x14ac:dyDescent="0.2">
      <c r="A1" s="69" t="s">
        <v>0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</row>
    <row r="2" spans="1:19" x14ac:dyDescent="0.2">
      <c r="A2" s="69" t="s">
        <v>4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</row>
    <row r="3" spans="1:19" x14ac:dyDescent="0.2">
      <c r="A3" s="69" t="s">
        <v>2</v>
      </c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</row>
    <row r="5" spans="1:19" ht="24.75" x14ac:dyDescent="0.2">
      <c r="A5" s="71" t="s">
        <v>291</v>
      </c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</row>
    <row r="7" spans="1:19" ht="20.25" thickBot="1" x14ac:dyDescent="0.25">
      <c r="A7" s="30"/>
      <c r="B7" s="9"/>
      <c r="C7" s="65" t="s">
        <v>7</v>
      </c>
      <c r="D7" s="76"/>
      <c r="E7" s="76"/>
      <c r="F7" s="76"/>
      <c r="G7" s="76"/>
      <c r="H7" s="76"/>
      <c r="I7" s="76"/>
      <c r="J7" s="76"/>
      <c r="K7" s="9"/>
      <c r="L7" s="65" t="s">
        <v>8</v>
      </c>
      <c r="M7" s="76"/>
      <c r="N7" s="76"/>
      <c r="O7" s="76"/>
      <c r="P7" s="76"/>
      <c r="Q7" s="76"/>
      <c r="R7" s="76"/>
      <c r="S7" s="76"/>
    </row>
    <row r="8" spans="1:19" ht="14.25" customHeight="1" thickTop="1" thickBot="1" x14ac:dyDescent="0.25">
      <c r="A8" s="64" t="s">
        <v>292</v>
      </c>
      <c r="B8" s="9"/>
      <c r="C8" s="77" t="s">
        <v>42</v>
      </c>
      <c r="D8" s="9"/>
      <c r="E8" s="77" t="s">
        <v>21</v>
      </c>
      <c r="F8" s="9"/>
      <c r="G8" s="77" t="s">
        <v>22</v>
      </c>
      <c r="H8" s="9"/>
      <c r="I8" s="65" t="s">
        <v>14</v>
      </c>
      <c r="J8" s="76"/>
      <c r="K8" s="9"/>
      <c r="L8" s="77" t="s">
        <v>42</v>
      </c>
      <c r="M8" s="9"/>
      <c r="N8" s="77" t="s">
        <v>21</v>
      </c>
      <c r="O8" s="9"/>
      <c r="P8" s="77" t="s">
        <v>22</v>
      </c>
      <c r="Q8" s="9"/>
      <c r="R8" s="65" t="s">
        <v>14</v>
      </c>
      <c r="S8" s="76"/>
    </row>
    <row r="9" spans="1:19" ht="10.5" customHeight="1" thickTop="1" x14ac:dyDescent="0.2">
      <c r="A9" s="68"/>
      <c r="B9" s="9"/>
      <c r="C9" s="64"/>
      <c r="D9" s="9"/>
      <c r="E9" s="64"/>
      <c r="F9" s="9"/>
      <c r="G9" s="64"/>
      <c r="H9" s="9"/>
      <c r="I9" s="68"/>
      <c r="J9" s="68"/>
      <c r="K9" s="9"/>
      <c r="L9" s="64"/>
      <c r="M9" s="9"/>
      <c r="N9" s="64"/>
      <c r="O9" s="9"/>
      <c r="P9" s="64"/>
      <c r="Q9" s="9"/>
      <c r="R9" s="68"/>
      <c r="S9" s="68"/>
    </row>
    <row r="10" spans="1:19" ht="39.75" thickBot="1" x14ac:dyDescent="0.25">
      <c r="A10" s="76"/>
      <c r="B10" s="9"/>
      <c r="C10" s="78"/>
      <c r="D10" s="9"/>
      <c r="E10" s="78" t="s">
        <v>23</v>
      </c>
      <c r="F10" s="9"/>
      <c r="G10" s="78" t="s">
        <v>23</v>
      </c>
      <c r="H10" s="9"/>
      <c r="I10" s="12" t="s">
        <v>24</v>
      </c>
      <c r="J10" s="12" t="s">
        <v>25</v>
      </c>
      <c r="K10" s="30"/>
      <c r="L10" s="78" t="s">
        <v>23</v>
      </c>
      <c r="M10" s="30"/>
      <c r="N10" s="78" t="s">
        <v>23</v>
      </c>
      <c r="O10" s="9"/>
      <c r="P10" s="78" t="s">
        <v>23</v>
      </c>
      <c r="Q10" s="9"/>
      <c r="R10" s="12" t="s">
        <v>24</v>
      </c>
      <c r="S10" s="12" t="s">
        <v>25</v>
      </c>
    </row>
    <row r="11" spans="1:19" ht="18.75" thickTop="1" x14ac:dyDescent="0.2">
      <c r="A11" s="13" t="s">
        <v>118</v>
      </c>
      <c r="C11" s="3">
        <v>0</v>
      </c>
      <c r="E11" s="3">
        <v>22560290768</v>
      </c>
      <c r="G11" s="3">
        <v>0</v>
      </c>
      <c r="I11" s="3">
        <f>C11+E11+G11</f>
        <v>22560290768</v>
      </c>
      <c r="J11" s="42">
        <f>I11/$I$210</f>
        <v>7.9987828441384929E-3</v>
      </c>
      <c r="L11" s="3">
        <v>8670287425</v>
      </c>
      <c r="N11" s="3">
        <v>37936541491</v>
      </c>
      <c r="P11" s="3">
        <v>0</v>
      </c>
      <c r="R11" s="3">
        <f>L11+N11+P11</f>
        <v>46606828916</v>
      </c>
      <c r="S11" s="42">
        <f>R11/$R$210</f>
        <v>3.8615926055001171E-3</v>
      </c>
    </row>
    <row r="12" spans="1:19" x14ac:dyDescent="0.2">
      <c r="A12" s="13" t="s">
        <v>137</v>
      </c>
      <c r="C12" s="3">
        <v>0</v>
      </c>
      <c r="E12" s="3">
        <v>46020497842</v>
      </c>
      <c r="G12" s="3">
        <v>0</v>
      </c>
      <c r="I12" s="3">
        <f t="shared" ref="I12:I75" si="0">C12+E12+G12</f>
        <v>46020497842</v>
      </c>
      <c r="J12" s="42">
        <f t="shared" ref="J12:J75" si="1">I12/$I$210</f>
        <v>1.631663228115102E-2</v>
      </c>
      <c r="L12" s="3">
        <v>16346535678</v>
      </c>
      <c r="N12" s="3">
        <v>93397503339</v>
      </c>
      <c r="P12" s="3">
        <v>0</v>
      </c>
      <c r="R12" s="3">
        <f t="shared" ref="R12:R75" si="2">L12+N12+P12</f>
        <v>109744039017</v>
      </c>
      <c r="S12" s="42">
        <f t="shared" ref="S12:S75" si="3">R12/$R$210</f>
        <v>9.0928041967746637E-3</v>
      </c>
    </row>
    <row r="13" spans="1:19" x14ac:dyDescent="0.2">
      <c r="A13" s="13" t="s">
        <v>83</v>
      </c>
      <c r="C13" s="3">
        <v>0</v>
      </c>
      <c r="E13" s="3">
        <v>59536199405</v>
      </c>
      <c r="G13" s="3">
        <v>0</v>
      </c>
      <c r="I13" s="3">
        <f t="shared" si="0"/>
        <v>59536199405</v>
      </c>
      <c r="J13" s="42">
        <f t="shared" si="1"/>
        <v>2.1108643292904673E-2</v>
      </c>
      <c r="L13" s="3">
        <v>16589543980</v>
      </c>
      <c r="N13" s="3">
        <v>195868082283</v>
      </c>
      <c r="P13" s="3">
        <v>27933941023</v>
      </c>
      <c r="R13" s="3">
        <f t="shared" si="2"/>
        <v>240391567286</v>
      </c>
      <c r="S13" s="42">
        <f t="shared" si="3"/>
        <v>1.9917559727766002E-2</v>
      </c>
    </row>
    <row r="14" spans="1:19" x14ac:dyDescent="0.2">
      <c r="A14" s="13" t="s">
        <v>161</v>
      </c>
      <c r="C14" s="3">
        <v>0</v>
      </c>
      <c r="E14" s="3">
        <v>30781761992</v>
      </c>
      <c r="G14" s="3">
        <v>0</v>
      </c>
      <c r="I14" s="3">
        <f t="shared" si="0"/>
        <v>30781761992</v>
      </c>
      <c r="J14" s="42">
        <f t="shared" si="1"/>
        <v>1.0913717037867388E-2</v>
      </c>
      <c r="L14" s="3">
        <v>350243404</v>
      </c>
      <c r="N14" s="3">
        <v>59892053592</v>
      </c>
      <c r="P14" s="3">
        <v>449492217</v>
      </c>
      <c r="R14" s="3">
        <f t="shared" si="2"/>
        <v>60691789213</v>
      </c>
      <c r="S14" s="42">
        <f t="shared" si="3"/>
        <v>5.0285970938270599E-3</v>
      </c>
    </row>
    <row r="15" spans="1:19" x14ac:dyDescent="0.2">
      <c r="A15" s="13" t="s">
        <v>164</v>
      </c>
      <c r="C15" s="3">
        <v>0</v>
      </c>
      <c r="E15" s="3">
        <v>5272037644</v>
      </c>
      <c r="G15" s="3">
        <v>0</v>
      </c>
      <c r="I15" s="3">
        <f t="shared" si="0"/>
        <v>5272037644</v>
      </c>
      <c r="J15" s="42">
        <f t="shared" si="1"/>
        <v>1.8692083667775324E-3</v>
      </c>
      <c r="L15" s="3">
        <v>5777442818</v>
      </c>
      <c r="N15" s="3">
        <v>54417514340</v>
      </c>
      <c r="P15" s="3">
        <v>742414205</v>
      </c>
      <c r="R15" s="3">
        <f t="shared" si="2"/>
        <v>60937371363</v>
      </c>
      <c r="S15" s="42">
        <f t="shared" si="3"/>
        <v>5.0489447174809242E-3</v>
      </c>
    </row>
    <row r="16" spans="1:19" x14ac:dyDescent="0.2">
      <c r="A16" s="13" t="s">
        <v>91</v>
      </c>
      <c r="C16" s="3">
        <v>0</v>
      </c>
      <c r="E16" s="3">
        <v>0</v>
      </c>
      <c r="G16" s="3">
        <v>0</v>
      </c>
      <c r="I16" s="3">
        <f t="shared" si="0"/>
        <v>0</v>
      </c>
      <c r="J16" s="42">
        <f t="shared" si="1"/>
        <v>0</v>
      </c>
      <c r="L16" s="3">
        <v>7248702593</v>
      </c>
      <c r="N16" s="3">
        <v>0</v>
      </c>
      <c r="P16" s="3">
        <v>92824836750</v>
      </c>
      <c r="R16" s="3">
        <f t="shared" si="2"/>
        <v>100073539343</v>
      </c>
      <c r="S16" s="42">
        <f t="shared" si="3"/>
        <v>8.2915583085398231E-3</v>
      </c>
    </row>
    <row r="17" spans="1:19" x14ac:dyDescent="0.2">
      <c r="A17" s="13" t="s">
        <v>155</v>
      </c>
      <c r="C17" s="3">
        <v>0</v>
      </c>
      <c r="E17" s="3">
        <v>39319880266</v>
      </c>
      <c r="G17" s="3">
        <v>0</v>
      </c>
      <c r="I17" s="3">
        <f t="shared" si="0"/>
        <v>39319880266</v>
      </c>
      <c r="J17" s="42">
        <f t="shared" si="1"/>
        <v>1.3940918888836747E-2</v>
      </c>
      <c r="L17" s="3">
        <v>5182787640</v>
      </c>
      <c r="N17" s="3">
        <v>53145700135</v>
      </c>
      <c r="P17" s="3">
        <v>3540572813</v>
      </c>
      <c r="R17" s="3">
        <f t="shared" si="2"/>
        <v>61869060588</v>
      </c>
      <c r="S17" s="42">
        <f t="shared" si="3"/>
        <v>5.1261395042871347E-3</v>
      </c>
    </row>
    <row r="18" spans="1:19" x14ac:dyDescent="0.2">
      <c r="A18" s="13" t="s">
        <v>131</v>
      </c>
      <c r="C18" s="3">
        <v>0</v>
      </c>
      <c r="E18" s="3">
        <v>-4710141066</v>
      </c>
      <c r="G18" s="3">
        <v>0</v>
      </c>
      <c r="I18" s="3">
        <f t="shared" si="0"/>
        <v>-4710141066</v>
      </c>
      <c r="J18" s="42">
        <f t="shared" si="1"/>
        <v>-1.6699871442097094E-3</v>
      </c>
      <c r="L18" s="3">
        <v>7669617064</v>
      </c>
      <c r="N18" s="3">
        <v>72258765886</v>
      </c>
      <c r="P18" s="3">
        <v>0</v>
      </c>
      <c r="R18" s="3">
        <f t="shared" si="2"/>
        <v>79928382950</v>
      </c>
      <c r="S18" s="42">
        <f t="shared" si="3"/>
        <v>6.6224383796972429E-3</v>
      </c>
    </row>
    <row r="19" spans="1:19" x14ac:dyDescent="0.2">
      <c r="A19" s="13" t="s">
        <v>121</v>
      </c>
      <c r="C19" s="3">
        <v>0</v>
      </c>
      <c r="E19" s="3">
        <v>1449035222</v>
      </c>
      <c r="G19" s="3">
        <v>0</v>
      </c>
      <c r="I19" s="3">
        <f t="shared" si="0"/>
        <v>1449035222</v>
      </c>
      <c r="J19" s="42">
        <f t="shared" si="1"/>
        <v>5.1375747739591424E-4</v>
      </c>
      <c r="L19" s="3">
        <v>320858708</v>
      </c>
      <c r="N19" s="3">
        <v>5657587718</v>
      </c>
      <c r="P19" s="3">
        <v>1625581389</v>
      </c>
      <c r="R19" s="3">
        <f t="shared" si="2"/>
        <v>7604027815</v>
      </c>
      <c r="S19" s="42">
        <f t="shared" si="3"/>
        <v>6.3002908083155916E-4</v>
      </c>
    </row>
    <row r="20" spans="1:19" x14ac:dyDescent="0.2">
      <c r="A20" s="13" t="s">
        <v>145</v>
      </c>
      <c r="C20" s="3">
        <v>0</v>
      </c>
      <c r="E20" s="3">
        <v>9829827180</v>
      </c>
      <c r="G20" s="3">
        <v>0</v>
      </c>
      <c r="I20" s="3">
        <f t="shared" si="0"/>
        <v>9829827180</v>
      </c>
      <c r="J20" s="42">
        <f t="shared" si="1"/>
        <v>3.4851790615995073E-3</v>
      </c>
      <c r="L20" s="3">
        <v>16070388192</v>
      </c>
      <c r="N20" s="3">
        <v>42588057111</v>
      </c>
      <c r="P20" s="3">
        <v>162825767</v>
      </c>
      <c r="R20" s="3">
        <f t="shared" si="2"/>
        <v>58821271070</v>
      </c>
      <c r="S20" s="42">
        <f t="shared" si="3"/>
        <v>4.8736159634334645E-3</v>
      </c>
    </row>
    <row r="21" spans="1:19" x14ac:dyDescent="0.2">
      <c r="A21" s="13" t="s">
        <v>67</v>
      </c>
      <c r="C21" s="3">
        <v>0</v>
      </c>
      <c r="E21" s="3">
        <v>0</v>
      </c>
      <c r="G21" s="3">
        <v>0</v>
      </c>
      <c r="I21" s="3">
        <f t="shared" si="0"/>
        <v>0</v>
      </c>
      <c r="J21" s="42">
        <f t="shared" si="1"/>
        <v>0</v>
      </c>
      <c r="L21" s="3">
        <v>8679813140</v>
      </c>
      <c r="N21" s="3">
        <v>0</v>
      </c>
      <c r="P21" s="3">
        <v>9318472046</v>
      </c>
      <c r="R21" s="3">
        <f t="shared" si="2"/>
        <v>17998285186</v>
      </c>
      <c r="S21" s="42">
        <f t="shared" si="3"/>
        <v>1.4912416614141289E-3</v>
      </c>
    </row>
    <row r="22" spans="1:19" x14ac:dyDescent="0.2">
      <c r="A22" s="13" t="s">
        <v>107</v>
      </c>
      <c r="C22" s="3">
        <v>0</v>
      </c>
      <c r="E22" s="3">
        <v>15392503402</v>
      </c>
      <c r="G22" s="3">
        <v>0</v>
      </c>
      <c r="I22" s="3">
        <f t="shared" si="0"/>
        <v>15392503402</v>
      </c>
      <c r="J22" s="42">
        <f t="shared" si="1"/>
        <v>5.457433745264439E-3</v>
      </c>
      <c r="L22" s="3">
        <v>11829800357</v>
      </c>
      <c r="N22" s="3">
        <v>81258752943</v>
      </c>
      <c r="P22" s="3">
        <v>0</v>
      </c>
      <c r="R22" s="3">
        <f t="shared" si="2"/>
        <v>93088553300</v>
      </c>
      <c r="S22" s="42">
        <f t="shared" si="3"/>
        <v>7.712819718497914E-3</v>
      </c>
    </row>
    <row r="23" spans="1:19" x14ac:dyDescent="0.2">
      <c r="A23" s="13" t="s">
        <v>127</v>
      </c>
      <c r="C23" s="3">
        <v>0</v>
      </c>
      <c r="E23" s="3">
        <v>91876851562</v>
      </c>
      <c r="G23" s="3">
        <v>0</v>
      </c>
      <c r="I23" s="3">
        <f t="shared" si="0"/>
        <v>91876851562</v>
      </c>
      <c r="J23" s="42">
        <f t="shared" si="1"/>
        <v>3.2575067032823292E-2</v>
      </c>
      <c r="L23" s="3">
        <v>13041475046</v>
      </c>
      <c r="N23" s="3">
        <v>191650589763</v>
      </c>
      <c r="P23" s="3">
        <v>370579532</v>
      </c>
      <c r="R23" s="3">
        <f t="shared" si="2"/>
        <v>205062644341</v>
      </c>
      <c r="S23" s="42">
        <f t="shared" si="3"/>
        <v>1.6990394100373129E-2</v>
      </c>
    </row>
    <row r="24" spans="1:19" x14ac:dyDescent="0.2">
      <c r="A24" s="13" t="s">
        <v>96</v>
      </c>
      <c r="C24" s="3">
        <v>0</v>
      </c>
      <c r="E24" s="3">
        <v>0</v>
      </c>
      <c r="G24" s="3">
        <v>0</v>
      </c>
      <c r="I24" s="3">
        <f t="shared" si="0"/>
        <v>0</v>
      </c>
      <c r="J24" s="42">
        <f t="shared" si="1"/>
        <v>0</v>
      </c>
      <c r="L24" s="3">
        <v>509751700</v>
      </c>
      <c r="N24" s="3">
        <v>0</v>
      </c>
      <c r="P24" s="3">
        <v>37385516092</v>
      </c>
      <c r="R24" s="3">
        <f t="shared" si="2"/>
        <v>37895267792</v>
      </c>
      <c r="S24" s="42">
        <f t="shared" si="3"/>
        <v>3.1397992374202735E-3</v>
      </c>
    </row>
    <row r="25" spans="1:19" x14ac:dyDescent="0.2">
      <c r="A25" s="13" t="s">
        <v>63</v>
      </c>
      <c r="C25" s="3">
        <v>0</v>
      </c>
      <c r="E25" s="3">
        <v>-5710387782</v>
      </c>
      <c r="G25" s="3">
        <v>0</v>
      </c>
      <c r="I25" s="3">
        <f t="shared" si="0"/>
        <v>-5710387782</v>
      </c>
      <c r="J25" s="42">
        <f t="shared" si="1"/>
        <v>-2.0246260251586693E-3</v>
      </c>
      <c r="L25" s="3">
        <v>20921118518</v>
      </c>
      <c r="N25" s="3">
        <v>70168155568</v>
      </c>
      <c r="P25" s="3">
        <v>0</v>
      </c>
      <c r="R25" s="3">
        <f t="shared" si="2"/>
        <v>91089274086</v>
      </c>
      <c r="S25" s="42">
        <f t="shared" si="3"/>
        <v>7.5471701343344626E-3</v>
      </c>
    </row>
    <row r="26" spans="1:19" x14ac:dyDescent="0.2">
      <c r="A26" s="13" t="s">
        <v>78</v>
      </c>
      <c r="C26" s="3">
        <v>0</v>
      </c>
      <c r="E26" s="3">
        <v>0</v>
      </c>
      <c r="G26" s="3">
        <v>0</v>
      </c>
      <c r="I26" s="3">
        <f t="shared" si="0"/>
        <v>0</v>
      </c>
      <c r="J26" s="42">
        <f t="shared" si="1"/>
        <v>0</v>
      </c>
      <c r="L26" s="3">
        <v>3800557584</v>
      </c>
      <c r="N26" s="3">
        <v>0</v>
      </c>
      <c r="P26" s="3">
        <v>17814638713</v>
      </c>
      <c r="R26" s="3">
        <f t="shared" si="2"/>
        <v>21615196297</v>
      </c>
      <c r="S26" s="42">
        <f t="shared" si="3"/>
        <v>1.7909195739827302E-3</v>
      </c>
    </row>
    <row r="27" spans="1:19" x14ac:dyDescent="0.2">
      <c r="A27" s="13" t="s">
        <v>55</v>
      </c>
      <c r="C27" s="3">
        <v>0</v>
      </c>
      <c r="E27" s="3">
        <v>59623186913</v>
      </c>
      <c r="G27" s="3">
        <v>0</v>
      </c>
      <c r="I27" s="3">
        <f t="shared" si="0"/>
        <v>59623186913</v>
      </c>
      <c r="J27" s="42">
        <f t="shared" si="1"/>
        <v>2.1139484836296109E-2</v>
      </c>
      <c r="L27" s="3">
        <v>20065985623</v>
      </c>
      <c r="N27" s="3">
        <v>188492321053</v>
      </c>
      <c r="P27" s="3">
        <v>0</v>
      </c>
      <c r="R27" s="3">
        <f t="shared" si="2"/>
        <v>208558306676</v>
      </c>
      <c r="S27" s="42">
        <f t="shared" si="3"/>
        <v>1.7280025987762213E-2</v>
      </c>
    </row>
    <row r="28" spans="1:19" x14ac:dyDescent="0.2">
      <c r="A28" s="13" t="s">
        <v>148</v>
      </c>
      <c r="C28" s="3">
        <v>0</v>
      </c>
      <c r="E28" s="3">
        <v>48903987133</v>
      </c>
      <c r="G28" s="3">
        <v>0</v>
      </c>
      <c r="I28" s="3">
        <f t="shared" si="0"/>
        <v>48903987133</v>
      </c>
      <c r="J28" s="42">
        <f t="shared" si="1"/>
        <v>1.7338977467624545E-2</v>
      </c>
      <c r="L28" s="3">
        <v>14922850800</v>
      </c>
      <c r="N28" s="3">
        <v>68028485650</v>
      </c>
      <c r="P28" s="3">
        <v>224634215</v>
      </c>
      <c r="R28" s="3">
        <f t="shared" si="2"/>
        <v>83175970665</v>
      </c>
      <c r="S28" s="42">
        <f t="shared" si="3"/>
        <v>6.8915161306971999E-3</v>
      </c>
    </row>
    <row r="29" spans="1:19" x14ac:dyDescent="0.2">
      <c r="A29" s="13" t="s">
        <v>139</v>
      </c>
      <c r="C29" s="3">
        <v>0</v>
      </c>
      <c r="E29" s="3">
        <v>5209417500</v>
      </c>
      <c r="G29" s="3">
        <v>0</v>
      </c>
      <c r="I29" s="3">
        <f t="shared" si="0"/>
        <v>5209417500</v>
      </c>
      <c r="J29" s="42">
        <f t="shared" si="1"/>
        <v>1.8470063065879913E-3</v>
      </c>
      <c r="L29" s="3">
        <v>1979751048</v>
      </c>
      <c r="N29" s="3">
        <v>77274684002</v>
      </c>
      <c r="P29" s="3">
        <v>1423990755</v>
      </c>
      <c r="R29" s="3">
        <f t="shared" si="2"/>
        <v>80678425805</v>
      </c>
      <c r="S29" s="42">
        <f t="shared" si="3"/>
        <v>6.6845829196721966E-3</v>
      </c>
    </row>
    <row r="30" spans="1:19" x14ac:dyDescent="0.2">
      <c r="A30" s="13" t="s">
        <v>133</v>
      </c>
      <c r="C30" s="3">
        <v>0</v>
      </c>
      <c r="E30" s="3">
        <v>8179929523</v>
      </c>
      <c r="G30" s="3">
        <v>0</v>
      </c>
      <c r="I30" s="3">
        <f t="shared" si="0"/>
        <v>8179929523</v>
      </c>
      <c r="J30" s="42">
        <f t="shared" si="1"/>
        <v>2.9002055251717298E-3</v>
      </c>
      <c r="L30" s="3">
        <v>3060000000</v>
      </c>
      <c r="N30" s="3">
        <v>55384939473</v>
      </c>
      <c r="P30" s="3">
        <v>4146488379</v>
      </c>
      <c r="R30" s="3">
        <f t="shared" si="2"/>
        <v>62591427852</v>
      </c>
      <c r="S30" s="42">
        <f t="shared" si="3"/>
        <v>5.1859909927920765E-3</v>
      </c>
    </row>
    <row r="31" spans="1:19" x14ac:dyDescent="0.2">
      <c r="A31" s="13" t="s">
        <v>99</v>
      </c>
      <c r="C31" s="3">
        <v>0</v>
      </c>
      <c r="E31" s="3">
        <v>22778550102</v>
      </c>
      <c r="G31" s="3">
        <v>12099654039</v>
      </c>
      <c r="I31" s="3">
        <f t="shared" si="0"/>
        <v>34878204141</v>
      </c>
      <c r="J31" s="42">
        <f t="shared" si="1"/>
        <v>1.2366116367307937E-2</v>
      </c>
      <c r="L31" s="3">
        <v>1660022734</v>
      </c>
      <c r="N31" s="3">
        <v>99901743584</v>
      </c>
      <c r="P31" s="3">
        <v>30531622660</v>
      </c>
      <c r="R31" s="3">
        <f t="shared" si="2"/>
        <v>132093388978</v>
      </c>
      <c r="S31" s="42">
        <f t="shared" si="3"/>
        <v>1.0944551817336421E-2</v>
      </c>
    </row>
    <row r="32" spans="1:19" x14ac:dyDescent="0.2">
      <c r="A32" s="13" t="s">
        <v>108</v>
      </c>
      <c r="C32" s="3">
        <v>0</v>
      </c>
      <c r="E32" s="3">
        <v>20618030460</v>
      </c>
      <c r="G32" s="3">
        <v>0</v>
      </c>
      <c r="I32" s="3">
        <f t="shared" si="0"/>
        <v>20618030460</v>
      </c>
      <c r="J32" s="42">
        <f t="shared" si="1"/>
        <v>7.31015171831463E-3</v>
      </c>
      <c r="L32" s="3">
        <v>10088393135</v>
      </c>
      <c r="N32" s="3">
        <v>125278293294</v>
      </c>
      <c r="P32" s="3">
        <v>50539288578</v>
      </c>
      <c r="R32" s="3">
        <f t="shared" si="2"/>
        <v>185905975007</v>
      </c>
      <c r="S32" s="42">
        <f t="shared" si="3"/>
        <v>1.5403174923125268E-2</v>
      </c>
    </row>
    <row r="33" spans="1:19" x14ac:dyDescent="0.2">
      <c r="A33" s="13" t="s">
        <v>144</v>
      </c>
      <c r="C33" s="3">
        <v>0</v>
      </c>
      <c r="E33" s="3">
        <v>19500474419</v>
      </c>
      <c r="G33" s="3">
        <v>0</v>
      </c>
      <c r="I33" s="3">
        <f t="shared" si="0"/>
        <v>19500474419</v>
      </c>
      <c r="J33" s="42">
        <f t="shared" si="1"/>
        <v>6.9139206510806239E-3</v>
      </c>
      <c r="L33" s="3">
        <v>527880331</v>
      </c>
      <c r="N33" s="3">
        <v>24387144880</v>
      </c>
      <c r="P33" s="3">
        <v>0</v>
      </c>
      <c r="R33" s="3">
        <f t="shared" si="2"/>
        <v>24915025211</v>
      </c>
      <c r="S33" s="42">
        <f t="shared" si="3"/>
        <v>2.06432575136253E-3</v>
      </c>
    </row>
    <row r="34" spans="1:19" x14ac:dyDescent="0.2">
      <c r="A34" s="13" t="s">
        <v>125</v>
      </c>
      <c r="C34" s="3">
        <v>0</v>
      </c>
      <c r="E34" s="3">
        <v>71702612201</v>
      </c>
      <c r="G34" s="3">
        <v>0</v>
      </c>
      <c r="I34" s="3">
        <f t="shared" si="0"/>
        <v>71702612201</v>
      </c>
      <c r="J34" s="42">
        <f t="shared" si="1"/>
        <v>2.54222620732702E-2</v>
      </c>
      <c r="L34" s="3">
        <v>5143504290</v>
      </c>
      <c r="N34" s="3">
        <v>138371916157</v>
      </c>
      <c r="P34" s="3">
        <v>0</v>
      </c>
      <c r="R34" s="3">
        <f t="shared" si="2"/>
        <v>143515420447</v>
      </c>
      <c r="S34" s="42">
        <f t="shared" si="3"/>
        <v>1.1890920263470679E-2</v>
      </c>
    </row>
    <row r="35" spans="1:19" x14ac:dyDescent="0.2">
      <c r="A35" s="13" t="s">
        <v>170</v>
      </c>
      <c r="C35" s="3">
        <v>0</v>
      </c>
      <c r="E35" s="3">
        <v>765843037</v>
      </c>
      <c r="G35" s="3">
        <v>929023652</v>
      </c>
      <c r="I35" s="3">
        <f t="shared" si="0"/>
        <v>1694866689</v>
      </c>
      <c r="J35" s="42">
        <f t="shared" si="1"/>
        <v>6.0091737001476803E-4</v>
      </c>
      <c r="L35" s="3">
        <v>2029342209</v>
      </c>
      <c r="N35" s="3">
        <v>5775011400</v>
      </c>
      <c r="P35" s="3">
        <v>20333982545</v>
      </c>
      <c r="R35" s="3">
        <f t="shared" si="2"/>
        <v>28138336154</v>
      </c>
      <c r="S35" s="42">
        <f t="shared" si="3"/>
        <v>2.3313920588590126E-3</v>
      </c>
    </row>
    <row r="36" spans="1:19" x14ac:dyDescent="0.2">
      <c r="A36" s="13" t="s">
        <v>69</v>
      </c>
      <c r="C36" s="3">
        <v>0</v>
      </c>
      <c r="E36" s="3">
        <v>2464002444</v>
      </c>
      <c r="G36" s="3">
        <v>0</v>
      </c>
      <c r="I36" s="3">
        <f t="shared" si="0"/>
        <v>2464002444</v>
      </c>
      <c r="J36" s="42">
        <f t="shared" si="1"/>
        <v>8.7361553446546072E-4</v>
      </c>
      <c r="L36" s="3">
        <v>19298417040</v>
      </c>
      <c r="N36" s="3">
        <v>32334456459</v>
      </c>
      <c r="P36" s="3">
        <v>1109268463</v>
      </c>
      <c r="R36" s="3">
        <f t="shared" si="2"/>
        <v>52742141962</v>
      </c>
      <c r="S36" s="42">
        <f t="shared" si="3"/>
        <v>4.3699318347912262E-3</v>
      </c>
    </row>
    <row r="37" spans="1:19" x14ac:dyDescent="0.2">
      <c r="A37" s="13" t="s">
        <v>105</v>
      </c>
      <c r="C37" s="3">
        <v>0</v>
      </c>
      <c r="E37" s="3">
        <v>17533410900</v>
      </c>
      <c r="G37" s="3">
        <v>0</v>
      </c>
      <c r="I37" s="3">
        <f t="shared" si="0"/>
        <v>17533410900</v>
      </c>
      <c r="J37" s="42">
        <f t="shared" si="1"/>
        <v>6.2164955118875825E-3</v>
      </c>
      <c r="L37" s="3">
        <v>4152845180</v>
      </c>
      <c r="N37" s="3">
        <v>20400582713</v>
      </c>
      <c r="P37" s="3">
        <v>-1526788077</v>
      </c>
      <c r="R37" s="3">
        <f t="shared" si="2"/>
        <v>23026639816</v>
      </c>
      <c r="S37" s="42">
        <f t="shared" si="3"/>
        <v>1.9078642360165884E-3</v>
      </c>
    </row>
    <row r="38" spans="1:19" x14ac:dyDescent="0.2">
      <c r="A38" s="13" t="s">
        <v>89</v>
      </c>
      <c r="C38" s="3">
        <v>0</v>
      </c>
      <c r="E38" s="3">
        <v>26436151963</v>
      </c>
      <c r="G38" s="3">
        <v>0</v>
      </c>
      <c r="I38" s="3">
        <f t="shared" si="0"/>
        <v>26436151963</v>
      </c>
      <c r="J38" s="42">
        <f t="shared" si="1"/>
        <v>9.3729748858830206E-3</v>
      </c>
      <c r="L38" s="3">
        <v>7065835163</v>
      </c>
      <c r="N38" s="3">
        <v>49349622569</v>
      </c>
      <c r="P38" s="3">
        <v>4529419695</v>
      </c>
      <c r="R38" s="3">
        <f t="shared" si="2"/>
        <v>60944877427</v>
      </c>
      <c r="S38" s="42">
        <f t="shared" si="3"/>
        <v>5.0495666298039244E-3</v>
      </c>
    </row>
    <row r="39" spans="1:19" x14ac:dyDescent="0.2">
      <c r="A39" s="13" t="s">
        <v>153</v>
      </c>
      <c r="C39" s="3">
        <v>0</v>
      </c>
      <c r="E39" s="3">
        <v>23731197276</v>
      </c>
      <c r="G39" s="3">
        <v>0</v>
      </c>
      <c r="I39" s="3">
        <f t="shared" si="0"/>
        <v>23731197276</v>
      </c>
      <c r="J39" s="42">
        <f t="shared" si="1"/>
        <v>8.4139293945351395E-3</v>
      </c>
      <c r="L39" s="3">
        <v>12251347647</v>
      </c>
      <c r="N39" s="3">
        <v>74018861229</v>
      </c>
      <c r="P39" s="3">
        <v>0</v>
      </c>
      <c r="R39" s="3">
        <f t="shared" si="2"/>
        <v>86270208876</v>
      </c>
      <c r="S39" s="42">
        <f t="shared" si="3"/>
        <v>7.1478881618600313E-3</v>
      </c>
    </row>
    <row r="40" spans="1:19" x14ac:dyDescent="0.2">
      <c r="A40" s="13" t="s">
        <v>94</v>
      </c>
      <c r="C40" s="3">
        <v>0</v>
      </c>
      <c r="E40" s="3">
        <v>0</v>
      </c>
      <c r="G40" s="3">
        <v>0</v>
      </c>
      <c r="I40" s="3">
        <f t="shared" si="0"/>
        <v>0</v>
      </c>
      <c r="J40" s="42">
        <f t="shared" si="1"/>
        <v>0</v>
      </c>
      <c r="L40" s="3">
        <v>1254673828</v>
      </c>
      <c r="N40" s="3">
        <v>0</v>
      </c>
      <c r="P40" s="3">
        <v>27585481672</v>
      </c>
      <c r="R40" s="3">
        <f t="shared" si="2"/>
        <v>28840155500</v>
      </c>
      <c r="S40" s="42">
        <f t="shared" si="3"/>
        <v>2.3895410567621963E-3</v>
      </c>
    </row>
    <row r="41" spans="1:19" x14ac:dyDescent="0.2">
      <c r="A41" s="13" t="s">
        <v>103</v>
      </c>
      <c r="C41" s="3">
        <v>0</v>
      </c>
      <c r="E41" s="3">
        <v>-22604886211</v>
      </c>
      <c r="G41" s="3">
        <v>30664140582</v>
      </c>
      <c r="I41" s="3">
        <f t="shared" si="0"/>
        <v>8059254371</v>
      </c>
      <c r="J41" s="42">
        <f t="shared" si="1"/>
        <v>2.8574199801866206E-3</v>
      </c>
      <c r="L41" s="3">
        <v>2565000749</v>
      </c>
      <c r="N41" s="3">
        <v>0</v>
      </c>
      <c r="P41" s="3">
        <v>24886599934</v>
      </c>
      <c r="R41" s="3">
        <f t="shared" si="2"/>
        <v>27451600683</v>
      </c>
      <c r="S41" s="42">
        <f t="shared" si="3"/>
        <v>2.2744928301745688E-3</v>
      </c>
    </row>
    <row r="42" spans="1:19" x14ac:dyDescent="0.2">
      <c r="A42" s="13" t="s">
        <v>168</v>
      </c>
      <c r="C42" s="3">
        <v>0</v>
      </c>
      <c r="E42" s="3">
        <v>17336332828</v>
      </c>
      <c r="G42" s="3">
        <v>0</v>
      </c>
      <c r="I42" s="3">
        <f t="shared" si="0"/>
        <v>17336332828</v>
      </c>
      <c r="J42" s="42">
        <f t="shared" si="1"/>
        <v>6.1466212040836481E-3</v>
      </c>
      <c r="L42" s="3">
        <v>9196092716</v>
      </c>
      <c r="N42" s="3">
        <v>68271397497</v>
      </c>
      <c r="P42" s="3">
        <v>6921593280</v>
      </c>
      <c r="R42" s="3">
        <f t="shared" si="2"/>
        <v>84389083493</v>
      </c>
      <c r="S42" s="42">
        <f t="shared" si="3"/>
        <v>6.9920281722841773E-3</v>
      </c>
    </row>
    <row r="43" spans="1:19" x14ac:dyDescent="0.2">
      <c r="A43" s="13" t="s">
        <v>113</v>
      </c>
      <c r="C43" s="3">
        <v>0</v>
      </c>
      <c r="E43" s="3">
        <v>32727311626</v>
      </c>
      <c r="G43" s="3">
        <v>0</v>
      </c>
      <c r="I43" s="3">
        <f t="shared" si="0"/>
        <v>32727311626</v>
      </c>
      <c r="J43" s="42">
        <f t="shared" si="1"/>
        <v>1.1603514398854093E-2</v>
      </c>
      <c r="L43" s="3">
        <v>29885068099</v>
      </c>
      <c r="N43" s="3">
        <v>70761609255</v>
      </c>
      <c r="P43" s="3">
        <v>0</v>
      </c>
      <c r="R43" s="3">
        <f t="shared" si="2"/>
        <v>100646677354</v>
      </c>
      <c r="S43" s="42">
        <f t="shared" si="3"/>
        <v>8.3390454591717091E-3</v>
      </c>
    </row>
    <row r="44" spans="1:19" x14ac:dyDescent="0.2">
      <c r="A44" s="13" t="s">
        <v>135</v>
      </c>
      <c r="C44" s="3">
        <v>0</v>
      </c>
      <c r="E44" s="3">
        <v>4968336869</v>
      </c>
      <c r="G44" s="3">
        <v>0</v>
      </c>
      <c r="I44" s="3">
        <f t="shared" si="0"/>
        <v>4968336869</v>
      </c>
      <c r="J44" s="42">
        <f t="shared" si="1"/>
        <v>1.7615308295594728E-3</v>
      </c>
      <c r="L44" s="3">
        <v>4803122660</v>
      </c>
      <c r="N44" s="3">
        <v>41786627451</v>
      </c>
      <c r="P44" s="3">
        <v>0</v>
      </c>
      <c r="R44" s="3">
        <f t="shared" si="2"/>
        <v>46589750111</v>
      </c>
      <c r="S44" s="42">
        <f t="shared" si="3"/>
        <v>3.860177547049828E-3</v>
      </c>
    </row>
    <row r="45" spans="1:19" x14ac:dyDescent="0.2">
      <c r="A45" s="13" t="s">
        <v>119</v>
      </c>
      <c r="C45" s="3">
        <v>0</v>
      </c>
      <c r="E45" s="3">
        <v>76816999955</v>
      </c>
      <c r="G45" s="3">
        <v>0</v>
      </c>
      <c r="I45" s="3">
        <f t="shared" si="0"/>
        <v>76816999955</v>
      </c>
      <c r="J45" s="42">
        <f t="shared" si="1"/>
        <v>2.7235575449664852E-2</v>
      </c>
      <c r="L45" s="3">
        <v>4663613053</v>
      </c>
      <c r="N45" s="3">
        <v>153718773076</v>
      </c>
      <c r="P45" s="3">
        <v>0</v>
      </c>
      <c r="R45" s="3">
        <f t="shared" si="2"/>
        <v>158382386129</v>
      </c>
      <c r="S45" s="42">
        <f t="shared" si="3"/>
        <v>1.3122717536082943E-2</v>
      </c>
    </row>
    <row r="46" spans="1:19" x14ac:dyDescent="0.2">
      <c r="A46" s="13" t="s">
        <v>152</v>
      </c>
      <c r="C46" s="3">
        <v>0</v>
      </c>
      <c r="E46" s="3">
        <v>21597413811</v>
      </c>
      <c r="G46" s="3">
        <v>0</v>
      </c>
      <c r="I46" s="3">
        <f t="shared" si="0"/>
        <v>21597413811</v>
      </c>
      <c r="J46" s="42">
        <f t="shared" si="1"/>
        <v>7.6573934638388234E-3</v>
      </c>
      <c r="L46" s="3">
        <v>6294990427</v>
      </c>
      <c r="N46" s="3">
        <v>71961916153</v>
      </c>
      <c r="P46" s="3">
        <v>40143519904</v>
      </c>
      <c r="R46" s="3">
        <f t="shared" si="2"/>
        <v>118400426484</v>
      </c>
      <c r="S46" s="42">
        <f t="shared" si="3"/>
        <v>9.8100261706866362E-3</v>
      </c>
    </row>
    <row r="47" spans="1:19" x14ac:dyDescent="0.2">
      <c r="A47" s="13" t="s">
        <v>138</v>
      </c>
      <c r="C47" s="3">
        <v>0</v>
      </c>
      <c r="E47" s="3">
        <v>38534162697</v>
      </c>
      <c r="G47" s="3">
        <v>0</v>
      </c>
      <c r="I47" s="3">
        <f t="shared" si="0"/>
        <v>38534162697</v>
      </c>
      <c r="J47" s="42">
        <f t="shared" si="1"/>
        <v>1.3662341618894382E-2</v>
      </c>
      <c r="L47" s="3">
        <v>8042975894</v>
      </c>
      <c r="N47" s="3">
        <v>103897218238</v>
      </c>
      <c r="P47" s="3">
        <v>1476497822</v>
      </c>
      <c r="R47" s="3">
        <f t="shared" si="2"/>
        <v>113416691954</v>
      </c>
      <c r="S47" s="42">
        <f t="shared" si="3"/>
        <v>9.3971005789560899E-3</v>
      </c>
    </row>
    <row r="48" spans="1:19" x14ac:dyDescent="0.2">
      <c r="A48" s="13" t="s">
        <v>51</v>
      </c>
      <c r="C48" s="3">
        <v>0</v>
      </c>
      <c r="E48" s="3">
        <v>36082164440</v>
      </c>
      <c r="G48" s="3">
        <v>0</v>
      </c>
      <c r="I48" s="3">
        <f t="shared" si="0"/>
        <v>36082164440</v>
      </c>
      <c r="J48" s="42">
        <f t="shared" si="1"/>
        <v>1.279298218582499E-2</v>
      </c>
      <c r="L48" s="3">
        <v>13592150100</v>
      </c>
      <c r="N48" s="3">
        <v>142750799507</v>
      </c>
      <c r="P48" s="3">
        <v>0</v>
      </c>
      <c r="R48" s="3">
        <f t="shared" si="2"/>
        <v>156342949607</v>
      </c>
      <c r="S48" s="42">
        <f t="shared" si="3"/>
        <v>1.2953740732127107E-2</v>
      </c>
    </row>
    <row r="49" spans="1:19" x14ac:dyDescent="0.2">
      <c r="A49" s="13" t="s">
        <v>163</v>
      </c>
      <c r="C49" s="3">
        <v>0</v>
      </c>
      <c r="E49" s="3">
        <v>-1706132277</v>
      </c>
      <c r="G49" s="3">
        <v>0</v>
      </c>
      <c r="I49" s="3">
        <f t="shared" si="0"/>
        <v>-1706132277</v>
      </c>
      <c r="J49" s="42">
        <f t="shared" si="1"/>
        <v>-6.0491160009585134E-4</v>
      </c>
      <c r="L49" s="3">
        <v>2086307584</v>
      </c>
      <c r="N49" s="3">
        <v>15193716574</v>
      </c>
      <c r="P49" s="3">
        <v>0</v>
      </c>
      <c r="R49" s="3">
        <f t="shared" si="2"/>
        <v>17280024158</v>
      </c>
      <c r="S49" s="42">
        <f t="shared" si="3"/>
        <v>1.4317303936653048E-3</v>
      </c>
    </row>
    <row r="50" spans="1:19" x14ac:dyDescent="0.2">
      <c r="A50" s="13" t="s">
        <v>154</v>
      </c>
      <c r="C50" s="3">
        <v>0</v>
      </c>
      <c r="E50" s="3">
        <v>663235997</v>
      </c>
      <c r="G50" s="3">
        <v>0</v>
      </c>
      <c r="I50" s="3">
        <f t="shared" si="0"/>
        <v>663235997</v>
      </c>
      <c r="J50" s="42">
        <f t="shared" si="1"/>
        <v>2.3515125620382206E-4</v>
      </c>
      <c r="L50" s="3">
        <v>789537980</v>
      </c>
      <c r="N50" s="3">
        <v>2229755964</v>
      </c>
      <c r="P50" s="3">
        <v>0</v>
      </c>
      <c r="R50" s="3">
        <f t="shared" si="2"/>
        <v>3019293944</v>
      </c>
      <c r="S50" s="42">
        <f t="shared" si="3"/>
        <v>2.5016254997728638E-4</v>
      </c>
    </row>
    <row r="51" spans="1:19" x14ac:dyDescent="0.2">
      <c r="A51" s="13" t="s">
        <v>141</v>
      </c>
      <c r="C51" s="3">
        <v>0</v>
      </c>
      <c r="E51" s="3">
        <v>40984402370</v>
      </c>
      <c r="G51" s="3">
        <v>0</v>
      </c>
      <c r="I51" s="3">
        <f t="shared" si="0"/>
        <v>40984402370</v>
      </c>
      <c r="J51" s="42">
        <f t="shared" si="1"/>
        <v>1.4531077543531465E-2</v>
      </c>
      <c r="L51" s="3">
        <v>6313521800</v>
      </c>
      <c r="N51" s="3">
        <v>97841440723</v>
      </c>
      <c r="P51" s="3">
        <v>52919747864</v>
      </c>
      <c r="R51" s="3">
        <f t="shared" si="2"/>
        <v>157074710387</v>
      </c>
      <c r="S51" s="42">
        <f t="shared" si="3"/>
        <v>1.3014370517134277E-2</v>
      </c>
    </row>
    <row r="52" spans="1:19" x14ac:dyDescent="0.2">
      <c r="A52" s="13" t="s">
        <v>114</v>
      </c>
      <c r="C52" s="3">
        <v>0</v>
      </c>
      <c r="E52" s="3">
        <v>-93770438584</v>
      </c>
      <c r="G52" s="3">
        <v>0</v>
      </c>
      <c r="I52" s="3">
        <f t="shared" si="0"/>
        <v>-93770438584</v>
      </c>
      <c r="J52" s="42">
        <f t="shared" si="1"/>
        <v>-3.3246440976590935E-2</v>
      </c>
      <c r="L52" s="3">
        <v>14558129602</v>
      </c>
      <c r="N52" s="3">
        <v>289173291403</v>
      </c>
      <c r="P52" s="3">
        <v>36449300321</v>
      </c>
      <c r="R52" s="3">
        <f t="shared" si="2"/>
        <v>340180721326</v>
      </c>
      <c r="S52" s="42">
        <f t="shared" si="3"/>
        <v>2.8185555390901285E-2</v>
      </c>
    </row>
    <row r="53" spans="1:19" x14ac:dyDescent="0.2">
      <c r="A53" s="13" t="s">
        <v>71</v>
      </c>
      <c r="C53" s="3">
        <v>0</v>
      </c>
      <c r="E53" s="3">
        <v>0</v>
      </c>
      <c r="G53" s="3">
        <v>0</v>
      </c>
      <c r="I53" s="3">
        <f t="shared" si="0"/>
        <v>0</v>
      </c>
      <c r="J53" s="42">
        <f t="shared" si="1"/>
        <v>0</v>
      </c>
      <c r="L53" s="3">
        <v>1412704200</v>
      </c>
      <c r="N53" s="3">
        <v>0</v>
      </c>
      <c r="P53" s="3">
        <v>1689084658</v>
      </c>
      <c r="R53" s="3">
        <f t="shared" si="2"/>
        <v>3101788858</v>
      </c>
      <c r="S53" s="42">
        <f t="shared" si="3"/>
        <v>2.5699763739479582E-4</v>
      </c>
    </row>
    <row r="54" spans="1:19" x14ac:dyDescent="0.2">
      <c r="A54" s="13" t="s">
        <v>82</v>
      </c>
      <c r="C54" s="3">
        <v>0</v>
      </c>
      <c r="E54" s="3">
        <v>-6515829088</v>
      </c>
      <c r="G54" s="3">
        <v>0</v>
      </c>
      <c r="I54" s="3">
        <f t="shared" si="0"/>
        <v>-6515829088</v>
      </c>
      <c r="J54" s="42">
        <f t="shared" si="1"/>
        <v>-2.3101963738144391E-3</v>
      </c>
      <c r="L54" s="3">
        <v>7484058192</v>
      </c>
      <c r="N54" s="3">
        <v>52161292746</v>
      </c>
      <c r="P54" s="3">
        <v>0</v>
      </c>
      <c r="R54" s="3">
        <f t="shared" si="2"/>
        <v>59645350938</v>
      </c>
      <c r="S54" s="42">
        <f t="shared" si="3"/>
        <v>4.9418948143792286E-3</v>
      </c>
    </row>
    <row r="55" spans="1:19" x14ac:dyDescent="0.2">
      <c r="A55" s="13" t="s">
        <v>165</v>
      </c>
      <c r="C55" s="3">
        <v>0</v>
      </c>
      <c r="E55" s="3">
        <v>48884041402</v>
      </c>
      <c r="G55" s="3">
        <v>0</v>
      </c>
      <c r="I55" s="3">
        <f t="shared" si="0"/>
        <v>48884041402</v>
      </c>
      <c r="J55" s="42">
        <f t="shared" si="1"/>
        <v>1.7331905680625995E-2</v>
      </c>
      <c r="L55" s="3">
        <v>6300025733</v>
      </c>
      <c r="N55" s="3">
        <v>106422415393</v>
      </c>
      <c r="P55" s="3">
        <v>0</v>
      </c>
      <c r="R55" s="3">
        <f t="shared" si="2"/>
        <v>112722441126</v>
      </c>
      <c r="S55" s="42">
        <f t="shared" si="3"/>
        <v>9.3395786679803632E-3</v>
      </c>
    </row>
    <row r="56" spans="1:19" x14ac:dyDescent="0.2">
      <c r="A56" s="13" t="s">
        <v>110</v>
      </c>
      <c r="C56" s="3">
        <v>0</v>
      </c>
      <c r="E56" s="3">
        <v>21829642063</v>
      </c>
      <c r="G56" s="3">
        <v>7801972393</v>
      </c>
      <c r="I56" s="3">
        <f t="shared" si="0"/>
        <v>29631614456</v>
      </c>
      <c r="J56" s="42">
        <f t="shared" si="1"/>
        <v>1.0505930610210431E-2</v>
      </c>
      <c r="L56" s="3">
        <v>9677941223</v>
      </c>
      <c r="N56" s="3">
        <v>102847418682</v>
      </c>
      <c r="P56" s="3">
        <v>8405198917</v>
      </c>
      <c r="R56" s="3">
        <f t="shared" si="2"/>
        <v>120930558822</v>
      </c>
      <c r="S56" s="42">
        <f t="shared" si="3"/>
        <v>1.0019659405871264E-2</v>
      </c>
    </row>
    <row r="57" spans="1:19" x14ac:dyDescent="0.2">
      <c r="A57" s="13" t="s">
        <v>156</v>
      </c>
      <c r="C57" s="3">
        <v>0</v>
      </c>
      <c r="E57" s="3">
        <v>16861094125</v>
      </c>
      <c r="G57" s="3">
        <v>0</v>
      </c>
      <c r="I57" s="3">
        <f t="shared" si="0"/>
        <v>16861094125</v>
      </c>
      <c r="J57" s="42">
        <f t="shared" si="1"/>
        <v>5.9781246530631743E-3</v>
      </c>
      <c r="L57" s="3">
        <v>9516365775</v>
      </c>
      <c r="N57" s="3">
        <v>82622245944</v>
      </c>
      <c r="P57" s="3">
        <v>0</v>
      </c>
      <c r="R57" s="3">
        <f t="shared" si="2"/>
        <v>92138611719</v>
      </c>
      <c r="S57" s="42">
        <f t="shared" si="3"/>
        <v>7.6341126390813314E-3</v>
      </c>
    </row>
    <row r="58" spans="1:19" x14ac:dyDescent="0.2">
      <c r="A58" s="13" t="s">
        <v>81</v>
      </c>
      <c r="C58" s="3">
        <v>0</v>
      </c>
      <c r="E58" s="3">
        <v>52490075110</v>
      </c>
      <c r="G58" s="3">
        <v>0</v>
      </c>
      <c r="I58" s="3">
        <f t="shared" si="0"/>
        <v>52490075110</v>
      </c>
      <c r="J58" s="42">
        <f t="shared" si="1"/>
        <v>1.8610430007087616E-2</v>
      </c>
      <c r="L58" s="3">
        <v>22375752840</v>
      </c>
      <c r="N58" s="3">
        <v>90924173692</v>
      </c>
      <c r="P58" s="3">
        <v>0</v>
      </c>
      <c r="R58" s="3">
        <f t="shared" si="2"/>
        <v>113299926532</v>
      </c>
      <c r="S58" s="42">
        <f t="shared" si="3"/>
        <v>9.387426020513465E-3</v>
      </c>
    </row>
    <row r="59" spans="1:19" x14ac:dyDescent="0.2">
      <c r="A59" s="13" t="s">
        <v>65</v>
      </c>
      <c r="C59" s="3">
        <v>0</v>
      </c>
      <c r="E59" s="3">
        <v>-127855180</v>
      </c>
      <c r="G59" s="3">
        <v>0</v>
      </c>
      <c r="I59" s="3">
        <f t="shared" si="0"/>
        <v>-127855180</v>
      </c>
      <c r="J59" s="42">
        <f t="shared" si="1"/>
        <v>-4.5331234017995835E-5</v>
      </c>
      <c r="L59" s="3">
        <v>15966811200</v>
      </c>
      <c r="N59" s="3">
        <v>42554465818</v>
      </c>
      <c r="P59" s="3">
        <v>0</v>
      </c>
      <c r="R59" s="3">
        <f t="shared" si="2"/>
        <v>58521277018</v>
      </c>
      <c r="S59" s="42">
        <f t="shared" si="3"/>
        <v>4.8487600605574043E-3</v>
      </c>
    </row>
    <row r="60" spans="1:19" x14ac:dyDescent="0.2">
      <c r="A60" s="13" t="s">
        <v>87</v>
      </c>
      <c r="C60" s="3">
        <v>0</v>
      </c>
      <c r="E60" s="3">
        <v>-1758639067</v>
      </c>
      <c r="G60" s="3">
        <v>0</v>
      </c>
      <c r="I60" s="3">
        <f t="shared" si="0"/>
        <v>-1758639067</v>
      </c>
      <c r="J60" s="42">
        <f t="shared" si="1"/>
        <v>-6.2352795639071372E-4</v>
      </c>
      <c r="L60" s="3">
        <v>3061826250</v>
      </c>
      <c r="N60" s="3">
        <v>43934001443</v>
      </c>
      <c r="P60" s="3">
        <v>3832632609</v>
      </c>
      <c r="R60" s="3">
        <f t="shared" si="2"/>
        <v>50828460302</v>
      </c>
      <c r="S60" s="42">
        <f t="shared" si="3"/>
        <v>4.2113744062037542E-3</v>
      </c>
    </row>
    <row r="61" spans="1:19" x14ac:dyDescent="0.2">
      <c r="A61" s="13" t="s">
        <v>128</v>
      </c>
      <c r="C61" s="3">
        <v>0</v>
      </c>
      <c r="E61" s="3">
        <v>99362782793</v>
      </c>
      <c r="G61" s="3">
        <v>0</v>
      </c>
      <c r="I61" s="3">
        <f t="shared" si="0"/>
        <v>99362782793</v>
      </c>
      <c r="J61" s="42">
        <f t="shared" si="1"/>
        <v>3.5229214486802746E-2</v>
      </c>
      <c r="L61" s="3">
        <v>11546443700</v>
      </c>
      <c r="N61" s="3">
        <v>188233035647</v>
      </c>
      <c r="P61" s="3">
        <v>0</v>
      </c>
      <c r="R61" s="3">
        <f t="shared" si="2"/>
        <v>199779479347</v>
      </c>
      <c r="S61" s="42">
        <f t="shared" si="3"/>
        <v>1.6552659301654313E-2</v>
      </c>
    </row>
    <row r="62" spans="1:19" x14ac:dyDescent="0.2">
      <c r="A62" s="13" t="s">
        <v>120</v>
      </c>
      <c r="C62" s="3">
        <v>0</v>
      </c>
      <c r="E62" s="3">
        <v>27501517176</v>
      </c>
      <c r="G62" s="3">
        <v>0</v>
      </c>
      <c r="I62" s="3">
        <f t="shared" si="0"/>
        <v>27501517176</v>
      </c>
      <c r="J62" s="42">
        <f t="shared" si="1"/>
        <v>9.7507016215939626E-3</v>
      </c>
      <c r="L62" s="3">
        <v>7364578187</v>
      </c>
      <c r="N62" s="3">
        <v>110572472886</v>
      </c>
      <c r="P62" s="3">
        <v>0</v>
      </c>
      <c r="R62" s="3">
        <f t="shared" si="2"/>
        <v>117937051073</v>
      </c>
      <c r="S62" s="42">
        <f t="shared" si="3"/>
        <v>9.771633362115317E-3</v>
      </c>
    </row>
    <row r="63" spans="1:19" x14ac:dyDescent="0.2">
      <c r="A63" s="13" t="s">
        <v>146</v>
      </c>
      <c r="C63" s="3">
        <v>0</v>
      </c>
      <c r="E63" s="3">
        <v>843429500</v>
      </c>
      <c r="G63" s="3">
        <v>0</v>
      </c>
      <c r="I63" s="3">
        <f t="shared" si="0"/>
        <v>843429500</v>
      </c>
      <c r="J63" s="42">
        <f t="shared" si="1"/>
        <v>2.9903911630472244E-4</v>
      </c>
      <c r="L63" s="3">
        <v>12957490760</v>
      </c>
      <c r="N63" s="3">
        <v>89993927649</v>
      </c>
      <c r="P63" s="3">
        <v>47755760830</v>
      </c>
      <c r="R63" s="3">
        <f t="shared" si="2"/>
        <v>150707179239</v>
      </c>
      <c r="S63" s="42">
        <f t="shared" si="3"/>
        <v>1.2486790937739909E-2</v>
      </c>
    </row>
    <row r="64" spans="1:19" x14ac:dyDescent="0.2">
      <c r="A64" s="13" t="s">
        <v>142</v>
      </c>
      <c r="C64" s="3">
        <v>0</v>
      </c>
      <c r="E64" s="3">
        <v>20453239041</v>
      </c>
      <c r="G64" s="3">
        <v>0</v>
      </c>
      <c r="I64" s="3">
        <f t="shared" si="0"/>
        <v>20453239041</v>
      </c>
      <c r="J64" s="42">
        <f t="shared" si="1"/>
        <v>7.2517246887734994E-3</v>
      </c>
      <c r="L64" s="3">
        <v>10343481145</v>
      </c>
      <c r="N64" s="3">
        <v>46296978592</v>
      </c>
      <c r="P64" s="3">
        <v>0</v>
      </c>
      <c r="R64" s="3">
        <f t="shared" si="2"/>
        <v>56640459737</v>
      </c>
      <c r="S64" s="42">
        <f t="shared" si="3"/>
        <v>4.6929255986656393E-3</v>
      </c>
    </row>
    <row r="65" spans="1:19" x14ac:dyDescent="0.2">
      <c r="A65" s="13" t="s">
        <v>85</v>
      </c>
      <c r="C65" s="3">
        <v>0</v>
      </c>
      <c r="E65" s="3">
        <v>284462168</v>
      </c>
      <c r="G65" s="3">
        <v>0</v>
      </c>
      <c r="I65" s="3">
        <f t="shared" si="0"/>
        <v>284462168</v>
      </c>
      <c r="J65" s="42">
        <f t="shared" si="1"/>
        <v>1.0085646202894906E-4</v>
      </c>
      <c r="L65" s="3">
        <v>21378814600</v>
      </c>
      <c r="N65" s="3">
        <v>14004148806</v>
      </c>
      <c r="P65" s="3">
        <v>6709122475</v>
      </c>
      <c r="R65" s="3">
        <f t="shared" si="2"/>
        <v>42092085881</v>
      </c>
      <c r="S65" s="42">
        <f t="shared" si="3"/>
        <v>3.4875251410281011E-3</v>
      </c>
    </row>
    <row r="66" spans="1:19" x14ac:dyDescent="0.2">
      <c r="A66" s="13" t="s">
        <v>174</v>
      </c>
      <c r="C66" s="3">
        <v>0</v>
      </c>
      <c r="E66" s="3">
        <v>12136905501</v>
      </c>
      <c r="G66" s="3">
        <v>3787659231</v>
      </c>
      <c r="I66" s="3">
        <f t="shared" si="0"/>
        <v>15924564732</v>
      </c>
      <c r="J66" s="42">
        <f t="shared" si="1"/>
        <v>5.6460768386624241E-3</v>
      </c>
      <c r="L66" s="3">
        <v>15002233535</v>
      </c>
      <c r="N66" s="3">
        <v>114901684601</v>
      </c>
      <c r="P66" s="3">
        <v>3787659231</v>
      </c>
      <c r="R66" s="3">
        <f t="shared" si="2"/>
        <v>133691577367</v>
      </c>
      <c r="S66" s="42">
        <f t="shared" si="3"/>
        <v>1.1076969160646382E-2</v>
      </c>
    </row>
    <row r="67" spans="1:19" x14ac:dyDescent="0.2">
      <c r="A67" s="13" t="s">
        <v>115</v>
      </c>
      <c r="C67" s="3">
        <v>0</v>
      </c>
      <c r="E67" s="3">
        <v>30233647067</v>
      </c>
      <c r="G67" s="3">
        <v>0</v>
      </c>
      <c r="I67" s="3">
        <f t="shared" si="0"/>
        <v>30233647067</v>
      </c>
      <c r="J67" s="42">
        <f t="shared" si="1"/>
        <v>1.0719382119767619E-2</v>
      </c>
      <c r="L67" s="3">
        <v>6011725104</v>
      </c>
      <c r="N67" s="3">
        <v>78971687391</v>
      </c>
      <c r="P67" s="3">
        <v>0</v>
      </c>
      <c r="R67" s="3">
        <f t="shared" si="2"/>
        <v>84983412495</v>
      </c>
      <c r="S67" s="42">
        <f t="shared" si="3"/>
        <v>7.0412710951076518E-3</v>
      </c>
    </row>
    <row r="68" spans="1:19" x14ac:dyDescent="0.2">
      <c r="A68" s="13" t="s">
        <v>53</v>
      </c>
      <c r="C68" s="3">
        <v>0</v>
      </c>
      <c r="E68" s="3">
        <v>21599841554</v>
      </c>
      <c r="G68" s="3">
        <v>0</v>
      </c>
      <c r="I68" s="3">
        <f t="shared" si="0"/>
        <v>21599841554</v>
      </c>
      <c r="J68" s="42">
        <f t="shared" si="1"/>
        <v>7.6582542235363862E-3</v>
      </c>
      <c r="L68" s="3">
        <v>17418997440</v>
      </c>
      <c r="N68" s="3">
        <v>58798114440</v>
      </c>
      <c r="P68" s="3">
        <v>0</v>
      </c>
      <c r="R68" s="3">
        <f t="shared" si="2"/>
        <v>76217111880</v>
      </c>
      <c r="S68" s="42">
        <f t="shared" si="3"/>
        <v>6.3149423055329145E-3</v>
      </c>
    </row>
    <row r="69" spans="1:19" x14ac:dyDescent="0.2">
      <c r="A69" s="13" t="s">
        <v>162</v>
      </c>
      <c r="C69" s="3">
        <v>0</v>
      </c>
      <c r="E69" s="3">
        <v>-7848131168</v>
      </c>
      <c r="G69" s="3">
        <v>9518569083</v>
      </c>
      <c r="I69" s="3">
        <f t="shared" si="0"/>
        <v>1670437915</v>
      </c>
      <c r="J69" s="42">
        <f t="shared" si="1"/>
        <v>5.9225611381093853E-4</v>
      </c>
      <c r="L69" s="3">
        <v>1228857625</v>
      </c>
      <c r="N69" s="3">
        <v>740697278</v>
      </c>
      <c r="P69" s="3">
        <v>12098603098</v>
      </c>
      <c r="R69" s="3">
        <f t="shared" si="2"/>
        <v>14068158001</v>
      </c>
      <c r="S69" s="42">
        <f t="shared" si="3"/>
        <v>1.1656123399337111E-3</v>
      </c>
    </row>
    <row r="70" spans="1:19" x14ac:dyDescent="0.2">
      <c r="A70" s="13" t="s">
        <v>129</v>
      </c>
      <c r="C70" s="3">
        <v>0</v>
      </c>
      <c r="E70" s="3">
        <v>4940777443</v>
      </c>
      <c r="G70" s="3">
        <v>0</v>
      </c>
      <c r="I70" s="3">
        <f t="shared" si="0"/>
        <v>4940777443</v>
      </c>
      <c r="J70" s="42">
        <f t="shared" si="1"/>
        <v>1.7517595962828264E-3</v>
      </c>
      <c r="L70" s="3">
        <v>9521662856</v>
      </c>
      <c r="N70" s="3">
        <v>28398782582</v>
      </c>
      <c r="P70" s="3">
        <v>0</v>
      </c>
      <c r="R70" s="3">
        <f t="shared" si="2"/>
        <v>37920445438</v>
      </c>
      <c r="S70" s="42">
        <f t="shared" si="3"/>
        <v>3.1418853225258004E-3</v>
      </c>
    </row>
    <row r="71" spans="1:19" x14ac:dyDescent="0.2">
      <c r="A71" s="13" t="s">
        <v>49</v>
      </c>
      <c r="C71" s="3">
        <v>0</v>
      </c>
      <c r="E71" s="3">
        <v>42770257871</v>
      </c>
      <c r="G71" s="3">
        <v>0</v>
      </c>
      <c r="I71" s="3">
        <f t="shared" si="0"/>
        <v>42770257871</v>
      </c>
      <c r="J71" s="42">
        <f t="shared" si="1"/>
        <v>1.5164255124902482E-2</v>
      </c>
      <c r="L71" s="3">
        <v>5869103100</v>
      </c>
      <c r="N71" s="3">
        <v>131094187626</v>
      </c>
      <c r="P71" s="3">
        <v>0</v>
      </c>
      <c r="R71" s="3">
        <f t="shared" si="2"/>
        <v>136963290726</v>
      </c>
      <c r="S71" s="42">
        <f t="shared" si="3"/>
        <v>1.1348045833491917E-2</v>
      </c>
    </row>
    <row r="72" spans="1:19" x14ac:dyDescent="0.2">
      <c r="A72" s="13" t="s">
        <v>159</v>
      </c>
      <c r="C72" s="3">
        <v>0</v>
      </c>
      <c r="E72" s="3">
        <v>46468381560</v>
      </c>
      <c r="G72" s="3">
        <v>0</v>
      </c>
      <c r="I72" s="3">
        <f t="shared" si="0"/>
        <v>46468381560</v>
      </c>
      <c r="J72" s="42">
        <f t="shared" si="1"/>
        <v>1.6475430083739136E-2</v>
      </c>
      <c r="L72" s="3">
        <v>26599769317</v>
      </c>
      <c r="N72" s="3">
        <v>69277168868</v>
      </c>
      <c r="P72" s="3">
        <v>0</v>
      </c>
      <c r="R72" s="3">
        <f t="shared" si="2"/>
        <v>95876938185</v>
      </c>
      <c r="S72" s="42">
        <f t="shared" si="3"/>
        <v>7.9438503786745766E-3</v>
      </c>
    </row>
    <row r="73" spans="1:19" x14ac:dyDescent="0.2">
      <c r="A73" s="13" t="s">
        <v>72</v>
      </c>
      <c r="C73" s="3">
        <v>0</v>
      </c>
      <c r="E73" s="3">
        <v>0</v>
      </c>
      <c r="G73" s="3">
        <v>0</v>
      </c>
      <c r="I73" s="3">
        <f t="shared" si="0"/>
        <v>0</v>
      </c>
      <c r="J73" s="42">
        <f t="shared" si="1"/>
        <v>0</v>
      </c>
      <c r="L73" s="3">
        <v>11156862400</v>
      </c>
      <c r="N73" s="3">
        <v>0</v>
      </c>
      <c r="P73" s="3">
        <v>16067883234</v>
      </c>
      <c r="R73" s="3">
        <f t="shared" si="2"/>
        <v>27224745634</v>
      </c>
      <c r="S73" s="42">
        <f t="shared" si="3"/>
        <v>2.2556968339629913E-3</v>
      </c>
    </row>
    <row r="74" spans="1:19" x14ac:dyDescent="0.2">
      <c r="A74" s="13" t="s">
        <v>79</v>
      </c>
      <c r="C74" s="3">
        <v>0</v>
      </c>
      <c r="E74" s="3">
        <v>-1925301223</v>
      </c>
      <c r="G74" s="3">
        <v>0</v>
      </c>
      <c r="I74" s="3">
        <f t="shared" si="0"/>
        <v>-1925301223</v>
      </c>
      <c r="J74" s="42">
        <f t="shared" si="1"/>
        <v>-6.8261825836815203E-4</v>
      </c>
      <c r="L74" s="3">
        <v>1825007912</v>
      </c>
      <c r="N74" s="3">
        <v>4913046716</v>
      </c>
      <c r="P74" s="3">
        <v>944346290</v>
      </c>
      <c r="R74" s="3">
        <f t="shared" si="2"/>
        <v>7682400918</v>
      </c>
      <c r="S74" s="42">
        <f t="shared" si="3"/>
        <v>6.3652265703174134E-4</v>
      </c>
    </row>
    <row r="75" spans="1:19" x14ac:dyDescent="0.2">
      <c r="A75" s="13" t="s">
        <v>101</v>
      </c>
      <c r="C75" s="3">
        <v>0</v>
      </c>
      <c r="E75" s="3">
        <v>0</v>
      </c>
      <c r="G75" s="3">
        <v>0</v>
      </c>
      <c r="I75" s="3">
        <f t="shared" si="0"/>
        <v>0</v>
      </c>
      <c r="J75" s="42">
        <f t="shared" si="1"/>
        <v>0</v>
      </c>
      <c r="L75" s="3">
        <v>6332007724</v>
      </c>
      <c r="N75" s="3">
        <v>0</v>
      </c>
      <c r="P75" s="3">
        <v>-4961352978</v>
      </c>
      <c r="R75" s="3">
        <f t="shared" si="2"/>
        <v>1370654746</v>
      </c>
      <c r="S75" s="42">
        <f t="shared" si="3"/>
        <v>1.1356512242844739E-4</v>
      </c>
    </row>
    <row r="76" spans="1:19" x14ac:dyDescent="0.2">
      <c r="A76" s="13" t="s">
        <v>116</v>
      </c>
      <c r="C76" s="3">
        <v>0</v>
      </c>
      <c r="E76" s="3">
        <v>29458704896</v>
      </c>
      <c r="G76" s="3">
        <v>0</v>
      </c>
      <c r="I76" s="3">
        <f t="shared" ref="I76:I139" si="4">C76+E76+G76</f>
        <v>29458704896</v>
      </c>
      <c r="J76" s="42">
        <f t="shared" ref="J76:J139" si="5">I76/$I$210</f>
        <v>1.044462528235192E-2</v>
      </c>
      <c r="L76" s="3">
        <v>8565543385</v>
      </c>
      <c r="N76" s="3">
        <v>68211371785</v>
      </c>
      <c r="P76" s="3">
        <v>0</v>
      </c>
      <c r="R76" s="3">
        <f t="shared" ref="R76:R139" si="6">L76+N76+P76</f>
        <v>76776915170</v>
      </c>
      <c r="S76" s="42">
        <f t="shared" ref="S76:S139" si="7">R76/$R$210</f>
        <v>6.3613246124925825E-3</v>
      </c>
    </row>
    <row r="77" spans="1:19" x14ac:dyDescent="0.2">
      <c r="A77" s="13" t="s">
        <v>157</v>
      </c>
      <c r="C77" s="3">
        <v>0</v>
      </c>
      <c r="E77" s="3">
        <v>10760189018</v>
      </c>
      <c r="G77" s="3">
        <v>0</v>
      </c>
      <c r="I77" s="3">
        <f t="shared" si="4"/>
        <v>10760189018</v>
      </c>
      <c r="J77" s="42">
        <f t="shared" si="5"/>
        <v>3.8150401606945202E-3</v>
      </c>
      <c r="L77" s="3">
        <v>9639122880</v>
      </c>
      <c r="N77" s="3">
        <v>77688413283</v>
      </c>
      <c r="P77" s="3">
        <v>0</v>
      </c>
      <c r="R77" s="3">
        <f t="shared" si="6"/>
        <v>87327536163</v>
      </c>
      <c r="S77" s="42">
        <f t="shared" si="7"/>
        <v>7.2354926466112138E-3</v>
      </c>
    </row>
    <row r="78" spans="1:19" x14ac:dyDescent="0.2">
      <c r="A78" s="13" t="s">
        <v>111</v>
      </c>
      <c r="C78" s="3">
        <v>0</v>
      </c>
      <c r="E78" s="3">
        <v>4675964893</v>
      </c>
      <c r="G78" s="3">
        <v>0</v>
      </c>
      <c r="I78" s="3">
        <f t="shared" si="4"/>
        <v>4675964893</v>
      </c>
      <c r="J78" s="42">
        <f t="shared" si="5"/>
        <v>1.6578699339715125E-3</v>
      </c>
      <c r="L78" s="3">
        <v>6677663600</v>
      </c>
      <c r="N78" s="3">
        <v>8667165025</v>
      </c>
      <c r="P78" s="3">
        <v>22126799992</v>
      </c>
      <c r="R78" s="3">
        <f t="shared" si="6"/>
        <v>37471628617</v>
      </c>
      <c r="S78" s="42">
        <f t="shared" si="7"/>
        <v>3.1046987608671786E-3</v>
      </c>
    </row>
    <row r="79" spans="1:19" x14ac:dyDescent="0.2">
      <c r="A79" s="13" t="s">
        <v>140</v>
      </c>
      <c r="C79" s="3">
        <v>0</v>
      </c>
      <c r="E79" s="3">
        <v>2519664186</v>
      </c>
      <c r="G79" s="3">
        <v>0</v>
      </c>
      <c r="I79" s="3">
        <f t="shared" si="4"/>
        <v>2519664186</v>
      </c>
      <c r="J79" s="42">
        <f t="shared" si="5"/>
        <v>8.9335048343234104E-4</v>
      </c>
      <c r="L79" s="3">
        <v>398458879</v>
      </c>
      <c r="N79" s="3">
        <v>6513117423</v>
      </c>
      <c r="P79" s="3">
        <v>0</v>
      </c>
      <c r="R79" s="3">
        <f t="shared" si="6"/>
        <v>6911576302</v>
      </c>
      <c r="S79" s="42">
        <f t="shared" si="7"/>
        <v>5.7265625147456757E-4</v>
      </c>
    </row>
    <row r="80" spans="1:19" x14ac:dyDescent="0.2">
      <c r="A80" s="13" t="s">
        <v>134</v>
      </c>
      <c r="C80" s="3">
        <v>0</v>
      </c>
      <c r="E80" s="3">
        <v>513422723</v>
      </c>
      <c r="G80" s="3">
        <v>4666226781</v>
      </c>
      <c r="I80" s="3">
        <f t="shared" si="4"/>
        <v>5179649504</v>
      </c>
      <c r="J80" s="42">
        <f t="shared" si="5"/>
        <v>1.8364520217094063E-3</v>
      </c>
      <c r="L80" s="3">
        <v>1402215537</v>
      </c>
      <c r="N80" s="3">
        <v>5440197273</v>
      </c>
      <c r="P80" s="3">
        <v>2914286629</v>
      </c>
      <c r="R80" s="3">
        <f t="shared" si="6"/>
        <v>9756699439</v>
      </c>
      <c r="S80" s="42">
        <f t="shared" si="7"/>
        <v>8.0838793979384716E-4</v>
      </c>
    </row>
    <row r="81" spans="1:19" x14ac:dyDescent="0.2">
      <c r="A81" s="13" t="s">
        <v>150</v>
      </c>
      <c r="C81" s="3">
        <v>0</v>
      </c>
      <c r="E81" s="3">
        <v>5750890786</v>
      </c>
      <c r="G81" s="3">
        <v>0</v>
      </c>
      <c r="I81" s="3">
        <f t="shared" si="4"/>
        <v>5750890786</v>
      </c>
      <c r="J81" s="42">
        <f t="shared" si="5"/>
        <v>2.0389864222325762E-3</v>
      </c>
      <c r="L81" s="3">
        <v>10824555359</v>
      </c>
      <c r="N81" s="3">
        <v>-17588367590</v>
      </c>
      <c r="P81" s="3">
        <v>-1025840279</v>
      </c>
      <c r="R81" s="3">
        <f t="shared" si="6"/>
        <v>-7789652510</v>
      </c>
      <c r="S81" s="42">
        <f t="shared" si="7"/>
        <v>-6.4540895039750037E-4</v>
      </c>
    </row>
    <row r="82" spans="1:19" x14ac:dyDescent="0.2">
      <c r="A82" s="13" t="s">
        <v>88</v>
      </c>
      <c r="C82" s="3">
        <v>0</v>
      </c>
      <c r="E82" s="3">
        <v>19533838390</v>
      </c>
      <c r="G82" s="3">
        <v>0</v>
      </c>
      <c r="I82" s="3">
        <f t="shared" si="4"/>
        <v>19533838390</v>
      </c>
      <c r="J82" s="42">
        <f t="shared" si="5"/>
        <v>6.9257498939565921E-3</v>
      </c>
      <c r="L82" s="3">
        <v>15105338377</v>
      </c>
      <c r="N82" s="3">
        <v>38498703583</v>
      </c>
      <c r="P82" s="3">
        <v>0</v>
      </c>
      <c r="R82" s="3">
        <f t="shared" si="6"/>
        <v>53604041960</v>
      </c>
      <c r="S82" s="42">
        <f t="shared" si="7"/>
        <v>4.441344259458779E-3</v>
      </c>
    </row>
    <row r="83" spans="1:19" x14ac:dyDescent="0.2">
      <c r="A83" s="13" t="s">
        <v>98</v>
      </c>
      <c r="C83" s="3">
        <v>0</v>
      </c>
      <c r="E83" s="3">
        <v>-12278264209</v>
      </c>
      <c r="G83" s="3">
        <v>0</v>
      </c>
      <c r="I83" s="3">
        <f t="shared" si="4"/>
        <v>-12278264209</v>
      </c>
      <c r="J83" s="42">
        <f t="shared" si="5"/>
        <v>-4.3532758562692692E-3</v>
      </c>
      <c r="L83" s="3">
        <v>6326118243</v>
      </c>
      <c r="N83" s="3">
        <v>17087493654</v>
      </c>
      <c r="P83" s="3">
        <v>0</v>
      </c>
      <c r="R83" s="3">
        <f t="shared" si="6"/>
        <v>23413611897</v>
      </c>
      <c r="S83" s="42">
        <f t="shared" si="7"/>
        <v>1.9399266732447859E-3</v>
      </c>
    </row>
    <row r="84" spans="1:19" x14ac:dyDescent="0.2">
      <c r="A84" s="13" t="s">
        <v>166</v>
      </c>
      <c r="C84" s="3">
        <v>0</v>
      </c>
      <c r="E84" s="3">
        <v>-1279183371</v>
      </c>
      <c r="G84" s="3">
        <v>0</v>
      </c>
      <c r="I84" s="3">
        <f t="shared" si="4"/>
        <v>-1279183371</v>
      </c>
      <c r="J84" s="42">
        <f t="shared" si="5"/>
        <v>-4.5353626456690911E-4</v>
      </c>
      <c r="L84" s="3">
        <v>4103950907</v>
      </c>
      <c r="N84" s="3">
        <v>51552345465</v>
      </c>
      <c r="P84" s="3">
        <v>111346355</v>
      </c>
      <c r="R84" s="3">
        <f t="shared" si="6"/>
        <v>55767642727</v>
      </c>
      <c r="S84" s="42">
        <f t="shared" si="7"/>
        <v>4.6206086487644701E-3</v>
      </c>
    </row>
    <row r="85" spans="1:19" x14ac:dyDescent="0.2">
      <c r="A85" s="13" t="s">
        <v>158</v>
      </c>
      <c r="C85" s="3">
        <v>0</v>
      </c>
      <c r="E85" s="3">
        <v>2334226627</v>
      </c>
      <c r="G85" s="3">
        <v>4333546007</v>
      </c>
      <c r="I85" s="3">
        <f t="shared" si="4"/>
        <v>6667772634</v>
      </c>
      <c r="J85" s="42">
        <f t="shared" si="5"/>
        <v>2.3640681719007592E-3</v>
      </c>
      <c r="L85" s="3">
        <v>6540389140</v>
      </c>
      <c r="N85" s="3">
        <v>41426317244</v>
      </c>
      <c r="P85" s="3">
        <v>10913674930</v>
      </c>
      <c r="R85" s="3">
        <f t="shared" si="6"/>
        <v>58880381314</v>
      </c>
      <c r="S85" s="42">
        <f t="shared" si="7"/>
        <v>4.8785135221485424E-3</v>
      </c>
    </row>
    <row r="86" spans="1:19" x14ac:dyDescent="0.2">
      <c r="A86" s="13" t="s">
        <v>60</v>
      </c>
      <c r="C86" s="3">
        <v>0</v>
      </c>
      <c r="E86" s="3">
        <v>40848426370</v>
      </c>
      <c r="G86" s="3">
        <v>0</v>
      </c>
      <c r="I86" s="3">
        <f t="shared" si="4"/>
        <v>40848426370</v>
      </c>
      <c r="J86" s="42">
        <f t="shared" si="5"/>
        <v>1.4482867061352869E-2</v>
      </c>
      <c r="L86" s="3">
        <v>7458652320</v>
      </c>
      <c r="N86" s="3">
        <v>90635073127</v>
      </c>
      <c r="P86" s="3">
        <v>0</v>
      </c>
      <c r="R86" s="3">
        <f t="shared" si="6"/>
        <v>98093725447</v>
      </c>
      <c r="S86" s="42">
        <f t="shared" si="7"/>
        <v>8.1275215165315298E-3</v>
      </c>
    </row>
    <row r="87" spans="1:19" x14ac:dyDescent="0.2">
      <c r="A87" s="13" t="s">
        <v>80</v>
      </c>
      <c r="C87" s="3">
        <v>0</v>
      </c>
      <c r="E87" s="3">
        <v>-1544661945</v>
      </c>
      <c r="G87" s="3">
        <v>0</v>
      </c>
      <c r="I87" s="3">
        <f t="shared" si="4"/>
        <v>-1544661945</v>
      </c>
      <c r="J87" s="42">
        <f t="shared" si="5"/>
        <v>-5.4766206662481426E-4</v>
      </c>
      <c r="L87" s="3">
        <v>868401280</v>
      </c>
      <c r="N87" s="3">
        <v>5370993607</v>
      </c>
      <c r="P87" s="3">
        <v>24427893</v>
      </c>
      <c r="R87" s="3">
        <f t="shared" si="6"/>
        <v>6263822780</v>
      </c>
      <c r="S87" s="42">
        <f t="shared" si="7"/>
        <v>5.1898685862121377E-4</v>
      </c>
    </row>
    <row r="88" spans="1:19" x14ac:dyDescent="0.2">
      <c r="A88" s="13" t="s">
        <v>58</v>
      </c>
      <c r="C88" s="3">
        <v>0</v>
      </c>
      <c r="E88" s="3">
        <v>32707423886</v>
      </c>
      <c r="G88" s="3">
        <v>0</v>
      </c>
      <c r="I88" s="3">
        <f t="shared" si="4"/>
        <v>32707423886</v>
      </c>
      <c r="J88" s="42">
        <f t="shared" si="5"/>
        <v>1.1596463172646215E-2</v>
      </c>
      <c r="L88" s="3">
        <v>5718953870</v>
      </c>
      <c r="N88" s="3">
        <v>125734469967</v>
      </c>
      <c r="P88" s="3">
        <v>13112906087</v>
      </c>
      <c r="R88" s="3">
        <f t="shared" si="6"/>
        <v>144566329924</v>
      </c>
      <c r="S88" s="42">
        <f t="shared" si="7"/>
        <v>1.1977993002805665E-2</v>
      </c>
    </row>
    <row r="89" spans="1:19" x14ac:dyDescent="0.2">
      <c r="A89" s="13" t="s">
        <v>76</v>
      </c>
      <c r="C89" s="3">
        <v>0</v>
      </c>
      <c r="E89" s="3">
        <v>0</v>
      </c>
      <c r="G89" s="3">
        <v>0</v>
      </c>
      <c r="I89" s="3">
        <f t="shared" si="4"/>
        <v>0</v>
      </c>
      <c r="J89" s="42">
        <f t="shared" si="5"/>
        <v>0</v>
      </c>
      <c r="L89" s="3">
        <v>426129900</v>
      </c>
      <c r="N89" s="3">
        <v>0</v>
      </c>
      <c r="P89" s="3">
        <v>1293337842</v>
      </c>
      <c r="R89" s="3">
        <f t="shared" si="6"/>
        <v>1719467742</v>
      </c>
      <c r="S89" s="42">
        <f t="shared" si="7"/>
        <v>1.4246590193618019E-4</v>
      </c>
    </row>
    <row r="90" spans="1:19" x14ac:dyDescent="0.2">
      <c r="A90" s="13" t="s">
        <v>56</v>
      </c>
      <c r="C90" s="3">
        <v>0</v>
      </c>
      <c r="E90" s="3">
        <v>5862786914</v>
      </c>
      <c r="G90" s="3">
        <v>0</v>
      </c>
      <c r="I90" s="3">
        <f t="shared" si="4"/>
        <v>5862786914</v>
      </c>
      <c r="J90" s="42">
        <f t="shared" si="5"/>
        <v>2.0786593519025011E-3</v>
      </c>
      <c r="L90" s="3">
        <v>24531707850</v>
      </c>
      <c r="N90" s="3">
        <v>73392532545</v>
      </c>
      <c r="P90" s="3">
        <v>675852106</v>
      </c>
      <c r="R90" s="3">
        <f t="shared" si="6"/>
        <v>98600092501</v>
      </c>
      <c r="S90" s="42">
        <f t="shared" si="7"/>
        <v>8.1694763827362127E-3</v>
      </c>
    </row>
    <row r="91" spans="1:19" x14ac:dyDescent="0.2">
      <c r="A91" s="13" t="s">
        <v>93</v>
      </c>
      <c r="C91" s="3">
        <v>0</v>
      </c>
      <c r="E91" s="3">
        <v>19409130426</v>
      </c>
      <c r="G91" s="3">
        <v>0</v>
      </c>
      <c r="I91" s="3">
        <f t="shared" si="4"/>
        <v>19409130426</v>
      </c>
      <c r="J91" s="42">
        <f t="shared" si="5"/>
        <v>6.8815345098009262E-3</v>
      </c>
      <c r="L91" s="3">
        <v>3111114429</v>
      </c>
      <c r="N91" s="3">
        <v>89561946040</v>
      </c>
      <c r="P91" s="3">
        <v>0</v>
      </c>
      <c r="R91" s="3">
        <f t="shared" si="6"/>
        <v>92673060469</v>
      </c>
      <c r="S91" s="42">
        <f t="shared" si="7"/>
        <v>7.6783942044446052E-3</v>
      </c>
    </row>
    <row r="92" spans="1:19" x14ac:dyDescent="0.2">
      <c r="A92" s="13" t="s">
        <v>62</v>
      </c>
      <c r="C92" s="3">
        <v>0</v>
      </c>
      <c r="E92" s="3">
        <v>25446677135</v>
      </c>
      <c r="G92" s="3">
        <v>0</v>
      </c>
      <c r="I92" s="3">
        <f t="shared" si="4"/>
        <v>25446677135</v>
      </c>
      <c r="J92" s="42">
        <f t="shared" si="5"/>
        <v>9.0221551929852879E-3</v>
      </c>
      <c r="L92" s="3">
        <v>18590487972</v>
      </c>
      <c r="N92" s="3">
        <v>45091162906</v>
      </c>
      <c r="P92" s="3">
        <v>0</v>
      </c>
      <c r="R92" s="3">
        <f t="shared" si="6"/>
        <v>63681650878</v>
      </c>
      <c r="S92" s="42">
        <f t="shared" si="7"/>
        <v>5.2763210425608624E-3</v>
      </c>
    </row>
    <row r="93" spans="1:19" x14ac:dyDescent="0.2">
      <c r="A93" s="13" t="s">
        <v>123</v>
      </c>
      <c r="C93" s="3">
        <v>0</v>
      </c>
      <c r="E93" s="3">
        <v>13871978332</v>
      </c>
      <c r="G93" s="3">
        <v>0</v>
      </c>
      <c r="I93" s="3">
        <f t="shared" si="4"/>
        <v>13871978332</v>
      </c>
      <c r="J93" s="42">
        <f t="shared" si="5"/>
        <v>4.9183294416421733E-3</v>
      </c>
      <c r="L93" s="3">
        <v>12686246320</v>
      </c>
      <c r="N93" s="3">
        <v>28961715029</v>
      </c>
      <c r="P93" s="3">
        <v>0</v>
      </c>
      <c r="R93" s="3">
        <f t="shared" si="6"/>
        <v>41647961349</v>
      </c>
      <c r="S93" s="42">
        <f t="shared" si="7"/>
        <v>3.4507273573431523E-3</v>
      </c>
    </row>
    <row r="94" spans="1:19" x14ac:dyDescent="0.2">
      <c r="A94" s="13" t="s">
        <v>74</v>
      </c>
      <c r="C94" s="3">
        <v>0</v>
      </c>
      <c r="E94" s="3">
        <v>-1374161729</v>
      </c>
      <c r="G94" s="3">
        <v>0</v>
      </c>
      <c r="I94" s="3">
        <f t="shared" si="4"/>
        <v>-1374161729</v>
      </c>
      <c r="J94" s="42">
        <f t="shared" si="5"/>
        <v>-4.8721097507252171E-4</v>
      </c>
      <c r="L94" s="3">
        <v>2469733500</v>
      </c>
      <c r="N94" s="3">
        <v>47057231453</v>
      </c>
      <c r="P94" s="3">
        <v>0</v>
      </c>
      <c r="R94" s="3">
        <f t="shared" si="6"/>
        <v>49526964953</v>
      </c>
      <c r="S94" s="42">
        <f t="shared" si="7"/>
        <v>4.1035394615682947E-3</v>
      </c>
    </row>
    <row r="95" spans="1:19" x14ac:dyDescent="0.2">
      <c r="A95" s="13" t="s">
        <v>160</v>
      </c>
      <c r="C95" s="3">
        <v>0</v>
      </c>
      <c r="E95" s="3">
        <v>1108031146</v>
      </c>
      <c r="G95" s="3">
        <v>0</v>
      </c>
      <c r="I95" s="3">
        <f t="shared" si="4"/>
        <v>1108031146</v>
      </c>
      <c r="J95" s="42">
        <f t="shared" si="5"/>
        <v>3.9285400230600054E-4</v>
      </c>
      <c r="L95" s="3">
        <v>5583314750</v>
      </c>
      <c r="N95" s="3">
        <v>23911312119</v>
      </c>
      <c r="P95" s="3">
        <v>19362495523</v>
      </c>
      <c r="R95" s="3">
        <f t="shared" si="6"/>
        <v>48857122392</v>
      </c>
      <c r="S95" s="42">
        <f t="shared" si="7"/>
        <v>4.0480398890685469E-3</v>
      </c>
    </row>
    <row r="96" spans="1:19" x14ac:dyDescent="0.2">
      <c r="A96" s="13" t="s">
        <v>172</v>
      </c>
      <c r="C96" s="3">
        <v>0</v>
      </c>
      <c r="E96" s="3">
        <v>4548234848</v>
      </c>
      <c r="G96" s="3">
        <v>0</v>
      </c>
      <c r="I96" s="3">
        <f t="shared" si="4"/>
        <v>4548234848</v>
      </c>
      <c r="J96" s="42">
        <f t="shared" si="5"/>
        <v>1.6125830667438872E-3</v>
      </c>
      <c r="L96" s="3">
        <v>9600143293</v>
      </c>
      <c r="N96" s="3">
        <v>47033290057</v>
      </c>
      <c r="P96" s="3">
        <v>0</v>
      </c>
      <c r="R96" s="3">
        <f t="shared" si="6"/>
        <v>56633433350</v>
      </c>
      <c r="S96" s="42">
        <f t="shared" si="7"/>
        <v>4.6923434298136993E-3</v>
      </c>
    </row>
    <row r="97" spans="1:19" x14ac:dyDescent="0.2">
      <c r="A97" s="13" t="s">
        <v>147</v>
      </c>
      <c r="C97" s="3">
        <v>0</v>
      </c>
      <c r="E97" s="3">
        <v>-7510354729</v>
      </c>
      <c r="G97" s="3">
        <v>0</v>
      </c>
      <c r="I97" s="3">
        <f t="shared" si="4"/>
        <v>-7510354729</v>
      </c>
      <c r="J97" s="42">
        <f t="shared" si="5"/>
        <v>-2.6628068395700565E-3</v>
      </c>
      <c r="L97" s="3">
        <v>11490649313</v>
      </c>
      <c r="N97" s="3">
        <v>132532253555</v>
      </c>
      <c r="P97" s="3">
        <v>19193782589</v>
      </c>
      <c r="R97" s="3">
        <f t="shared" si="6"/>
        <v>163216685457</v>
      </c>
      <c r="S97" s="42">
        <f t="shared" si="7"/>
        <v>1.3523261726107643E-2</v>
      </c>
    </row>
    <row r="98" spans="1:19" x14ac:dyDescent="0.2">
      <c r="A98" s="13" t="s">
        <v>176</v>
      </c>
      <c r="C98" s="3">
        <v>0</v>
      </c>
      <c r="E98" s="3">
        <v>7804203550</v>
      </c>
      <c r="G98" s="3">
        <v>0</v>
      </c>
      <c r="I98" s="3">
        <f t="shared" si="4"/>
        <v>7804203550</v>
      </c>
      <c r="J98" s="42">
        <f t="shared" si="5"/>
        <v>2.7669913526313433E-3</v>
      </c>
      <c r="L98" s="3">
        <v>0</v>
      </c>
      <c r="N98" s="3">
        <v>7519984449</v>
      </c>
      <c r="P98" s="3">
        <v>-5349854853</v>
      </c>
      <c r="R98" s="3">
        <f t="shared" si="6"/>
        <v>2170129596</v>
      </c>
      <c r="S98" s="42">
        <f t="shared" si="7"/>
        <v>1.7980533316253299E-4</v>
      </c>
    </row>
    <row r="99" spans="1:19" x14ac:dyDescent="0.2">
      <c r="A99" s="13" t="s">
        <v>180</v>
      </c>
      <c r="C99" s="3">
        <v>13583199052</v>
      </c>
      <c r="E99" s="3">
        <v>-28273417651</v>
      </c>
      <c r="G99" s="3">
        <v>0</v>
      </c>
      <c r="I99" s="3">
        <f t="shared" si="4"/>
        <v>-14690218599</v>
      </c>
      <c r="J99" s="42">
        <f t="shared" si="5"/>
        <v>-5.2084376799343126E-3</v>
      </c>
      <c r="L99" s="3">
        <v>13583199052</v>
      </c>
      <c r="N99" s="3">
        <v>101345330759</v>
      </c>
      <c r="P99" s="3">
        <v>0</v>
      </c>
      <c r="R99" s="3">
        <f t="shared" si="6"/>
        <v>114928529811</v>
      </c>
      <c r="S99" s="42">
        <f t="shared" si="7"/>
        <v>9.5223633789596786E-3</v>
      </c>
    </row>
    <row r="100" spans="1:19" x14ac:dyDescent="0.2">
      <c r="A100" s="13" t="s">
        <v>182</v>
      </c>
      <c r="C100" s="3">
        <v>7311751324</v>
      </c>
      <c r="E100" s="3">
        <v>29570782150</v>
      </c>
      <c r="G100" s="3">
        <v>0</v>
      </c>
      <c r="I100" s="3">
        <f t="shared" si="4"/>
        <v>36882533474</v>
      </c>
      <c r="J100" s="42">
        <f t="shared" si="5"/>
        <v>1.3076754153304223E-2</v>
      </c>
      <c r="L100" s="3">
        <v>7311751324</v>
      </c>
      <c r="N100" s="3">
        <v>80027711630</v>
      </c>
      <c r="P100" s="3">
        <v>9971552288</v>
      </c>
      <c r="R100" s="3">
        <f t="shared" si="6"/>
        <v>97311015242</v>
      </c>
      <c r="S100" s="42">
        <f t="shared" si="7"/>
        <v>8.0626703346301613E-3</v>
      </c>
    </row>
    <row r="101" spans="1:19" x14ac:dyDescent="0.2">
      <c r="A101" s="13" t="s">
        <v>184</v>
      </c>
      <c r="C101" s="3">
        <v>15336427061</v>
      </c>
      <c r="E101" s="3">
        <v>58748962751</v>
      </c>
      <c r="G101" s="3">
        <v>0</v>
      </c>
      <c r="I101" s="3">
        <f t="shared" si="4"/>
        <v>74085389812</v>
      </c>
      <c r="J101" s="42">
        <f t="shared" si="5"/>
        <v>2.6267079228876111E-2</v>
      </c>
      <c r="L101" s="3">
        <v>15336427061</v>
      </c>
      <c r="N101" s="3">
        <v>159967633010</v>
      </c>
      <c r="P101" s="3">
        <v>3702280214</v>
      </c>
      <c r="R101" s="3">
        <f t="shared" si="6"/>
        <v>179006340285</v>
      </c>
      <c r="S101" s="42">
        <f t="shared" si="7"/>
        <v>1.4831508087109733E-2</v>
      </c>
    </row>
    <row r="102" spans="1:19" x14ac:dyDescent="0.2">
      <c r="A102" s="13" t="s">
        <v>178</v>
      </c>
      <c r="C102" s="3">
        <v>9871241312</v>
      </c>
      <c r="E102" s="3">
        <v>27323272798</v>
      </c>
      <c r="G102" s="3">
        <v>0</v>
      </c>
      <c r="I102" s="3">
        <f t="shared" si="4"/>
        <v>37194514110</v>
      </c>
      <c r="J102" s="42">
        <f t="shared" si="5"/>
        <v>1.3187367326893271E-2</v>
      </c>
      <c r="L102" s="3">
        <v>9871241312</v>
      </c>
      <c r="N102" s="3">
        <v>108441434582</v>
      </c>
      <c r="P102" s="3">
        <v>0</v>
      </c>
      <c r="R102" s="3">
        <f t="shared" si="6"/>
        <v>118312675894</v>
      </c>
      <c r="S102" s="42">
        <f t="shared" si="7"/>
        <v>9.8027556260614473E-3</v>
      </c>
    </row>
    <row r="103" spans="1:19" x14ac:dyDescent="0.2">
      <c r="A103" s="13" t="s">
        <v>293</v>
      </c>
      <c r="C103" s="3">
        <v>0</v>
      </c>
      <c r="E103" s="3">
        <v>0</v>
      </c>
      <c r="G103" s="3">
        <v>0</v>
      </c>
      <c r="I103" s="3">
        <f t="shared" si="4"/>
        <v>0</v>
      </c>
      <c r="J103" s="42">
        <f t="shared" si="5"/>
        <v>0</v>
      </c>
      <c r="L103" s="3">
        <v>0</v>
      </c>
      <c r="N103" s="3">
        <v>0</v>
      </c>
      <c r="P103" s="3">
        <v>137631085071</v>
      </c>
      <c r="R103" s="3">
        <f t="shared" si="6"/>
        <v>137631085071</v>
      </c>
      <c r="S103" s="42">
        <f t="shared" si="7"/>
        <v>1.1403375701767112E-2</v>
      </c>
    </row>
    <row r="104" spans="1:19" x14ac:dyDescent="0.2">
      <c r="A104" s="13" t="s">
        <v>284</v>
      </c>
      <c r="C104" s="3">
        <v>0</v>
      </c>
      <c r="E104" s="3">
        <v>17662124170</v>
      </c>
      <c r="G104" s="3">
        <v>0</v>
      </c>
      <c r="I104" s="3">
        <f t="shared" si="4"/>
        <v>17662124170</v>
      </c>
      <c r="J104" s="42">
        <f t="shared" si="5"/>
        <v>6.2621309829227921E-3</v>
      </c>
      <c r="L104" s="3">
        <v>0</v>
      </c>
      <c r="N104" s="3">
        <v>38824490214</v>
      </c>
      <c r="P104" s="3">
        <v>0</v>
      </c>
      <c r="R104" s="3">
        <f t="shared" si="6"/>
        <v>38824490214</v>
      </c>
      <c r="S104" s="42">
        <f t="shared" si="7"/>
        <v>3.2167896381215806E-3</v>
      </c>
    </row>
    <row r="105" spans="1:19" x14ac:dyDescent="0.2">
      <c r="A105" s="13" t="s">
        <v>210</v>
      </c>
      <c r="C105" s="3">
        <v>0</v>
      </c>
      <c r="E105" s="3">
        <v>91809293294</v>
      </c>
      <c r="G105" s="3">
        <v>0</v>
      </c>
      <c r="I105" s="3">
        <f t="shared" si="4"/>
        <v>91809293294</v>
      </c>
      <c r="J105" s="42">
        <f t="shared" si="5"/>
        <v>3.2551114153819422E-2</v>
      </c>
      <c r="L105" s="3">
        <v>0</v>
      </c>
      <c r="N105" s="3">
        <v>155224242579</v>
      </c>
      <c r="P105" s="3">
        <v>18269662548</v>
      </c>
      <c r="R105" s="3">
        <f t="shared" si="6"/>
        <v>173493905127</v>
      </c>
      <c r="S105" s="42">
        <f t="shared" si="7"/>
        <v>1.4374777188665708E-2</v>
      </c>
    </row>
    <row r="106" spans="1:19" x14ac:dyDescent="0.2">
      <c r="A106" s="13" t="s">
        <v>252</v>
      </c>
      <c r="C106" s="3">
        <v>0</v>
      </c>
      <c r="E106" s="3">
        <v>10124153486</v>
      </c>
      <c r="G106" s="3">
        <v>4904768027</v>
      </c>
      <c r="I106" s="3">
        <f t="shared" si="4"/>
        <v>15028921513</v>
      </c>
      <c r="J106" s="42">
        <f t="shared" si="5"/>
        <v>5.3285252747983696E-3</v>
      </c>
      <c r="L106" s="3">
        <v>0</v>
      </c>
      <c r="N106" s="3">
        <v>43564649086</v>
      </c>
      <c r="P106" s="3">
        <v>9755300679</v>
      </c>
      <c r="R106" s="3">
        <f t="shared" si="6"/>
        <v>53319949765</v>
      </c>
      <c r="S106" s="42">
        <f t="shared" si="7"/>
        <v>4.4178058994156716E-3</v>
      </c>
    </row>
    <row r="107" spans="1:19" x14ac:dyDescent="0.2">
      <c r="A107" s="13" t="s">
        <v>282</v>
      </c>
      <c r="C107" s="3">
        <v>0</v>
      </c>
      <c r="E107" s="3">
        <v>8590748972</v>
      </c>
      <c r="G107" s="3">
        <v>0</v>
      </c>
      <c r="I107" s="3">
        <f t="shared" si="4"/>
        <v>8590748972</v>
      </c>
      <c r="J107" s="42">
        <f t="shared" si="5"/>
        <v>3.0458621390200159E-3</v>
      </c>
      <c r="L107" s="3">
        <v>0</v>
      </c>
      <c r="N107" s="3">
        <v>39514558744</v>
      </c>
      <c r="P107" s="3">
        <v>1050497375</v>
      </c>
      <c r="R107" s="3">
        <f t="shared" si="6"/>
        <v>40565056119</v>
      </c>
      <c r="S107" s="42">
        <f t="shared" si="7"/>
        <v>3.3610036210176839E-3</v>
      </c>
    </row>
    <row r="108" spans="1:19" x14ac:dyDescent="0.2">
      <c r="A108" s="13" t="s">
        <v>294</v>
      </c>
      <c r="C108" s="3">
        <v>0</v>
      </c>
      <c r="E108" s="3">
        <v>0</v>
      </c>
      <c r="G108" s="3">
        <v>0</v>
      </c>
      <c r="I108" s="3">
        <f t="shared" si="4"/>
        <v>0</v>
      </c>
      <c r="J108" s="42">
        <f t="shared" si="5"/>
        <v>0</v>
      </c>
      <c r="L108" s="3">
        <v>0</v>
      </c>
      <c r="N108" s="3">
        <v>0</v>
      </c>
      <c r="P108" s="3">
        <v>4037450</v>
      </c>
      <c r="R108" s="3">
        <f t="shared" si="6"/>
        <v>4037450</v>
      </c>
      <c r="S108" s="42">
        <f t="shared" si="7"/>
        <v>3.3452151600307875E-7</v>
      </c>
    </row>
    <row r="109" spans="1:19" x14ac:dyDescent="0.2">
      <c r="A109" s="13" t="s">
        <v>255</v>
      </c>
      <c r="C109" s="3">
        <v>0</v>
      </c>
      <c r="E109" s="3">
        <v>-7509450024</v>
      </c>
      <c r="G109" s="3">
        <v>0</v>
      </c>
      <c r="I109" s="3">
        <f t="shared" si="4"/>
        <v>-7509450024</v>
      </c>
      <c r="J109" s="42">
        <f t="shared" si="5"/>
        <v>-2.6624860751389848E-3</v>
      </c>
      <c r="L109" s="3">
        <v>0</v>
      </c>
      <c r="N109" s="3">
        <v>24946739363</v>
      </c>
      <c r="P109" s="3">
        <v>0</v>
      </c>
      <c r="R109" s="3">
        <f t="shared" si="6"/>
        <v>24946739363</v>
      </c>
      <c r="S109" s="42">
        <f t="shared" si="7"/>
        <v>2.0669534164000644E-3</v>
      </c>
    </row>
    <row r="110" spans="1:19" x14ac:dyDescent="0.2">
      <c r="A110" s="13" t="s">
        <v>275</v>
      </c>
      <c r="C110" s="3">
        <v>0</v>
      </c>
      <c r="E110" s="3">
        <v>40838184127</v>
      </c>
      <c r="G110" s="3">
        <v>0</v>
      </c>
      <c r="I110" s="3">
        <f t="shared" si="4"/>
        <v>40838184127</v>
      </c>
      <c r="J110" s="42">
        <f t="shared" si="5"/>
        <v>1.4479235659681837E-2</v>
      </c>
      <c r="L110" s="3">
        <v>0</v>
      </c>
      <c r="N110" s="3">
        <v>114540857083</v>
      </c>
      <c r="P110" s="3">
        <v>20576811486</v>
      </c>
      <c r="R110" s="3">
        <f t="shared" si="6"/>
        <v>135117668569</v>
      </c>
      <c r="S110" s="42">
        <f t="shared" si="7"/>
        <v>1.1195127451362476E-2</v>
      </c>
    </row>
    <row r="111" spans="1:19" x14ac:dyDescent="0.2">
      <c r="A111" s="13" t="s">
        <v>279</v>
      </c>
      <c r="C111" s="3">
        <v>0</v>
      </c>
      <c r="E111" s="3">
        <v>6759473652</v>
      </c>
      <c r="G111" s="3">
        <v>0</v>
      </c>
      <c r="I111" s="3">
        <f t="shared" si="4"/>
        <v>6759473652</v>
      </c>
      <c r="J111" s="42">
        <f t="shared" si="5"/>
        <v>2.3965808968966994E-3</v>
      </c>
      <c r="L111" s="3">
        <v>0</v>
      </c>
      <c r="N111" s="3">
        <v>26423586208</v>
      </c>
      <c r="P111" s="3">
        <v>0</v>
      </c>
      <c r="R111" s="3">
        <f t="shared" si="6"/>
        <v>26423586208</v>
      </c>
      <c r="S111" s="42">
        <f t="shared" si="7"/>
        <v>2.1893170482701219E-3</v>
      </c>
    </row>
    <row r="112" spans="1:19" x14ac:dyDescent="0.2">
      <c r="A112" s="13" t="s">
        <v>233</v>
      </c>
      <c r="C112" s="3">
        <v>0</v>
      </c>
      <c r="E112" s="3">
        <v>22513227514</v>
      </c>
      <c r="G112" s="3">
        <v>0</v>
      </c>
      <c r="I112" s="3">
        <f t="shared" si="4"/>
        <v>22513227514</v>
      </c>
      <c r="J112" s="42">
        <f t="shared" si="5"/>
        <v>7.9820965011939034E-3</v>
      </c>
      <c r="L112" s="3">
        <v>0</v>
      </c>
      <c r="N112" s="3">
        <v>53828209951</v>
      </c>
      <c r="P112" s="3">
        <v>0</v>
      </c>
      <c r="R112" s="3">
        <f t="shared" si="6"/>
        <v>53828209951</v>
      </c>
      <c r="S112" s="42">
        <f t="shared" si="7"/>
        <v>4.4599176204140065E-3</v>
      </c>
    </row>
    <row r="113" spans="1:19" x14ac:dyDescent="0.2">
      <c r="A113" s="13" t="s">
        <v>295</v>
      </c>
      <c r="C113" s="3">
        <v>0</v>
      </c>
      <c r="E113" s="3">
        <v>0</v>
      </c>
      <c r="G113" s="3">
        <v>0</v>
      </c>
      <c r="I113" s="3">
        <f t="shared" si="4"/>
        <v>0</v>
      </c>
      <c r="J113" s="42">
        <f t="shared" si="5"/>
        <v>0</v>
      </c>
      <c r="L113" s="3">
        <v>0</v>
      </c>
      <c r="N113" s="3">
        <v>0</v>
      </c>
      <c r="P113" s="3">
        <v>52384129189</v>
      </c>
      <c r="R113" s="3">
        <f t="shared" si="6"/>
        <v>52384129189</v>
      </c>
      <c r="S113" s="42">
        <f t="shared" si="7"/>
        <v>4.3402688109587511E-3</v>
      </c>
    </row>
    <row r="114" spans="1:19" x14ac:dyDescent="0.2">
      <c r="A114" s="13" t="s">
        <v>222</v>
      </c>
      <c r="C114" s="3">
        <v>0</v>
      </c>
      <c r="E114" s="3">
        <v>9230490563</v>
      </c>
      <c r="G114" s="3">
        <v>0</v>
      </c>
      <c r="I114" s="3">
        <f t="shared" si="4"/>
        <v>9230490563</v>
      </c>
      <c r="J114" s="42">
        <f t="shared" si="5"/>
        <v>3.272683420509479E-3</v>
      </c>
      <c r="L114" s="3">
        <v>0</v>
      </c>
      <c r="N114" s="3">
        <v>23452244273</v>
      </c>
      <c r="P114" s="3">
        <v>0</v>
      </c>
      <c r="R114" s="3">
        <f t="shared" si="6"/>
        <v>23452244273</v>
      </c>
      <c r="S114" s="42">
        <f t="shared" si="7"/>
        <v>1.9431275453265012E-3</v>
      </c>
    </row>
    <row r="115" spans="1:19" x14ac:dyDescent="0.2">
      <c r="A115" s="13" t="s">
        <v>267</v>
      </c>
      <c r="C115" s="3">
        <v>0</v>
      </c>
      <c r="E115" s="3">
        <v>15158741348</v>
      </c>
      <c r="G115" s="3">
        <v>6690787203</v>
      </c>
      <c r="I115" s="3">
        <f t="shared" si="4"/>
        <v>21849528551</v>
      </c>
      <c r="J115" s="42">
        <f t="shared" si="5"/>
        <v>7.7467810997431819E-3</v>
      </c>
      <c r="L115" s="3">
        <v>0</v>
      </c>
      <c r="N115" s="3">
        <v>141053543099</v>
      </c>
      <c r="P115" s="3">
        <v>45756898294</v>
      </c>
      <c r="R115" s="3">
        <f t="shared" si="6"/>
        <v>186810441393</v>
      </c>
      <c r="S115" s="42">
        <f t="shared" si="7"/>
        <v>1.5478114171071013E-2</v>
      </c>
    </row>
    <row r="116" spans="1:19" x14ac:dyDescent="0.2">
      <c r="A116" s="13" t="s">
        <v>277</v>
      </c>
      <c r="C116" s="3">
        <v>0</v>
      </c>
      <c r="E116" s="3">
        <v>5952753947</v>
      </c>
      <c r="G116" s="3">
        <v>0</v>
      </c>
      <c r="I116" s="3">
        <f t="shared" si="4"/>
        <v>5952753947</v>
      </c>
      <c r="J116" s="42">
        <f t="shared" si="5"/>
        <v>2.1105572900762047E-3</v>
      </c>
      <c r="L116" s="3">
        <v>0</v>
      </c>
      <c r="N116" s="3">
        <v>82756226024</v>
      </c>
      <c r="P116" s="3">
        <v>1069885672</v>
      </c>
      <c r="R116" s="3">
        <f t="shared" si="6"/>
        <v>83826111696</v>
      </c>
      <c r="S116" s="42">
        <f t="shared" si="7"/>
        <v>6.9453833397786552E-3</v>
      </c>
    </row>
    <row r="117" spans="1:19" x14ac:dyDescent="0.2">
      <c r="A117" s="13" t="s">
        <v>247</v>
      </c>
      <c r="C117" s="3">
        <v>0</v>
      </c>
      <c r="E117" s="3">
        <v>23457957</v>
      </c>
      <c r="G117" s="3">
        <v>0</v>
      </c>
      <c r="I117" s="3">
        <f t="shared" si="4"/>
        <v>23457957</v>
      </c>
      <c r="J117" s="42">
        <f t="shared" si="5"/>
        <v>8.3170516701089739E-6</v>
      </c>
      <c r="L117" s="3">
        <v>0</v>
      </c>
      <c r="N117" s="3">
        <v>3129291536</v>
      </c>
      <c r="P117" s="3">
        <v>466362994</v>
      </c>
      <c r="R117" s="3">
        <f t="shared" si="6"/>
        <v>3595654530</v>
      </c>
      <c r="S117" s="42">
        <f t="shared" si="7"/>
        <v>2.9791670594036775E-4</v>
      </c>
    </row>
    <row r="118" spans="1:19" x14ac:dyDescent="0.2">
      <c r="A118" s="13" t="s">
        <v>214</v>
      </c>
      <c r="C118" s="3">
        <v>0</v>
      </c>
      <c r="E118" s="3">
        <v>-8285426091</v>
      </c>
      <c r="G118" s="3">
        <v>0</v>
      </c>
      <c r="I118" s="3">
        <f t="shared" si="4"/>
        <v>-8285426091</v>
      </c>
      <c r="J118" s="42">
        <f t="shared" si="5"/>
        <v>-2.937609481836633E-3</v>
      </c>
      <c r="L118" s="3">
        <v>0</v>
      </c>
      <c r="N118" s="3">
        <v>249816220271</v>
      </c>
      <c r="P118" s="3">
        <v>40340006824</v>
      </c>
      <c r="R118" s="3">
        <f t="shared" si="6"/>
        <v>290156227095</v>
      </c>
      <c r="S118" s="42">
        <f t="shared" si="7"/>
        <v>2.4040793313986057E-2</v>
      </c>
    </row>
    <row r="119" spans="1:19" x14ac:dyDescent="0.2">
      <c r="A119" s="13" t="s">
        <v>217</v>
      </c>
      <c r="C119" s="3">
        <v>0</v>
      </c>
      <c r="E119" s="3">
        <v>93799379331</v>
      </c>
      <c r="G119" s="3">
        <v>0</v>
      </c>
      <c r="I119" s="3">
        <f t="shared" si="4"/>
        <v>93799379331</v>
      </c>
      <c r="J119" s="42">
        <f t="shared" si="5"/>
        <v>3.3256701959172269E-2</v>
      </c>
      <c r="L119" s="3">
        <v>0</v>
      </c>
      <c r="N119" s="3">
        <v>333263677145</v>
      </c>
      <c r="P119" s="3">
        <v>27561544307</v>
      </c>
      <c r="R119" s="3">
        <f t="shared" si="6"/>
        <v>360825221452</v>
      </c>
      <c r="S119" s="42">
        <f t="shared" si="7"/>
        <v>2.9896048271128971E-2</v>
      </c>
    </row>
    <row r="120" spans="1:19" x14ac:dyDescent="0.2">
      <c r="A120" s="13" t="s">
        <v>249</v>
      </c>
      <c r="C120" s="3">
        <v>0</v>
      </c>
      <c r="E120" s="3">
        <v>2231408833</v>
      </c>
      <c r="G120" s="3">
        <v>0</v>
      </c>
      <c r="I120" s="3">
        <f t="shared" si="4"/>
        <v>2231408833</v>
      </c>
      <c r="J120" s="42">
        <f t="shared" si="5"/>
        <v>7.9114914232294683E-4</v>
      </c>
      <c r="L120" s="3">
        <v>0</v>
      </c>
      <c r="N120" s="3">
        <v>5184047049</v>
      </c>
      <c r="P120" s="3">
        <v>7427107195</v>
      </c>
      <c r="R120" s="3">
        <f t="shared" si="6"/>
        <v>12611154244</v>
      </c>
      <c r="S120" s="42">
        <f t="shared" si="7"/>
        <v>1.0448928002208177E-3</v>
      </c>
    </row>
    <row r="121" spans="1:19" x14ac:dyDescent="0.2">
      <c r="A121" s="13" t="s">
        <v>274</v>
      </c>
      <c r="C121" s="3">
        <v>0</v>
      </c>
      <c r="E121" s="3">
        <v>20929457944</v>
      </c>
      <c r="G121" s="3">
        <v>27032539311</v>
      </c>
      <c r="I121" s="3">
        <f t="shared" si="4"/>
        <v>47961997255</v>
      </c>
      <c r="J121" s="42">
        <f t="shared" si="5"/>
        <v>1.7004993630581718E-2</v>
      </c>
      <c r="L121" s="3">
        <v>0</v>
      </c>
      <c r="N121" s="3">
        <v>118517055631</v>
      </c>
      <c r="P121" s="3">
        <v>42856209229</v>
      </c>
      <c r="R121" s="3">
        <f t="shared" si="6"/>
        <v>161373264860</v>
      </c>
      <c r="S121" s="42">
        <f t="shared" si="7"/>
        <v>1.3370525753466559E-2</v>
      </c>
    </row>
    <row r="122" spans="1:19" x14ac:dyDescent="0.2">
      <c r="A122" s="13" t="s">
        <v>206</v>
      </c>
      <c r="C122" s="3">
        <v>0</v>
      </c>
      <c r="E122" s="3">
        <v>68196929</v>
      </c>
      <c r="G122" s="3">
        <v>0</v>
      </c>
      <c r="I122" s="3">
        <f t="shared" si="4"/>
        <v>68196929</v>
      </c>
      <c r="J122" s="42">
        <f t="shared" si="5"/>
        <v>2.4179317160303141E-5</v>
      </c>
      <c r="L122" s="3">
        <v>0</v>
      </c>
      <c r="N122" s="3">
        <v>82795682</v>
      </c>
      <c r="P122" s="3">
        <v>0</v>
      </c>
      <c r="R122" s="3">
        <f t="shared" si="6"/>
        <v>82795682</v>
      </c>
      <c r="S122" s="42">
        <f t="shared" si="7"/>
        <v>6.8600074455779816E-6</v>
      </c>
    </row>
    <row r="123" spans="1:19" x14ac:dyDescent="0.2">
      <c r="A123" s="13" t="s">
        <v>296</v>
      </c>
      <c r="C123" s="3">
        <v>0</v>
      </c>
      <c r="E123" s="3">
        <v>0</v>
      </c>
      <c r="G123" s="3">
        <v>0</v>
      </c>
      <c r="I123" s="3">
        <f t="shared" si="4"/>
        <v>0</v>
      </c>
      <c r="J123" s="42">
        <f t="shared" si="5"/>
        <v>0</v>
      </c>
      <c r="L123" s="3">
        <v>0</v>
      </c>
      <c r="N123" s="3">
        <v>0</v>
      </c>
      <c r="P123" s="3">
        <v>3247518849</v>
      </c>
      <c r="R123" s="3">
        <f t="shared" si="6"/>
        <v>3247518849</v>
      </c>
      <c r="S123" s="42">
        <f t="shared" si="7"/>
        <v>2.6907204513146999E-4</v>
      </c>
    </row>
    <row r="124" spans="1:19" x14ac:dyDescent="0.2">
      <c r="A124" s="13" t="s">
        <v>258</v>
      </c>
      <c r="C124" s="3">
        <v>0</v>
      </c>
      <c r="E124" s="3">
        <v>10727943409</v>
      </c>
      <c r="G124" s="3">
        <v>0</v>
      </c>
      <c r="I124" s="3">
        <f t="shared" si="4"/>
        <v>10727943409</v>
      </c>
      <c r="J124" s="42">
        <f t="shared" si="5"/>
        <v>3.8036074346396837E-3</v>
      </c>
      <c r="L124" s="3">
        <v>0</v>
      </c>
      <c r="N124" s="3">
        <v>108735851053</v>
      </c>
      <c r="P124" s="3">
        <v>2603657426</v>
      </c>
      <c r="R124" s="3">
        <f t="shared" si="6"/>
        <v>111339508479</v>
      </c>
      <c r="S124" s="42">
        <f t="shared" si="7"/>
        <v>9.22499626433336E-3</v>
      </c>
    </row>
    <row r="125" spans="1:19" x14ac:dyDescent="0.2">
      <c r="A125" s="13" t="s">
        <v>227</v>
      </c>
      <c r="C125" s="3">
        <v>0</v>
      </c>
      <c r="E125" s="3">
        <v>1078165385</v>
      </c>
      <c r="G125" s="3">
        <v>1338847288</v>
      </c>
      <c r="I125" s="3">
        <f t="shared" si="4"/>
        <v>2417012673</v>
      </c>
      <c r="J125" s="42">
        <f t="shared" si="5"/>
        <v>8.5695524502194312E-4</v>
      </c>
      <c r="L125" s="3">
        <v>0</v>
      </c>
      <c r="N125" s="3">
        <v>4216124678</v>
      </c>
      <c r="P125" s="3">
        <v>1290632036</v>
      </c>
      <c r="R125" s="3">
        <f t="shared" si="6"/>
        <v>5506756714</v>
      </c>
      <c r="S125" s="42">
        <f t="shared" si="7"/>
        <v>4.5626041294069585E-4</v>
      </c>
    </row>
    <row r="126" spans="1:19" x14ac:dyDescent="0.2">
      <c r="A126" s="13" t="s">
        <v>229</v>
      </c>
      <c r="C126" s="3">
        <v>0</v>
      </c>
      <c r="E126" s="3">
        <v>8810147587</v>
      </c>
      <c r="G126" s="3">
        <v>0</v>
      </c>
      <c r="I126" s="3">
        <f t="shared" si="4"/>
        <v>8810147587</v>
      </c>
      <c r="J126" s="42">
        <f t="shared" si="5"/>
        <v>3.123650226759513E-3</v>
      </c>
      <c r="L126" s="3">
        <v>0</v>
      </c>
      <c r="N126" s="3">
        <v>12068146465</v>
      </c>
      <c r="P126" s="3">
        <v>212338088</v>
      </c>
      <c r="R126" s="3">
        <f t="shared" si="6"/>
        <v>12280484553</v>
      </c>
      <c r="S126" s="42">
        <f t="shared" si="7"/>
        <v>1.0174952779407674E-3</v>
      </c>
    </row>
    <row r="127" spans="1:19" x14ac:dyDescent="0.2">
      <c r="A127" s="13" t="s">
        <v>208</v>
      </c>
      <c r="C127" s="3">
        <v>0</v>
      </c>
      <c r="E127" s="3">
        <v>49622993347</v>
      </c>
      <c r="G127" s="3">
        <v>0</v>
      </c>
      <c r="I127" s="3">
        <f t="shared" si="4"/>
        <v>49622993347</v>
      </c>
      <c r="J127" s="42">
        <f t="shared" si="5"/>
        <v>1.759390213275917E-2</v>
      </c>
      <c r="L127" s="3">
        <v>0</v>
      </c>
      <c r="N127" s="3">
        <v>121613017532</v>
      </c>
      <c r="P127" s="3">
        <v>0</v>
      </c>
      <c r="R127" s="3">
        <f t="shared" si="6"/>
        <v>121613017532</v>
      </c>
      <c r="S127" s="42">
        <f t="shared" si="7"/>
        <v>1.0076204285010004E-2</v>
      </c>
    </row>
    <row r="128" spans="1:19" x14ac:dyDescent="0.2">
      <c r="A128" s="13" t="s">
        <v>297</v>
      </c>
      <c r="C128" s="3">
        <v>0</v>
      </c>
      <c r="E128" s="3">
        <v>0</v>
      </c>
      <c r="G128" s="3">
        <v>0</v>
      </c>
      <c r="I128" s="3">
        <f t="shared" si="4"/>
        <v>0</v>
      </c>
      <c r="J128" s="42">
        <f t="shared" si="5"/>
        <v>0</v>
      </c>
      <c r="L128" s="3">
        <v>0</v>
      </c>
      <c r="N128" s="3">
        <v>0</v>
      </c>
      <c r="P128" s="3">
        <v>73019605623</v>
      </c>
      <c r="R128" s="3">
        <f t="shared" si="6"/>
        <v>73019605623</v>
      </c>
      <c r="S128" s="42">
        <f t="shared" si="7"/>
        <v>6.0500140363231487E-3</v>
      </c>
    </row>
    <row r="129" spans="1:19" x14ac:dyDescent="0.2">
      <c r="A129" s="13" t="s">
        <v>251</v>
      </c>
      <c r="C129" s="3">
        <v>0</v>
      </c>
      <c r="E129" s="3">
        <v>1122163962</v>
      </c>
      <c r="G129" s="3">
        <v>1034763146</v>
      </c>
      <c r="I129" s="3">
        <f t="shared" si="4"/>
        <v>2156927108</v>
      </c>
      <c r="J129" s="42">
        <f t="shared" si="5"/>
        <v>7.6474154189534575E-4</v>
      </c>
      <c r="L129" s="3">
        <v>0</v>
      </c>
      <c r="N129" s="3">
        <v>4781644414</v>
      </c>
      <c r="P129" s="3">
        <v>987838086</v>
      </c>
      <c r="R129" s="3">
        <f t="shared" si="6"/>
        <v>5769482500</v>
      </c>
      <c r="S129" s="42">
        <f t="shared" si="7"/>
        <v>4.780284665948143E-4</v>
      </c>
    </row>
    <row r="130" spans="1:19" x14ac:dyDescent="0.2">
      <c r="A130" s="13" t="s">
        <v>220</v>
      </c>
      <c r="C130" s="3">
        <v>0</v>
      </c>
      <c r="E130" s="3">
        <v>638029610</v>
      </c>
      <c r="G130" s="3">
        <v>0</v>
      </c>
      <c r="I130" s="3">
        <f t="shared" si="4"/>
        <v>638029610</v>
      </c>
      <c r="J130" s="42">
        <f t="shared" si="5"/>
        <v>2.2621429621639589E-4</v>
      </c>
      <c r="L130" s="3">
        <v>0</v>
      </c>
      <c r="N130" s="3">
        <v>680220223</v>
      </c>
      <c r="P130" s="3">
        <v>0</v>
      </c>
      <c r="R130" s="3">
        <f t="shared" si="6"/>
        <v>680220223</v>
      </c>
      <c r="S130" s="42">
        <f t="shared" si="7"/>
        <v>5.6359410076635579E-5</v>
      </c>
    </row>
    <row r="131" spans="1:19" x14ac:dyDescent="0.2">
      <c r="A131" s="13" t="s">
        <v>243</v>
      </c>
      <c r="C131" s="3">
        <v>0</v>
      </c>
      <c r="E131" s="3">
        <v>33991041564</v>
      </c>
      <c r="G131" s="3">
        <v>0</v>
      </c>
      <c r="I131" s="3">
        <f t="shared" si="4"/>
        <v>33991041564</v>
      </c>
      <c r="J131" s="42">
        <f t="shared" si="5"/>
        <v>1.2051571627001012E-2</v>
      </c>
      <c r="L131" s="3">
        <v>0</v>
      </c>
      <c r="N131" s="3">
        <v>48442520542</v>
      </c>
      <c r="P131" s="3">
        <v>1163268854</v>
      </c>
      <c r="R131" s="3">
        <f t="shared" si="6"/>
        <v>49605789396</v>
      </c>
      <c r="S131" s="42">
        <f t="shared" si="7"/>
        <v>4.1100704333872544E-3</v>
      </c>
    </row>
    <row r="132" spans="1:19" x14ac:dyDescent="0.2">
      <c r="A132" s="13" t="s">
        <v>245</v>
      </c>
      <c r="C132" s="3">
        <v>0</v>
      </c>
      <c r="E132" s="3">
        <v>3138674131</v>
      </c>
      <c r="G132" s="3">
        <v>0</v>
      </c>
      <c r="I132" s="3">
        <f t="shared" si="4"/>
        <v>3138674131</v>
      </c>
      <c r="J132" s="42">
        <f t="shared" si="5"/>
        <v>1.1128213306538751E-3</v>
      </c>
      <c r="L132" s="3">
        <v>0</v>
      </c>
      <c r="N132" s="3">
        <v>8556541800</v>
      </c>
      <c r="P132" s="3">
        <v>0</v>
      </c>
      <c r="R132" s="3">
        <f t="shared" si="6"/>
        <v>8556541800</v>
      </c>
      <c r="S132" s="42">
        <f t="shared" si="7"/>
        <v>7.0894929588718439E-4</v>
      </c>
    </row>
    <row r="133" spans="1:19" x14ac:dyDescent="0.2">
      <c r="A133" s="13" t="s">
        <v>213</v>
      </c>
      <c r="C133" s="3">
        <v>0</v>
      </c>
      <c r="E133" s="3">
        <v>11907907491</v>
      </c>
      <c r="G133" s="3">
        <v>0</v>
      </c>
      <c r="I133" s="3">
        <f t="shared" si="4"/>
        <v>11907907491</v>
      </c>
      <c r="J133" s="42">
        <f t="shared" si="5"/>
        <v>4.2219653606460576E-3</v>
      </c>
      <c r="L133" s="3">
        <v>0</v>
      </c>
      <c r="N133" s="3">
        <v>10991691159</v>
      </c>
      <c r="P133" s="3">
        <v>16685314540</v>
      </c>
      <c r="R133" s="3">
        <f t="shared" si="6"/>
        <v>27677005699</v>
      </c>
      <c r="S133" s="42">
        <f t="shared" si="7"/>
        <v>2.2931686844060808E-3</v>
      </c>
    </row>
    <row r="134" spans="1:19" x14ac:dyDescent="0.2">
      <c r="A134" s="13" t="s">
        <v>298</v>
      </c>
      <c r="C134" s="3">
        <v>0</v>
      </c>
      <c r="E134" s="3">
        <v>0</v>
      </c>
      <c r="G134" s="3">
        <v>0</v>
      </c>
      <c r="I134" s="3">
        <f t="shared" si="4"/>
        <v>0</v>
      </c>
      <c r="J134" s="42">
        <f t="shared" si="5"/>
        <v>0</v>
      </c>
      <c r="L134" s="3">
        <v>0</v>
      </c>
      <c r="N134" s="3">
        <v>0</v>
      </c>
      <c r="P134" s="3">
        <v>4786224539</v>
      </c>
      <c r="R134" s="3">
        <f t="shared" si="6"/>
        <v>4786224539</v>
      </c>
      <c r="S134" s="42">
        <f t="shared" si="7"/>
        <v>3.9656097009682271E-4</v>
      </c>
    </row>
    <row r="135" spans="1:19" x14ac:dyDescent="0.2">
      <c r="A135" s="13" t="s">
        <v>246</v>
      </c>
      <c r="C135" s="3">
        <v>0</v>
      </c>
      <c r="E135" s="3">
        <v>-2566854044</v>
      </c>
      <c r="G135" s="3">
        <v>8774938245</v>
      </c>
      <c r="I135" s="3">
        <f t="shared" si="4"/>
        <v>6208084201</v>
      </c>
      <c r="J135" s="42">
        <f t="shared" si="5"/>
        <v>2.2010849909949188E-3</v>
      </c>
      <c r="L135" s="3">
        <v>0</v>
      </c>
      <c r="N135" s="3">
        <v>11228814840</v>
      </c>
      <c r="P135" s="3">
        <v>38279763841</v>
      </c>
      <c r="R135" s="3">
        <f t="shared" si="6"/>
        <v>49508578681</v>
      </c>
      <c r="S135" s="42">
        <f t="shared" si="7"/>
        <v>4.1020160733943028E-3</v>
      </c>
    </row>
    <row r="136" spans="1:19" x14ac:dyDescent="0.2">
      <c r="A136" s="13" t="s">
        <v>259</v>
      </c>
      <c r="C136" s="3">
        <v>0</v>
      </c>
      <c r="E136" s="3">
        <v>24933138487</v>
      </c>
      <c r="G136" s="3">
        <v>0</v>
      </c>
      <c r="I136" s="3">
        <f t="shared" si="4"/>
        <v>24933138487</v>
      </c>
      <c r="J136" s="42">
        <f t="shared" si="5"/>
        <v>8.84007934256004E-3</v>
      </c>
      <c r="L136" s="3">
        <v>0</v>
      </c>
      <c r="N136" s="3">
        <v>50607251173</v>
      </c>
      <c r="P136" s="3">
        <v>0</v>
      </c>
      <c r="R136" s="3">
        <f t="shared" si="6"/>
        <v>50607251173</v>
      </c>
      <c r="S136" s="42">
        <f t="shared" si="7"/>
        <v>4.1930462007307946E-3</v>
      </c>
    </row>
    <row r="137" spans="1:19" x14ac:dyDescent="0.2">
      <c r="A137" s="13" t="s">
        <v>299</v>
      </c>
      <c r="C137" s="3">
        <v>0</v>
      </c>
      <c r="E137" s="3">
        <v>0</v>
      </c>
      <c r="G137" s="3">
        <v>0</v>
      </c>
      <c r="I137" s="3">
        <f t="shared" si="4"/>
        <v>0</v>
      </c>
      <c r="J137" s="42">
        <f t="shared" si="5"/>
        <v>0</v>
      </c>
      <c r="L137" s="3">
        <v>0</v>
      </c>
      <c r="N137" s="3">
        <v>0</v>
      </c>
      <c r="P137" s="3">
        <v>4963405314</v>
      </c>
      <c r="R137" s="3">
        <f t="shared" si="6"/>
        <v>4963405314</v>
      </c>
      <c r="S137" s="42">
        <f t="shared" si="7"/>
        <v>4.1124122160695914E-4</v>
      </c>
    </row>
    <row r="138" spans="1:19" x14ac:dyDescent="0.2">
      <c r="A138" s="13" t="s">
        <v>300</v>
      </c>
      <c r="C138" s="3">
        <v>0</v>
      </c>
      <c r="E138" s="3">
        <v>0</v>
      </c>
      <c r="G138" s="3">
        <v>0</v>
      </c>
      <c r="I138" s="3">
        <f t="shared" si="4"/>
        <v>0</v>
      </c>
      <c r="J138" s="42">
        <f t="shared" si="5"/>
        <v>0</v>
      </c>
      <c r="L138" s="3">
        <v>0</v>
      </c>
      <c r="N138" s="3">
        <v>0</v>
      </c>
      <c r="P138" s="3">
        <v>17608462081</v>
      </c>
      <c r="R138" s="3">
        <f t="shared" si="6"/>
        <v>17608462081</v>
      </c>
      <c r="S138" s="42">
        <f t="shared" si="7"/>
        <v>1.4589430035836597E-3</v>
      </c>
    </row>
    <row r="139" spans="1:19" x14ac:dyDescent="0.2">
      <c r="A139" s="13" t="s">
        <v>272</v>
      </c>
      <c r="C139" s="3">
        <v>0</v>
      </c>
      <c r="E139" s="3">
        <v>4239967424</v>
      </c>
      <c r="G139" s="3">
        <v>0</v>
      </c>
      <c r="I139" s="3">
        <f t="shared" si="4"/>
        <v>4239967424</v>
      </c>
      <c r="J139" s="42">
        <f t="shared" si="5"/>
        <v>1.5032864176955753E-3</v>
      </c>
      <c r="L139" s="3">
        <v>0</v>
      </c>
      <c r="N139" s="3">
        <v>12793075625</v>
      </c>
      <c r="P139" s="3">
        <v>-2106977</v>
      </c>
      <c r="R139" s="3">
        <f t="shared" si="6"/>
        <v>12790968648</v>
      </c>
      <c r="S139" s="42">
        <f t="shared" si="7"/>
        <v>1.059791260146085E-3</v>
      </c>
    </row>
    <row r="140" spans="1:19" x14ac:dyDescent="0.2">
      <c r="A140" s="13" t="s">
        <v>250</v>
      </c>
      <c r="C140" s="3">
        <v>0</v>
      </c>
      <c r="E140" s="3">
        <v>-9130248813</v>
      </c>
      <c r="G140" s="3">
        <v>8771248725</v>
      </c>
      <c r="I140" s="3">
        <f t="shared" ref="I140:I203" si="8">C140+E140+G140</f>
        <v>-359000088</v>
      </c>
      <c r="J140" s="42">
        <f t="shared" ref="J140:J203" si="9">I140/$I$210</f>
        <v>-1.2728398647289142E-4</v>
      </c>
      <c r="L140" s="3">
        <v>0</v>
      </c>
      <c r="N140" s="3">
        <v>45430704399</v>
      </c>
      <c r="P140" s="3">
        <v>10494821744</v>
      </c>
      <c r="R140" s="3">
        <f t="shared" ref="R140:R203" si="10">L140+N140+P140</f>
        <v>55925526143</v>
      </c>
      <c r="S140" s="42">
        <f t="shared" ref="S140:S203" si="11">R140/$R$210</f>
        <v>4.6336900243039974E-3</v>
      </c>
    </row>
    <row r="141" spans="1:19" x14ac:dyDescent="0.2">
      <c r="A141" s="13" t="s">
        <v>237</v>
      </c>
      <c r="C141" s="3">
        <v>0</v>
      </c>
      <c r="E141" s="3">
        <v>2436039791</v>
      </c>
      <c r="G141" s="3">
        <v>3852689519</v>
      </c>
      <c r="I141" s="3">
        <f t="shared" si="8"/>
        <v>6288729310</v>
      </c>
      <c r="J141" s="42">
        <f t="shared" si="9"/>
        <v>2.2296778278943371E-3</v>
      </c>
      <c r="L141" s="3">
        <v>0</v>
      </c>
      <c r="N141" s="3">
        <v>11745482517</v>
      </c>
      <c r="P141" s="3">
        <v>3852689519</v>
      </c>
      <c r="R141" s="3">
        <f t="shared" si="10"/>
        <v>15598172036</v>
      </c>
      <c r="S141" s="42">
        <f t="shared" si="11"/>
        <v>1.2923811208459671E-3</v>
      </c>
    </row>
    <row r="142" spans="1:19" x14ac:dyDescent="0.2">
      <c r="A142" s="13" t="s">
        <v>301</v>
      </c>
      <c r="C142" s="3">
        <v>0</v>
      </c>
      <c r="E142" s="3">
        <v>0</v>
      </c>
      <c r="G142" s="3">
        <v>0</v>
      </c>
      <c r="I142" s="3">
        <f t="shared" si="8"/>
        <v>0</v>
      </c>
      <c r="J142" s="42">
        <f t="shared" si="9"/>
        <v>0</v>
      </c>
      <c r="L142" s="3">
        <v>0</v>
      </c>
      <c r="N142" s="3">
        <v>0</v>
      </c>
      <c r="P142" s="3">
        <v>10952023615</v>
      </c>
      <c r="R142" s="3">
        <f t="shared" si="10"/>
        <v>10952023615</v>
      </c>
      <c r="S142" s="42">
        <f t="shared" si="11"/>
        <v>9.0742610880415093E-4</v>
      </c>
    </row>
    <row r="143" spans="1:19" x14ac:dyDescent="0.2">
      <c r="A143" s="13" t="s">
        <v>240</v>
      </c>
      <c r="C143" s="3">
        <v>0</v>
      </c>
      <c r="E143" s="3">
        <v>-104065090</v>
      </c>
      <c r="G143" s="3">
        <v>0</v>
      </c>
      <c r="I143" s="3">
        <f t="shared" si="8"/>
        <v>-104065090</v>
      </c>
      <c r="J143" s="42">
        <f t="shared" si="9"/>
        <v>-3.6896424125278287E-5</v>
      </c>
      <c r="L143" s="3">
        <v>0</v>
      </c>
      <c r="N143" s="3">
        <v>875115694</v>
      </c>
      <c r="P143" s="3">
        <v>0</v>
      </c>
      <c r="R143" s="3">
        <f t="shared" si="10"/>
        <v>875115694</v>
      </c>
      <c r="S143" s="42">
        <f t="shared" si="11"/>
        <v>7.2507406564778861E-5</v>
      </c>
    </row>
    <row r="144" spans="1:19" x14ac:dyDescent="0.2">
      <c r="A144" s="13" t="s">
        <v>302</v>
      </c>
      <c r="C144" s="3">
        <v>0</v>
      </c>
      <c r="E144" s="3">
        <v>0</v>
      </c>
      <c r="G144" s="3">
        <v>0</v>
      </c>
      <c r="I144" s="3">
        <f t="shared" si="8"/>
        <v>0</v>
      </c>
      <c r="J144" s="42">
        <f t="shared" si="9"/>
        <v>0</v>
      </c>
      <c r="L144" s="3">
        <v>0</v>
      </c>
      <c r="N144" s="3">
        <v>0</v>
      </c>
      <c r="P144" s="3">
        <v>1003492084</v>
      </c>
      <c r="R144" s="3">
        <f t="shared" si="10"/>
        <v>1003492084</v>
      </c>
      <c r="S144" s="42">
        <f t="shared" si="11"/>
        <v>8.3143987724125092E-5</v>
      </c>
    </row>
    <row r="145" spans="1:19" x14ac:dyDescent="0.2">
      <c r="A145" s="13" t="s">
        <v>234</v>
      </c>
      <c r="C145" s="3">
        <v>0</v>
      </c>
      <c r="E145" s="3">
        <v>5124226097</v>
      </c>
      <c r="G145" s="3">
        <v>0</v>
      </c>
      <c r="I145" s="3">
        <f t="shared" si="8"/>
        <v>5124226097</v>
      </c>
      <c r="J145" s="42">
        <f t="shared" si="9"/>
        <v>1.8168015747522192E-3</v>
      </c>
      <c r="L145" s="3">
        <v>0</v>
      </c>
      <c r="N145" s="3">
        <v>49174618795</v>
      </c>
      <c r="P145" s="3">
        <v>0</v>
      </c>
      <c r="R145" s="3">
        <f t="shared" si="10"/>
        <v>49174618795</v>
      </c>
      <c r="S145" s="42">
        <f t="shared" si="11"/>
        <v>4.0743459431514667E-3</v>
      </c>
    </row>
    <row r="146" spans="1:19" x14ac:dyDescent="0.2">
      <c r="A146" s="13" t="s">
        <v>269</v>
      </c>
      <c r="C146" s="3">
        <v>0</v>
      </c>
      <c r="E146" s="3">
        <v>17400385755</v>
      </c>
      <c r="G146" s="3">
        <v>0</v>
      </c>
      <c r="I146" s="3">
        <f t="shared" si="8"/>
        <v>17400385755</v>
      </c>
      <c r="J146" s="42">
        <f t="shared" si="9"/>
        <v>6.1693312595024006E-3</v>
      </c>
      <c r="L146" s="3">
        <v>0</v>
      </c>
      <c r="N146" s="3">
        <v>70560796582</v>
      </c>
      <c r="P146" s="3">
        <v>0</v>
      </c>
      <c r="R146" s="3">
        <f t="shared" si="10"/>
        <v>70560796582</v>
      </c>
      <c r="S146" s="42">
        <f t="shared" si="11"/>
        <v>5.8462902681136603E-3</v>
      </c>
    </row>
    <row r="147" spans="1:19" x14ac:dyDescent="0.2">
      <c r="A147" s="13" t="s">
        <v>254</v>
      </c>
      <c r="C147" s="3">
        <v>0</v>
      </c>
      <c r="E147" s="3">
        <v>24027499314</v>
      </c>
      <c r="G147" s="3">
        <v>0</v>
      </c>
      <c r="I147" s="3">
        <f t="shared" si="8"/>
        <v>24027499314</v>
      </c>
      <c r="J147" s="42">
        <f t="shared" si="9"/>
        <v>8.5189836991365411E-3</v>
      </c>
      <c r="L147" s="3">
        <v>0</v>
      </c>
      <c r="N147" s="3">
        <v>59450884937</v>
      </c>
      <c r="P147" s="3">
        <v>0</v>
      </c>
      <c r="R147" s="3">
        <f t="shared" si="10"/>
        <v>59450884937</v>
      </c>
      <c r="S147" s="42">
        <f t="shared" si="11"/>
        <v>4.9257824014786169E-3</v>
      </c>
    </row>
    <row r="148" spans="1:19" x14ac:dyDescent="0.2">
      <c r="A148" s="13" t="s">
        <v>303</v>
      </c>
      <c r="C148" s="3">
        <v>0</v>
      </c>
      <c r="E148" s="3">
        <v>0</v>
      </c>
      <c r="G148" s="3">
        <v>0</v>
      </c>
      <c r="I148" s="3">
        <f t="shared" si="8"/>
        <v>0</v>
      </c>
      <c r="J148" s="42">
        <f t="shared" si="9"/>
        <v>0</v>
      </c>
      <c r="L148" s="3">
        <v>0</v>
      </c>
      <c r="N148" s="3">
        <v>0</v>
      </c>
      <c r="P148" s="3">
        <v>4752568203</v>
      </c>
      <c r="R148" s="3">
        <f t="shared" si="10"/>
        <v>4752568203</v>
      </c>
      <c r="S148" s="42">
        <f t="shared" si="11"/>
        <v>3.9377238607923019E-4</v>
      </c>
    </row>
    <row r="149" spans="1:19" x14ac:dyDescent="0.2">
      <c r="A149" s="13" t="s">
        <v>248</v>
      </c>
      <c r="C149" s="3">
        <v>0</v>
      </c>
      <c r="E149" s="3">
        <v>7243450719</v>
      </c>
      <c r="G149" s="3">
        <v>0</v>
      </c>
      <c r="I149" s="3">
        <f t="shared" si="8"/>
        <v>7243450719</v>
      </c>
      <c r="J149" s="42">
        <f t="shared" si="9"/>
        <v>2.5681756471721304E-3</v>
      </c>
      <c r="L149" s="3">
        <v>0</v>
      </c>
      <c r="N149" s="3">
        <v>10244332315</v>
      </c>
      <c r="P149" s="3">
        <v>-397427201</v>
      </c>
      <c r="R149" s="3">
        <f t="shared" si="10"/>
        <v>9846905114</v>
      </c>
      <c r="S149" s="42">
        <f t="shared" si="11"/>
        <v>8.158618996331222E-4</v>
      </c>
    </row>
    <row r="150" spans="1:19" x14ac:dyDescent="0.2">
      <c r="A150" s="13" t="s">
        <v>230</v>
      </c>
      <c r="C150" s="3">
        <v>0</v>
      </c>
      <c r="E150" s="3">
        <v>-25910718862</v>
      </c>
      <c r="G150" s="3">
        <v>6602250619</v>
      </c>
      <c r="I150" s="3">
        <f t="shared" si="8"/>
        <v>-19308468243</v>
      </c>
      <c r="J150" s="42">
        <f t="shared" si="9"/>
        <v>-6.8458445911418987E-3</v>
      </c>
      <c r="L150" s="3">
        <v>0</v>
      </c>
      <c r="N150" s="3">
        <v>55961051197</v>
      </c>
      <c r="P150" s="3">
        <v>26720522409</v>
      </c>
      <c r="R150" s="3">
        <f t="shared" si="10"/>
        <v>82681573606</v>
      </c>
      <c r="S150" s="42">
        <f t="shared" si="11"/>
        <v>6.8505530342664964E-3</v>
      </c>
    </row>
    <row r="151" spans="1:19" x14ac:dyDescent="0.2">
      <c r="A151" s="13" t="s">
        <v>228</v>
      </c>
      <c r="C151" s="3">
        <v>0</v>
      </c>
      <c r="E151" s="3">
        <v>-1731298062</v>
      </c>
      <c r="G151" s="3">
        <v>0</v>
      </c>
      <c r="I151" s="3">
        <f t="shared" si="8"/>
        <v>-1731298062</v>
      </c>
      <c r="J151" s="42">
        <f t="shared" si="9"/>
        <v>-6.1383416458703254E-4</v>
      </c>
      <c r="L151" s="3">
        <v>0</v>
      </c>
      <c r="N151" s="3">
        <v>55116107430</v>
      </c>
      <c r="P151" s="3">
        <v>924076035</v>
      </c>
      <c r="R151" s="3">
        <f t="shared" si="10"/>
        <v>56040183465</v>
      </c>
      <c r="S151" s="42">
        <f t="shared" si="11"/>
        <v>4.6431899168540708E-3</v>
      </c>
    </row>
    <row r="152" spans="1:19" x14ac:dyDescent="0.2">
      <c r="A152" s="13" t="s">
        <v>226</v>
      </c>
      <c r="C152" s="3">
        <v>0</v>
      </c>
      <c r="E152" s="3">
        <v>10722040</v>
      </c>
      <c r="G152" s="3">
        <v>489847492</v>
      </c>
      <c r="I152" s="3">
        <f t="shared" si="8"/>
        <v>500569532</v>
      </c>
      <c r="J152" s="42">
        <f t="shared" si="9"/>
        <v>1.7747763209414476E-4</v>
      </c>
      <c r="L152" s="3">
        <v>0</v>
      </c>
      <c r="N152" s="3">
        <v>1205644188</v>
      </c>
      <c r="P152" s="3">
        <v>383229178</v>
      </c>
      <c r="R152" s="3">
        <f t="shared" si="10"/>
        <v>1588873366</v>
      </c>
      <c r="S152" s="42">
        <f t="shared" si="11"/>
        <v>1.3164555031795679E-4</v>
      </c>
    </row>
    <row r="153" spans="1:19" x14ac:dyDescent="0.2">
      <c r="A153" s="13" t="s">
        <v>219</v>
      </c>
      <c r="C153" s="3">
        <v>0</v>
      </c>
      <c r="E153" s="3">
        <v>26543728390</v>
      </c>
      <c r="G153" s="3">
        <v>0</v>
      </c>
      <c r="I153" s="3">
        <f t="shared" si="8"/>
        <v>26543728390</v>
      </c>
      <c r="J153" s="42">
        <f t="shared" si="9"/>
        <v>9.4111162594836591E-3</v>
      </c>
      <c r="L153" s="3">
        <v>0</v>
      </c>
      <c r="N153" s="3">
        <v>121902617743</v>
      </c>
      <c r="P153" s="3">
        <v>10898461791</v>
      </c>
      <c r="R153" s="3">
        <f t="shared" si="10"/>
        <v>132801079534</v>
      </c>
      <c r="S153" s="42">
        <f t="shared" si="11"/>
        <v>1.1003187272302845E-2</v>
      </c>
    </row>
    <row r="154" spans="1:19" x14ac:dyDescent="0.2">
      <c r="A154" s="13" t="s">
        <v>304</v>
      </c>
      <c r="C154" s="3">
        <v>0</v>
      </c>
      <c r="E154" s="3">
        <v>0</v>
      </c>
      <c r="G154" s="3">
        <v>0</v>
      </c>
      <c r="I154" s="3">
        <f t="shared" si="8"/>
        <v>0</v>
      </c>
      <c r="J154" s="42">
        <f t="shared" si="9"/>
        <v>0</v>
      </c>
      <c r="L154" s="3">
        <v>0</v>
      </c>
      <c r="N154" s="3">
        <v>0</v>
      </c>
      <c r="P154" s="3">
        <v>844541486</v>
      </c>
      <c r="R154" s="3">
        <f t="shared" si="10"/>
        <v>844541486</v>
      </c>
      <c r="S154" s="42">
        <f t="shared" si="11"/>
        <v>6.9974191191027235E-5</v>
      </c>
    </row>
    <row r="155" spans="1:19" x14ac:dyDescent="0.2">
      <c r="A155" s="13" t="s">
        <v>239</v>
      </c>
      <c r="C155" s="3">
        <v>0</v>
      </c>
      <c r="E155" s="3">
        <v>1646204607</v>
      </c>
      <c r="G155" s="3">
        <v>0</v>
      </c>
      <c r="I155" s="3">
        <f t="shared" si="8"/>
        <v>1646204607</v>
      </c>
      <c r="J155" s="42">
        <f t="shared" si="9"/>
        <v>5.8366416035251654E-4</v>
      </c>
      <c r="L155" s="3">
        <v>0</v>
      </c>
      <c r="N155" s="3">
        <v>9702442081</v>
      </c>
      <c r="P155" s="3">
        <v>0</v>
      </c>
      <c r="R155" s="3">
        <f t="shared" si="10"/>
        <v>9702442081</v>
      </c>
      <c r="S155" s="42">
        <f t="shared" si="11"/>
        <v>8.0389246526104015E-4</v>
      </c>
    </row>
    <row r="156" spans="1:19" x14ac:dyDescent="0.2">
      <c r="A156" s="13" t="s">
        <v>281</v>
      </c>
      <c r="C156" s="3">
        <v>0</v>
      </c>
      <c r="E156" s="3">
        <v>11370355363</v>
      </c>
      <c r="G156" s="3">
        <v>0</v>
      </c>
      <c r="I156" s="3">
        <f t="shared" si="8"/>
        <v>11370355363</v>
      </c>
      <c r="J156" s="42">
        <f t="shared" si="9"/>
        <v>4.0313754970891834E-3</v>
      </c>
      <c r="L156" s="3">
        <v>0</v>
      </c>
      <c r="N156" s="3">
        <v>32367542544</v>
      </c>
      <c r="P156" s="3">
        <v>0</v>
      </c>
      <c r="R156" s="3">
        <f t="shared" si="10"/>
        <v>32367542544</v>
      </c>
      <c r="S156" s="42">
        <f t="shared" si="11"/>
        <v>2.6818014838853803E-3</v>
      </c>
    </row>
    <row r="157" spans="1:19" x14ac:dyDescent="0.2">
      <c r="A157" s="13" t="s">
        <v>235</v>
      </c>
      <c r="C157" s="3">
        <v>0</v>
      </c>
      <c r="E157" s="3">
        <v>7563743785</v>
      </c>
      <c r="G157" s="3">
        <v>0</v>
      </c>
      <c r="I157" s="3">
        <f t="shared" si="8"/>
        <v>7563743785</v>
      </c>
      <c r="J157" s="42">
        <f t="shared" si="9"/>
        <v>2.681736004516959E-3</v>
      </c>
      <c r="L157" s="3">
        <v>0</v>
      </c>
      <c r="N157" s="3">
        <v>-564797946</v>
      </c>
      <c r="P157" s="3">
        <v>-2545244152</v>
      </c>
      <c r="R157" s="3">
        <f t="shared" si="10"/>
        <v>-3110042098</v>
      </c>
      <c r="S157" s="42">
        <f t="shared" si="11"/>
        <v>-2.5768145672549645E-4</v>
      </c>
    </row>
    <row r="158" spans="1:19" x14ac:dyDescent="0.2">
      <c r="A158" s="13" t="s">
        <v>305</v>
      </c>
      <c r="C158" s="3">
        <v>0</v>
      </c>
      <c r="E158" s="3">
        <v>0</v>
      </c>
      <c r="G158" s="3">
        <v>0</v>
      </c>
      <c r="I158" s="3">
        <f t="shared" si="8"/>
        <v>0</v>
      </c>
      <c r="J158" s="42">
        <f t="shared" si="9"/>
        <v>0</v>
      </c>
      <c r="L158" s="3">
        <v>0</v>
      </c>
      <c r="N158" s="3">
        <v>0</v>
      </c>
      <c r="P158" s="3">
        <v>1449798003</v>
      </c>
      <c r="R158" s="3">
        <f t="shared" si="10"/>
        <v>1449798003</v>
      </c>
      <c r="S158" s="42">
        <f t="shared" si="11"/>
        <v>1.2012250947053119E-4</v>
      </c>
    </row>
    <row r="159" spans="1:19" x14ac:dyDescent="0.2">
      <c r="A159" s="13" t="s">
        <v>261</v>
      </c>
      <c r="C159" s="3">
        <v>0</v>
      </c>
      <c r="E159" s="3">
        <v>3611862789</v>
      </c>
      <c r="G159" s="3">
        <v>2560056651</v>
      </c>
      <c r="I159" s="3">
        <f t="shared" si="8"/>
        <v>6171919440</v>
      </c>
      <c r="J159" s="42">
        <f t="shared" si="9"/>
        <v>2.1882627240824956E-3</v>
      </c>
      <c r="L159" s="3">
        <v>0</v>
      </c>
      <c r="N159" s="3">
        <v>12919355450</v>
      </c>
      <c r="P159" s="3">
        <v>6422316594</v>
      </c>
      <c r="R159" s="3">
        <f t="shared" si="10"/>
        <v>19341672044</v>
      </c>
      <c r="S159" s="42">
        <f t="shared" si="11"/>
        <v>1.6025475124628781E-3</v>
      </c>
    </row>
    <row r="160" spans="1:19" x14ac:dyDescent="0.2">
      <c r="A160" s="13" t="s">
        <v>231</v>
      </c>
      <c r="C160" s="3">
        <v>0</v>
      </c>
      <c r="E160" s="3">
        <v>3174912585</v>
      </c>
      <c r="G160" s="3">
        <v>0</v>
      </c>
      <c r="I160" s="3">
        <f t="shared" si="8"/>
        <v>3174912585</v>
      </c>
      <c r="J160" s="42">
        <f t="shared" si="9"/>
        <v>1.1256697255231669E-3</v>
      </c>
      <c r="L160" s="3">
        <v>0</v>
      </c>
      <c r="N160" s="3">
        <v>1057122195</v>
      </c>
      <c r="P160" s="3">
        <v>28104914777</v>
      </c>
      <c r="R160" s="3">
        <f t="shared" si="10"/>
        <v>29162036972</v>
      </c>
      <c r="S160" s="42">
        <f t="shared" si="11"/>
        <v>2.4162104342125039E-3</v>
      </c>
    </row>
    <row r="161" spans="1:19" x14ac:dyDescent="0.2">
      <c r="A161" s="13" t="s">
        <v>238</v>
      </c>
      <c r="C161" s="3">
        <v>0</v>
      </c>
      <c r="E161" s="3">
        <v>-498813632</v>
      </c>
      <c r="G161" s="3">
        <v>0</v>
      </c>
      <c r="I161" s="3">
        <f t="shared" si="8"/>
        <v>-498813632</v>
      </c>
      <c r="J161" s="42">
        <f t="shared" si="9"/>
        <v>-1.7685507527781397E-4</v>
      </c>
      <c r="L161" s="3">
        <v>0</v>
      </c>
      <c r="N161" s="3">
        <v>45780006733</v>
      </c>
      <c r="P161" s="3">
        <v>10180087323</v>
      </c>
      <c r="R161" s="3">
        <f t="shared" si="10"/>
        <v>55960094056</v>
      </c>
      <c r="S161" s="42">
        <f t="shared" si="11"/>
        <v>4.6365541367169869E-3</v>
      </c>
    </row>
    <row r="162" spans="1:19" x14ac:dyDescent="0.2">
      <c r="A162" s="13" t="s">
        <v>271</v>
      </c>
      <c r="C162" s="3">
        <v>0</v>
      </c>
      <c r="E162" s="3">
        <v>10043035838</v>
      </c>
      <c r="G162" s="3">
        <v>0</v>
      </c>
      <c r="I162" s="3">
        <f t="shared" si="8"/>
        <v>10043035838</v>
      </c>
      <c r="J162" s="42">
        <f t="shared" si="9"/>
        <v>3.5607724913726368E-3</v>
      </c>
      <c r="L162" s="3">
        <v>0</v>
      </c>
      <c r="N162" s="3">
        <v>104221714941</v>
      </c>
      <c r="P162" s="3">
        <v>0</v>
      </c>
      <c r="R162" s="3">
        <f t="shared" si="10"/>
        <v>104221714941</v>
      </c>
      <c r="S162" s="42">
        <f t="shared" si="11"/>
        <v>8.6352539554679433E-3</v>
      </c>
    </row>
    <row r="163" spans="1:19" x14ac:dyDescent="0.2">
      <c r="A163" s="13" t="s">
        <v>306</v>
      </c>
      <c r="C163" s="3">
        <v>0</v>
      </c>
      <c r="E163" s="3">
        <v>0</v>
      </c>
      <c r="G163" s="3">
        <v>0</v>
      </c>
      <c r="I163" s="3">
        <f t="shared" si="8"/>
        <v>0</v>
      </c>
      <c r="J163" s="42">
        <f t="shared" si="9"/>
        <v>0</v>
      </c>
      <c r="L163" s="3">
        <v>0</v>
      </c>
      <c r="N163" s="3">
        <v>0</v>
      </c>
      <c r="P163" s="3">
        <v>4006786347</v>
      </c>
      <c r="R163" s="3">
        <f t="shared" si="10"/>
        <v>4006786347</v>
      </c>
      <c r="S163" s="42">
        <f t="shared" si="11"/>
        <v>3.3198088969495053E-4</v>
      </c>
    </row>
    <row r="164" spans="1:19" x14ac:dyDescent="0.2">
      <c r="A164" s="13" t="s">
        <v>236</v>
      </c>
      <c r="C164" s="3">
        <v>0</v>
      </c>
      <c r="E164" s="3">
        <v>24771933308</v>
      </c>
      <c r="G164" s="3">
        <v>16033016953</v>
      </c>
      <c r="I164" s="3">
        <f t="shared" si="8"/>
        <v>40804950261</v>
      </c>
      <c r="J164" s="42">
        <f t="shared" si="9"/>
        <v>1.4467452545716734E-2</v>
      </c>
      <c r="L164" s="3">
        <v>0</v>
      </c>
      <c r="N164" s="3">
        <v>71911733663</v>
      </c>
      <c r="P164" s="3">
        <v>18090465134</v>
      </c>
      <c r="R164" s="3">
        <f t="shared" si="10"/>
        <v>90002198797</v>
      </c>
      <c r="S164" s="42">
        <f t="shared" si="11"/>
        <v>7.4571008892204025E-3</v>
      </c>
    </row>
    <row r="165" spans="1:19" x14ac:dyDescent="0.2">
      <c r="A165" s="13" t="s">
        <v>307</v>
      </c>
      <c r="C165" s="3">
        <v>0</v>
      </c>
      <c r="E165" s="3">
        <v>0</v>
      </c>
      <c r="G165" s="3">
        <v>0</v>
      </c>
      <c r="I165" s="3">
        <f t="shared" si="8"/>
        <v>0</v>
      </c>
      <c r="J165" s="42">
        <f t="shared" si="9"/>
        <v>0</v>
      </c>
      <c r="L165" s="3">
        <v>0</v>
      </c>
      <c r="N165" s="3">
        <v>0</v>
      </c>
      <c r="P165" s="3">
        <v>13234375</v>
      </c>
      <c r="R165" s="3">
        <f t="shared" si="10"/>
        <v>13234375</v>
      </c>
      <c r="S165" s="42">
        <f t="shared" si="11"/>
        <v>1.0965295392768321E-6</v>
      </c>
    </row>
    <row r="166" spans="1:19" x14ac:dyDescent="0.2">
      <c r="A166" s="13" t="s">
        <v>266</v>
      </c>
      <c r="C166" s="3">
        <v>0</v>
      </c>
      <c r="E166" s="3">
        <v>6480005502</v>
      </c>
      <c r="G166" s="3">
        <v>0</v>
      </c>
      <c r="I166" s="3">
        <f t="shared" si="8"/>
        <v>6480005502</v>
      </c>
      <c r="J166" s="42">
        <f t="shared" si="9"/>
        <v>2.2974950709784506E-3</v>
      </c>
      <c r="L166" s="3">
        <v>0</v>
      </c>
      <c r="N166" s="3">
        <v>-1251186762</v>
      </c>
      <c r="P166" s="3">
        <v>0</v>
      </c>
      <c r="R166" s="3">
        <f t="shared" si="10"/>
        <v>-1251186762</v>
      </c>
      <c r="S166" s="42">
        <f t="shared" si="11"/>
        <v>-1.0366664415094262E-4</v>
      </c>
    </row>
    <row r="167" spans="1:19" x14ac:dyDescent="0.2">
      <c r="A167" s="13" t="s">
        <v>257</v>
      </c>
      <c r="C167" s="3">
        <v>0</v>
      </c>
      <c r="E167" s="3">
        <v>-2721679527</v>
      </c>
      <c r="G167" s="3">
        <v>2607230363</v>
      </c>
      <c r="I167" s="3">
        <f t="shared" si="8"/>
        <v>-114449164</v>
      </c>
      <c r="J167" s="42">
        <f t="shared" si="9"/>
        <v>-4.0578112176980118E-5</v>
      </c>
      <c r="L167" s="3">
        <v>0</v>
      </c>
      <c r="N167" s="3">
        <v>2038657350</v>
      </c>
      <c r="P167" s="3">
        <v>3378761420</v>
      </c>
      <c r="R167" s="3">
        <f t="shared" si="10"/>
        <v>5417418770</v>
      </c>
      <c r="S167" s="42">
        <f t="shared" si="11"/>
        <v>4.4885834865173173E-4</v>
      </c>
    </row>
    <row r="168" spans="1:19" x14ac:dyDescent="0.2">
      <c r="A168" s="13" t="s">
        <v>215</v>
      </c>
      <c r="C168" s="3">
        <v>0</v>
      </c>
      <c r="E168" s="3">
        <v>32478852243</v>
      </c>
      <c r="G168" s="3">
        <v>30543777181</v>
      </c>
      <c r="I168" s="3">
        <f t="shared" si="8"/>
        <v>63022629424</v>
      </c>
      <c r="J168" s="42">
        <f t="shared" si="9"/>
        <v>2.2344761963095858E-2</v>
      </c>
      <c r="L168" s="3">
        <v>0</v>
      </c>
      <c r="N168" s="3">
        <v>268771213545</v>
      </c>
      <c r="P168" s="3">
        <v>30543777181</v>
      </c>
      <c r="R168" s="3">
        <f t="shared" si="10"/>
        <v>299314990726</v>
      </c>
      <c r="S168" s="42">
        <f t="shared" si="11"/>
        <v>2.4799639490299317E-2</v>
      </c>
    </row>
    <row r="169" spans="1:19" x14ac:dyDescent="0.2">
      <c r="A169" s="13" t="s">
        <v>218</v>
      </c>
      <c r="C169" s="3">
        <v>0</v>
      </c>
      <c r="E169" s="3">
        <v>-468262785</v>
      </c>
      <c r="G169" s="3">
        <v>0</v>
      </c>
      <c r="I169" s="3">
        <f t="shared" si="8"/>
        <v>-468262785</v>
      </c>
      <c r="J169" s="42">
        <f t="shared" si="9"/>
        <v>-1.6602322947536011E-4</v>
      </c>
      <c r="L169" s="3">
        <v>0</v>
      </c>
      <c r="N169" s="3">
        <v>-284003134</v>
      </c>
      <c r="P169" s="3">
        <v>0</v>
      </c>
      <c r="R169" s="3">
        <f t="shared" si="10"/>
        <v>-284003134</v>
      </c>
      <c r="S169" s="42">
        <f t="shared" si="11"/>
        <v>-2.3530980924916848E-5</v>
      </c>
    </row>
    <row r="170" spans="1:19" x14ac:dyDescent="0.2">
      <c r="A170" s="13" t="s">
        <v>308</v>
      </c>
      <c r="C170" s="3">
        <v>0</v>
      </c>
      <c r="E170" s="3">
        <v>0</v>
      </c>
      <c r="G170" s="3">
        <v>0</v>
      </c>
      <c r="I170" s="3">
        <f t="shared" si="8"/>
        <v>0</v>
      </c>
      <c r="J170" s="42">
        <f t="shared" si="9"/>
        <v>0</v>
      </c>
      <c r="L170" s="3">
        <v>0</v>
      </c>
      <c r="N170" s="3">
        <v>0</v>
      </c>
      <c r="P170" s="3">
        <v>4816499474</v>
      </c>
      <c r="R170" s="3">
        <f t="shared" si="10"/>
        <v>4816499474</v>
      </c>
      <c r="S170" s="42">
        <f t="shared" si="11"/>
        <v>3.9906938931021102E-4</v>
      </c>
    </row>
    <row r="171" spans="1:19" x14ac:dyDescent="0.2">
      <c r="A171" s="13" t="s">
        <v>270</v>
      </c>
      <c r="C171" s="3">
        <v>0</v>
      </c>
      <c r="E171" s="3">
        <v>14000353083</v>
      </c>
      <c r="G171" s="3">
        <v>0</v>
      </c>
      <c r="I171" s="3">
        <f t="shared" si="8"/>
        <v>14000353083</v>
      </c>
      <c r="J171" s="42">
        <f t="shared" si="9"/>
        <v>4.9638448902894856E-3</v>
      </c>
      <c r="L171" s="3">
        <v>0</v>
      </c>
      <c r="N171" s="3">
        <v>36730500933</v>
      </c>
      <c r="P171" s="3">
        <v>1235577812</v>
      </c>
      <c r="R171" s="3">
        <f t="shared" si="10"/>
        <v>37966078745</v>
      </c>
      <c r="S171" s="42">
        <f t="shared" si="11"/>
        <v>3.1456662543114257E-3</v>
      </c>
    </row>
    <row r="172" spans="1:19" x14ac:dyDescent="0.2">
      <c r="A172" s="13" t="s">
        <v>283</v>
      </c>
      <c r="C172" s="3">
        <v>0</v>
      </c>
      <c r="E172" s="3">
        <v>1177397815</v>
      </c>
      <c r="G172" s="3">
        <v>0</v>
      </c>
      <c r="I172" s="3">
        <f t="shared" si="8"/>
        <v>1177397815</v>
      </c>
      <c r="J172" s="42">
        <f t="shared" si="9"/>
        <v>4.1744805242964711E-4</v>
      </c>
      <c r="L172" s="3">
        <v>0</v>
      </c>
      <c r="N172" s="3">
        <v>2256514758</v>
      </c>
      <c r="P172" s="3">
        <v>0</v>
      </c>
      <c r="R172" s="3">
        <f t="shared" si="10"/>
        <v>2256514758</v>
      </c>
      <c r="S172" s="42">
        <f t="shared" si="11"/>
        <v>1.8696274572551497E-4</v>
      </c>
    </row>
    <row r="173" spans="1:19" x14ac:dyDescent="0.2">
      <c r="A173" s="13" t="s">
        <v>273</v>
      </c>
      <c r="C173" s="3">
        <v>0</v>
      </c>
      <c r="E173" s="3">
        <v>4043244770</v>
      </c>
      <c r="G173" s="3">
        <v>0</v>
      </c>
      <c r="I173" s="3">
        <f t="shared" si="8"/>
        <v>4043244770</v>
      </c>
      <c r="J173" s="42">
        <f t="shared" si="9"/>
        <v>1.4335381238437719E-3</v>
      </c>
      <c r="L173" s="3">
        <v>0</v>
      </c>
      <c r="N173" s="3">
        <v>5423114990</v>
      </c>
      <c r="P173" s="3">
        <v>0</v>
      </c>
      <c r="R173" s="3">
        <f t="shared" si="10"/>
        <v>5423114990</v>
      </c>
      <c r="S173" s="42">
        <f t="shared" si="11"/>
        <v>4.493303069793611E-4</v>
      </c>
    </row>
    <row r="174" spans="1:19" x14ac:dyDescent="0.2">
      <c r="A174" s="13" t="s">
        <v>207</v>
      </c>
      <c r="C174" s="3">
        <v>0</v>
      </c>
      <c r="E174" s="3">
        <v>-7373507123</v>
      </c>
      <c r="G174" s="3">
        <v>0</v>
      </c>
      <c r="I174" s="3">
        <f t="shared" si="8"/>
        <v>-7373507123</v>
      </c>
      <c r="J174" s="42">
        <f t="shared" si="9"/>
        <v>-2.6142873282574254E-3</v>
      </c>
      <c r="L174" s="3">
        <v>0</v>
      </c>
      <c r="N174" s="3">
        <v>69649736867</v>
      </c>
      <c r="P174" s="3">
        <v>0</v>
      </c>
      <c r="R174" s="3">
        <f t="shared" si="10"/>
        <v>69649736867</v>
      </c>
      <c r="S174" s="42">
        <f t="shared" si="11"/>
        <v>5.7708047321860002E-3</v>
      </c>
    </row>
    <row r="175" spans="1:19" x14ac:dyDescent="0.2">
      <c r="A175" s="13" t="s">
        <v>225</v>
      </c>
      <c r="C175" s="3">
        <v>0</v>
      </c>
      <c r="E175" s="3">
        <v>27831127479</v>
      </c>
      <c r="G175" s="3">
        <v>0</v>
      </c>
      <c r="I175" s="3">
        <f t="shared" si="8"/>
        <v>27831127479</v>
      </c>
      <c r="J175" s="42">
        <f t="shared" si="9"/>
        <v>9.8675654184306304E-3</v>
      </c>
      <c r="L175" s="3">
        <v>0</v>
      </c>
      <c r="N175" s="3">
        <v>126426877538</v>
      </c>
      <c r="P175" s="3">
        <v>0</v>
      </c>
      <c r="R175" s="3">
        <f t="shared" si="10"/>
        <v>126426877538</v>
      </c>
      <c r="S175" s="42">
        <f t="shared" si="11"/>
        <v>1.0475054982116769E-2</v>
      </c>
    </row>
    <row r="176" spans="1:19" x14ac:dyDescent="0.2">
      <c r="A176" s="13" t="s">
        <v>216</v>
      </c>
      <c r="C176" s="3">
        <v>0</v>
      </c>
      <c r="E176" s="3">
        <v>-553036286</v>
      </c>
      <c r="G176" s="3">
        <v>0</v>
      </c>
      <c r="I176" s="3">
        <f t="shared" si="8"/>
        <v>-553036286</v>
      </c>
      <c r="J176" s="42">
        <f t="shared" si="9"/>
        <v>-1.9607979356885873E-4</v>
      </c>
      <c r="L176" s="3">
        <v>0</v>
      </c>
      <c r="N176" s="3">
        <v>71807810622</v>
      </c>
      <c r="P176" s="3">
        <v>0</v>
      </c>
      <c r="R176" s="3">
        <f t="shared" si="10"/>
        <v>71807810622</v>
      </c>
      <c r="S176" s="42">
        <f t="shared" si="11"/>
        <v>5.9496111828340721E-3</v>
      </c>
    </row>
    <row r="177" spans="1:19" x14ac:dyDescent="0.2">
      <c r="A177" s="13" t="s">
        <v>244</v>
      </c>
      <c r="C177" s="3">
        <v>0</v>
      </c>
      <c r="E177" s="3">
        <v>2070676789</v>
      </c>
      <c r="G177" s="3">
        <v>0</v>
      </c>
      <c r="I177" s="3">
        <f t="shared" si="8"/>
        <v>2070676789</v>
      </c>
      <c r="J177" s="42">
        <f t="shared" si="9"/>
        <v>7.3416136990140865E-4</v>
      </c>
      <c r="L177" s="3">
        <v>0</v>
      </c>
      <c r="N177" s="3">
        <v>2026380352</v>
      </c>
      <c r="P177" s="3">
        <v>0</v>
      </c>
      <c r="R177" s="3">
        <f t="shared" si="10"/>
        <v>2026380352</v>
      </c>
      <c r="S177" s="42">
        <f t="shared" si="11"/>
        <v>1.6789503952987464E-4</v>
      </c>
    </row>
    <row r="178" spans="1:19" x14ac:dyDescent="0.2">
      <c r="A178" s="13" t="s">
        <v>223</v>
      </c>
      <c r="C178" s="3">
        <v>0</v>
      </c>
      <c r="E178" s="3">
        <v>14744612796</v>
      </c>
      <c r="G178" s="3">
        <v>0</v>
      </c>
      <c r="I178" s="3">
        <f t="shared" si="8"/>
        <v>14744612796</v>
      </c>
      <c r="J178" s="42">
        <f t="shared" si="9"/>
        <v>5.2277232190374445E-3</v>
      </c>
      <c r="L178" s="3">
        <v>0</v>
      </c>
      <c r="N178" s="3">
        <v>85214640115</v>
      </c>
      <c r="P178" s="3">
        <v>0</v>
      </c>
      <c r="R178" s="3">
        <f t="shared" si="10"/>
        <v>85214640115</v>
      </c>
      <c r="S178" s="42">
        <f t="shared" si="11"/>
        <v>7.0604293791691718E-3</v>
      </c>
    </row>
    <row r="179" spans="1:19" x14ac:dyDescent="0.2">
      <c r="A179" s="13" t="s">
        <v>242</v>
      </c>
      <c r="C179" s="3">
        <v>0</v>
      </c>
      <c r="E179" s="3">
        <v>15863376433</v>
      </c>
      <c r="G179" s="3">
        <v>0</v>
      </c>
      <c r="I179" s="3">
        <f t="shared" si="8"/>
        <v>15863376433</v>
      </c>
      <c r="J179" s="42">
        <f t="shared" si="9"/>
        <v>5.624382441132874E-3</v>
      </c>
      <c r="L179" s="3">
        <v>0</v>
      </c>
      <c r="N179" s="3">
        <v>19973158731</v>
      </c>
      <c r="P179" s="3">
        <v>0</v>
      </c>
      <c r="R179" s="3">
        <f t="shared" si="10"/>
        <v>19973158731</v>
      </c>
      <c r="S179" s="42">
        <f t="shared" si="11"/>
        <v>1.6548691223579857E-3</v>
      </c>
    </row>
    <row r="180" spans="1:19" x14ac:dyDescent="0.2">
      <c r="A180" s="13" t="s">
        <v>212</v>
      </c>
      <c r="C180" s="3">
        <v>0</v>
      </c>
      <c r="E180" s="3">
        <v>11572406415</v>
      </c>
      <c r="G180" s="3">
        <v>0</v>
      </c>
      <c r="I180" s="3">
        <f t="shared" si="8"/>
        <v>11572406415</v>
      </c>
      <c r="J180" s="42">
        <f t="shared" si="9"/>
        <v>4.1030129819513081E-3</v>
      </c>
      <c r="L180" s="3">
        <v>0</v>
      </c>
      <c r="N180" s="3">
        <v>25526807790</v>
      </c>
      <c r="P180" s="3">
        <v>0</v>
      </c>
      <c r="R180" s="3">
        <f t="shared" si="10"/>
        <v>25526807790</v>
      </c>
      <c r="S180" s="42">
        <f t="shared" si="11"/>
        <v>2.1150147842400528E-3</v>
      </c>
    </row>
    <row r="181" spans="1:19" x14ac:dyDescent="0.2">
      <c r="A181" s="13" t="s">
        <v>265</v>
      </c>
      <c r="C181" s="3">
        <v>0</v>
      </c>
      <c r="E181" s="3">
        <v>-1271195980</v>
      </c>
      <c r="G181" s="3">
        <v>0</v>
      </c>
      <c r="I181" s="3">
        <f t="shared" si="8"/>
        <v>-1271195980</v>
      </c>
      <c r="J181" s="42">
        <f t="shared" si="9"/>
        <v>-4.5070432384605421E-4</v>
      </c>
      <c r="L181" s="3">
        <v>0</v>
      </c>
      <c r="N181" s="3">
        <v>33177168260</v>
      </c>
      <c r="P181" s="3">
        <v>0</v>
      </c>
      <c r="R181" s="3">
        <f t="shared" si="10"/>
        <v>33177168260</v>
      </c>
      <c r="S181" s="42">
        <f t="shared" si="11"/>
        <v>2.7488827410926272E-3</v>
      </c>
    </row>
    <row r="182" spans="1:19" x14ac:dyDescent="0.2">
      <c r="A182" s="13" t="s">
        <v>309</v>
      </c>
      <c r="C182" s="3">
        <v>0</v>
      </c>
      <c r="E182" s="3">
        <v>0</v>
      </c>
      <c r="G182" s="3">
        <v>0</v>
      </c>
      <c r="I182" s="3">
        <f t="shared" si="8"/>
        <v>0</v>
      </c>
      <c r="J182" s="42">
        <f t="shared" si="9"/>
        <v>0</v>
      </c>
      <c r="L182" s="3">
        <v>0</v>
      </c>
      <c r="N182" s="3">
        <v>0</v>
      </c>
      <c r="P182" s="3">
        <v>-595000020</v>
      </c>
      <c r="R182" s="3">
        <f t="shared" si="10"/>
        <v>-595000020</v>
      </c>
      <c r="S182" s="42">
        <f t="shared" si="11"/>
        <v>-4.9298519786563842E-5</v>
      </c>
    </row>
    <row r="183" spans="1:19" x14ac:dyDescent="0.2">
      <c r="A183" s="13" t="s">
        <v>224</v>
      </c>
      <c r="C183" s="3">
        <v>0</v>
      </c>
      <c r="E183" s="3">
        <v>34696147264</v>
      </c>
      <c r="G183" s="3">
        <v>0</v>
      </c>
      <c r="I183" s="3">
        <f t="shared" si="8"/>
        <v>34696147264</v>
      </c>
      <c r="J183" s="42">
        <f t="shared" si="9"/>
        <v>1.2301567845332742E-2</v>
      </c>
      <c r="L183" s="3">
        <v>0</v>
      </c>
      <c r="N183" s="3">
        <v>55860096585</v>
      </c>
      <c r="P183" s="3">
        <v>0</v>
      </c>
      <c r="R183" s="3">
        <f t="shared" si="10"/>
        <v>55860096585</v>
      </c>
      <c r="S183" s="42">
        <f t="shared" si="11"/>
        <v>4.6282688810245585E-3</v>
      </c>
    </row>
    <row r="184" spans="1:19" x14ac:dyDescent="0.2">
      <c r="A184" s="13" t="s">
        <v>310</v>
      </c>
      <c r="C184" s="3">
        <v>0</v>
      </c>
      <c r="E184" s="3">
        <v>0</v>
      </c>
      <c r="G184" s="3">
        <v>0</v>
      </c>
      <c r="I184" s="3">
        <f t="shared" si="8"/>
        <v>0</v>
      </c>
      <c r="J184" s="42">
        <f t="shared" si="9"/>
        <v>0</v>
      </c>
      <c r="L184" s="3">
        <v>0</v>
      </c>
      <c r="N184" s="3">
        <v>0</v>
      </c>
      <c r="P184" s="3">
        <v>137552869</v>
      </c>
      <c r="R184" s="3">
        <f t="shared" si="10"/>
        <v>137552869</v>
      </c>
      <c r="S184" s="42">
        <f t="shared" si="11"/>
        <v>1.1396895136398692E-5</v>
      </c>
    </row>
    <row r="185" spans="1:19" x14ac:dyDescent="0.2">
      <c r="A185" s="13" t="s">
        <v>289</v>
      </c>
      <c r="C185" s="3">
        <v>0</v>
      </c>
      <c r="E185" s="3">
        <v>-3243401158</v>
      </c>
      <c r="G185" s="3">
        <v>0</v>
      </c>
      <c r="I185" s="3">
        <f t="shared" si="8"/>
        <v>-3243401158</v>
      </c>
      <c r="J185" s="42">
        <f t="shared" si="9"/>
        <v>-1.1499524454741427E-3</v>
      </c>
      <c r="L185" s="3">
        <v>0</v>
      </c>
      <c r="N185" s="3">
        <v>35797340933</v>
      </c>
      <c r="P185" s="3">
        <v>0</v>
      </c>
      <c r="R185" s="3">
        <f t="shared" si="10"/>
        <v>35797340933</v>
      </c>
      <c r="S185" s="42">
        <f t="shared" si="11"/>
        <v>2.965976236928315E-3</v>
      </c>
    </row>
    <row r="186" spans="1:19" x14ac:dyDescent="0.2">
      <c r="A186" s="13" t="s">
        <v>311</v>
      </c>
      <c r="C186" s="3">
        <v>0</v>
      </c>
      <c r="E186" s="3">
        <v>45046478098</v>
      </c>
      <c r="G186" s="3">
        <v>0</v>
      </c>
      <c r="I186" s="3">
        <f t="shared" si="8"/>
        <v>45046478098</v>
      </c>
      <c r="J186" s="42">
        <f t="shared" si="9"/>
        <v>1.5971292210037652E-2</v>
      </c>
      <c r="L186" s="3">
        <v>0</v>
      </c>
      <c r="N186" s="3">
        <v>46835937816</v>
      </c>
      <c r="P186" s="3">
        <v>0</v>
      </c>
      <c r="R186" s="3">
        <f t="shared" si="10"/>
        <v>46835937816</v>
      </c>
      <c r="S186" s="42">
        <f t="shared" si="11"/>
        <v>3.8805753437526772E-3</v>
      </c>
    </row>
    <row r="187" spans="1:19" x14ac:dyDescent="0.2">
      <c r="A187" s="13" t="s">
        <v>262</v>
      </c>
      <c r="C187" s="3">
        <v>0</v>
      </c>
      <c r="E187" s="3">
        <v>-165461688</v>
      </c>
      <c r="G187" s="3">
        <v>0</v>
      </c>
      <c r="I187" s="3">
        <f t="shared" si="8"/>
        <v>-165461688</v>
      </c>
      <c r="J187" s="42">
        <f t="shared" si="9"/>
        <v>-5.8664674358446904E-5</v>
      </c>
      <c r="L187" s="3">
        <v>0</v>
      </c>
      <c r="N187" s="3">
        <v>-165461688</v>
      </c>
      <c r="P187" s="3">
        <v>0</v>
      </c>
      <c r="R187" s="3">
        <f t="shared" si="10"/>
        <v>-165461688</v>
      </c>
      <c r="S187" s="42">
        <f t="shared" si="11"/>
        <v>-1.3709270631261918E-5</v>
      </c>
    </row>
    <row r="188" spans="1:19" x14ac:dyDescent="0.2">
      <c r="A188" s="13" t="s">
        <v>209</v>
      </c>
      <c r="C188" s="3">
        <v>0</v>
      </c>
      <c r="E188" s="3">
        <v>15903419108</v>
      </c>
      <c r="G188" s="3">
        <v>0</v>
      </c>
      <c r="I188" s="3">
        <f t="shared" si="8"/>
        <v>15903419108</v>
      </c>
      <c r="J188" s="42">
        <f t="shared" si="9"/>
        <v>5.6385796279119441E-3</v>
      </c>
      <c r="L188" s="3">
        <v>0</v>
      </c>
      <c r="N188" s="3">
        <v>15903419108</v>
      </c>
      <c r="P188" s="3">
        <v>0</v>
      </c>
      <c r="R188" s="3">
        <f t="shared" si="10"/>
        <v>15903419108</v>
      </c>
      <c r="S188" s="42">
        <f t="shared" si="11"/>
        <v>1.3176722608677484E-3</v>
      </c>
    </row>
    <row r="189" spans="1:19" x14ac:dyDescent="0.2">
      <c r="A189" s="13" t="s">
        <v>285</v>
      </c>
      <c r="C189" s="3">
        <v>0</v>
      </c>
      <c r="E189" s="3">
        <v>-9970536482</v>
      </c>
      <c r="G189" s="3">
        <v>0</v>
      </c>
      <c r="I189" s="3">
        <f t="shared" si="8"/>
        <v>-9970536482</v>
      </c>
      <c r="J189" s="42">
        <f t="shared" si="9"/>
        <v>-3.535067742664059E-3</v>
      </c>
      <c r="L189" s="3">
        <v>0</v>
      </c>
      <c r="N189" s="3">
        <v>-9970536482</v>
      </c>
      <c r="P189" s="3">
        <v>0</v>
      </c>
      <c r="R189" s="3">
        <f t="shared" si="10"/>
        <v>-9970536482</v>
      </c>
      <c r="S189" s="42">
        <f t="shared" si="11"/>
        <v>-8.2610533364441509E-4</v>
      </c>
    </row>
    <row r="190" spans="1:19" x14ac:dyDescent="0.2">
      <c r="A190" s="13" t="s">
        <v>312</v>
      </c>
      <c r="C190" s="3">
        <v>0</v>
      </c>
      <c r="E190" s="3">
        <v>0</v>
      </c>
      <c r="G190" s="3">
        <v>171522293</v>
      </c>
      <c r="I190" s="3">
        <f t="shared" si="8"/>
        <v>171522293</v>
      </c>
      <c r="J190" s="42">
        <f t="shared" si="9"/>
        <v>6.0813470391158569E-5</v>
      </c>
      <c r="L190" s="3">
        <v>0</v>
      </c>
      <c r="N190" s="3">
        <v>0</v>
      </c>
      <c r="P190" s="3">
        <v>171522293</v>
      </c>
      <c r="R190" s="3">
        <f t="shared" si="10"/>
        <v>171522293</v>
      </c>
      <c r="S190" s="42">
        <f t="shared" si="11"/>
        <v>1.4211419951376306E-5</v>
      </c>
    </row>
    <row r="191" spans="1:19" x14ac:dyDescent="0.2">
      <c r="A191" s="13" t="s">
        <v>317</v>
      </c>
      <c r="C191" s="3">
        <v>0</v>
      </c>
      <c r="E191" s="3">
        <v>-1229963024</v>
      </c>
      <c r="G191" s="3"/>
      <c r="I191" s="3">
        <f t="shared" si="8"/>
        <v>-1229963024</v>
      </c>
      <c r="J191" s="42">
        <f t="shared" si="9"/>
        <v>-4.3608512126318098E-4</v>
      </c>
      <c r="L191" s="3">
        <v>0</v>
      </c>
      <c r="N191" s="3">
        <v>-1229963024</v>
      </c>
      <c r="P191" s="3">
        <v>0</v>
      </c>
      <c r="R191" s="3">
        <f t="shared" si="10"/>
        <v>-1229963024</v>
      </c>
      <c r="S191" s="42">
        <f t="shared" si="11"/>
        <v>-1.01908158718055E-4</v>
      </c>
    </row>
    <row r="192" spans="1:19" x14ac:dyDescent="0.2">
      <c r="A192" s="13" t="s">
        <v>221</v>
      </c>
      <c r="C192" s="3">
        <v>0</v>
      </c>
      <c r="E192" s="3">
        <v>-280704660</v>
      </c>
      <c r="G192" s="3">
        <v>0</v>
      </c>
      <c r="I192" s="3">
        <f t="shared" si="8"/>
        <v>-280704660</v>
      </c>
      <c r="J192" s="42">
        <f t="shared" si="9"/>
        <v>-9.9524232279067269E-5</v>
      </c>
      <c r="L192" s="3">
        <v>0</v>
      </c>
      <c r="N192" s="3">
        <v>-280704660</v>
      </c>
      <c r="P192" s="3">
        <v>0</v>
      </c>
      <c r="R192" s="3">
        <f t="shared" si="10"/>
        <v>-280704660</v>
      </c>
      <c r="S192" s="42">
        <f t="shared" si="11"/>
        <v>-2.3257687008465437E-5</v>
      </c>
    </row>
    <row r="193" spans="1:19" x14ac:dyDescent="0.2">
      <c r="A193" s="13" t="s">
        <v>276</v>
      </c>
      <c r="C193" s="3">
        <v>0</v>
      </c>
      <c r="E193" s="3">
        <v>-1783563348</v>
      </c>
      <c r="G193" s="3">
        <v>0</v>
      </c>
      <c r="I193" s="3">
        <f t="shared" si="8"/>
        <v>-1783563348</v>
      </c>
      <c r="J193" s="42">
        <f t="shared" si="9"/>
        <v>-6.3236489529879154E-4</v>
      </c>
      <c r="L193" s="3">
        <v>0</v>
      </c>
      <c r="N193" s="3">
        <v>-1783563348</v>
      </c>
      <c r="P193" s="3">
        <v>0</v>
      </c>
      <c r="R193" s="3">
        <f t="shared" si="10"/>
        <v>-1783563348</v>
      </c>
      <c r="S193" s="42">
        <f t="shared" si="11"/>
        <v>-1.477765210864498E-4</v>
      </c>
    </row>
    <row r="194" spans="1:19" x14ac:dyDescent="0.2">
      <c r="A194" s="13" t="s">
        <v>290</v>
      </c>
      <c r="C194" s="3">
        <v>0</v>
      </c>
      <c r="E194" s="3">
        <v>5447883769</v>
      </c>
      <c r="G194" s="3">
        <v>0</v>
      </c>
      <c r="I194" s="3">
        <f t="shared" si="8"/>
        <v>5447883769</v>
      </c>
      <c r="J194" s="42">
        <f t="shared" si="9"/>
        <v>1.9315548578898421E-3</v>
      </c>
      <c r="L194" s="3">
        <v>0</v>
      </c>
      <c r="N194" s="3">
        <v>5447883769</v>
      </c>
      <c r="P194" s="3">
        <v>0</v>
      </c>
      <c r="R194" s="3">
        <f t="shared" si="10"/>
        <v>5447883769</v>
      </c>
      <c r="S194" s="42">
        <f t="shared" si="11"/>
        <v>4.513825155517583E-4</v>
      </c>
    </row>
    <row r="195" spans="1:19" x14ac:dyDescent="0.2">
      <c r="A195" s="13" t="s">
        <v>241</v>
      </c>
      <c r="C195" s="3">
        <v>0</v>
      </c>
      <c r="E195" s="3">
        <v>71182575254</v>
      </c>
      <c r="G195" s="3">
        <v>0</v>
      </c>
      <c r="I195" s="3">
        <f t="shared" si="8"/>
        <v>71182575254</v>
      </c>
      <c r="J195" s="42">
        <f t="shared" si="9"/>
        <v>2.5237882241788509E-2</v>
      </c>
      <c r="L195" s="3">
        <v>0</v>
      </c>
      <c r="N195" s="3">
        <v>71182575254</v>
      </c>
      <c r="P195" s="3">
        <v>0</v>
      </c>
      <c r="R195" s="3">
        <f t="shared" si="10"/>
        <v>71182575254</v>
      </c>
      <c r="S195" s="42">
        <f t="shared" si="11"/>
        <v>5.8978075238012408E-3</v>
      </c>
    </row>
    <row r="196" spans="1:19" x14ac:dyDescent="0.2">
      <c r="A196" s="13" t="s">
        <v>253</v>
      </c>
      <c r="C196" s="3">
        <v>0</v>
      </c>
      <c r="E196" s="3">
        <v>-1616566116</v>
      </c>
      <c r="G196" s="3">
        <v>0</v>
      </c>
      <c r="I196" s="3">
        <f t="shared" si="8"/>
        <v>-1616566116</v>
      </c>
      <c r="J196" s="42">
        <f t="shared" si="9"/>
        <v>-5.7315579165395257E-4</v>
      </c>
      <c r="L196" s="3">
        <v>0</v>
      </c>
      <c r="N196" s="3">
        <v>-1616566116</v>
      </c>
      <c r="P196" s="3">
        <v>0</v>
      </c>
      <c r="R196" s="3">
        <f t="shared" si="10"/>
        <v>-1616566116</v>
      </c>
      <c r="S196" s="42">
        <f t="shared" si="11"/>
        <v>-1.3394002349094821E-4</v>
      </c>
    </row>
    <row r="197" spans="1:19" x14ac:dyDescent="0.2">
      <c r="A197" s="13" t="s">
        <v>260</v>
      </c>
      <c r="C197" s="3">
        <v>0</v>
      </c>
      <c r="E197" s="3">
        <v>-4570650481</v>
      </c>
      <c r="G197" s="3">
        <v>0</v>
      </c>
      <c r="I197" s="3">
        <f t="shared" si="8"/>
        <v>-4570650481</v>
      </c>
      <c r="J197" s="42">
        <f t="shared" si="9"/>
        <v>-1.6205305609727837E-3</v>
      </c>
      <c r="L197" s="3">
        <v>0</v>
      </c>
      <c r="N197" s="3">
        <v>-4570650481</v>
      </c>
      <c r="P197" s="3">
        <v>0</v>
      </c>
      <c r="R197" s="3">
        <f t="shared" si="10"/>
        <v>-4570650481</v>
      </c>
      <c r="S197" s="42">
        <f t="shared" si="11"/>
        <v>-3.7869965647235784E-4</v>
      </c>
    </row>
    <row r="198" spans="1:19" x14ac:dyDescent="0.2">
      <c r="A198" s="13" t="s">
        <v>268</v>
      </c>
      <c r="C198" s="3">
        <v>0</v>
      </c>
      <c r="E198" s="3">
        <v>-432954681</v>
      </c>
      <c r="G198" s="3">
        <v>0</v>
      </c>
      <c r="I198" s="3">
        <f t="shared" si="8"/>
        <v>-432954681</v>
      </c>
      <c r="J198" s="42">
        <f t="shared" si="9"/>
        <v>-1.5350469150798377E-4</v>
      </c>
      <c r="L198" s="3">
        <v>0</v>
      </c>
      <c r="N198" s="3">
        <v>-432954681</v>
      </c>
      <c r="P198" s="3">
        <v>0</v>
      </c>
      <c r="R198" s="3">
        <f t="shared" si="10"/>
        <v>-432954681</v>
      </c>
      <c r="S198" s="42">
        <f t="shared" si="11"/>
        <v>-3.5872309563895369E-5</v>
      </c>
    </row>
    <row r="199" spans="1:19" x14ac:dyDescent="0.2">
      <c r="A199" s="13" t="s">
        <v>211</v>
      </c>
      <c r="C199" s="3">
        <v>0</v>
      </c>
      <c r="E199" s="3">
        <v>-1245583103</v>
      </c>
      <c r="G199" s="3">
        <v>0</v>
      </c>
      <c r="I199" s="3">
        <f t="shared" si="8"/>
        <v>-1245583103</v>
      </c>
      <c r="J199" s="42">
        <f t="shared" si="9"/>
        <v>-4.4162324225701619E-4</v>
      </c>
      <c r="L199" s="3">
        <v>0</v>
      </c>
      <c r="N199" s="3">
        <v>-1245583103</v>
      </c>
      <c r="P199" s="3">
        <v>0</v>
      </c>
      <c r="R199" s="3">
        <f t="shared" si="10"/>
        <v>-1245583103</v>
      </c>
      <c r="S199" s="42">
        <f t="shared" si="11"/>
        <v>-1.0320235493278654E-4</v>
      </c>
    </row>
    <row r="200" spans="1:19" x14ac:dyDescent="0.2">
      <c r="A200" s="13" t="s">
        <v>232</v>
      </c>
      <c r="C200" s="3">
        <v>0</v>
      </c>
      <c r="E200" s="3">
        <v>-118249600</v>
      </c>
      <c r="G200" s="3">
        <v>0</v>
      </c>
      <c r="I200" s="3">
        <f t="shared" si="8"/>
        <v>-118249600</v>
      </c>
      <c r="J200" s="42">
        <f t="shared" si="9"/>
        <v>-4.1925562109680656E-5</v>
      </c>
      <c r="L200" s="3">
        <v>0</v>
      </c>
      <c r="N200" s="3">
        <v>-118249600</v>
      </c>
      <c r="P200" s="3">
        <v>0</v>
      </c>
      <c r="R200" s="3">
        <f t="shared" si="10"/>
        <v>-118249600</v>
      </c>
      <c r="S200" s="42">
        <f t="shared" si="11"/>
        <v>-9.7975294947944028E-6</v>
      </c>
    </row>
    <row r="201" spans="1:19" x14ac:dyDescent="0.2">
      <c r="A201" s="13" t="s">
        <v>278</v>
      </c>
      <c r="C201" s="3">
        <v>0</v>
      </c>
      <c r="E201" s="3">
        <v>-554550455</v>
      </c>
      <c r="G201" s="3">
        <v>0</v>
      </c>
      <c r="I201" s="3">
        <f t="shared" si="8"/>
        <v>-554550455</v>
      </c>
      <c r="J201" s="42">
        <f t="shared" si="9"/>
        <v>-1.9661664431891668E-4</v>
      </c>
      <c r="L201" s="3">
        <v>0</v>
      </c>
      <c r="N201" s="3">
        <v>-554550455</v>
      </c>
      <c r="P201" s="3">
        <v>0</v>
      </c>
      <c r="R201" s="3">
        <f t="shared" si="10"/>
        <v>-554550455</v>
      </c>
      <c r="S201" s="42">
        <f t="shared" si="11"/>
        <v>-4.5947085142056775E-5</v>
      </c>
    </row>
    <row r="202" spans="1:19" x14ac:dyDescent="0.2">
      <c r="A202" s="13" t="s">
        <v>288</v>
      </c>
      <c r="C202" s="3">
        <v>0</v>
      </c>
      <c r="E202" s="3">
        <v>11389440143</v>
      </c>
      <c r="G202" s="3">
        <v>0</v>
      </c>
      <c r="I202" s="3">
        <f t="shared" si="8"/>
        <v>11389440143</v>
      </c>
      <c r="J202" s="42">
        <f t="shared" si="9"/>
        <v>4.0381420326989406E-3</v>
      </c>
      <c r="L202" s="3">
        <v>0</v>
      </c>
      <c r="N202" s="3">
        <v>11389440143</v>
      </c>
      <c r="P202" s="3">
        <v>0</v>
      </c>
      <c r="R202" s="3">
        <f t="shared" si="10"/>
        <v>11389440143</v>
      </c>
      <c r="S202" s="42">
        <f t="shared" si="11"/>
        <v>9.436681031499294E-4</v>
      </c>
    </row>
    <row r="203" spans="1:19" x14ac:dyDescent="0.2">
      <c r="A203" s="13" t="s">
        <v>256</v>
      </c>
      <c r="C203" s="3">
        <v>0</v>
      </c>
      <c r="E203" s="3">
        <v>-1038824401</v>
      </c>
      <c r="G203" s="3">
        <v>0</v>
      </c>
      <c r="I203" s="3">
        <f t="shared" si="8"/>
        <v>-1038824401</v>
      </c>
      <c r="J203" s="42">
        <f t="shared" si="9"/>
        <v>-3.6831665346163798E-4</v>
      </c>
      <c r="L203" s="3">
        <v>0</v>
      </c>
      <c r="N203" s="3">
        <v>-1038824401</v>
      </c>
      <c r="P203" s="3">
        <v>0</v>
      </c>
      <c r="R203" s="3">
        <f t="shared" si="10"/>
        <v>-1038824401</v>
      </c>
      <c r="S203" s="42">
        <f t="shared" si="11"/>
        <v>-8.6071434564764947E-5</v>
      </c>
    </row>
    <row r="204" spans="1:19" x14ac:dyDescent="0.2">
      <c r="A204" s="13" t="s">
        <v>286</v>
      </c>
      <c r="C204" s="3">
        <v>0</v>
      </c>
      <c r="E204" s="3">
        <v>3039144805</v>
      </c>
      <c r="G204" s="3">
        <v>0</v>
      </c>
      <c r="I204" s="3">
        <f t="shared" ref="I204:I210" si="12">C204+E204+G204</f>
        <v>3039144805</v>
      </c>
      <c r="J204" s="42">
        <f t="shared" ref="J204:J209" si="13">I204/$I$210</f>
        <v>1.0775330680386304E-3</v>
      </c>
      <c r="L204" s="3">
        <v>0</v>
      </c>
      <c r="N204" s="3">
        <v>3039144805</v>
      </c>
      <c r="P204" s="3">
        <v>0</v>
      </c>
      <c r="R204" s="3">
        <f t="shared" ref="R204:R210" si="14">L204+N204+P204</f>
        <v>3039144805</v>
      </c>
      <c r="S204" s="42">
        <f t="shared" ref="S204:S209" si="15">R204/$R$210</f>
        <v>2.5180728616366302E-4</v>
      </c>
    </row>
    <row r="205" spans="1:19" x14ac:dyDescent="0.2">
      <c r="A205" s="13" t="s">
        <v>280</v>
      </c>
      <c r="C205" s="3">
        <v>0</v>
      </c>
      <c r="E205" s="3">
        <v>36072821</v>
      </c>
      <c r="G205" s="3">
        <v>0</v>
      </c>
      <c r="I205" s="3">
        <f t="shared" si="12"/>
        <v>36072821</v>
      </c>
      <c r="J205" s="42">
        <f t="shared" si="13"/>
        <v>1.2789669456022622E-5</v>
      </c>
      <c r="L205" s="3">
        <v>0</v>
      </c>
      <c r="N205" s="3">
        <v>36072821</v>
      </c>
      <c r="P205" s="3">
        <v>0</v>
      </c>
      <c r="R205" s="3">
        <f t="shared" si="14"/>
        <v>36072821</v>
      </c>
      <c r="S205" s="42">
        <f t="shared" si="15"/>
        <v>2.9888010421002602E-6</v>
      </c>
    </row>
    <row r="206" spans="1:19" x14ac:dyDescent="0.2">
      <c r="A206" s="13" t="s">
        <v>264</v>
      </c>
      <c r="C206" s="3">
        <v>0</v>
      </c>
      <c r="E206" s="3">
        <v>56112132</v>
      </c>
      <c r="G206" s="3">
        <v>0</v>
      </c>
      <c r="I206" s="3">
        <f t="shared" si="12"/>
        <v>56112132</v>
      </c>
      <c r="J206" s="42">
        <f t="shared" si="13"/>
        <v>1.9894635375279069E-5</v>
      </c>
      <c r="L206" s="3">
        <v>0</v>
      </c>
      <c r="N206" s="3">
        <v>56112132</v>
      </c>
      <c r="P206" s="3">
        <v>0</v>
      </c>
      <c r="R206" s="3">
        <f t="shared" si="14"/>
        <v>56112132</v>
      </c>
      <c r="S206" s="42">
        <f t="shared" si="15"/>
        <v>4.6491511877063166E-6</v>
      </c>
    </row>
    <row r="207" spans="1:19" x14ac:dyDescent="0.2">
      <c r="A207" s="13" t="s">
        <v>287</v>
      </c>
      <c r="C207" s="3">
        <v>0</v>
      </c>
      <c r="E207" s="3">
        <v>74972386162</v>
      </c>
      <c r="G207" s="3">
        <v>0</v>
      </c>
      <c r="I207" s="3">
        <f t="shared" si="12"/>
        <v>74972386162</v>
      </c>
      <c r="J207" s="42">
        <f t="shared" si="13"/>
        <v>2.6581565033166232E-2</v>
      </c>
      <c r="L207" s="3">
        <v>0</v>
      </c>
      <c r="N207" s="3">
        <v>74972386162</v>
      </c>
      <c r="P207" s="3">
        <v>0</v>
      </c>
      <c r="R207" s="3">
        <f t="shared" si="14"/>
        <v>74972386162</v>
      </c>
      <c r="S207" s="42">
        <f t="shared" si="15"/>
        <v>6.2118109889362063E-3</v>
      </c>
    </row>
    <row r="208" spans="1:19" x14ac:dyDescent="0.2">
      <c r="A208" s="13" t="s">
        <v>205</v>
      </c>
      <c r="C208" s="3">
        <v>0</v>
      </c>
      <c r="E208" s="3">
        <v>4048595618</v>
      </c>
      <c r="G208" s="3">
        <v>11458283278</v>
      </c>
      <c r="I208" s="3">
        <f t="shared" si="12"/>
        <v>15506878896</v>
      </c>
      <c r="J208" s="42">
        <f t="shared" si="13"/>
        <v>5.4979857376392331E-3</v>
      </c>
      <c r="L208" s="3">
        <v>0</v>
      </c>
      <c r="N208" s="3">
        <v>12939781453</v>
      </c>
      <c r="P208" s="3">
        <v>11458283278</v>
      </c>
      <c r="R208" s="3">
        <f t="shared" si="14"/>
        <v>24398064731</v>
      </c>
      <c r="S208" s="42">
        <f t="shared" si="15"/>
        <v>2.0214931705297571E-3</v>
      </c>
    </row>
    <row r="209" spans="1:19" ht="18.75" thickBot="1" x14ac:dyDescent="0.25">
      <c r="A209" s="13" t="s">
        <v>204</v>
      </c>
      <c r="C209" s="3">
        <v>0</v>
      </c>
      <c r="E209" s="3">
        <v>-71307545015</v>
      </c>
      <c r="G209" s="3">
        <v>186713763969</v>
      </c>
      <c r="I209" s="3">
        <f t="shared" si="12"/>
        <v>115406218954</v>
      </c>
      <c r="J209" s="42">
        <f t="shared" si="13"/>
        <v>4.0917437357921992E-2</v>
      </c>
      <c r="L209" s="3">
        <v>0</v>
      </c>
      <c r="N209" s="3">
        <v>67820450186</v>
      </c>
      <c r="P209" s="3">
        <v>186713763969</v>
      </c>
      <c r="R209" s="3">
        <f t="shared" si="14"/>
        <v>254534214155</v>
      </c>
      <c r="S209" s="42">
        <f t="shared" si="15"/>
        <v>2.1089343816959445E-2</v>
      </c>
    </row>
    <row r="210" spans="1:19" s="15" customFormat="1" ht="22.5" thickTop="1" thickBot="1" x14ac:dyDescent="0.25">
      <c r="A210" s="14" t="s">
        <v>14</v>
      </c>
      <c r="C210" s="21">
        <f>SUM(C11:C209)</f>
        <v>46102618749</v>
      </c>
      <c r="E210" s="21">
        <f>SUM(E11:E209)</f>
        <v>2380981723479</v>
      </c>
      <c r="G210" s="21">
        <f>SUM(G11:G209)</f>
        <v>393381122031</v>
      </c>
      <c r="I210" s="21">
        <f>SUM(I11:I209)</f>
        <v>2820465464259</v>
      </c>
      <c r="J210" s="40">
        <f>SUM(J11:J209)</f>
        <v>0.99999999999999944</v>
      </c>
      <c r="L210" s="21">
        <f>SUM(L11:L209)</f>
        <v>807874314210</v>
      </c>
      <c r="N210" s="21">
        <f>SUM(N11:N209)</f>
        <v>9630226925236</v>
      </c>
      <c r="P210" s="21">
        <f>SUM(P11:P209)</f>
        <v>1631227060390</v>
      </c>
      <c r="R210" s="21">
        <f>SUM(R11:R209)</f>
        <v>12069328299836</v>
      </c>
      <c r="S210" s="40">
        <f>SUM(S11:S209)</f>
        <v>1.0000000000000002</v>
      </c>
    </row>
    <row r="211" spans="1:19" ht="18.75" thickTop="1" x14ac:dyDescent="0.2">
      <c r="I211" s="3"/>
      <c r="R211" s="3"/>
    </row>
    <row r="212" spans="1:19" x14ac:dyDescent="0.2">
      <c r="A212" s="13"/>
      <c r="I212" s="3"/>
      <c r="R212" s="3"/>
    </row>
    <row r="213" spans="1:19" x14ac:dyDescent="0.2">
      <c r="A213" s="13"/>
      <c r="N213" s="31"/>
    </row>
    <row r="214" spans="1:19" x14ac:dyDescent="0.2">
      <c r="A214" s="13"/>
      <c r="E214" s="31"/>
    </row>
    <row r="215" spans="1:19" x14ac:dyDescent="0.2">
      <c r="A215" s="13"/>
      <c r="E215" s="31"/>
    </row>
    <row r="216" spans="1:19" x14ac:dyDescent="0.2">
      <c r="A216" s="13"/>
    </row>
    <row r="217" spans="1:19" x14ac:dyDescent="0.2">
      <c r="A217" s="13"/>
    </row>
    <row r="218" spans="1:19" x14ac:dyDescent="0.2">
      <c r="A218" s="13"/>
    </row>
    <row r="219" spans="1:19" x14ac:dyDescent="0.2">
      <c r="A219" s="13"/>
    </row>
    <row r="220" spans="1:19" x14ac:dyDescent="0.2">
      <c r="A220" s="13"/>
    </row>
    <row r="221" spans="1:19" x14ac:dyDescent="0.2">
      <c r="A221" s="13"/>
    </row>
    <row r="222" spans="1:19" x14ac:dyDescent="0.2">
      <c r="A222" s="13"/>
    </row>
    <row r="223" spans="1:19" x14ac:dyDescent="0.2">
      <c r="A223" s="13"/>
    </row>
    <row r="224" spans="1:19" x14ac:dyDescent="0.2">
      <c r="A224" s="13"/>
    </row>
    <row r="225" spans="1:1" x14ac:dyDescent="0.2">
      <c r="A225" s="13"/>
    </row>
    <row r="226" spans="1:1" x14ac:dyDescent="0.2">
      <c r="A226" s="13"/>
    </row>
    <row r="227" spans="1:1" x14ac:dyDescent="0.2">
      <c r="A227" s="13"/>
    </row>
    <row r="228" spans="1:1" x14ac:dyDescent="0.2">
      <c r="A228" s="13"/>
    </row>
    <row r="229" spans="1:1" x14ac:dyDescent="0.2">
      <c r="A229" s="13"/>
    </row>
    <row r="230" spans="1:1" x14ac:dyDescent="0.2">
      <c r="A230" s="13"/>
    </row>
    <row r="231" spans="1:1" x14ac:dyDescent="0.2">
      <c r="A231" s="13"/>
    </row>
    <row r="232" spans="1:1" x14ac:dyDescent="0.2">
      <c r="A232" s="13"/>
    </row>
    <row r="233" spans="1:1" x14ac:dyDescent="0.2">
      <c r="A233" s="13"/>
    </row>
    <row r="234" spans="1:1" x14ac:dyDescent="0.2">
      <c r="A234" s="13"/>
    </row>
    <row r="235" spans="1:1" x14ac:dyDescent="0.2">
      <c r="A235" s="13"/>
    </row>
    <row r="236" spans="1:1" x14ac:dyDescent="0.2">
      <c r="A236" s="13"/>
    </row>
    <row r="237" spans="1:1" x14ac:dyDescent="0.2">
      <c r="A237" s="13"/>
    </row>
    <row r="238" spans="1:1" x14ac:dyDescent="0.2">
      <c r="A238" s="13"/>
    </row>
    <row r="239" spans="1:1" x14ac:dyDescent="0.2">
      <c r="A239" s="13"/>
    </row>
    <row r="240" spans="1:1" x14ac:dyDescent="0.2">
      <c r="A240" s="13"/>
    </row>
    <row r="241" spans="1:1" x14ac:dyDescent="0.2">
      <c r="A241" s="13"/>
    </row>
    <row r="242" spans="1:1" x14ac:dyDescent="0.2">
      <c r="A242" s="13"/>
    </row>
    <row r="243" spans="1:1" x14ac:dyDescent="0.2">
      <c r="A243" s="13"/>
    </row>
    <row r="244" spans="1:1" x14ac:dyDescent="0.2">
      <c r="A244" s="13"/>
    </row>
    <row r="245" spans="1:1" x14ac:dyDescent="0.2">
      <c r="A245" s="13"/>
    </row>
    <row r="246" spans="1:1" x14ac:dyDescent="0.2">
      <c r="A246" s="13"/>
    </row>
    <row r="247" spans="1:1" x14ac:dyDescent="0.2">
      <c r="A247" s="13"/>
    </row>
    <row r="248" spans="1:1" x14ac:dyDescent="0.2">
      <c r="A248" s="13"/>
    </row>
    <row r="249" spans="1:1" x14ac:dyDescent="0.2">
      <c r="A249" s="13"/>
    </row>
    <row r="250" spans="1:1" x14ac:dyDescent="0.2">
      <c r="A250" s="13"/>
    </row>
    <row r="251" spans="1:1" x14ac:dyDescent="0.2">
      <c r="A251" s="13"/>
    </row>
    <row r="252" spans="1:1" x14ac:dyDescent="0.2">
      <c r="A252" s="13"/>
    </row>
    <row r="253" spans="1:1" x14ac:dyDescent="0.2">
      <c r="A253" s="13"/>
    </row>
    <row r="254" spans="1:1" x14ac:dyDescent="0.2">
      <c r="A254" s="13"/>
    </row>
    <row r="255" spans="1:1" x14ac:dyDescent="0.2">
      <c r="A255" s="13"/>
    </row>
    <row r="256" spans="1:1" x14ac:dyDescent="0.2">
      <c r="A256" s="13"/>
    </row>
    <row r="257" spans="1:1" x14ac:dyDescent="0.2">
      <c r="A257" s="13"/>
    </row>
    <row r="258" spans="1:1" x14ac:dyDescent="0.2">
      <c r="A258" s="13"/>
    </row>
    <row r="259" spans="1:1" x14ac:dyDescent="0.2">
      <c r="A259" s="13"/>
    </row>
    <row r="260" spans="1:1" x14ac:dyDescent="0.2">
      <c r="A260" s="13"/>
    </row>
    <row r="261" spans="1:1" x14ac:dyDescent="0.2">
      <c r="A261" s="13"/>
    </row>
    <row r="262" spans="1:1" x14ac:dyDescent="0.2">
      <c r="A262" s="13"/>
    </row>
    <row r="263" spans="1:1" x14ac:dyDescent="0.2">
      <c r="A263" s="13"/>
    </row>
    <row r="264" spans="1:1" x14ac:dyDescent="0.2">
      <c r="A264" s="13"/>
    </row>
    <row r="265" spans="1:1" x14ac:dyDescent="0.2">
      <c r="A265" s="13"/>
    </row>
    <row r="266" spans="1:1" x14ac:dyDescent="0.2">
      <c r="A266" s="13"/>
    </row>
    <row r="267" spans="1:1" x14ac:dyDescent="0.2">
      <c r="A267" s="13"/>
    </row>
    <row r="268" spans="1:1" x14ac:dyDescent="0.2">
      <c r="A268" s="13"/>
    </row>
    <row r="269" spans="1:1" x14ac:dyDescent="0.2">
      <c r="A269" s="13"/>
    </row>
    <row r="270" spans="1:1" x14ac:dyDescent="0.2">
      <c r="A270" s="13"/>
    </row>
    <row r="271" spans="1:1" x14ac:dyDescent="0.2">
      <c r="A271" s="13"/>
    </row>
    <row r="272" spans="1:1" x14ac:dyDescent="0.2">
      <c r="A272" s="13"/>
    </row>
    <row r="273" spans="1:1" x14ac:dyDescent="0.2">
      <c r="A273" s="13"/>
    </row>
    <row r="274" spans="1:1" x14ac:dyDescent="0.2">
      <c r="A274" s="13"/>
    </row>
    <row r="275" spans="1:1" x14ac:dyDescent="0.2">
      <c r="A275" s="13"/>
    </row>
    <row r="276" spans="1:1" x14ac:dyDescent="0.2">
      <c r="A276" s="13"/>
    </row>
    <row r="277" spans="1:1" x14ac:dyDescent="0.2">
      <c r="A277" s="13"/>
    </row>
    <row r="278" spans="1:1" x14ac:dyDescent="0.2">
      <c r="A278" s="13"/>
    </row>
    <row r="279" spans="1:1" x14ac:dyDescent="0.2">
      <c r="A279" s="13"/>
    </row>
    <row r="280" spans="1:1" x14ac:dyDescent="0.2">
      <c r="A280" s="13"/>
    </row>
    <row r="281" spans="1:1" x14ac:dyDescent="0.2">
      <c r="A281" s="13"/>
    </row>
    <row r="282" spans="1:1" x14ac:dyDescent="0.2">
      <c r="A282" s="13"/>
    </row>
    <row r="283" spans="1:1" x14ac:dyDescent="0.2">
      <c r="A283" s="13"/>
    </row>
    <row r="284" spans="1:1" x14ac:dyDescent="0.2">
      <c r="A284" s="13"/>
    </row>
    <row r="285" spans="1:1" x14ac:dyDescent="0.2">
      <c r="A285" s="13"/>
    </row>
    <row r="286" spans="1:1" x14ac:dyDescent="0.2">
      <c r="A286" s="13"/>
    </row>
    <row r="287" spans="1:1" x14ac:dyDescent="0.2">
      <c r="A287" s="13"/>
    </row>
    <row r="288" spans="1:1" x14ac:dyDescent="0.2">
      <c r="A288" s="13"/>
    </row>
    <row r="289" spans="1:1" x14ac:dyDescent="0.2">
      <c r="A289" s="13"/>
    </row>
    <row r="290" spans="1:1" x14ac:dyDescent="0.2">
      <c r="A290" s="13"/>
    </row>
    <row r="291" spans="1:1" x14ac:dyDescent="0.2">
      <c r="A291" s="13"/>
    </row>
    <row r="292" spans="1:1" x14ac:dyDescent="0.2">
      <c r="A292" s="13"/>
    </row>
    <row r="293" spans="1:1" x14ac:dyDescent="0.2">
      <c r="A293" s="13"/>
    </row>
    <row r="294" spans="1:1" x14ac:dyDescent="0.2">
      <c r="A294" s="13"/>
    </row>
    <row r="295" spans="1:1" x14ac:dyDescent="0.2">
      <c r="A295" s="13"/>
    </row>
    <row r="296" spans="1:1" x14ac:dyDescent="0.2">
      <c r="A296" s="13"/>
    </row>
    <row r="297" spans="1:1" x14ac:dyDescent="0.2">
      <c r="A297" s="13"/>
    </row>
    <row r="298" spans="1:1" x14ac:dyDescent="0.2">
      <c r="A298" s="13"/>
    </row>
    <row r="299" spans="1:1" x14ac:dyDescent="0.2">
      <c r="A299" s="13"/>
    </row>
    <row r="300" spans="1:1" x14ac:dyDescent="0.2">
      <c r="A300" s="13"/>
    </row>
    <row r="301" spans="1:1" x14ac:dyDescent="0.2">
      <c r="A301" s="13"/>
    </row>
    <row r="302" spans="1:1" x14ac:dyDescent="0.2">
      <c r="A302" s="13"/>
    </row>
    <row r="303" spans="1:1" x14ac:dyDescent="0.2">
      <c r="A303" s="13"/>
    </row>
    <row r="304" spans="1:1" x14ac:dyDescent="0.2">
      <c r="A304" s="13"/>
    </row>
    <row r="305" spans="1:1" x14ac:dyDescent="0.2">
      <c r="A305" s="13"/>
    </row>
    <row r="306" spans="1:1" x14ac:dyDescent="0.2">
      <c r="A306" s="13"/>
    </row>
    <row r="307" spans="1:1" x14ac:dyDescent="0.2">
      <c r="A307" s="13"/>
    </row>
    <row r="308" spans="1:1" x14ac:dyDescent="0.2">
      <c r="A308" s="13"/>
    </row>
    <row r="309" spans="1:1" x14ac:dyDescent="0.2">
      <c r="A309" s="13"/>
    </row>
    <row r="310" spans="1:1" x14ac:dyDescent="0.2">
      <c r="A310" s="13"/>
    </row>
    <row r="311" spans="1:1" x14ac:dyDescent="0.2">
      <c r="A311" s="13"/>
    </row>
    <row r="312" spans="1:1" x14ac:dyDescent="0.2">
      <c r="A312" s="13"/>
    </row>
    <row r="313" spans="1:1" x14ac:dyDescent="0.2">
      <c r="A313" s="13"/>
    </row>
    <row r="314" spans="1:1" x14ac:dyDescent="0.2">
      <c r="A314" s="13"/>
    </row>
    <row r="315" spans="1:1" x14ac:dyDescent="0.2">
      <c r="A315" s="13"/>
    </row>
    <row r="316" spans="1:1" x14ac:dyDescent="0.2">
      <c r="A316" s="13"/>
    </row>
    <row r="317" spans="1:1" x14ac:dyDescent="0.2">
      <c r="A317" s="13"/>
    </row>
    <row r="318" spans="1:1" x14ac:dyDescent="0.2">
      <c r="A318" s="13"/>
    </row>
    <row r="319" spans="1:1" x14ac:dyDescent="0.2">
      <c r="A319" s="13"/>
    </row>
    <row r="320" spans="1:1" x14ac:dyDescent="0.2">
      <c r="A320" s="13"/>
    </row>
    <row r="321" spans="1:1" x14ac:dyDescent="0.2">
      <c r="A321" s="13"/>
    </row>
    <row r="322" spans="1:1" x14ac:dyDescent="0.2">
      <c r="A322" s="13"/>
    </row>
    <row r="323" spans="1:1" x14ac:dyDescent="0.2">
      <c r="A323" s="13"/>
    </row>
    <row r="324" spans="1:1" x14ac:dyDescent="0.2">
      <c r="A324" s="13"/>
    </row>
    <row r="325" spans="1:1" x14ac:dyDescent="0.2">
      <c r="A325" s="13"/>
    </row>
    <row r="326" spans="1:1" x14ac:dyDescent="0.2">
      <c r="A326" s="13"/>
    </row>
    <row r="327" spans="1:1" x14ac:dyDescent="0.2">
      <c r="A327" s="13"/>
    </row>
    <row r="328" spans="1:1" x14ac:dyDescent="0.2">
      <c r="A328" s="13"/>
    </row>
    <row r="329" spans="1:1" x14ac:dyDescent="0.2">
      <c r="A329" s="13"/>
    </row>
    <row r="330" spans="1:1" x14ac:dyDescent="0.2">
      <c r="A330" s="13"/>
    </row>
    <row r="331" spans="1:1" x14ac:dyDescent="0.2">
      <c r="A331" s="13"/>
    </row>
    <row r="332" spans="1:1" x14ac:dyDescent="0.2">
      <c r="A332" s="13"/>
    </row>
    <row r="333" spans="1:1" x14ac:dyDescent="0.2">
      <c r="A333" s="13"/>
    </row>
    <row r="334" spans="1:1" x14ac:dyDescent="0.2">
      <c r="A334" s="13"/>
    </row>
    <row r="335" spans="1:1" x14ac:dyDescent="0.2">
      <c r="A335" s="13"/>
    </row>
    <row r="336" spans="1:1" x14ac:dyDescent="0.2">
      <c r="A336" s="13"/>
    </row>
    <row r="337" spans="1:1" x14ac:dyDescent="0.2">
      <c r="A337" s="13"/>
    </row>
    <row r="338" spans="1:1" x14ac:dyDescent="0.2">
      <c r="A338" s="13"/>
    </row>
    <row r="339" spans="1:1" x14ac:dyDescent="0.2">
      <c r="A339" s="13"/>
    </row>
    <row r="340" spans="1:1" x14ac:dyDescent="0.2">
      <c r="A340" s="13"/>
    </row>
    <row r="341" spans="1:1" x14ac:dyDescent="0.2">
      <c r="A341" s="13"/>
    </row>
    <row r="342" spans="1:1" x14ac:dyDescent="0.2">
      <c r="A342" s="13"/>
    </row>
    <row r="343" spans="1:1" x14ac:dyDescent="0.2">
      <c r="A343" s="13"/>
    </row>
    <row r="344" spans="1:1" x14ac:dyDescent="0.2">
      <c r="A344" s="13"/>
    </row>
    <row r="345" spans="1:1" x14ac:dyDescent="0.2">
      <c r="A345" s="13"/>
    </row>
    <row r="346" spans="1:1" x14ac:dyDescent="0.2">
      <c r="A346" s="13"/>
    </row>
    <row r="347" spans="1:1" x14ac:dyDescent="0.2">
      <c r="A347" s="13"/>
    </row>
    <row r="348" spans="1:1" x14ac:dyDescent="0.2">
      <c r="A348" s="13"/>
    </row>
    <row r="349" spans="1:1" x14ac:dyDescent="0.2">
      <c r="A349" s="13"/>
    </row>
    <row r="350" spans="1:1" x14ac:dyDescent="0.2">
      <c r="A350" s="13"/>
    </row>
    <row r="351" spans="1:1" x14ac:dyDescent="0.2">
      <c r="A351" s="13"/>
    </row>
    <row r="352" spans="1:1" x14ac:dyDescent="0.2">
      <c r="A352" s="13"/>
    </row>
    <row r="353" spans="1:1" x14ac:dyDescent="0.2">
      <c r="A353" s="13"/>
    </row>
    <row r="354" spans="1:1" x14ac:dyDescent="0.2">
      <c r="A354" s="13"/>
    </row>
    <row r="355" spans="1:1" x14ac:dyDescent="0.2">
      <c r="A355" s="13"/>
    </row>
    <row r="356" spans="1:1" x14ac:dyDescent="0.2">
      <c r="A356" s="13"/>
    </row>
    <row r="357" spans="1:1" x14ac:dyDescent="0.2">
      <c r="A357" s="13"/>
    </row>
    <row r="358" spans="1:1" x14ac:dyDescent="0.2">
      <c r="A358" s="13"/>
    </row>
    <row r="359" spans="1:1" x14ac:dyDescent="0.2">
      <c r="A359" s="13"/>
    </row>
    <row r="360" spans="1:1" x14ac:dyDescent="0.2">
      <c r="A360" s="13"/>
    </row>
    <row r="361" spans="1:1" x14ac:dyDescent="0.2">
      <c r="A361" s="13"/>
    </row>
    <row r="362" spans="1:1" x14ac:dyDescent="0.2">
      <c r="A362" s="13"/>
    </row>
    <row r="363" spans="1:1" x14ac:dyDescent="0.2">
      <c r="A363" s="13"/>
    </row>
    <row r="364" spans="1:1" x14ac:dyDescent="0.2">
      <c r="A364" s="13"/>
    </row>
    <row r="365" spans="1:1" x14ac:dyDescent="0.2">
      <c r="A365" s="13"/>
    </row>
    <row r="366" spans="1:1" x14ac:dyDescent="0.2">
      <c r="A366" s="13"/>
    </row>
    <row r="367" spans="1:1" x14ac:dyDescent="0.2">
      <c r="A367" s="13"/>
    </row>
    <row r="368" spans="1:1" x14ac:dyDescent="0.2">
      <c r="A368" s="13"/>
    </row>
    <row r="369" spans="1:1" x14ac:dyDescent="0.2">
      <c r="A369" s="13"/>
    </row>
    <row r="370" spans="1:1" x14ac:dyDescent="0.2">
      <c r="A370" s="13"/>
    </row>
    <row r="371" spans="1:1" x14ac:dyDescent="0.2">
      <c r="A371" s="13"/>
    </row>
    <row r="372" spans="1:1" x14ac:dyDescent="0.2">
      <c r="A372" s="13"/>
    </row>
    <row r="373" spans="1:1" x14ac:dyDescent="0.2">
      <c r="A373" s="13"/>
    </row>
    <row r="374" spans="1:1" x14ac:dyDescent="0.2">
      <c r="A374" s="13"/>
    </row>
    <row r="375" spans="1:1" x14ac:dyDescent="0.2">
      <c r="A375" s="13"/>
    </row>
    <row r="376" spans="1:1" x14ac:dyDescent="0.2">
      <c r="A376" s="13"/>
    </row>
    <row r="377" spans="1:1" x14ac:dyDescent="0.2">
      <c r="A377" s="13"/>
    </row>
    <row r="378" spans="1:1" x14ac:dyDescent="0.2">
      <c r="A378" s="13"/>
    </row>
    <row r="379" spans="1:1" x14ac:dyDescent="0.2">
      <c r="A379" s="13"/>
    </row>
    <row r="380" spans="1:1" x14ac:dyDescent="0.2">
      <c r="A380" s="13"/>
    </row>
    <row r="381" spans="1:1" x14ac:dyDescent="0.2">
      <c r="A381" s="13"/>
    </row>
  </sheetData>
  <mergeCells count="15">
    <mergeCell ref="A8:A10"/>
    <mergeCell ref="I8:J9"/>
    <mergeCell ref="A1:S1"/>
    <mergeCell ref="A2:S2"/>
    <mergeCell ref="A3:S3"/>
    <mergeCell ref="A5:S5"/>
    <mergeCell ref="C7:J7"/>
    <mergeCell ref="L7:S7"/>
    <mergeCell ref="R8:S9"/>
    <mergeCell ref="C8:C10"/>
    <mergeCell ref="E8:E10"/>
    <mergeCell ref="G8:G10"/>
    <mergeCell ref="N8:N10"/>
    <mergeCell ref="L8:L10"/>
    <mergeCell ref="P8:P10"/>
  </mergeCells>
  <conditionalFormatting sqref="A1:A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11"/>
  <sheetViews>
    <sheetView rightToLeft="1" workbookViewId="0">
      <selection activeCell="A4" sqref="A4:I4"/>
    </sheetView>
  </sheetViews>
  <sheetFormatPr defaultRowHeight="18" x14ac:dyDescent="0.2"/>
  <cols>
    <col min="1" max="1" width="21.375" style="1" customWidth="1"/>
    <col min="2" max="2" width="0.5" style="1" customWidth="1"/>
    <col min="3" max="3" width="14.875" style="1" bestFit="1" customWidth="1"/>
    <col min="4" max="4" width="0.5" style="1" customWidth="1"/>
    <col min="5" max="5" width="11.625" style="1" bestFit="1" customWidth="1"/>
    <col min="6" max="6" width="0.5" style="1" customWidth="1"/>
    <col min="7" max="7" width="15.5" style="1" bestFit="1" customWidth="1"/>
    <col min="8" max="8" width="0.5" style="1" customWidth="1"/>
    <col min="9" max="9" width="11.625" style="1" bestFit="1" customWidth="1"/>
    <col min="10" max="16384" width="9" style="1"/>
  </cols>
  <sheetData>
    <row r="1" spans="1:10" ht="18" customHeight="1" x14ac:dyDescent="0.2">
      <c r="A1" s="69" t="s">
        <v>0</v>
      </c>
      <c r="B1" s="69"/>
      <c r="C1" s="69"/>
      <c r="D1" s="69"/>
      <c r="E1" s="69"/>
      <c r="F1" s="69"/>
      <c r="G1" s="69"/>
      <c r="H1" s="69"/>
      <c r="I1" s="69"/>
    </row>
    <row r="2" spans="1:10" ht="18" customHeight="1" x14ac:dyDescent="0.2">
      <c r="A2" s="69" t="s">
        <v>4</v>
      </c>
      <c r="B2" s="69"/>
      <c r="C2" s="69"/>
      <c r="D2" s="69"/>
      <c r="E2" s="69"/>
      <c r="F2" s="69"/>
      <c r="G2" s="69"/>
      <c r="H2" s="69"/>
      <c r="I2" s="69"/>
    </row>
    <row r="3" spans="1:10" ht="18" customHeight="1" x14ac:dyDescent="0.2">
      <c r="A3" s="69" t="s">
        <v>2</v>
      </c>
      <c r="B3" s="69"/>
      <c r="C3" s="69"/>
      <c r="D3" s="69"/>
      <c r="E3" s="69"/>
      <c r="F3" s="69"/>
      <c r="G3" s="69"/>
      <c r="H3" s="69"/>
      <c r="I3" s="69"/>
    </row>
    <row r="4" spans="1:10" ht="24.75" customHeight="1" x14ac:dyDescent="0.2">
      <c r="A4" s="71" t="s">
        <v>5</v>
      </c>
      <c r="B4" s="71"/>
      <c r="C4" s="71"/>
      <c r="D4" s="71"/>
      <c r="E4" s="71"/>
      <c r="F4" s="71"/>
      <c r="G4" s="71"/>
      <c r="H4" s="71"/>
      <c r="I4" s="71"/>
      <c r="J4" s="63"/>
    </row>
    <row r="5" spans="1:10" ht="18.75" thickBot="1" x14ac:dyDescent="0.25"/>
    <row r="6" spans="1:10" ht="21" x14ac:dyDescent="0.2">
      <c r="A6" s="6" t="s">
        <v>6</v>
      </c>
      <c r="B6" s="2"/>
      <c r="C6" s="73" t="s">
        <v>7</v>
      </c>
      <c r="D6" s="79"/>
      <c r="E6" s="79"/>
      <c r="F6" s="2"/>
      <c r="G6" s="73" t="s">
        <v>8</v>
      </c>
      <c r="H6" s="79"/>
      <c r="I6" s="79"/>
    </row>
    <row r="7" spans="1:10" ht="42" x14ac:dyDescent="0.2">
      <c r="A7" s="5" t="s">
        <v>9</v>
      </c>
      <c r="C7" s="5" t="s">
        <v>10</v>
      </c>
      <c r="E7" s="5" t="s">
        <v>11</v>
      </c>
      <c r="G7" s="5" t="s">
        <v>10</v>
      </c>
      <c r="I7" s="5" t="s">
        <v>11</v>
      </c>
    </row>
    <row r="8" spans="1:10" ht="26.25" customHeight="1" x14ac:dyDescent="0.2">
      <c r="A8" s="1" t="s">
        <v>12</v>
      </c>
      <c r="C8" s="3">
        <v>8054916760</v>
      </c>
      <c r="D8" s="3"/>
      <c r="E8" s="39">
        <f>C8/$C$10</f>
        <v>0.99999735628010367</v>
      </c>
      <c r="F8" s="3"/>
      <c r="G8" s="3">
        <v>26559797644</v>
      </c>
      <c r="H8" s="3"/>
      <c r="I8" s="39">
        <f>G8/$G$10</f>
        <v>0.99999681312593613</v>
      </c>
    </row>
    <row r="9" spans="1:10" ht="26.25" customHeight="1" thickBot="1" x14ac:dyDescent="0.25">
      <c r="A9" s="1" t="s">
        <v>13</v>
      </c>
      <c r="C9" s="3">
        <v>21295</v>
      </c>
      <c r="D9" s="3"/>
      <c r="E9" s="41">
        <f>C9/$C$10</f>
        <v>2.6437198963661054E-6</v>
      </c>
      <c r="F9" s="3"/>
      <c r="G9" s="3">
        <v>84643</v>
      </c>
      <c r="H9" s="3"/>
      <c r="I9" s="41">
        <f>G9/$G$10</f>
        <v>3.1868740638744984E-6</v>
      </c>
    </row>
    <row r="10" spans="1:10" s="15" customFormat="1" ht="22.5" thickTop="1" thickBot="1" x14ac:dyDescent="0.25">
      <c r="A10" s="15" t="s">
        <v>14</v>
      </c>
      <c r="C10" s="21">
        <v>8054938055</v>
      </c>
      <c r="D10" s="38"/>
      <c r="E10" s="40">
        <f>SUM(E8:E9)</f>
        <v>1</v>
      </c>
      <c r="F10" s="38"/>
      <c r="G10" s="21">
        <v>26559882287</v>
      </c>
      <c r="H10" s="38"/>
      <c r="I10" s="40">
        <f>SUM(I8:I9)</f>
        <v>1</v>
      </c>
    </row>
    <row r="11" spans="1:10" ht="18.75" thickTop="1" x14ac:dyDescent="0.2"/>
  </sheetData>
  <mergeCells count="6">
    <mergeCell ref="C6:E6"/>
    <mergeCell ref="G6:I6"/>
    <mergeCell ref="A1:I1"/>
    <mergeCell ref="A2:I2"/>
    <mergeCell ref="A3:I3"/>
    <mergeCell ref="A4:I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9"/>
  <sheetViews>
    <sheetView rightToLeft="1" workbookViewId="0">
      <selection activeCell="A4" sqref="A4:E4"/>
    </sheetView>
  </sheetViews>
  <sheetFormatPr defaultRowHeight="18" x14ac:dyDescent="0.2"/>
  <cols>
    <col min="1" max="1" width="21.75" style="1" customWidth="1"/>
    <col min="2" max="2" width="0.5" style="1" customWidth="1"/>
    <col min="3" max="3" width="11.5" style="1" bestFit="1" customWidth="1"/>
    <col min="4" max="4" width="0.5" style="1" customWidth="1"/>
    <col min="5" max="5" width="20" style="1" bestFit="1" customWidth="1"/>
    <col min="6" max="16384" width="9" style="1"/>
  </cols>
  <sheetData>
    <row r="1" spans="1:5" x14ac:dyDescent="0.2">
      <c r="A1" s="69" t="s">
        <v>0</v>
      </c>
      <c r="B1" s="70"/>
      <c r="C1" s="70"/>
      <c r="D1" s="70"/>
      <c r="E1" s="70"/>
    </row>
    <row r="2" spans="1:5" x14ac:dyDescent="0.2">
      <c r="A2" s="69" t="s">
        <v>4</v>
      </c>
      <c r="B2" s="70"/>
      <c r="C2" s="70"/>
      <c r="D2" s="70"/>
      <c r="E2" s="70"/>
    </row>
    <row r="3" spans="1:5" x14ac:dyDescent="0.2">
      <c r="A3" s="69" t="s">
        <v>2</v>
      </c>
      <c r="B3" s="70"/>
      <c r="C3" s="70"/>
      <c r="D3" s="70"/>
      <c r="E3" s="70"/>
    </row>
    <row r="4" spans="1:5" ht="24.75" x14ac:dyDescent="0.2">
      <c r="A4" s="71" t="s">
        <v>26</v>
      </c>
      <c r="B4" s="72"/>
      <c r="C4" s="72"/>
      <c r="D4" s="72"/>
      <c r="E4" s="72"/>
    </row>
    <row r="6" spans="1:5" s="15" customFormat="1" ht="21" x14ac:dyDescent="0.2">
      <c r="A6" s="80" t="s">
        <v>27</v>
      </c>
      <c r="C6" s="80" t="s">
        <v>7</v>
      </c>
      <c r="E6" s="80" t="s">
        <v>8</v>
      </c>
    </row>
    <row r="7" spans="1:5" s="15" customFormat="1" ht="21" x14ac:dyDescent="0.2">
      <c r="A7" s="81"/>
      <c r="C7" s="81"/>
      <c r="E7" s="81"/>
    </row>
    <row r="8" spans="1:5" ht="27.75" customHeight="1" x14ac:dyDescent="0.2">
      <c r="A8" s="37" t="s">
        <v>28</v>
      </c>
      <c r="C8" s="4">
        <v>760762007</v>
      </c>
      <c r="E8" s="4">
        <v>8117623132</v>
      </c>
    </row>
    <row r="9" spans="1:5" s="15" customFormat="1" ht="21" x14ac:dyDescent="0.2">
      <c r="A9" s="14" t="s">
        <v>14</v>
      </c>
      <c r="C9" s="21">
        <f>SUM(C8)</f>
        <v>760762007</v>
      </c>
      <c r="E9" s="21">
        <f>SUM(E8)</f>
        <v>8117623132</v>
      </c>
    </row>
  </sheetData>
  <mergeCells count="7">
    <mergeCell ref="A1:E1"/>
    <mergeCell ref="A2:E2"/>
    <mergeCell ref="A3:E3"/>
    <mergeCell ref="A4:E4"/>
    <mergeCell ref="A6:A7"/>
    <mergeCell ref="C6:C7"/>
    <mergeCell ref="E6:E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S101"/>
  <sheetViews>
    <sheetView rightToLeft="1" zoomScaleNormal="100" workbookViewId="0">
      <selection activeCell="A4" sqref="A4:S4"/>
    </sheetView>
  </sheetViews>
  <sheetFormatPr defaultRowHeight="18" x14ac:dyDescent="0.2"/>
  <cols>
    <col min="1" max="1" width="22.25" style="1" bestFit="1" customWidth="1"/>
    <col min="2" max="2" width="0.5" style="1" customWidth="1"/>
    <col min="3" max="3" width="10.625" style="1" bestFit="1" customWidth="1"/>
    <col min="4" max="4" width="0.5" style="1" customWidth="1"/>
    <col min="5" max="5" width="14.5" style="1" bestFit="1" customWidth="1"/>
    <col min="6" max="6" width="0.5" style="1" customWidth="1"/>
    <col min="7" max="7" width="8" style="1" bestFit="1" customWidth="1"/>
    <col min="8" max="8" width="0.5" style="1" customWidth="1"/>
    <col min="9" max="9" width="15.375" style="1" bestFit="1" customWidth="1"/>
    <col min="10" max="10" width="0.5" style="1" customWidth="1"/>
    <col min="11" max="11" width="14.25" style="1" bestFit="1" customWidth="1"/>
    <col min="12" max="12" width="0.5" style="1" customWidth="1"/>
    <col min="13" max="13" width="14.75" style="1" bestFit="1" customWidth="1"/>
    <col min="14" max="14" width="0.5" style="1" customWidth="1"/>
    <col min="15" max="15" width="15.375" style="1" bestFit="1" customWidth="1"/>
    <col min="16" max="16" width="0.5" style="1" customWidth="1"/>
    <col min="17" max="17" width="14.875" style="1" bestFit="1" customWidth="1"/>
    <col min="18" max="18" width="0.5" style="1" customWidth="1"/>
    <col min="19" max="19" width="15.375" style="1" bestFit="1" customWidth="1"/>
    <col min="20" max="16384" width="9" style="1"/>
  </cols>
  <sheetData>
    <row r="1" spans="1:19" x14ac:dyDescent="0.2">
      <c r="A1" s="69" t="s">
        <v>0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</row>
    <row r="2" spans="1:19" x14ac:dyDescent="0.2">
      <c r="A2" s="69" t="s">
        <v>1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</row>
    <row r="3" spans="1:19" x14ac:dyDescent="0.2">
      <c r="A3" s="69" t="s">
        <v>2</v>
      </c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</row>
    <row r="4" spans="1:19" ht="24.75" x14ac:dyDescent="0.2">
      <c r="A4" s="71" t="s">
        <v>42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</row>
    <row r="5" spans="1:19" s="15" customFormat="1" ht="21" x14ac:dyDescent="0.2">
      <c r="C5" s="66" t="s">
        <v>43</v>
      </c>
      <c r="D5" s="82"/>
      <c r="E5" s="82"/>
      <c r="F5" s="82"/>
      <c r="G5" s="82"/>
      <c r="I5" s="66" t="s">
        <v>7</v>
      </c>
      <c r="J5" s="82"/>
      <c r="K5" s="82"/>
      <c r="L5" s="82"/>
      <c r="M5" s="82"/>
      <c r="O5" s="66" t="s">
        <v>8</v>
      </c>
      <c r="P5" s="82"/>
      <c r="Q5" s="82"/>
      <c r="R5" s="82"/>
      <c r="S5" s="82"/>
    </row>
    <row r="6" spans="1:19" s="15" customFormat="1" ht="63" x14ac:dyDescent="0.2">
      <c r="A6" s="5" t="s">
        <v>31</v>
      </c>
      <c r="C6" s="5" t="s">
        <v>44</v>
      </c>
      <c r="E6" s="5" t="s">
        <v>45</v>
      </c>
      <c r="G6" s="5" t="s">
        <v>46</v>
      </c>
      <c r="I6" s="5" t="s">
        <v>47</v>
      </c>
      <c r="K6" s="5" t="s">
        <v>19</v>
      </c>
      <c r="M6" s="5" t="s">
        <v>48</v>
      </c>
      <c r="O6" s="5" t="s">
        <v>47</v>
      </c>
      <c r="Q6" s="5" t="s">
        <v>19</v>
      </c>
      <c r="S6" s="5" t="s">
        <v>48</v>
      </c>
    </row>
    <row r="7" spans="1:19" x14ac:dyDescent="0.2">
      <c r="A7" s="13" t="s">
        <v>49</v>
      </c>
      <c r="C7" s="13" t="s">
        <v>50</v>
      </c>
      <c r="E7" s="3">
        <v>39127354</v>
      </c>
      <c r="G7" s="3">
        <v>150</v>
      </c>
      <c r="I7" s="3">
        <v>0</v>
      </c>
      <c r="K7" s="3">
        <v>0</v>
      </c>
      <c r="M7" s="3">
        <f>I7-K7</f>
        <v>0</v>
      </c>
      <c r="O7" s="3">
        <v>5869103100</v>
      </c>
      <c r="Q7" s="3">
        <v>0</v>
      </c>
      <c r="S7" s="3">
        <f>O7-Q7</f>
        <v>5869103100</v>
      </c>
    </row>
    <row r="8" spans="1:19" x14ac:dyDescent="0.2">
      <c r="A8" s="13" t="s">
        <v>51</v>
      </c>
      <c r="C8" s="13" t="s">
        <v>52</v>
      </c>
      <c r="E8" s="3">
        <v>30204778</v>
      </c>
      <c r="G8" s="3">
        <v>450</v>
      </c>
      <c r="I8" s="3">
        <v>0</v>
      </c>
      <c r="K8" s="3">
        <v>0</v>
      </c>
      <c r="M8" s="3">
        <f t="shared" ref="M8:M71" si="0">I8-K8</f>
        <v>0</v>
      </c>
      <c r="O8" s="3">
        <v>13592150100</v>
      </c>
      <c r="Q8" s="3">
        <v>0</v>
      </c>
      <c r="S8" s="3">
        <f t="shared" ref="S8:S71" si="1">O8-Q8</f>
        <v>13592150100</v>
      </c>
    </row>
    <row r="9" spans="1:19" x14ac:dyDescent="0.2">
      <c r="A9" s="13" t="s">
        <v>53</v>
      </c>
      <c r="C9" s="13" t="s">
        <v>54</v>
      </c>
      <c r="E9" s="3">
        <v>72579156</v>
      </c>
      <c r="G9" s="3">
        <v>240</v>
      </c>
      <c r="I9" s="3">
        <v>0</v>
      </c>
      <c r="K9" s="3">
        <v>0</v>
      </c>
      <c r="M9" s="3">
        <f t="shared" si="0"/>
        <v>0</v>
      </c>
      <c r="O9" s="3">
        <v>17418997440</v>
      </c>
      <c r="Q9" s="3">
        <v>0</v>
      </c>
      <c r="S9" s="3">
        <f t="shared" si="1"/>
        <v>17418997440</v>
      </c>
    </row>
    <row r="10" spans="1:19" x14ac:dyDescent="0.2">
      <c r="A10" s="13" t="s">
        <v>55</v>
      </c>
      <c r="C10" s="13" t="s">
        <v>54</v>
      </c>
      <c r="E10" s="3">
        <v>42302049</v>
      </c>
      <c r="G10" s="3">
        <v>475</v>
      </c>
      <c r="I10" s="3">
        <v>0</v>
      </c>
      <c r="K10" s="3">
        <v>0</v>
      </c>
      <c r="M10" s="3">
        <f t="shared" si="0"/>
        <v>0</v>
      </c>
      <c r="O10" s="3">
        <v>20093473275</v>
      </c>
      <c r="Q10" s="3">
        <v>27487652</v>
      </c>
      <c r="S10" s="3">
        <f t="shared" si="1"/>
        <v>20065985623</v>
      </c>
    </row>
    <row r="11" spans="1:19" x14ac:dyDescent="0.2">
      <c r="A11" s="13" t="s">
        <v>56</v>
      </c>
      <c r="C11" s="13" t="s">
        <v>57</v>
      </c>
      <c r="E11" s="3">
        <v>62901815</v>
      </c>
      <c r="G11" s="3">
        <v>390</v>
      </c>
      <c r="I11" s="3">
        <v>0</v>
      </c>
      <c r="K11" s="3">
        <v>0</v>
      </c>
      <c r="M11" s="3">
        <f t="shared" si="0"/>
        <v>0</v>
      </c>
      <c r="O11" s="3">
        <v>24531707850</v>
      </c>
      <c r="Q11" s="3">
        <v>0</v>
      </c>
      <c r="S11" s="3">
        <f t="shared" si="1"/>
        <v>24531707850</v>
      </c>
    </row>
    <row r="12" spans="1:19" x14ac:dyDescent="0.2">
      <c r="A12" s="13" t="s">
        <v>58</v>
      </c>
      <c r="C12" s="13" t="s">
        <v>59</v>
      </c>
      <c r="E12" s="3">
        <v>10790479</v>
      </c>
      <c r="G12" s="3">
        <v>530</v>
      </c>
      <c r="I12" s="3">
        <v>0</v>
      </c>
      <c r="K12" s="3">
        <v>0</v>
      </c>
      <c r="M12" s="3">
        <f t="shared" si="0"/>
        <v>0</v>
      </c>
      <c r="O12" s="3">
        <v>5718953870</v>
      </c>
      <c r="Q12" s="3">
        <v>0</v>
      </c>
      <c r="S12" s="3">
        <f t="shared" si="1"/>
        <v>5718953870</v>
      </c>
    </row>
    <row r="13" spans="1:19" x14ac:dyDescent="0.2">
      <c r="A13" s="13" t="s">
        <v>60</v>
      </c>
      <c r="C13" s="13" t="s">
        <v>61</v>
      </c>
      <c r="E13" s="3">
        <v>8879348</v>
      </c>
      <c r="G13" s="3">
        <v>840</v>
      </c>
      <c r="I13" s="3">
        <v>0</v>
      </c>
      <c r="K13" s="3">
        <v>0</v>
      </c>
      <c r="M13" s="3">
        <f t="shared" si="0"/>
        <v>0</v>
      </c>
      <c r="O13" s="3">
        <v>7458652320</v>
      </c>
      <c r="Q13" s="3">
        <v>0</v>
      </c>
      <c r="S13" s="3">
        <f t="shared" si="1"/>
        <v>7458652320</v>
      </c>
    </row>
    <row r="14" spans="1:19" x14ac:dyDescent="0.2">
      <c r="A14" s="13" t="s">
        <v>62</v>
      </c>
      <c r="C14" s="13" t="s">
        <v>61</v>
      </c>
      <c r="E14" s="3">
        <v>5980381</v>
      </c>
      <c r="G14" s="3">
        <v>3132</v>
      </c>
      <c r="I14" s="3">
        <v>0</v>
      </c>
      <c r="K14" s="3">
        <v>0</v>
      </c>
      <c r="M14" s="3">
        <f t="shared" si="0"/>
        <v>0</v>
      </c>
      <c r="O14" s="3">
        <v>18730553292</v>
      </c>
      <c r="Q14" s="3">
        <v>140065320</v>
      </c>
      <c r="S14" s="3">
        <f t="shared" si="1"/>
        <v>18590487972</v>
      </c>
    </row>
    <row r="15" spans="1:19" x14ac:dyDescent="0.2">
      <c r="A15" s="13" t="s">
        <v>63</v>
      </c>
      <c r="C15" s="13" t="s">
        <v>64</v>
      </c>
      <c r="E15" s="3">
        <v>24882813</v>
      </c>
      <c r="G15" s="3">
        <v>850</v>
      </c>
      <c r="I15" s="3">
        <v>0</v>
      </c>
      <c r="K15" s="3">
        <v>0</v>
      </c>
      <c r="M15" s="3">
        <f t="shared" si="0"/>
        <v>0</v>
      </c>
      <c r="O15" s="3">
        <v>21150391050</v>
      </c>
      <c r="Q15" s="3">
        <v>229272532</v>
      </c>
      <c r="S15" s="3">
        <f t="shared" si="1"/>
        <v>20921118518</v>
      </c>
    </row>
    <row r="16" spans="1:19" x14ac:dyDescent="0.2">
      <c r="A16" s="13" t="s">
        <v>65</v>
      </c>
      <c r="C16" s="13" t="s">
        <v>66</v>
      </c>
      <c r="E16" s="3">
        <v>2147520</v>
      </c>
      <c r="G16" s="3">
        <v>7435</v>
      </c>
      <c r="I16" s="3">
        <v>0</v>
      </c>
      <c r="K16" s="3">
        <v>0</v>
      </c>
      <c r="M16" s="3">
        <f t="shared" si="0"/>
        <v>0</v>
      </c>
      <c r="O16" s="3">
        <v>15966811200</v>
      </c>
      <c r="Q16" s="3">
        <v>0</v>
      </c>
      <c r="S16" s="3">
        <f t="shared" si="1"/>
        <v>15966811200</v>
      </c>
    </row>
    <row r="17" spans="1:19" x14ac:dyDescent="0.2">
      <c r="A17" s="13" t="s">
        <v>67</v>
      </c>
      <c r="C17" s="13" t="s">
        <v>68</v>
      </c>
      <c r="E17" s="3">
        <v>300610</v>
      </c>
      <c r="G17" s="3">
        <v>28874</v>
      </c>
      <c r="I17" s="3">
        <v>0</v>
      </c>
      <c r="K17" s="3">
        <v>0</v>
      </c>
      <c r="M17" s="3">
        <f t="shared" si="0"/>
        <v>0</v>
      </c>
      <c r="O17" s="3">
        <v>8679813140</v>
      </c>
      <c r="Q17" s="3">
        <v>0</v>
      </c>
      <c r="S17" s="3">
        <f t="shared" si="1"/>
        <v>8679813140</v>
      </c>
    </row>
    <row r="18" spans="1:19" x14ac:dyDescent="0.2">
      <c r="A18" s="13" t="s">
        <v>69</v>
      </c>
      <c r="C18" s="13" t="s">
        <v>70</v>
      </c>
      <c r="E18" s="3">
        <v>24428376</v>
      </c>
      <c r="G18" s="3">
        <v>790</v>
      </c>
      <c r="I18" s="3">
        <v>0</v>
      </c>
      <c r="K18" s="3">
        <v>0</v>
      </c>
      <c r="M18" s="3">
        <f t="shared" si="0"/>
        <v>0</v>
      </c>
      <c r="O18" s="3">
        <v>19298417040</v>
      </c>
      <c r="Q18" s="3">
        <v>0</v>
      </c>
      <c r="S18" s="3">
        <f t="shared" si="1"/>
        <v>19298417040</v>
      </c>
    </row>
    <row r="19" spans="1:19" x14ac:dyDescent="0.2">
      <c r="A19" s="13" t="s">
        <v>71</v>
      </c>
      <c r="C19" s="13" t="s">
        <v>70</v>
      </c>
      <c r="E19" s="3">
        <v>4709014</v>
      </c>
      <c r="G19" s="3">
        <v>300</v>
      </c>
      <c r="I19" s="3">
        <v>0</v>
      </c>
      <c r="K19" s="3">
        <v>0</v>
      </c>
      <c r="M19" s="3">
        <f t="shared" si="0"/>
        <v>0</v>
      </c>
      <c r="O19" s="3">
        <v>1412704200</v>
      </c>
      <c r="Q19" s="3">
        <v>0</v>
      </c>
      <c r="S19" s="3">
        <f t="shared" si="1"/>
        <v>1412704200</v>
      </c>
    </row>
    <row r="20" spans="1:19" x14ac:dyDescent="0.2">
      <c r="A20" s="13" t="s">
        <v>72</v>
      </c>
      <c r="C20" s="13" t="s">
        <v>73</v>
      </c>
      <c r="E20" s="3">
        <v>1150192</v>
      </c>
      <c r="G20" s="3">
        <v>9700</v>
      </c>
      <c r="I20" s="3">
        <v>0</v>
      </c>
      <c r="K20" s="3">
        <v>0</v>
      </c>
      <c r="M20" s="3">
        <f t="shared" si="0"/>
        <v>0</v>
      </c>
      <c r="O20" s="3">
        <v>11156862400</v>
      </c>
      <c r="Q20" s="3">
        <v>0</v>
      </c>
      <c r="S20" s="3">
        <f t="shared" si="1"/>
        <v>11156862400</v>
      </c>
    </row>
    <row r="21" spans="1:19" x14ac:dyDescent="0.2">
      <c r="A21" s="13" t="s">
        <v>74</v>
      </c>
      <c r="C21" s="13" t="s">
        <v>75</v>
      </c>
      <c r="E21" s="3">
        <v>1646489</v>
      </c>
      <c r="G21" s="3">
        <v>1500</v>
      </c>
      <c r="I21" s="3">
        <v>0</v>
      </c>
      <c r="K21" s="3">
        <v>0</v>
      </c>
      <c r="M21" s="3">
        <f t="shared" si="0"/>
        <v>0</v>
      </c>
      <c r="O21" s="3">
        <v>2469733500</v>
      </c>
      <c r="Q21" s="3">
        <v>0</v>
      </c>
      <c r="S21" s="3">
        <f t="shared" si="1"/>
        <v>2469733500</v>
      </c>
    </row>
    <row r="22" spans="1:19" x14ac:dyDescent="0.2">
      <c r="A22" s="13" t="s">
        <v>76</v>
      </c>
      <c r="C22" s="13" t="s">
        <v>77</v>
      </c>
      <c r="E22" s="3">
        <v>1420433</v>
      </c>
      <c r="G22" s="3">
        <v>300</v>
      </c>
      <c r="I22" s="3">
        <v>0</v>
      </c>
      <c r="K22" s="3">
        <v>0</v>
      </c>
      <c r="M22" s="3">
        <f t="shared" si="0"/>
        <v>0</v>
      </c>
      <c r="O22" s="3">
        <v>426129900</v>
      </c>
      <c r="Q22" s="3">
        <v>0</v>
      </c>
      <c r="S22" s="3">
        <f t="shared" si="1"/>
        <v>426129900</v>
      </c>
    </row>
    <row r="23" spans="1:19" x14ac:dyDescent="0.2">
      <c r="A23" s="13" t="s">
        <v>78</v>
      </c>
      <c r="C23" s="13" t="s">
        <v>77</v>
      </c>
      <c r="E23" s="3">
        <v>603813</v>
      </c>
      <c r="G23" s="3">
        <v>6928</v>
      </c>
      <c r="I23" s="3">
        <v>0</v>
      </c>
      <c r="K23" s="3">
        <v>0</v>
      </c>
      <c r="M23" s="3">
        <f t="shared" si="0"/>
        <v>0</v>
      </c>
      <c r="O23" s="3">
        <v>4183216464</v>
      </c>
      <c r="Q23" s="3">
        <v>382658880</v>
      </c>
      <c r="S23" s="3">
        <f t="shared" si="1"/>
        <v>3800557584</v>
      </c>
    </row>
    <row r="24" spans="1:19" x14ac:dyDescent="0.2">
      <c r="A24" s="13" t="s">
        <v>79</v>
      </c>
      <c r="C24" s="13" t="s">
        <v>77</v>
      </c>
      <c r="E24" s="3">
        <v>20055032</v>
      </c>
      <c r="G24" s="3">
        <v>91</v>
      </c>
      <c r="I24" s="3">
        <v>0</v>
      </c>
      <c r="K24" s="3">
        <v>0</v>
      </c>
      <c r="M24" s="3">
        <f t="shared" si="0"/>
        <v>0</v>
      </c>
      <c r="O24" s="3">
        <v>1825007912</v>
      </c>
      <c r="Q24" s="3">
        <v>0</v>
      </c>
      <c r="S24" s="3">
        <f t="shared" si="1"/>
        <v>1825007912</v>
      </c>
    </row>
    <row r="25" spans="1:19" x14ac:dyDescent="0.2">
      <c r="A25" s="13" t="s">
        <v>80</v>
      </c>
      <c r="C25" s="13" t="s">
        <v>75</v>
      </c>
      <c r="E25" s="3">
        <v>3991738</v>
      </c>
      <c r="G25" s="3">
        <v>225</v>
      </c>
      <c r="I25" s="3">
        <v>0</v>
      </c>
      <c r="K25" s="3">
        <v>0</v>
      </c>
      <c r="M25" s="3">
        <f t="shared" si="0"/>
        <v>0</v>
      </c>
      <c r="O25" s="3">
        <v>898141050</v>
      </c>
      <c r="Q25" s="3">
        <v>29739770</v>
      </c>
      <c r="S25" s="3">
        <f t="shared" si="1"/>
        <v>868401280</v>
      </c>
    </row>
    <row r="26" spans="1:19" x14ac:dyDescent="0.2">
      <c r="A26" s="13" t="s">
        <v>81</v>
      </c>
      <c r="C26" s="13" t="s">
        <v>75</v>
      </c>
      <c r="E26" s="3">
        <v>35517068</v>
      </c>
      <c r="G26" s="3">
        <v>630</v>
      </c>
      <c r="I26" s="3">
        <v>0</v>
      </c>
      <c r="K26" s="3">
        <v>0</v>
      </c>
      <c r="M26" s="3">
        <f t="shared" si="0"/>
        <v>0</v>
      </c>
      <c r="O26" s="3">
        <v>22375752840</v>
      </c>
      <c r="Q26" s="3">
        <v>0</v>
      </c>
      <c r="S26" s="3">
        <f t="shared" si="1"/>
        <v>22375752840</v>
      </c>
    </row>
    <row r="27" spans="1:19" x14ac:dyDescent="0.2">
      <c r="A27" s="13" t="s">
        <v>82</v>
      </c>
      <c r="C27" s="13" t="s">
        <v>75</v>
      </c>
      <c r="E27" s="3">
        <v>71962098</v>
      </c>
      <c r="G27" s="3">
        <v>104</v>
      </c>
      <c r="I27" s="3">
        <v>0</v>
      </c>
      <c r="K27" s="3">
        <v>0</v>
      </c>
      <c r="M27" s="3">
        <f t="shared" si="0"/>
        <v>0</v>
      </c>
      <c r="O27" s="3">
        <v>7484058192</v>
      </c>
      <c r="Q27" s="3">
        <v>0</v>
      </c>
      <c r="S27" s="3">
        <f t="shared" si="1"/>
        <v>7484058192</v>
      </c>
    </row>
    <row r="28" spans="1:19" x14ac:dyDescent="0.2">
      <c r="A28" s="13" t="s">
        <v>83</v>
      </c>
      <c r="C28" s="13" t="s">
        <v>84</v>
      </c>
      <c r="E28" s="3">
        <v>26603150</v>
      </c>
      <c r="G28" s="3">
        <v>630</v>
      </c>
      <c r="I28" s="3">
        <v>0</v>
      </c>
      <c r="K28" s="3">
        <v>0</v>
      </c>
      <c r="M28" s="3">
        <f t="shared" si="0"/>
        <v>0</v>
      </c>
      <c r="O28" s="3">
        <v>16759984500</v>
      </c>
      <c r="Q28" s="3">
        <v>170440520</v>
      </c>
      <c r="S28" s="3">
        <f t="shared" si="1"/>
        <v>16589543980</v>
      </c>
    </row>
    <row r="29" spans="1:19" x14ac:dyDescent="0.2">
      <c r="A29" s="13" t="s">
        <v>85</v>
      </c>
      <c r="C29" s="13" t="s">
        <v>86</v>
      </c>
      <c r="E29" s="3">
        <v>941798</v>
      </c>
      <c r="G29" s="3">
        <v>22700</v>
      </c>
      <c r="I29" s="3">
        <v>0</v>
      </c>
      <c r="K29" s="3">
        <v>0</v>
      </c>
      <c r="M29" s="3">
        <f t="shared" si="0"/>
        <v>0</v>
      </c>
      <c r="O29" s="3">
        <v>21378814600</v>
      </c>
      <c r="Q29" s="3">
        <v>0</v>
      </c>
      <c r="S29" s="3">
        <f t="shared" si="1"/>
        <v>21378814600</v>
      </c>
    </row>
    <row r="30" spans="1:19" x14ac:dyDescent="0.2">
      <c r="A30" s="13" t="s">
        <v>87</v>
      </c>
      <c r="C30" s="13" t="s">
        <v>86</v>
      </c>
      <c r="E30" s="3">
        <v>20412175</v>
      </c>
      <c r="G30" s="3">
        <v>150</v>
      </c>
      <c r="I30" s="3">
        <v>0</v>
      </c>
      <c r="K30" s="3">
        <v>0</v>
      </c>
      <c r="M30" s="3">
        <f t="shared" si="0"/>
        <v>0</v>
      </c>
      <c r="O30" s="3">
        <v>3061826250</v>
      </c>
      <c r="Q30" s="3">
        <v>0</v>
      </c>
      <c r="S30" s="3">
        <f t="shared" si="1"/>
        <v>3061826250</v>
      </c>
    </row>
    <row r="31" spans="1:19" x14ac:dyDescent="0.2">
      <c r="A31" s="13" t="s">
        <v>88</v>
      </c>
      <c r="C31" s="13" t="s">
        <v>86</v>
      </c>
      <c r="E31" s="3">
        <v>35012218</v>
      </c>
      <c r="G31" s="3">
        <v>440</v>
      </c>
      <c r="I31" s="3">
        <v>0</v>
      </c>
      <c r="K31" s="3">
        <v>0</v>
      </c>
      <c r="M31" s="3">
        <f t="shared" si="0"/>
        <v>0</v>
      </c>
      <c r="O31" s="3">
        <v>15405375920</v>
      </c>
      <c r="Q31" s="3">
        <v>300037543</v>
      </c>
      <c r="S31" s="3">
        <f t="shared" si="1"/>
        <v>15105338377</v>
      </c>
    </row>
    <row r="32" spans="1:19" x14ac:dyDescent="0.2">
      <c r="A32" s="13" t="s">
        <v>89</v>
      </c>
      <c r="C32" s="13" t="s">
        <v>90</v>
      </c>
      <c r="E32" s="3">
        <v>9874110</v>
      </c>
      <c r="G32" s="3">
        <v>745</v>
      </c>
      <c r="I32" s="3">
        <v>0</v>
      </c>
      <c r="K32" s="3">
        <v>0</v>
      </c>
      <c r="M32" s="3">
        <f t="shared" si="0"/>
        <v>0</v>
      </c>
      <c r="O32" s="3">
        <v>7356211950</v>
      </c>
      <c r="Q32" s="3">
        <v>290376787</v>
      </c>
      <c r="S32" s="3">
        <f t="shared" si="1"/>
        <v>7065835163</v>
      </c>
    </row>
    <row r="33" spans="1:19" x14ac:dyDescent="0.2">
      <c r="A33" s="13" t="s">
        <v>91</v>
      </c>
      <c r="C33" s="13" t="s">
        <v>92</v>
      </c>
      <c r="E33" s="3">
        <v>8028292</v>
      </c>
      <c r="G33" s="3">
        <v>940</v>
      </c>
      <c r="I33" s="3">
        <v>0</v>
      </c>
      <c r="K33" s="3">
        <v>0</v>
      </c>
      <c r="M33" s="3">
        <f t="shared" si="0"/>
        <v>0</v>
      </c>
      <c r="O33" s="3">
        <v>7546594480</v>
      </c>
      <c r="Q33" s="3">
        <v>297891887</v>
      </c>
      <c r="S33" s="3">
        <f t="shared" si="1"/>
        <v>7248702593</v>
      </c>
    </row>
    <row r="34" spans="1:19" x14ac:dyDescent="0.2">
      <c r="A34" s="13" t="s">
        <v>93</v>
      </c>
      <c r="C34" s="13" t="s">
        <v>92</v>
      </c>
      <c r="E34" s="3">
        <v>79695671</v>
      </c>
      <c r="G34" s="3">
        <v>40</v>
      </c>
      <c r="I34" s="3">
        <v>0</v>
      </c>
      <c r="K34" s="3">
        <v>0</v>
      </c>
      <c r="M34" s="3">
        <f t="shared" si="0"/>
        <v>0</v>
      </c>
      <c r="O34" s="3">
        <v>3187826840</v>
      </c>
      <c r="Q34" s="3">
        <v>76712411</v>
      </c>
      <c r="S34" s="3">
        <f t="shared" si="1"/>
        <v>3111114429</v>
      </c>
    </row>
    <row r="35" spans="1:19" x14ac:dyDescent="0.2">
      <c r="A35" s="13" t="s">
        <v>94</v>
      </c>
      <c r="C35" s="13" t="s">
        <v>95</v>
      </c>
      <c r="E35" s="3">
        <v>34746243</v>
      </c>
      <c r="G35" s="3">
        <v>37</v>
      </c>
      <c r="I35" s="3">
        <v>0</v>
      </c>
      <c r="K35" s="3">
        <v>0</v>
      </c>
      <c r="M35" s="3">
        <f t="shared" si="0"/>
        <v>0</v>
      </c>
      <c r="O35" s="3">
        <v>1285610991</v>
      </c>
      <c r="Q35" s="3">
        <v>30937163</v>
      </c>
      <c r="S35" s="3">
        <f t="shared" si="1"/>
        <v>1254673828</v>
      </c>
    </row>
    <row r="36" spans="1:19" x14ac:dyDescent="0.2">
      <c r="A36" s="13" t="s">
        <v>96</v>
      </c>
      <c r="C36" s="13" t="s">
        <v>97</v>
      </c>
      <c r="E36" s="3">
        <v>139658</v>
      </c>
      <c r="G36" s="3">
        <v>3650</v>
      </c>
      <c r="I36" s="3">
        <v>0</v>
      </c>
      <c r="K36" s="3">
        <v>0</v>
      </c>
      <c r="M36" s="3">
        <f t="shared" si="0"/>
        <v>0</v>
      </c>
      <c r="O36" s="3">
        <v>509751700</v>
      </c>
      <c r="Q36" s="3">
        <v>0</v>
      </c>
      <c r="S36" s="3">
        <f t="shared" si="1"/>
        <v>509751700</v>
      </c>
    </row>
    <row r="37" spans="1:19" x14ac:dyDescent="0.2">
      <c r="A37" s="13" t="s">
        <v>98</v>
      </c>
      <c r="C37" s="13" t="s">
        <v>97</v>
      </c>
      <c r="E37" s="3">
        <v>24931172</v>
      </c>
      <c r="G37" s="3">
        <v>260</v>
      </c>
      <c r="I37" s="3">
        <v>0</v>
      </c>
      <c r="K37" s="3">
        <v>0</v>
      </c>
      <c r="M37" s="3">
        <f t="shared" si="0"/>
        <v>0</v>
      </c>
      <c r="O37" s="3">
        <v>6482104720</v>
      </c>
      <c r="Q37" s="3">
        <v>155986477</v>
      </c>
      <c r="S37" s="3">
        <f t="shared" si="1"/>
        <v>6326118243</v>
      </c>
    </row>
    <row r="38" spans="1:19" x14ac:dyDescent="0.2">
      <c r="A38" s="13" t="s">
        <v>99</v>
      </c>
      <c r="C38" s="13" t="s">
        <v>100</v>
      </c>
      <c r="E38" s="3">
        <v>43882858</v>
      </c>
      <c r="G38" s="3">
        <v>42</v>
      </c>
      <c r="I38" s="3">
        <v>0</v>
      </c>
      <c r="K38" s="3">
        <v>0</v>
      </c>
      <c r="M38" s="3">
        <f t="shared" si="0"/>
        <v>0</v>
      </c>
      <c r="O38" s="3">
        <v>1843080036</v>
      </c>
      <c r="Q38" s="3">
        <v>183057302</v>
      </c>
      <c r="S38" s="3">
        <f t="shared" si="1"/>
        <v>1660022734</v>
      </c>
    </row>
    <row r="39" spans="1:19" x14ac:dyDescent="0.2">
      <c r="A39" s="13" t="s">
        <v>101</v>
      </c>
      <c r="C39" s="13" t="s">
        <v>102</v>
      </c>
      <c r="E39" s="3">
        <v>11365909</v>
      </c>
      <c r="G39" s="3">
        <v>580</v>
      </c>
      <c r="I39" s="3">
        <v>0</v>
      </c>
      <c r="K39" s="3">
        <v>0</v>
      </c>
      <c r="M39" s="3">
        <f t="shared" si="0"/>
        <v>0</v>
      </c>
      <c r="O39" s="3">
        <v>6592227220</v>
      </c>
      <c r="Q39" s="3">
        <v>260219496</v>
      </c>
      <c r="S39" s="3">
        <f t="shared" si="1"/>
        <v>6332007724</v>
      </c>
    </row>
    <row r="40" spans="1:19" x14ac:dyDescent="0.2">
      <c r="A40" s="13" t="s">
        <v>103</v>
      </c>
      <c r="C40" s="13" t="s">
        <v>104</v>
      </c>
      <c r="E40" s="3">
        <v>34744017</v>
      </c>
      <c r="G40" s="3">
        <v>76</v>
      </c>
      <c r="I40" s="3">
        <v>0</v>
      </c>
      <c r="K40" s="3">
        <v>0</v>
      </c>
      <c r="M40" s="3">
        <f t="shared" si="0"/>
        <v>0</v>
      </c>
      <c r="O40" s="3">
        <v>2640545292</v>
      </c>
      <c r="Q40" s="3">
        <v>75544543</v>
      </c>
      <c r="S40" s="3">
        <f t="shared" si="1"/>
        <v>2565000749</v>
      </c>
    </row>
    <row r="41" spans="1:19" x14ac:dyDescent="0.2">
      <c r="A41" s="13" t="s">
        <v>105</v>
      </c>
      <c r="C41" s="13" t="s">
        <v>106</v>
      </c>
      <c r="E41" s="3">
        <v>3771689</v>
      </c>
      <c r="G41" s="3">
        <v>1227</v>
      </c>
      <c r="I41" s="3">
        <v>0</v>
      </c>
      <c r="K41" s="3">
        <v>0</v>
      </c>
      <c r="M41" s="3">
        <f t="shared" si="0"/>
        <v>0</v>
      </c>
      <c r="O41" s="3">
        <v>4627862403</v>
      </c>
      <c r="Q41" s="3">
        <v>475017223</v>
      </c>
      <c r="S41" s="3">
        <f t="shared" si="1"/>
        <v>4152845180</v>
      </c>
    </row>
    <row r="42" spans="1:19" x14ac:dyDescent="0.2">
      <c r="A42" s="13" t="s">
        <v>107</v>
      </c>
      <c r="C42" s="13" t="s">
        <v>106</v>
      </c>
      <c r="E42" s="3">
        <v>61315977</v>
      </c>
      <c r="G42" s="3">
        <v>215</v>
      </c>
      <c r="I42" s="3">
        <v>0</v>
      </c>
      <c r="K42" s="3">
        <v>0</v>
      </c>
      <c r="M42" s="3">
        <f t="shared" si="0"/>
        <v>0</v>
      </c>
      <c r="O42" s="3">
        <v>13182935055</v>
      </c>
      <c r="Q42" s="3">
        <v>1353134698</v>
      </c>
      <c r="S42" s="3">
        <f t="shared" si="1"/>
        <v>11829800357</v>
      </c>
    </row>
    <row r="43" spans="1:19" x14ac:dyDescent="0.2">
      <c r="A43" s="13" t="s">
        <v>108</v>
      </c>
      <c r="C43" s="13" t="s">
        <v>109</v>
      </c>
      <c r="E43" s="3">
        <v>2612029</v>
      </c>
      <c r="G43" s="3">
        <v>4312</v>
      </c>
      <c r="I43" s="3">
        <v>0</v>
      </c>
      <c r="K43" s="3">
        <v>0</v>
      </c>
      <c r="M43" s="3">
        <f t="shared" si="0"/>
        <v>0</v>
      </c>
      <c r="O43" s="3">
        <v>11263069048</v>
      </c>
      <c r="Q43" s="3">
        <v>1174675913</v>
      </c>
      <c r="S43" s="3">
        <f t="shared" si="1"/>
        <v>10088393135</v>
      </c>
    </row>
    <row r="44" spans="1:19" x14ac:dyDescent="0.2">
      <c r="A44" s="13" t="s">
        <v>110</v>
      </c>
      <c r="C44" s="13" t="s">
        <v>109</v>
      </c>
      <c r="E44" s="3">
        <v>94219236</v>
      </c>
      <c r="G44" s="3">
        <v>120</v>
      </c>
      <c r="I44" s="3">
        <v>0</v>
      </c>
      <c r="K44" s="3">
        <v>0</v>
      </c>
      <c r="M44" s="3">
        <f t="shared" si="0"/>
        <v>0</v>
      </c>
      <c r="O44" s="3">
        <v>9810515760</v>
      </c>
      <c r="Q44" s="3">
        <v>132574537</v>
      </c>
      <c r="S44" s="3">
        <f t="shared" si="1"/>
        <v>9677941223</v>
      </c>
    </row>
    <row r="45" spans="1:19" x14ac:dyDescent="0.2">
      <c r="A45" s="13" t="s">
        <v>111</v>
      </c>
      <c r="C45" s="13" t="s">
        <v>112</v>
      </c>
      <c r="E45" s="3">
        <v>1451666</v>
      </c>
      <c r="G45" s="3">
        <v>4600</v>
      </c>
      <c r="I45" s="3">
        <v>0</v>
      </c>
      <c r="K45" s="3">
        <v>0</v>
      </c>
      <c r="M45" s="3">
        <f t="shared" si="0"/>
        <v>0</v>
      </c>
      <c r="O45" s="3">
        <v>6677663600</v>
      </c>
      <c r="Q45" s="3">
        <v>0</v>
      </c>
      <c r="S45" s="3">
        <f t="shared" si="1"/>
        <v>6677663600</v>
      </c>
    </row>
    <row r="46" spans="1:19" x14ac:dyDescent="0.2">
      <c r="A46" s="13" t="s">
        <v>113</v>
      </c>
      <c r="C46" s="13" t="s">
        <v>112</v>
      </c>
      <c r="E46" s="3">
        <v>19749859</v>
      </c>
      <c r="G46" s="3">
        <v>1565</v>
      </c>
      <c r="I46" s="3">
        <v>0</v>
      </c>
      <c r="K46" s="3">
        <v>0</v>
      </c>
      <c r="M46" s="3">
        <f t="shared" si="0"/>
        <v>0</v>
      </c>
      <c r="O46" s="3">
        <v>30908529335</v>
      </c>
      <c r="Q46" s="3">
        <v>1023461236</v>
      </c>
      <c r="S46" s="3">
        <f t="shared" si="1"/>
        <v>29885068099</v>
      </c>
    </row>
    <row r="47" spans="1:19" x14ac:dyDescent="0.2">
      <c r="A47" s="13" t="s">
        <v>114</v>
      </c>
      <c r="C47" s="13" t="s">
        <v>112</v>
      </c>
      <c r="E47" s="3">
        <v>47332223</v>
      </c>
      <c r="G47" s="3">
        <v>316</v>
      </c>
      <c r="I47" s="3">
        <v>0</v>
      </c>
      <c r="K47" s="3">
        <v>0</v>
      </c>
      <c r="M47" s="3">
        <f t="shared" si="0"/>
        <v>0</v>
      </c>
      <c r="O47" s="3">
        <v>14956982468</v>
      </c>
      <c r="Q47" s="3">
        <v>398852866</v>
      </c>
      <c r="S47" s="3">
        <f t="shared" si="1"/>
        <v>14558129602</v>
      </c>
    </row>
    <row r="48" spans="1:19" x14ac:dyDescent="0.2">
      <c r="A48" s="13" t="s">
        <v>115</v>
      </c>
      <c r="C48" s="13" t="s">
        <v>112</v>
      </c>
      <c r="E48" s="3">
        <v>22771686</v>
      </c>
      <c r="G48" s="3">
        <v>264</v>
      </c>
      <c r="I48" s="3">
        <v>0</v>
      </c>
      <c r="K48" s="3">
        <v>0</v>
      </c>
      <c r="M48" s="3">
        <f t="shared" si="0"/>
        <v>0</v>
      </c>
      <c r="O48" s="3">
        <v>6011725104</v>
      </c>
      <c r="Q48" s="3">
        <v>0</v>
      </c>
      <c r="S48" s="3">
        <f t="shared" si="1"/>
        <v>6011725104</v>
      </c>
    </row>
    <row r="49" spans="1:19" x14ac:dyDescent="0.2">
      <c r="A49" s="13" t="s">
        <v>116</v>
      </c>
      <c r="C49" s="13" t="s">
        <v>117</v>
      </c>
      <c r="E49" s="3">
        <v>1832843</v>
      </c>
      <c r="G49" s="3">
        <v>4795</v>
      </c>
      <c r="I49" s="3">
        <v>0</v>
      </c>
      <c r="K49" s="3">
        <v>0</v>
      </c>
      <c r="M49" s="3">
        <f t="shared" si="0"/>
        <v>0</v>
      </c>
      <c r="O49" s="3">
        <v>8788482185</v>
      </c>
      <c r="Q49" s="3">
        <v>222938800</v>
      </c>
      <c r="S49" s="3">
        <f t="shared" si="1"/>
        <v>8565543385</v>
      </c>
    </row>
    <row r="50" spans="1:19" x14ac:dyDescent="0.2">
      <c r="A50" s="13" t="s">
        <v>118</v>
      </c>
      <c r="C50" s="13" t="s">
        <v>117</v>
      </c>
      <c r="E50" s="3">
        <v>42729303</v>
      </c>
      <c r="G50" s="3">
        <v>210</v>
      </c>
      <c r="I50" s="3">
        <v>0</v>
      </c>
      <c r="K50" s="3">
        <v>0</v>
      </c>
      <c r="M50" s="3">
        <f t="shared" si="0"/>
        <v>0</v>
      </c>
      <c r="O50" s="3">
        <v>8973153630</v>
      </c>
      <c r="Q50" s="3">
        <v>302866205</v>
      </c>
      <c r="S50" s="3">
        <f t="shared" si="1"/>
        <v>8670287425</v>
      </c>
    </row>
    <row r="51" spans="1:19" x14ac:dyDescent="0.2">
      <c r="A51" s="13" t="s">
        <v>119</v>
      </c>
      <c r="C51" s="13" t="s">
        <v>117</v>
      </c>
      <c r="E51" s="3">
        <v>69995860</v>
      </c>
      <c r="G51" s="3">
        <v>69</v>
      </c>
      <c r="I51" s="3">
        <v>0</v>
      </c>
      <c r="K51" s="3">
        <v>0</v>
      </c>
      <c r="M51" s="3">
        <f t="shared" si="0"/>
        <v>0</v>
      </c>
      <c r="O51" s="3">
        <v>4829714340</v>
      </c>
      <c r="Q51" s="3">
        <v>166101287</v>
      </c>
      <c r="S51" s="3">
        <f t="shared" si="1"/>
        <v>4663613053</v>
      </c>
    </row>
    <row r="52" spans="1:19" x14ac:dyDescent="0.2">
      <c r="A52" s="13" t="s">
        <v>120</v>
      </c>
      <c r="C52" s="13" t="s">
        <v>117</v>
      </c>
      <c r="E52" s="3">
        <v>13857880</v>
      </c>
      <c r="G52" s="3">
        <v>550</v>
      </c>
      <c r="I52" s="3">
        <v>0</v>
      </c>
      <c r="K52" s="3">
        <v>0</v>
      </c>
      <c r="M52" s="3">
        <f t="shared" si="0"/>
        <v>0</v>
      </c>
      <c r="O52" s="3">
        <v>7621834000</v>
      </c>
      <c r="Q52" s="3">
        <v>257255813</v>
      </c>
      <c r="S52" s="3">
        <f t="shared" si="1"/>
        <v>7364578187</v>
      </c>
    </row>
    <row r="53" spans="1:19" x14ac:dyDescent="0.2">
      <c r="A53" s="13" t="s">
        <v>121</v>
      </c>
      <c r="C53" s="13" t="s">
        <v>122</v>
      </c>
      <c r="E53" s="3">
        <v>5818022</v>
      </c>
      <c r="G53" s="3">
        <v>57</v>
      </c>
      <c r="I53" s="3">
        <v>0</v>
      </c>
      <c r="K53" s="3">
        <v>0</v>
      </c>
      <c r="M53" s="3">
        <f t="shared" si="0"/>
        <v>0</v>
      </c>
      <c r="O53" s="3">
        <v>331627254</v>
      </c>
      <c r="Q53" s="3">
        <v>10768546</v>
      </c>
      <c r="S53" s="3">
        <f t="shared" si="1"/>
        <v>320858708</v>
      </c>
    </row>
    <row r="54" spans="1:19" x14ac:dyDescent="0.2">
      <c r="A54" s="13" t="s">
        <v>123</v>
      </c>
      <c r="C54" s="13" t="s">
        <v>124</v>
      </c>
      <c r="E54" s="3">
        <v>28832379</v>
      </c>
      <c r="G54" s="3">
        <v>440</v>
      </c>
      <c r="I54" s="3">
        <v>0</v>
      </c>
      <c r="K54" s="3">
        <v>0</v>
      </c>
      <c r="M54" s="3">
        <f t="shared" si="0"/>
        <v>0</v>
      </c>
      <c r="O54" s="3">
        <v>12686246320</v>
      </c>
      <c r="Q54" s="3">
        <v>0</v>
      </c>
      <c r="S54" s="3">
        <f t="shared" si="1"/>
        <v>12686246320</v>
      </c>
    </row>
    <row r="55" spans="1:19" x14ac:dyDescent="0.2">
      <c r="A55" s="13" t="s">
        <v>125</v>
      </c>
      <c r="C55" s="13" t="s">
        <v>126</v>
      </c>
      <c r="E55" s="3">
        <v>171450143</v>
      </c>
      <c r="G55" s="3">
        <v>30</v>
      </c>
      <c r="I55" s="3">
        <v>0</v>
      </c>
      <c r="K55" s="3">
        <v>0</v>
      </c>
      <c r="M55" s="3">
        <f t="shared" si="0"/>
        <v>0</v>
      </c>
      <c r="O55" s="3">
        <v>5143504290</v>
      </c>
      <c r="Q55" s="3">
        <v>0</v>
      </c>
      <c r="S55" s="3">
        <f t="shared" si="1"/>
        <v>5143504290</v>
      </c>
    </row>
    <row r="56" spans="1:19" x14ac:dyDescent="0.2">
      <c r="A56" s="13" t="s">
        <v>127</v>
      </c>
      <c r="C56" s="13" t="s">
        <v>124</v>
      </c>
      <c r="E56" s="3">
        <v>71225071</v>
      </c>
      <c r="G56" s="3">
        <v>190</v>
      </c>
      <c r="I56" s="3">
        <v>0</v>
      </c>
      <c r="K56" s="3">
        <v>0</v>
      </c>
      <c r="M56" s="3">
        <f t="shared" si="0"/>
        <v>0</v>
      </c>
      <c r="O56" s="3">
        <v>13532763490</v>
      </c>
      <c r="Q56" s="3">
        <v>491288444</v>
      </c>
      <c r="S56" s="3">
        <f t="shared" si="1"/>
        <v>13041475046</v>
      </c>
    </row>
    <row r="57" spans="1:19" x14ac:dyDescent="0.2">
      <c r="A57" s="13" t="s">
        <v>128</v>
      </c>
      <c r="C57" s="13" t="s">
        <v>124</v>
      </c>
      <c r="E57" s="3">
        <v>10496767</v>
      </c>
      <c r="G57" s="3">
        <v>1100</v>
      </c>
      <c r="I57" s="3">
        <v>0</v>
      </c>
      <c r="K57" s="3">
        <v>0</v>
      </c>
      <c r="M57" s="3">
        <f t="shared" si="0"/>
        <v>0</v>
      </c>
      <c r="O57" s="3">
        <v>11546443700</v>
      </c>
      <c r="Q57" s="3">
        <v>0</v>
      </c>
      <c r="S57" s="3">
        <f t="shared" si="1"/>
        <v>11546443700</v>
      </c>
    </row>
    <row r="58" spans="1:19" x14ac:dyDescent="0.2">
      <c r="A58" s="13" t="s">
        <v>129</v>
      </c>
      <c r="C58" s="13" t="s">
        <v>130</v>
      </c>
      <c r="E58" s="3">
        <v>6154842</v>
      </c>
      <c r="G58" s="3">
        <v>1600</v>
      </c>
      <c r="I58" s="3">
        <v>0</v>
      </c>
      <c r="K58" s="3">
        <v>0</v>
      </c>
      <c r="M58" s="3">
        <f t="shared" si="0"/>
        <v>0</v>
      </c>
      <c r="O58" s="3">
        <v>9847747200</v>
      </c>
      <c r="Q58" s="3">
        <v>326084344</v>
      </c>
      <c r="S58" s="3">
        <f t="shared" si="1"/>
        <v>9521662856</v>
      </c>
    </row>
    <row r="59" spans="1:19" x14ac:dyDescent="0.2">
      <c r="A59" s="13" t="s">
        <v>131</v>
      </c>
      <c r="C59" s="13" t="s">
        <v>132</v>
      </c>
      <c r="E59" s="3">
        <v>22078291</v>
      </c>
      <c r="G59" s="3">
        <v>350</v>
      </c>
      <c r="I59" s="3">
        <v>0</v>
      </c>
      <c r="K59" s="3">
        <v>0</v>
      </c>
      <c r="M59" s="3">
        <f t="shared" si="0"/>
        <v>0</v>
      </c>
      <c r="O59" s="3">
        <v>7727401850</v>
      </c>
      <c r="Q59" s="3">
        <v>57784786</v>
      </c>
      <c r="S59" s="3">
        <f t="shared" si="1"/>
        <v>7669617064</v>
      </c>
    </row>
    <row r="60" spans="1:19" x14ac:dyDescent="0.2">
      <c r="A60" s="13" t="s">
        <v>133</v>
      </c>
      <c r="C60" s="13" t="s">
        <v>132</v>
      </c>
      <c r="E60" s="3">
        <v>36000000</v>
      </c>
      <c r="G60" s="3">
        <v>85</v>
      </c>
      <c r="I60" s="3">
        <v>0</v>
      </c>
      <c r="K60" s="3">
        <v>0</v>
      </c>
      <c r="M60" s="3">
        <f t="shared" si="0"/>
        <v>0</v>
      </c>
      <c r="O60" s="3">
        <v>3060000000</v>
      </c>
      <c r="Q60" s="3">
        <v>0</v>
      </c>
      <c r="S60" s="3">
        <f t="shared" si="1"/>
        <v>3060000000</v>
      </c>
    </row>
    <row r="61" spans="1:19" x14ac:dyDescent="0.2">
      <c r="A61" s="13" t="s">
        <v>134</v>
      </c>
      <c r="C61" s="13" t="s">
        <v>130</v>
      </c>
      <c r="E61" s="3">
        <v>25582139</v>
      </c>
      <c r="G61" s="3">
        <v>55</v>
      </c>
      <c r="I61" s="3">
        <v>0</v>
      </c>
      <c r="K61" s="3">
        <v>0</v>
      </c>
      <c r="M61" s="3">
        <f t="shared" si="0"/>
        <v>0</v>
      </c>
      <c r="O61" s="3">
        <v>1407017645</v>
      </c>
      <c r="Q61" s="3">
        <v>4802108</v>
      </c>
      <c r="S61" s="3">
        <f t="shared" si="1"/>
        <v>1402215537</v>
      </c>
    </row>
    <row r="62" spans="1:19" x14ac:dyDescent="0.2">
      <c r="A62" s="13" t="s">
        <v>135</v>
      </c>
      <c r="C62" s="13" t="s">
        <v>136</v>
      </c>
      <c r="E62" s="3">
        <v>29833060</v>
      </c>
      <c r="G62" s="3">
        <v>161</v>
      </c>
      <c r="I62" s="3">
        <v>0</v>
      </c>
      <c r="K62" s="3">
        <v>0</v>
      </c>
      <c r="M62" s="3">
        <f t="shared" si="0"/>
        <v>0</v>
      </c>
      <c r="O62" s="3">
        <v>4803122660</v>
      </c>
      <c r="Q62" s="3">
        <v>0</v>
      </c>
      <c r="S62" s="3">
        <f t="shared" si="1"/>
        <v>4803122660</v>
      </c>
    </row>
    <row r="63" spans="1:19" x14ac:dyDescent="0.2">
      <c r="A63" s="13" t="s">
        <v>137</v>
      </c>
      <c r="C63" s="13" t="s">
        <v>136</v>
      </c>
      <c r="E63" s="3">
        <v>28806837</v>
      </c>
      <c r="G63" s="3">
        <v>583</v>
      </c>
      <c r="I63" s="3">
        <v>0</v>
      </c>
      <c r="K63" s="3">
        <v>0</v>
      </c>
      <c r="M63" s="3">
        <f t="shared" si="0"/>
        <v>0</v>
      </c>
      <c r="O63" s="3">
        <v>16794385971</v>
      </c>
      <c r="Q63" s="3">
        <v>447850293</v>
      </c>
      <c r="S63" s="3">
        <f t="shared" si="1"/>
        <v>16346535678</v>
      </c>
    </row>
    <row r="64" spans="1:19" x14ac:dyDescent="0.2">
      <c r="A64" s="13" t="s">
        <v>138</v>
      </c>
      <c r="C64" s="13" t="s">
        <v>136</v>
      </c>
      <c r="E64" s="3">
        <v>10439342</v>
      </c>
      <c r="G64" s="3">
        <v>800</v>
      </c>
      <c r="I64" s="3">
        <v>0</v>
      </c>
      <c r="K64" s="3">
        <v>0</v>
      </c>
      <c r="M64" s="3">
        <f t="shared" si="0"/>
        <v>0</v>
      </c>
      <c r="O64" s="3">
        <v>8351473600</v>
      </c>
      <c r="Q64" s="3">
        <v>308497706</v>
      </c>
      <c r="S64" s="3">
        <f t="shared" si="1"/>
        <v>8042975894</v>
      </c>
    </row>
    <row r="65" spans="1:19" x14ac:dyDescent="0.2">
      <c r="A65" s="13" t="s">
        <v>139</v>
      </c>
      <c r="C65" s="13" t="s">
        <v>136</v>
      </c>
      <c r="E65" s="3">
        <v>74082465</v>
      </c>
      <c r="G65" s="3">
        <v>30</v>
      </c>
      <c r="I65" s="3">
        <v>0</v>
      </c>
      <c r="K65" s="3">
        <v>0</v>
      </c>
      <c r="M65" s="3">
        <f t="shared" si="0"/>
        <v>0</v>
      </c>
      <c r="O65" s="3">
        <v>2222473950</v>
      </c>
      <c r="Q65" s="3">
        <v>242722902</v>
      </c>
      <c r="S65" s="3">
        <f t="shared" si="1"/>
        <v>1979751048</v>
      </c>
    </row>
    <row r="66" spans="1:19" x14ac:dyDescent="0.2">
      <c r="A66" s="13" t="s">
        <v>140</v>
      </c>
      <c r="C66" s="13" t="s">
        <v>136</v>
      </c>
      <c r="E66" s="3">
        <v>2760101</v>
      </c>
      <c r="G66" s="3">
        <v>150</v>
      </c>
      <c r="I66" s="3">
        <v>0</v>
      </c>
      <c r="K66" s="3">
        <v>0</v>
      </c>
      <c r="M66" s="3">
        <f t="shared" si="0"/>
        <v>0</v>
      </c>
      <c r="O66" s="3">
        <v>414015150</v>
      </c>
      <c r="Q66" s="3">
        <v>15556271</v>
      </c>
      <c r="S66" s="3">
        <f t="shared" si="1"/>
        <v>398458879</v>
      </c>
    </row>
    <row r="67" spans="1:19" x14ac:dyDescent="0.2">
      <c r="A67" s="13" t="s">
        <v>141</v>
      </c>
      <c r="C67" s="13" t="s">
        <v>136</v>
      </c>
      <c r="E67" s="3">
        <v>16432454</v>
      </c>
      <c r="G67" s="3">
        <v>400</v>
      </c>
      <c r="I67" s="3">
        <v>0</v>
      </c>
      <c r="K67" s="3">
        <v>0</v>
      </c>
      <c r="M67" s="3">
        <f t="shared" si="0"/>
        <v>0</v>
      </c>
      <c r="O67" s="3">
        <v>6572981600</v>
      </c>
      <c r="Q67" s="3">
        <v>259459800</v>
      </c>
      <c r="S67" s="3">
        <f t="shared" si="1"/>
        <v>6313521800</v>
      </c>
    </row>
    <row r="68" spans="1:19" x14ac:dyDescent="0.2">
      <c r="A68" s="13" t="s">
        <v>142</v>
      </c>
      <c r="C68" s="13" t="s">
        <v>143</v>
      </c>
      <c r="E68" s="3">
        <v>14936648</v>
      </c>
      <c r="G68" s="3">
        <v>720</v>
      </c>
      <c r="I68" s="3">
        <v>0</v>
      </c>
      <c r="K68" s="3">
        <v>0</v>
      </c>
      <c r="M68" s="3">
        <f t="shared" si="0"/>
        <v>0</v>
      </c>
      <c r="O68" s="3">
        <v>10754386560</v>
      </c>
      <c r="Q68" s="3">
        <v>410905415</v>
      </c>
      <c r="S68" s="3">
        <f t="shared" si="1"/>
        <v>10343481145</v>
      </c>
    </row>
    <row r="69" spans="1:19" x14ac:dyDescent="0.2">
      <c r="A69" s="13" t="s">
        <v>144</v>
      </c>
      <c r="C69" s="13" t="s">
        <v>143</v>
      </c>
      <c r="E69" s="3">
        <v>16292197</v>
      </c>
      <c r="G69" s="3">
        <v>33</v>
      </c>
      <c r="I69" s="3">
        <v>0</v>
      </c>
      <c r="K69" s="3">
        <v>0</v>
      </c>
      <c r="M69" s="3">
        <f t="shared" si="0"/>
        <v>0</v>
      </c>
      <c r="O69" s="3">
        <v>537642501</v>
      </c>
      <c r="Q69" s="3">
        <v>9762170</v>
      </c>
      <c r="S69" s="3">
        <f t="shared" si="1"/>
        <v>527880331</v>
      </c>
    </row>
    <row r="70" spans="1:19" x14ac:dyDescent="0.2">
      <c r="A70" s="13" t="s">
        <v>145</v>
      </c>
      <c r="C70" s="13" t="s">
        <v>143</v>
      </c>
      <c r="E70" s="3">
        <v>27517788</v>
      </c>
      <c r="G70" s="3">
        <v>600</v>
      </c>
      <c r="I70" s="3">
        <v>0</v>
      </c>
      <c r="K70" s="3">
        <v>0</v>
      </c>
      <c r="M70" s="3">
        <f t="shared" si="0"/>
        <v>0</v>
      </c>
      <c r="O70" s="3">
        <v>16510672800</v>
      </c>
      <c r="Q70" s="3">
        <v>440284608</v>
      </c>
      <c r="S70" s="3">
        <f t="shared" si="1"/>
        <v>16070388192</v>
      </c>
    </row>
    <row r="71" spans="1:19" x14ac:dyDescent="0.2">
      <c r="A71" s="13" t="s">
        <v>146</v>
      </c>
      <c r="C71" s="13" t="s">
        <v>143</v>
      </c>
      <c r="E71" s="3">
        <v>14505366</v>
      </c>
      <c r="G71" s="3">
        <v>930</v>
      </c>
      <c r="I71" s="3">
        <v>0</v>
      </c>
      <c r="K71" s="3">
        <v>0</v>
      </c>
      <c r="M71" s="3">
        <f t="shared" si="0"/>
        <v>0</v>
      </c>
      <c r="O71" s="3">
        <v>13489990380</v>
      </c>
      <c r="Q71" s="3">
        <v>532499620</v>
      </c>
      <c r="S71" s="3">
        <f t="shared" si="1"/>
        <v>12957490760</v>
      </c>
    </row>
    <row r="72" spans="1:19" x14ac:dyDescent="0.2">
      <c r="A72" s="13" t="s">
        <v>147</v>
      </c>
      <c r="C72" s="13" t="s">
        <v>143</v>
      </c>
      <c r="E72" s="3">
        <v>16124293</v>
      </c>
      <c r="G72" s="3">
        <v>800</v>
      </c>
      <c r="I72" s="3">
        <v>0</v>
      </c>
      <c r="K72" s="3">
        <v>0</v>
      </c>
      <c r="M72" s="3">
        <f t="shared" ref="M72:M94" si="2">I72-K72</f>
        <v>0</v>
      </c>
      <c r="O72" s="3">
        <v>12899434400</v>
      </c>
      <c r="Q72" s="3">
        <v>1408785087</v>
      </c>
      <c r="S72" s="3">
        <f t="shared" ref="S72:S98" si="3">O72-Q72</f>
        <v>11490649313</v>
      </c>
    </row>
    <row r="73" spans="1:19" x14ac:dyDescent="0.2">
      <c r="A73" s="13" t="s">
        <v>148</v>
      </c>
      <c r="C73" s="13" t="s">
        <v>149</v>
      </c>
      <c r="E73" s="3">
        <v>8110245</v>
      </c>
      <c r="G73" s="3">
        <v>1840</v>
      </c>
      <c r="I73" s="3">
        <v>0</v>
      </c>
      <c r="K73" s="3">
        <v>0</v>
      </c>
      <c r="M73" s="3">
        <f t="shared" si="2"/>
        <v>0</v>
      </c>
      <c r="O73" s="3">
        <v>14922850800</v>
      </c>
      <c r="Q73" s="3">
        <v>0</v>
      </c>
      <c r="S73" s="3">
        <f t="shared" si="3"/>
        <v>14922850800</v>
      </c>
    </row>
    <row r="74" spans="1:19" x14ac:dyDescent="0.2">
      <c r="A74" s="13" t="s">
        <v>150</v>
      </c>
      <c r="C74" s="13" t="s">
        <v>151</v>
      </c>
      <c r="E74" s="3">
        <v>16099143</v>
      </c>
      <c r="G74" s="3">
        <v>700</v>
      </c>
      <c r="I74" s="3">
        <v>0</v>
      </c>
      <c r="K74" s="3">
        <v>0</v>
      </c>
      <c r="M74" s="3">
        <f t="shared" si="2"/>
        <v>0</v>
      </c>
      <c r="O74" s="3">
        <v>11269400100</v>
      </c>
      <c r="Q74" s="3">
        <v>444844741</v>
      </c>
      <c r="S74" s="3">
        <f t="shared" si="3"/>
        <v>10824555359</v>
      </c>
    </row>
    <row r="75" spans="1:19" x14ac:dyDescent="0.2">
      <c r="A75" s="13" t="s">
        <v>152</v>
      </c>
      <c r="C75" s="13" t="s">
        <v>149</v>
      </c>
      <c r="E75" s="3">
        <v>28267094</v>
      </c>
      <c r="G75" s="3">
        <v>250</v>
      </c>
      <c r="I75" s="3">
        <v>0</v>
      </c>
      <c r="K75" s="3">
        <v>0</v>
      </c>
      <c r="M75" s="3">
        <f t="shared" si="2"/>
        <v>0</v>
      </c>
      <c r="O75" s="3">
        <v>7066773500</v>
      </c>
      <c r="Q75" s="3">
        <v>771783073</v>
      </c>
      <c r="S75" s="3">
        <f t="shared" si="3"/>
        <v>6294990427</v>
      </c>
    </row>
    <row r="76" spans="1:19" x14ac:dyDescent="0.2">
      <c r="A76" s="13" t="s">
        <v>153</v>
      </c>
      <c r="C76" s="13" t="s">
        <v>149</v>
      </c>
      <c r="E76" s="3">
        <v>48424299</v>
      </c>
      <c r="G76" s="3">
        <v>253</v>
      </c>
      <c r="I76" s="3">
        <v>0</v>
      </c>
      <c r="K76" s="3">
        <v>0</v>
      </c>
      <c r="M76" s="3">
        <f t="shared" si="2"/>
        <v>0</v>
      </c>
      <c r="O76" s="3">
        <v>12251347647</v>
      </c>
      <c r="Q76" s="3">
        <v>0</v>
      </c>
      <c r="S76" s="3">
        <f t="shared" si="3"/>
        <v>12251347647</v>
      </c>
    </row>
    <row r="77" spans="1:19" x14ac:dyDescent="0.2">
      <c r="A77" s="13" t="s">
        <v>154</v>
      </c>
      <c r="C77" s="13" t="s">
        <v>151</v>
      </c>
      <c r="E77" s="3">
        <v>521375</v>
      </c>
      <c r="G77" s="3">
        <v>1700</v>
      </c>
      <c r="I77" s="3">
        <v>0</v>
      </c>
      <c r="K77" s="3">
        <v>0</v>
      </c>
      <c r="M77" s="3">
        <f t="shared" si="2"/>
        <v>0</v>
      </c>
      <c r="O77" s="3">
        <v>886337500</v>
      </c>
      <c r="Q77" s="3">
        <v>96799520</v>
      </c>
      <c r="S77" s="3">
        <f t="shared" si="3"/>
        <v>789537980</v>
      </c>
    </row>
    <row r="78" spans="1:19" x14ac:dyDescent="0.2">
      <c r="A78" s="13" t="s">
        <v>155</v>
      </c>
      <c r="C78" s="13" t="s">
        <v>149</v>
      </c>
      <c r="E78" s="3">
        <v>43189898</v>
      </c>
      <c r="G78" s="3">
        <v>120</v>
      </c>
      <c r="I78" s="3">
        <v>0</v>
      </c>
      <c r="K78" s="3">
        <v>0</v>
      </c>
      <c r="M78" s="3">
        <f t="shared" si="2"/>
        <v>0</v>
      </c>
      <c r="O78" s="3">
        <v>5182787640</v>
      </c>
      <c r="Q78" s="3">
        <v>0</v>
      </c>
      <c r="S78" s="3">
        <f t="shared" si="3"/>
        <v>5182787640</v>
      </c>
    </row>
    <row r="79" spans="1:19" x14ac:dyDescent="0.2">
      <c r="A79" s="13" t="s">
        <v>156</v>
      </c>
      <c r="C79" s="13" t="s">
        <v>149</v>
      </c>
      <c r="E79" s="3">
        <v>28306998</v>
      </c>
      <c r="G79" s="3">
        <v>350</v>
      </c>
      <c r="I79" s="3">
        <v>0</v>
      </c>
      <c r="K79" s="3">
        <v>0</v>
      </c>
      <c r="M79" s="3">
        <f t="shared" si="2"/>
        <v>0</v>
      </c>
      <c r="O79" s="3">
        <v>9907449300</v>
      </c>
      <c r="Q79" s="3">
        <v>391083525</v>
      </c>
      <c r="S79" s="3">
        <f t="shared" si="3"/>
        <v>9516365775</v>
      </c>
    </row>
    <row r="80" spans="1:19" x14ac:dyDescent="0.2">
      <c r="A80" s="13" t="s">
        <v>157</v>
      </c>
      <c r="C80" s="13" t="s">
        <v>149</v>
      </c>
      <c r="E80" s="3">
        <v>80326024</v>
      </c>
      <c r="G80" s="3">
        <v>120</v>
      </c>
      <c r="I80" s="3">
        <v>0</v>
      </c>
      <c r="K80" s="3">
        <v>0</v>
      </c>
      <c r="M80" s="3">
        <f t="shared" si="2"/>
        <v>0</v>
      </c>
      <c r="O80" s="3">
        <v>9639122880</v>
      </c>
      <c r="Q80" s="3">
        <v>0</v>
      </c>
      <c r="S80" s="3">
        <f t="shared" si="3"/>
        <v>9639122880</v>
      </c>
    </row>
    <row r="81" spans="1:19" x14ac:dyDescent="0.2">
      <c r="A81" s="13" t="s">
        <v>158</v>
      </c>
      <c r="C81" s="13" t="s">
        <v>149</v>
      </c>
      <c r="E81" s="3">
        <v>42098225</v>
      </c>
      <c r="G81" s="3">
        <v>161</v>
      </c>
      <c r="I81" s="3">
        <v>0</v>
      </c>
      <c r="K81" s="3">
        <v>0</v>
      </c>
      <c r="M81" s="3">
        <f t="shared" si="2"/>
        <v>0</v>
      </c>
      <c r="O81" s="3">
        <v>6777814225</v>
      </c>
      <c r="Q81" s="3">
        <v>237425085</v>
      </c>
      <c r="S81" s="3">
        <f t="shared" si="3"/>
        <v>6540389140</v>
      </c>
    </row>
    <row r="82" spans="1:19" x14ac:dyDescent="0.2">
      <c r="A82" s="13" t="s">
        <v>159</v>
      </c>
      <c r="C82" s="13" t="s">
        <v>149</v>
      </c>
      <c r="E82" s="3">
        <v>17012010</v>
      </c>
      <c r="G82" s="3">
        <v>1600</v>
      </c>
      <c r="I82" s="3">
        <v>0</v>
      </c>
      <c r="K82" s="3">
        <v>0</v>
      </c>
      <c r="M82" s="3">
        <f t="shared" si="2"/>
        <v>0</v>
      </c>
      <c r="O82" s="3">
        <v>27219216000</v>
      </c>
      <c r="Q82" s="3">
        <v>619446683</v>
      </c>
      <c r="S82" s="3">
        <f t="shared" si="3"/>
        <v>26599769317</v>
      </c>
    </row>
    <row r="83" spans="1:19" x14ac:dyDescent="0.2">
      <c r="A83" s="13" t="s">
        <v>160</v>
      </c>
      <c r="C83" s="13" t="s">
        <v>149</v>
      </c>
      <c r="E83" s="3">
        <v>22333259</v>
      </c>
      <c r="G83" s="3">
        <v>250</v>
      </c>
      <c r="I83" s="3">
        <v>0</v>
      </c>
      <c r="K83" s="3">
        <v>0</v>
      </c>
      <c r="M83" s="3">
        <f t="shared" si="2"/>
        <v>0</v>
      </c>
      <c r="O83" s="3">
        <v>5583314750</v>
      </c>
      <c r="Q83" s="3">
        <v>0</v>
      </c>
      <c r="S83" s="3">
        <f t="shared" si="3"/>
        <v>5583314750</v>
      </c>
    </row>
    <row r="84" spans="1:19" x14ac:dyDescent="0.2">
      <c r="A84" s="13" t="s">
        <v>161</v>
      </c>
      <c r="C84" s="13" t="s">
        <v>149</v>
      </c>
      <c r="E84" s="3">
        <v>25017386</v>
      </c>
      <c r="G84" s="3">
        <v>14</v>
      </c>
      <c r="I84" s="3">
        <v>0</v>
      </c>
      <c r="K84" s="3">
        <v>0</v>
      </c>
      <c r="M84" s="3">
        <f t="shared" si="2"/>
        <v>0</v>
      </c>
      <c r="O84" s="3">
        <v>350243404</v>
      </c>
      <c r="Q84" s="3">
        <v>0</v>
      </c>
      <c r="S84" s="3">
        <f t="shared" si="3"/>
        <v>350243404</v>
      </c>
    </row>
    <row r="85" spans="1:19" x14ac:dyDescent="0.2">
      <c r="A85" s="13" t="s">
        <v>162</v>
      </c>
      <c r="C85" s="13" t="s">
        <v>149</v>
      </c>
      <c r="E85" s="3">
        <v>9830861</v>
      </c>
      <c r="G85" s="3">
        <v>125</v>
      </c>
      <c r="I85" s="3">
        <v>0</v>
      </c>
      <c r="K85" s="3">
        <v>0</v>
      </c>
      <c r="M85" s="3">
        <f t="shared" si="2"/>
        <v>0</v>
      </c>
      <c r="O85" s="3">
        <v>1228857625</v>
      </c>
      <c r="Q85" s="3">
        <v>0</v>
      </c>
      <c r="S85" s="3">
        <f t="shared" si="3"/>
        <v>1228857625</v>
      </c>
    </row>
    <row r="86" spans="1:19" x14ac:dyDescent="0.2">
      <c r="A86" s="13" t="s">
        <v>163</v>
      </c>
      <c r="C86" s="13" t="s">
        <v>149</v>
      </c>
      <c r="E86" s="3">
        <v>10226334</v>
      </c>
      <c r="G86" s="3">
        <v>211</v>
      </c>
      <c r="I86" s="3">
        <v>0</v>
      </c>
      <c r="K86" s="3">
        <v>0</v>
      </c>
      <c r="M86" s="3">
        <f t="shared" si="2"/>
        <v>0</v>
      </c>
      <c r="O86" s="3">
        <v>2157756474</v>
      </c>
      <c r="Q86" s="3">
        <v>71448890</v>
      </c>
      <c r="S86" s="3">
        <f t="shared" si="3"/>
        <v>2086307584</v>
      </c>
    </row>
    <row r="87" spans="1:19" x14ac:dyDescent="0.2">
      <c r="A87" s="13" t="s">
        <v>164</v>
      </c>
      <c r="C87" s="13" t="s">
        <v>151</v>
      </c>
      <c r="E87" s="3">
        <v>125596583</v>
      </c>
      <c r="G87" s="3">
        <v>46</v>
      </c>
      <c r="I87" s="3">
        <v>0</v>
      </c>
      <c r="K87" s="3">
        <v>0</v>
      </c>
      <c r="M87" s="3">
        <f t="shared" si="2"/>
        <v>0</v>
      </c>
      <c r="O87" s="3">
        <v>5777442818</v>
      </c>
      <c r="Q87" s="3">
        <v>0</v>
      </c>
      <c r="S87" s="3">
        <f t="shared" si="3"/>
        <v>5777442818</v>
      </c>
    </row>
    <row r="88" spans="1:19" x14ac:dyDescent="0.2">
      <c r="A88" s="13" t="s">
        <v>165</v>
      </c>
      <c r="C88" s="13" t="s">
        <v>151</v>
      </c>
      <c r="E88" s="3">
        <v>14575402</v>
      </c>
      <c r="G88" s="3">
        <v>450</v>
      </c>
      <c r="I88" s="3">
        <v>0</v>
      </c>
      <c r="K88" s="3">
        <v>0</v>
      </c>
      <c r="M88" s="3">
        <f t="shared" si="2"/>
        <v>0</v>
      </c>
      <c r="O88" s="3">
        <v>6558930900</v>
      </c>
      <c r="Q88" s="3">
        <v>258905167</v>
      </c>
      <c r="S88" s="3">
        <f t="shared" si="3"/>
        <v>6300025733</v>
      </c>
    </row>
    <row r="89" spans="1:19" x14ac:dyDescent="0.2">
      <c r="A89" s="13" t="s">
        <v>166</v>
      </c>
      <c r="C89" s="13" t="s">
        <v>167</v>
      </c>
      <c r="E89" s="3">
        <v>18416407</v>
      </c>
      <c r="G89" s="3">
        <v>232</v>
      </c>
      <c r="I89" s="3">
        <v>0</v>
      </c>
      <c r="K89" s="3">
        <v>0</v>
      </c>
      <c r="M89" s="3">
        <f t="shared" si="2"/>
        <v>0</v>
      </c>
      <c r="O89" s="3">
        <v>4272606424</v>
      </c>
      <c r="Q89" s="3">
        <v>168655517</v>
      </c>
      <c r="S89" s="3">
        <f t="shared" si="3"/>
        <v>4103950907</v>
      </c>
    </row>
    <row r="90" spans="1:19" x14ac:dyDescent="0.2">
      <c r="A90" s="13" t="s">
        <v>168</v>
      </c>
      <c r="C90" s="13" t="s">
        <v>169</v>
      </c>
      <c r="E90" s="3">
        <v>21586148</v>
      </c>
      <c r="G90" s="3">
        <v>480</v>
      </c>
      <c r="I90" s="3">
        <v>0</v>
      </c>
      <c r="K90" s="3">
        <v>0</v>
      </c>
      <c r="M90" s="3">
        <f t="shared" si="2"/>
        <v>0</v>
      </c>
      <c r="O90" s="3">
        <v>10361351040</v>
      </c>
      <c r="Q90" s="3">
        <v>1165258324</v>
      </c>
      <c r="S90" s="3">
        <f t="shared" si="3"/>
        <v>9196092716</v>
      </c>
    </row>
    <row r="91" spans="1:19" x14ac:dyDescent="0.2">
      <c r="A91" s="13" t="s">
        <v>170</v>
      </c>
      <c r="C91" s="13" t="s">
        <v>171</v>
      </c>
      <c r="E91" s="3">
        <v>1371791</v>
      </c>
      <c r="G91" s="3">
        <v>1530</v>
      </c>
      <c r="I91" s="3">
        <v>0</v>
      </c>
      <c r="K91" s="3">
        <v>0</v>
      </c>
      <c r="M91" s="3">
        <f t="shared" si="2"/>
        <v>0</v>
      </c>
      <c r="O91" s="3">
        <v>2098840230</v>
      </c>
      <c r="Q91" s="3">
        <v>69498021</v>
      </c>
      <c r="S91" s="3">
        <f t="shared" si="3"/>
        <v>2029342209</v>
      </c>
    </row>
    <row r="92" spans="1:19" x14ac:dyDescent="0.2">
      <c r="A92" s="13" t="s">
        <v>172</v>
      </c>
      <c r="C92" s="13" t="s">
        <v>173</v>
      </c>
      <c r="E92" s="3">
        <v>24124561</v>
      </c>
      <c r="G92" s="3">
        <v>450</v>
      </c>
      <c r="I92" s="3">
        <v>0</v>
      </c>
      <c r="K92" s="3">
        <v>0</v>
      </c>
      <c r="M92" s="3">
        <f t="shared" si="2"/>
        <v>0</v>
      </c>
      <c r="O92" s="3">
        <v>10856052450</v>
      </c>
      <c r="Q92" s="3">
        <v>1255909157</v>
      </c>
      <c r="S92" s="3">
        <f t="shared" si="3"/>
        <v>9600143293</v>
      </c>
    </row>
    <row r="93" spans="1:19" x14ac:dyDescent="0.2">
      <c r="A93" s="13" t="s">
        <v>174</v>
      </c>
      <c r="C93" s="13" t="s">
        <v>175</v>
      </c>
      <c r="E93" s="3">
        <v>60072168</v>
      </c>
      <c r="G93" s="3">
        <v>260</v>
      </c>
      <c r="I93" s="3">
        <v>0</v>
      </c>
      <c r="K93" s="3">
        <v>0</v>
      </c>
      <c r="M93" s="3">
        <f t="shared" si="2"/>
        <v>0</v>
      </c>
      <c r="O93" s="3">
        <v>15618763680</v>
      </c>
      <c r="Q93" s="3">
        <v>616530145</v>
      </c>
      <c r="S93" s="3">
        <f t="shared" si="3"/>
        <v>15002233535</v>
      </c>
    </row>
    <row r="94" spans="1:19" x14ac:dyDescent="0.2">
      <c r="A94" s="13" t="s">
        <v>176</v>
      </c>
      <c r="C94" s="13" t="s">
        <v>177</v>
      </c>
      <c r="E94" s="3">
        <v>1300000</v>
      </c>
      <c r="G94" s="3">
        <v>1650</v>
      </c>
      <c r="I94" s="3">
        <v>0</v>
      </c>
      <c r="K94" s="3">
        <v>0</v>
      </c>
      <c r="M94" s="3">
        <f t="shared" si="2"/>
        <v>0</v>
      </c>
      <c r="O94" s="3">
        <v>0</v>
      </c>
      <c r="Q94" s="3">
        <v>0</v>
      </c>
      <c r="S94" s="3">
        <f t="shared" si="3"/>
        <v>0</v>
      </c>
    </row>
    <row r="95" spans="1:19" x14ac:dyDescent="0.2">
      <c r="A95" s="13" t="s">
        <v>178</v>
      </c>
      <c r="C95" s="13" t="s">
        <v>179</v>
      </c>
      <c r="E95" s="3">
        <v>4153262</v>
      </c>
      <c r="G95" s="3">
        <v>2520</v>
      </c>
      <c r="I95" s="3">
        <v>10466220240</v>
      </c>
      <c r="K95" s="3">
        <f>594978929</f>
        <v>594978929</v>
      </c>
      <c r="M95" s="3">
        <f>I95-K95</f>
        <v>9871241311</v>
      </c>
      <c r="O95" s="3">
        <v>10466220240</v>
      </c>
      <c r="Q95" s="3">
        <v>594978928</v>
      </c>
      <c r="S95" s="3">
        <f t="shared" si="3"/>
        <v>9871241312</v>
      </c>
    </row>
    <row r="96" spans="1:19" x14ac:dyDescent="0.2">
      <c r="A96" s="13" t="s">
        <v>180</v>
      </c>
      <c r="C96" s="13" t="s">
        <v>181</v>
      </c>
      <c r="E96" s="3">
        <v>7598313</v>
      </c>
      <c r="G96" s="3">
        <v>1915</v>
      </c>
      <c r="I96" s="3">
        <v>14550769395</v>
      </c>
      <c r="K96" s="3">
        <v>967570343</v>
      </c>
      <c r="M96" s="3">
        <f t="shared" ref="M96:M98" si="4">I96-K96</f>
        <v>13583199052</v>
      </c>
      <c r="O96" s="3">
        <v>14550769395</v>
      </c>
      <c r="Q96" s="3">
        <v>967570343</v>
      </c>
      <c r="S96" s="3">
        <f t="shared" si="3"/>
        <v>13583199052</v>
      </c>
    </row>
    <row r="97" spans="1:19" x14ac:dyDescent="0.2">
      <c r="A97" s="13" t="s">
        <v>182</v>
      </c>
      <c r="C97" s="13" t="s">
        <v>183</v>
      </c>
      <c r="E97" s="3">
        <v>8508675</v>
      </c>
      <c r="G97" s="3">
        <v>1000</v>
      </c>
      <c r="I97" s="3">
        <v>8508675000</v>
      </c>
      <c r="K97" s="3">
        <v>1196923676</v>
      </c>
      <c r="M97" s="3">
        <f t="shared" si="4"/>
        <v>7311751324</v>
      </c>
      <c r="O97" s="3">
        <v>8508675000</v>
      </c>
      <c r="Q97" s="3">
        <v>1196923676</v>
      </c>
      <c r="S97" s="3">
        <f t="shared" si="3"/>
        <v>7311751324</v>
      </c>
    </row>
    <row r="98" spans="1:19" x14ac:dyDescent="0.2">
      <c r="A98" s="13" t="s">
        <v>184</v>
      </c>
      <c r="C98" s="13" t="s">
        <v>185</v>
      </c>
      <c r="E98" s="3">
        <v>29603315</v>
      </c>
      <c r="G98" s="3">
        <v>550</v>
      </c>
      <c r="I98" s="3">
        <v>16281823250</v>
      </c>
      <c r="K98" s="3">
        <v>945396189</v>
      </c>
      <c r="M98" s="3">
        <f t="shared" si="4"/>
        <v>15336427061</v>
      </c>
      <c r="O98" s="3">
        <v>16281823250</v>
      </c>
      <c r="Q98" s="3">
        <v>945396189</v>
      </c>
      <c r="S98" s="3">
        <f t="shared" si="3"/>
        <v>15336427061</v>
      </c>
    </row>
    <row r="99" spans="1:19" s="15" customFormat="1" ht="22.5" thickTop="1" thickBot="1" x14ac:dyDescent="0.25">
      <c r="A99" s="14" t="s">
        <v>186</v>
      </c>
      <c r="C99" s="14"/>
      <c r="E99" s="14"/>
      <c r="G99" s="14"/>
      <c r="I99" s="21">
        <f>SUM(I7:I98)</f>
        <v>49807487885</v>
      </c>
      <c r="K99" s="21">
        <f>SUM(K7:K98)</f>
        <v>3704869137</v>
      </c>
      <c r="M99" s="21">
        <f>SUM(M7:M98)</f>
        <v>46102618748</v>
      </c>
      <c r="O99" s="21">
        <f>SUM(O7:O98)</f>
        <v>830871130155</v>
      </c>
      <c r="Q99" s="21">
        <f>SUM(Q7:Q98)</f>
        <v>22996815945</v>
      </c>
      <c r="S99" s="21">
        <f>SUM(S7:S98)</f>
        <v>807874314210</v>
      </c>
    </row>
    <row r="100" spans="1:19" ht="18.75" thickTop="1" x14ac:dyDescent="0.2">
      <c r="I100" s="31"/>
      <c r="M100" s="31"/>
      <c r="O100" s="31"/>
      <c r="S100" s="31"/>
    </row>
    <row r="101" spans="1:19" x14ac:dyDescent="0.2">
      <c r="M101" s="31"/>
      <c r="S101" s="31"/>
    </row>
  </sheetData>
  <mergeCells count="7">
    <mergeCell ref="A1:S1"/>
    <mergeCell ref="A2:S2"/>
    <mergeCell ref="A3:S3"/>
    <mergeCell ref="A4:S4"/>
    <mergeCell ref="C5:G5"/>
    <mergeCell ref="I5:M5"/>
    <mergeCell ref="O5:S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L9"/>
  <sheetViews>
    <sheetView rightToLeft="1" workbookViewId="0">
      <selection activeCell="A4" sqref="A4:L4"/>
    </sheetView>
  </sheetViews>
  <sheetFormatPr defaultRowHeight="18" x14ac:dyDescent="0.2"/>
  <cols>
    <col min="1" max="1" width="24.625" style="1" customWidth="1"/>
    <col min="2" max="2" width="14" style="1" bestFit="1" customWidth="1"/>
    <col min="3" max="3" width="0.5" style="1" customWidth="1"/>
    <col min="4" max="4" width="12.625" style="1" customWidth="1"/>
    <col min="5" max="5" width="0.5" style="1" customWidth="1"/>
    <col min="6" max="6" width="14" style="1" bestFit="1" customWidth="1"/>
    <col min="7" max="7" width="0.5" style="1" customWidth="1"/>
    <col min="8" max="8" width="15.5" style="1" bestFit="1" customWidth="1"/>
    <col min="9" max="9" width="0.5" style="1" customWidth="1"/>
    <col min="10" max="10" width="14.125" style="1" customWidth="1"/>
    <col min="11" max="11" width="0.5" style="1" customWidth="1"/>
    <col min="12" max="12" width="15.5" style="1" bestFit="1" customWidth="1"/>
    <col min="13" max="16384" width="9" style="1"/>
  </cols>
  <sheetData>
    <row r="1" spans="1:12" x14ac:dyDescent="0.2">
      <c r="A1" s="69" t="s">
        <v>0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</row>
    <row r="2" spans="1:12" x14ac:dyDescent="0.2">
      <c r="A2" s="69" t="s">
        <v>15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</row>
    <row r="3" spans="1:12" x14ac:dyDescent="0.2">
      <c r="A3" s="69" t="s">
        <v>2</v>
      </c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</row>
    <row r="4" spans="1:12" ht="24.75" x14ac:dyDescent="0.2">
      <c r="A4" s="71" t="s">
        <v>16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x14ac:dyDescent="0.2">
      <c r="B5" s="69" t="s">
        <v>7</v>
      </c>
      <c r="C5" s="70"/>
      <c r="D5" s="70"/>
      <c r="E5" s="70"/>
      <c r="F5" s="70"/>
      <c r="H5" s="69" t="s">
        <v>8</v>
      </c>
      <c r="I5" s="70"/>
      <c r="J5" s="70"/>
      <c r="K5" s="70"/>
      <c r="L5" s="70"/>
    </row>
    <row r="6" spans="1:12" s="15" customFormat="1" ht="21" x14ac:dyDescent="0.2">
      <c r="A6" s="14" t="s">
        <v>17</v>
      </c>
      <c r="B6" s="6" t="s">
        <v>18</v>
      </c>
      <c r="C6" s="36"/>
      <c r="D6" s="6" t="s">
        <v>19</v>
      </c>
      <c r="E6" s="36"/>
      <c r="F6" s="6" t="s">
        <v>20</v>
      </c>
      <c r="H6" s="6" t="s">
        <v>18</v>
      </c>
      <c r="J6" s="6" t="s">
        <v>19</v>
      </c>
      <c r="L6" s="6" t="s">
        <v>20</v>
      </c>
    </row>
    <row r="7" spans="1:12" x14ac:dyDescent="0.2">
      <c r="A7" s="13" t="s">
        <v>12</v>
      </c>
      <c r="B7" s="3">
        <v>8054916760</v>
      </c>
      <c r="D7" s="3">
        <v>0</v>
      </c>
      <c r="F7" s="3">
        <f>B7-D7</f>
        <v>8054916760</v>
      </c>
      <c r="H7" s="3">
        <v>26559797644</v>
      </c>
      <c r="J7" s="3">
        <v>0</v>
      </c>
      <c r="L7" s="3">
        <f>H7-J7</f>
        <v>26559797644</v>
      </c>
    </row>
    <row r="8" spans="1:12" x14ac:dyDescent="0.2">
      <c r="A8" s="13" t="s">
        <v>13</v>
      </c>
      <c r="B8" s="3">
        <v>21295</v>
      </c>
      <c r="D8" s="3">
        <v>0</v>
      </c>
      <c r="F8" s="3">
        <f>B8-D8</f>
        <v>21295</v>
      </c>
      <c r="H8" s="3">
        <v>84643</v>
      </c>
      <c r="J8" s="3">
        <v>0</v>
      </c>
      <c r="L8" s="3">
        <f>H8-J8</f>
        <v>84643</v>
      </c>
    </row>
    <row r="9" spans="1:12" s="15" customFormat="1" ht="21" x14ac:dyDescent="0.2">
      <c r="A9" s="14" t="s">
        <v>14</v>
      </c>
      <c r="B9" s="21">
        <f>SUM(B7:B8)</f>
        <v>8054938055</v>
      </c>
      <c r="D9" s="21">
        <f>SUM(D7:D8)</f>
        <v>0</v>
      </c>
      <c r="F9" s="21">
        <f>SUM(F7:F8)</f>
        <v>8054938055</v>
      </c>
      <c r="H9" s="21">
        <f>SUM(H7:H8)</f>
        <v>26559882287</v>
      </c>
      <c r="J9" s="21">
        <f>SUM(J7:J8)</f>
        <v>0</v>
      </c>
      <c r="L9" s="21">
        <f>SUM(L7:L8)</f>
        <v>26559882287</v>
      </c>
    </row>
  </sheetData>
  <mergeCells count="6">
    <mergeCell ref="A1:L1"/>
    <mergeCell ref="A2:L2"/>
    <mergeCell ref="A3:L3"/>
    <mergeCell ref="A4:L4"/>
    <mergeCell ref="B5:F5"/>
    <mergeCell ref="H5:L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117"/>
  <sheetViews>
    <sheetView rightToLeft="1" zoomScaleNormal="100" workbookViewId="0">
      <selection activeCell="A4" sqref="A4:P4"/>
    </sheetView>
  </sheetViews>
  <sheetFormatPr defaultRowHeight="18" x14ac:dyDescent="0.2"/>
  <cols>
    <col min="1" max="1" width="23.5" style="1" customWidth="1"/>
    <col min="2" max="2" width="9.375" style="1" bestFit="1" customWidth="1"/>
    <col min="3" max="3" width="0.5" style="1" customWidth="1"/>
    <col min="4" max="4" width="19.75" style="1" bestFit="1" customWidth="1"/>
    <col min="5" max="5" width="0.5" style="1" customWidth="1"/>
    <col min="6" max="6" width="19.125" style="1" bestFit="1" customWidth="1"/>
    <col min="7" max="7" width="0.5" style="1" customWidth="1"/>
    <col min="8" max="8" width="17.75" style="1" bestFit="1" customWidth="1"/>
    <col min="9" max="9" width="0.5" style="1" customWidth="1"/>
    <col min="10" max="10" width="9.375" style="1" bestFit="1" customWidth="1"/>
    <col min="11" max="11" width="1" style="1" customWidth="1"/>
    <col min="12" max="12" width="20.375" style="1" bestFit="1" customWidth="1"/>
    <col min="13" max="13" width="0.5" style="1" customWidth="1"/>
    <col min="14" max="14" width="19.75" style="1" bestFit="1" customWidth="1"/>
    <col min="15" max="15" width="0.5" style="1" customWidth="1"/>
    <col min="16" max="16" width="18.5" style="1" bestFit="1" customWidth="1"/>
    <col min="17" max="16384" width="9" style="1"/>
  </cols>
  <sheetData>
    <row r="1" spans="1:16" x14ac:dyDescent="0.2">
      <c r="A1" s="69" t="s">
        <v>0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</row>
    <row r="2" spans="1:16" x14ac:dyDescent="0.2">
      <c r="A2" s="69" t="s">
        <v>1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</row>
    <row r="3" spans="1:16" x14ac:dyDescent="0.2">
      <c r="A3" s="69" t="s">
        <v>2</v>
      </c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</row>
    <row r="4" spans="1:16" ht="24.75" x14ac:dyDescent="0.2">
      <c r="A4" s="71" t="s">
        <v>318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</row>
    <row r="5" spans="1:16" x14ac:dyDescent="0.2">
      <c r="B5" s="69" t="s">
        <v>7</v>
      </c>
      <c r="C5" s="70"/>
      <c r="D5" s="70"/>
      <c r="E5" s="70"/>
      <c r="F5" s="70"/>
      <c r="G5" s="70"/>
      <c r="H5" s="70"/>
      <c r="J5" s="69" t="s">
        <v>8</v>
      </c>
      <c r="K5" s="70"/>
      <c r="L5" s="70"/>
      <c r="M5" s="70"/>
      <c r="N5" s="70"/>
      <c r="O5" s="70"/>
      <c r="P5" s="70"/>
    </row>
    <row r="6" spans="1:16" s="15" customFormat="1" ht="42" x14ac:dyDescent="0.2">
      <c r="A6" s="14" t="s">
        <v>17</v>
      </c>
      <c r="B6" s="6" t="s">
        <v>193</v>
      </c>
      <c r="C6" s="36"/>
      <c r="D6" s="6" t="s">
        <v>314</v>
      </c>
      <c r="E6" s="36"/>
      <c r="F6" s="6" t="s">
        <v>315</v>
      </c>
      <c r="G6" s="36"/>
      <c r="H6" s="6" t="s">
        <v>319</v>
      </c>
      <c r="J6" s="6" t="s">
        <v>193</v>
      </c>
      <c r="K6" s="36"/>
      <c r="L6" s="6" t="s">
        <v>195</v>
      </c>
      <c r="M6" s="36"/>
      <c r="N6" s="6" t="s">
        <v>315</v>
      </c>
      <c r="O6" s="36"/>
      <c r="P6" s="6" t="s">
        <v>319</v>
      </c>
    </row>
    <row r="7" spans="1:16" ht="18.75" thickTop="1" x14ac:dyDescent="0.2">
      <c r="A7" s="13" t="s">
        <v>204</v>
      </c>
      <c r="B7" s="3">
        <v>37765</v>
      </c>
      <c r="D7" s="3">
        <v>1195109399966</v>
      </c>
      <c r="F7" s="3">
        <v>1008395635997</v>
      </c>
      <c r="H7" s="3">
        <f>D7-F7</f>
        <v>186713763969</v>
      </c>
      <c r="J7" s="3">
        <v>37765</v>
      </c>
      <c r="L7" s="3">
        <v>1195109399966</v>
      </c>
      <c r="N7" s="3">
        <v>1008395635997</v>
      </c>
      <c r="P7" s="3">
        <f>L7-N7</f>
        <v>186713763969</v>
      </c>
    </row>
    <row r="8" spans="1:16" x14ac:dyDescent="0.2">
      <c r="A8" s="13" t="s">
        <v>205</v>
      </c>
      <c r="B8" s="3">
        <v>41046</v>
      </c>
      <c r="D8" s="3">
        <v>200000673671</v>
      </c>
      <c r="F8" s="3">
        <v>188542390393</v>
      </c>
      <c r="H8" s="3">
        <f t="shared" ref="H8:H71" si="0">D8-F8</f>
        <v>11458283278</v>
      </c>
      <c r="J8" s="3">
        <v>41046</v>
      </c>
      <c r="L8" s="3">
        <v>200000673671</v>
      </c>
      <c r="N8" s="3">
        <v>188542390393</v>
      </c>
      <c r="P8" s="3">
        <f t="shared" ref="P8:P71" si="1">L8-N8</f>
        <v>11458283278</v>
      </c>
    </row>
    <row r="9" spans="1:16" x14ac:dyDescent="0.2">
      <c r="A9" s="13" t="s">
        <v>72</v>
      </c>
      <c r="B9" s="3">
        <v>0</v>
      </c>
      <c r="D9" s="3">
        <v>0</v>
      </c>
      <c r="F9" s="3">
        <v>0</v>
      </c>
      <c r="H9" s="3">
        <f t="shared" si="0"/>
        <v>0</v>
      </c>
      <c r="J9" s="3">
        <v>1150192</v>
      </c>
      <c r="L9" s="3">
        <v>66136758798</v>
      </c>
      <c r="N9" s="3">
        <v>50068875564</v>
      </c>
      <c r="P9" s="3">
        <f t="shared" si="1"/>
        <v>16067883234</v>
      </c>
    </row>
    <row r="10" spans="1:16" x14ac:dyDescent="0.2">
      <c r="A10" s="13" t="s">
        <v>94</v>
      </c>
      <c r="B10" s="3">
        <v>0</v>
      </c>
      <c r="D10" s="3">
        <v>0</v>
      </c>
      <c r="F10" s="3">
        <v>0</v>
      </c>
      <c r="H10" s="3">
        <f t="shared" si="0"/>
        <v>0</v>
      </c>
      <c r="J10" s="3">
        <v>34746243</v>
      </c>
      <c r="L10" s="3">
        <v>98299151136</v>
      </c>
      <c r="N10" s="3">
        <v>70713669464</v>
      </c>
      <c r="P10" s="3">
        <f t="shared" si="1"/>
        <v>27585481672</v>
      </c>
    </row>
    <row r="11" spans="1:16" x14ac:dyDescent="0.2">
      <c r="A11" s="13" t="s">
        <v>147</v>
      </c>
      <c r="B11" s="3">
        <v>0</v>
      </c>
      <c r="D11" s="3">
        <v>0</v>
      </c>
      <c r="F11" s="3">
        <v>0</v>
      </c>
      <c r="H11" s="3">
        <f t="shared" si="0"/>
        <v>0</v>
      </c>
      <c r="J11" s="3">
        <v>3086824</v>
      </c>
      <c r="L11" s="3">
        <v>37379042449</v>
      </c>
      <c r="N11" s="3">
        <v>18185259860</v>
      </c>
      <c r="P11" s="3">
        <f t="shared" si="1"/>
        <v>19193782589</v>
      </c>
    </row>
    <row r="12" spans="1:16" x14ac:dyDescent="0.2">
      <c r="A12" s="13" t="s">
        <v>306</v>
      </c>
      <c r="B12" s="3">
        <v>0</v>
      </c>
      <c r="D12" s="3">
        <v>0</v>
      </c>
      <c r="F12" s="3">
        <v>0</v>
      </c>
      <c r="H12" s="3">
        <f t="shared" si="0"/>
        <v>0</v>
      </c>
      <c r="J12" s="3">
        <v>120000</v>
      </c>
      <c r="L12" s="3">
        <v>17201198991</v>
      </c>
      <c r="N12" s="3">
        <v>13194412644</v>
      </c>
      <c r="P12" s="3">
        <f t="shared" si="1"/>
        <v>4006786347</v>
      </c>
    </row>
    <row r="13" spans="1:16" x14ac:dyDescent="0.2">
      <c r="A13" s="13" t="s">
        <v>111</v>
      </c>
      <c r="B13" s="3">
        <v>0</v>
      </c>
      <c r="D13" s="3">
        <v>0</v>
      </c>
      <c r="F13" s="3">
        <v>0</v>
      </c>
      <c r="H13" s="3">
        <f t="shared" si="0"/>
        <v>0</v>
      </c>
      <c r="J13" s="3">
        <v>3348082</v>
      </c>
      <c r="L13" s="3">
        <v>95680337326</v>
      </c>
      <c r="N13" s="3">
        <v>73553537334</v>
      </c>
      <c r="P13" s="3">
        <f t="shared" si="1"/>
        <v>22126799992</v>
      </c>
    </row>
    <row r="14" spans="1:16" x14ac:dyDescent="0.2">
      <c r="A14" s="13" t="s">
        <v>174</v>
      </c>
      <c r="B14" s="3">
        <v>2000000</v>
      </c>
      <c r="D14" s="3">
        <v>8066296993</v>
      </c>
      <c r="F14" s="3">
        <v>4278637762</v>
      </c>
      <c r="H14" s="3">
        <f t="shared" si="0"/>
        <v>3787659231</v>
      </c>
      <c r="J14" s="3">
        <v>2000000</v>
      </c>
      <c r="L14" s="3">
        <v>8066296993</v>
      </c>
      <c r="N14" s="3">
        <v>4278637762</v>
      </c>
      <c r="P14" s="3">
        <f t="shared" si="1"/>
        <v>3787659231</v>
      </c>
    </row>
    <row r="15" spans="1:16" x14ac:dyDescent="0.2">
      <c r="A15" s="13" t="s">
        <v>87</v>
      </c>
      <c r="B15" s="3">
        <v>0</v>
      </c>
      <c r="D15" s="3">
        <v>0</v>
      </c>
      <c r="F15" s="3">
        <v>0</v>
      </c>
      <c r="H15" s="3">
        <f t="shared" si="0"/>
        <v>0</v>
      </c>
      <c r="J15" s="3">
        <v>4300000</v>
      </c>
      <c r="L15" s="3">
        <v>22017567999</v>
      </c>
      <c r="N15" s="3">
        <v>18184935390</v>
      </c>
      <c r="P15" s="3">
        <f t="shared" si="1"/>
        <v>3832632609</v>
      </c>
    </row>
    <row r="16" spans="1:16" x14ac:dyDescent="0.2">
      <c r="A16" s="13" t="s">
        <v>155</v>
      </c>
      <c r="B16" s="3">
        <v>0</v>
      </c>
      <c r="D16" s="3">
        <v>0</v>
      </c>
      <c r="F16" s="3">
        <v>0</v>
      </c>
      <c r="H16" s="3">
        <f t="shared" si="0"/>
        <v>0</v>
      </c>
      <c r="J16" s="3">
        <v>13346903</v>
      </c>
      <c r="L16" s="3">
        <v>26510907748</v>
      </c>
      <c r="N16" s="3">
        <v>22970334935</v>
      </c>
      <c r="P16" s="3">
        <f t="shared" si="1"/>
        <v>3540572813</v>
      </c>
    </row>
    <row r="17" spans="1:16" x14ac:dyDescent="0.2">
      <c r="A17" s="13" t="s">
        <v>71</v>
      </c>
      <c r="B17" s="3">
        <v>0</v>
      </c>
      <c r="D17" s="3">
        <v>0</v>
      </c>
      <c r="F17" s="3">
        <v>0</v>
      </c>
      <c r="H17" s="3">
        <f t="shared" si="0"/>
        <v>0</v>
      </c>
      <c r="J17" s="3">
        <v>5892497</v>
      </c>
      <c r="L17" s="3">
        <v>13798113962</v>
      </c>
      <c r="N17" s="3">
        <v>12109029304</v>
      </c>
      <c r="P17" s="3">
        <f t="shared" si="1"/>
        <v>1689084658</v>
      </c>
    </row>
    <row r="18" spans="1:16" x14ac:dyDescent="0.2">
      <c r="A18" s="13" t="s">
        <v>103</v>
      </c>
      <c r="B18" s="3">
        <v>13744017</v>
      </c>
      <c r="D18" s="3">
        <v>72838689176</v>
      </c>
      <c r="F18" s="3">
        <v>42174548594</v>
      </c>
      <c r="H18" s="3">
        <f t="shared" si="0"/>
        <v>30664140582</v>
      </c>
      <c r="J18" s="3">
        <v>34744017</v>
      </c>
      <c r="L18" s="3">
        <v>131501226011</v>
      </c>
      <c r="N18" s="3">
        <v>106614626077</v>
      </c>
      <c r="P18" s="3">
        <f t="shared" si="1"/>
        <v>24886599934</v>
      </c>
    </row>
    <row r="19" spans="1:16" x14ac:dyDescent="0.2">
      <c r="A19" s="13" t="s">
        <v>101</v>
      </c>
      <c r="B19" s="3">
        <v>0</v>
      </c>
      <c r="D19" s="3">
        <v>0</v>
      </c>
      <c r="F19" s="3">
        <v>0</v>
      </c>
      <c r="H19" s="3">
        <f t="shared" si="0"/>
        <v>0</v>
      </c>
      <c r="J19" s="3">
        <v>15365909</v>
      </c>
      <c r="L19" s="3">
        <v>91857925845</v>
      </c>
      <c r="N19" s="3">
        <v>96819278823</v>
      </c>
      <c r="P19" s="3">
        <f t="shared" si="1"/>
        <v>-4961352978</v>
      </c>
    </row>
    <row r="20" spans="1:16" x14ac:dyDescent="0.2">
      <c r="A20" s="13" t="s">
        <v>176</v>
      </c>
      <c r="B20" s="3">
        <v>0</v>
      </c>
      <c r="D20" s="3">
        <v>0</v>
      </c>
      <c r="F20" s="3">
        <v>0</v>
      </c>
      <c r="H20" s="3">
        <f t="shared" si="0"/>
        <v>0</v>
      </c>
      <c r="J20" s="3">
        <v>591088</v>
      </c>
      <c r="L20" s="3">
        <v>39830498034</v>
      </c>
      <c r="N20" s="3">
        <v>45180352887</v>
      </c>
      <c r="P20" s="3">
        <f t="shared" si="1"/>
        <v>-5349854853</v>
      </c>
    </row>
    <row r="21" spans="1:16" x14ac:dyDescent="0.2">
      <c r="A21" s="13" t="s">
        <v>160</v>
      </c>
      <c r="B21" s="3">
        <v>0</v>
      </c>
      <c r="D21" s="3">
        <v>0</v>
      </c>
      <c r="F21" s="3">
        <v>0</v>
      </c>
      <c r="H21" s="3">
        <f t="shared" si="0"/>
        <v>0</v>
      </c>
      <c r="J21" s="3">
        <v>37687292</v>
      </c>
      <c r="L21" s="3">
        <v>72539563773</v>
      </c>
      <c r="N21" s="3">
        <v>53177068250</v>
      </c>
      <c r="P21" s="3">
        <f t="shared" si="1"/>
        <v>19362495523</v>
      </c>
    </row>
    <row r="22" spans="1:16" x14ac:dyDescent="0.2">
      <c r="A22" s="13" t="s">
        <v>164</v>
      </c>
      <c r="B22" s="3">
        <v>0</v>
      </c>
      <c r="D22" s="3">
        <v>0</v>
      </c>
      <c r="F22" s="3">
        <v>0</v>
      </c>
      <c r="H22" s="3">
        <f t="shared" si="0"/>
        <v>0</v>
      </c>
      <c r="J22" s="3">
        <v>3380240</v>
      </c>
      <c r="L22" s="3">
        <v>4011516453</v>
      </c>
      <c r="N22" s="3">
        <v>3269102248</v>
      </c>
      <c r="P22" s="3">
        <f t="shared" si="1"/>
        <v>742414205</v>
      </c>
    </row>
    <row r="23" spans="1:16" x14ac:dyDescent="0.2">
      <c r="A23" s="13" t="s">
        <v>210</v>
      </c>
      <c r="B23" s="3">
        <v>0</v>
      </c>
      <c r="D23" s="3">
        <v>0</v>
      </c>
      <c r="F23" s="3">
        <v>0</v>
      </c>
      <c r="H23" s="3">
        <f t="shared" si="0"/>
        <v>0</v>
      </c>
      <c r="J23" s="3">
        <v>32500000</v>
      </c>
      <c r="L23" s="3">
        <v>58677377620</v>
      </c>
      <c r="N23" s="3">
        <v>40407715072</v>
      </c>
      <c r="P23" s="3">
        <f t="shared" si="1"/>
        <v>18269662548</v>
      </c>
    </row>
    <row r="24" spans="1:16" x14ac:dyDescent="0.2">
      <c r="A24" s="13" t="s">
        <v>76</v>
      </c>
      <c r="B24" s="3">
        <v>0</v>
      </c>
      <c r="D24" s="3">
        <v>0</v>
      </c>
      <c r="F24" s="3">
        <v>0</v>
      </c>
      <c r="H24" s="3">
        <f t="shared" si="0"/>
        <v>0</v>
      </c>
      <c r="J24" s="3">
        <v>3534410</v>
      </c>
      <c r="L24" s="3">
        <v>9734901090</v>
      </c>
      <c r="N24" s="3">
        <v>8441563248</v>
      </c>
      <c r="P24" s="3">
        <f t="shared" si="1"/>
        <v>1293337842</v>
      </c>
    </row>
    <row r="25" spans="1:16" x14ac:dyDescent="0.2">
      <c r="A25" s="13" t="s">
        <v>127</v>
      </c>
      <c r="B25" s="3">
        <v>0</v>
      </c>
      <c r="D25" s="3">
        <v>0</v>
      </c>
      <c r="F25" s="3">
        <v>0</v>
      </c>
      <c r="H25" s="3">
        <f t="shared" si="0"/>
        <v>0</v>
      </c>
      <c r="J25" s="3">
        <v>417404</v>
      </c>
      <c r="L25" s="3">
        <v>991126715</v>
      </c>
      <c r="N25" s="3">
        <v>620547183</v>
      </c>
      <c r="P25" s="3">
        <f t="shared" si="1"/>
        <v>370579532</v>
      </c>
    </row>
    <row r="26" spans="1:16" x14ac:dyDescent="0.2">
      <c r="A26" s="13" t="s">
        <v>213</v>
      </c>
      <c r="B26" s="3">
        <v>0</v>
      </c>
      <c r="D26" s="3">
        <v>0</v>
      </c>
      <c r="F26" s="3">
        <v>0</v>
      </c>
      <c r="H26" s="3">
        <f t="shared" si="0"/>
        <v>0</v>
      </c>
      <c r="J26" s="3">
        <v>44512430</v>
      </c>
      <c r="L26" s="3">
        <v>103652793555</v>
      </c>
      <c r="N26" s="3">
        <v>86967479015</v>
      </c>
      <c r="P26" s="3">
        <f t="shared" si="1"/>
        <v>16685314540</v>
      </c>
    </row>
    <row r="27" spans="1:16" x14ac:dyDescent="0.2">
      <c r="A27" s="13" t="s">
        <v>166</v>
      </c>
      <c r="B27" s="3">
        <v>0</v>
      </c>
      <c r="D27" s="3">
        <v>0</v>
      </c>
      <c r="F27" s="3">
        <v>0</v>
      </c>
      <c r="H27" s="3">
        <f t="shared" si="0"/>
        <v>0</v>
      </c>
      <c r="J27" s="3">
        <v>200000</v>
      </c>
      <c r="L27" s="3">
        <v>1226445762</v>
      </c>
      <c r="N27" s="3">
        <v>1115099407</v>
      </c>
      <c r="P27" s="3">
        <f t="shared" si="1"/>
        <v>111346355</v>
      </c>
    </row>
    <row r="28" spans="1:16" x14ac:dyDescent="0.2">
      <c r="A28" s="13" t="s">
        <v>214</v>
      </c>
      <c r="B28" s="3">
        <v>0</v>
      </c>
      <c r="D28" s="3">
        <v>0</v>
      </c>
      <c r="F28" s="3">
        <v>0</v>
      </c>
      <c r="H28" s="3">
        <f t="shared" si="0"/>
        <v>0</v>
      </c>
      <c r="J28" s="3">
        <v>5908937</v>
      </c>
      <c r="L28" s="3">
        <v>60105059089</v>
      </c>
      <c r="N28" s="3">
        <v>19765052265</v>
      </c>
      <c r="P28" s="3">
        <f t="shared" si="1"/>
        <v>40340006824</v>
      </c>
    </row>
    <row r="29" spans="1:16" x14ac:dyDescent="0.2">
      <c r="A29" s="13" t="s">
        <v>89</v>
      </c>
      <c r="B29" s="3">
        <v>0</v>
      </c>
      <c r="D29" s="3">
        <v>0</v>
      </c>
      <c r="F29" s="3">
        <v>0</v>
      </c>
      <c r="H29" s="3">
        <f t="shared" si="0"/>
        <v>0</v>
      </c>
      <c r="J29" s="3">
        <v>3407582</v>
      </c>
      <c r="L29" s="3">
        <v>21702744778</v>
      </c>
      <c r="N29" s="3">
        <v>17173325083</v>
      </c>
      <c r="P29" s="3">
        <f t="shared" si="1"/>
        <v>4529419695</v>
      </c>
    </row>
    <row r="30" spans="1:16" x14ac:dyDescent="0.2">
      <c r="A30" s="13" t="s">
        <v>146</v>
      </c>
      <c r="B30" s="3">
        <v>0</v>
      </c>
      <c r="D30" s="3">
        <v>0</v>
      </c>
      <c r="F30" s="3">
        <v>0</v>
      </c>
      <c r="H30" s="3">
        <f t="shared" si="0"/>
        <v>0</v>
      </c>
      <c r="J30" s="3">
        <v>8262789</v>
      </c>
      <c r="L30" s="3">
        <v>101540660554</v>
      </c>
      <c r="N30" s="3">
        <v>53784899724</v>
      </c>
      <c r="P30" s="3">
        <f t="shared" si="1"/>
        <v>47755760830</v>
      </c>
    </row>
    <row r="31" spans="1:16" x14ac:dyDescent="0.2">
      <c r="A31" s="13" t="s">
        <v>215</v>
      </c>
      <c r="B31" s="3">
        <v>858995</v>
      </c>
      <c r="D31" s="3">
        <v>37558658567</v>
      </c>
      <c r="F31" s="3">
        <v>7014881386</v>
      </c>
      <c r="H31" s="3">
        <f t="shared" si="0"/>
        <v>30543777181</v>
      </c>
      <c r="J31" s="3">
        <v>858995</v>
      </c>
      <c r="L31" s="3">
        <v>37558658567</v>
      </c>
      <c r="N31" s="3">
        <v>7014881386</v>
      </c>
      <c r="P31" s="3">
        <f t="shared" si="1"/>
        <v>30543777181</v>
      </c>
    </row>
    <row r="32" spans="1:16" x14ac:dyDescent="0.2">
      <c r="A32" s="13" t="s">
        <v>114</v>
      </c>
      <c r="B32" s="3">
        <v>0</v>
      </c>
      <c r="D32" s="3">
        <v>0</v>
      </c>
      <c r="F32" s="3">
        <v>0</v>
      </c>
      <c r="H32" s="3">
        <f t="shared" si="0"/>
        <v>0</v>
      </c>
      <c r="J32" s="3">
        <v>14065441</v>
      </c>
      <c r="L32" s="3">
        <v>66009623000</v>
      </c>
      <c r="N32" s="3">
        <v>29560322679</v>
      </c>
      <c r="P32" s="3">
        <f t="shared" si="1"/>
        <v>36449300321</v>
      </c>
    </row>
    <row r="33" spans="1:16" x14ac:dyDescent="0.2">
      <c r="A33" s="13" t="s">
        <v>217</v>
      </c>
      <c r="B33" s="3">
        <v>0</v>
      </c>
      <c r="D33" s="3">
        <v>0</v>
      </c>
      <c r="F33" s="3">
        <v>0</v>
      </c>
      <c r="H33" s="3">
        <f t="shared" si="0"/>
        <v>0</v>
      </c>
      <c r="J33" s="3">
        <v>6125583</v>
      </c>
      <c r="L33" s="3">
        <v>44653533369</v>
      </c>
      <c r="N33" s="3">
        <v>17091989062</v>
      </c>
      <c r="P33" s="3">
        <f t="shared" si="1"/>
        <v>27561544307</v>
      </c>
    </row>
    <row r="34" spans="1:16" x14ac:dyDescent="0.2">
      <c r="A34" s="13" t="s">
        <v>219</v>
      </c>
      <c r="B34" s="3">
        <v>0</v>
      </c>
      <c r="D34" s="3">
        <v>0</v>
      </c>
      <c r="F34" s="3">
        <v>0</v>
      </c>
      <c r="H34" s="3">
        <f t="shared" si="0"/>
        <v>0</v>
      </c>
      <c r="J34" s="3">
        <v>3357820</v>
      </c>
      <c r="L34" s="3">
        <v>27569125939</v>
      </c>
      <c r="N34" s="3">
        <v>16670664148</v>
      </c>
      <c r="P34" s="3">
        <f t="shared" si="1"/>
        <v>10898461791</v>
      </c>
    </row>
    <row r="35" spans="1:16" x14ac:dyDescent="0.2">
      <c r="A35" s="13" t="s">
        <v>91</v>
      </c>
      <c r="B35" s="3">
        <v>0</v>
      </c>
      <c r="D35" s="3">
        <v>0</v>
      </c>
      <c r="F35" s="3">
        <v>0</v>
      </c>
      <c r="H35" s="3">
        <f t="shared" si="0"/>
        <v>0</v>
      </c>
      <c r="J35" s="3">
        <v>8028292</v>
      </c>
      <c r="L35" s="3">
        <v>160378495158</v>
      </c>
      <c r="N35" s="3">
        <v>67553658408</v>
      </c>
      <c r="P35" s="3">
        <f t="shared" si="1"/>
        <v>92824836750</v>
      </c>
    </row>
    <row r="36" spans="1:16" x14ac:dyDescent="0.2">
      <c r="A36" s="13" t="s">
        <v>121</v>
      </c>
      <c r="B36" s="3">
        <v>0</v>
      </c>
      <c r="D36" s="3">
        <v>0</v>
      </c>
      <c r="F36" s="3">
        <v>0</v>
      </c>
      <c r="H36" s="3">
        <f t="shared" si="0"/>
        <v>0</v>
      </c>
      <c r="J36" s="3">
        <v>4000000</v>
      </c>
      <c r="L36" s="3">
        <v>5920125950</v>
      </c>
      <c r="N36" s="3">
        <v>4294544561</v>
      </c>
      <c r="P36" s="3">
        <f t="shared" si="1"/>
        <v>1625581389</v>
      </c>
    </row>
    <row r="37" spans="1:16" x14ac:dyDescent="0.2">
      <c r="A37" s="13" t="s">
        <v>83</v>
      </c>
      <c r="B37" s="3">
        <v>0</v>
      </c>
      <c r="D37" s="3">
        <v>0</v>
      </c>
      <c r="F37" s="3">
        <v>0</v>
      </c>
      <c r="H37" s="3">
        <f t="shared" si="0"/>
        <v>0</v>
      </c>
      <c r="J37" s="3">
        <v>6401130</v>
      </c>
      <c r="L37" s="3">
        <v>52571988521</v>
      </c>
      <c r="N37" s="3">
        <v>24638047498</v>
      </c>
      <c r="P37" s="3">
        <f t="shared" si="1"/>
        <v>27933941023</v>
      </c>
    </row>
    <row r="38" spans="1:16" x14ac:dyDescent="0.2">
      <c r="A38" s="13" t="s">
        <v>226</v>
      </c>
      <c r="B38" s="3">
        <v>1500000</v>
      </c>
      <c r="D38" s="3">
        <v>2977840880</v>
      </c>
      <c r="F38" s="3">
        <v>2487993388</v>
      </c>
      <c r="H38" s="3">
        <f t="shared" si="0"/>
        <v>489847492</v>
      </c>
      <c r="J38" s="3">
        <v>2693393</v>
      </c>
      <c r="L38" s="3">
        <v>4850658497</v>
      </c>
      <c r="N38" s="3">
        <v>4467429319</v>
      </c>
      <c r="P38" s="3">
        <f t="shared" si="1"/>
        <v>383229178</v>
      </c>
    </row>
    <row r="39" spans="1:16" x14ac:dyDescent="0.2">
      <c r="A39" s="13" t="s">
        <v>227</v>
      </c>
      <c r="B39" s="3">
        <v>2323319</v>
      </c>
      <c r="D39" s="3">
        <v>7073377057</v>
      </c>
      <c r="F39" s="3">
        <v>5734529769</v>
      </c>
      <c r="H39" s="3">
        <f t="shared" si="0"/>
        <v>1338847288</v>
      </c>
      <c r="J39" s="3">
        <v>2723319</v>
      </c>
      <c r="L39" s="3">
        <v>8012461400</v>
      </c>
      <c r="N39" s="3">
        <v>6721829364</v>
      </c>
      <c r="P39" s="3">
        <f t="shared" si="1"/>
        <v>1290632036</v>
      </c>
    </row>
    <row r="40" spans="1:16" x14ac:dyDescent="0.2">
      <c r="A40" s="13" t="s">
        <v>228</v>
      </c>
      <c r="B40" s="3">
        <v>0</v>
      </c>
      <c r="D40" s="3">
        <v>0</v>
      </c>
      <c r="F40" s="3">
        <v>0</v>
      </c>
      <c r="H40" s="3">
        <f t="shared" si="0"/>
        <v>0</v>
      </c>
      <c r="J40" s="3">
        <v>3969723</v>
      </c>
      <c r="L40" s="3">
        <v>8284624544</v>
      </c>
      <c r="N40" s="3">
        <v>7360548509</v>
      </c>
      <c r="P40" s="3">
        <f t="shared" si="1"/>
        <v>924076035</v>
      </c>
    </row>
    <row r="41" spans="1:16" x14ac:dyDescent="0.2">
      <c r="A41" s="13" t="s">
        <v>229</v>
      </c>
      <c r="B41" s="3">
        <v>0</v>
      </c>
      <c r="D41" s="3">
        <v>0</v>
      </c>
      <c r="F41" s="3">
        <v>0</v>
      </c>
      <c r="H41" s="3">
        <f t="shared" si="0"/>
        <v>0</v>
      </c>
      <c r="J41" s="3">
        <v>200000</v>
      </c>
      <c r="L41" s="3">
        <v>3036346216</v>
      </c>
      <c r="N41" s="3">
        <v>2824008128</v>
      </c>
      <c r="P41" s="3">
        <f t="shared" si="1"/>
        <v>212338088</v>
      </c>
    </row>
    <row r="42" spans="1:16" x14ac:dyDescent="0.2">
      <c r="A42" s="13" t="s">
        <v>230</v>
      </c>
      <c r="B42" s="3">
        <v>3687225</v>
      </c>
      <c r="D42" s="3">
        <v>13923354847</v>
      </c>
      <c r="F42" s="3">
        <v>7321104228</v>
      </c>
      <c r="H42" s="3">
        <f t="shared" si="0"/>
        <v>6602250619</v>
      </c>
      <c r="J42" s="3">
        <v>14087225</v>
      </c>
      <c r="L42" s="3">
        <v>54691162248</v>
      </c>
      <c r="N42" s="3">
        <v>27970639839</v>
      </c>
      <c r="P42" s="3">
        <f t="shared" si="1"/>
        <v>26720522409</v>
      </c>
    </row>
    <row r="43" spans="1:16" x14ac:dyDescent="0.2">
      <c r="A43" s="13" t="s">
        <v>231</v>
      </c>
      <c r="B43" s="3">
        <v>0</v>
      </c>
      <c r="D43" s="3">
        <v>0</v>
      </c>
      <c r="F43" s="3">
        <v>0</v>
      </c>
      <c r="H43" s="3">
        <f t="shared" si="0"/>
        <v>0</v>
      </c>
      <c r="J43" s="3">
        <v>35482332</v>
      </c>
      <c r="L43" s="3">
        <v>129997021819</v>
      </c>
      <c r="N43" s="3">
        <v>101892107042</v>
      </c>
      <c r="P43" s="3">
        <f t="shared" si="1"/>
        <v>28104914777</v>
      </c>
    </row>
    <row r="44" spans="1:16" x14ac:dyDescent="0.2">
      <c r="A44" s="13" t="s">
        <v>301</v>
      </c>
      <c r="B44" s="3">
        <v>0</v>
      </c>
      <c r="D44" s="3">
        <v>0</v>
      </c>
      <c r="F44" s="3">
        <v>0</v>
      </c>
      <c r="H44" s="3">
        <f t="shared" si="0"/>
        <v>0</v>
      </c>
      <c r="J44" s="3">
        <v>193312</v>
      </c>
      <c r="L44" s="3">
        <v>32666554326</v>
      </c>
      <c r="N44" s="3">
        <v>21714530711</v>
      </c>
      <c r="P44" s="3">
        <f t="shared" si="1"/>
        <v>10952023615</v>
      </c>
    </row>
    <row r="45" spans="1:16" x14ac:dyDescent="0.2">
      <c r="A45" s="13" t="s">
        <v>58</v>
      </c>
      <c r="B45" s="3">
        <v>0</v>
      </c>
      <c r="D45" s="3">
        <v>0</v>
      </c>
      <c r="F45" s="3">
        <v>0</v>
      </c>
      <c r="H45" s="3">
        <f t="shared" si="0"/>
        <v>0</v>
      </c>
      <c r="J45" s="3">
        <v>4047078</v>
      </c>
      <c r="L45" s="3">
        <v>31521002994</v>
      </c>
      <c r="N45" s="3">
        <v>18408096907</v>
      </c>
      <c r="P45" s="3">
        <f t="shared" si="1"/>
        <v>13112906087</v>
      </c>
    </row>
    <row r="46" spans="1:16" x14ac:dyDescent="0.2">
      <c r="A46" s="13" t="s">
        <v>235</v>
      </c>
      <c r="B46" s="3">
        <v>0</v>
      </c>
      <c r="D46" s="3">
        <v>0</v>
      </c>
      <c r="F46" s="3">
        <v>0</v>
      </c>
      <c r="H46" s="3">
        <f t="shared" si="0"/>
        <v>0</v>
      </c>
      <c r="J46" s="3">
        <v>339663</v>
      </c>
      <c r="L46" s="3">
        <v>6820355107</v>
      </c>
      <c r="N46" s="3">
        <v>9365599259</v>
      </c>
      <c r="P46" s="3">
        <f t="shared" si="1"/>
        <v>-2545244152</v>
      </c>
    </row>
    <row r="47" spans="1:16" x14ac:dyDescent="0.2">
      <c r="A47" s="13" t="s">
        <v>236</v>
      </c>
      <c r="B47" s="3">
        <v>15561008</v>
      </c>
      <c r="D47" s="3">
        <v>31657598813</v>
      </c>
      <c r="F47" s="3">
        <v>15624581860</v>
      </c>
      <c r="H47" s="3">
        <f t="shared" si="0"/>
        <v>16033016953</v>
      </c>
      <c r="J47" s="3">
        <v>25163679</v>
      </c>
      <c r="L47" s="3">
        <v>43356949590</v>
      </c>
      <c r="N47" s="3">
        <v>25266484456</v>
      </c>
      <c r="P47" s="3">
        <f t="shared" si="1"/>
        <v>18090465134</v>
      </c>
    </row>
    <row r="48" spans="1:16" x14ac:dyDescent="0.2">
      <c r="A48" s="13" t="s">
        <v>145</v>
      </c>
      <c r="B48" s="3">
        <v>0</v>
      </c>
      <c r="D48" s="3">
        <v>0</v>
      </c>
      <c r="F48" s="3">
        <v>0</v>
      </c>
      <c r="H48" s="3">
        <f t="shared" si="0"/>
        <v>0</v>
      </c>
      <c r="J48" s="3">
        <v>3023870</v>
      </c>
      <c r="L48" s="3">
        <v>11537228546</v>
      </c>
      <c r="N48" s="3">
        <v>11374402779</v>
      </c>
      <c r="P48" s="3">
        <f t="shared" si="1"/>
        <v>162825767</v>
      </c>
    </row>
    <row r="49" spans="1:16" x14ac:dyDescent="0.2">
      <c r="A49" s="13" t="s">
        <v>158</v>
      </c>
      <c r="B49" s="3">
        <v>4000000</v>
      </c>
      <c r="D49" s="3">
        <v>9755998679</v>
      </c>
      <c r="F49" s="3">
        <v>5422452672</v>
      </c>
      <c r="H49" s="3">
        <f t="shared" si="0"/>
        <v>4333546007</v>
      </c>
      <c r="J49" s="3">
        <v>18011087</v>
      </c>
      <c r="L49" s="3">
        <v>35329741642</v>
      </c>
      <c r="N49" s="3">
        <v>24416066712</v>
      </c>
      <c r="P49" s="3">
        <f t="shared" si="1"/>
        <v>10913674930</v>
      </c>
    </row>
    <row r="50" spans="1:16" x14ac:dyDescent="0.2">
      <c r="A50" s="13" t="s">
        <v>237</v>
      </c>
      <c r="B50" s="3">
        <v>125131</v>
      </c>
      <c r="D50" s="3">
        <v>12776547896</v>
      </c>
      <c r="F50" s="3">
        <v>8923858377</v>
      </c>
      <c r="H50" s="3">
        <f t="shared" si="0"/>
        <v>3852689519</v>
      </c>
      <c r="J50" s="3">
        <v>125131</v>
      </c>
      <c r="L50" s="3">
        <v>12776547896</v>
      </c>
      <c r="N50" s="3">
        <v>8923858377</v>
      </c>
      <c r="P50" s="3">
        <f t="shared" si="1"/>
        <v>3852689519</v>
      </c>
    </row>
    <row r="51" spans="1:16" x14ac:dyDescent="0.2">
      <c r="A51" s="13" t="s">
        <v>238</v>
      </c>
      <c r="B51" s="3">
        <v>0</v>
      </c>
      <c r="D51" s="3">
        <v>0</v>
      </c>
      <c r="F51" s="3">
        <v>0</v>
      </c>
      <c r="H51" s="3">
        <f t="shared" si="0"/>
        <v>0</v>
      </c>
      <c r="J51" s="3">
        <v>516713</v>
      </c>
      <c r="L51" s="3">
        <v>25992335360</v>
      </c>
      <c r="N51" s="3">
        <v>15812248037</v>
      </c>
      <c r="P51" s="3">
        <f t="shared" si="1"/>
        <v>10180087323</v>
      </c>
    </row>
    <row r="52" spans="1:16" x14ac:dyDescent="0.2">
      <c r="A52" s="13" t="s">
        <v>293</v>
      </c>
      <c r="B52" s="3">
        <v>0</v>
      </c>
      <c r="D52" s="3">
        <v>0</v>
      </c>
      <c r="F52" s="3">
        <v>0</v>
      </c>
      <c r="H52" s="3">
        <f t="shared" si="0"/>
        <v>0</v>
      </c>
      <c r="J52" s="3">
        <v>17564009</v>
      </c>
      <c r="L52" s="3">
        <v>296925191454</v>
      </c>
      <c r="N52" s="3">
        <v>159294106383</v>
      </c>
      <c r="P52" s="3">
        <f t="shared" si="1"/>
        <v>137631085071</v>
      </c>
    </row>
    <row r="53" spans="1:16" x14ac:dyDescent="0.2">
      <c r="A53" s="13" t="s">
        <v>243</v>
      </c>
      <c r="B53" s="3">
        <v>0</v>
      </c>
      <c r="D53" s="3">
        <v>0</v>
      </c>
      <c r="F53" s="3">
        <v>0</v>
      </c>
      <c r="H53" s="3">
        <f t="shared" si="0"/>
        <v>0</v>
      </c>
      <c r="J53" s="3">
        <v>6730303</v>
      </c>
      <c r="L53" s="3">
        <v>31961657921</v>
      </c>
      <c r="N53" s="3">
        <v>30798389067</v>
      </c>
      <c r="P53" s="3">
        <f t="shared" si="1"/>
        <v>1163268854</v>
      </c>
    </row>
    <row r="54" spans="1:16" x14ac:dyDescent="0.2">
      <c r="A54" s="13" t="s">
        <v>80</v>
      </c>
      <c r="B54" s="3">
        <v>0</v>
      </c>
      <c r="D54" s="3">
        <v>0</v>
      </c>
      <c r="F54" s="3">
        <v>0</v>
      </c>
      <c r="H54" s="3">
        <f t="shared" si="0"/>
        <v>0</v>
      </c>
      <c r="J54" s="3">
        <v>100000</v>
      </c>
      <c r="L54" s="3">
        <v>384537279</v>
      </c>
      <c r="N54" s="3">
        <v>360109386</v>
      </c>
      <c r="P54" s="3">
        <f t="shared" si="1"/>
        <v>24427893</v>
      </c>
    </row>
    <row r="55" spans="1:16" x14ac:dyDescent="0.2">
      <c r="A55" s="13" t="s">
        <v>246</v>
      </c>
      <c r="B55" s="3">
        <v>9355798</v>
      </c>
      <c r="D55" s="3">
        <v>20193391639</v>
      </c>
      <c r="F55" s="3">
        <v>11418453394</v>
      </c>
      <c r="H55" s="3">
        <f t="shared" si="0"/>
        <v>8774938245</v>
      </c>
      <c r="J55" s="3">
        <v>71325155</v>
      </c>
      <c r="L55" s="3">
        <v>125329843179</v>
      </c>
      <c r="N55" s="3">
        <v>87050079338</v>
      </c>
      <c r="P55" s="3">
        <f t="shared" si="1"/>
        <v>38279763841</v>
      </c>
    </row>
    <row r="56" spans="1:16" x14ac:dyDescent="0.2">
      <c r="A56" s="13" t="s">
        <v>247</v>
      </c>
      <c r="B56" s="3">
        <v>0</v>
      </c>
      <c r="D56" s="3">
        <v>0</v>
      </c>
      <c r="F56" s="3">
        <v>0</v>
      </c>
      <c r="H56" s="3">
        <f t="shared" si="0"/>
        <v>0</v>
      </c>
      <c r="J56" s="3">
        <v>900000</v>
      </c>
      <c r="L56" s="3">
        <v>2498928882</v>
      </c>
      <c r="N56" s="3">
        <v>2032565888</v>
      </c>
      <c r="P56" s="3">
        <f t="shared" si="1"/>
        <v>466362994</v>
      </c>
    </row>
    <row r="57" spans="1:16" x14ac:dyDescent="0.2">
      <c r="A57" s="13" t="s">
        <v>248</v>
      </c>
      <c r="B57" s="3">
        <v>0</v>
      </c>
      <c r="D57" s="3">
        <v>0</v>
      </c>
      <c r="F57" s="3">
        <v>0</v>
      </c>
      <c r="H57" s="3">
        <f t="shared" si="0"/>
        <v>0</v>
      </c>
      <c r="J57" s="3">
        <v>1500000</v>
      </c>
      <c r="L57" s="3">
        <v>3523923057</v>
      </c>
      <c r="N57" s="3">
        <v>3921350258</v>
      </c>
      <c r="P57" s="3">
        <f t="shared" si="1"/>
        <v>-397427201</v>
      </c>
    </row>
    <row r="58" spans="1:16" x14ac:dyDescent="0.2">
      <c r="A58" s="13" t="s">
        <v>249</v>
      </c>
      <c r="B58" s="3">
        <v>0</v>
      </c>
      <c r="D58" s="3">
        <v>0</v>
      </c>
      <c r="F58" s="3">
        <v>0</v>
      </c>
      <c r="H58" s="3">
        <f t="shared" si="0"/>
        <v>0</v>
      </c>
      <c r="J58" s="3">
        <v>12471972</v>
      </c>
      <c r="L58" s="3">
        <v>32408355749</v>
      </c>
      <c r="N58" s="3">
        <v>24981248554</v>
      </c>
      <c r="P58" s="3">
        <f t="shared" si="1"/>
        <v>7427107195</v>
      </c>
    </row>
    <row r="59" spans="1:16" x14ac:dyDescent="0.2">
      <c r="A59" s="13" t="s">
        <v>110</v>
      </c>
      <c r="B59" s="3">
        <v>9257835</v>
      </c>
      <c r="D59" s="3">
        <v>25308251347</v>
      </c>
      <c r="F59" s="3">
        <v>17506278954</v>
      </c>
      <c r="H59" s="3">
        <f t="shared" si="0"/>
        <v>7801972393</v>
      </c>
      <c r="J59" s="3">
        <v>16828522</v>
      </c>
      <c r="L59" s="3">
        <v>40227412263</v>
      </c>
      <c r="N59" s="3">
        <v>31822213346</v>
      </c>
      <c r="P59" s="3">
        <f t="shared" si="1"/>
        <v>8405198917</v>
      </c>
    </row>
    <row r="60" spans="1:16" x14ac:dyDescent="0.2">
      <c r="A60" s="13" t="s">
        <v>296</v>
      </c>
      <c r="B60" s="3">
        <v>0</v>
      </c>
      <c r="D60" s="3">
        <v>0</v>
      </c>
      <c r="F60" s="3">
        <v>0</v>
      </c>
      <c r="H60" s="3">
        <f t="shared" si="0"/>
        <v>0</v>
      </c>
      <c r="J60" s="3">
        <v>100000</v>
      </c>
      <c r="L60" s="3">
        <v>8485712179</v>
      </c>
      <c r="N60" s="3">
        <v>5238193330</v>
      </c>
      <c r="P60" s="3">
        <f t="shared" si="1"/>
        <v>3247518849</v>
      </c>
    </row>
    <row r="61" spans="1:16" x14ac:dyDescent="0.2">
      <c r="A61" s="13" t="s">
        <v>182</v>
      </c>
      <c r="B61" s="3">
        <v>0</v>
      </c>
      <c r="D61" s="3">
        <v>0</v>
      </c>
      <c r="F61" s="3">
        <v>0</v>
      </c>
      <c r="H61" s="3">
        <f t="shared" si="0"/>
        <v>0</v>
      </c>
      <c r="J61" s="3">
        <v>4460375</v>
      </c>
      <c r="L61" s="3">
        <v>65162479144</v>
      </c>
      <c r="N61" s="3">
        <v>55190926856</v>
      </c>
      <c r="P61" s="3">
        <f t="shared" si="1"/>
        <v>9971552288</v>
      </c>
    </row>
    <row r="62" spans="1:16" x14ac:dyDescent="0.2">
      <c r="A62" s="13" t="s">
        <v>250</v>
      </c>
      <c r="B62" s="3">
        <v>5000000</v>
      </c>
      <c r="D62" s="3">
        <v>13911207319</v>
      </c>
      <c r="F62" s="3">
        <v>5139958594</v>
      </c>
      <c r="H62" s="3">
        <f t="shared" si="0"/>
        <v>8771248725</v>
      </c>
      <c r="J62" s="3">
        <v>8000000</v>
      </c>
      <c r="L62" s="3">
        <v>18718755499</v>
      </c>
      <c r="N62" s="3">
        <v>8223933755</v>
      </c>
      <c r="P62" s="3">
        <f t="shared" si="1"/>
        <v>10494821744</v>
      </c>
    </row>
    <row r="63" spans="1:16" x14ac:dyDescent="0.2">
      <c r="A63" s="13" t="s">
        <v>303</v>
      </c>
      <c r="B63" s="3">
        <v>0</v>
      </c>
      <c r="D63" s="3">
        <v>0</v>
      </c>
      <c r="F63" s="3">
        <v>0</v>
      </c>
      <c r="H63" s="3">
        <f t="shared" si="0"/>
        <v>0</v>
      </c>
      <c r="J63" s="3">
        <v>5894046</v>
      </c>
      <c r="L63" s="3">
        <v>35382678947</v>
      </c>
      <c r="N63" s="3">
        <v>30630110744</v>
      </c>
      <c r="P63" s="3">
        <f t="shared" si="1"/>
        <v>4752568203</v>
      </c>
    </row>
    <row r="64" spans="1:16" x14ac:dyDescent="0.2">
      <c r="A64" s="13" t="s">
        <v>251</v>
      </c>
      <c r="B64" s="3">
        <v>1049594</v>
      </c>
      <c r="D64" s="3">
        <v>3614355423</v>
      </c>
      <c r="F64" s="3">
        <v>2579592277</v>
      </c>
      <c r="H64" s="3">
        <f t="shared" si="0"/>
        <v>1034763146</v>
      </c>
      <c r="J64" s="3">
        <v>2954130</v>
      </c>
      <c r="L64" s="3">
        <v>7911792356</v>
      </c>
      <c r="N64" s="3">
        <v>6923954270</v>
      </c>
      <c r="P64" s="3">
        <f t="shared" si="1"/>
        <v>987838086</v>
      </c>
    </row>
    <row r="65" spans="1:16" x14ac:dyDescent="0.2">
      <c r="A65" s="13" t="s">
        <v>252</v>
      </c>
      <c r="B65" s="3">
        <v>4000000</v>
      </c>
      <c r="D65" s="3">
        <v>12859819293</v>
      </c>
      <c r="F65" s="3">
        <v>7955051266</v>
      </c>
      <c r="H65" s="3">
        <f t="shared" si="0"/>
        <v>4904768027</v>
      </c>
      <c r="J65" s="3">
        <v>19973461</v>
      </c>
      <c r="L65" s="3">
        <v>49477777257</v>
      </c>
      <c r="N65" s="3">
        <v>39722476578</v>
      </c>
      <c r="P65" s="3">
        <f t="shared" si="1"/>
        <v>9755300679</v>
      </c>
    </row>
    <row r="66" spans="1:16" x14ac:dyDescent="0.2">
      <c r="A66" s="13" t="s">
        <v>304</v>
      </c>
      <c r="B66" s="3">
        <v>0</v>
      </c>
      <c r="D66" s="3">
        <v>0</v>
      </c>
      <c r="F66" s="3">
        <v>0</v>
      </c>
      <c r="H66" s="3">
        <f t="shared" si="0"/>
        <v>0</v>
      </c>
      <c r="J66" s="3">
        <v>221646</v>
      </c>
      <c r="L66" s="3">
        <v>2080563127</v>
      </c>
      <c r="N66" s="3">
        <v>1236021641</v>
      </c>
      <c r="P66" s="3">
        <f t="shared" si="1"/>
        <v>844541486</v>
      </c>
    </row>
    <row r="67" spans="1:16" x14ac:dyDescent="0.2">
      <c r="A67" s="13" t="s">
        <v>133</v>
      </c>
      <c r="B67" s="3">
        <v>0</v>
      </c>
      <c r="D67" s="3">
        <v>0</v>
      </c>
      <c r="F67" s="3">
        <v>0</v>
      </c>
      <c r="H67" s="3">
        <f t="shared" si="0"/>
        <v>0</v>
      </c>
      <c r="J67" s="3">
        <v>8543602</v>
      </c>
      <c r="L67" s="3">
        <v>22330854483</v>
      </c>
      <c r="N67" s="3">
        <v>18184366104</v>
      </c>
      <c r="P67" s="3">
        <f t="shared" si="1"/>
        <v>4146488379</v>
      </c>
    </row>
    <row r="68" spans="1:16" x14ac:dyDescent="0.2">
      <c r="A68" s="13" t="s">
        <v>297</v>
      </c>
      <c r="B68" s="3">
        <v>0</v>
      </c>
      <c r="D68" s="3">
        <v>0</v>
      </c>
      <c r="F68" s="3">
        <v>0</v>
      </c>
      <c r="H68" s="3">
        <f t="shared" si="0"/>
        <v>0</v>
      </c>
      <c r="J68" s="3">
        <v>49324952</v>
      </c>
      <c r="L68" s="3">
        <v>178052721702</v>
      </c>
      <c r="N68" s="3">
        <v>105033116079</v>
      </c>
      <c r="P68" s="3">
        <f t="shared" si="1"/>
        <v>73019605623</v>
      </c>
    </row>
    <row r="69" spans="1:16" x14ac:dyDescent="0.2">
      <c r="A69" s="13" t="s">
        <v>96</v>
      </c>
      <c r="B69" s="3">
        <v>0</v>
      </c>
      <c r="D69" s="3">
        <v>0</v>
      </c>
      <c r="F69" s="3">
        <v>0</v>
      </c>
      <c r="H69" s="3">
        <f t="shared" si="0"/>
        <v>0</v>
      </c>
      <c r="J69" s="3">
        <v>2139658</v>
      </c>
      <c r="L69" s="3">
        <v>111121419640</v>
      </c>
      <c r="N69" s="3">
        <v>73735903548</v>
      </c>
      <c r="P69" s="3">
        <f t="shared" si="1"/>
        <v>37385516092</v>
      </c>
    </row>
    <row r="70" spans="1:16" x14ac:dyDescent="0.2">
      <c r="A70" s="13" t="s">
        <v>257</v>
      </c>
      <c r="B70" s="3">
        <v>4000000</v>
      </c>
      <c r="D70" s="3">
        <v>14617666378</v>
      </c>
      <c r="F70" s="3">
        <v>12010436015</v>
      </c>
      <c r="H70" s="3">
        <f t="shared" si="0"/>
        <v>2607230363</v>
      </c>
      <c r="J70" s="3">
        <v>12122919</v>
      </c>
      <c r="L70" s="3">
        <v>39779147429</v>
      </c>
      <c r="N70" s="3">
        <v>36400386009</v>
      </c>
      <c r="P70" s="3">
        <f t="shared" si="1"/>
        <v>3378761420</v>
      </c>
    </row>
    <row r="71" spans="1:16" x14ac:dyDescent="0.2">
      <c r="A71" s="13" t="s">
        <v>258</v>
      </c>
      <c r="B71" s="3">
        <v>0</v>
      </c>
      <c r="D71" s="3">
        <v>0</v>
      </c>
      <c r="F71" s="3">
        <v>0</v>
      </c>
      <c r="H71" s="3">
        <f t="shared" si="0"/>
        <v>0</v>
      </c>
      <c r="J71" s="3">
        <v>1751895</v>
      </c>
      <c r="L71" s="3">
        <v>5580112696</v>
      </c>
      <c r="N71" s="3">
        <v>2976455270</v>
      </c>
      <c r="P71" s="3">
        <f t="shared" si="1"/>
        <v>2603657426</v>
      </c>
    </row>
    <row r="72" spans="1:16" x14ac:dyDescent="0.2">
      <c r="A72" s="13" t="s">
        <v>105</v>
      </c>
      <c r="B72" s="3">
        <v>0</v>
      </c>
      <c r="D72" s="3">
        <v>0</v>
      </c>
      <c r="F72" s="3">
        <v>0</v>
      </c>
      <c r="H72" s="3">
        <f t="shared" ref="H72:H112" si="2">D72-F72</f>
        <v>0</v>
      </c>
      <c r="J72" s="3">
        <v>771689</v>
      </c>
      <c r="L72" s="3">
        <v>15538769625</v>
      </c>
      <c r="N72" s="3">
        <v>17065557702</v>
      </c>
      <c r="P72" s="3">
        <f t="shared" ref="P72:P112" si="3">L72-N72</f>
        <v>-1526788077</v>
      </c>
    </row>
    <row r="73" spans="1:16" x14ac:dyDescent="0.2">
      <c r="A73" s="13" t="s">
        <v>150</v>
      </c>
      <c r="B73" s="3">
        <v>0</v>
      </c>
      <c r="D73" s="3">
        <v>0</v>
      </c>
      <c r="F73" s="3">
        <v>0</v>
      </c>
      <c r="H73" s="3">
        <f t="shared" si="2"/>
        <v>0</v>
      </c>
      <c r="J73" s="3">
        <v>1478819</v>
      </c>
      <c r="L73" s="3">
        <v>8750929863</v>
      </c>
      <c r="N73" s="3">
        <v>9776770142</v>
      </c>
      <c r="P73" s="3">
        <f t="shared" si="3"/>
        <v>-1025840279</v>
      </c>
    </row>
    <row r="74" spans="1:16" x14ac:dyDescent="0.2">
      <c r="A74" s="13" t="s">
        <v>261</v>
      </c>
      <c r="B74" s="3">
        <v>1000000</v>
      </c>
      <c r="D74" s="3">
        <v>7184034840</v>
      </c>
      <c r="F74" s="3">
        <v>4623978189</v>
      </c>
      <c r="H74" s="3">
        <f t="shared" si="2"/>
        <v>2560056651</v>
      </c>
      <c r="J74" s="3">
        <v>4182642</v>
      </c>
      <c r="L74" s="3">
        <v>25762762070</v>
      </c>
      <c r="N74" s="3">
        <v>19340445476</v>
      </c>
      <c r="P74" s="3">
        <f t="shared" si="3"/>
        <v>6422316594</v>
      </c>
    </row>
    <row r="75" spans="1:16" x14ac:dyDescent="0.2">
      <c r="A75" s="13" t="s">
        <v>108</v>
      </c>
      <c r="B75" s="3">
        <v>0</v>
      </c>
      <c r="D75" s="3">
        <v>0</v>
      </c>
      <c r="F75" s="3">
        <v>0</v>
      </c>
      <c r="H75" s="3">
        <f t="shared" si="2"/>
        <v>0</v>
      </c>
      <c r="J75" s="3">
        <v>1930000</v>
      </c>
      <c r="L75" s="3">
        <v>111209057824</v>
      </c>
      <c r="N75" s="3">
        <v>60669769246</v>
      </c>
      <c r="P75" s="3">
        <f t="shared" si="3"/>
        <v>50539288578</v>
      </c>
    </row>
    <row r="76" spans="1:16" x14ac:dyDescent="0.2">
      <c r="A76" s="13" t="s">
        <v>78</v>
      </c>
      <c r="B76" s="3">
        <v>0</v>
      </c>
      <c r="D76" s="3">
        <v>0</v>
      </c>
      <c r="F76" s="3">
        <v>0</v>
      </c>
      <c r="H76" s="3">
        <f t="shared" si="2"/>
        <v>0</v>
      </c>
      <c r="J76" s="3">
        <v>603813</v>
      </c>
      <c r="L76" s="3">
        <v>45104519108</v>
      </c>
      <c r="N76" s="3">
        <v>27289880395</v>
      </c>
      <c r="P76" s="3">
        <f t="shared" si="3"/>
        <v>17814638713</v>
      </c>
    </row>
    <row r="77" spans="1:16" x14ac:dyDescent="0.2">
      <c r="A77" s="13" t="s">
        <v>168</v>
      </c>
      <c r="B77" s="3">
        <v>0</v>
      </c>
      <c r="D77" s="3">
        <v>0</v>
      </c>
      <c r="F77" s="3">
        <v>0</v>
      </c>
      <c r="H77" s="3">
        <f t="shared" si="2"/>
        <v>0</v>
      </c>
      <c r="J77" s="3">
        <v>7632472</v>
      </c>
      <c r="L77" s="3">
        <v>30338771772</v>
      </c>
      <c r="N77" s="3">
        <v>23417178492</v>
      </c>
      <c r="P77" s="3">
        <f t="shared" si="3"/>
        <v>6921593280</v>
      </c>
    </row>
    <row r="78" spans="1:16" x14ac:dyDescent="0.2">
      <c r="A78" s="13" t="s">
        <v>308</v>
      </c>
      <c r="B78" s="3">
        <v>0</v>
      </c>
      <c r="D78" s="3">
        <v>0</v>
      </c>
      <c r="F78" s="3">
        <v>0</v>
      </c>
      <c r="H78" s="3">
        <f t="shared" si="2"/>
        <v>0</v>
      </c>
      <c r="J78" s="3">
        <v>11093197</v>
      </c>
      <c r="L78" s="3">
        <v>19984760871</v>
      </c>
      <c r="N78" s="3">
        <v>15168261397</v>
      </c>
      <c r="P78" s="3">
        <f t="shared" si="3"/>
        <v>4816499474</v>
      </c>
    </row>
    <row r="79" spans="1:16" x14ac:dyDescent="0.2">
      <c r="A79" s="13" t="s">
        <v>79</v>
      </c>
      <c r="B79" s="3">
        <v>0</v>
      </c>
      <c r="D79" s="3">
        <v>9828144719</v>
      </c>
      <c r="F79" s="3">
        <v>9828144719</v>
      </c>
      <c r="H79" s="3">
        <f t="shared" si="2"/>
        <v>0</v>
      </c>
      <c r="J79" s="3">
        <v>6000000</v>
      </c>
      <c r="L79" s="3">
        <v>9828144719</v>
      </c>
      <c r="N79" s="3">
        <v>8883798429</v>
      </c>
      <c r="P79" s="3">
        <f t="shared" si="3"/>
        <v>944346290</v>
      </c>
    </row>
    <row r="80" spans="1:16" x14ac:dyDescent="0.2">
      <c r="A80" s="13" t="s">
        <v>148</v>
      </c>
      <c r="B80" s="3">
        <v>0</v>
      </c>
      <c r="D80" s="3">
        <v>0</v>
      </c>
      <c r="F80" s="3">
        <v>0</v>
      </c>
      <c r="H80" s="3">
        <f t="shared" si="2"/>
        <v>0</v>
      </c>
      <c r="J80" s="3">
        <v>1000000</v>
      </c>
      <c r="L80" s="3">
        <v>15972520388</v>
      </c>
      <c r="N80" s="3">
        <v>15747886173</v>
      </c>
      <c r="P80" s="3">
        <f t="shared" si="3"/>
        <v>224634215</v>
      </c>
    </row>
    <row r="81" spans="1:16" x14ac:dyDescent="0.2">
      <c r="A81" s="13" t="s">
        <v>69</v>
      </c>
      <c r="B81" s="3">
        <v>0</v>
      </c>
      <c r="D81" s="3">
        <v>0</v>
      </c>
      <c r="F81" s="3">
        <v>0</v>
      </c>
      <c r="H81" s="3">
        <f t="shared" si="2"/>
        <v>0</v>
      </c>
      <c r="J81" s="3">
        <v>1000000</v>
      </c>
      <c r="L81" s="3">
        <v>5288799162</v>
      </c>
      <c r="N81" s="3">
        <v>4179530699</v>
      </c>
      <c r="P81" s="3">
        <f t="shared" si="3"/>
        <v>1109268463</v>
      </c>
    </row>
    <row r="82" spans="1:16" x14ac:dyDescent="0.2">
      <c r="A82" s="13" t="s">
        <v>141</v>
      </c>
      <c r="B82" s="3">
        <v>0</v>
      </c>
      <c r="D82" s="3">
        <v>0</v>
      </c>
      <c r="F82" s="3">
        <v>0</v>
      </c>
      <c r="H82" s="3">
        <f t="shared" si="2"/>
        <v>0</v>
      </c>
      <c r="J82" s="3">
        <v>32502183</v>
      </c>
      <c r="L82" s="3">
        <v>123646061753</v>
      </c>
      <c r="N82" s="3">
        <v>70726313889</v>
      </c>
      <c r="P82" s="3">
        <f t="shared" si="3"/>
        <v>52919747864</v>
      </c>
    </row>
    <row r="83" spans="1:16" x14ac:dyDescent="0.2">
      <c r="A83" s="13" t="s">
        <v>294</v>
      </c>
      <c r="B83" s="3">
        <v>0</v>
      </c>
      <c r="D83" s="3">
        <v>0</v>
      </c>
      <c r="F83" s="3">
        <v>0</v>
      </c>
      <c r="H83" s="3">
        <f t="shared" si="2"/>
        <v>0</v>
      </c>
      <c r="J83" s="3">
        <v>2466</v>
      </c>
      <c r="L83" s="3">
        <v>20872382</v>
      </c>
      <c r="N83" s="3">
        <v>16834932</v>
      </c>
      <c r="P83" s="3">
        <f t="shared" si="3"/>
        <v>4037450</v>
      </c>
    </row>
    <row r="84" spans="1:16" x14ac:dyDescent="0.2">
      <c r="A84" s="13" t="s">
        <v>307</v>
      </c>
      <c r="B84" s="3">
        <v>0</v>
      </c>
      <c r="D84" s="3">
        <v>0</v>
      </c>
      <c r="F84" s="3">
        <v>0</v>
      </c>
      <c r="H84" s="3">
        <f t="shared" si="2"/>
        <v>0</v>
      </c>
      <c r="J84" s="3">
        <v>169335</v>
      </c>
      <c r="L84" s="3">
        <v>276402840</v>
      </c>
      <c r="N84" s="3">
        <v>263168465</v>
      </c>
      <c r="P84" s="3">
        <f t="shared" si="3"/>
        <v>13234375</v>
      </c>
    </row>
    <row r="85" spans="1:16" x14ac:dyDescent="0.2">
      <c r="A85" s="13" t="s">
        <v>85</v>
      </c>
      <c r="B85" s="3">
        <v>0</v>
      </c>
      <c r="D85" s="3">
        <v>0</v>
      </c>
      <c r="F85" s="3">
        <v>0</v>
      </c>
      <c r="H85" s="3">
        <f t="shared" si="2"/>
        <v>0</v>
      </c>
      <c r="J85" s="3">
        <v>441798</v>
      </c>
      <c r="L85" s="3">
        <v>54663828247</v>
      </c>
      <c r="N85" s="3">
        <v>47954705772</v>
      </c>
      <c r="P85" s="3">
        <f t="shared" si="3"/>
        <v>6709122475</v>
      </c>
    </row>
    <row r="86" spans="1:16" x14ac:dyDescent="0.2">
      <c r="A86" s="13" t="s">
        <v>267</v>
      </c>
      <c r="B86" s="3">
        <v>2011402</v>
      </c>
      <c r="D86" s="3">
        <v>10672515662</v>
      </c>
      <c r="F86" s="3">
        <v>3981728459</v>
      </c>
      <c r="H86" s="3">
        <f t="shared" si="2"/>
        <v>6690787203</v>
      </c>
      <c r="J86" s="3">
        <v>22892434</v>
      </c>
      <c r="L86" s="3">
        <v>91074271890</v>
      </c>
      <c r="N86" s="3">
        <v>45317373596</v>
      </c>
      <c r="P86" s="3">
        <f t="shared" si="3"/>
        <v>45756898294</v>
      </c>
    </row>
    <row r="87" spans="1:16" x14ac:dyDescent="0.2">
      <c r="A87" s="13" t="s">
        <v>298</v>
      </c>
      <c r="B87" s="3">
        <v>0</v>
      </c>
      <c r="D87" s="3">
        <v>0</v>
      </c>
      <c r="F87" s="3">
        <v>0</v>
      </c>
      <c r="H87" s="3">
        <f t="shared" si="2"/>
        <v>0</v>
      </c>
      <c r="J87" s="3">
        <v>948310</v>
      </c>
      <c r="L87" s="3">
        <v>12219963092</v>
      </c>
      <c r="N87" s="3">
        <v>7433738553</v>
      </c>
      <c r="P87" s="3">
        <f t="shared" si="3"/>
        <v>4786224539</v>
      </c>
    </row>
    <row r="88" spans="1:16" x14ac:dyDescent="0.2">
      <c r="A88" s="13" t="s">
        <v>270</v>
      </c>
      <c r="B88" s="3">
        <v>0</v>
      </c>
      <c r="D88" s="3">
        <v>0</v>
      </c>
      <c r="F88" s="3">
        <v>0</v>
      </c>
      <c r="H88" s="3">
        <f t="shared" si="2"/>
        <v>0</v>
      </c>
      <c r="J88" s="3">
        <v>600000</v>
      </c>
      <c r="L88" s="3">
        <v>6592641916</v>
      </c>
      <c r="N88" s="3">
        <v>5357064104</v>
      </c>
      <c r="P88" s="3">
        <f t="shared" si="3"/>
        <v>1235577812</v>
      </c>
    </row>
    <row r="89" spans="1:16" x14ac:dyDescent="0.2">
      <c r="A89" s="13" t="s">
        <v>99</v>
      </c>
      <c r="B89" s="3">
        <v>4000000</v>
      </c>
      <c r="D89" s="3">
        <v>20609361541</v>
      </c>
      <c r="F89" s="3">
        <v>8509707502</v>
      </c>
      <c r="H89" s="3">
        <f t="shared" si="2"/>
        <v>12099654039</v>
      </c>
      <c r="J89" s="3">
        <v>20882858</v>
      </c>
      <c r="L89" s="3">
        <v>74958376084</v>
      </c>
      <c r="N89" s="3">
        <v>44426753424</v>
      </c>
      <c r="P89" s="3">
        <f t="shared" si="3"/>
        <v>30531622660</v>
      </c>
    </row>
    <row r="90" spans="1:16" x14ac:dyDescent="0.2">
      <c r="A90" s="13" t="s">
        <v>272</v>
      </c>
      <c r="B90" s="3">
        <v>0</v>
      </c>
      <c r="D90" s="3">
        <v>0</v>
      </c>
      <c r="F90" s="3">
        <v>0</v>
      </c>
      <c r="H90" s="3">
        <f t="shared" si="2"/>
        <v>0</v>
      </c>
      <c r="J90" s="3">
        <v>1848031</v>
      </c>
      <c r="L90" s="3">
        <v>3451806661</v>
      </c>
      <c r="N90" s="3">
        <v>3453913638</v>
      </c>
      <c r="P90" s="3">
        <f t="shared" si="3"/>
        <v>-2106977</v>
      </c>
    </row>
    <row r="91" spans="1:16" x14ac:dyDescent="0.2">
      <c r="A91" s="13" t="s">
        <v>274</v>
      </c>
      <c r="B91" s="3">
        <v>2882814</v>
      </c>
      <c r="D91" s="3">
        <v>42839733051</v>
      </c>
      <c r="F91" s="3">
        <v>15807193740</v>
      </c>
      <c r="H91" s="3">
        <f t="shared" si="2"/>
        <v>27032539311</v>
      </c>
      <c r="J91" s="3">
        <v>6569031</v>
      </c>
      <c r="L91" s="3">
        <v>78875857258</v>
      </c>
      <c r="N91" s="3">
        <v>36019648029</v>
      </c>
      <c r="P91" s="3">
        <f t="shared" si="3"/>
        <v>42856209229</v>
      </c>
    </row>
    <row r="92" spans="1:16" x14ac:dyDescent="0.2">
      <c r="A92" s="13" t="s">
        <v>275</v>
      </c>
      <c r="B92" s="3">
        <v>0</v>
      </c>
      <c r="D92" s="3">
        <v>0</v>
      </c>
      <c r="F92" s="3">
        <v>0</v>
      </c>
      <c r="H92" s="3">
        <f t="shared" si="2"/>
        <v>0</v>
      </c>
      <c r="J92" s="3">
        <v>4183412</v>
      </c>
      <c r="L92" s="3">
        <v>62705753766</v>
      </c>
      <c r="N92" s="3">
        <v>42128942280</v>
      </c>
      <c r="P92" s="3">
        <f t="shared" si="3"/>
        <v>20576811486</v>
      </c>
    </row>
    <row r="93" spans="1:16" x14ac:dyDescent="0.2">
      <c r="A93" s="13" t="s">
        <v>300</v>
      </c>
      <c r="B93" s="3">
        <v>0</v>
      </c>
      <c r="D93" s="3">
        <v>0</v>
      </c>
      <c r="F93" s="3">
        <v>0</v>
      </c>
      <c r="H93" s="3">
        <f t="shared" si="2"/>
        <v>0</v>
      </c>
      <c r="J93" s="3">
        <v>2557008</v>
      </c>
      <c r="L93" s="3">
        <v>37576559203</v>
      </c>
      <c r="N93" s="3">
        <v>19968097122</v>
      </c>
      <c r="P93" s="3">
        <f t="shared" si="3"/>
        <v>17608462081</v>
      </c>
    </row>
    <row r="94" spans="1:16" x14ac:dyDescent="0.2">
      <c r="A94" s="13" t="s">
        <v>277</v>
      </c>
      <c r="B94" s="3">
        <v>0</v>
      </c>
      <c r="D94" s="3">
        <v>0</v>
      </c>
      <c r="F94" s="3">
        <v>0</v>
      </c>
      <c r="H94" s="3">
        <f t="shared" si="2"/>
        <v>0</v>
      </c>
      <c r="J94" s="3">
        <v>182905</v>
      </c>
      <c r="L94" s="3">
        <v>3057904068</v>
      </c>
      <c r="N94" s="3">
        <v>1988018396</v>
      </c>
      <c r="P94" s="3">
        <f t="shared" si="3"/>
        <v>1069885672</v>
      </c>
    </row>
    <row r="95" spans="1:16" x14ac:dyDescent="0.2">
      <c r="A95" s="13" t="s">
        <v>295</v>
      </c>
      <c r="B95" s="3">
        <v>0</v>
      </c>
      <c r="D95" s="3">
        <v>0</v>
      </c>
      <c r="F95" s="3">
        <v>0</v>
      </c>
      <c r="H95" s="3">
        <f t="shared" si="2"/>
        <v>0</v>
      </c>
      <c r="J95" s="3">
        <v>17505286</v>
      </c>
      <c r="L95" s="3">
        <v>152261457489</v>
      </c>
      <c r="N95" s="3">
        <v>99877328300</v>
      </c>
      <c r="P95" s="3">
        <f t="shared" si="3"/>
        <v>52384129189</v>
      </c>
    </row>
    <row r="96" spans="1:16" x14ac:dyDescent="0.2">
      <c r="A96" s="13" t="s">
        <v>170</v>
      </c>
      <c r="B96" s="3">
        <v>171791</v>
      </c>
      <c r="D96" s="3">
        <v>2342162383</v>
      </c>
      <c r="F96" s="3">
        <v>1413138731</v>
      </c>
      <c r="H96" s="3">
        <f t="shared" si="2"/>
        <v>929023652</v>
      </c>
      <c r="J96" s="3">
        <v>5098057</v>
      </c>
      <c r="L96" s="3">
        <v>62270182914</v>
      </c>
      <c r="N96" s="3">
        <v>41936200369</v>
      </c>
      <c r="P96" s="3">
        <f t="shared" si="3"/>
        <v>20333982545</v>
      </c>
    </row>
    <row r="97" spans="1:16" x14ac:dyDescent="0.2">
      <c r="A97" s="13" t="s">
        <v>184</v>
      </c>
      <c r="B97" s="3">
        <v>0</v>
      </c>
      <c r="D97" s="3">
        <v>0</v>
      </c>
      <c r="F97" s="3">
        <v>0</v>
      </c>
      <c r="H97" s="3">
        <f t="shared" si="2"/>
        <v>0</v>
      </c>
      <c r="J97" s="3">
        <v>2341225</v>
      </c>
      <c r="L97" s="3">
        <v>11935901599</v>
      </c>
      <c r="N97" s="3">
        <v>8233621385</v>
      </c>
      <c r="P97" s="3">
        <f t="shared" si="3"/>
        <v>3702280214</v>
      </c>
    </row>
    <row r="98" spans="1:16" x14ac:dyDescent="0.2">
      <c r="A98" s="13" t="s">
        <v>67</v>
      </c>
      <c r="B98" s="3">
        <v>0</v>
      </c>
      <c r="D98" s="3">
        <v>0</v>
      </c>
      <c r="F98" s="3">
        <v>0</v>
      </c>
      <c r="H98" s="3">
        <f t="shared" si="2"/>
        <v>0</v>
      </c>
      <c r="J98" s="3">
        <v>300610</v>
      </c>
      <c r="L98" s="3">
        <v>49002479362</v>
      </c>
      <c r="N98" s="3">
        <v>39684007316</v>
      </c>
      <c r="P98" s="3">
        <f t="shared" si="3"/>
        <v>9318472046</v>
      </c>
    </row>
    <row r="99" spans="1:16" x14ac:dyDescent="0.2">
      <c r="A99" s="13" t="s">
        <v>161</v>
      </c>
      <c r="B99" s="3">
        <v>0</v>
      </c>
      <c r="D99" s="3">
        <v>0</v>
      </c>
      <c r="F99" s="3">
        <v>0</v>
      </c>
      <c r="H99" s="3">
        <f t="shared" si="2"/>
        <v>0</v>
      </c>
      <c r="J99" s="3">
        <v>1324838</v>
      </c>
      <c r="L99" s="3">
        <v>3697550825</v>
      </c>
      <c r="N99" s="3">
        <v>3248058608</v>
      </c>
      <c r="P99" s="3">
        <f t="shared" si="3"/>
        <v>449492217</v>
      </c>
    </row>
    <row r="100" spans="1:16" x14ac:dyDescent="0.2">
      <c r="A100" s="13" t="s">
        <v>139</v>
      </c>
      <c r="B100" s="3">
        <v>0</v>
      </c>
      <c r="D100" s="3">
        <v>0</v>
      </c>
      <c r="F100" s="3">
        <v>0</v>
      </c>
      <c r="H100" s="3">
        <f t="shared" si="2"/>
        <v>0</v>
      </c>
      <c r="J100" s="3">
        <v>4082465</v>
      </c>
      <c r="L100" s="3">
        <v>7542789920</v>
      </c>
      <c r="N100" s="3">
        <v>6118799165</v>
      </c>
      <c r="P100" s="3">
        <f t="shared" si="3"/>
        <v>1423990755</v>
      </c>
    </row>
    <row r="101" spans="1:16" x14ac:dyDescent="0.2">
      <c r="A101" s="13" t="s">
        <v>138</v>
      </c>
      <c r="B101" s="3">
        <v>0</v>
      </c>
      <c r="D101" s="3">
        <v>0</v>
      </c>
      <c r="F101" s="3">
        <v>0</v>
      </c>
      <c r="H101" s="3">
        <f t="shared" si="2"/>
        <v>0</v>
      </c>
      <c r="J101" s="3">
        <v>600000</v>
      </c>
      <c r="L101" s="3">
        <v>6382280700</v>
      </c>
      <c r="N101" s="3">
        <v>4905782878</v>
      </c>
      <c r="P101" s="3">
        <f t="shared" si="3"/>
        <v>1476497822</v>
      </c>
    </row>
    <row r="102" spans="1:16" x14ac:dyDescent="0.2">
      <c r="A102" s="13" t="s">
        <v>56</v>
      </c>
      <c r="B102" s="3">
        <v>0</v>
      </c>
      <c r="D102" s="3">
        <v>0</v>
      </c>
      <c r="F102" s="3">
        <v>0</v>
      </c>
      <c r="H102" s="3">
        <f t="shared" si="2"/>
        <v>0</v>
      </c>
      <c r="J102" s="3">
        <v>6950172</v>
      </c>
      <c r="L102" s="3">
        <v>11875682312</v>
      </c>
      <c r="N102" s="3">
        <v>11199830206</v>
      </c>
      <c r="P102" s="3">
        <f t="shared" si="3"/>
        <v>675852106</v>
      </c>
    </row>
    <row r="103" spans="1:16" x14ac:dyDescent="0.2">
      <c r="A103" s="13" t="s">
        <v>282</v>
      </c>
      <c r="B103" s="3">
        <v>0</v>
      </c>
      <c r="D103" s="3">
        <v>0</v>
      </c>
      <c r="F103" s="3">
        <v>0</v>
      </c>
      <c r="H103" s="3">
        <f t="shared" si="2"/>
        <v>0</v>
      </c>
      <c r="J103" s="3">
        <v>5473836</v>
      </c>
      <c r="L103" s="3">
        <v>8165118826</v>
      </c>
      <c r="N103" s="3">
        <v>7114621451</v>
      </c>
      <c r="P103" s="3">
        <f t="shared" si="3"/>
        <v>1050497375</v>
      </c>
    </row>
    <row r="104" spans="1:16" x14ac:dyDescent="0.2">
      <c r="A104" s="13" t="s">
        <v>162</v>
      </c>
      <c r="B104" s="3">
        <v>8953145</v>
      </c>
      <c r="D104" s="3">
        <v>30480522345</v>
      </c>
      <c r="F104" s="3">
        <v>20961953260</v>
      </c>
      <c r="H104" s="3">
        <f t="shared" si="2"/>
        <v>9518569085</v>
      </c>
      <c r="J104" s="3">
        <v>52513538</v>
      </c>
      <c r="L104" s="3">
        <v>135048284921</v>
      </c>
      <c r="N104" s="3">
        <v>122949681822</v>
      </c>
      <c r="P104" s="3">
        <f t="shared" si="3"/>
        <v>12098603099</v>
      </c>
    </row>
    <row r="105" spans="1:16" x14ac:dyDescent="0.2">
      <c r="A105" s="13" t="s">
        <v>152</v>
      </c>
      <c r="B105" s="3">
        <v>0</v>
      </c>
      <c r="D105" s="3">
        <v>0</v>
      </c>
      <c r="F105" s="3">
        <v>0</v>
      </c>
      <c r="H105" s="3">
        <f t="shared" si="2"/>
        <v>0</v>
      </c>
      <c r="J105" s="3">
        <v>42744637</v>
      </c>
      <c r="L105" s="3">
        <v>134489024595</v>
      </c>
      <c r="N105" s="3">
        <v>94345504691</v>
      </c>
      <c r="P105" s="3">
        <f t="shared" si="3"/>
        <v>40143519904</v>
      </c>
    </row>
    <row r="106" spans="1:16" x14ac:dyDescent="0.2">
      <c r="A106" s="13" t="s">
        <v>134</v>
      </c>
      <c r="B106" s="3">
        <v>10000000</v>
      </c>
      <c r="D106" s="3">
        <v>16422068604</v>
      </c>
      <c r="F106" s="3">
        <v>11755841823</v>
      </c>
      <c r="H106" s="3">
        <f t="shared" si="2"/>
        <v>4666226781</v>
      </c>
      <c r="J106" s="3">
        <v>45582139</v>
      </c>
      <c r="L106" s="3">
        <v>56499928218</v>
      </c>
      <c r="N106" s="3">
        <v>53585641589</v>
      </c>
      <c r="P106" s="3">
        <f t="shared" si="3"/>
        <v>2914286629</v>
      </c>
    </row>
    <row r="107" spans="1:16" x14ac:dyDescent="0.2">
      <c r="A107" s="13" t="s">
        <v>312</v>
      </c>
      <c r="B107" s="3">
        <v>864000</v>
      </c>
      <c r="D107" s="3">
        <v>343611534</v>
      </c>
      <c r="F107" s="3">
        <v>172089242</v>
      </c>
      <c r="H107" s="3">
        <f t="shared" si="2"/>
        <v>171522292</v>
      </c>
      <c r="J107" s="3">
        <v>864000</v>
      </c>
      <c r="L107" s="3">
        <v>343611534</v>
      </c>
      <c r="N107" s="3">
        <v>172089240</v>
      </c>
      <c r="P107" s="3">
        <f t="shared" si="3"/>
        <v>171522294</v>
      </c>
    </row>
    <row r="108" spans="1:16" x14ac:dyDescent="0.2">
      <c r="A108" s="13" t="s">
        <v>302</v>
      </c>
      <c r="B108" s="3">
        <v>0</v>
      </c>
      <c r="D108" s="3">
        <v>0</v>
      </c>
      <c r="F108" s="3">
        <v>0</v>
      </c>
      <c r="H108" s="3">
        <f t="shared" si="2"/>
        <v>0</v>
      </c>
      <c r="J108" s="3">
        <v>4883402</v>
      </c>
      <c r="L108" s="3">
        <v>0</v>
      </c>
      <c r="N108" s="3">
        <v>-1003492084</v>
      </c>
      <c r="P108" s="3">
        <f t="shared" si="3"/>
        <v>1003492084</v>
      </c>
    </row>
    <row r="109" spans="1:16" x14ac:dyDescent="0.2">
      <c r="A109" s="13" t="s">
        <v>299</v>
      </c>
      <c r="B109" s="3">
        <v>0</v>
      </c>
      <c r="D109" s="3">
        <v>0</v>
      </c>
      <c r="F109" s="3">
        <v>0</v>
      </c>
      <c r="H109" s="3">
        <f t="shared" si="2"/>
        <v>0</v>
      </c>
      <c r="J109" s="3">
        <v>9350181</v>
      </c>
      <c r="L109" s="3">
        <v>0</v>
      </c>
      <c r="N109" s="3">
        <v>-4963405313</v>
      </c>
      <c r="P109" s="3">
        <f t="shared" si="3"/>
        <v>4963405313</v>
      </c>
    </row>
    <row r="110" spans="1:16" x14ac:dyDescent="0.2">
      <c r="A110" s="13" t="s">
        <v>310</v>
      </c>
      <c r="B110" s="3">
        <v>0</v>
      </c>
      <c r="D110" s="3">
        <v>0</v>
      </c>
      <c r="F110" s="3">
        <v>0</v>
      </c>
      <c r="H110" s="3">
        <f t="shared" si="2"/>
        <v>0</v>
      </c>
      <c r="J110" s="3">
        <v>4632759</v>
      </c>
      <c r="L110" s="3">
        <v>0</v>
      </c>
      <c r="N110" s="3">
        <v>-137552869</v>
      </c>
      <c r="P110" s="3">
        <f t="shared" si="3"/>
        <v>137552869</v>
      </c>
    </row>
    <row r="111" spans="1:16" x14ac:dyDescent="0.2">
      <c r="A111" s="13" t="s">
        <v>305</v>
      </c>
      <c r="B111" s="3">
        <v>0</v>
      </c>
      <c r="D111" s="3">
        <v>0</v>
      </c>
      <c r="F111" s="3">
        <v>0</v>
      </c>
      <c r="H111" s="3">
        <f t="shared" si="2"/>
        <v>0</v>
      </c>
      <c r="J111" s="3">
        <v>3837529</v>
      </c>
      <c r="L111" s="3">
        <v>0</v>
      </c>
      <c r="N111" s="3">
        <v>-1449798003</v>
      </c>
      <c r="P111" s="3">
        <f t="shared" si="3"/>
        <v>1449798003</v>
      </c>
    </row>
    <row r="112" spans="1:16" ht="18.75" thickBot="1" x14ac:dyDescent="0.25">
      <c r="A112" s="13" t="s">
        <v>309</v>
      </c>
      <c r="B112" s="3">
        <v>0</v>
      </c>
      <c r="D112" s="3">
        <v>0</v>
      </c>
      <c r="F112" s="3">
        <v>0</v>
      </c>
      <c r="H112" s="3">
        <f t="shared" si="2"/>
        <v>0</v>
      </c>
      <c r="J112" s="3">
        <v>2991585</v>
      </c>
      <c r="L112" s="3">
        <v>0</v>
      </c>
      <c r="N112" s="3">
        <v>595000020</v>
      </c>
      <c r="P112" s="3">
        <f t="shared" si="3"/>
        <v>-595000020</v>
      </c>
    </row>
    <row r="113" spans="1:16" s="15" customFormat="1" ht="22.5" thickTop="1" thickBot="1" x14ac:dyDescent="0.25">
      <c r="A113" s="14" t="s">
        <v>14</v>
      </c>
      <c r="B113" s="17"/>
      <c r="D113" s="21">
        <f>SUM(D7:D112)</f>
        <v>1822965282623</v>
      </c>
      <c r="F113" s="21">
        <f>SUM(F7:F112)</f>
        <v>1429584160591</v>
      </c>
      <c r="H113" s="21">
        <f>SUM(H7:H112)</f>
        <v>393381122032</v>
      </c>
      <c r="J113" s="17" t="s">
        <v>23</v>
      </c>
      <c r="L113" s="21">
        <f>SUM(L7:L112)</f>
        <v>5834863321027</v>
      </c>
      <c r="N113" s="21">
        <f>SUM(N7:N112)</f>
        <v>4203636260636</v>
      </c>
      <c r="P113" s="21">
        <f>SUM(P7:P112)</f>
        <v>1631227060391</v>
      </c>
    </row>
    <row r="114" spans="1:16" ht="18.75" thickTop="1" x14ac:dyDescent="0.2">
      <c r="H114" s="31"/>
      <c r="P114" s="31"/>
    </row>
    <row r="115" spans="1:16" x14ac:dyDescent="0.2">
      <c r="H115" s="31"/>
      <c r="P115" s="31"/>
    </row>
    <row r="116" spans="1:16" x14ac:dyDescent="0.2">
      <c r="H116" s="31"/>
      <c r="P116" s="31"/>
    </row>
    <row r="117" spans="1:16" x14ac:dyDescent="0.2">
      <c r="H117" s="3"/>
      <c r="P117" s="3"/>
    </row>
  </sheetData>
  <mergeCells count="6">
    <mergeCell ref="A1:P1"/>
    <mergeCell ref="A2:P2"/>
    <mergeCell ref="A3:P3"/>
    <mergeCell ref="A4:P4"/>
    <mergeCell ref="B5:H5"/>
    <mergeCell ref="J5:P5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P180"/>
  <sheetViews>
    <sheetView rightToLeft="1" zoomScaleNormal="100" workbookViewId="0">
      <selection activeCell="A4" sqref="A4:P4"/>
    </sheetView>
  </sheetViews>
  <sheetFormatPr defaultRowHeight="18" x14ac:dyDescent="0.2"/>
  <cols>
    <col min="1" max="1" width="24.625" style="1" customWidth="1"/>
    <col min="2" max="2" width="10.25" style="1" bestFit="1" customWidth="1"/>
    <col min="3" max="3" width="0.5" style="1" customWidth="1"/>
    <col min="4" max="4" width="18.75" style="1" bestFit="1" customWidth="1"/>
    <col min="5" max="5" width="0.5" style="1" customWidth="1"/>
    <col min="6" max="6" width="17.875" style="1" bestFit="1" customWidth="1"/>
    <col min="7" max="7" width="0.5" style="1" customWidth="1"/>
    <col min="8" max="8" width="18.125" style="1" bestFit="1" customWidth="1"/>
    <col min="9" max="9" width="0.5" style="1" customWidth="1"/>
    <col min="10" max="10" width="10.25" style="1" bestFit="1" customWidth="1"/>
    <col min="11" max="11" width="1" style="1" customWidth="1"/>
    <col min="12" max="12" width="19.125" style="1" bestFit="1" customWidth="1"/>
    <col min="13" max="13" width="0.5" style="1" customWidth="1"/>
    <col min="14" max="14" width="18.375" style="1" bestFit="1" customWidth="1"/>
    <col min="15" max="15" width="0.5" style="1" customWidth="1"/>
    <col min="16" max="16" width="17.625" style="1" bestFit="1" customWidth="1"/>
    <col min="17" max="17" width="11.5" style="1" bestFit="1" customWidth="1"/>
    <col min="18" max="16384" width="9" style="1"/>
  </cols>
  <sheetData>
    <row r="1" spans="1:16" x14ac:dyDescent="0.2">
      <c r="A1" s="69" t="s">
        <v>0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</row>
    <row r="2" spans="1:16" x14ac:dyDescent="0.2">
      <c r="A2" s="69" t="s">
        <v>1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</row>
    <row r="3" spans="1:16" x14ac:dyDescent="0.2">
      <c r="A3" s="69" t="s">
        <v>2</v>
      </c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</row>
    <row r="4" spans="1:16" ht="24.75" x14ac:dyDescent="0.2">
      <c r="A4" s="71" t="s">
        <v>313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</row>
    <row r="5" spans="1:16" x14ac:dyDescent="0.2">
      <c r="B5" s="69" t="s">
        <v>7</v>
      </c>
      <c r="C5" s="70"/>
      <c r="D5" s="70"/>
      <c r="E5" s="70"/>
      <c r="F5" s="70"/>
      <c r="G5" s="70"/>
      <c r="H5" s="70"/>
      <c r="J5" s="69" t="s">
        <v>8</v>
      </c>
      <c r="K5" s="70"/>
      <c r="L5" s="70"/>
      <c r="M5" s="70"/>
      <c r="N5" s="70"/>
      <c r="O5" s="70"/>
      <c r="P5" s="70"/>
    </row>
    <row r="6" spans="1:16" s="15" customFormat="1" ht="42" x14ac:dyDescent="0.2">
      <c r="A6" s="14" t="s">
        <v>17</v>
      </c>
      <c r="B6" s="6" t="s">
        <v>193</v>
      </c>
      <c r="C6" s="36"/>
      <c r="D6" s="6" t="s">
        <v>314</v>
      </c>
      <c r="E6" s="36"/>
      <c r="F6" s="6" t="s">
        <v>315</v>
      </c>
      <c r="G6" s="36"/>
      <c r="H6" s="6" t="s">
        <v>316</v>
      </c>
      <c r="J6" s="6" t="s">
        <v>193</v>
      </c>
      <c r="K6" s="36"/>
      <c r="L6" s="6" t="s">
        <v>195</v>
      </c>
      <c r="M6" s="36"/>
      <c r="N6" s="6" t="s">
        <v>315</v>
      </c>
      <c r="O6" s="36"/>
      <c r="P6" s="6" t="s">
        <v>316</v>
      </c>
    </row>
    <row r="7" spans="1:16" x14ac:dyDescent="0.2">
      <c r="A7" s="13" t="s">
        <v>204</v>
      </c>
      <c r="B7" s="3">
        <v>17543</v>
      </c>
      <c r="D7" s="3">
        <v>556003491336</v>
      </c>
      <c r="F7" s="3">
        <v>627311036351</v>
      </c>
      <c r="H7" s="3">
        <f>D7-F7</f>
        <v>-71307545015</v>
      </c>
      <c r="J7" s="3">
        <v>17543</v>
      </c>
      <c r="L7" s="3">
        <v>556003491336</v>
      </c>
      <c r="N7" s="3">
        <v>488183041150</v>
      </c>
      <c r="P7" s="3">
        <f>L7-N7</f>
        <v>67820450186</v>
      </c>
    </row>
    <row r="8" spans="1:16" x14ac:dyDescent="0.2">
      <c r="A8" s="13" t="s">
        <v>205</v>
      </c>
      <c r="B8" s="3">
        <v>31217</v>
      </c>
      <c r="D8" s="3">
        <v>156333237584</v>
      </c>
      <c r="F8" s="3">
        <v>152284641966</v>
      </c>
      <c r="H8" s="3">
        <f t="shared" ref="H8:H71" si="0">D8-F8</f>
        <v>4048595618</v>
      </c>
      <c r="J8" s="3">
        <v>31217</v>
      </c>
      <c r="L8" s="3">
        <v>156333237584</v>
      </c>
      <c r="N8" s="3">
        <v>143393456131</v>
      </c>
      <c r="P8" s="3">
        <f t="shared" ref="P8:P71" si="1">L8-N8</f>
        <v>12939781453</v>
      </c>
    </row>
    <row r="9" spans="1:16" x14ac:dyDescent="0.2">
      <c r="A9" s="13" t="s">
        <v>147</v>
      </c>
      <c r="B9" s="3">
        <v>20319527</v>
      </c>
      <c r="D9" s="3">
        <v>292355627316</v>
      </c>
      <c r="F9" s="3">
        <v>299865982045</v>
      </c>
      <c r="H9" s="3">
        <f t="shared" si="0"/>
        <v>-7510354729</v>
      </c>
      <c r="J9" s="3">
        <v>20319527</v>
      </c>
      <c r="L9" s="3">
        <v>292355627316</v>
      </c>
      <c r="N9" s="3">
        <v>159823373761</v>
      </c>
      <c r="P9" s="3">
        <f t="shared" si="1"/>
        <v>132532253555</v>
      </c>
    </row>
    <row r="10" spans="1:16" x14ac:dyDescent="0.2">
      <c r="A10" s="13" t="s">
        <v>156</v>
      </c>
      <c r="B10" s="3">
        <v>29351998</v>
      </c>
      <c r="D10" s="3">
        <v>198924481189</v>
      </c>
      <c r="F10" s="3">
        <v>182063387064</v>
      </c>
      <c r="H10" s="3">
        <f t="shared" si="0"/>
        <v>16861094125</v>
      </c>
      <c r="J10" s="3">
        <v>29351998</v>
      </c>
      <c r="L10" s="3">
        <v>198924481189</v>
      </c>
      <c r="N10" s="3">
        <v>116302235245</v>
      </c>
      <c r="P10" s="3">
        <f t="shared" si="1"/>
        <v>82622245944</v>
      </c>
    </row>
    <row r="11" spans="1:16" x14ac:dyDescent="0.2">
      <c r="A11" s="13" t="s">
        <v>111</v>
      </c>
      <c r="B11" s="3">
        <v>985856</v>
      </c>
      <c r="D11" s="3">
        <v>30325295327</v>
      </c>
      <c r="F11" s="3">
        <v>25649330434</v>
      </c>
      <c r="H11" s="3">
        <f t="shared" si="0"/>
        <v>4675964893</v>
      </c>
      <c r="J11" s="3">
        <v>985856</v>
      </c>
      <c r="L11" s="3">
        <v>30325295327</v>
      </c>
      <c r="N11" s="3">
        <v>21658130302</v>
      </c>
      <c r="P11" s="3">
        <f t="shared" si="1"/>
        <v>8667165025</v>
      </c>
    </row>
    <row r="12" spans="1:16" x14ac:dyDescent="0.2">
      <c r="A12" s="13" t="s">
        <v>135</v>
      </c>
      <c r="B12" s="3">
        <v>39397696</v>
      </c>
      <c r="D12" s="3">
        <v>140344414998</v>
      </c>
      <c r="F12" s="3">
        <v>135376078129</v>
      </c>
      <c r="H12" s="3">
        <f t="shared" si="0"/>
        <v>4968336869</v>
      </c>
      <c r="J12" s="3">
        <v>39397696</v>
      </c>
      <c r="L12" s="3">
        <v>140344414998</v>
      </c>
      <c r="N12" s="3">
        <v>98557787547</v>
      </c>
      <c r="P12" s="3">
        <f t="shared" si="1"/>
        <v>41786627451</v>
      </c>
    </row>
    <row r="13" spans="1:16" x14ac:dyDescent="0.2">
      <c r="A13" s="13" t="s">
        <v>174</v>
      </c>
      <c r="B13" s="3">
        <v>58072168</v>
      </c>
      <c r="D13" s="3">
        <v>239136571087</v>
      </c>
      <c r="F13" s="3">
        <v>226999665586</v>
      </c>
      <c r="H13" s="3">
        <f t="shared" si="0"/>
        <v>12136905501</v>
      </c>
      <c r="J13" s="3">
        <v>58072168</v>
      </c>
      <c r="L13" s="3">
        <v>239136571087</v>
      </c>
      <c r="N13" s="3">
        <v>124234886486</v>
      </c>
      <c r="P13" s="3">
        <f t="shared" si="1"/>
        <v>114901684601</v>
      </c>
    </row>
    <row r="14" spans="1:16" x14ac:dyDescent="0.2">
      <c r="A14" s="13" t="s">
        <v>87</v>
      </c>
      <c r="B14" s="3">
        <v>16112175</v>
      </c>
      <c r="D14" s="3">
        <v>112073271490</v>
      </c>
      <c r="F14" s="3">
        <v>113831910557</v>
      </c>
      <c r="H14" s="3">
        <f t="shared" si="0"/>
        <v>-1758639067</v>
      </c>
      <c r="J14" s="3">
        <v>16112175</v>
      </c>
      <c r="L14" s="3">
        <v>112073271490</v>
      </c>
      <c r="N14" s="3">
        <v>68139270047</v>
      </c>
      <c r="P14" s="3">
        <f t="shared" si="1"/>
        <v>43934001443</v>
      </c>
    </row>
    <row r="15" spans="1:16" x14ac:dyDescent="0.2">
      <c r="A15" s="13" t="s">
        <v>206</v>
      </c>
      <c r="B15" s="3">
        <v>1025794</v>
      </c>
      <c r="D15" s="3">
        <v>2047943600</v>
      </c>
      <c r="F15" s="3">
        <v>1979746671</v>
      </c>
      <c r="H15" s="3">
        <f t="shared" si="0"/>
        <v>68196929</v>
      </c>
      <c r="J15" s="3">
        <v>1025794</v>
      </c>
      <c r="L15" s="3">
        <v>2047943600</v>
      </c>
      <c r="N15" s="3">
        <v>1965147918</v>
      </c>
      <c r="P15" s="3">
        <f t="shared" si="1"/>
        <v>82795682</v>
      </c>
    </row>
    <row r="16" spans="1:16" x14ac:dyDescent="0.2">
      <c r="A16" s="13" t="s">
        <v>142</v>
      </c>
      <c r="B16" s="3">
        <v>14936648</v>
      </c>
      <c r="D16" s="3">
        <v>174741803112</v>
      </c>
      <c r="F16" s="3">
        <v>154288564071</v>
      </c>
      <c r="H16" s="3">
        <f t="shared" si="0"/>
        <v>20453239041</v>
      </c>
      <c r="J16" s="3">
        <v>14936648</v>
      </c>
      <c r="L16" s="3">
        <v>174741803112</v>
      </c>
      <c r="N16" s="3">
        <v>128444824520</v>
      </c>
      <c r="P16" s="3">
        <f t="shared" si="1"/>
        <v>46296978592</v>
      </c>
    </row>
    <row r="17" spans="1:16" x14ac:dyDescent="0.2">
      <c r="A17" s="13" t="s">
        <v>155</v>
      </c>
      <c r="B17" s="3">
        <v>39745427</v>
      </c>
      <c r="D17" s="3">
        <v>121548516526</v>
      </c>
      <c r="F17" s="3">
        <v>82228636260</v>
      </c>
      <c r="H17" s="3">
        <f t="shared" si="0"/>
        <v>39319880266</v>
      </c>
      <c r="J17" s="3">
        <v>39745427</v>
      </c>
      <c r="L17" s="3">
        <v>121548516526</v>
      </c>
      <c r="N17" s="3">
        <v>68402816391</v>
      </c>
      <c r="P17" s="3">
        <f t="shared" si="1"/>
        <v>53145700135</v>
      </c>
    </row>
    <row r="18" spans="1:16" x14ac:dyDescent="0.2">
      <c r="A18" s="13" t="s">
        <v>159</v>
      </c>
      <c r="B18" s="3">
        <v>19036740</v>
      </c>
      <c r="D18" s="3">
        <v>217985822438</v>
      </c>
      <c r="F18" s="3">
        <v>171517440878</v>
      </c>
      <c r="H18" s="3">
        <f t="shared" si="0"/>
        <v>46468381560</v>
      </c>
      <c r="J18" s="3">
        <v>19036740</v>
      </c>
      <c r="L18" s="3">
        <v>217985822438</v>
      </c>
      <c r="N18" s="3">
        <v>148708653570</v>
      </c>
      <c r="P18" s="3">
        <f t="shared" si="1"/>
        <v>69277168868</v>
      </c>
    </row>
    <row r="19" spans="1:16" x14ac:dyDescent="0.2">
      <c r="A19" s="13" t="s">
        <v>207</v>
      </c>
      <c r="B19" s="3">
        <v>100418221</v>
      </c>
      <c r="D19" s="3">
        <v>178060232827</v>
      </c>
      <c r="F19" s="3">
        <v>185433739950</v>
      </c>
      <c r="H19" s="3">
        <f t="shared" si="0"/>
        <v>-7373507123</v>
      </c>
      <c r="J19" s="3">
        <v>100418221</v>
      </c>
      <c r="L19" s="3">
        <v>178060232827</v>
      </c>
      <c r="N19" s="3">
        <v>108410495960</v>
      </c>
      <c r="P19" s="3">
        <f t="shared" si="1"/>
        <v>69649736867</v>
      </c>
    </row>
    <row r="20" spans="1:16" x14ac:dyDescent="0.2">
      <c r="A20" s="13" t="s">
        <v>176</v>
      </c>
      <c r="B20" s="3">
        <v>1300000</v>
      </c>
      <c r="D20" s="3">
        <v>107194928100</v>
      </c>
      <c r="F20" s="3">
        <v>99390724550</v>
      </c>
      <c r="H20" s="3">
        <f t="shared" si="0"/>
        <v>7804203550</v>
      </c>
      <c r="J20" s="3">
        <v>1300000</v>
      </c>
      <c r="L20" s="3">
        <v>107194928100</v>
      </c>
      <c r="N20" s="3">
        <v>99674943651</v>
      </c>
      <c r="P20" s="3">
        <f t="shared" si="1"/>
        <v>7519984449</v>
      </c>
    </row>
    <row r="21" spans="1:16" x14ac:dyDescent="0.2">
      <c r="A21" s="13" t="s">
        <v>154</v>
      </c>
      <c r="B21" s="3">
        <v>521375</v>
      </c>
      <c r="D21" s="3">
        <v>5535589052</v>
      </c>
      <c r="F21" s="3">
        <v>4872353055</v>
      </c>
      <c r="H21" s="3">
        <f t="shared" si="0"/>
        <v>663235997</v>
      </c>
      <c r="J21" s="3">
        <v>521375</v>
      </c>
      <c r="L21" s="3">
        <v>5535589052</v>
      </c>
      <c r="N21" s="3">
        <v>3305833088</v>
      </c>
      <c r="P21" s="3">
        <f t="shared" si="1"/>
        <v>2229755964</v>
      </c>
    </row>
    <row r="22" spans="1:16" x14ac:dyDescent="0.2">
      <c r="A22" s="13" t="s">
        <v>160</v>
      </c>
      <c r="B22" s="3">
        <v>22333259</v>
      </c>
      <c r="D22" s="3">
        <v>55423717893</v>
      </c>
      <c r="F22" s="3">
        <v>54315686747</v>
      </c>
      <c r="H22" s="3">
        <f t="shared" si="0"/>
        <v>1108031146</v>
      </c>
      <c r="J22" s="3">
        <v>22333259</v>
      </c>
      <c r="L22" s="3">
        <v>55423717893</v>
      </c>
      <c r="N22" s="3">
        <v>31512405774</v>
      </c>
      <c r="P22" s="3">
        <f t="shared" si="1"/>
        <v>23911312119</v>
      </c>
    </row>
    <row r="23" spans="1:16" x14ac:dyDescent="0.2">
      <c r="A23" s="13" t="s">
        <v>164</v>
      </c>
      <c r="B23" s="3">
        <v>158386525</v>
      </c>
      <c r="D23" s="3">
        <v>226156401716</v>
      </c>
      <c r="F23" s="3">
        <v>220884364072</v>
      </c>
      <c r="H23" s="3">
        <f t="shared" si="0"/>
        <v>5272037644</v>
      </c>
      <c r="J23" s="3">
        <v>158386525</v>
      </c>
      <c r="L23" s="3">
        <v>226156401716</v>
      </c>
      <c r="N23" s="3">
        <v>171738887376</v>
      </c>
      <c r="P23" s="3">
        <f t="shared" si="1"/>
        <v>54417514340</v>
      </c>
    </row>
    <row r="24" spans="1:16" x14ac:dyDescent="0.2">
      <c r="A24" s="13" t="s">
        <v>208</v>
      </c>
      <c r="B24" s="3">
        <v>111011001</v>
      </c>
      <c r="D24" s="3">
        <v>270425335037</v>
      </c>
      <c r="F24" s="3">
        <v>220802341690</v>
      </c>
      <c r="H24" s="3">
        <f t="shared" si="0"/>
        <v>49622993347</v>
      </c>
      <c r="J24" s="3">
        <v>111011001</v>
      </c>
      <c r="L24" s="3">
        <v>270425335037</v>
      </c>
      <c r="N24" s="3">
        <v>148812317505</v>
      </c>
      <c r="P24" s="3">
        <f t="shared" si="1"/>
        <v>121613017532</v>
      </c>
    </row>
    <row r="25" spans="1:16" x14ac:dyDescent="0.2">
      <c r="A25" s="13" t="s">
        <v>209</v>
      </c>
      <c r="B25" s="3">
        <v>2260823</v>
      </c>
      <c r="D25" s="3">
        <v>133501570342</v>
      </c>
      <c r="F25" s="3">
        <v>117598151234</v>
      </c>
      <c r="H25" s="3">
        <f t="shared" si="0"/>
        <v>15903419108</v>
      </c>
      <c r="J25" s="3">
        <v>2260823</v>
      </c>
      <c r="L25" s="3">
        <v>133501570342</v>
      </c>
      <c r="N25" s="3">
        <v>117598151234</v>
      </c>
      <c r="P25" s="3">
        <f t="shared" si="1"/>
        <v>15903419108</v>
      </c>
    </row>
    <row r="26" spans="1:16" x14ac:dyDescent="0.2">
      <c r="A26" s="13" t="s">
        <v>163</v>
      </c>
      <c r="B26" s="3">
        <v>13226334</v>
      </c>
      <c r="D26" s="3">
        <v>54727473807</v>
      </c>
      <c r="F26" s="3">
        <v>56433606084</v>
      </c>
      <c r="H26" s="3">
        <f t="shared" si="0"/>
        <v>-1706132277</v>
      </c>
      <c r="J26" s="3">
        <v>13226334</v>
      </c>
      <c r="L26" s="3">
        <v>54727473807</v>
      </c>
      <c r="N26" s="3">
        <v>39533757233</v>
      </c>
      <c r="P26" s="3">
        <f t="shared" si="1"/>
        <v>15193716574</v>
      </c>
    </row>
    <row r="27" spans="1:16" x14ac:dyDescent="0.2">
      <c r="A27" s="13" t="s">
        <v>210</v>
      </c>
      <c r="B27" s="3">
        <v>125422378</v>
      </c>
      <c r="D27" s="3">
        <v>284872603448</v>
      </c>
      <c r="F27" s="3">
        <v>193063310154</v>
      </c>
      <c r="H27" s="3">
        <f t="shared" si="0"/>
        <v>91809293294</v>
      </c>
      <c r="J27" s="3">
        <v>125422378</v>
      </c>
      <c r="L27" s="3">
        <v>284872603448</v>
      </c>
      <c r="N27" s="3">
        <v>129648360869</v>
      </c>
      <c r="P27" s="3">
        <f t="shared" si="1"/>
        <v>155224242579</v>
      </c>
    </row>
    <row r="28" spans="1:16" x14ac:dyDescent="0.2">
      <c r="A28" s="13" t="s">
        <v>211</v>
      </c>
      <c r="B28" s="3">
        <v>6000000</v>
      </c>
      <c r="D28" s="3">
        <v>58345476000</v>
      </c>
      <c r="F28" s="3">
        <v>59591059103</v>
      </c>
      <c r="H28" s="3">
        <f t="shared" si="0"/>
        <v>-1245583103</v>
      </c>
      <c r="J28" s="3">
        <v>6000000</v>
      </c>
      <c r="L28" s="3">
        <v>58345476000</v>
      </c>
      <c r="N28" s="3">
        <v>59591059103</v>
      </c>
      <c r="P28" s="3">
        <f t="shared" si="1"/>
        <v>-1245583103</v>
      </c>
    </row>
    <row r="29" spans="1:16" x14ac:dyDescent="0.2">
      <c r="A29" s="13" t="s">
        <v>212</v>
      </c>
      <c r="B29" s="3">
        <v>23845802</v>
      </c>
      <c r="D29" s="3">
        <v>107423091735</v>
      </c>
      <c r="F29" s="3">
        <v>95850685320</v>
      </c>
      <c r="H29" s="3">
        <f t="shared" si="0"/>
        <v>11572406415</v>
      </c>
      <c r="J29" s="3">
        <v>23845802</v>
      </c>
      <c r="L29" s="3">
        <v>107423091735</v>
      </c>
      <c r="N29" s="3">
        <v>81896283945</v>
      </c>
      <c r="P29" s="3">
        <f t="shared" si="1"/>
        <v>25526807790</v>
      </c>
    </row>
    <row r="30" spans="1:16" x14ac:dyDescent="0.2">
      <c r="A30" s="13" t="s">
        <v>127</v>
      </c>
      <c r="B30" s="3">
        <v>71225071</v>
      </c>
      <c r="D30" s="3">
        <v>297539650057</v>
      </c>
      <c r="F30" s="3">
        <v>205662798495</v>
      </c>
      <c r="H30" s="3">
        <f t="shared" si="0"/>
        <v>91876851562</v>
      </c>
      <c r="J30" s="3">
        <v>71225071</v>
      </c>
      <c r="L30" s="3">
        <v>297539650057</v>
      </c>
      <c r="N30" s="3">
        <v>105889060294</v>
      </c>
      <c r="P30" s="3">
        <f t="shared" si="1"/>
        <v>191650589763</v>
      </c>
    </row>
    <row r="31" spans="1:16" x14ac:dyDescent="0.2">
      <c r="A31" s="13" t="s">
        <v>213</v>
      </c>
      <c r="B31" s="3">
        <v>47399420</v>
      </c>
      <c r="D31" s="3">
        <v>131222132729</v>
      </c>
      <c r="F31" s="3">
        <v>119314225238</v>
      </c>
      <c r="H31" s="3">
        <f t="shared" si="0"/>
        <v>11907907491</v>
      </c>
      <c r="J31" s="3">
        <v>47399420</v>
      </c>
      <c r="L31" s="3">
        <v>131222132729</v>
      </c>
      <c r="N31" s="3">
        <v>120230441570</v>
      </c>
      <c r="P31" s="3">
        <f t="shared" si="1"/>
        <v>10991691159</v>
      </c>
    </row>
    <row r="32" spans="1:16" x14ac:dyDescent="0.2">
      <c r="A32" s="13" t="s">
        <v>166</v>
      </c>
      <c r="B32" s="3">
        <v>18416407</v>
      </c>
      <c r="D32" s="3">
        <v>154232966588</v>
      </c>
      <c r="F32" s="3">
        <v>155512149959</v>
      </c>
      <c r="H32" s="3">
        <f t="shared" si="0"/>
        <v>-1279183371</v>
      </c>
      <c r="J32" s="3">
        <v>18416407</v>
      </c>
      <c r="L32" s="3">
        <v>154232966588</v>
      </c>
      <c r="N32" s="3">
        <v>102680621123</v>
      </c>
      <c r="P32" s="3">
        <f t="shared" si="1"/>
        <v>51552345465</v>
      </c>
    </row>
    <row r="33" spans="1:16" x14ac:dyDescent="0.2">
      <c r="A33" s="13" t="s">
        <v>113</v>
      </c>
      <c r="B33" s="3">
        <v>19749859</v>
      </c>
      <c r="D33" s="3">
        <v>192836375085</v>
      </c>
      <c r="F33" s="3">
        <v>160109063459</v>
      </c>
      <c r="H33" s="3">
        <f t="shared" si="0"/>
        <v>32727311626</v>
      </c>
      <c r="J33" s="3">
        <v>19749859</v>
      </c>
      <c r="L33" s="3">
        <v>192836375085</v>
      </c>
      <c r="N33" s="3">
        <v>122074765830</v>
      </c>
      <c r="P33" s="3">
        <f t="shared" si="1"/>
        <v>70761609255</v>
      </c>
    </row>
    <row r="34" spans="1:16" x14ac:dyDescent="0.2">
      <c r="A34" s="13" t="s">
        <v>214</v>
      </c>
      <c r="B34" s="3">
        <v>21410183</v>
      </c>
      <c r="D34" s="3">
        <v>321432042978</v>
      </c>
      <c r="F34" s="3">
        <v>329717469069</v>
      </c>
      <c r="H34" s="3">
        <f t="shared" si="0"/>
        <v>-8285426091</v>
      </c>
      <c r="J34" s="3">
        <v>21410183</v>
      </c>
      <c r="L34" s="3">
        <v>321432042978</v>
      </c>
      <c r="N34" s="3">
        <v>71615822707</v>
      </c>
      <c r="P34" s="3">
        <f t="shared" si="1"/>
        <v>249816220271</v>
      </c>
    </row>
    <row r="35" spans="1:16" x14ac:dyDescent="0.2">
      <c r="A35" s="13" t="s">
        <v>89</v>
      </c>
      <c r="B35" s="3">
        <v>6466528</v>
      </c>
      <c r="D35" s="3">
        <v>81939238001</v>
      </c>
      <c r="F35" s="3">
        <v>55503086038</v>
      </c>
      <c r="H35" s="3">
        <f t="shared" si="0"/>
        <v>26436151963</v>
      </c>
      <c r="J35" s="3">
        <v>6466528</v>
      </c>
      <c r="L35" s="3">
        <v>81939238001</v>
      </c>
      <c r="N35" s="3">
        <v>32589615432</v>
      </c>
      <c r="P35" s="3">
        <f t="shared" si="1"/>
        <v>49349622569</v>
      </c>
    </row>
    <row r="36" spans="1:16" x14ac:dyDescent="0.2">
      <c r="A36" s="13" t="s">
        <v>146</v>
      </c>
      <c r="B36" s="3">
        <v>8500000</v>
      </c>
      <c r="D36" s="3">
        <v>145322902850</v>
      </c>
      <c r="F36" s="3">
        <v>144479473350</v>
      </c>
      <c r="H36" s="3">
        <f t="shared" si="0"/>
        <v>843429500</v>
      </c>
      <c r="J36" s="3">
        <v>8500000</v>
      </c>
      <c r="L36" s="3">
        <v>145322902850</v>
      </c>
      <c r="N36" s="3">
        <v>55328975201</v>
      </c>
      <c r="P36" s="3">
        <f t="shared" si="1"/>
        <v>89993927649</v>
      </c>
    </row>
    <row r="37" spans="1:16" x14ac:dyDescent="0.2">
      <c r="A37" s="13" t="s">
        <v>215</v>
      </c>
      <c r="B37" s="3">
        <v>7100000</v>
      </c>
      <c r="D37" s="3">
        <v>326752526460</v>
      </c>
      <c r="F37" s="3">
        <v>294273674217</v>
      </c>
      <c r="H37" s="3">
        <f t="shared" si="0"/>
        <v>32478852243</v>
      </c>
      <c r="J37" s="3">
        <v>7100000</v>
      </c>
      <c r="L37" s="3">
        <v>326752526460</v>
      </c>
      <c r="N37" s="3">
        <v>57981312915</v>
      </c>
      <c r="P37" s="3">
        <f t="shared" si="1"/>
        <v>268771213545</v>
      </c>
    </row>
    <row r="38" spans="1:16" x14ac:dyDescent="0.2">
      <c r="A38" s="13" t="s">
        <v>114</v>
      </c>
      <c r="B38" s="3">
        <v>41266782</v>
      </c>
      <c r="D38" s="3">
        <v>375900710136</v>
      </c>
      <c r="F38" s="3">
        <v>469671148720</v>
      </c>
      <c r="H38" s="3">
        <f t="shared" si="0"/>
        <v>-93770438584</v>
      </c>
      <c r="J38" s="3">
        <v>41266782</v>
      </c>
      <c r="L38" s="3">
        <v>375900710136</v>
      </c>
      <c r="N38" s="3">
        <v>86727418733</v>
      </c>
      <c r="P38" s="3">
        <f t="shared" si="1"/>
        <v>289173291403</v>
      </c>
    </row>
    <row r="39" spans="1:16" x14ac:dyDescent="0.2">
      <c r="A39" s="13" t="s">
        <v>216</v>
      </c>
      <c r="B39" s="3">
        <v>55734456</v>
      </c>
      <c r="D39" s="3">
        <v>206282534884</v>
      </c>
      <c r="F39" s="3">
        <v>206835571170</v>
      </c>
      <c r="H39" s="3">
        <f t="shared" si="0"/>
        <v>-553036286</v>
      </c>
      <c r="J39" s="3">
        <v>55734456</v>
      </c>
      <c r="L39" s="3">
        <v>206282534884</v>
      </c>
      <c r="N39" s="3">
        <v>134474724262</v>
      </c>
      <c r="P39" s="3">
        <f t="shared" si="1"/>
        <v>71807810622</v>
      </c>
    </row>
    <row r="40" spans="1:16" x14ac:dyDescent="0.2">
      <c r="A40" s="13" t="s">
        <v>63</v>
      </c>
      <c r="B40" s="3">
        <v>30288805</v>
      </c>
      <c r="D40" s="3">
        <v>201967399451</v>
      </c>
      <c r="F40" s="3">
        <v>207677787233</v>
      </c>
      <c r="H40" s="3">
        <f t="shared" si="0"/>
        <v>-5710387782</v>
      </c>
      <c r="J40" s="3">
        <v>30288805</v>
      </c>
      <c r="L40" s="3">
        <v>201967399451</v>
      </c>
      <c r="N40" s="3">
        <v>131799243883</v>
      </c>
      <c r="P40" s="3">
        <f t="shared" si="1"/>
        <v>70168155568</v>
      </c>
    </row>
    <row r="41" spans="1:16" x14ac:dyDescent="0.2">
      <c r="A41" s="13" t="s">
        <v>217</v>
      </c>
      <c r="B41" s="3">
        <v>25275427</v>
      </c>
      <c r="D41" s="3">
        <v>403788771984</v>
      </c>
      <c r="F41" s="3">
        <v>309989392653</v>
      </c>
      <c r="H41" s="3">
        <f t="shared" si="0"/>
        <v>93799379331</v>
      </c>
      <c r="J41" s="3">
        <v>25275427</v>
      </c>
      <c r="L41" s="3">
        <v>403788771984</v>
      </c>
      <c r="N41" s="3">
        <v>70525094839</v>
      </c>
      <c r="P41" s="3">
        <f t="shared" si="1"/>
        <v>333263677145</v>
      </c>
    </row>
    <row r="42" spans="1:16" x14ac:dyDescent="0.2">
      <c r="A42" s="13" t="s">
        <v>180</v>
      </c>
      <c r="B42" s="3">
        <v>7598313</v>
      </c>
      <c r="D42" s="3">
        <v>196104424834</v>
      </c>
      <c r="F42" s="3">
        <v>224377842485</v>
      </c>
      <c r="H42" s="3">
        <f t="shared" si="0"/>
        <v>-28273417651</v>
      </c>
      <c r="J42" s="3">
        <v>7598313</v>
      </c>
      <c r="L42" s="3">
        <v>196104424834</v>
      </c>
      <c r="N42" s="3">
        <v>94759094075</v>
      </c>
      <c r="P42" s="3">
        <f t="shared" si="1"/>
        <v>101345330759</v>
      </c>
    </row>
    <row r="43" spans="1:16" x14ac:dyDescent="0.2">
      <c r="A43" s="13" t="s">
        <v>218</v>
      </c>
      <c r="B43" s="3">
        <v>3243834</v>
      </c>
      <c r="D43" s="3">
        <v>14645354192</v>
      </c>
      <c r="F43" s="3">
        <v>15113616977</v>
      </c>
      <c r="H43" s="3">
        <f t="shared" si="0"/>
        <v>-468262785</v>
      </c>
      <c r="J43" s="3">
        <v>3243834</v>
      </c>
      <c r="L43" s="3">
        <v>14645354192</v>
      </c>
      <c r="N43" s="3">
        <v>14929357326</v>
      </c>
      <c r="P43" s="3">
        <f t="shared" si="1"/>
        <v>-284003134</v>
      </c>
    </row>
    <row r="44" spans="1:16" x14ac:dyDescent="0.2">
      <c r="A44" s="13" t="s">
        <v>219</v>
      </c>
      <c r="B44" s="3">
        <v>27020717</v>
      </c>
      <c r="D44" s="3">
        <v>256053137490</v>
      </c>
      <c r="F44" s="3">
        <v>229509409100</v>
      </c>
      <c r="H44" s="3">
        <f t="shared" si="0"/>
        <v>26543728390</v>
      </c>
      <c r="J44" s="3">
        <v>27020717</v>
      </c>
      <c r="L44" s="3">
        <v>256053137490</v>
      </c>
      <c r="N44" s="3">
        <v>134150519747</v>
      </c>
      <c r="P44" s="3">
        <f t="shared" si="1"/>
        <v>121902617743</v>
      </c>
    </row>
    <row r="45" spans="1:16" x14ac:dyDescent="0.2">
      <c r="A45" s="13" t="s">
        <v>55</v>
      </c>
      <c r="B45" s="3">
        <v>45520958</v>
      </c>
      <c r="D45" s="3">
        <v>303987915094</v>
      </c>
      <c r="F45" s="3">
        <v>244364728181</v>
      </c>
      <c r="H45" s="3">
        <f t="shared" si="0"/>
        <v>59623186913</v>
      </c>
      <c r="J45" s="3">
        <v>45520958</v>
      </c>
      <c r="L45" s="3">
        <v>303987915094</v>
      </c>
      <c r="N45" s="3">
        <v>115495594041</v>
      </c>
      <c r="P45" s="3">
        <f t="shared" si="1"/>
        <v>188492321053</v>
      </c>
    </row>
    <row r="46" spans="1:16" x14ac:dyDescent="0.2">
      <c r="A46" s="13" t="s">
        <v>220</v>
      </c>
      <c r="B46" s="3">
        <v>1000000</v>
      </c>
      <c r="D46" s="3">
        <v>3214954800</v>
      </c>
      <c r="F46" s="3">
        <v>2576925190</v>
      </c>
      <c r="H46" s="3">
        <f t="shared" si="0"/>
        <v>638029610</v>
      </c>
      <c r="J46" s="3">
        <v>1000000</v>
      </c>
      <c r="L46" s="3">
        <v>3214954800</v>
      </c>
      <c r="N46" s="3">
        <v>2534734577</v>
      </c>
      <c r="P46" s="3">
        <f t="shared" si="1"/>
        <v>680220223</v>
      </c>
    </row>
    <row r="47" spans="1:16" x14ac:dyDescent="0.2">
      <c r="A47" s="13" t="s">
        <v>221</v>
      </c>
      <c r="B47" s="3">
        <v>1000000</v>
      </c>
      <c r="D47" s="3">
        <v>2867660300</v>
      </c>
      <c r="F47" s="3">
        <v>3148364960</v>
      </c>
      <c r="H47" s="3">
        <f t="shared" si="0"/>
        <v>-280704660</v>
      </c>
      <c r="J47" s="3">
        <v>1000000</v>
      </c>
      <c r="L47" s="3">
        <v>2867660300</v>
      </c>
      <c r="N47" s="3">
        <v>3148364960</v>
      </c>
      <c r="P47" s="3">
        <f t="shared" si="1"/>
        <v>-280704660</v>
      </c>
    </row>
    <row r="48" spans="1:16" x14ac:dyDescent="0.2">
      <c r="A48" s="13" t="s">
        <v>121</v>
      </c>
      <c r="B48" s="3">
        <v>5818022</v>
      </c>
      <c r="D48" s="3">
        <v>11904026399</v>
      </c>
      <c r="F48" s="3">
        <v>10454991177</v>
      </c>
      <c r="H48" s="3">
        <f t="shared" si="0"/>
        <v>1449035222</v>
      </c>
      <c r="J48" s="3">
        <v>5818022</v>
      </c>
      <c r="L48" s="3">
        <v>11904026399</v>
      </c>
      <c r="N48" s="3">
        <v>6246438681</v>
      </c>
      <c r="P48" s="3">
        <f t="shared" si="1"/>
        <v>5657587718</v>
      </c>
    </row>
    <row r="49" spans="1:16" x14ac:dyDescent="0.2">
      <c r="A49" s="13" t="s">
        <v>83</v>
      </c>
      <c r="B49" s="3">
        <v>20202020</v>
      </c>
      <c r="D49" s="3">
        <v>273625966961</v>
      </c>
      <c r="F49" s="3">
        <v>214089767556</v>
      </c>
      <c r="H49" s="3">
        <f t="shared" si="0"/>
        <v>59536199405</v>
      </c>
      <c r="J49" s="3">
        <v>20202020</v>
      </c>
      <c r="L49" s="3">
        <v>273625966961</v>
      </c>
      <c r="N49" s="3">
        <v>77757884678</v>
      </c>
      <c r="P49" s="3">
        <f t="shared" si="1"/>
        <v>195868082283</v>
      </c>
    </row>
    <row r="50" spans="1:16" x14ac:dyDescent="0.2">
      <c r="A50" s="13" t="s">
        <v>222</v>
      </c>
      <c r="B50" s="3">
        <v>9791998</v>
      </c>
      <c r="D50" s="3">
        <v>56646063137</v>
      </c>
      <c r="F50" s="3">
        <v>47415572574</v>
      </c>
      <c r="H50" s="3">
        <f t="shared" si="0"/>
        <v>9230490563</v>
      </c>
      <c r="J50" s="3">
        <v>9791998</v>
      </c>
      <c r="L50" s="3">
        <v>56646063137</v>
      </c>
      <c r="N50" s="3">
        <v>33193818864</v>
      </c>
      <c r="P50" s="3">
        <f t="shared" si="1"/>
        <v>23452244273</v>
      </c>
    </row>
    <row r="51" spans="1:16" x14ac:dyDescent="0.2">
      <c r="A51" s="13" t="s">
        <v>223</v>
      </c>
      <c r="B51" s="3">
        <v>12541094</v>
      </c>
      <c r="D51" s="3">
        <v>254109570432</v>
      </c>
      <c r="F51" s="3">
        <v>239364957636</v>
      </c>
      <c r="H51" s="3">
        <f t="shared" si="0"/>
        <v>14744612796</v>
      </c>
      <c r="J51" s="3">
        <v>12541094</v>
      </c>
      <c r="L51" s="3">
        <v>254109570432</v>
      </c>
      <c r="N51" s="3">
        <v>168894930317</v>
      </c>
      <c r="P51" s="3">
        <f t="shared" si="1"/>
        <v>85214640115</v>
      </c>
    </row>
    <row r="52" spans="1:16" x14ac:dyDescent="0.2">
      <c r="A52" s="13" t="s">
        <v>157</v>
      </c>
      <c r="B52" s="3">
        <v>80326024</v>
      </c>
      <c r="D52" s="3">
        <v>175351228436</v>
      </c>
      <c r="F52" s="3">
        <v>164591039418</v>
      </c>
      <c r="H52" s="3">
        <f t="shared" si="0"/>
        <v>10760189018</v>
      </c>
      <c r="J52" s="3">
        <v>80326024</v>
      </c>
      <c r="L52" s="3">
        <v>175351228436</v>
      </c>
      <c r="N52" s="3">
        <v>97662815153</v>
      </c>
      <c r="P52" s="3">
        <f t="shared" si="1"/>
        <v>77688413283</v>
      </c>
    </row>
    <row r="53" spans="1:16" x14ac:dyDescent="0.2">
      <c r="A53" s="13" t="s">
        <v>224</v>
      </c>
      <c r="B53" s="3">
        <v>24486301</v>
      </c>
      <c r="D53" s="3">
        <v>96702147135</v>
      </c>
      <c r="F53" s="3">
        <v>62005999871</v>
      </c>
      <c r="H53" s="3">
        <f t="shared" si="0"/>
        <v>34696147264</v>
      </c>
      <c r="J53" s="3">
        <v>24486301</v>
      </c>
      <c r="L53" s="3">
        <v>96702147135</v>
      </c>
      <c r="N53" s="3">
        <v>40842050550</v>
      </c>
      <c r="P53" s="3">
        <f t="shared" si="1"/>
        <v>55860096585</v>
      </c>
    </row>
    <row r="54" spans="1:16" x14ac:dyDescent="0.2">
      <c r="A54" s="13" t="s">
        <v>225</v>
      </c>
      <c r="B54" s="3">
        <v>8656771</v>
      </c>
      <c r="D54" s="3">
        <v>246700611480</v>
      </c>
      <c r="F54" s="3">
        <v>218869484001</v>
      </c>
      <c r="H54" s="3">
        <f t="shared" si="0"/>
        <v>27831127479</v>
      </c>
      <c r="J54" s="3">
        <v>8656771</v>
      </c>
      <c r="L54" s="3">
        <v>246700611480</v>
      </c>
      <c r="N54" s="3">
        <v>120273733942</v>
      </c>
      <c r="P54" s="3">
        <f t="shared" si="1"/>
        <v>126426877538</v>
      </c>
    </row>
    <row r="55" spans="1:16" x14ac:dyDescent="0.2">
      <c r="A55" s="13" t="s">
        <v>226</v>
      </c>
      <c r="B55" s="3">
        <v>1936571</v>
      </c>
      <c r="D55" s="3">
        <v>4417761403</v>
      </c>
      <c r="F55" s="3">
        <v>4407039363</v>
      </c>
      <c r="H55" s="3">
        <f t="shared" si="0"/>
        <v>10722040</v>
      </c>
      <c r="J55" s="3">
        <v>1936571</v>
      </c>
      <c r="L55" s="3">
        <v>4417761403</v>
      </c>
      <c r="N55" s="3">
        <v>3212117215</v>
      </c>
      <c r="P55" s="3">
        <f t="shared" si="1"/>
        <v>1205644188</v>
      </c>
    </row>
    <row r="56" spans="1:16" x14ac:dyDescent="0.2">
      <c r="A56" s="13" t="s">
        <v>227</v>
      </c>
      <c r="B56" s="3">
        <v>5361321</v>
      </c>
      <c r="D56" s="3">
        <v>17449199803</v>
      </c>
      <c r="F56" s="3">
        <v>16371034418</v>
      </c>
      <c r="H56" s="3">
        <f t="shared" si="0"/>
        <v>1078165385</v>
      </c>
      <c r="J56" s="3">
        <v>5361321</v>
      </c>
      <c r="L56" s="3">
        <v>17449199803</v>
      </c>
      <c r="N56" s="3">
        <v>13233075125</v>
      </c>
      <c r="P56" s="3">
        <f t="shared" si="1"/>
        <v>4216124678</v>
      </c>
    </row>
    <row r="57" spans="1:16" x14ac:dyDescent="0.2">
      <c r="A57" s="13" t="s">
        <v>228</v>
      </c>
      <c r="B57" s="3">
        <v>62313759</v>
      </c>
      <c r="D57" s="3">
        <v>170656523254</v>
      </c>
      <c r="F57" s="3">
        <v>172387821316</v>
      </c>
      <c r="H57" s="3">
        <f t="shared" si="0"/>
        <v>-1731298062</v>
      </c>
      <c r="J57" s="3">
        <v>62313759</v>
      </c>
      <c r="L57" s="3">
        <v>170656523254</v>
      </c>
      <c r="N57" s="3">
        <v>115540415824</v>
      </c>
      <c r="P57" s="3">
        <f t="shared" si="1"/>
        <v>55116107430</v>
      </c>
    </row>
    <row r="58" spans="1:16" x14ac:dyDescent="0.2">
      <c r="A58" s="13" t="s">
        <v>229</v>
      </c>
      <c r="B58" s="3">
        <v>1229748</v>
      </c>
      <c r="D58" s="3">
        <v>29432238197</v>
      </c>
      <c r="F58" s="3">
        <v>20622090610</v>
      </c>
      <c r="H58" s="3">
        <f t="shared" si="0"/>
        <v>8810147587</v>
      </c>
      <c r="J58" s="3">
        <v>1229748</v>
      </c>
      <c r="L58" s="3">
        <v>29432238197</v>
      </c>
      <c r="N58" s="3">
        <v>17364091732</v>
      </c>
      <c r="P58" s="3">
        <f t="shared" si="1"/>
        <v>12068146465</v>
      </c>
    </row>
    <row r="59" spans="1:16" x14ac:dyDescent="0.2">
      <c r="A59" s="13" t="s">
        <v>230</v>
      </c>
      <c r="B59" s="3">
        <v>33000000</v>
      </c>
      <c r="D59" s="3">
        <v>121483616100</v>
      </c>
      <c r="F59" s="3">
        <v>147394334962</v>
      </c>
      <c r="H59" s="3">
        <f t="shared" si="0"/>
        <v>-25910718862</v>
      </c>
      <c r="J59" s="3">
        <v>33000000</v>
      </c>
      <c r="L59" s="3">
        <v>121483616100</v>
      </c>
      <c r="N59" s="3">
        <v>65522564903</v>
      </c>
      <c r="P59" s="3">
        <f t="shared" si="1"/>
        <v>55961051197</v>
      </c>
    </row>
    <row r="60" spans="1:16" x14ac:dyDescent="0.2">
      <c r="A60" s="13" t="s">
        <v>231</v>
      </c>
      <c r="B60" s="3">
        <v>8578139</v>
      </c>
      <c r="D60" s="3">
        <v>25705726556</v>
      </c>
      <c r="F60" s="3">
        <v>22530813971</v>
      </c>
      <c r="H60" s="3">
        <f t="shared" si="0"/>
        <v>3174912585</v>
      </c>
      <c r="J60" s="3">
        <v>8578139</v>
      </c>
      <c r="L60" s="3">
        <v>25705726556</v>
      </c>
      <c r="N60" s="3">
        <v>24648604361</v>
      </c>
      <c r="P60" s="3">
        <f t="shared" si="1"/>
        <v>1057122195</v>
      </c>
    </row>
    <row r="61" spans="1:16" x14ac:dyDescent="0.2">
      <c r="A61" s="13" t="s">
        <v>232</v>
      </c>
      <c r="B61" s="3">
        <v>1000000</v>
      </c>
      <c r="D61" s="3">
        <v>16074774000</v>
      </c>
      <c r="F61" s="3">
        <v>16193023600</v>
      </c>
      <c r="H61" s="3">
        <f t="shared" si="0"/>
        <v>-118249600</v>
      </c>
      <c r="J61" s="3">
        <v>1000000</v>
      </c>
      <c r="L61" s="3">
        <v>16074774000</v>
      </c>
      <c r="N61" s="3">
        <v>16193023600</v>
      </c>
      <c r="P61" s="3">
        <f t="shared" si="1"/>
        <v>-118249600</v>
      </c>
    </row>
    <row r="62" spans="1:16" x14ac:dyDescent="0.2">
      <c r="A62" s="13" t="s">
        <v>98</v>
      </c>
      <c r="B62" s="3">
        <v>42777372</v>
      </c>
      <c r="D62" s="3">
        <v>231758997913</v>
      </c>
      <c r="F62" s="3">
        <v>244037262122</v>
      </c>
      <c r="H62" s="3">
        <f t="shared" si="0"/>
        <v>-12278264209</v>
      </c>
      <c r="J62" s="3">
        <v>42777372</v>
      </c>
      <c r="L62" s="3">
        <v>231758997913</v>
      </c>
      <c r="N62" s="3">
        <v>214671504259</v>
      </c>
      <c r="P62" s="3">
        <f t="shared" si="1"/>
        <v>17087493654</v>
      </c>
    </row>
    <row r="63" spans="1:16" x14ac:dyDescent="0.2">
      <c r="A63" s="13" t="s">
        <v>233</v>
      </c>
      <c r="B63" s="3">
        <v>65955263</v>
      </c>
      <c r="D63" s="3">
        <v>171728805216</v>
      </c>
      <c r="F63" s="3">
        <v>149215577702</v>
      </c>
      <c r="H63" s="3">
        <f t="shared" si="0"/>
        <v>22513227514</v>
      </c>
      <c r="J63" s="3">
        <v>65955263</v>
      </c>
      <c r="L63" s="3">
        <v>171728805216</v>
      </c>
      <c r="N63" s="3">
        <v>117900595265</v>
      </c>
      <c r="P63" s="3">
        <f t="shared" si="1"/>
        <v>53828209951</v>
      </c>
    </row>
    <row r="64" spans="1:16" x14ac:dyDescent="0.2">
      <c r="A64" s="13" t="s">
        <v>234</v>
      </c>
      <c r="B64" s="3">
        <v>291928701</v>
      </c>
      <c r="D64" s="3">
        <v>192921613366</v>
      </c>
      <c r="F64" s="3">
        <v>187797387269</v>
      </c>
      <c r="H64" s="3">
        <f t="shared" si="0"/>
        <v>5124226097</v>
      </c>
      <c r="J64" s="3">
        <v>291928701</v>
      </c>
      <c r="L64" s="3">
        <v>192921613366</v>
      </c>
      <c r="N64" s="3">
        <v>143746994571</v>
      </c>
      <c r="P64" s="3">
        <f t="shared" si="1"/>
        <v>49174618795</v>
      </c>
    </row>
    <row r="65" spans="1:16" x14ac:dyDescent="0.2">
      <c r="A65" s="13" t="s">
        <v>53</v>
      </c>
      <c r="B65" s="3">
        <v>107926248</v>
      </c>
      <c r="D65" s="3">
        <v>196942147731</v>
      </c>
      <c r="F65" s="3">
        <v>175342306177</v>
      </c>
      <c r="H65" s="3">
        <f t="shared" si="0"/>
        <v>21599841554</v>
      </c>
      <c r="J65" s="3">
        <v>107926248</v>
      </c>
      <c r="L65" s="3">
        <v>196942147731</v>
      </c>
      <c r="N65" s="3">
        <v>138144033291</v>
      </c>
      <c r="P65" s="3">
        <f t="shared" si="1"/>
        <v>58798114440</v>
      </c>
    </row>
    <row r="66" spans="1:16" x14ac:dyDescent="0.2">
      <c r="A66" s="13" t="s">
        <v>153</v>
      </c>
      <c r="B66" s="3">
        <v>85110564</v>
      </c>
      <c r="D66" s="3">
        <v>209611500483</v>
      </c>
      <c r="F66" s="3">
        <v>185880303207</v>
      </c>
      <c r="H66" s="3">
        <f t="shared" si="0"/>
        <v>23731197276</v>
      </c>
      <c r="J66" s="3">
        <v>85110564</v>
      </c>
      <c r="L66" s="3">
        <v>209611500483</v>
      </c>
      <c r="N66" s="3">
        <v>135592639254</v>
      </c>
      <c r="P66" s="3">
        <f t="shared" si="1"/>
        <v>74018861229</v>
      </c>
    </row>
    <row r="67" spans="1:16" x14ac:dyDescent="0.2">
      <c r="A67" s="13" t="s">
        <v>58</v>
      </c>
      <c r="B67" s="3">
        <v>20222222</v>
      </c>
      <c r="D67" s="3">
        <v>217715060830</v>
      </c>
      <c r="F67" s="3">
        <v>185007636944</v>
      </c>
      <c r="H67" s="3">
        <f t="shared" si="0"/>
        <v>32707423886</v>
      </c>
      <c r="J67" s="3">
        <v>20222222</v>
      </c>
      <c r="L67" s="3">
        <v>217715060830</v>
      </c>
      <c r="N67" s="3">
        <v>91980590863</v>
      </c>
      <c r="P67" s="3">
        <f t="shared" si="1"/>
        <v>125734469967</v>
      </c>
    </row>
    <row r="68" spans="1:16" x14ac:dyDescent="0.2">
      <c r="A68" s="13" t="s">
        <v>235</v>
      </c>
      <c r="B68" s="3">
        <v>3387852</v>
      </c>
      <c r="D68" s="3">
        <v>92849157030</v>
      </c>
      <c r="F68" s="3">
        <v>85285413245</v>
      </c>
      <c r="H68" s="3">
        <f t="shared" si="0"/>
        <v>7563743785</v>
      </c>
      <c r="J68" s="3">
        <v>3387852</v>
      </c>
      <c r="L68" s="3">
        <v>92849157030</v>
      </c>
      <c r="N68" s="3">
        <v>93413954976</v>
      </c>
      <c r="P68" s="3">
        <f t="shared" si="1"/>
        <v>-564797946</v>
      </c>
    </row>
    <row r="69" spans="1:16" x14ac:dyDescent="0.2">
      <c r="A69" s="13" t="s">
        <v>236</v>
      </c>
      <c r="B69" s="3">
        <v>60438992</v>
      </c>
      <c r="D69" s="3">
        <v>132597646687</v>
      </c>
      <c r="F69" s="3">
        <v>107825713379</v>
      </c>
      <c r="H69" s="3">
        <f t="shared" si="0"/>
        <v>24771933308</v>
      </c>
      <c r="J69" s="3">
        <v>60438992</v>
      </c>
      <c r="L69" s="3">
        <v>132597646687</v>
      </c>
      <c r="N69" s="3">
        <v>60685913024</v>
      </c>
      <c r="P69" s="3">
        <f t="shared" si="1"/>
        <v>71911733663</v>
      </c>
    </row>
    <row r="70" spans="1:16" x14ac:dyDescent="0.2">
      <c r="A70" s="13" t="s">
        <v>145</v>
      </c>
      <c r="B70" s="3">
        <v>27517788</v>
      </c>
      <c r="D70" s="3">
        <v>128879956354</v>
      </c>
      <c r="F70" s="3">
        <v>119050129174</v>
      </c>
      <c r="H70" s="3">
        <f t="shared" si="0"/>
        <v>9829827180</v>
      </c>
      <c r="J70" s="3">
        <v>27517788</v>
      </c>
      <c r="L70" s="3">
        <v>128879956354</v>
      </c>
      <c r="N70" s="3">
        <v>86291899243</v>
      </c>
      <c r="P70" s="3">
        <f t="shared" si="1"/>
        <v>42588057111</v>
      </c>
    </row>
    <row r="71" spans="1:16" x14ac:dyDescent="0.2">
      <c r="A71" s="13" t="s">
        <v>158</v>
      </c>
      <c r="B71" s="3">
        <v>38098225</v>
      </c>
      <c r="D71" s="3">
        <v>93072772724</v>
      </c>
      <c r="F71" s="3">
        <v>90738546097</v>
      </c>
      <c r="H71" s="3">
        <f t="shared" si="0"/>
        <v>2334226627</v>
      </c>
      <c r="J71" s="3">
        <v>38098225</v>
      </c>
      <c r="L71" s="3">
        <v>93072772724</v>
      </c>
      <c r="N71" s="3">
        <v>51646455480</v>
      </c>
      <c r="P71" s="3">
        <f t="shared" si="1"/>
        <v>41426317244</v>
      </c>
    </row>
    <row r="72" spans="1:16" x14ac:dyDescent="0.2">
      <c r="A72" s="13" t="s">
        <v>237</v>
      </c>
      <c r="B72" s="3">
        <v>600000</v>
      </c>
      <c r="D72" s="3">
        <v>54535159200</v>
      </c>
      <c r="F72" s="3">
        <v>52099119409</v>
      </c>
      <c r="H72" s="3">
        <f t="shared" ref="H72:H135" si="2">D72-F72</f>
        <v>2436039791</v>
      </c>
      <c r="J72" s="3">
        <v>600000</v>
      </c>
      <c r="L72" s="3">
        <v>54535159200</v>
      </c>
      <c r="N72" s="3">
        <v>42789676683</v>
      </c>
      <c r="P72" s="3">
        <f t="shared" ref="P72:P135" si="3">L72-N72</f>
        <v>11745482517</v>
      </c>
    </row>
    <row r="73" spans="1:16" x14ac:dyDescent="0.2">
      <c r="A73" s="13" t="s">
        <v>93</v>
      </c>
      <c r="B73" s="3">
        <v>84676761</v>
      </c>
      <c r="D73" s="3">
        <v>224255277522</v>
      </c>
      <c r="F73" s="3">
        <v>204846147096</v>
      </c>
      <c r="H73" s="3">
        <f t="shared" si="2"/>
        <v>19409130426</v>
      </c>
      <c r="J73" s="3">
        <v>84676761</v>
      </c>
      <c r="L73" s="3">
        <v>224255277522</v>
      </c>
      <c r="N73" s="3">
        <v>134693331482</v>
      </c>
      <c r="P73" s="3">
        <f t="shared" si="3"/>
        <v>89561946040</v>
      </c>
    </row>
    <row r="74" spans="1:16" x14ac:dyDescent="0.2">
      <c r="A74" s="13" t="s">
        <v>81</v>
      </c>
      <c r="B74" s="3">
        <v>52967464</v>
      </c>
      <c r="D74" s="3">
        <v>313245832000</v>
      </c>
      <c r="F74" s="3">
        <v>260755756890</v>
      </c>
      <c r="H74" s="3">
        <f t="shared" si="2"/>
        <v>52490075110</v>
      </c>
      <c r="J74" s="3">
        <v>52967464</v>
      </c>
      <c r="L74" s="3">
        <v>313245832000</v>
      </c>
      <c r="N74" s="3">
        <v>222321658308</v>
      </c>
      <c r="P74" s="3">
        <f t="shared" si="3"/>
        <v>90924173692</v>
      </c>
    </row>
    <row r="75" spans="1:16" x14ac:dyDescent="0.2">
      <c r="A75" s="13" t="s">
        <v>238</v>
      </c>
      <c r="B75" s="3">
        <v>930925</v>
      </c>
      <c r="D75" s="3">
        <v>74267807560</v>
      </c>
      <c r="F75" s="3">
        <v>74766621192</v>
      </c>
      <c r="H75" s="3">
        <f t="shared" si="2"/>
        <v>-498813632</v>
      </c>
      <c r="J75" s="3">
        <v>930925</v>
      </c>
      <c r="L75" s="3">
        <v>74267807560</v>
      </c>
      <c r="N75" s="3">
        <v>28487800827</v>
      </c>
      <c r="P75" s="3">
        <f t="shared" si="3"/>
        <v>45780006733</v>
      </c>
    </row>
    <row r="76" spans="1:16" x14ac:dyDescent="0.2">
      <c r="A76" s="13" t="s">
        <v>60</v>
      </c>
      <c r="B76" s="3">
        <v>14302604</v>
      </c>
      <c r="D76" s="3">
        <v>255031046333</v>
      </c>
      <c r="F76" s="3">
        <v>214182619963</v>
      </c>
      <c r="H76" s="3">
        <f t="shared" si="2"/>
        <v>40848426370</v>
      </c>
      <c r="J76" s="3">
        <v>14302604</v>
      </c>
      <c r="L76" s="3">
        <v>255031046333</v>
      </c>
      <c r="N76" s="3">
        <v>164395973206</v>
      </c>
      <c r="P76" s="3">
        <f t="shared" si="3"/>
        <v>90635073127</v>
      </c>
    </row>
    <row r="77" spans="1:16" x14ac:dyDescent="0.2">
      <c r="A77" s="13" t="s">
        <v>239</v>
      </c>
      <c r="B77" s="3">
        <v>9994150</v>
      </c>
      <c r="D77" s="3">
        <v>26478110239</v>
      </c>
      <c r="F77" s="3">
        <v>24831905632</v>
      </c>
      <c r="H77" s="3">
        <f t="shared" si="2"/>
        <v>1646204607</v>
      </c>
      <c r="J77" s="3">
        <v>9994150</v>
      </c>
      <c r="L77" s="3">
        <v>26478110239</v>
      </c>
      <c r="N77" s="3">
        <v>16775668158</v>
      </c>
      <c r="P77" s="3">
        <f t="shared" si="3"/>
        <v>9702442081</v>
      </c>
    </row>
    <row r="78" spans="1:16" x14ac:dyDescent="0.2">
      <c r="A78" s="13" t="s">
        <v>240</v>
      </c>
      <c r="B78" s="3">
        <v>5243789</v>
      </c>
      <c r="D78" s="3">
        <v>24455296202</v>
      </c>
      <c r="F78" s="3">
        <v>24559361292</v>
      </c>
      <c r="H78" s="3">
        <f t="shared" si="2"/>
        <v>-104065090</v>
      </c>
      <c r="J78" s="3">
        <v>5243789</v>
      </c>
      <c r="L78" s="3">
        <v>24455296202</v>
      </c>
      <c r="N78" s="3">
        <v>23580180508</v>
      </c>
      <c r="P78" s="3">
        <f t="shared" si="3"/>
        <v>875115694</v>
      </c>
    </row>
    <row r="79" spans="1:16" x14ac:dyDescent="0.2">
      <c r="A79" s="13" t="s">
        <v>242</v>
      </c>
      <c r="B79" s="3">
        <v>4980360</v>
      </c>
      <c r="D79" s="3">
        <v>63601761587</v>
      </c>
      <c r="F79" s="3">
        <v>47738385154</v>
      </c>
      <c r="H79" s="3">
        <f t="shared" si="2"/>
        <v>15863376433</v>
      </c>
      <c r="J79" s="3">
        <v>4980360</v>
      </c>
      <c r="L79" s="3">
        <v>63601761587</v>
      </c>
      <c r="N79" s="3">
        <v>43628602856</v>
      </c>
      <c r="P79" s="3">
        <f t="shared" si="3"/>
        <v>19973158731</v>
      </c>
    </row>
    <row r="80" spans="1:16" x14ac:dyDescent="0.2">
      <c r="A80" s="13" t="s">
        <v>243</v>
      </c>
      <c r="B80" s="3">
        <v>19463545</v>
      </c>
      <c r="D80" s="3">
        <v>137509213596</v>
      </c>
      <c r="F80" s="3">
        <v>103518172032</v>
      </c>
      <c r="H80" s="3">
        <f t="shared" si="2"/>
        <v>33991041564</v>
      </c>
      <c r="J80" s="3">
        <v>19463545</v>
      </c>
      <c r="L80" s="3">
        <v>137509213596</v>
      </c>
      <c r="N80" s="3">
        <v>89066693054</v>
      </c>
      <c r="P80" s="3">
        <f t="shared" si="3"/>
        <v>48442520542</v>
      </c>
    </row>
    <row r="81" spans="1:16" x14ac:dyDescent="0.2">
      <c r="A81" s="13" t="s">
        <v>144</v>
      </c>
      <c r="B81" s="3">
        <v>24292197</v>
      </c>
      <c r="D81" s="3">
        <v>63274098083</v>
      </c>
      <c r="F81" s="3">
        <v>43773623664</v>
      </c>
      <c r="H81" s="3">
        <f t="shared" si="2"/>
        <v>19500474419</v>
      </c>
      <c r="J81" s="3">
        <v>24292197</v>
      </c>
      <c r="L81" s="3">
        <v>63274098083</v>
      </c>
      <c r="N81" s="3">
        <v>38886953203</v>
      </c>
      <c r="P81" s="3">
        <f t="shared" si="3"/>
        <v>24387144880</v>
      </c>
    </row>
    <row r="82" spans="1:16" x14ac:dyDescent="0.2">
      <c r="A82" s="13" t="s">
        <v>244</v>
      </c>
      <c r="B82" s="3">
        <v>5817302</v>
      </c>
      <c r="D82" s="3">
        <v>21415360088</v>
      </c>
      <c r="F82" s="3">
        <v>19344683299</v>
      </c>
      <c r="H82" s="3">
        <f t="shared" si="2"/>
        <v>2070676789</v>
      </c>
      <c r="J82" s="3">
        <v>5817302</v>
      </c>
      <c r="L82" s="3">
        <v>21415360088</v>
      </c>
      <c r="N82" s="3">
        <v>19388979736</v>
      </c>
      <c r="P82" s="3">
        <f t="shared" si="3"/>
        <v>2026380352</v>
      </c>
    </row>
    <row r="83" spans="1:16" x14ac:dyDescent="0.2">
      <c r="A83" s="13" t="s">
        <v>245</v>
      </c>
      <c r="B83" s="3">
        <v>13360101</v>
      </c>
      <c r="D83" s="3">
        <v>79275827967</v>
      </c>
      <c r="F83" s="3">
        <v>76137153836</v>
      </c>
      <c r="H83" s="3">
        <f t="shared" si="2"/>
        <v>3138674131</v>
      </c>
      <c r="J83" s="3">
        <v>13360101</v>
      </c>
      <c r="L83" s="3">
        <v>79275827967</v>
      </c>
      <c r="N83" s="3">
        <v>70719286167</v>
      </c>
      <c r="P83" s="3">
        <f t="shared" si="3"/>
        <v>8556541800</v>
      </c>
    </row>
    <row r="84" spans="1:16" x14ac:dyDescent="0.2">
      <c r="A84" s="13" t="s">
        <v>80</v>
      </c>
      <c r="B84" s="3">
        <v>3891738</v>
      </c>
      <c r="D84" s="3">
        <v>19385507424</v>
      </c>
      <c r="F84" s="3">
        <v>20930169369</v>
      </c>
      <c r="H84" s="3">
        <f t="shared" si="2"/>
        <v>-1544661945</v>
      </c>
      <c r="J84" s="3">
        <v>3891738</v>
      </c>
      <c r="L84" s="3">
        <v>19385507424</v>
      </c>
      <c r="N84" s="3">
        <v>14014513817</v>
      </c>
      <c r="P84" s="3">
        <f t="shared" si="3"/>
        <v>5370993607</v>
      </c>
    </row>
    <row r="85" spans="1:16" x14ac:dyDescent="0.2">
      <c r="A85" s="13" t="s">
        <v>246</v>
      </c>
      <c r="B85" s="3">
        <v>12000000</v>
      </c>
      <c r="D85" s="3">
        <v>25874432520</v>
      </c>
      <c r="F85" s="3">
        <v>28441286564</v>
      </c>
      <c r="H85" s="3">
        <f t="shared" si="2"/>
        <v>-2566854044</v>
      </c>
      <c r="J85" s="3">
        <v>12000000</v>
      </c>
      <c r="L85" s="3">
        <v>25874432520</v>
      </c>
      <c r="N85" s="3">
        <v>14645617680</v>
      </c>
      <c r="P85" s="3">
        <f t="shared" si="3"/>
        <v>11228814840</v>
      </c>
    </row>
    <row r="86" spans="1:16" x14ac:dyDescent="0.2">
      <c r="A86" s="13" t="s">
        <v>247</v>
      </c>
      <c r="B86" s="3">
        <v>2364070</v>
      </c>
      <c r="D86" s="3">
        <v>8468322617</v>
      </c>
      <c r="F86" s="3">
        <v>8444864660</v>
      </c>
      <c r="H86" s="3">
        <f t="shared" si="2"/>
        <v>23457957</v>
      </c>
      <c r="J86" s="3">
        <v>2364070</v>
      </c>
      <c r="L86" s="3">
        <v>8468322617</v>
      </c>
      <c r="N86" s="3">
        <v>5339031081</v>
      </c>
      <c r="P86" s="3">
        <f t="shared" si="3"/>
        <v>3129291536</v>
      </c>
    </row>
    <row r="87" spans="1:16" x14ac:dyDescent="0.2">
      <c r="A87" s="13" t="s">
        <v>248</v>
      </c>
      <c r="B87" s="3">
        <v>22670431</v>
      </c>
      <c r="D87" s="3">
        <v>69510132676</v>
      </c>
      <c r="F87" s="3">
        <v>62266681957</v>
      </c>
      <c r="H87" s="3">
        <f t="shared" si="2"/>
        <v>7243450719</v>
      </c>
      <c r="J87" s="3">
        <v>22670431</v>
      </c>
      <c r="L87" s="3">
        <v>69510132676</v>
      </c>
      <c r="N87" s="3">
        <v>59265800361</v>
      </c>
      <c r="P87" s="3">
        <f t="shared" si="3"/>
        <v>10244332315</v>
      </c>
    </row>
    <row r="88" spans="1:16" x14ac:dyDescent="0.2">
      <c r="A88" s="13" t="s">
        <v>249</v>
      </c>
      <c r="B88" s="3">
        <v>3837529</v>
      </c>
      <c r="D88" s="3">
        <v>12870583365</v>
      </c>
      <c r="F88" s="3">
        <v>10639174532</v>
      </c>
      <c r="H88" s="3">
        <f t="shared" si="2"/>
        <v>2231408833</v>
      </c>
      <c r="J88" s="3">
        <v>3837529</v>
      </c>
      <c r="L88" s="3">
        <v>12870583365</v>
      </c>
      <c r="N88" s="3">
        <v>7686536316</v>
      </c>
      <c r="P88" s="3">
        <f t="shared" si="3"/>
        <v>5184047049</v>
      </c>
    </row>
    <row r="89" spans="1:16" x14ac:dyDescent="0.2">
      <c r="A89" s="13" t="s">
        <v>110</v>
      </c>
      <c r="B89" s="3">
        <v>78390714</v>
      </c>
      <c r="D89" s="3">
        <v>252800449788</v>
      </c>
      <c r="F89" s="3">
        <v>230970807725</v>
      </c>
      <c r="H89" s="3">
        <f t="shared" si="2"/>
        <v>21829642063</v>
      </c>
      <c r="J89" s="3">
        <v>78390714</v>
      </c>
      <c r="L89" s="3">
        <v>252800449788</v>
      </c>
      <c r="N89" s="3">
        <v>149953031106</v>
      </c>
      <c r="P89" s="3">
        <f t="shared" si="3"/>
        <v>102847418682</v>
      </c>
    </row>
    <row r="90" spans="1:16" x14ac:dyDescent="0.2">
      <c r="A90" s="13" t="s">
        <v>182</v>
      </c>
      <c r="B90" s="3">
        <v>17017350</v>
      </c>
      <c r="D90" s="3">
        <v>194186767672</v>
      </c>
      <c r="F90" s="3">
        <v>164615985522</v>
      </c>
      <c r="H90" s="3">
        <f t="shared" si="2"/>
        <v>29570782150</v>
      </c>
      <c r="J90" s="3">
        <v>17017350</v>
      </c>
      <c r="L90" s="3">
        <v>194186767672</v>
      </c>
      <c r="N90" s="3">
        <v>114159056042</v>
      </c>
      <c r="P90" s="3">
        <f t="shared" si="3"/>
        <v>80027711630</v>
      </c>
    </row>
    <row r="91" spans="1:16" x14ac:dyDescent="0.2">
      <c r="A91" s="13" t="s">
        <v>250</v>
      </c>
      <c r="B91" s="3">
        <v>23431228</v>
      </c>
      <c r="D91" s="3">
        <v>69517812777</v>
      </c>
      <c r="F91" s="3">
        <v>78648061590</v>
      </c>
      <c r="H91" s="3">
        <f t="shared" si="2"/>
        <v>-9130248813</v>
      </c>
      <c r="J91" s="3">
        <v>23431228</v>
      </c>
      <c r="L91" s="3">
        <v>69517812777</v>
      </c>
      <c r="N91" s="3">
        <v>24087108378</v>
      </c>
      <c r="P91" s="3">
        <f t="shared" si="3"/>
        <v>45430704399</v>
      </c>
    </row>
    <row r="92" spans="1:16" x14ac:dyDescent="0.2">
      <c r="A92" s="13" t="s">
        <v>129</v>
      </c>
      <c r="B92" s="3">
        <v>6154842</v>
      </c>
      <c r="D92" s="3">
        <v>73775762062</v>
      </c>
      <c r="F92" s="3">
        <v>68834984619</v>
      </c>
      <c r="H92" s="3">
        <f t="shared" si="2"/>
        <v>4940777443</v>
      </c>
      <c r="J92" s="3">
        <v>6154842</v>
      </c>
      <c r="L92" s="3">
        <v>73775762062</v>
      </c>
      <c r="N92" s="3">
        <v>45376979480</v>
      </c>
      <c r="P92" s="3">
        <f t="shared" si="3"/>
        <v>28398782582</v>
      </c>
    </row>
    <row r="93" spans="1:16" x14ac:dyDescent="0.2">
      <c r="A93" s="13" t="s">
        <v>251</v>
      </c>
      <c r="B93" s="3">
        <v>6000000</v>
      </c>
      <c r="D93" s="3">
        <v>19527873600</v>
      </c>
      <c r="F93" s="3">
        <v>18405709638</v>
      </c>
      <c r="H93" s="3">
        <f t="shared" si="2"/>
        <v>1122163962</v>
      </c>
      <c r="J93" s="3">
        <v>6000000</v>
      </c>
      <c r="L93" s="3">
        <v>19527873600</v>
      </c>
      <c r="N93" s="3">
        <v>14746229186</v>
      </c>
      <c r="P93" s="3">
        <f t="shared" si="3"/>
        <v>4781644414</v>
      </c>
    </row>
    <row r="94" spans="1:16" x14ac:dyDescent="0.2">
      <c r="A94" s="13" t="s">
        <v>252</v>
      </c>
      <c r="B94" s="3">
        <v>39000000</v>
      </c>
      <c r="D94" s="3">
        <v>121126398900</v>
      </c>
      <c r="F94" s="3">
        <v>111002245414</v>
      </c>
      <c r="H94" s="3">
        <f t="shared" si="2"/>
        <v>10124153486</v>
      </c>
      <c r="J94" s="3">
        <v>39000000</v>
      </c>
      <c r="L94" s="3">
        <v>121126398900</v>
      </c>
      <c r="N94" s="3">
        <v>77561749814</v>
      </c>
      <c r="P94" s="3">
        <f t="shared" si="3"/>
        <v>43564649086</v>
      </c>
    </row>
    <row r="95" spans="1:16" x14ac:dyDescent="0.2">
      <c r="A95" s="13" t="s">
        <v>253</v>
      </c>
      <c r="B95" s="3">
        <v>600000</v>
      </c>
      <c r="D95" s="3">
        <v>14383945920</v>
      </c>
      <c r="F95" s="3">
        <v>16000512036</v>
      </c>
      <c r="H95" s="3">
        <f t="shared" si="2"/>
        <v>-1616566116</v>
      </c>
      <c r="J95" s="3">
        <v>600000</v>
      </c>
      <c r="L95" s="3">
        <v>14383945920</v>
      </c>
      <c r="N95" s="3">
        <v>16000512036</v>
      </c>
      <c r="P95" s="3">
        <f t="shared" si="3"/>
        <v>-1616566116</v>
      </c>
    </row>
    <row r="96" spans="1:16" x14ac:dyDescent="0.2">
      <c r="A96" s="13" t="s">
        <v>82</v>
      </c>
      <c r="B96" s="3">
        <v>72962098</v>
      </c>
      <c r="D96" s="3">
        <v>158479443051</v>
      </c>
      <c r="F96" s="3">
        <v>164995272139</v>
      </c>
      <c r="H96" s="3">
        <f t="shared" si="2"/>
        <v>-6515829088</v>
      </c>
      <c r="J96" s="3">
        <v>72962098</v>
      </c>
      <c r="L96" s="3">
        <v>158479443051</v>
      </c>
      <c r="N96" s="3">
        <v>106318150305</v>
      </c>
      <c r="P96" s="3">
        <f t="shared" si="3"/>
        <v>52161292746</v>
      </c>
    </row>
    <row r="97" spans="1:16" x14ac:dyDescent="0.2">
      <c r="A97" s="13" t="s">
        <v>120</v>
      </c>
      <c r="B97" s="3">
        <v>13857880</v>
      </c>
      <c r="D97" s="3">
        <v>160196337546</v>
      </c>
      <c r="F97" s="3">
        <v>132694820370</v>
      </c>
      <c r="H97" s="3">
        <f t="shared" si="2"/>
        <v>27501517176</v>
      </c>
      <c r="J97" s="3">
        <v>13857880</v>
      </c>
      <c r="L97" s="3">
        <v>160196337546</v>
      </c>
      <c r="N97" s="3">
        <v>49623864660</v>
      </c>
      <c r="P97" s="3">
        <f t="shared" si="3"/>
        <v>110572472886</v>
      </c>
    </row>
    <row r="98" spans="1:16" x14ac:dyDescent="0.2">
      <c r="A98" s="13" t="s">
        <v>254</v>
      </c>
      <c r="B98" s="3">
        <v>30769696</v>
      </c>
      <c r="D98" s="3">
        <v>170062383612</v>
      </c>
      <c r="F98" s="3">
        <v>146034884298</v>
      </c>
      <c r="H98" s="3">
        <f t="shared" si="2"/>
        <v>24027499314</v>
      </c>
      <c r="J98" s="3">
        <v>30769696</v>
      </c>
      <c r="L98" s="3">
        <v>170062383612</v>
      </c>
      <c r="N98" s="3">
        <v>110611498675</v>
      </c>
      <c r="P98" s="3">
        <f t="shared" si="3"/>
        <v>59450884937</v>
      </c>
    </row>
    <row r="99" spans="1:16" x14ac:dyDescent="0.2">
      <c r="A99" s="13" t="s">
        <v>133</v>
      </c>
      <c r="B99" s="3">
        <v>34348554</v>
      </c>
      <c r="D99" s="3">
        <v>128493059584</v>
      </c>
      <c r="F99" s="3">
        <v>120313130061</v>
      </c>
      <c r="H99" s="3">
        <f t="shared" si="2"/>
        <v>8179929523</v>
      </c>
      <c r="J99" s="3">
        <v>34348554</v>
      </c>
      <c r="L99" s="3">
        <v>128493059584</v>
      </c>
      <c r="N99" s="3">
        <v>73108120111</v>
      </c>
      <c r="P99" s="3">
        <f t="shared" si="3"/>
        <v>55384939473</v>
      </c>
    </row>
    <row r="100" spans="1:16" x14ac:dyDescent="0.2">
      <c r="A100" s="13" t="s">
        <v>49</v>
      </c>
      <c r="B100" s="3">
        <v>51313628</v>
      </c>
      <c r="D100" s="3">
        <v>256621547224</v>
      </c>
      <c r="F100" s="3">
        <v>213851289353</v>
      </c>
      <c r="H100" s="3">
        <f t="shared" si="2"/>
        <v>42770257871</v>
      </c>
      <c r="J100" s="3">
        <v>51313628</v>
      </c>
      <c r="L100" s="3">
        <v>256621547224</v>
      </c>
      <c r="N100" s="3">
        <v>125527359598</v>
      </c>
      <c r="P100" s="3">
        <f t="shared" si="3"/>
        <v>131094187626</v>
      </c>
    </row>
    <row r="101" spans="1:16" x14ac:dyDescent="0.2">
      <c r="A101" s="13" t="s">
        <v>255</v>
      </c>
      <c r="B101" s="3">
        <v>4181188</v>
      </c>
      <c r="D101" s="3">
        <v>92436766045</v>
      </c>
      <c r="F101" s="3">
        <v>99946216069</v>
      </c>
      <c r="H101" s="3">
        <f t="shared" si="2"/>
        <v>-7509450024</v>
      </c>
      <c r="J101" s="3">
        <v>4181188</v>
      </c>
      <c r="L101" s="3">
        <v>92436766045</v>
      </c>
      <c r="N101" s="3">
        <v>67490026682</v>
      </c>
      <c r="P101" s="3">
        <f t="shared" si="3"/>
        <v>24946739363</v>
      </c>
    </row>
    <row r="102" spans="1:16" x14ac:dyDescent="0.2">
      <c r="A102" s="13" t="s">
        <v>256</v>
      </c>
      <c r="B102" s="3">
        <v>3000000</v>
      </c>
      <c r="D102" s="3">
        <v>17116657500</v>
      </c>
      <c r="F102" s="3">
        <v>18155481901</v>
      </c>
      <c r="H102" s="3">
        <f t="shared" si="2"/>
        <v>-1038824401</v>
      </c>
      <c r="J102" s="3">
        <v>3000000</v>
      </c>
      <c r="L102" s="3">
        <v>17116657500</v>
      </c>
      <c r="N102" s="3">
        <v>18155481901</v>
      </c>
      <c r="P102" s="3">
        <f t="shared" si="3"/>
        <v>-1038824401</v>
      </c>
    </row>
    <row r="103" spans="1:16" x14ac:dyDescent="0.2">
      <c r="A103" s="13" t="s">
        <v>257</v>
      </c>
      <c r="B103" s="3">
        <v>4076466</v>
      </c>
      <c r="D103" s="3">
        <v>14278690860</v>
      </c>
      <c r="F103" s="3">
        <v>17000370387</v>
      </c>
      <c r="H103" s="3">
        <f t="shared" si="2"/>
        <v>-2721679527</v>
      </c>
      <c r="J103" s="3">
        <v>4076466</v>
      </c>
      <c r="L103" s="3">
        <v>14278690860</v>
      </c>
      <c r="N103" s="3">
        <v>12240033510</v>
      </c>
      <c r="P103" s="3">
        <f t="shared" si="3"/>
        <v>2038657350</v>
      </c>
    </row>
    <row r="104" spans="1:16" x14ac:dyDescent="0.2">
      <c r="A104" s="13" t="s">
        <v>258</v>
      </c>
      <c r="B104" s="3">
        <v>83165511</v>
      </c>
      <c r="D104" s="3">
        <v>208782283248</v>
      </c>
      <c r="F104" s="3">
        <v>198054339839</v>
      </c>
      <c r="H104" s="3">
        <f t="shared" si="2"/>
        <v>10727943409</v>
      </c>
      <c r="J104" s="3">
        <v>83165511</v>
      </c>
      <c r="L104" s="3">
        <v>208782283248</v>
      </c>
      <c r="N104" s="3">
        <v>100046432195</v>
      </c>
      <c r="P104" s="3">
        <f t="shared" si="3"/>
        <v>108735851053</v>
      </c>
    </row>
    <row r="105" spans="1:16" x14ac:dyDescent="0.2">
      <c r="A105" s="13" t="s">
        <v>128</v>
      </c>
      <c r="B105" s="3">
        <v>11496767</v>
      </c>
      <c r="D105" s="3">
        <v>322957563818</v>
      </c>
      <c r="F105" s="3">
        <v>223594781025</v>
      </c>
      <c r="H105" s="3">
        <f t="shared" si="2"/>
        <v>99362782793</v>
      </c>
      <c r="J105" s="3">
        <v>11496767</v>
      </c>
      <c r="L105" s="3">
        <v>322957563818</v>
      </c>
      <c r="N105" s="3">
        <v>134724528171</v>
      </c>
      <c r="P105" s="3">
        <f t="shared" si="3"/>
        <v>188233035647</v>
      </c>
    </row>
    <row r="106" spans="1:16" x14ac:dyDescent="0.2">
      <c r="A106" s="13" t="s">
        <v>123</v>
      </c>
      <c r="B106" s="3">
        <v>47894267</v>
      </c>
      <c r="D106" s="3">
        <v>131071314224</v>
      </c>
      <c r="F106" s="3">
        <v>117199335892</v>
      </c>
      <c r="H106" s="3">
        <f t="shared" si="2"/>
        <v>13871978332</v>
      </c>
      <c r="J106" s="3">
        <v>47894267</v>
      </c>
      <c r="L106" s="3">
        <v>131071314224</v>
      </c>
      <c r="N106" s="3">
        <v>102109599195</v>
      </c>
      <c r="P106" s="3">
        <f t="shared" si="3"/>
        <v>28961715029</v>
      </c>
    </row>
    <row r="107" spans="1:16" x14ac:dyDescent="0.2">
      <c r="A107" s="13" t="s">
        <v>259</v>
      </c>
      <c r="B107" s="3">
        <v>5486326</v>
      </c>
      <c r="D107" s="3">
        <v>185365363636</v>
      </c>
      <c r="F107" s="3">
        <v>160432225149</v>
      </c>
      <c r="H107" s="3">
        <f t="shared" si="2"/>
        <v>24933138487</v>
      </c>
      <c r="J107" s="3">
        <v>5486326</v>
      </c>
      <c r="L107" s="3">
        <v>185365363636</v>
      </c>
      <c r="N107" s="3">
        <v>134758112463</v>
      </c>
      <c r="P107" s="3">
        <f t="shared" si="3"/>
        <v>50607251173</v>
      </c>
    </row>
    <row r="108" spans="1:16" x14ac:dyDescent="0.2">
      <c r="A108" s="13" t="s">
        <v>105</v>
      </c>
      <c r="B108" s="3">
        <v>3000000</v>
      </c>
      <c r="D108" s="3">
        <v>86744243400</v>
      </c>
      <c r="F108" s="3">
        <v>69210832500</v>
      </c>
      <c r="H108" s="3">
        <f t="shared" si="2"/>
        <v>17533410900</v>
      </c>
      <c r="J108" s="3">
        <v>3000000</v>
      </c>
      <c r="L108" s="3">
        <v>86744243400</v>
      </c>
      <c r="N108" s="3">
        <v>66343660687</v>
      </c>
      <c r="P108" s="3">
        <f t="shared" si="3"/>
        <v>20400582713</v>
      </c>
    </row>
    <row r="109" spans="1:16" x14ac:dyDescent="0.2">
      <c r="A109" s="13" t="s">
        <v>260</v>
      </c>
      <c r="B109" s="3">
        <v>2700000</v>
      </c>
      <c r="D109" s="3">
        <v>33167617020</v>
      </c>
      <c r="F109" s="3">
        <v>37738267501</v>
      </c>
      <c r="H109" s="3">
        <f t="shared" si="2"/>
        <v>-4570650481</v>
      </c>
      <c r="J109" s="3">
        <v>2700000</v>
      </c>
      <c r="L109" s="3">
        <v>33167617020</v>
      </c>
      <c r="N109" s="3">
        <v>37738267501</v>
      </c>
      <c r="P109" s="3">
        <f t="shared" si="3"/>
        <v>-4570650481</v>
      </c>
    </row>
    <row r="110" spans="1:16" x14ac:dyDescent="0.2">
      <c r="A110" s="13" t="s">
        <v>116</v>
      </c>
      <c r="B110" s="3">
        <v>2832843</v>
      </c>
      <c r="D110" s="3">
        <v>158902727838</v>
      </c>
      <c r="F110" s="3">
        <v>129444022942</v>
      </c>
      <c r="H110" s="3">
        <f t="shared" si="2"/>
        <v>29458704896</v>
      </c>
      <c r="J110" s="3">
        <v>2832843</v>
      </c>
      <c r="L110" s="3">
        <v>158902727838</v>
      </c>
      <c r="N110" s="3">
        <v>90691356053</v>
      </c>
      <c r="P110" s="3">
        <f t="shared" si="3"/>
        <v>68211371785</v>
      </c>
    </row>
    <row r="111" spans="1:16" x14ac:dyDescent="0.2">
      <c r="A111" s="13" t="s">
        <v>150</v>
      </c>
      <c r="B111" s="3">
        <v>16099143</v>
      </c>
      <c r="D111" s="3">
        <v>92653240423</v>
      </c>
      <c r="F111" s="3">
        <v>86902349637</v>
      </c>
      <c r="H111" s="3">
        <f t="shared" si="2"/>
        <v>5750890786</v>
      </c>
      <c r="J111" s="3">
        <v>16099143</v>
      </c>
      <c r="L111" s="3">
        <v>92653240423</v>
      </c>
      <c r="N111" s="3">
        <v>110241608013</v>
      </c>
      <c r="P111" s="3">
        <f t="shared" si="3"/>
        <v>-17588367590</v>
      </c>
    </row>
    <row r="112" spans="1:16" x14ac:dyDescent="0.2">
      <c r="A112" s="13" t="s">
        <v>261</v>
      </c>
      <c r="B112" s="3">
        <v>6000000</v>
      </c>
      <c r="D112" s="3">
        <v>40663224600</v>
      </c>
      <c r="F112" s="3">
        <v>37051361811</v>
      </c>
      <c r="H112" s="3">
        <f t="shared" si="2"/>
        <v>3611862789</v>
      </c>
      <c r="J112" s="3">
        <v>6000000</v>
      </c>
      <c r="L112" s="3">
        <v>40663224600</v>
      </c>
      <c r="N112" s="3">
        <v>27743869150</v>
      </c>
      <c r="P112" s="3">
        <f t="shared" si="3"/>
        <v>12919355450</v>
      </c>
    </row>
    <row r="113" spans="1:16" x14ac:dyDescent="0.2">
      <c r="A113" s="13" t="s">
        <v>108</v>
      </c>
      <c r="B113" s="3">
        <v>2082029</v>
      </c>
      <c r="D113" s="3">
        <v>190727111429</v>
      </c>
      <c r="F113" s="3">
        <v>170109080969</v>
      </c>
      <c r="H113" s="3">
        <f t="shared" si="2"/>
        <v>20618030460</v>
      </c>
      <c r="J113" s="3">
        <v>2082029</v>
      </c>
      <c r="L113" s="3">
        <v>190727111429</v>
      </c>
      <c r="N113" s="3">
        <v>65448818135</v>
      </c>
      <c r="P113" s="3">
        <f t="shared" si="3"/>
        <v>125278293294</v>
      </c>
    </row>
    <row r="114" spans="1:16" x14ac:dyDescent="0.2">
      <c r="A114" s="13" t="s">
        <v>262</v>
      </c>
      <c r="B114" s="3">
        <v>400000</v>
      </c>
      <c r="D114" s="3">
        <v>18476067400</v>
      </c>
      <c r="F114" s="3">
        <v>18641529088</v>
      </c>
      <c r="H114" s="3">
        <f t="shared" si="2"/>
        <v>-165461688</v>
      </c>
      <c r="J114" s="3">
        <v>400000</v>
      </c>
      <c r="L114" s="3">
        <v>18476067400</v>
      </c>
      <c r="N114" s="3">
        <v>18641529088</v>
      </c>
      <c r="P114" s="3">
        <f t="shared" si="3"/>
        <v>-165461688</v>
      </c>
    </row>
    <row r="115" spans="1:16" s="33" customFormat="1" x14ac:dyDescent="0.2">
      <c r="A115" s="32" t="s">
        <v>311</v>
      </c>
      <c r="B115" s="34">
        <v>14200000</v>
      </c>
      <c r="D115" s="34">
        <v>104436814408</v>
      </c>
      <c r="F115" s="34">
        <v>59390336310</v>
      </c>
      <c r="H115" s="3">
        <f t="shared" si="2"/>
        <v>45046478098</v>
      </c>
      <c r="J115" s="34">
        <v>14200000</v>
      </c>
      <c r="L115" s="34">
        <v>106226274127</v>
      </c>
      <c r="N115" s="34">
        <v>59390336310</v>
      </c>
      <c r="P115" s="3">
        <f t="shared" si="3"/>
        <v>46835937817</v>
      </c>
    </row>
    <row r="116" spans="1:16" x14ac:dyDescent="0.2">
      <c r="A116" s="13" t="s">
        <v>168</v>
      </c>
      <c r="B116" s="3">
        <v>24586148</v>
      </c>
      <c r="D116" s="3">
        <v>155403138374</v>
      </c>
      <c r="F116" s="3">
        <v>138066805546</v>
      </c>
      <c r="H116" s="3">
        <f t="shared" si="2"/>
        <v>17336332828</v>
      </c>
      <c r="J116" s="3">
        <v>24586148</v>
      </c>
      <c r="L116" s="3">
        <v>155403138374</v>
      </c>
      <c r="N116" s="3">
        <v>87131740877</v>
      </c>
      <c r="P116" s="3">
        <f t="shared" si="3"/>
        <v>68271397497</v>
      </c>
    </row>
    <row r="117" spans="1:16" x14ac:dyDescent="0.2">
      <c r="A117" s="13" t="s">
        <v>51</v>
      </c>
      <c r="B117" s="3">
        <v>33360782</v>
      </c>
      <c r="D117" s="3">
        <v>242975309159</v>
      </c>
      <c r="F117" s="3">
        <v>206893144719</v>
      </c>
      <c r="H117" s="3">
        <f t="shared" si="2"/>
        <v>36082164440</v>
      </c>
      <c r="J117" s="3">
        <v>33360782</v>
      </c>
      <c r="L117" s="3">
        <v>242975309159</v>
      </c>
      <c r="N117" s="3">
        <v>100224509652</v>
      </c>
      <c r="P117" s="3">
        <f t="shared" si="3"/>
        <v>142750799507</v>
      </c>
    </row>
    <row r="118" spans="1:16" x14ac:dyDescent="0.2">
      <c r="A118" s="13" t="s">
        <v>119</v>
      </c>
      <c r="B118" s="3">
        <v>69995860</v>
      </c>
      <c r="D118" s="3">
        <v>264622757528</v>
      </c>
      <c r="F118" s="3">
        <v>187805757573</v>
      </c>
      <c r="H118" s="3">
        <f t="shared" si="2"/>
        <v>76816999955</v>
      </c>
      <c r="J118" s="3">
        <v>69995860</v>
      </c>
      <c r="L118" s="3">
        <v>264622757528</v>
      </c>
      <c r="N118" s="3">
        <v>110903984452</v>
      </c>
      <c r="P118" s="3">
        <f t="shared" si="3"/>
        <v>153718773076</v>
      </c>
    </row>
    <row r="119" spans="1:16" x14ac:dyDescent="0.2">
      <c r="A119" s="13" t="s">
        <v>165</v>
      </c>
      <c r="B119" s="3">
        <v>14575402</v>
      </c>
      <c r="D119" s="3">
        <v>257147413054</v>
      </c>
      <c r="F119" s="3">
        <v>208263371652</v>
      </c>
      <c r="H119" s="3">
        <f t="shared" si="2"/>
        <v>48884041402</v>
      </c>
      <c r="J119" s="3">
        <v>14575402</v>
      </c>
      <c r="L119" s="3">
        <v>257147413054</v>
      </c>
      <c r="N119" s="3">
        <v>150724997661</v>
      </c>
      <c r="P119" s="3">
        <f t="shared" si="3"/>
        <v>106422415393</v>
      </c>
    </row>
    <row r="120" spans="1:16" x14ac:dyDescent="0.2">
      <c r="A120" s="13" t="s">
        <v>125</v>
      </c>
      <c r="B120" s="3">
        <v>194250514</v>
      </c>
      <c r="D120" s="3">
        <v>267342804090</v>
      </c>
      <c r="F120" s="3">
        <v>195640191889</v>
      </c>
      <c r="H120" s="3">
        <f t="shared" si="2"/>
        <v>71702612201</v>
      </c>
      <c r="J120" s="3">
        <v>194250514</v>
      </c>
      <c r="L120" s="3">
        <v>267342804090</v>
      </c>
      <c r="N120" s="3">
        <v>128970887933</v>
      </c>
      <c r="P120" s="3">
        <f t="shared" si="3"/>
        <v>138371916157</v>
      </c>
    </row>
    <row r="121" spans="1:16" x14ac:dyDescent="0.2">
      <c r="A121" s="13" t="s">
        <v>79</v>
      </c>
      <c r="B121" s="3">
        <v>43117772</v>
      </c>
      <c r="D121" s="3">
        <v>68754645897</v>
      </c>
      <c r="F121" s="3">
        <v>70679947120</v>
      </c>
      <c r="H121" s="3">
        <f t="shared" si="2"/>
        <v>-1925301223</v>
      </c>
      <c r="J121" s="3">
        <v>43117772</v>
      </c>
      <c r="L121" s="3">
        <v>68754645897</v>
      </c>
      <c r="N121" s="3">
        <v>63841599181</v>
      </c>
      <c r="P121" s="3">
        <f t="shared" si="3"/>
        <v>4913046716</v>
      </c>
    </row>
    <row r="122" spans="1:16" x14ac:dyDescent="0.2">
      <c r="A122" s="13" t="s">
        <v>264</v>
      </c>
      <c r="B122" s="3">
        <v>100000</v>
      </c>
      <c r="D122" s="3">
        <v>2970856380</v>
      </c>
      <c r="F122" s="3">
        <v>2914744248</v>
      </c>
      <c r="H122" s="3">
        <f t="shared" si="2"/>
        <v>56112132</v>
      </c>
      <c r="J122" s="3">
        <v>100000</v>
      </c>
      <c r="L122" s="3">
        <v>2970856380</v>
      </c>
      <c r="N122" s="3">
        <v>2914744248</v>
      </c>
      <c r="P122" s="3">
        <f t="shared" si="3"/>
        <v>56112132</v>
      </c>
    </row>
    <row r="123" spans="1:16" x14ac:dyDescent="0.2">
      <c r="A123" s="13" t="s">
        <v>115</v>
      </c>
      <c r="B123" s="3">
        <v>24771686</v>
      </c>
      <c r="D123" s="3">
        <v>160508711663</v>
      </c>
      <c r="F123" s="3">
        <v>130275064596</v>
      </c>
      <c r="H123" s="3">
        <f t="shared" si="2"/>
        <v>30233647067</v>
      </c>
      <c r="J123" s="3">
        <v>24771686</v>
      </c>
      <c r="L123" s="3">
        <v>160508711663</v>
      </c>
      <c r="N123" s="3">
        <v>81537024272</v>
      </c>
      <c r="P123" s="3">
        <f t="shared" si="3"/>
        <v>78971687391</v>
      </c>
    </row>
    <row r="124" spans="1:16" x14ac:dyDescent="0.2">
      <c r="A124" s="13" t="s">
        <v>148</v>
      </c>
      <c r="B124" s="3">
        <v>10225959</v>
      </c>
      <c r="D124" s="3">
        <v>240481822385</v>
      </c>
      <c r="F124" s="3">
        <v>191577835252</v>
      </c>
      <c r="H124" s="3">
        <f t="shared" si="2"/>
        <v>48903987133</v>
      </c>
      <c r="J124" s="3">
        <v>10225959</v>
      </c>
      <c r="L124" s="3">
        <v>240481822385</v>
      </c>
      <c r="N124" s="3">
        <v>172453336735</v>
      </c>
      <c r="P124" s="3">
        <f t="shared" si="3"/>
        <v>68028485650</v>
      </c>
    </row>
    <row r="125" spans="1:16" x14ac:dyDescent="0.2">
      <c r="A125" s="13" t="s">
        <v>265</v>
      </c>
      <c r="B125" s="3">
        <v>84879894</v>
      </c>
      <c r="D125" s="3">
        <v>173416747412</v>
      </c>
      <c r="F125" s="3">
        <v>174687943392</v>
      </c>
      <c r="H125" s="3">
        <f t="shared" si="2"/>
        <v>-1271195980</v>
      </c>
      <c r="J125" s="3">
        <v>84879894</v>
      </c>
      <c r="L125" s="3">
        <v>173416747412</v>
      </c>
      <c r="N125" s="3">
        <v>140239579152</v>
      </c>
      <c r="P125" s="3">
        <f t="shared" si="3"/>
        <v>33177168260</v>
      </c>
    </row>
    <row r="126" spans="1:16" x14ac:dyDescent="0.2">
      <c r="A126" s="13" t="s">
        <v>69</v>
      </c>
      <c r="B126" s="3">
        <v>31804934</v>
      </c>
      <c r="D126" s="3">
        <v>175468495143</v>
      </c>
      <c r="F126" s="3">
        <v>173004492699</v>
      </c>
      <c r="H126" s="3">
        <f t="shared" si="2"/>
        <v>2464002444</v>
      </c>
      <c r="J126" s="3">
        <v>31804934</v>
      </c>
      <c r="L126" s="3">
        <v>175468495143</v>
      </c>
      <c r="N126" s="3">
        <v>143134038684</v>
      </c>
      <c r="P126" s="3">
        <f t="shared" si="3"/>
        <v>32334456459</v>
      </c>
    </row>
    <row r="127" spans="1:16" x14ac:dyDescent="0.2">
      <c r="A127" s="13" t="s">
        <v>266</v>
      </c>
      <c r="B127" s="3">
        <v>1799032</v>
      </c>
      <c r="D127" s="3">
        <v>87970983784</v>
      </c>
      <c r="F127" s="3">
        <v>81490978282</v>
      </c>
      <c r="H127" s="3">
        <f t="shared" si="2"/>
        <v>6480005502</v>
      </c>
      <c r="J127" s="3">
        <v>1799032</v>
      </c>
      <c r="L127" s="3">
        <v>87970983784</v>
      </c>
      <c r="N127" s="3">
        <v>89222170546</v>
      </c>
      <c r="P127" s="3">
        <f t="shared" si="3"/>
        <v>-1251186762</v>
      </c>
    </row>
    <row r="128" spans="1:16" x14ac:dyDescent="0.2">
      <c r="A128" s="13" t="s">
        <v>141</v>
      </c>
      <c r="B128" s="3">
        <v>17432454</v>
      </c>
      <c r="D128" s="3">
        <v>141841149271</v>
      </c>
      <c r="F128" s="3">
        <v>100856746901</v>
      </c>
      <c r="H128" s="3">
        <f t="shared" si="2"/>
        <v>40984402370</v>
      </c>
      <c r="J128" s="3">
        <v>17432454</v>
      </c>
      <c r="L128" s="3">
        <v>141841149271</v>
      </c>
      <c r="N128" s="3">
        <v>43999708548</v>
      </c>
      <c r="P128" s="3">
        <f t="shared" si="3"/>
        <v>97841440723</v>
      </c>
    </row>
    <row r="129" spans="1:16" x14ac:dyDescent="0.2">
      <c r="A129" s="13" t="s">
        <v>65</v>
      </c>
      <c r="B129" s="3">
        <v>2147520</v>
      </c>
      <c r="D129" s="3">
        <v>113535400039</v>
      </c>
      <c r="F129" s="3">
        <v>113663255219</v>
      </c>
      <c r="H129" s="3">
        <f t="shared" si="2"/>
        <v>-127855180</v>
      </c>
      <c r="J129" s="3">
        <v>2147520</v>
      </c>
      <c r="L129" s="3">
        <v>113535400039</v>
      </c>
      <c r="N129" s="3">
        <v>70980934221</v>
      </c>
      <c r="P129" s="3">
        <f t="shared" si="3"/>
        <v>42554465818</v>
      </c>
    </row>
    <row r="130" spans="1:16" x14ac:dyDescent="0.2">
      <c r="A130" s="13" t="s">
        <v>178</v>
      </c>
      <c r="B130" s="3">
        <v>4153262</v>
      </c>
      <c r="D130" s="3">
        <v>225138822465</v>
      </c>
      <c r="F130" s="3">
        <v>197815549667</v>
      </c>
      <c r="H130" s="3">
        <f t="shared" si="2"/>
        <v>27323272798</v>
      </c>
      <c r="J130" s="3">
        <v>4153262</v>
      </c>
      <c r="L130" s="3">
        <v>225138822465</v>
      </c>
      <c r="N130" s="3">
        <v>116697387883</v>
      </c>
      <c r="P130" s="3">
        <f t="shared" si="3"/>
        <v>108441434582</v>
      </c>
    </row>
    <row r="131" spans="1:16" x14ac:dyDescent="0.2">
      <c r="A131" s="13" t="s">
        <v>85</v>
      </c>
      <c r="B131" s="3">
        <v>1129636</v>
      </c>
      <c r="D131" s="3">
        <v>153003384223</v>
      </c>
      <c r="F131" s="3">
        <v>152718922055</v>
      </c>
      <c r="H131" s="3">
        <f t="shared" si="2"/>
        <v>284462168</v>
      </c>
      <c r="J131" s="3">
        <v>1129636</v>
      </c>
      <c r="L131" s="3">
        <v>153003384223</v>
      </c>
      <c r="N131" s="3">
        <v>138999235417</v>
      </c>
      <c r="P131" s="3">
        <f t="shared" si="3"/>
        <v>14004148806</v>
      </c>
    </row>
    <row r="132" spans="1:16" x14ac:dyDescent="0.2">
      <c r="A132" s="13" t="s">
        <v>267</v>
      </c>
      <c r="B132" s="3">
        <v>42119224</v>
      </c>
      <c r="D132" s="3">
        <v>224431859680</v>
      </c>
      <c r="F132" s="3">
        <v>209273118332</v>
      </c>
      <c r="H132" s="3">
        <f t="shared" si="2"/>
        <v>15158741348</v>
      </c>
      <c r="J132" s="3">
        <v>42119224</v>
      </c>
      <c r="L132" s="3">
        <v>224431859680</v>
      </c>
      <c r="N132" s="3">
        <v>83378316581</v>
      </c>
      <c r="P132" s="3">
        <f t="shared" si="3"/>
        <v>141053543099</v>
      </c>
    </row>
    <row r="133" spans="1:16" x14ac:dyDescent="0.2">
      <c r="A133" s="13" t="s">
        <v>268</v>
      </c>
      <c r="B133" s="3">
        <v>300000</v>
      </c>
      <c r="D133" s="3">
        <v>8620841760</v>
      </c>
      <c r="F133" s="3">
        <v>9053796441</v>
      </c>
      <c r="H133" s="3">
        <f t="shared" si="2"/>
        <v>-432954681</v>
      </c>
      <c r="J133" s="3">
        <v>300000</v>
      </c>
      <c r="L133" s="3">
        <v>8620841760</v>
      </c>
      <c r="N133" s="3">
        <v>9053796441</v>
      </c>
      <c r="P133" s="3">
        <f t="shared" si="3"/>
        <v>-432954681</v>
      </c>
    </row>
    <row r="134" spans="1:16" x14ac:dyDescent="0.2">
      <c r="A134" s="13" t="s">
        <v>269</v>
      </c>
      <c r="B134" s="3">
        <v>31314176</v>
      </c>
      <c r="D134" s="3">
        <v>186432704517</v>
      </c>
      <c r="F134" s="3">
        <v>169032318762</v>
      </c>
      <c r="H134" s="3">
        <f t="shared" si="2"/>
        <v>17400385755</v>
      </c>
      <c r="J134" s="3">
        <v>31314176</v>
      </c>
      <c r="L134" s="3">
        <v>186432704517</v>
      </c>
      <c r="N134" s="3">
        <v>115871907935</v>
      </c>
      <c r="P134" s="3">
        <f t="shared" si="3"/>
        <v>70560796582</v>
      </c>
    </row>
    <row r="135" spans="1:16" x14ac:dyDescent="0.2">
      <c r="A135" s="13" t="s">
        <v>270</v>
      </c>
      <c r="B135" s="3">
        <v>7465301</v>
      </c>
      <c r="D135" s="3">
        <v>108743483198</v>
      </c>
      <c r="F135" s="3">
        <v>94743130115</v>
      </c>
      <c r="H135" s="3">
        <f t="shared" si="2"/>
        <v>14000353083</v>
      </c>
      <c r="J135" s="3">
        <v>7465301</v>
      </c>
      <c r="L135" s="3">
        <v>108743483198</v>
      </c>
      <c r="N135" s="3">
        <v>72012982265</v>
      </c>
      <c r="P135" s="3">
        <f t="shared" si="3"/>
        <v>36730500933</v>
      </c>
    </row>
    <row r="136" spans="1:16" x14ac:dyDescent="0.2">
      <c r="A136" s="13" t="s">
        <v>131</v>
      </c>
      <c r="B136" s="3">
        <v>22204182</v>
      </c>
      <c r="D136" s="3">
        <v>186615644911</v>
      </c>
      <c r="F136" s="3">
        <v>191325785977</v>
      </c>
      <c r="H136" s="3">
        <f t="shared" ref="H136:H178" si="4">D136-F136</f>
        <v>-4710141066</v>
      </c>
      <c r="J136" s="3">
        <v>22204182</v>
      </c>
      <c r="L136" s="3">
        <v>186615644911</v>
      </c>
      <c r="N136" s="3">
        <v>114356879025</v>
      </c>
      <c r="P136" s="3">
        <f t="shared" ref="P136:P178" si="5">L136-N136</f>
        <v>72258765886</v>
      </c>
    </row>
    <row r="137" spans="1:16" x14ac:dyDescent="0.2">
      <c r="A137" s="13" t="s">
        <v>271</v>
      </c>
      <c r="B137" s="3">
        <v>2392736</v>
      </c>
      <c r="D137" s="3">
        <v>193405602678</v>
      </c>
      <c r="F137" s="3">
        <v>183362566840</v>
      </c>
      <c r="H137" s="3">
        <f t="shared" si="4"/>
        <v>10043035838</v>
      </c>
      <c r="J137" s="3">
        <v>2392736</v>
      </c>
      <c r="L137" s="3">
        <v>193405602678</v>
      </c>
      <c r="N137" s="3">
        <v>89183887737</v>
      </c>
      <c r="P137" s="3">
        <f t="shared" si="5"/>
        <v>104221714941</v>
      </c>
    </row>
    <row r="138" spans="1:16" x14ac:dyDescent="0.2">
      <c r="A138" s="13" t="s">
        <v>99</v>
      </c>
      <c r="B138" s="3">
        <v>30000000</v>
      </c>
      <c r="D138" s="3">
        <v>163724550000</v>
      </c>
      <c r="F138" s="3">
        <v>140945999898</v>
      </c>
      <c r="H138" s="3">
        <f t="shared" si="4"/>
        <v>22778550102</v>
      </c>
      <c r="J138" s="3">
        <v>30000000</v>
      </c>
      <c r="L138" s="3">
        <v>163724550000</v>
      </c>
      <c r="N138" s="3">
        <v>63822806416</v>
      </c>
      <c r="P138" s="3">
        <f t="shared" si="5"/>
        <v>99901743584</v>
      </c>
    </row>
    <row r="139" spans="1:16" x14ac:dyDescent="0.2">
      <c r="A139" s="13" t="s">
        <v>272</v>
      </c>
      <c r="B139" s="3">
        <v>13479488</v>
      </c>
      <c r="D139" s="3">
        <v>37985828024</v>
      </c>
      <c r="F139" s="3">
        <v>33745860600</v>
      </c>
      <c r="H139" s="3">
        <f t="shared" si="4"/>
        <v>4239967424</v>
      </c>
      <c r="J139" s="3">
        <v>13479488</v>
      </c>
      <c r="L139" s="3">
        <v>37985828024</v>
      </c>
      <c r="N139" s="3">
        <v>25192752399</v>
      </c>
      <c r="P139" s="3">
        <f t="shared" si="5"/>
        <v>12793075625</v>
      </c>
    </row>
    <row r="140" spans="1:16" x14ac:dyDescent="0.2">
      <c r="A140" s="13" t="s">
        <v>273</v>
      </c>
      <c r="B140" s="3">
        <v>7000000</v>
      </c>
      <c r="D140" s="3">
        <v>48065558800</v>
      </c>
      <c r="F140" s="3">
        <v>44022314030</v>
      </c>
      <c r="H140" s="3">
        <f t="shared" si="4"/>
        <v>4043244770</v>
      </c>
      <c r="J140" s="3">
        <v>7000000</v>
      </c>
      <c r="L140" s="3">
        <v>48065558800</v>
      </c>
      <c r="N140" s="3">
        <v>42642443810</v>
      </c>
      <c r="P140" s="3">
        <f t="shared" si="5"/>
        <v>5423114990</v>
      </c>
    </row>
    <row r="141" spans="1:16" x14ac:dyDescent="0.2">
      <c r="A141" s="13" t="s">
        <v>74</v>
      </c>
      <c r="B141" s="3">
        <v>1846489</v>
      </c>
      <c r="D141" s="3">
        <v>78437151550</v>
      </c>
      <c r="F141" s="3">
        <v>79811313279</v>
      </c>
      <c r="H141" s="3">
        <f t="shared" si="4"/>
        <v>-1374161729</v>
      </c>
      <c r="J141" s="3">
        <v>1846489</v>
      </c>
      <c r="L141" s="3">
        <v>78437151550</v>
      </c>
      <c r="N141" s="3">
        <v>31379920097</v>
      </c>
      <c r="P141" s="3">
        <f t="shared" si="5"/>
        <v>47057231453</v>
      </c>
    </row>
    <row r="142" spans="1:16" x14ac:dyDescent="0.2">
      <c r="A142" s="13" t="s">
        <v>274</v>
      </c>
      <c r="B142" s="3">
        <v>10000000</v>
      </c>
      <c r="D142" s="3">
        <v>173349569000</v>
      </c>
      <c r="F142" s="3">
        <v>152420111056</v>
      </c>
      <c r="H142" s="3">
        <f t="shared" si="4"/>
        <v>20929457944</v>
      </c>
      <c r="J142" s="3">
        <v>10000000</v>
      </c>
      <c r="L142" s="3">
        <v>173349569000</v>
      </c>
      <c r="N142" s="3">
        <v>54832513369</v>
      </c>
      <c r="P142" s="3">
        <f t="shared" si="5"/>
        <v>118517055631</v>
      </c>
    </row>
    <row r="143" spans="1:16" x14ac:dyDescent="0.2">
      <c r="A143" s="13" t="s">
        <v>275</v>
      </c>
      <c r="B143" s="3">
        <v>9227875</v>
      </c>
      <c r="D143" s="3">
        <v>219573913759</v>
      </c>
      <c r="F143" s="3">
        <v>178735729632</v>
      </c>
      <c r="H143" s="3">
        <f t="shared" si="4"/>
        <v>40838184127</v>
      </c>
      <c r="J143" s="3">
        <v>9227875</v>
      </c>
      <c r="L143" s="3">
        <v>219573913759</v>
      </c>
      <c r="N143" s="3">
        <v>105033056676</v>
      </c>
      <c r="P143" s="3">
        <f t="shared" si="5"/>
        <v>114540857083</v>
      </c>
    </row>
    <row r="144" spans="1:16" x14ac:dyDescent="0.2">
      <c r="A144" s="13" t="s">
        <v>140</v>
      </c>
      <c r="B144" s="3">
        <v>2760101</v>
      </c>
      <c r="D144" s="3">
        <v>19445234477</v>
      </c>
      <c r="F144" s="3">
        <v>16925570291</v>
      </c>
      <c r="H144" s="3">
        <f t="shared" si="4"/>
        <v>2519664186</v>
      </c>
      <c r="J144" s="3">
        <v>2760101</v>
      </c>
      <c r="L144" s="3">
        <v>19445234477</v>
      </c>
      <c r="N144" s="3">
        <v>12932117054</v>
      </c>
      <c r="P144" s="3">
        <f t="shared" si="5"/>
        <v>6513117423</v>
      </c>
    </row>
    <row r="145" spans="1:16" x14ac:dyDescent="0.2">
      <c r="A145" s="13" t="s">
        <v>137</v>
      </c>
      <c r="B145" s="3">
        <v>28806837</v>
      </c>
      <c r="D145" s="3">
        <v>272978729432</v>
      </c>
      <c r="F145" s="3">
        <v>226958231590</v>
      </c>
      <c r="H145" s="3">
        <f t="shared" si="4"/>
        <v>46020497842</v>
      </c>
      <c r="J145" s="3">
        <v>28806837</v>
      </c>
      <c r="L145" s="3">
        <v>272978729432</v>
      </c>
      <c r="N145" s="3">
        <v>179581226093</v>
      </c>
      <c r="P145" s="3">
        <f t="shared" si="5"/>
        <v>93397503339</v>
      </c>
    </row>
    <row r="146" spans="1:16" x14ac:dyDescent="0.2">
      <c r="A146" s="13" t="s">
        <v>276</v>
      </c>
      <c r="B146" s="3">
        <v>2300000</v>
      </c>
      <c r="D146" s="3">
        <v>14149770200</v>
      </c>
      <c r="F146" s="3">
        <v>15933333548</v>
      </c>
      <c r="H146" s="3">
        <f t="shared" si="4"/>
        <v>-1783563348</v>
      </c>
      <c r="J146" s="3">
        <v>2300000</v>
      </c>
      <c r="L146" s="3">
        <v>14149770200</v>
      </c>
      <c r="N146" s="3">
        <v>15933333548</v>
      </c>
      <c r="P146" s="3">
        <f t="shared" si="5"/>
        <v>-1783563348</v>
      </c>
    </row>
    <row r="147" spans="1:16" s="33" customFormat="1" x14ac:dyDescent="0.2">
      <c r="A147" s="32" t="s">
        <v>241</v>
      </c>
      <c r="B147" s="34">
        <v>31742081</v>
      </c>
      <c r="D147" s="34">
        <v>153672471089</v>
      </c>
      <c r="F147" s="34">
        <v>82489895836</v>
      </c>
      <c r="H147" s="3">
        <f t="shared" si="4"/>
        <v>71182575253</v>
      </c>
      <c r="J147" s="34">
        <v>31742081</v>
      </c>
      <c r="L147" s="34">
        <v>153672471089</v>
      </c>
      <c r="N147" s="34">
        <v>82489895836</v>
      </c>
      <c r="P147" s="3">
        <f t="shared" si="5"/>
        <v>71182575253</v>
      </c>
    </row>
    <row r="148" spans="1:16" x14ac:dyDescent="0.2">
      <c r="A148" s="13" t="s">
        <v>277</v>
      </c>
      <c r="B148" s="3">
        <v>10907504</v>
      </c>
      <c r="D148" s="3">
        <v>201311315290</v>
      </c>
      <c r="F148" s="3">
        <v>195358561343</v>
      </c>
      <c r="H148" s="3">
        <f t="shared" si="4"/>
        <v>5952753947</v>
      </c>
      <c r="J148" s="3">
        <v>10907504</v>
      </c>
      <c r="L148" s="3">
        <v>201311315290</v>
      </c>
      <c r="N148" s="3">
        <v>118555089266</v>
      </c>
      <c r="P148" s="3">
        <f t="shared" si="5"/>
        <v>82756226024</v>
      </c>
    </row>
    <row r="149" spans="1:16" x14ac:dyDescent="0.2">
      <c r="A149" s="13" t="s">
        <v>170</v>
      </c>
      <c r="B149" s="3">
        <v>1200000</v>
      </c>
      <c r="D149" s="3">
        <v>15646113360</v>
      </c>
      <c r="F149" s="3">
        <v>14880270323</v>
      </c>
      <c r="H149" s="3">
        <f t="shared" si="4"/>
        <v>765843037</v>
      </c>
      <c r="J149" s="3">
        <v>1200000</v>
      </c>
      <c r="L149" s="3">
        <v>15646113360</v>
      </c>
      <c r="N149" s="3">
        <v>9871101960</v>
      </c>
      <c r="P149" s="3">
        <f t="shared" si="5"/>
        <v>5775011400</v>
      </c>
    </row>
    <row r="150" spans="1:16" x14ac:dyDescent="0.2">
      <c r="A150" s="13" t="s">
        <v>184</v>
      </c>
      <c r="B150" s="3">
        <v>29603315</v>
      </c>
      <c r="D150" s="3">
        <v>264076587562</v>
      </c>
      <c r="F150" s="3">
        <v>205327624811</v>
      </c>
      <c r="H150" s="3">
        <f t="shared" si="4"/>
        <v>58748962751</v>
      </c>
      <c r="J150" s="3">
        <v>29603315</v>
      </c>
      <c r="L150" s="3">
        <v>264076587562</v>
      </c>
      <c r="N150" s="3">
        <v>104108954552</v>
      </c>
      <c r="P150" s="3">
        <f t="shared" si="5"/>
        <v>159967633010</v>
      </c>
    </row>
    <row r="151" spans="1:16" x14ac:dyDescent="0.2">
      <c r="A151" s="13" t="s">
        <v>161</v>
      </c>
      <c r="B151" s="3">
        <v>25017386</v>
      </c>
      <c r="D151" s="3">
        <v>121389367854</v>
      </c>
      <c r="F151" s="3">
        <v>90607605862</v>
      </c>
      <c r="H151" s="3">
        <f t="shared" si="4"/>
        <v>30781761992</v>
      </c>
      <c r="J151" s="3">
        <v>25017386</v>
      </c>
      <c r="L151" s="3">
        <v>121389367854</v>
      </c>
      <c r="N151" s="3">
        <v>61497314262</v>
      </c>
      <c r="P151" s="3">
        <f t="shared" si="5"/>
        <v>59892053592</v>
      </c>
    </row>
    <row r="152" spans="1:16" x14ac:dyDescent="0.2">
      <c r="A152" s="13" t="s">
        <v>139</v>
      </c>
      <c r="B152" s="3">
        <v>70000000</v>
      </c>
      <c r="D152" s="3">
        <v>182190694700</v>
      </c>
      <c r="F152" s="3">
        <v>176981277200</v>
      </c>
      <c r="H152" s="3">
        <f t="shared" si="4"/>
        <v>5209417500</v>
      </c>
      <c r="J152" s="3">
        <v>70000000</v>
      </c>
      <c r="L152" s="3">
        <v>182190694700</v>
      </c>
      <c r="N152" s="3">
        <v>104916010698</v>
      </c>
      <c r="P152" s="3">
        <f t="shared" si="5"/>
        <v>77274684002</v>
      </c>
    </row>
    <row r="153" spans="1:16" x14ac:dyDescent="0.2">
      <c r="A153" s="13" t="s">
        <v>278</v>
      </c>
      <c r="B153" s="3">
        <v>3000000</v>
      </c>
      <c r="D153" s="3">
        <v>10537907400</v>
      </c>
      <c r="F153" s="3">
        <v>11092457855</v>
      </c>
      <c r="H153" s="3">
        <f t="shared" si="4"/>
        <v>-554550455</v>
      </c>
      <c r="J153" s="3">
        <v>3000000</v>
      </c>
      <c r="L153" s="3">
        <v>10537907400</v>
      </c>
      <c r="N153" s="3">
        <v>11092457855</v>
      </c>
      <c r="P153" s="3">
        <f t="shared" si="5"/>
        <v>-554550455</v>
      </c>
    </row>
    <row r="154" spans="1:16" x14ac:dyDescent="0.2">
      <c r="A154" s="13" t="s">
        <v>138</v>
      </c>
      <c r="B154" s="3">
        <v>10439342</v>
      </c>
      <c r="D154" s="3">
        <v>189252460343</v>
      </c>
      <c r="F154" s="3">
        <v>150718297646</v>
      </c>
      <c r="H154" s="3">
        <f t="shared" si="4"/>
        <v>38534162697</v>
      </c>
      <c r="J154" s="3">
        <v>10439342</v>
      </c>
      <c r="L154" s="3">
        <v>189252460343</v>
      </c>
      <c r="N154" s="3">
        <v>85355242105</v>
      </c>
      <c r="P154" s="3">
        <f t="shared" si="5"/>
        <v>103897218238</v>
      </c>
    </row>
    <row r="155" spans="1:16" x14ac:dyDescent="0.2">
      <c r="A155" s="13" t="s">
        <v>279</v>
      </c>
      <c r="B155" s="3">
        <v>12072780</v>
      </c>
      <c r="D155" s="3">
        <v>53907558348</v>
      </c>
      <c r="F155" s="3">
        <v>47148084696</v>
      </c>
      <c r="H155" s="3">
        <f t="shared" si="4"/>
        <v>6759473652</v>
      </c>
      <c r="J155" s="3">
        <v>12072780</v>
      </c>
      <c r="L155" s="3">
        <v>53907558348</v>
      </c>
      <c r="N155" s="3">
        <v>27483972140</v>
      </c>
      <c r="P155" s="3">
        <f t="shared" si="5"/>
        <v>26423586208</v>
      </c>
    </row>
    <row r="156" spans="1:16" x14ac:dyDescent="0.2">
      <c r="A156" s="13" t="s">
        <v>280</v>
      </c>
      <c r="B156" s="3">
        <v>300000</v>
      </c>
      <c r="D156" s="3">
        <v>2012323560</v>
      </c>
      <c r="F156" s="3">
        <v>1976250739</v>
      </c>
      <c r="H156" s="3">
        <f t="shared" si="4"/>
        <v>36072821</v>
      </c>
      <c r="J156" s="3">
        <v>300000</v>
      </c>
      <c r="L156" s="3">
        <v>2012323560</v>
      </c>
      <c r="N156" s="3">
        <v>1976250739</v>
      </c>
      <c r="P156" s="3">
        <f t="shared" si="5"/>
        <v>36072821</v>
      </c>
    </row>
    <row r="157" spans="1:16" x14ac:dyDescent="0.2">
      <c r="A157" s="13" t="s">
        <v>281</v>
      </c>
      <c r="B157" s="3">
        <v>77573344</v>
      </c>
      <c r="D157" s="3">
        <v>162876353540</v>
      </c>
      <c r="F157" s="3">
        <v>151505998177</v>
      </c>
      <c r="H157" s="3">
        <f t="shared" si="4"/>
        <v>11370355363</v>
      </c>
      <c r="J157" s="3">
        <v>77573344</v>
      </c>
      <c r="L157" s="3">
        <v>162876353540</v>
      </c>
      <c r="N157" s="3">
        <v>130508810996</v>
      </c>
      <c r="P157" s="3">
        <f t="shared" si="5"/>
        <v>32367542544</v>
      </c>
    </row>
    <row r="158" spans="1:16" x14ac:dyDescent="0.2">
      <c r="A158" s="13" t="s">
        <v>56</v>
      </c>
      <c r="B158" s="3">
        <v>67141583</v>
      </c>
      <c r="D158" s="3">
        <v>182279374949</v>
      </c>
      <c r="F158" s="3">
        <v>176416588035</v>
      </c>
      <c r="H158" s="3">
        <f t="shared" si="4"/>
        <v>5862786914</v>
      </c>
      <c r="J158" s="3">
        <v>67141583</v>
      </c>
      <c r="L158" s="3">
        <v>182279374949</v>
      </c>
      <c r="N158" s="3">
        <v>108886842404</v>
      </c>
      <c r="P158" s="3">
        <f t="shared" si="5"/>
        <v>73392532545</v>
      </c>
    </row>
    <row r="159" spans="1:16" x14ac:dyDescent="0.2">
      <c r="A159" s="13" t="s">
        <v>88</v>
      </c>
      <c r="B159" s="3">
        <v>40012218</v>
      </c>
      <c r="D159" s="3">
        <v>139357261678</v>
      </c>
      <c r="F159" s="3">
        <v>119823423288</v>
      </c>
      <c r="H159" s="3">
        <f t="shared" si="4"/>
        <v>19533838390</v>
      </c>
      <c r="J159" s="3">
        <v>40012218</v>
      </c>
      <c r="L159" s="3">
        <v>139357261678</v>
      </c>
      <c r="N159" s="3">
        <v>100858558095</v>
      </c>
      <c r="P159" s="3">
        <f t="shared" si="5"/>
        <v>38498703583</v>
      </c>
    </row>
    <row r="160" spans="1:16" x14ac:dyDescent="0.2">
      <c r="A160" s="13" t="s">
        <v>282</v>
      </c>
      <c r="B160" s="3">
        <v>119209324</v>
      </c>
      <c r="D160" s="3">
        <v>208068303393</v>
      </c>
      <c r="F160" s="3">
        <v>199477554421</v>
      </c>
      <c r="H160" s="3">
        <f t="shared" si="4"/>
        <v>8590748972</v>
      </c>
      <c r="J160" s="3">
        <v>119209324</v>
      </c>
      <c r="L160" s="3">
        <v>208068303393</v>
      </c>
      <c r="N160" s="3">
        <v>168553744649</v>
      </c>
      <c r="P160" s="3">
        <f t="shared" si="5"/>
        <v>39514558744</v>
      </c>
    </row>
    <row r="161" spans="1:16" x14ac:dyDescent="0.2">
      <c r="A161" s="13" t="s">
        <v>107</v>
      </c>
      <c r="B161" s="3">
        <v>63315977</v>
      </c>
      <c r="D161" s="3">
        <v>192877491608</v>
      </c>
      <c r="F161" s="3">
        <v>177484988206</v>
      </c>
      <c r="H161" s="3">
        <f t="shared" si="4"/>
        <v>15392503402</v>
      </c>
      <c r="J161" s="3">
        <v>63315977</v>
      </c>
      <c r="L161" s="3">
        <v>192877491608</v>
      </c>
      <c r="N161" s="3">
        <v>111618738665</v>
      </c>
      <c r="P161" s="3">
        <f t="shared" si="5"/>
        <v>81258752943</v>
      </c>
    </row>
    <row r="162" spans="1:16" x14ac:dyDescent="0.2">
      <c r="A162" s="13" t="s">
        <v>118</v>
      </c>
      <c r="B162" s="3">
        <v>51672819</v>
      </c>
      <c r="D162" s="3">
        <v>182020527787</v>
      </c>
      <c r="F162" s="3">
        <v>159460237019</v>
      </c>
      <c r="H162" s="3">
        <f t="shared" si="4"/>
        <v>22560290768</v>
      </c>
      <c r="J162" s="3">
        <v>51672819</v>
      </c>
      <c r="L162" s="3">
        <v>182020527787</v>
      </c>
      <c r="N162" s="3">
        <v>144083986296</v>
      </c>
      <c r="P162" s="3">
        <f t="shared" si="5"/>
        <v>37936541491</v>
      </c>
    </row>
    <row r="163" spans="1:16" x14ac:dyDescent="0.2">
      <c r="A163" s="13" t="s">
        <v>172</v>
      </c>
      <c r="B163" s="3">
        <v>24124561</v>
      </c>
      <c r="D163" s="3">
        <v>196531621558</v>
      </c>
      <c r="F163" s="3">
        <v>191983386710</v>
      </c>
      <c r="H163" s="3">
        <f t="shared" si="4"/>
        <v>4548234848</v>
      </c>
      <c r="J163" s="3">
        <v>24124561</v>
      </c>
      <c r="L163" s="3">
        <v>196531621558</v>
      </c>
      <c r="N163" s="3">
        <v>149498331501</v>
      </c>
      <c r="P163" s="3">
        <f t="shared" si="5"/>
        <v>47033290057</v>
      </c>
    </row>
    <row r="164" spans="1:16" x14ac:dyDescent="0.2">
      <c r="A164" s="13" t="s">
        <v>283</v>
      </c>
      <c r="B164" s="3">
        <v>6780400</v>
      </c>
      <c r="D164" s="3">
        <v>19242044273</v>
      </c>
      <c r="F164" s="3">
        <v>18064646458</v>
      </c>
      <c r="H164" s="3">
        <f t="shared" si="4"/>
        <v>1177397815</v>
      </c>
      <c r="J164" s="3">
        <v>6780400</v>
      </c>
      <c r="L164" s="3">
        <v>19242044273</v>
      </c>
      <c r="N164" s="3">
        <v>16985529515</v>
      </c>
      <c r="P164" s="3">
        <f t="shared" si="5"/>
        <v>2256514758</v>
      </c>
    </row>
    <row r="165" spans="1:16" x14ac:dyDescent="0.2">
      <c r="A165" s="13" t="s">
        <v>284</v>
      </c>
      <c r="B165" s="3">
        <v>72356569</v>
      </c>
      <c r="D165" s="3">
        <v>205340142784</v>
      </c>
      <c r="F165" s="3">
        <v>187678018614</v>
      </c>
      <c r="H165" s="3">
        <f t="shared" si="4"/>
        <v>17662124170</v>
      </c>
      <c r="J165" s="3">
        <v>72356569</v>
      </c>
      <c r="L165" s="3">
        <v>205340142784</v>
      </c>
      <c r="N165" s="3">
        <v>166515652570</v>
      </c>
      <c r="P165" s="3">
        <f t="shared" si="5"/>
        <v>38824490214</v>
      </c>
    </row>
    <row r="166" spans="1:16" x14ac:dyDescent="0.2">
      <c r="A166" s="13" t="s">
        <v>162</v>
      </c>
      <c r="B166" s="3">
        <v>877716</v>
      </c>
      <c r="D166" s="3">
        <v>2795689330</v>
      </c>
      <c r="F166" s="3">
        <v>10643820498</v>
      </c>
      <c r="H166" s="3">
        <f t="shared" si="4"/>
        <v>-7848131168</v>
      </c>
      <c r="J166" s="3">
        <v>877716</v>
      </c>
      <c r="L166" s="3">
        <v>2795689330</v>
      </c>
      <c r="N166" s="3">
        <v>2054992052</v>
      </c>
      <c r="P166" s="3">
        <f t="shared" si="5"/>
        <v>740697278</v>
      </c>
    </row>
    <row r="167" spans="1:16" x14ac:dyDescent="0.2">
      <c r="A167" s="13" t="s">
        <v>62</v>
      </c>
      <c r="B167" s="3">
        <v>17134546</v>
      </c>
      <c r="D167" s="3">
        <v>173081336867</v>
      </c>
      <c r="F167" s="3">
        <v>147634659732</v>
      </c>
      <c r="H167" s="3">
        <f t="shared" si="4"/>
        <v>25446677135</v>
      </c>
      <c r="J167" s="3">
        <v>17134546</v>
      </c>
      <c r="L167" s="3">
        <v>173081336867</v>
      </c>
      <c r="N167" s="3">
        <v>127990173961</v>
      </c>
      <c r="P167" s="3">
        <f t="shared" si="5"/>
        <v>45091162906</v>
      </c>
    </row>
    <row r="168" spans="1:16" x14ac:dyDescent="0.2">
      <c r="A168" s="13" t="s">
        <v>152</v>
      </c>
      <c r="B168" s="3">
        <v>28267094</v>
      </c>
      <c r="D168" s="3">
        <v>134352743051</v>
      </c>
      <c r="F168" s="3">
        <v>112755329240</v>
      </c>
      <c r="H168" s="3">
        <f t="shared" si="4"/>
        <v>21597413811</v>
      </c>
      <c r="J168" s="3">
        <v>28267094</v>
      </c>
      <c r="L168" s="3">
        <v>134352743051</v>
      </c>
      <c r="N168" s="3">
        <v>62390826898</v>
      </c>
      <c r="P168" s="3">
        <f t="shared" si="5"/>
        <v>71961916153</v>
      </c>
    </row>
    <row r="169" spans="1:16" x14ac:dyDescent="0.2">
      <c r="A169" s="13" t="s">
        <v>134</v>
      </c>
      <c r="B169" s="3">
        <v>10000000</v>
      </c>
      <c r="D169" s="3">
        <v>17196039100</v>
      </c>
      <c r="F169" s="3">
        <v>16682616377</v>
      </c>
      <c r="H169" s="3">
        <f t="shared" si="4"/>
        <v>513422723</v>
      </c>
      <c r="J169" s="3">
        <v>10000000</v>
      </c>
      <c r="L169" s="3">
        <v>17196039100</v>
      </c>
      <c r="N169" s="3">
        <v>11755841827</v>
      </c>
      <c r="P169" s="3">
        <f t="shared" si="5"/>
        <v>5440197273</v>
      </c>
    </row>
    <row r="170" spans="1:16" x14ac:dyDescent="0.2">
      <c r="A170" s="13" t="s">
        <v>285</v>
      </c>
      <c r="B170" s="3">
        <v>8000000</v>
      </c>
      <c r="D170" s="3">
        <v>57948568000</v>
      </c>
      <c r="F170" s="3">
        <v>67919104482</v>
      </c>
      <c r="H170" s="3">
        <f t="shared" si="4"/>
        <v>-9970536482</v>
      </c>
      <c r="J170" s="3">
        <v>8000000</v>
      </c>
      <c r="L170" s="3">
        <v>57948568000</v>
      </c>
      <c r="N170" s="3">
        <v>67919104482</v>
      </c>
      <c r="P170" s="3">
        <f t="shared" si="5"/>
        <v>-9970536482</v>
      </c>
    </row>
    <row r="171" spans="1:16" x14ac:dyDescent="0.2">
      <c r="A171" s="13" t="s">
        <v>317</v>
      </c>
      <c r="B171" s="3">
        <v>21000000</v>
      </c>
      <c r="D171" s="3">
        <v>230821552</v>
      </c>
      <c r="F171" s="3">
        <v>1460784576</v>
      </c>
      <c r="H171" s="3">
        <f t="shared" si="4"/>
        <v>-1229963024</v>
      </c>
      <c r="J171" s="3">
        <v>21000000</v>
      </c>
      <c r="L171" s="3">
        <v>230821552</v>
      </c>
      <c r="N171" s="3">
        <v>1460784576</v>
      </c>
      <c r="P171" s="3">
        <f t="shared" si="5"/>
        <v>-1229963024</v>
      </c>
    </row>
    <row r="172" spans="1:16" x14ac:dyDescent="0.2">
      <c r="A172" s="13" t="s">
        <v>286</v>
      </c>
      <c r="B172" s="3">
        <v>8511778</v>
      </c>
      <c r="D172" s="3">
        <v>22888611101</v>
      </c>
      <c r="F172" s="3">
        <v>19849466296</v>
      </c>
      <c r="H172" s="3">
        <f t="shared" si="4"/>
        <v>3039144805</v>
      </c>
      <c r="J172" s="3">
        <v>8511778</v>
      </c>
      <c r="L172" s="3">
        <v>22888611101</v>
      </c>
      <c r="N172" s="3">
        <v>19849466296</v>
      </c>
      <c r="P172" s="3">
        <f t="shared" si="5"/>
        <v>3039144805</v>
      </c>
    </row>
    <row r="173" spans="1:16" x14ac:dyDescent="0.2">
      <c r="A173" s="13" t="s">
        <v>287</v>
      </c>
      <c r="B173" s="3">
        <v>17017350</v>
      </c>
      <c r="D173" s="3">
        <v>177300961787</v>
      </c>
      <c r="F173" s="3">
        <v>102328575624</v>
      </c>
      <c r="H173" s="3">
        <f t="shared" si="4"/>
        <v>74972386163</v>
      </c>
      <c r="J173" s="3">
        <v>17017350</v>
      </c>
      <c r="L173" s="3">
        <v>177300961787</v>
      </c>
      <c r="N173" s="3">
        <v>102328575625</v>
      </c>
      <c r="P173" s="3">
        <f t="shared" si="5"/>
        <v>74972386162</v>
      </c>
    </row>
    <row r="174" spans="1:16" x14ac:dyDescent="0.2">
      <c r="A174" s="13" t="s">
        <v>288</v>
      </c>
      <c r="B174" s="3">
        <v>6153939</v>
      </c>
      <c r="D174" s="3">
        <v>27051214898</v>
      </c>
      <c r="F174" s="3">
        <v>15661774755</v>
      </c>
      <c r="H174" s="3">
        <f t="shared" si="4"/>
        <v>11389440143</v>
      </c>
      <c r="J174" s="3">
        <v>6153939</v>
      </c>
      <c r="L174" s="3">
        <v>27051214898</v>
      </c>
      <c r="N174" s="3">
        <v>15661774755</v>
      </c>
      <c r="P174" s="3">
        <f t="shared" si="5"/>
        <v>11389440143</v>
      </c>
    </row>
    <row r="175" spans="1:16" x14ac:dyDescent="0.2">
      <c r="A175" s="13" t="s">
        <v>289</v>
      </c>
      <c r="B175" s="3">
        <v>38007767</v>
      </c>
      <c r="D175" s="3">
        <v>49556152587</v>
      </c>
      <c r="F175" s="3">
        <v>52799553745</v>
      </c>
      <c r="H175" s="3">
        <f t="shared" si="4"/>
        <v>-3243401158</v>
      </c>
      <c r="J175" s="3">
        <v>38007767</v>
      </c>
      <c r="L175" s="3">
        <v>49556152587</v>
      </c>
      <c r="N175" s="3">
        <v>13758811654</v>
      </c>
      <c r="P175" s="3">
        <f t="shared" si="5"/>
        <v>35797340933</v>
      </c>
    </row>
    <row r="176" spans="1:16" x14ac:dyDescent="0.2">
      <c r="A176" s="13" t="s">
        <v>290</v>
      </c>
      <c r="B176" s="3">
        <v>3239038</v>
      </c>
      <c r="D176" s="3">
        <v>11249000827</v>
      </c>
      <c r="F176" s="3">
        <v>5801117058</v>
      </c>
      <c r="H176" s="3">
        <f t="shared" si="4"/>
        <v>5447883769</v>
      </c>
      <c r="J176" s="3">
        <v>3239038</v>
      </c>
      <c r="L176" s="3">
        <v>11249000827</v>
      </c>
      <c r="N176" s="3">
        <v>5801117058</v>
      </c>
      <c r="P176" s="3">
        <f t="shared" si="5"/>
        <v>5447883769</v>
      </c>
    </row>
    <row r="177" spans="1:16" x14ac:dyDescent="0.2">
      <c r="A177" s="13" t="s">
        <v>312</v>
      </c>
      <c r="B177" s="3">
        <v>864000</v>
      </c>
      <c r="D177" s="3">
        <v>343611534</v>
      </c>
      <c r="F177" s="3">
        <v>343611534</v>
      </c>
      <c r="H177" s="3">
        <f t="shared" si="4"/>
        <v>0</v>
      </c>
      <c r="J177" s="3">
        <v>0</v>
      </c>
      <c r="L177" s="3">
        <v>343611534</v>
      </c>
      <c r="N177" s="3">
        <v>343611534</v>
      </c>
      <c r="P177" s="3">
        <f t="shared" si="5"/>
        <v>0</v>
      </c>
    </row>
    <row r="178" spans="1:16" ht="18.75" thickBot="1" x14ac:dyDescent="0.25">
      <c r="A178" s="13" t="s">
        <v>103</v>
      </c>
      <c r="B178" s="3">
        <v>13744017</v>
      </c>
      <c r="D178" s="3">
        <v>72838689176</v>
      </c>
      <c r="F178" s="3">
        <v>95443575387</v>
      </c>
      <c r="H178" s="3">
        <f t="shared" si="4"/>
        <v>-22604886211</v>
      </c>
      <c r="J178" s="3">
        <v>0</v>
      </c>
      <c r="L178" s="3">
        <v>0</v>
      </c>
      <c r="N178" s="3">
        <v>0</v>
      </c>
      <c r="P178" s="3">
        <f t="shared" si="5"/>
        <v>0</v>
      </c>
    </row>
    <row r="179" spans="1:16" s="15" customFormat="1" ht="22.5" thickTop="1" thickBot="1" x14ac:dyDescent="0.25">
      <c r="A179" s="14" t="s">
        <v>14</v>
      </c>
      <c r="B179" s="14"/>
      <c r="D179" s="21">
        <f>SUM(D7:D178)</f>
        <v>23394286185803</v>
      </c>
      <c r="F179" s="21">
        <f>SUM(F7:F178)</f>
        <v>21013304462324</v>
      </c>
      <c r="H179" s="21">
        <f>SUM(H7:H178)</f>
        <v>2380981723479</v>
      </c>
      <c r="J179" s="17"/>
      <c r="L179" s="21">
        <f>SUM(L7:L178)</f>
        <v>23323236956346</v>
      </c>
      <c r="N179" s="21">
        <f>SUM(N7:N178)</f>
        <v>13693010031110</v>
      </c>
      <c r="P179" s="21">
        <f>SUM(P7:P178)</f>
        <v>9630226925236</v>
      </c>
    </row>
    <row r="180" spans="1:16" ht="18.75" thickTop="1" x14ac:dyDescent="0.2">
      <c r="H180" s="31"/>
      <c r="P180" s="31"/>
    </row>
  </sheetData>
  <mergeCells count="6">
    <mergeCell ref="A1:P1"/>
    <mergeCell ref="A2:P2"/>
    <mergeCell ref="A3:P3"/>
    <mergeCell ref="A4:P4"/>
    <mergeCell ref="B5:H5"/>
    <mergeCell ref="J5:P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شاخصی هم وزن همسنگ</vt:lpstr>
      <vt:lpstr>سهام</vt:lpstr>
      <vt:lpstr>اوراق مشتقه</vt:lpstr>
      <vt:lpstr>سپرده</vt:lpstr>
      <vt:lpstr>درامدها</vt:lpstr>
      <vt:lpstr>درامد سرمایه گذاری در سهام</vt:lpstr>
      <vt:lpstr>درامد سپرده بانکی</vt:lpstr>
      <vt:lpstr>سایر درامدها</vt:lpstr>
      <vt:lpstr>درامد سود سهام</vt:lpstr>
      <vt:lpstr>سود سپرده بانکی</vt:lpstr>
      <vt:lpstr>درامد ناشی از فروش</vt:lpstr>
      <vt:lpstr>درآمد ناشی از تغییر قیمت اوراق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Ershad Kashef Bahrami</cp:lastModifiedBy>
  <dcterms:created xsi:type="dcterms:W3CDTF">2026-09-27T05:25:39Z</dcterms:created>
  <dcterms:modified xsi:type="dcterms:W3CDTF">2026-09-27T11:48:12Z</dcterms:modified>
</cp:coreProperties>
</file>