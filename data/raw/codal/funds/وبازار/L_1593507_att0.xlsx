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98933\Desktop\"/>
    </mc:Choice>
  </mc:AlternateContent>
  <xr:revisionPtr revIDLastSave="0" documentId="13_ncr:1_{D3884CD8-E6A0-4F48-8588-7FF683DEB5A6}" xr6:coauthVersionLast="47" xr6:coauthVersionMax="47" xr10:uidLastSave="{00000000-0000-0000-0000-000000000000}"/>
  <bookViews>
    <workbookView xWindow="-108" yWindow="-108" windowWidth="23256" windowHeight="12456" tabRatio="897" xr2:uid="{00000000-000D-0000-FFFF-FFFF00000000}"/>
  </bookViews>
  <sheets>
    <sheet name="سربرگ" sheetId="30" r:id="rId1"/>
    <sheet name=" سهام" sheetId="31" r:id="rId2"/>
    <sheet name="اوراق مشتقه" sheetId="32" r:id="rId3"/>
    <sheet name="سپرده" sheetId="37" r:id="rId4"/>
    <sheet name="درآمدها" sheetId="38" r:id="rId5"/>
    <sheet name="درآمد سرمایه گذاری در سهام " sheetId="39" r:id="rId6"/>
    <sheet name="درآمد سپرده بانکی" sheetId="44" r:id="rId7"/>
    <sheet name="درآمد سرمایه گذاری مشتقه " sheetId="46" r:id="rId8"/>
    <sheet name="سایر درآمدها" sheetId="47" r:id="rId9"/>
    <sheet name="درآمد سود سهام" sheetId="48" r:id="rId10"/>
    <sheet name="سود  سپرده بانکی" sheetId="51" r:id="rId11"/>
    <sheet name="درآمد ناشی ازفروش" sheetId="52" r:id="rId12"/>
    <sheet name="درآمد ناشی از تغییر قیمت اوراق " sheetId="53" r:id="rId13"/>
  </sheets>
  <definedNames>
    <definedName name="_xlnm.Print_Area" localSheetId="1">' سهام'!$A$1:$N$53</definedName>
    <definedName name="_xlnm.Print_Area" localSheetId="2">'اوراق مشتقه'!$A$1:$K$13</definedName>
    <definedName name="_xlnm.Print_Area" localSheetId="6">'درآمد سپرده بانکی'!$A$1:$E$12</definedName>
    <definedName name="_xlnm.Print_Area" localSheetId="5">'درآمد سرمایه گذاری در سهام '!$A$1:$K$67</definedName>
    <definedName name="_xlnm.Print_Area" localSheetId="7">'درآمد سرمایه گذاری مشتقه '!$A$1:$I$68</definedName>
    <definedName name="_xlnm.Print_Area" localSheetId="9">'درآمد سود سهام'!$A$1:$J$33</definedName>
    <definedName name="_xlnm.Print_Area" localSheetId="12">'درآمد ناشی از تغییر قیمت اوراق '!$A$1:$I$63</definedName>
    <definedName name="_xlnm.Print_Area" localSheetId="11">'درآمد ناشی ازفروش'!$A$1:$I$106</definedName>
    <definedName name="_xlnm.Print_Area" localSheetId="4">درآمدها!$A$1:$E$14</definedName>
    <definedName name="_xlnm.Print_Area" localSheetId="8">'سایر درآمدها'!$A$1:$C$12</definedName>
    <definedName name="_xlnm.Print_Area" localSheetId="3">سپرده!$A$1:$F$13</definedName>
    <definedName name="_xlnm.Print_Area" localSheetId="0">سربرگ!$A$1:$J$29</definedName>
    <definedName name="_xlnm.Print_Area" localSheetId="10">'سود  سپرده بانکی'!$A$1:$G$11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8" l="1"/>
  <c r="D12" i="38" s="1"/>
  <c r="C11" i="38"/>
  <c r="D11" i="38" s="1"/>
  <c r="C10" i="38"/>
  <c r="C9" i="38"/>
  <c r="D9" i="38" s="1"/>
  <c r="B11" i="47"/>
  <c r="C11" i="47"/>
  <c r="C62" i="53"/>
  <c r="D62" i="53"/>
  <c r="E62" i="53"/>
  <c r="G62" i="53"/>
  <c r="H62" i="53"/>
  <c r="I62" i="53"/>
  <c r="C105" i="52"/>
  <c r="D105" i="52"/>
  <c r="E105" i="52"/>
  <c r="G105" i="52"/>
  <c r="H105" i="52"/>
  <c r="I105" i="52"/>
  <c r="B10" i="51"/>
  <c r="C10" i="51"/>
  <c r="D10" i="51"/>
  <c r="E10" i="51"/>
  <c r="F10" i="51"/>
  <c r="G10" i="51"/>
  <c r="E32" i="48"/>
  <c r="F32" i="48"/>
  <c r="H32" i="48"/>
  <c r="I32" i="48"/>
  <c r="J32" i="48"/>
  <c r="B67" i="46"/>
  <c r="C67" i="46"/>
  <c r="D67" i="46"/>
  <c r="E67" i="46"/>
  <c r="F67" i="46"/>
  <c r="G67" i="46"/>
  <c r="H67" i="46"/>
  <c r="I67" i="46"/>
  <c r="B11" i="44"/>
  <c r="C10" i="44" s="1"/>
  <c r="D11" i="44"/>
  <c r="E9" i="44" s="1"/>
  <c r="B66" i="39"/>
  <c r="C66" i="39"/>
  <c r="D66" i="39"/>
  <c r="E66" i="39"/>
  <c r="F66" i="39"/>
  <c r="G66" i="39"/>
  <c r="H66" i="39"/>
  <c r="I66" i="39"/>
  <c r="J66" i="39"/>
  <c r="K66" i="39"/>
  <c r="D10" i="38"/>
  <c r="E10" i="38"/>
  <c r="B12" i="37"/>
  <c r="C12" i="37"/>
  <c r="D12" i="37"/>
  <c r="E12" i="37"/>
  <c r="F12" i="37"/>
  <c r="C52" i="31"/>
  <c r="D52" i="31"/>
  <c r="G52" i="31"/>
  <c r="I52" i="31"/>
  <c r="L52" i="31"/>
  <c r="M52" i="31"/>
  <c r="N52" i="31"/>
  <c r="G32" i="48" l="1"/>
  <c r="E12" i="38"/>
  <c r="E11" i="38"/>
  <c r="E13" i="38" s="1"/>
  <c r="C13" i="38"/>
  <c r="D13" i="38"/>
  <c r="E9" i="38"/>
  <c r="E10" i="44"/>
  <c r="E11" i="44" s="1"/>
  <c r="C9" i="44"/>
  <c r="C11" i="44" s="1"/>
</calcChain>
</file>

<file path=xl/sharedStrings.xml><?xml version="1.0" encoding="utf-8"?>
<sst xmlns="http://schemas.openxmlformats.org/spreadsheetml/2006/main" count="607" uniqueCount="257">
  <si>
    <t>بهای تمام شده</t>
  </si>
  <si>
    <t>شرکت</t>
  </si>
  <si>
    <t>جمع</t>
  </si>
  <si>
    <t>تعداد</t>
  </si>
  <si>
    <t>مبلغ</t>
  </si>
  <si>
    <t>درآمد تغییر ارزش</t>
  </si>
  <si>
    <t>درآمد فروش</t>
  </si>
  <si>
    <t>سود سپرده بانکی و گواهی سپرده</t>
  </si>
  <si>
    <t>درصد از کل درآمدها</t>
  </si>
  <si>
    <t>خالص ارزش فروش</t>
  </si>
  <si>
    <t>درصد به کل دارایی‌ها</t>
  </si>
  <si>
    <t>2- درآمد حاصل از سرمایه گذاری ها</t>
  </si>
  <si>
    <t>سایر درآمدها</t>
  </si>
  <si>
    <t>افزایش</t>
  </si>
  <si>
    <t>شرح</t>
  </si>
  <si>
    <t>یادداشت</t>
  </si>
  <si>
    <t>هزینه تنزیل</t>
  </si>
  <si>
    <t>خالص درآمد</t>
  </si>
  <si>
    <t>درآمد ناشی از تغییر قیمت اوراق بهادار</t>
  </si>
  <si>
    <t>ارزش دفتری</t>
  </si>
  <si>
    <t>سود و زیان ناشی از تغییر قیمت</t>
  </si>
  <si>
    <t>سود و زیان ناشی از فروش</t>
  </si>
  <si>
    <t>درآمد حاصل از سرمایه گذاری در سپرده بانکی و گواهی سپرده</t>
  </si>
  <si>
    <t>سود(زیان) حاصل از فروش اوراق بهادار</t>
  </si>
  <si>
    <t>مبلغ فروش</t>
  </si>
  <si>
    <t xml:space="preserve">صورت وضعیت پرتفوی </t>
  </si>
  <si>
    <t>2-2</t>
  </si>
  <si>
    <t xml:space="preserve">صورت وضعیت درآمدها </t>
  </si>
  <si>
    <t xml:space="preserve">درآمد سود </t>
  </si>
  <si>
    <t>درصد از کل دارایی ها</t>
  </si>
  <si>
    <t>مدیر صندوق</t>
  </si>
  <si>
    <t>سود سپرده بانکی</t>
  </si>
  <si>
    <t>‫صورت وضعیت پورتفوی</t>
  </si>
  <si>
    <t>کاهش</t>
  </si>
  <si>
    <t>1405/04/31</t>
  </si>
  <si>
    <t>گردشگري</t>
  </si>
  <si>
    <t>پاسارگاد</t>
  </si>
  <si>
    <t>رکن صندوق</t>
  </si>
  <si>
    <t>نماینده</t>
  </si>
  <si>
    <t xml:space="preserve">امضا </t>
  </si>
  <si>
    <t>شرکت سبدگردان آشنا</t>
  </si>
  <si>
    <t>مهدی فرحی</t>
  </si>
  <si>
    <t>نام بانک</t>
  </si>
  <si>
    <t>1-2- سرمایه‌گذاری در سپرده‌ بانکی</t>
  </si>
  <si>
    <t>درصد سود به کل سود سپرده</t>
  </si>
  <si>
    <t>2-2- درآمد حاصل از سرمایه­گذاری در سپرده بانکی و گواهی سپرده:</t>
  </si>
  <si>
    <t>تعدیل کارمزد کارگزاری</t>
  </si>
  <si>
    <t>2-1</t>
  </si>
  <si>
    <t>2-3</t>
  </si>
  <si>
    <t>صندوق ‫سرمایه گذاری قابل معامله شاخصی بازار آشنا</t>
  </si>
  <si>
    <t>‫برای ماه منتهی به 1405/05/31</t>
  </si>
  <si>
    <t>چادرملو</t>
  </si>
  <si>
    <t>پويا زركان آق دره</t>
  </si>
  <si>
    <t>پخش هجرت</t>
  </si>
  <si>
    <t>پتروشیمی تامین</t>
  </si>
  <si>
    <t>پتروشيمی پردیس</t>
  </si>
  <si>
    <t>پتروشيمي پارس</t>
  </si>
  <si>
    <t>پتروشيمي نوري</t>
  </si>
  <si>
    <t>پتروشيمي شيراز</t>
  </si>
  <si>
    <t>پتروشيمي جم</t>
  </si>
  <si>
    <t>نگين طبس</t>
  </si>
  <si>
    <t>نفت و گاز پارسیان</t>
  </si>
  <si>
    <t>نفت تهران</t>
  </si>
  <si>
    <t>نفت تبريز</t>
  </si>
  <si>
    <t>نفت بندر عباس</t>
  </si>
  <si>
    <t>نفت اصفهان</t>
  </si>
  <si>
    <t>ملي مس</t>
  </si>
  <si>
    <t>مس شهيد باهنر</t>
  </si>
  <si>
    <t>مجتمع سيمان غرب آسيا</t>
  </si>
  <si>
    <t>مبين انرژي خليج فارس</t>
  </si>
  <si>
    <t>كشت و صنعت هلال</t>
  </si>
  <si>
    <t>كشت و صنعت شهداب</t>
  </si>
  <si>
    <t>قاسم ايران</t>
  </si>
  <si>
    <t>فولاد مباركه</t>
  </si>
  <si>
    <t>صنايع پتروشيمي خليج فارس</t>
  </si>
  <si>
    <t>سيمان فارس و خوزستان</t>
  </si>
  <si>
    <t>سرمايه گذاري غدير</t>
  </si>
  <si>
    <t>سرمايه گذاري صدرتامين</t>
  </si>
  <si>
    <t>سرمايه گذاري دارويي تامين</t>
  </si>
  <si>
    <t>سرمايه گذاري تامين اجتماعي</t>
  </si>
  <si>
    <t>زرين ذرت شاهرود</t>
  </si>
  <si>
    <t>دكترعبيدي</t>
  </si>
  <si>
    <t>دريايي سينا</t>
  </si>
  <si>
    <t>دارويي و نهاده هاي زاگرس دارو</t>
  </si>
  <si>
    <t>توسعه‌معادن‌وفلزات‌</t>
  </si>
  <si>
    <t>بانك ملت</t>
  </si>
  <si>
    <t>بانك تجارت</t>
  </si>
  <si>
    <t>باما</t>
  </si>
  <si>
    <t>ايران خودرو</t>
  </si>
  <si>
    <t>اقتصاد نوين</t>
  </si>
  <si>
    <t>احيا استيل فولاد بافت</t>
  </si>
  <si>
    <t>آلومينيوم ايران</t>
  </si>
  <si>
    <t xml:space="preserve">افزایش سرمایه </t>
  </si>
  <si>
    <t>درصد به کل  دارایی‌ها</t>
  </si>
  <si>
    <t>قیمت بازار هر سهم</t>
  </si>
  <si>
    <t>1405/05/31</t>
  </si>
  <si>
    <t>1-1-سرمایه‌گذاری در سهام و حق تقدم سهام</t>
  </si>
  <si>
    <t>1- سرمایه گذاری ها</t>
  </si>
  <si>
    <t>برای ماه منتهی به 1405/05/31</t>
  </si>
  <si>
    <t>سرمایه گذاری قابل معامله شاخصی بازار آشنا</t>
  </si>
  <si>
    <t>تاریخ اعمال</t>
  </si>
  <si>
    <t xml:space="preserve">قیمت اعمال </t>
  </si>
  <si>
    <t>تعداد اوراق</t>
  </si>
  <si>
    <t>نوع موقعیت</t>
  </si>
  <si>
    <t>نام سهام</t>
  </si>
  <si>
    <t>1405/05/20</t>
  </si>
  <si>
    <t>موقعیت فروش</t>
  </si>
  <si>
    <t>اختيار معامله خرید</t>
  </si>
  <si>
    <t>اختيارخ وبملت-1354-1405/05/20</t>
  </si>
  <si>
    <t>1405/06/04</t>
  </si>
  <si>
    <t>اختيارخ خودرو-600-1405/06/04</t>
  </si>
  <si>
    <t>1405/05/07</t>
  </si>
  <si>
    <t>اختيارخ خودرو-550-1405/05/07</t>
  </si>
  <si>
    <t>موقعیت خرید</t>
  </si>
  <si>
    <t>اختيارخ خودرو-500-1405/06/04</t>
  </si>
  <si>
    <t>نوع اختیار</t>
  </si>
  <si>
    <t>اطلاعات آماری مرتبط با موقعیت های اخذ شده در اوراق اختیار معامله توسط صندوق سرمایه گذاری:</t>
  </si>
  <si>
    <t xml:space="preserve"> </t>
  </si>
  <si>
    <t>درآمد حاصل از سرمایه گذاری در اوراق مشتقه</t>
  </si>
  <si>
    <t>درآمد حاصل از سرمایه گذاری در سهام و حق تقدم سهام</t>
  </si>
  <si>
    <t>سرمايه گذاري صندوق بازنشستگي كشوري (هلدينگ)</t>
  </si>
  <si>
    <t>گروه صنعتي درپاد تبريز</t>
  </si>
  <si>
    <t>ذوب آهن اصفهان</t>
  </si>
  <si>
    <t>صنايع غذايي رضوي</t>
  </si>
  <si>
    <t>مجتمع كاشي و سنگ پرسپوليس يزد</t>
  </si>
  <si>
    <t>پتروشيمي اروند</t>
  </si>
  <si>
    <t>كيميا كالاي رازي</t>
  </si>
  <si>
    <t>آلياژ گستر هامون</t>
  </si>
  <si>
    <t>گروه مپنا</t>
  </si>
  <si>
    <t>پست بانك ايران</t>
  </si>
  <si>
    <t>بورس كالاي ايران</t>
  </si>
  <si>
    <t>گروه مالي نماد غدير(سهامي عام)</t>
  </si>
  <si>
    <t>پارس مينو</t>
  </si>
  <si>
    <t>س. و توسعه صنايع لاستيك</t>
  </si>
  <si>
    <t>سيمان شاهرود</t>
  </si>
  <si>
    <t>پتروشيمي پرديس</t>
  </si>
  <si>
    <t>شركت پالايش نفت بندر عباس</t>
  </si>
  <si>
    <t>بانك اقتصاد نوين</t>
  </si>
  <si>
    <t>پالايش نفت تهران</t>
  </si>
  <si>
    <t>لابراتوار دكتر عبيدي</t>
  </si>
  <si>
    <t>س. نفت و گاز و پتروشيمي تامين</t>
  </si>
  <si>
    <t>شركت گسترش نفت و گاز پارسيان</t>
  </si>
  <si>
    <t>توسعه خدمات دريايي وبندري سينا</t>
  </si>
  <si>
    <t>سرمايه گذاري توسعه معادن و فلزات (هلدينگ)</t>
  </si>
  <si>
    <t>سرمايه گذاري غدير (هلدينگ)</t>
  </si>
  <si>
    <t>پالايش نفت اصفهان</t>
  </si>
  <si>
    <t>معدني و صنعتي چادر ملو</t>
  </si>
  <si>
    <t>فولاد مباركه اصفهان</t>
  </si>
  <si>
    <t>ملي صنايع مس ايران</t>
  </si>
  <si>
    <t>پالايش نفت تبريز</t>
  </si>
  <si>
    <t>ذغال سنگ نگين طبس</t>
  </si>
  <si>
    <t>كشت و صنعت شهداب ناب خراسان</t>
  </si>
  <si>
    <t>درصد از کل درآمد ها</t>
  </si>
  <si>
    <t>یادداشت ...</t>
  </si>
  <si>
    <t>درآمد سود سهام</t>
  </si>
  <si>
    <t>سهام</t>
  </si>
  <si>
    <t>اختيارخ وبملت-1336-1405/04/24</t>
  </si>
  <si>
    <t>اختيارخ وبملت-1507-1405/04/24</t>
  </si>
  <si>
    <t>اختيارخ وبملت-1266-1405/04/24</t>
  </si>
  <si>
    <t>اختيارخ وبملت-1607-1405/04/24</t>
  </si>
  <si>
    <t>اختيارخ وبملت-1266-1405/03/20</t>
  </si>
  <si>
    <t>اختيارخ شستا-1710-1404/12/13</t>
  </si>
  <si>
    <t>اختيارخ وبملت-1400-1404/12/19</t>
  </si>
  <si>
    <t>اختيارخ وبملت-1600-1404/12/19</t>
  </si>
  <si>
    <t>اختيارخ فزر-100000-14041210</t>
  </si>
  <si>
    <t>اختيارخ شستا-2010-1404/12/13</t>
  </si>
  <si>
    <t>اختيارخ وبملت-1300-1404/11/21</t>
  </si>
  <si>
    <t>اختيارف شستا-1510-1404/12/13</t>
  </si>
  <si>
    <t>اختيارف وبملت-900-1404/12/19</t>
  </si>
  <si>
    <t>اختيارخ فزر-130000-14041210</t>
  </si>
  <si>
    <t>اختيارخ وبملت-1400-1404/11/21</t>
  </si>
  <si>
    <t>اختيارف وبملت-1100-1404/11/21</t>
  </si>
  <si>
    <t>اختيارف شستا-1210-1404/12/13</t>
  </si>
  <si>
    <t>اختيارخ وبملت-1500-1404/11/21</t>
  </si>
  <si>
    <t>اختيارخ فزر-110000-14041112</t>
  </si>
  <si>
    <t>اختيارخ وبملت-1700-1404/11/21</t>
  </si>
  <si>
    <t>اختيارخ وبملت-1800-1404/11/21</t>
  </si>
  <si>
    <t>اختيارخ شستا-2010-1404/11/08</t>
  </si>
  <si>
    <t>اختيارف اهرم-42000-1404/11/29</t>
  </si>
  <si>
    <t>اختيارخ فزر-120000-14041112</t>
  </si>
  <si>
    <t>اختيارخ خودرو-700-1404/12/06</t>
  </si>
  <si>
    <t>اختيارخ وبملت-1900-1404/11/21</t>
  </si>
  <si>
    <t>اختيارخ شپنا-8000-1404/12/19</t>
  </si>
  <si>
    <t>اختيارخ خودرو-650-1404/11/01</t>
  </si>
  <si>
    <t>اختيارخ وبملت-1600-1404/11/21</t>
  </si>
  <si>
    <t>اختيارخ شستا-1610-1404/11/08</t>
  </si>
  <si>
    <t>اختيارخ فولاد-4000-1404/11/08</t>
  </si>
  <si>
    <t>اختيارخ ذوب-500-1404/11/21</t>
  </si>
  <si>
    <t>اختيارخ ذوب-450-1404/11/21</t>
  </si>
  <si>
    <t>اختيارخ خودرو-600-1404/11/01</t>
  </si>
  <si>
    <t>اختيارف شستا-1710-1404/10/10</t>
  </si>
  <si>
    <t>اختيارف شستا-1610-1404/10/10</t>
  </si>
  <si>
    <t>اختيارخ شستا-1810-1404/10/10</t>
  </si>
  <si>
    <t>اختيارخ خودرو-700-1404/11/01</t>
  </si>
  <si>
    <t>اختيارف خودرو-550-1404/11/01</t>
  </si>
  <si>
    <t>اختيارف خودرو-600-1404/11/01</t>
  </si>
  <si>
    <t>اختيارخ خودرو-750-1404/11/01</t>
  </si>
  <si>
    <t>اختيارخ شستا-1310-1404/10/10</t>
  </si>
  <si>
    <t>اختيارخ وبملت-1100-1404/10/17</t>
  </si>
  <si>
    <t>اختيارخ وبملت-1300-1404/10/17</t>
  </si>
  <si>
    <t>اختيارخ خودرو-600-1404/10/03</t>
  </si>
  <si>
    <t>اختيارخ شستا-2400-1405/05/14</t>
  </si>
  <si>
    <t>اختيارخ خودرو-450-1405/06/04</t>
  </si>
  <si>
    <t>اختيارخ وبملت-1254-1405/05/20</t>
  </si>
  <si>
    <t>اختيارخ وبملت-1400-1405/05/20</t>
  </si>
  <si>
    <t>اختيارخ شستا-2200-1405/04/10</t>
  </si>
  <si>
    <t>اختيارخ وبملت-1055-1405/04/24</t>
  </si>
  <si>
    <t>اختيارخ خودرو-450-1405/04/10</t>
  </si>
  <si>
    <t>اختيارخ وبملت-1500-1405/03/20</t>
  </si>
  <si>
    <t>اختيارخ وبملت-1300-1405/03/20</t>
  </si>
  <si>
    <t>اوراق مشتقه</t>
  </si>
  <si>
    <t>1405/02/31</t>
  </si>
  <si>
    <t>1404/11/28</t>
  </si>
  <si>
    <t>1405/04/24</t>
  </si>
  <si>
    <t>1405/05/18</t>
  </si>
  <si>
    <t>1405/03/27</t>
  </si>
  <si>
    <t>1405/04/21</t>
  </si>
  <si>
    <t>1405/04/29</t>
  </si>
  <si>
    <t>1404/10/23</t>
  </si>
  <si>
    <t>1405/05/06</t>
  </si>
  <si>
    <t>1405/04/22</t>
  </si>
  <si>
    <t>1405/04/30</t>
  </si>
  <si>
    <t>1405/04/27</t>
  </si>
  <si>
    <t>1405/05/11</t>
  </si>
  <si>
    <t>1405/05/28</t>
  </si>
  <si>
    <t>1404/12/10</t>
  </si>
  <si>
    <t>1405/04/20</t>
  </si>
  <si>
    <t>1405/04/13</t>
  </si>
  <si>
    <t>خالص درآمد سود سهام</t>
  </si>
  <si>
    <t>جمع درآمد سود سهام</t>
  </si>
  <si>
    <t>سود متعلق به هر سهم</t>
  </si>
  <si>
    <t>تعداد سهام متعلقه در زمان مجمع</t>
  </si>
  <si>
    <t>تاریخ تشکیل مجمع</t>
  </si>
  <si>
    <t>اطلاعات مجمع</t>
  </si>
  <si>
    <t>اختيارخ وبملت--1125-1405/02/30</t>
  </si>
  <si>
    <t>اختيارخ وبملت-914-1405/03/20</t>
  </si>
  <si>
    <t>اختيارخ فزر-90750-14041210</t>
  </si>
  <si>
    <t>مپنا</t>
  </si>
  <si>
    <t>اختيارخ فزر-120750-14041210</t>
  </si>
  <si>
    <t>اختيارخ وبملت-1055-1405/03/20</t>
  </si>
  <si>
    <t>ذوب آهن  اصفهان</t>
  </si>
  <si>
    <t>اختيارخ وبملت--985-1405/02/30</t>
  </si>
  <si>
    <t>اختيارخ شپنا-6719-1405/02/30</t>
  </si>
  <si>
    <t>صندوق بازنشستگي</t>
  </si>
  <si>
    <t>اختيارف وبملت--633-1405/02/30</t>
  </si>
  <si>
    <t>تغییرات طی مرداد ماه</t>
  </si>
  <si>
    <t>خرید طی مرداد ماه</t>
  </si>
  <si>
    <t>فروش طی مرداد ماه</t>
  </si>
  <si>
    <t>نام اختیار</t>
  </si>
  <si>
    <t>-</t>
  </si>
  <si>
    <t>2-1- درآمد حاصل از سرمایه­گذاری در سهام و حق تقدم سهام:</t>
  </si>
  <si>
    <t>طی مرداد ماه</t>
  </si>
  <si>
    <t>از ابتدای سال مالی تا پایان مرداد ماه</t>
  </si>
  <si>
    <t>صورت وضعیت درآمدها</t>
  </si>
  <si>
    <t>2-3- درآمد حاصل از سرمایه­گذاری در اوراق مشتقه:</t>
  </si>
  <si>
    <t>2-4- سایر درآمدها:</t>
  </si>
  <si>
    <t>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</si>
</sst>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[Red]\(#,##0\);0"/>
    <numFmt numFmtId="165" formatCode="0.00%;[Red]\(0.00%\);0%"/>
    <numFmt numFmtId="167" formatCode="_ * #,##0_-_ ;_ * #,##0\-_ ;_ * &quot;-&quot;??_-_ ;_ @_ "/>
  </numFmts>
  <fonts count="17">
    <font>
      <sz val="11"/>
      <color theme="1"/>
      <name val="Arial"/>
      <family val="2"/>
      <charset val="178"/>
      <scheme val="minor"/>
    </font>
    <font>
      <sz val="11"/>
      <color theme="1"/>
      <name val="B Zar"/>
      <charset val="178"/>
    </font>
    <font>
      <b/>
      <sz val="11"/>
      <color theme="1"/>
      <name val="B Zar"/>
      <charset val="178"/>
    </font>
    <font>
      <b/>
      <sz val="12"/>
      <color theme="1"/>
      <name val="B Zar"/>
      <charset val="178"/>
    </font>
    <font>
      <b/>
      <sz val="10"/>
      <color rgb="FF000000"/>
      <name val="B Zar"/>
      <charset val="178"/>
    </font>
    <font>
      <sz val="11"/>
      <color indexed="8"/>
      <name val="Arial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  <font>
      <b/>
      <sz val="10"/>
      <color theme="1"/>
      <name val="B Zar"/>
      <charset val="178"/>
    </font>
    <font>
      <b/>
      <sz val="12"/>
      <color rgb="FF0062AC"/>
      <name val="B Zar"/>
      <charset val="178"/>
    </font>
    <font>
      <sz val="10"/>
      <color indexed="8"/>
      <name val="B Zar"/>
      <charset val="178"/>
    </font>
    <font>
      <sz val="10"/>
      <color theme="1"/>
      <name val="B Zar"/>
      <charset val="178"/>
    </font>
    <font>
      <b/>
      <sz val="11"/>
      <color rgb="FF0062AC"/>
      <name val="B Zar"/>
      <charset val="178"/>
    </font>
    <font>
      <sz val="11"/>
      <color theme="1"/>
      <name val="Arial"/>
      <family val="2"/>
      <charset val="178"/>
      <scheme val="minor"/>
    </font>
    <font>
      <sz val="7"/>
      <color rgb="FF000000"/>
      <name val="Yekan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43" fontId="15" fillId="0" borderId="0" applyFont="0" applyFill="0" applyBorder="0" applyAlignment="0" applyProtection="0"/>
  </cellStyleXfs>
  <cellXfs count="7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2"/>
    </xf>
    <xf numFmtId="0" fontId="7" fillId="0" borderId="0" xfId="2" applyFont="1"/>
    <xf numFmtId="164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readingOrder="2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 readingOrder="2"/>
    </xf>
    <xf numFmtId="0" fontId="10" fillId="0" borderId="1" xfId="0" applyFont="1" applyBorder="1" applyAlignment="1">
      <alignment horizontal="center" vertical="center" wrapText="1" readingOrder="2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 wrapText="1" readingOrder="2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 wrapText="1" readingOrder="2"/>
    </xf>
    <xf numFmtId="0" fontId="4" fillId="0" borderId="0" xfId="0" applyFont="1" applyBorder="1" applyAlignment="1">
      <alignment horizontal="center" vertical="center" wrapText="1" readingOrder="2"/>
    </xf>
    <xf numFmtId="0" fontId="4" fillId="0" borderId="0" xfId="0" applyFont="1" applyBorder="1" applyAlignment="1">
      <alignment horizontal="right" vertical="center" wrapText="1" readingOrder="2"/>
    </xf>
    <xf numFmtId="0" fontId="11" fillId="0" borderId="0" xfId="0" applyFont="1" applyAlignment="1">
      <alignment vertical="center" readingOrder="2"/>
    </xf>
    <xf numFmtId="0" fontId="2" fillId="0" borderId="0" xfId="0" applyFont="1" applyAlignment="1">
      <alignment horizontal="right" vertical="center" readingOrder="2"/>
    </xf>
    <xf numFmtId="49" fontId="1" fillId="0" borderId="0" xfId="0" applyNumberFormat="1" applyFont="1" applyAlignment="1">
      <alignment horizontal="center" vertical="center" readingOrder="2"/>
    </xf>
    <xf numFmtId="0" fontId="1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 readingOrder="2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2" applyFont="1" applyAlignment="1">
      <alignment horizontal="center" vertical="center" wrapText="1" readingOrder="2"/>
    </xf>
    <xf numFmtId="0" fontId="8" fillId="2" borderId="0" xfId="2" applyFont="1" applyFill="1" applyAlignment="1">
      <alignment horizontal="center" vertical="center" wrapText="1" readingOrder="2"/>
    </xf>
    <xf numFmtId="0" fontId="10" fillId="0" borderId="1" xfId="0" applyFont="1" applyBorder="1" applyAlignment="1">
      <alignment horizontal="center" vertical="center" wrapText="1" readingOrder="2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 readingOrder="2"/>
    </xf>
    <xf numFmtId="0" fontId="10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readingOrder="2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2"/>
    </xf>
    <xf numFmtId="0" fontId="4" fillId="0" borderId="2" xfId="0" applyFont="1" applyBorder="1" applyAlignment="1">
      <alignment horizontal="center" vertical="center" wrapText="1" readingOrder="2"/>
    </xf>
    <xf numFmtId="0" fontId="10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7" fontId="6" fillId="0" borderId="0" xfId="2" applyNumberFormat="1" applyFont="1" applyAlignment="1">
      <alignment horizontal="center" vertical="center"/>
    </xf>
    <xf numFmtId="0" fontId="7" fillId="0" borderId="0" xfId="2" applyFont="1"/>
    <xf numFmtId="0" fontId="13" fillId="0" borderId="2" xfId="0" applyFont="1" applyBorder="1" applyAlignment="1">
      <alignment horizontal="center" vertical="center" wrapText="1" readingOrder="2"/>
    </xf>
    <xf numFmtId="0" fontId="13" fillId="0" borderId="2" xfId="0" applyFont="1" applyBorder="1" applyAlignment="1">
      <alignment horizontal="center" vertical="center" readingOrder="2"/>
    </xf>
    <xf numFmtId="0" fontId="13" fillId="0" borderId="1" xfId="0" applyFont="1" applyBorder="1" applyAlignment="1">
      <alignment vertical="center"/>
    </xf>
    <xf numFmtId="3" fontId="16" fillId="0" borderId="0" xfId="0" applyNumberFormat="1" applyFont="1"/>
    <xf numFmtId="3" fontId="13" fillId="0" borderId="0" xfId="0" applyNumberFormat="1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horizontal="center" vertical="center" readingOrder="2"/>
    </xf>
    <xf numFmtId="0" fontId="10" fillId="0" borderId="3" xfId="0" applyFont="1" applyBorder="1" applyAlignment="1">
      <alignment horizontal="center" vertical="center"/>
    </xf>
    <xf numFmtId="0" fontId="13" fillId="0" borderId="0" xfId="0" applyFont="1" applyAlignment="1">
      <alignment vertical="center" wrapText="1" readingOrder="2"/>
    </xf>
    <xf numFmtId="0" fontId="13" fillId="0" borderId="2" xfId="0" applyFont="1" applyBorder="1" applyAlignment="1">
      <alignment horizontal="center" vertical="center"/>
    </xf>
    <xf numFmtId="167" fontId="4" fillId="0" borderId="2" xfId="3" applyNumberFormat="1" applyFont="1" applyBorder="1" applyAlignment="1">
      <alignment horizontal="center" vertical="center" wrapText="1" readingOrder="2"/>
    </xf>
    <xf numFmtId="167" fontId="1" fillId="0" borderId="0" xfId="3" applyNumberFormat="1" applyFont="1" applyAlignment="1">
      <alignment vertical="center"/>
    </xf>
    <xf numFmtId="167" fontId="4" fillId="0" borderId="1" xfId="3" applyNumberFormat="1" applyFont="1" applyBorder="1" applyAlignment="1">
      <alignment horizontal="center" vertical="center" wrapText="1" readingOrder="2"/>
    </xf>
    <xf numFmtId="3" fontId="1" fillId="0" borderId="0" xfId="0" applyNumberFormat="1" applyFont="1" applyAlignment="1">
      <alignment vertical="center"/>
    </xf>
    <xf numFmtId="0" fontId="14" fillId="0" borderId="0" xfId="0" applyFont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 xr:uid="{66B11788-50ED-4DBA-A665-228D5AC427C9}"/>
    <cellStyle name="Normal 4" xfId="1" xr:uid="{38435D7F-1221-4B5B-9770-59D784138E27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324760</xdr:colOff>
      <xdr:row>6</xdr:row>
      <xdr:rowOff>76200</xdr:rowOff>
    </xdr:from>
    <xdr:ext cx="1993056" cy="1755775"/>
    <xdr:pic>
      <xdr:nvPicPr>
        <xdr:cNvPr id="2" name="Picture 1">
          <a:extLst>
            <a:ext uri="{FF2B5EF4-FFF2-40B4-BE49-F238E27FC236}">
              <a16:creationId xmlns:a16="http://schemas.microsoft.com/office/drawing/2014/main" id="{336C773F-CC17-4004-820D-764607DF9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7032584" y="1493520"/>
          <a:ext cx="1993056" cy="17557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1013460" cy="892804"/>
    <xdr:pic>
      <xdr:nvPicPr>
        <xdr:cNvPr id="2" name="Picture 1">
          <a:extLst>
            <a:ext uri="{FF2B5EF4-FFF2-40B4-BE49-F238E27FC236}">
              <a16:creationId xmlns:a16="http://schemas.microsoft.com/office/drawing/2014/main" id="{1D8E81DB-8DCF-4DBC-ABAD-C1BC2E05E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6593980" y="1"/>
          <a:ext cx="1013460" cy="89280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3460" cy="892804"/>
    <xdr:pic>
      <xdr:nvPicPr>
        <xdr:cNvPr id="2" name="Picture 1">
          <a:extLst>
            <a:ext uri="{FF2B5EF4-FFF2-40B4-BE49-F238E27FC236}">
              <a16:creationId xmlns:a16="http://schemas.microsoft.com/office/drawing/2014/main" id="{226A3450-2231-4CED-9B25-401DBA22A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57560" y="0"/>
          <a:ext cx="1013460" cy="89280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3460" cy="892804"/>
    <xdr:pic>
      <xdr:nvPicPr>
        <xdr:cNvPr id="2" name="Picture 1">
          <a:extLst>
            <a:ext uri="{FF2B5EF4-FFF2-40B4-BE49-F238E27FC236}">
              <a16:creationId xmlns:a16="http://schemas.microsoft.com/office/drawing/2014/main" id="{CD70EF08-9BA5-4C22-9A67-D7885A0D3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584080" y="0"/>
          <a:ext cx="1013460" cy="89280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3460" cy="892804"/>
    <xdr:pic>
      <xdr:nvPicPr>
        <xdr:cNvPr id="2" name="Picture 1">
          <a:extLst>
            <a:ext uri="{FF2B5EF4-FFF2-40B4-BE49-F238E27FC236}">
              <a16:creationId xmlns:a16="http://schemas.microsoft.com/office/drawing/2014/main" id="{5ED250FB-B8D7-4798-9594-6FC38EB93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0554600" y="0"/>
          <a:ext cx="1013460" cy="89280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3460" cy="892804"/>
    <xdr:pic>
      <xdr:nvPicPr>
        <xdr:cNvPr id="2" name="Picture 1">
          <a:extLst>
            <a:ext uri="{FF2B5EF4-FFF2-40B4-BE49-F238E27FC236}">
              <a16:creationId xmlns:a16="http://schemas.microsoft.com/office/drawing/2014/main" id="{E47E5685-48FB-48D0-A000-2E648C172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6677800" y="0"/>
          <a:ext cx="1013460" cy="892804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3460" cy="892804"/>
    <xdr:pic>
      <xdr:nvPicPr>
        <xdr:cNvPr id="2" name="Picture 1">
          <a:extLst>
            <a:ext uri="{FF2B5EF4-FFF2-40B4-BE49-F238E27FC236}">
              <a16:creationId xmlns:a16="http://schemas.microsoft.com/office/drawing/2014/main" id="{32B161B3-E8F3-4975-A625-56F751BF8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698380" y="0"/>
          <a:ext cx="1013460" cy="892804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3460" cy="892804"/>
    <xdr:pic>
      <xdr:nvPicPr>
        <xdr:cNvPr id="2" name="Picture 1">
          <a:extLst>
            <a:ext uri="{FF2B5EF4-FFF2-40B4-BE49-F238E27FC236}">
              <a16:creationId xmlns:a16="http://schemas.microsoft.com/office/drawing/2014/main" id="{27FF5EEA-FD33-4A4A-B567-6899E868B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0585080" y="0"/>
          <a:ext cx="1013460" cy="892804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3460" cy="892804"/>
    <xdr:pic>
      <xdr:nvPicPr>
        <xdr:cNvPr id="2" name="Picture 1">
          <a:extLst>
            <a:ext uri="{FF2B5EF4-FFF2-40B4-BE49-F238E27FC236}">
              <a16:creationId xmlns:a16="http://schemas.microsoft.com/office/drawing/2014/main" id="{63070271-AFC5-4300-A037-067D5215A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0638420" y="0"/>
          <a:ext cx="1013460" cy="892804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3460" cy="892804"/>
    <xdr:pic>
      <xdr:nvPicPr>
        <xdr:cNvPr id="2" name="Picture 1">
          <a:extLst>
            <a:ext uri="{FF2B5EF4-FFF2-40B4-BE49-F238E27FC236}">
              <a16:creationId xmlns:a16="http://schemas.microsoft.com/office/drawing/2014/main" id="{FA34BB1A-EA48-468B-8876-A3FF852B5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759840" y="0"/>
          <a:ext cx="1013460" cy="892804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16878" cy="807720"/>
    <xdr:pic>
      <xdr:nvPicPr>
        <xdr:cNvPr id="2" name="Picture 1">
          <a:extLst>
            <a:ext uri="{FF2B5EF4-FFF2-40B4-BE49-F238E27FC236}">
              <a16:creationId xmlns:a16="http://schemas.microsoft.com/office/drawing/2014/main" id="{5FF2DD73-1FD9-4AED-9F0B-07404138B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573202" y="0"/>
          <a:ext cx="916878" cy="80772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82980" cy="865952"/>
    <xdr:pic>
      <xdr:nvPicPr>
        <xdr:cNvPr id="2" name="Picture 1">
          <a:extLst>
            <a:ext uri="{FF2B5EF4-FFF2-40B4-BE49-F238E27FC236}">
              <a16:creationId xmlns:a16="http://schemas.microsoft.com/office/drawing/2014/main" id="{B8F0A441-89DC-4F4E-A228-6535926EE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3236840" y="0"/>
          <a:ext cx="982980" cy="865952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3376" cy="883920"/>
    <xdr:pic>
      <xdr:nvPicPr>
        <xdr:cNvPr id="2" name="Picture 1">
          <a:extLst>
            <a:ext uri="{FF2B5EF4-FFF2-40B4-BE49-F238E27FC236}">
              <a16:creationId xmlns:a16="http://schemas.microsoft.com/office/drawing/2014/main" id="{373AFD38-5A96-4685-9B73-05742B8F4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3178344" y="0"/>
          <a:ext cx="1003376" cy="8839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BE77-D715-4669-9B65-F4CD0EEBA377}">
  <sheetPr>
    <pageSetUpPr fitToPage="1"/>
  </sheetPr>
  <dimension ref="A18:J25"/>
  <sheetViews>
    <sheetView rightToLeft="1" tabSelected="1" view="pageBreakPreview" zoomScale="55" zoomScaleNormal="100" zoomScaleSheetLayoutView="55" workbookViewId="0">
      <selection activeCell="A21" sqref="A21"/>
    </sheetView>
  </sheetViews>
  <sheetFormatPr defaultColWidth="8.8984375" defaultRowHeight="18.600000000000001"/>
  <cols>
    <col min="1" max="4" width="8.8984375" style="5"/>
    <col min="5" max="5" width="10" style="5" customWidth="1"/>
    <col min="6" max="16384" width="8.8984375" style="5"/>
  </cols>
  <sheetData>
    <row r="18" spans="1:10" ht="40.200000000000003" customHeight="1">
      <c r="A18" s="54" t="s">
        <v>49</v>
      </c>
      <c r="B18" s="55"/>
      <c r="C18" s="55"/>
      <c r="D18" s="55"/>
      <c r="E18" s="55"/>
      <c r="F18" s="55"/>
      <c r="G18" s="55"/>
      <c r="H18" s="55"/>
      <c r="I18" s="55"/>
      <c r="J18" s="55"/>
    </row>
    <row r="19" spans="1:10" ht="40.200000000000003" customHeight="1">
      <c r="A19" s="54" t="s">
        <v>32</v>
      </c>
      <c r="B19" s="55"/>
      <c r="C19" s="55"/>
      <c r="D19" s="55"/>
      <c r="E19" s="55"/>
      <c r="F19" s="55"/>
      <c r="G19" s="55"/>
      <c r="H19" s="55"/>
      <c r="I19" s="55"/>
      <c r="J19" s="55"/>
    </row>
    <row r="20" spans="1:10" ht="40.200000000000003" customHeight="1">
      <c r="A20" s="54" t="s">
        <v>50</v>
      </c>
      <c r="B20" s="55"/>
      <c r="C20" s="55"/>
      <c r="D20" s="55"/>
      <c r="E20" s="55"/>
      <c r="F20" s="55"/>
      <c r="G20" s="55"/>
      <c r="H20" s="55"/>
      <c r="I20" s="55"/>
      <c r="J20" s="55"/>
    </row>
    <row r="24" spans="1:10" ht="43.5" customHeight="1">
      <c r="B24" s="36" t="s">
        <v>37</v>
      </c>
      <c r="C24" s="36"/>
      <c r="D24" s="36" t="s">
        <v>1</v>
      </c>
      <c r="E24" s="36"/>
      <c r="F24" s="36" t="s">
        <v>38</v>
      </c>
      <c r="G24" s="36"/>
      <c r="H24" s="36" t="s">
        <v>39</v>
      </c>
      <c r="I24" s="36"/>
    </row>
    <row r="25" spans="1:10" ht="39.75" customHeight="1">
      <c r="B25" s="35" t="s">
        <v>30</v>
      </c>
      <c r="C25" s="35"/>
      <c r="D25" s="35" t="s">
        <v>40</v>
      </c>
      <c r="E25" s="35"/>
      <c r="F25" s="35" t="s">
        <v>41</v>
      </c>
      <c r="G25" s="35"/>
      <c r="H25" s="35"/>
      <c r="I25" s="35"/>
    </row>
  </sheetData>
  <mergeCells count="11">
    <mergeCell ref="B25:C25"/>
    <mergeCell ref="D25:E25"/>
    <mergeCell ref="F25:G25"/>
    <mergeCell ref="H25:I25"/>
    <mergeCell ref="A18:J18"/>
    <mergeCell ref="A19:J19"/>
    <mergeCell ref="A20:J20"/>
    <mergeCell ref="B24:C24"/>
    <mergeCell ref="D24:E24"/>
    <mergeCell ref="F24:G24"/>
    <mergeCell ref="H24:I24"/>
  </mergeCells>
  <pageMargins left="0.7" right="0.7" top="0.75" bottom="0.75" header="0.3" footer="0.3"/>
  <pageSetup paperSize="9" scale="8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8154-44A2-4580-8C31-26072B42D5DA}">
  <dimension ref="A1:N57"/>
  <sheetViews>
    <sheetView rightToLeft="1" view="pageBreakPreview" zoomScaleNormal="100" zoomScaleSheetLayoutView="100" workbookViewId="0">
      <selection sqref="A1:N1"/>
    </sheetView>
  </sheetViews>
  <sheetFormatPr defaultColWidth="9.09765625" defaultRowHeight="18"/>
  <cols>
    <col min="1" max="1" width="26.19921875" style="12" customWidth="1"/>
    <col min="2" max="2" width="13.59765625" style="12" customWidth="1"/>
    <col min="3" max="4" width="18.09765625" style="12" customWidth="1"/>
    <col min="5" max="6" width="12" style="12" customWidth="1"/>
    <col min="7" max="7" width="14.69921875" style="12" customWidth="1"/>
    <col min="8" max="8" width="12" style="12" customWidth="1"/>
    <col min="9" max="9" width="14.69921875" style="12" customWidth="1"/>
    <col min="10" max="10" width="13.59765625" style="12" customWidth="1"/>
    <col min="11" max="11" width="12.19921875" style="12" customWidth="1"/>
    <col min="12" max="13" width="18.09765625" style="12" customWidth="1"/>
    <col min="14" max="14" width="10.796875" style="12" customWidth="1"/>
    <col min="15" max="16384" width="9.09765625" style="12"/>
  </cols>
  <sheetData>
    <row r="1" spans="1:14" ht="20.399999999999999">
      <c r="A1" s="41" t="s">
        <v>99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20.399999999999999">
      <c r="A2" s="41" t="s">
        <v>25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0.399999999999999">
      <c r="A3" s="41" t="s">
        <v>98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</row>
    <row r="4" spans="1:14" ht="20.39999999999999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0.399999999999999">
      <c r="A5" s="42" t="s">
        <v>97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</row>
    <row r="6" spans="1:14" ht="20.399999999999999">
      <c r="A6" s="42" t="s">
        <v>96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</row>
    <row r="8" spans="1:14" ht="18.75" customHeight="1" thickBot="1">
      <c r="A8" s="15"/>
      <c r="B8" s="37" t="s">
        <v>34</v>
      </c>
      <c r="C8" s="37"/>
      <c r="D8" s="37"/>
      <c r="E8" s="43" t="s">
        <v>245</v>
      </c>
      <c r="F8" s="43"/>
      <c r="G8" s="43"/>
      <c r="H8" s="43"/>
      <c r="I8" s="43"/>
      <c r="J8" s="37" t="s">
        <v>95</v>
      </c>
      <c r="K8" s="37"/>
      <c r="L8" s="37"/>
      <c r="M8" s="37"/>
      <c r="N8" s="37"/>
    </row>
    <row r="9" spans="1:14" ht="17.25" customHeight="1">
      <c r="A9" s="44" t="s">
        <v>1</v>
      </c>
      <c r="B9" s="46" t="s">
        <v>3</v>
      </c>
      <c r="C9" s="46" t="s">
        <v>0</v>
      </c>
      <c r="D9" s="56" t="s">
        <v>9</v>
      </c>
      <c r="E9" s="48" t="s">
        <v>246</v>
      </c>
      <c r="F9" s="48"/>
      <c r="G9" s="48"/>
      <c r="H9" s="48" t="s">
        <v>247</v>
      </c>
      <c r="I9" s="48"/>
      <c r="J9" s="57" t="s">
        <v>3</v>
      </c>
      <c r="K9" s="56" t="s">
        <v>94</v>
      </c>
      <c r="L9" s="57" t="s">
        <v>0</v>
      </c>
      <c r="M9" s="56" t="s">
        <v>9</v>
      </c>
      <c r="N9" s="56" t="s">
        <v>93</v>
      </c>
    </row>
    <row r="10" spans="1:14" ht="20.25" customHeight="1" thickBot="1">
      <c r="A10" s="45"/>
      <c r="B10" s="47"/>
      <c r="C10" s="47"/>
      <c r="D10" s="45"/>
      <c r="E10" s="10" t="s">
        <v>92</v>
      </c>
      <c r="F10" s="11" t="s">
        <v>3</v>
      </c>
      <c r="G10" s="11" t="s">
        <v>0</v>
      </c>
      <c r="H10" s="11" t="s">
        <v>3</v>
      </c>
      <c r="I10" s="11" t="s">
        <v>24</v>
      </c>
      <c r="J10" s="47"/>
      <c r="K10" s="45"/>
      <c r="L10" s="47"/>
      <c r="M10" s="45"/>
      <c r="N10" s="45"/>
    </row>
    <row r="11" spans="1:14">
      <c r="A11" s="6" t="s">
        <v>91</v>
      </c>
      <c r="B11" s="14">
        <v>2600000</v>
      </c>
      <c r="C11" s="14">
        <v>20490451307</v>
      </c>
      <c r="D11" s="14">
        <v>29772069080</v>
      </c>
      <c r="E11" s="14">
        <v>0</v>
      </c>
      <c r="F11" s="14">
        <v>500000</v>
      </c>
      <c r="G11" s="14">
        <v>7394646975</v>
      </c>
      <c r="H11" s="14">
        <v>0</v>
      </c>
      <c r="I11" s="14">
        <v>0</v>
      </c>
      <c r="J11" s="14">
        <v>3100000</v>
      </c>
      <c r="K11" s="14">
        <v>14690</v>
      </c>
      <c r="L11" s="14">
        <v>27885098277</v>
      </c>
      <c r="M11" s="14">
        <v>45186983530</v>
      </c>
      <c r="N11" s="7">
        <v>2.1248581280452587E-2</v>
      </c>
    </row>
    <row r="12" spans="1:14">
      <c r="A12" s="6" t="s">
        <v>90</v>
      </c>
      <c r="B12" s="14">
        <v>0</v>
      </c>
      <c r="C12" s="14">
        <v>0</v>
      </c>
      <c r="D12" s="14">
        <v>0</v>
      </c>
      <c r="E12" s="14">
        <v>0</v>
      </c>
      <c r="F12" s="14">
        <v>10666000</v>
      </c>
      <c r="G12" s="14">
        <v>36681109098</v>
      </c>
      <c r="H12" s="14">
        <v>0</v>
      </c>
      <c r="I12" s="14">
        <v>0</v>
      </c>
      <c r="J12" s="14">
        <v>10666000</v>
      </c>
      <c r="K12" s="14">
        <v>4170</v>
      </c>
      <c r="L12" s="14">
        <v>36681109090</v>
      </c>
      <c r="M12" s="14">
        <v>44133411089</v>
      </c>
      <c r="N12" s="7">
        <v>2.0753152776521351E-2</v>
      </c>
    </row>
    <row r="13" spans="1:14">
      <c r="A13" s="6" t="s">
        <v>89</v>
      </c>
      <c r="B13" s="14">
        <v>12122188</v>
      </c>
      <c r="C13" s="14">
        <v>14099676972</v>
      </c>
      <c r="D13" s="14">
        <v>33499326511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12122188</v>
      </c>
      <c r="K13" s="14">
        <v>3390</v>
      </c>
      <c r="L13" s="14">
        <v>14099676972</v>
      </c>
      <c r="M13" s="14">
        <v>40776559020</v>
      </c>
      <c r="N13" s="7">
        <v>1.9174637494852983E-2</v>
      </c>
    </row>
    <row r="14" spans="1:14">
      <c r="A14" s="6" t="s">
        <v>88</v>
      </c>
      <c r="B14" s="14">
        <v>33438000</v>
      </c>
      <c r="C14" s="14">
        <v>11116605387</v>
      </c>
      <c r="D14" s="14">
        <v>16722480227</v>
      </c>
      <c r="E14" s="14">
        <v>0</v>
      </c>
      <c r="F14" s="14">
        <v>0</v>
      </c>
      <c r="G14" s="14">
        <v>0</v>
      </c>
      <c r="H14" s="14">
        <v>274000</v>
      </c>
      <c r="I14" s="14">
        <v>151528850</v>
      </c>
      <c r="J14" s="14">
        <v>33164000</v>
      </c>
      <c r="K14" s="14">
        <v>647</v>
      </c>
      <c r="L14" s="14">
        <v>11025512921</v>
      </c>
      <c r="M14" s="14">
        <v>21291244555</v>
      </c>
      <c r="N14" s="7">
        <v>1.0011926115593739E-2</v>
      </c>
    </row>
    <row r="15" spans="1:14">
      <c r="A15" s="6" t="s">
        <v>87</v>
      </c>
      <c r="B15" s="14">
        <v>14000000</v>
      </c>
      <c r="C15" s="14">
        <v>43772900967</v>
      </c>
      <c r="D15" s="14">
        <v>41314153720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14000000</v>
      </c>
      <c r="K15" s="14">
        <v>4750</v>
      </c>
      <c r="L15" s="14">
        <v>43772900967</v>
      </c>
      <c r="M15" s="14">
        <v>65985955000</v>
      </c>
      <c r="N15" s="7">
        <v>3.1029022489516615E-2</v>
      </c>
    </row>
    <row r="16" spans="1:14">
      <c r="A16" s="6" t="s">
        <v>86</v>
      </c>
      <c r="B16" s="14">
        <v>0</v>
      </c>
      <c r="C16" s="14">
        <v>0</v>
      </c>
      <c r="D16" s="14">
        <v>0</v>
      </c>
      <c r="E16" s="14">
        <v>0</v>
      </c>
      <c r="F16" s="14">
        <v>3000000</v>
      </c>
      <c r="G16" s="14">
        <v>2045434555</v>
      </c>
      <c r="H16" s="14">
        <v>3000000</v>
      </c>
      <c r="I16" s="14">
        <v>2113535106</v>
      </c>
      <c r="J16" s="14">
        <v>0</v>
      </c>
      <c r="K16" s="14">
        <v>0</v>
      </c>
      <c r="L16" s="14">
        <v>0</v>
      </c>
      <c r="M16" s="14">
        <v>0</v>
      </c>
      <c r="N16" s="7">
        <v>0</v>
      </c>
    </row>
    <row r="17" spans="1:14">
      <c r="A17" s="6" t="s">
        <v>85</v>
      </c>
      <c r="B17" s="14">
        <v>128971560</v>
      </c>
      <c r="C17" s="14">
        <v>127179548237</v>
      </c>
      <c r="D17" s="14">
        <v>143075613802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128971560</v>
      </c>
      <c r="K17" s="14">
        <v>1369</v>
      </c>
      <c r="L17" s="14">
        <v>127179548237</v>
      </c>
      <c r="M17" s="14">
        <v>175197240873</v>
      </c>
      <c r="N17" s="7">
        <v>8.2384185045887057E-2</v>
      </c>
    </row>
    <row r="18" spans="1:14">
      <c r="A18" s="6" t="s">
        <v>84</v>
      </c>
      <c r="B18" s="14">
        <v>7493258</v>
      </c>
      <c r="C18" s="14">
        <v>13680198292</v>
      </c>
      <c r="D18" s="14">
        <v>14766575540</v>
      </c>
      <c r="E18" s="14">
        <v>0</v>
      </c>
      <c r="F18" s="14">
        <v>0</v>
      </c>
      <c r="G18" s="14">
        <v>0</v>
      </c>
      <c r="H18" s="14">
        <v>5850000</v>
      </c>
      <c r="I18" s="14">
        <v>11195822656</v>
      </c>
      <c r="J18" s="14">
        <v>1643258</v>
      </c>
      <c r="K18" s="14">
        <v>2848</v>
      </c>
      <c r="L18" s="14">
        <v>3000042877</v>
      </c>
      <c r="M18" s="14">
        <v>4643822393</v>
      </c>
      <c r="N18" s="7">
        <v>2.1836960527390693E-3</v>
      </c>
    </row>
    <row r="19" spans="1:14">
      <c r="A19" s="6" t="s">
        <v>83</v>
      </c>
      <c r="B19" s="14">
        <v>0</v>
      </c>
      <c r="C19" s="14">
        <v>0</v>
      </c>
      <c r="D19" s="14">
        <v>0</v>
      </c>
      <c r="E19" s="14">
        <v>0</v>
      </c>
      <c r="F19" s="14">
        <v>1400000</v>
      </c>
      <c r="G19" s="14">
        <v>26486336312</v>
      </c>
      <c r="H19" s="14">
        <v>0</v>
      </c>
      <c r="I19" s="14">
        <v>0</v>
      </c>
      <c r="J19" s="14">
        <v>1400000</v>
      </c>
      <c r="K19" s="14">
        <v>26190</v>
      </c>
      <c r="L19" s="14">
        <v>26486336290</v>
      </c>
      <c r="M19" s="14">
        <v>36382571820</v>
      </c>
      <c r="N19" s="7">
        <v>1.7108423136851372E-2</v>
      </c>
    </row>
    <row r="20" spans="1:14">
      <c r="A20" s="6" t="s">
        <v>82</v>
      </c>
      <c r="B20" s="14">
        <v>200000</v>
      </c>
      <c r="C20" s="14">
        <v>3135267771</v>
      </c>
      <c r="D20" s="14">
        <v>2972840920</v>
      </c>
      <c r="E20" s="14">
        <v>0</v>
      </c>
      <c r="F20" s="14">
        <v>0</v>
      </c>
      <c r="G20" s="14">
        <v>0</v>
      </c>
      <c r="H20" s="14">
        <v>200000</v>
      </c>
      <c r="I20" s="14">
        <v>2885521186</v>
      </c>
      <c r="J20" s="14">
        <v>0</v>
      </c>
      <c r="K20" s="14">
        <v>0</v>
      </c>
      <c r="L20" s="14">
        <v>0</v>
      </c>
      <c r="M20" s="14">
        <v>0</v>
      </c>
      <c r="N20" s="7">
        <v>0</v>
      </c>
    </row>
    <row r="21" spans="1:14">
      <c r="A21" s="6" t="s">
        <v>81</v>
      </c>
      <c r="B21" s="14">
        <v>0</v>
      </c>
      <c r="C21" s="14">
        <v>0</v>
      </c>
      <c r="D21" s="14">
        <v>0</v>
      </c>
      <c r="E21" s="14">
        <v>0</v>
      </c>
      <c r="F21" s="14">
        <v>2000000</v>
      </c>
      <c r="G21" s="14">
        <v>38548312855</v>
      </c>
      <c r="H21" s="14">
        <v>0</v>
      </c>
      <c r="I21" s="14">
        <v>0</v>
      </c>
      <c r="J21" s="14">
        <v>2000000</v>
      </c>
      <c r="K21" s="14">
        <v>20530</v>
      </c>
      <c r="L21" s="14">
        <v>38548312855</v>
      </c>
      <c r="M21" s="14">
        <v>40742606200</v>
      </c>
      <c r="N21" s="7">
        <v>1.9158671630369207E-2</v>
      </c>
    </row>
    <row r="22" spans="1:14">
      <c r="A22" s="6" t="s">
        <v>80</v>
      </c>
      <c r="B22" s="14">
        <v>435000</v>
      </c>
      <c r="C22" s="14">
        <v>7632716416</v>
      </c>
      <c r="D22" s="14">
        <v>8887415095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435000</v>
      </c>
      <c r="K22" s="14">
        <v>26400</v>
      </c>
      <c r="L22" s="14">
        <v>7632716416</v>
      </c>
      <c r="M22" s="14">
        <v>11395228680</v>
      </c>
      <c r="N22" s="7">
        <v>5.3584555529264484E-3</v>
      </c>
    </row>
    <row r="23" spans="1:14">
      <c r="A23" s="6" t="s">
        <v>79</v>
      </c>
      <c r="B23" s="14">
        <v>20731000</v>
      </c>
      <c r="C23" s="14">
        <v>37202298955</v>
      </c>
      <c r="D23" s="14">
        <v>44803092128</v>
      </c>
      <c r="E23" s="14">
        <v>0</v>
      </c>
      <c r="F23" s="14">
        <v>21022000</v>
      </c>
      <c r="G23" s="14">
        <v>51736088132</v>
      </c>
      <c r="H23" s="14">
        <v>20731000</v>
      </c>
      <c r="I23" s="14">
        <v>45082532069</v>
      </c>
      <c r="J23" s="14">
        <v>21022000</v>
      </c>
      <c r="K23" s="14">
        <v>2883</v>
      </c>
      <c r="L23" s="14">
        <v>51736088132</v>
      </c>
      <c r="M23" s="14">
        <v>60137938327</v>
      </c>
      <c r="N23" s="7">
        <v>2.8279070005452617E-2</v>
      </c>
    </row>
    <row r="24" spans="1:14">
      <c r="A24" s="6" t="s">
        <v>78</v>
      </c>
      <c r="B24" s="14">
        <v>350000</v>
      </c>
      <c r="C24" s="14">
        <v>8636181592</v>
      </c>
      <c r="D24" s="14">
        <v>24081400630</v>
      </c>
      <c r="E24" s="14">
        <v>668181</v>
      </c>
      <c r="F24" s="14">
        <v>0</v>
      </c>
      <c r="G24" s="14">
        <v>0</v>
      </c>
      <c r="H24" s="14">
        <v>0</v>
      </c>
      <c r="I24" s="14">
        <v>0</v>
      </c>
      <c r="J24" s="14">
        <v>1018181</v>
      </c>
      <c r="K24" s="14">
        <v>29760</v>
      </c>
      <c r="L24" s="14">
        <v>8636181592</v>
      </c>
      <c r="M24" s="14">
        <v>30066839315</v>
      </c>
      <c r="N24" s="7">
        <v>1.4138533469642401E-2</v>
      </c>
    </row>
    <row r="25" spans="1:14">
      <c r="A25" s="6" t="s">
        <v>77</v>
      </c>
      <c r="B25" s="14">
        <v>5433333</v>
      </c>
      <c r="C25" s="14">
        <v>56906806111</v>
      </c>
      <c r="D25" s="14">
        <v>88417866709</v>
      </c>
      <c r="E25" s="14">
        <v>0</v>
      </c>
      <c r="F25" s="14">
        <v>0</v>
      </c>
      <c r="G25" s="14">
        <v>0</v>
      </c>
      <c r="H25" s="14">
        <v>490000</v>
      </c>
      <c r="I25" s="14">
        <v>7912162552</v>
      </c>
      <c r="J25" s="14">
        <v>4943333</v>
      </c>
      <c r="K25" s="14">
        <v>20900</v>
      </c>
      <c r="L25" s="14">
        <v>51774719601</v>
      </c>
      <c r="M25" s="14">
        <v>102517029651</v>
      </c>
      <c r="N25" s="7">
        <v>4.8207277118279497E-2</v>
      </c>
    </row>
    <row r="26" spans="1:14">
      <c r="A26" s="6" t="s">
        <v>76</v>
      </c>
      <c r="B26" s="14">
        <v>6750000</v>
      </c>
      <c r="C26" s="14">
        <v>89906097488</v>
      </c>
      <c r="D26" s="14">
        <v>91827146475</v>
      </c>
      <c r="E26" s="14">
        <v>0</v>
      </c>
      <c r="F26" s="14">
        <v>0</v>
      </c>
      <c r="G26" s="14">
        <v>0</v>
      </c>
      <c r="H26" s="14">
        <v>701200</v>
      </c>
      <c r="I26" s="14">
        <v>10049964672</v>
      </c>
      <c r="J26" s="14">
        <v>6048800</v>
      </c>
      <c r="K26" s="14">
        <v>18970</v>
      </c>
      <c r="L26" s="14">
        <v>80566518887</v>
      </c>
      <c r="M26" s="14">
        <v>113858751461</v>
      </c>
      <c r="N26" s="7">
        <v>5.3540571773366796E-2</v>
      </c>
    </row>
    <row r="27" spans="1:14">
      <c r="A27" s="6" t="s">
        <v>75</v>
      </c>
      <c r="B27" s="14">
        <v>2100000</v>
      </c>
      <c r="C27" s="14">
        <v>47152433431</v>
      </c>
      <c r="D27" s="14">
        <v>54907260450</v>
      </c>
      <c r="E27" s="14">
        <v>0</v>
      </c>
      <c r="F27" s="14">
        <v>0</v>
      </c>
      <c r="G27" s="14">
        <v>0</v>
      </c>
      <c r="H27" s="14">
        <v>500000</v>
      </c>
      <c r="I27" s="14">
        <v>13445916785</v>
      </c>
      <c r="J27" s="14">
        <v>1600000</v>
      </c>
      <c r="K27" s="14">
        <v>28720</v>
      </c>
      <c r="L27" s="14">
        <v>35925663566</v>
      </c>
      <c r="M27" s="14">
        <v>45596791040</v>
      </c>
      <c r="N27" s="7">
        <v>2.1441287841176954E-2</v>
      </c>
    </row>
    <row r="28" spans="1:14">
      <c r="A28" s="6" t="s">
        <v>74</v>
      </c>
      <c r="B28" s="14">
        <v>9200000</v>
      </c>
      <c r="C28" s="14">
        <v>49378139966</v>
      </c>
      <c r="D28" s="14">
        <v>94940393600</v>
      </c>
      <c r="E28" s="14">
        <v>2300000</v>
      </c>
      <c r="F28" s="14">
        <v>0</v>
      </c>
      <c r="G28" s="14">
        <v>0</v>
      </c>
      <c r="H28" s="14">
        <v>0</v>
      </c>
      <c r="I28" s="14">
        <v>0</v>
      </c>
      <c r="J28" s="14">
        <v>11500000</v>
      </c>
      <c r="K28" s="14">
        <v>9590</v>
      </c>
      <c r="L28" s="14">
        <v>49378139966</v>
      </c>
      <c r="M28" s="14">
        <v>109432496950</v>
      </c>
      <c r="N28" s="7">
        <v>5.1459184139193079E-2</v>
      </c>
    </row>
    <row r="29" spans="1:14">
      <c r="A29" s="6" t="s">
        <v>73</v>
      </c>
      <c r="B29" s="14">
        <v>22820100</v>
      </c>
      <c r="C29" s="14">
        <v>59176089105</v>
      </c>
      <c r="D29" s="14">
        <v>47280046909</v>
      </c>
      <c r="E29" s="14">
        <v>0</v>
      </c>
      <c r="F29" s="14">
        <v>0</v>
      </c>
      <c r="G29" s="14">
        <v>0</v>
      </c>
      <c r="H29" s="14">
        <v>22820100</v>
      </c>
      <c r="I29" s="14">
        <v>52193729962</v>
      </c>
      <c r="J29" s="14">
        <v>0</v>
      </c>
      <c r="K29" s="14">
        <v>0</v>
      </c>
      <c r="L29" s="14">
        <v>0</v>
      </c>
      <c r="M29" s="14">
        <v>0</v>
      </c>
      <c r="N29" s="7">
        <v>0</v>
      </c>
    </row>
    <row r="30" spans="1:14">
      <c r="A30" s="6" t="s">
        <v>72</v>
      </c>
      <c r="B30" s="14">
        <v>20000000</v>
      </c>
      <c r="C30" s="14">
        <v>42483040215</v>
      </c>
      <c r="D30" s="14">
        <v>47311433600</v>
      </c>
      <c r="E30" s="14">
        <v>1516638</v>
      </c>
      <c r="F30" s="14">
        <v>0</v>
      </c>
      <c r="G30" s="14">
        <v>0</v>
      </c>
      <c r="H30" s="14">
        <v>10000000</v>
      </c>
      <c r="I30" s="14">
        <v>24221310836</v>
      </c>
      <c r="J30" s="14">
        <v>11516638</v>
      </c>
      <c r="K30" s="14">
        <v>2183</v>
      </c>
      <c r="L30" s="14">
        <v>21241520107</v>
      </c>
      <c r="M30" s="14">
        <v>24946482210</v>
      </c>
      <c r="N30" s="7">
        <v>1.1730753272092768E-2</v>
      </c>
    </row>
    <row r="31" spans="1:14">
      <c r="A31" s="6" t="s">
        <v>71</v>
      </c>
      <c r="B31" s="14">
        <v>0</v>
      </c>
      <c r="C31" s="14">
        <v>0</v>
      </c>
      <c r="D31" s="14">
        <v>0</v>
      </c>
      <c r="E31" s="14">
        <v>0</v>
      </c>
      <c r="F31" s="14">
        <v>8000000</v>
      </c>
      <c r="G31" s="14">
        <v>17974403921</v>
      </c>
      <c r="H31" s="14">
        <v>0</v>
      </c>
      <c r="I31" s="14">
        <v>0</v>
      </c>
      <c r="J31" s="14">
        <v>8000000</v>
      </c>
      <c r="K31" s="14">
        <v>2225</v>
      </c>
      <c r="L31" s="14">
        <v>17974403921</v>
      </c>
      <c r="M31" s="14">
        <v>17662406000</v>
      </c>
      <c r="N31" s="7">
        <v>8.3055127866676053E-3</v>
      </c>
    </row>
    <row r="32" spans="1:14">
      <c r="A32" s="6" t="s">
        <v>70</v>
      </c>
      <c r="B32" s="14">
        <v>125000</v>
      </c>
      <c r="C32" s="14">
        <v>4461676792</v>
      </c>
      <c r="D32" s="14">
        <v>5392987450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125000</v>
      </c>
      <c r="K32" s="14">
        <v>48840</v>
      </c>
      <c r="L32" s="14">
        <v>4461676792</v>
      </c>
      <c r="M32" s="14">
        <v>6057808350</v>
      </c>
      <c r="N32" s="7">
        <v>2.8486042450902097E-3</v>
      </c>
    </row>
    <row r="33" spans="1:14">
      <c r="A33" s="6" t="s">
        <v>69</v>
      </c>
      <c r="B33" s="14">
        <v>800000</v>
      </c>
      <c r="C33" s="14">
        <v>11513575776</v>
      </c>
      <c r="D33" s="14">
        <v>10526000160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800000</v>
      </c>
      <c r="K33" s="14">
        <v>13260</v>
      </c>
      <c r="L33" s="14">
        <v>11513575776</v>
      </c>
      <c r="M33" s="14">
        <v>10526000160</v>
      </c>
      <c r="N33" s="7">
        <v>4.9497123393803348E-3</v>
      </c>
    </row>
    <row r="34" spans="1:14">
      <c r="A34" s="6" t="s">
        <v>68</v>
      </c>
      <c r="B34" s="14">
        <v>0</v>
      </c>
      <c r="C34" s="14">
        <v>0</v>
      </c>
      <c r="D34" s="14">
        <v>0</v>
      </c>
      <c r="E34" s="14">
        <v>0</v>
      </c>
      <c r="F34" s="14">
        <v>5000000</v>
      </c>
      <c r="G34" s="14">
        <v>38902587119</v>
      </c>
      <c r="H34" s="14">
        <v>0</v>
      </c>
      <c r="I34" s="14">
        <v>0</v>
      </c>
      <c r="J34" s="14">
        <v>5000000</v>
      </c>
      <c r="K34" s="14">
        <v>8150</v>
      </c>
      <c r="L34" s="14">
        <v>38902587200</v>
      </c>
      <c r="M34" s="14">
        <v>40435002500</v>
      </c>
      <c r="N34" s="7">
        <v>1.9014025059365443E-2</v>
      </c>
    </row>
    <row r="35" spans="1:14">
      <c r="A35" s="6" t="s">
        <v>67</v>
      </c>
      <c r="B35" s="14">
        <v>8200000</v>
      </c>
      <c r="C35" s="14">
        <v>78561588853</v>
      </c>
      <c r="D35" s="14">
        <v>74043187400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8200000</v>
      </c>
      <c r="K35" s="14">
        <v>10410</v>
      </c>
      <c r="L35" s="14">
        <v>78561588853</v>
      </c>
      <c r="M35" s="14">
        <v>84702151740</v>
      </c>
      <c r="N35" s="7">
        <v>3.9830066432332591E-2</v>
      </c>
    </row>
    <row r="36" spans="1:14">
      <c r="A36" s="6" t="s">
        <v>66</v>
      </c>
      <c r="B36" s="14">
        <v>9500000</v>
      </c>
      <c r="C36" s="14">
        <v>51845746715</v>
      </c>
      <c r="D36" s="14">
        <v>192961785550</v>
      </c>
      <c r="E36" s="14">
        <v>3528571</v>
      </c>
      <c r="F36" s="14">
        <v>0</v>
      </c>
      <c r="G36" s="14">
        <v>0</v>
      </c>
      <c r="H36" s="14">
        <v>500000</v>
      </c>
      <c r="I36" s="14">
        <v>7456909119</v>
      </c>
      <c r="J36" s="14">
        <v>12528571</v>
      </c>
      <c r="K36" s="14">
        <v>19250</v>
      </c>
      <c r="L36" s="14">
        <v>49856052423</v>
      </c>
      <c r="M36" s="14">
        <v>239310709064</v>
      </c>
      <c r="N36" s="7">
        <v>0.11253269538235862</v>
      </c>
    </row>
    <row r="37" spans="1:14">
      <c r="A37" s="6" t="s">
        <v>65</v>
      </c>
      <c r="B37" s="14">
        <v>14070541</v>
      </c>
      <c r="C37" s="14">
        <v>48241046737</v>
      </c>
      <c r="D37" s="14">
        <v>131519927264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14070541</v>
      </c>
      <c r="K37" s="14">
        <v>11300</v>
      </c>
      <c r="L37" s="14">
        <v>48241046737</v>
      </c>
      <c r="M37" s="14">
        <v>157768065614</v>
      </c>
      <c r="N37" s="7">
        <v>7.4188345930044336E-2</v>
      </c>
    </row>
    <row r="38" spans="1:14">
      <c r="A38" s="6" t="s">
        <v>64</v>
      </c>
      <c r="B38" s="14">
        <v>3700000</v>
      </c>
      <c r="C38" s="14">
        <v>15107300038</v>
      </c>
      <c r="D38" s="14">
        <v>40679100920</v>
      </c>
      <c r="E38" s="14">
        <v>0</v>
      </c>
      <c r="F38" s="14">
        <v>0</v>
      </c>
      <c r="G38" s="14">
        <v>0</v>
      </c>
      <c r="H38" s="14">
        <v>2275000</v>
      </c>
      <c r="I38" s="14">
        <v>25672257711</v>
      </c>
      <c r="J38" s="14">
        <v>1425000</v>
      </c>
      <c r="K38" s="14">
        <v>12050</v>
      </c>
      <c r="L38" s="14">
        <v>5818352042</v>
      </c>
      <c r="M38" s="14">
        <v>17038516237</v>
      </c>
      <c r="N38" s="7">
        <v>8.0121368783079225E-3</v>
      </c>
    </row>
    <row r="39" spans="1:14">
      <c r="A39" s="6" t="s">
        <v>63</v>
      </c>
      <c r="B39" s="14">
        <v>800000</v>
      </c>
      <c r="C39" s="14">
        <v>28460131502</v>
      </c>
      <c r="D39" s="14">
        <v>30927071360</v>
      </c>
      <c r="E39" s="14">
        <v>0</v>
      </c>
      <c r="F39" s="14">
        <v>0</v>
      </c>
      <c r="G39" s="14">
        <v>0</v>
      </c>
      <c r="H39" s="14">
        <v>405981</v>
      </c>
      <c r="I39" s="14">
        <v>15834756541</v>
      </c>
      <c r="J39" s="14">
        <v>394019</v>
      </c>
      <c r="K39" s="14">
        <v>46050</v>
      </c>
      <c r="L39" s="14">
        <v>14017290693</v>
      </c>
      <c r="M39" s="14">
        <v>18004317386</v>
      </c>
      <c r="N39" s="7">
        <v>8.4662920931975454E-3</v>
      </c>
    </row>
    <row r="40" spans="1:14">
      <c r="A40" s="6" t="s">
        <v>62</v>
      </c>
      <c r="B40" s="14">
        <v>5684429</v>
      </c>
      <c r="C40" s="14">
        <v>9384678339</v>
      </c>
      <c r="D40" s="14">
        <v>26848724612</v>
      </c>
      <c r="E40" s="14">
        <v>0</v>
      </c>
      <c r="F40" s="14">
        <v>0</v>
      </c>
      <c r="G40" s="14">
        <v>0</v>
      </c>
      <c r="H40" s="14">
        <v>4500000</v>
      </c>
      <c r="I40" s="14">
        <v>21225499289</v>
      </c>
      <c r="J40" s="14">
        <v>1184429</v>
      </c>
      <c r="K40" s="14">
        <v>5470</v>
      </c>
      <c r="L40" s="14">
        <v>1955426865</v>
      </c>
      <c r="M40" s="14">
        <v>6428745300</v>
      </c>
      <c r="N40" s="7">
        <v>3.0230324391466979E-3</v>
      </c>
    </row>
    <row r="41" spans="1:14">
      <c r="A41" s="6" t="s">
        <v>61</v>
      </c>
      <c r="B41" s="14">
        <v>2611149</v>
      </c>
      <c r="C41" s="14">
        <v>59338819107</v>
      </c>
      <c r="D41" s="14">
        <v>60654486395</v>
      </c>
      <c r="E41" s="14">
        <v>0</v>
      </c>
      <c r="F41" s="14">
        <v>0</v>
      </c>
      <c r="G41" s="14">
        <v>0</v>
      </c>
      <c r="H41" s="14">
        <v>887823</v>
      </c>
      <c r="I41" s="14">
        <v>24649359630</v>
      </c>
      <c r="J41" s="14">
        <v>1723326</v>
      </c>
      <c r="K41" s="14">
        <v>29470</v>
      </c>
      <c r="L41" s="14">
        <v>39162885678</v>
      </c>
      <c r="M41" s="14">
        <v>50393838215</v>
      </c>
      <c r="N41" s="7">
        <v>2.3697035820824247E-2</v>
      </c>
    </row>
    <row r="42" spans="1:14">
      <c r="A42" s="6" t="s">
        <v>60</v>
      </c>
      <c r="B42" s="14">
        <v>3000000</v>
      </c>
      <c r="C42" s="14">
        <v>28866696331</v>
      </c>
      <c r="D42" s="14">
        <v>30095549100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3000000</v>
      </c>
      <c r="K42" s="14">
        <v>14550</v>
      </c>
      <c r="L42" s="14">
        <v>28866696331</v>
      </c>
      <c r="M42" s="14">
        <v>43312585500</v>
      </c>
      <c r="N42" s="7">
        <v>2.0367170401013539E-2</v>
      </c>
    </row>
    <row r="43" spans="1:14">
      <c r="A43" s="6" t="s">
        <v>59</v>
      </c>
      <c r="B43" s="14">
        <v>200000</v>
      </c>
      <c r="C43" s="14">
        <v>8564224465</v>
      </c>
      <c r="D43" s="14">
        <v>7124498600</v>
      </c>
      <c r="E43" s="14">
        <v>0</v>
      </c>
      <c r="F43" s="14">
        <v>0</v>
      </c>
      <c r="G43" s="14">
        <v>0</v>
      </c>
      <c r="H43" s="14">
        <v>200000</v>
      </c>
      <c r="I43" s="14">
        <v>7535298423</v>
      </c>
      <c r="J43" s="14">
        <v>0</v>
      </c>
      <c r="K43" s="14">
        <v>0</v>
      </c>
      <c r="L43" s="14">
        <v>0</v>
      </c>
      <c r="M43" s="14">
        <v>0</v>
      </c>
      <c r="N43" s="7">
        <v>0</v>
      </c>
    </row>
    <row r="44" spans="1:14">
      <c r="A44" s="6" t="s">
        <v>58</v>
      </c>
      <c r="B44" s="14">
        <v>750000</v>
      </c>
      <c r="C44" s="14">
        <v>28756148835</v>
      </c>
      <c r="D44" s="14">
        <v>45701475525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750000</v>
      </c>
      <c r="K44" s="14">
        <v>61270</v>
      </c>
      <c r="L44" s="14">
        <v>28756148835</v>
      </c>
      <c r="M44" s="14">
        <v>45597287175</v>
      </c>
      <c r="N44" s="7">
        <v>2.1441521142097929E-2</v>
      </c>
    </row>
    <row r="45" spans="1:14">
      <c r="A45" s="6" t="s">
        <v>57</v>
      </c>
      <c r="B45" s="14">
        <v>225000</v>
      </c>
      <c r="C45" s="14">
        <v>5885541254</v>
      </c>
      <c r="D45" s="14">
        <v>10741074682</v>
      </c>
      <c r="E45" s="14">
        <v>135000</v>
      </c>
      <c r="F45" s="14">
        <v>0</v>
      </c>
      <c r="G45" s="14">
        <v>0</v>
      </c>
      <c r="H45" s="14">
        <v>0</v>
      </c>
      <c r="I45" s="14">
        <v>0</v>
      </c>
      <c r="J45" s="14">
        <v>360000</v>
      </c>
      <c r="K45" s="14">
        <v>34390</v>
      </c>
      <c r="L45" s="14">
        <v>5885541254</v>
      </c>
      <c r="M45" s="14">
        <v>12284699508</v>
      </c>
      <c r="N45" s="7">
        <v>5.7767174440482936E-3</v>
      </c>
    </row>
    <row r="46" spans="1:14">
      <c r="A46" s="6" t="s">
        <v>56</v>
      </c>
      <c r="B46" s="14">
        <v>3441130</v>
      </c>
      <c r="C46" s="14">
        <v>8292444580</v>
      </c>
      <c r="D46" s="14">
        <v>6429560113</v>
      </c>
      <c r="E46" s="14">
        <v>0</v>
      </c>
      <c r="F46" s="14">
        <v>0</v>
      </c>
      <c r="G46" s="14">
        <v>0</v>
      </c>
      <c r="H46" s="14">
        <v>1645957</v>
      </c>
      <c r="I46" s="14">
        <v>3330871734</v>
      </c>
      <c r="J46" s="14">
        <v>1795173</v>
      </c>
      <c r="K46" s="14">
        <v>2319</v>
      </c>
      <c r="L46" s="14">
        <v>4326012855</v>
      </c>
      <c r="M46" s="14">
        <v>4130826149</v>
      </c>
      <c r="N46" s="7">
        <v>1.9424663548114794E-3</v>
      </c>
    </row>
    <row r="47" spans="1:14">
      <c r="A47" s="6" t="s">
        <v>55</v>
      </c>
      <c r="B47" s="14">
        <v>4671455</v>
      </c>
      <c r="C47" s="14">
        <v>18239142954</v>
      </c>
      <c r="D47" s="14">
        <v>48532058515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4671455</v>
      </c>
      <c r="K47" s="14">
        <v>10490</v>
      </c>
      <c r="L47" s="14">
        <v>18239142954</v>
      </c>
      <c r="M47" s="14">
        <v>48624765408</v>
      </c>
      <c r="N47" s="7">
        <v>2.2865152734279613E-2</v>
      </c>
    </row>
    <row r="48" spans="1:14">
      <c r="A48" s="6" t="s">
        <v>54</v>
      </c>
      <c r="B48" s="14">
        <v>1600000</v>
      </c>
      <c r="C48" s="14">
        <v>30805733600</v>
      </c>
      <c r="D48" s="14">
        <v>42739053440</v>
      </c>
      <c r="E48" s="14">
        <v>0</v>
      </c>
      <c r="F48" s="14">
        <v>0</v>
      </c>
      <c r="G48" s="14">
        <v>0</v>
      </c>
      <c r="H48" s="14">
        <v>1600000</v>
      </c>
      <c r="I48" s="14">
        <v>42021564860</v>
      </c>
      <c r="J48" s="14">
        <v>0</v>
      </c>
      <c r="K48" s="14">
        <v>0</v>
      </c>
      <c r="L48" s="14">
        <v>0</v>
      </c>
      <c r="M48" s="14">
        <v>0</v>
      </c>
      <c r="N48" s="7">
        <v>0</v>
      </c>
    </row>
    <row r="49" spans="1:14">
      <c r="A49" s="6" t="s">
        <v>53</v>
      </c>
      <c r="B49" s="14">
        <v>0</v>
      </c>
      <c r="C49" s="14">
        <v>0</v>
      </c>
      <c r="D49" s="14">
        <v>0</v>
      </c>
      <c r="E49" s="14">
        <v>0</v>
      </c>
      <c r="F49" s="14">
        <v>10000000</v>
      </c>
      <c r="G49" s="14">
        <v>64470841963</v>
      </c>
      <c r="H49" s="14">
        <v>0</v>
      </c>
      <c r="I49" s="14">
        <v>0</v>
      </c>
      <c r="J49" s="14">
        <v>10000000</v>
      </c>
      <c r="K49" s="14">
        <v>7690</v>
      </c>
      <c r="L49" s="14">
        <v>64470841963</v>
      </c>
      <c r="M49" s="14">
        <v>76305563000</v>
      </c>
      <c r="N49" s="7">
        <v>3.5881681645771844E-2</v>
      </c>
    </row>
    <row r="50" spans="1:14">
      <c r="A50" s="6" t="s">
        <v>52</v>
      </c>
      <c r="B50" s="14">
        <v>700000</v>
      </c>
      <c r="C50" s="14">
        <v>61964096755</v>
      </c>
      <c r="D50" s="14">
        <v>105577528000</v>
      </c>
      <c r="E50" s="14">
        <v>0</v>
      </c>
      <c r="F50" s="14">
        <v>0</v>
      </c>
      <c r="G50" s="14">
        <v>0</v>
      </c>
      <c r="H50" s="14">
        <v>200000</v>
      </c>
      <c r="I50" s="14">
        <v>39219472130</v>
      </c>
      <c r="J50" s="14">
        <v>500000</v>
      </c>
      <c r="K50" s="14">
        <v>199200</v>
      </c>
      <c r="L50" s="14">
        <v>44260069110</v>
      </c>
      <c r="M50" s="14">
        <v>98830092000</v>
      </c>
      <c r="N50" s="7">
        <v>4.6473543457982783E-2</v>
      </c>
    </row>
    <row r="51" spans="1:14">
      <c r="A51" s="6" t="s">
        <v>51</v>
      </c>
      <c r="B51" s="14">
        <v>695370</v>
      </c>
      <c r="C51" s="14">
        <v>1769138188</v>
      </c>
      <c r="D51" s="14">
        <v>1449679054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695370</v>
      </c>
      <c r="K51" s="14">
        <v>2487</v>
      </c>
      <c r="L51" s="14">
        <v>1769138188</v>
      </c>
      <c r="M51" s="14">
        <v>1716017042</v>
      </c>
      <c r="N51" s="7">
        <v>8.0693431486460686E-4</v>
      </c>
    </row>
    <row r="52" spans="1:14" ht="18.600000000000001" thickBot="1">
      <c r="A52" s="6" t="s">
        <v>2</v>
      </c>
      <c r="B52" s="14"/>
      <c r="C52" s="8">
        <f>SUM(C11:C51)</f>
        <v>1132006183033</v>
      </c>
      <c r="D52" s="8">
        <f>SUM(D11:D51)</f>
        <v>1656522863536</v>
      </c>
      <c r="E52" s="14"/>
      <c r="F52" s="14"/>
      <c r="G52" s="8">
        <f>SUM(G11:G51)</f>
        <v>284239760930</v>
      </c>
      <c r="H52" s="14"/>
      <c r="I52" s="8">
        <f>SUM(I11:I51)</f>
        <v>356198014111</v>
      </c>
      <c r="J52" s="14"/>
      <c r="K52" s="13"/>
      <c r="L52" s="8">
        <f>SUM(L11:L51)</f>
        <v>1142608565223</v>
      </c>
      <c r="M52" s="8">
        <f>SUM(M11:M51)</f>
        <v>1951421348462</v>
      </c>
      <c r="N52" s="9">
        <f>SUM(N11:N51)</f>
        <v>0.91763007609650016</v>
      </c>
    </row>
    <row r="53" spans="1:14" ht="18.600000000000001" thickTop="1"/>
    <row r="55" spans="1:14">
      <c r="M55" s="59"/>
    </row>
    <row r="56" spans="1:14">
      <c r="M56" s="59"/>
    </row>
    <row r="57" spans="1:14">
      <c r="M57" s="60"/>
    </row>
  </sheetData>
  <mergeCells count="19">
    <mergeCell ref="K9:K10"/>
    <mergeCell ref="L9:L10"/>
    <mergeCell ref="E9:G9"/>
    <mergeCell ref="D9:D10"/>
    <mergeCell ref="A1:N1"/>
    <mergeCell ref="A2:N2"/>
    <mergeCell ref="A3:N3"/>
    <mergeCell ref="A5:N5"/>
    <mergeCell ref="A6:N6"/>
    <mergeCell ref="E8:I8"/>
    <mergeCell ref="B8:D8"/>
    <mergeCell ref="J8:N8"/>
    <mergeCell ref="A9:A10"/>
    <mergeCell ref="B9:B10"/>
    <mergeCell ref="C9:C10"/>
    <mergeCell ref="M9:M10"/>
    <mergeCell ref="N9:N10"/>
    <mergeCell ref="H9:I9"/>
    <mergeCell ref="J9:J10"/>
  </mergeCells>
  <pageMargins left="0.7" right="0.7" top="0.75" bottom="0.75" header="0.3" footer="0.3"/>
  <pageSetup scale="5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21A2-7EDC-486D-8897-5031AA44A46A}">
  <dimension ref="A1:K30"/>
  <sheetViews>
    <sheetView rightToLeft="1" view="pageBreakPreview" zoomScaleNormal="100" zoomScaleSheetLayoutView="100" workbookViewId="0">
      <selection sqref="A1:K1"/>
    </sheetView>
  </sheetViews>
  <sheetFormatPr defaultColWidth="9.09765625" defaultRowHeight="18"/>
  <cols>
    <col min="1" max="1" width="28.3984375" style="12" customWidth="1"/>
    <col min="2" max="2" width="15.3984375" style="12" customWidth="1"/>
    <col min="3" max="4" width="13.19921875" style="12" customWidth="1"/>
    <col min="5" max="6" width="12.69921875" style="12" customWidth="1"/>
    <col min="7" max="7" width="15.3984375" style="12" customWidth="1"/>
    <col min="8" max="9" width="13.19921875" style="12" customWidth="1"/>
    <col min="10" max="11" width="12.69921875" style="12" customWidth="1"/>
    <col min="12" max="16384" width="9.09765625" style="12"/>
  </cols>
  <sheetData>
    <row r="1" spans="1:11" ht="20.399999999999999">
      <c r="A1" s="41" t="s">
        <v>99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ht="20.399999999999999">
      <c r="A2" s="41" t="s">
        <v>25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0.399999999999999">
      <c r="A3" s="41" t="s">
        <v>98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ht="20.399999999999999">
      <c r="A4" s="61"/>
      <c r="B4" s="61"/>
      <c r="C4" s="61"/>
      <c r="D4" s="61"/>
      <c r="E4" s="61"/>
      <c r="F4" s="61"/>
      <c r="G4" s="61"/>
      <c r="H4" s="61"/>
    </row>
    <row r="5" spans="1:11" ht="20.399999999999999">
      <c r="A5" s="24" t="s">
        <v>116</v>
      </c>
      <c r="B5" s="24"/>
      <c r="C5" s="24"/>
      <c r="D5" s="24"/>
      <c r="E5" s="24"/>
      <c r="F5" s="24"/>
      <c r="G5" s="24"/>
      <c r="H5" s="24"/>
    </row>
    <row r="6" spans="1:11">
      <c r="A6" s="62"/>
      <c r="B6" s="63"/>
      <c r="C6" s="63"/>
      <c r="D6" s="63"/>
      <c r="E6" s="63"/>
      <c r="F6" s="63"/>
      <c r="G6" s="63"/>
      <c r="H6" s="17"/>
      <c r="I6" s="17"/>
      <c r="J6" s="17"/>
      <c r="K6" s="17"/>
    </row>
    <row r="7" spans="1:11" ht="18.600000000000001" customHeight="1" thickBot="1">
      <c r="A7" s="62"/>
      <c r="B7" s="64" t="s">
        <v>34</v>
      </c>
      <c r="C7" s="64"/>
      <c r="D7" s="64"/>
      <c r="E7" s="64"/>
      <c r="F7" s="64"/>
      <c r="G7" s="64" t="s">
        <v>95</v>
      </c>
      <c r="H7" s="64"/>
      <c r="I7" s="64"/>
      <c r="J7" s="64"/>
      <c r="K7" s="64"/>
    </row>
    <row r="8" spans="1:11" ht="18.600000000000001" thickBot="1">
      <c r="A8" s="65" t="s">
        <v>248</v>
      </c>
      <c r="B8" s="65" t="s">
        <v>115</v>
      </c>
      <c r="C8" s="65" t="s">
        <v>103</v>
      </c>
      <c r="D8" s="65" t="s">
        <v>102</v>
      </c>
      <c r="E8" s="65" t="s">
        <v>101</v>
      </c>
      <c r="F8" s="65" t="s">
        <v>100</v>
      </c>
      <c r="G8" s="65" t="s">
        <v>115</v>
      </c>
      <c r="H8" s="65" t="s">
        <v>103</v>
      </c>
      <c r="I8" s="65" t="s">
        <v>102</v>
      </c>
      <c r="J8" s="65" t="s">
        <v>101</v>
      </c>
      <c r="K8" s="65" t="s">
        <v>100</v>
      </c>
    </row>
    <row r="9" spans="1:11">
      <c r="A9" s="6" t="s">
        <v>114</v>
      </c>
      <c r="B9" s="14" t="s">
        <v>249</v>
      </c>
      <c r="C9" s="14" t="s">
        <v>249</v>
      </c>
      <c r="D9" s="14">
        <v>0</v>
      </c>
      <c r="E9" s="14">
        <v>0</v>
      </c>
      <c r="F9" s="14" t="s">
        <v>249</v>
      </c>
      <c r="G9" s="14" t="s">
        <v>107</v>
      </c>
      <c r="H9" s="14" t="s">
        <v>113</v>
      </c>
      <c r="I9" s="14">
        <v>15000000</v>
      </c>
      <c r="J9" s="14">
        <v>500</v>
      </c>
      <c r="K9" s="14" t="s">
        <v>109</v>
      </c>
    </row>
    <row r="10" spans="1:11">
      <c r="A10" s="6" t="s">
        <v>112</v>
      </c>
      <c r="B10" s="14" t="s">
        <v>107</v>
      </c>
      <c r="C10" s="14" t="s">
        <v>106</v>
      </c>
      <c r="D10" s="14">
        <v>33000000</v>
      </c>
      <c r="E10" s="14">
        <v>550</v>
      </c>
      <c r="F10" s="14" t="s">
        <v>111</v>
      </c>
      <c r="G10" s="14" t="s">
        <v>249</v>
      </c>
      <c r="H10" s="14" t="s">
        <v>249</v>
      </c>
      <c r="I10" s="14">
        <v>0</v>
      </c>
      <c r="J10" s="14">
        <v>0</v>
      </c>
      <c r="K10" s="14" t="s">
        <v>249</v>
      </c>
    </row>
    <row r="11" spans="1:11">
      <c r="A11" s="6" t="s">
        <v>110</v>
      </c>
      <c r="B11" s="14" t="s">
        <v>249</v>
      </c>
      <c r="C11" s="14" t="s">
        <v>249</v>
      </c>
      <c r="D11" s="14">
        <v>0</v>
      </c>
      <c r="E11" s="14">
        <v>0</v>
      </c>
      <c r="F11" s="14" t="s">
        <v>249</v>
      </c>
      <c r="G11" s="14" t="s">
        <v>107</v>
      </c>
      <c r="H11" s="14" t="s">
        <v>106</v>
      </c>
      <c r="I11" s="14">
        <v>15000000</v>
      </c>
      <c r="J11" s="14">
        <v>600</v>
      </c>
      <c r="K11" s="14" t="s">
        <v>109</v>
      </c>
    </row>
    <row r="12" spans="1:11">
      <c r="A12" s="6" t="s">
        <v>108</v>
      </c>
      <c r="B12" s="14" t="s">
        <v>107</v>
      </c>
      <c r="C12" s="14" t="s">
        <v>106</v>
      </c>
      <c r="D12" s="14">
        <v>30000000</v>
      </c>
      <c r="E12" s="14">
        <v>1354</v>
      </c>
      <c r="F12" s="14" t="s">
        <v>105</v>
      </c>
      <c r="G12" s="14" t="s">
        <v>249</v>
      </c>
      <c r="H12" s="14" t="s">
        <v>249</v>
      </c>
      <c r="I12" s="14">
        <v>0</v>
      </c>
      <c r="J12" s="14">
        <v>0</v>
      </c>
      <c r="K12" s="14" t="s">
        <v>249</v>
      </c>
    </row>
    <row r="15" spans="1:11">
      <c r="A15" s="66"/>
      <c r="B15" s="66"/>
      <c r="C15" s="66"/>
      <c r="D15" s="66"/>
      <c r="E15" s="66"/>
      <c r="F15" s="66"/>
      <c r="G15" s="66"/>
      <c r="H15" s="66"/>
    </row>
    <row r="16" spans="1:11">
      <c r="A16" s="66"/>
      <c r="B16" s="66"/>
      <c r="C16" s="66"/>
      <c r="D16" s="66"/>
      <c r="E16" s="66"/>
      <c r="F16" s="66"/>
      <c r="G16" s="66"/>
      <c r="H16" s="66"/>
    </row>
    <row r="17" spans="1:8">
      <c r="A17" s="66"/>
      <c r="B17" s="66"/>
      <c r="C17" s="66"/>
      <c r="D17" s="66"/>
      <c r="E17" s="66"/>
      <c r="F17" s="66"/>
      <c r="G17" s="66"/>
      <c r="H17" s="66"/>
    </row>
    <row r="18" spans="1:8">
      <c r="A18" s="66"/>
      <c r="B18" s="66"/>
      <c r="C18" s="66"/>
      <c r="D18" s="66"/>
      <c r="E18" s="66"/>
      <c r="F18" s="66"/>
      <c r="G18" s="66"/>
      <c r="H18" s="66"/>
    </row>
    <row r="19" spans="1:8">
      <c r="A19" s="66"/>
      <c r="B19" s="66"/>
      <c r="C19" s="66"/>
      <c r="D19" s="66"/>
      <c r="E19" s="66"/>
      <c r="F19" s="66"/>
      <c r="G19" s="66"/>
      <c r="H19" s="66"/>
    </row>
    <row r="20" spans="1:8">
      <c r="A20" s="66"/>
      <c r="B20" s="66"/>
      <c r="C20" s="66"/>
      <c r="D20" s="66"/>
      <c r="E20" s="66"/>
      <c r="F20" s="66"/>
      <c r="G20" s="66"/>
      <c r="H20" s="66"/>
    </row>
    <row r="21" spans="1:8">
      <c r="A21" s="66"/>
      <c r="B21" s="66"/>
      <c r="C21" s="66"/>
      <c r="D21" s="66"/>
      <c r="E21" s="66"/>
      <c r="F21" s="66"/>
      <c r="G21" s="66"/>
      <c r="H21" s="66"/>
    </row>
    <row r="22" spans="1:8">
      <c r="A22" s="66"/>
      <c r="B22" s="66"/>
      <c r="C22" s="66"/>
      <c r="D22" s="66"/>
      <c r="E22" s="66"/>
      <c r="F22" s="66"/>
      <c r="G22" s="66"/>
      <c r="H22" s="66"/>
    </row>
    <row r="23" spans="1:8">
      <c r="A23" s="66"/>
      <c r="B23" s="66"/>
      <c r="C23" s="66"/>
      <c r="D23" s="66"/>
      <c r="E23" s="66"/>
      <c r="F23" s="66"/>
      <c r="G23" s="66"/>
      <c r="H23" s="66"/>
    </row>
    <row r="24" spans="1:8">
      <c r="A24" s="66"/>
      <c r="B24" s="66"/>
      <c r="C24" s="66"/>
      <c r="D24" s="66"/>
      <c r="E24" s="66"/>
      <c r="F24" s="66"/>
      <c r="G24" s="66"/>
      <c r="H24" s="66"/>
    </row>
    <row r="25" spans="1:8">
      <c r="A25" s="66"/>
      <c r="B25" s="66"/>
      <c r="C25" s="66"/>
      <c r="D25" s="66"/>
      <c r="E25" s="66"/>
      <c r="F25" s="66"/>
      <c r="G25" s="66"/>
      <c r="H25" s="66"/>
    </row>
    <row r="26" spans="1:8">
      <c r="A26" s="66"/>
      <c r="B26" s="66"/>
      <c r="C26" s="66"/>
      <c r="D26" s="66"/>
      <c r="E26" s="66"/>
      <c r="F26" s="66"/>
      <c r="G26" s="66"/>
      <c r="H26" s="66"/>
    </row>
    <row r="27" spans="1:8">
      <c r="A27" s="66"/>
      <c r="B27" s="66"/>
      <c r="C27" s="66"/>
      <c r="D27" s="66"/>
      <c r="E27" s="66"/>
      <c r="F27" s="66"/>
      <c r="G27" s="66"/>
      <c r="H27" s="66"/>
    </row>
    <row r="28" spans="1:8">
      <c r="A28" s="66"/>
      <c r="B28" s="66"/>
      <c r="C28" s="66"/>
      <c r="D28" s="66"/>
      <c r="E28" s="66"/>
      <c r="F28" s="66"/>
      <c r="G28" s="66"/>
      <c r="H28" s="66"/>
    </row>
    <row r="29" spans="1:8">
      <c r="A29" s="66"/>
      <c r="B29" s="66"/>
      <c r="C29" s="66"/>
      <c r="D29" s="66"/>
      <c r="E29" s="66"/>
      <c r="F29" s="66"/>
      <c r="G29" s="66"/>
      <c r="H29" s="66"/>
    </row>
    <row r="30" spans="1:8">
      <c r="A30" s="66"/>
      <c r="B30" s="66"/>
      <c r="C30" s="66"/>
      <c r="D30" s="66"/>
      <c r="E30" s="66"/>
      <c r="F30" s="66"/>
      <c r="G30" s="66"/>
      <c r="H30" s="66"/>
    </row>
  </sheetData>
  <mergeCells count="5">
    <mergeCell ref="B7:F7"/>
    <mergeCell ref="G7:K7"/>
    <mergeCell ref="A1:K1"/>
    <mergeCell ref="A2:K2"/>
    <mergeCell ref="A3:K3"/>
  </mergeCells>
  <pageMargins left="0.7" right="0.7" top="0.75" bottom="0.75" header="0.3" footer="0.3"/>
  <pageSetup scale="6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CC03-9FBF-4C9A-9FEC-98B88EE001D5}">
  <dimension ref="A1:F13"/>
  <sheetViews>
    <sheetView rightToLeft="1" view="pageBreakPreview" zoomScale="90" zoomScaleNormal="100" zoomScaleSheetLayoutView="90" workbookViewId="0">
      <selection activeCell="C6" sqref="C6"/>
    </sheetView>
  </sheetViews>
  <sheetFormatPr defaultColWidth="9.09765625" defaultRowHeight="18"/>
  <cols>
    <col min="1" max="1" width="27.796875" style="12" customWidth="1"/>
    <col min="2" max="5" width="16.296875" style="12" customWidth="1"/>
    <col min="6" max="6" width="8.8984375" style="12" customWidth="1"/>
    <col min="7" max="16384" width="9.09765625" style="12"/>
  </cols>
  <sheetData>
    <row r="1" spans="1:6" ht="20.399999999999999">
      <c r="A1" s="41" t="s">
        <v>99</v>
      </c>
      <c r="B1" s="41"/>
      <c r="C1" s="41"/>
      <c r="D1" s="41"/>
      <c r="E1" s="41"/>
      <c r="F1" s="41"/>
    </row>
    <row r="2" spans="1:6" ht="20.399999999999999">
      <c r="A2" s="41" t="s">
        <v>25</v>
      </c>
      <c r="B2" s="41"/>
      <c r="C2" s="41"/>
      <c r="D2" s="41"/>
      <c r="E2" s="41"/>
      <c r="F2" s="41"/>
    </row>
    <row r="3" spans="1:6" ht="20.399999999999999">
      <c r="A3" s="41" t="s">
        <v>98</v>
      </c>
      <c r="B3" s="41"/>
      <c r="C3" s="41"/>
      <c r="D3" s="41"/>
      <c r="E3" s="41"/>
      <c r="F3" s="41"/>
    </row>
    <row r="4" spans="1:6" ht="20.399999999999999">
      <c r="A4" s="3"/>
      <c r="B4" s="3"/>
      <c r="C4" s="3"/>
      <c r="D4" s="3"/>
      <c r="E4" s="3"/>
      <c r="F4" s="3"/>
    </row>
    <row r="5" spans="1:6" ht="20.399999999999999">
      <c r="A5" s="42" t="s">
        <v>43</v>
      </c>
      <c r="B5" s="42"/>
      <c r="C5" s="42"/>
      <c r="D5" s="42"/>
      <c r="E5" s="42"/>
      <c r="F5" s="42"/>
    </row>
    <row r="6" spans="1:6">
      <c r="B6" s="17"/>
      <c r="C6" s="17"/>
      <c r="D6" s="17"/>
      <c r="E6" s="17"/>
      <c r="F6" s="17"/>
    </row>
    <row r="7" spans="1:6" ht="18.75" customHeight="1" thickBot="1">
      <c r="A7" s="15"/>
      <c r="B7" s="16" t="s">
        <v>34</v>
      </c>
      <c r="C7" s="43" t="s">
        <v>245</v>
      </c>
      <c r="D7" s="43"/>
      <c r="E7" s="37" t="s">
        <v>95</v>
      </c>
      <c r="F7" s="37"/>
    </row>
    <row r="8" spans="1:6" ht="24" customHeight="1">
      <c r="A8" s="44" t="s">
        <v>42</v>
      </c>
      <c r="B8" s="46" t="s">
        <v>4</v>
      </c>
      <c r="C8" s="67" t="s">
        <v>13</v>
      </c>
      <c r="D8" s="67" t="s">
        <v>33</v>
      </c>
      <c r="E8" s="57" t="s">
        <v>4</v>
      </c>
      <c r="F8" s="56" t="s">
        <v>10</v>
      </c>
    </row>
    <row r="9" spans="1:6" ht="18.600000000000001" thickBot="1">
      <c r="A9" s="45"/>
      <c r="B9" s="47"/>
      <c r="C9" s="49"/>
      <c r="D9" s="49"/>
      <c r="E9" s="47"/>
      <c r="F9" s="45"/>
    </row>
    <row r="10" spans="1:6">
      <c r="A10" s="6" t="s">
        <v>36</v>
      </c>
      <c r="B10" s="14">
        <v>141725568</v>
      </c>
      <c r="C10" s="14">
        <v>10099076395</v>
      </c>
      <c r="D10" s="14">
        <v>9244699287</v>
      </c>
      <c r="E10" s="14">
        <v>996102676</v>
      </c>
      <c r="F10" s="7">
        <v>4.6840410713873404E-4</v>
      </c>
    </row>
    <row r="11" spans="1:6">
      <c r="A11" s="6" t="s">
        <v>35</v>
      </c>
      <c r="B11" s="14">
        <v>103880650395</v>
      </c>
      <c r="C11" s="14">
        <v>381747698085</v>
      </c>
      <c r="D11" s="14">
        <v>369240830568</v>
      </c>
      <c r="E11" s="14">
        <v>116387517912</v>
      </c>
      <c r="F11" s="7">
        <v>5.4729690746924339E-2</v>
      </c>
    </row>
    <row r="12" spans="1:6" ht="18.600000000000001" thickBot="1">
      <c r="A12" s="6" t="s">
        <v>2</v>
      </c>
      <c r="B12" s="8">
        <f>SUM(B10:B11)</f>
        <v>104022375963</v>
      </c>
      <c r="C12" s="8">
        <f>SUM(C10:C11)</f>
        <v>391846774480</v>
      </c>
      <c r="D12" s="8">
        <f>SUM(D10:D11)</f>
        <v>378485529855</v>
      </c>
      <c r="E12" s="8">
        <f>SUM(E10:E11)</f>
        <v>117383620588</v>
      </c>
      <c r="F12" s="9">
        <f>SUM(F10:F11)</f>
        <v>5.5198094854063073E-2</v>
      </c>
    </row>
    <row r="13" spans="1:6" ht="18.600000000000001" thickTop="1">
      <c r="C13" s="12" t="s">
        <v>117</v>
      </c>
    </row>
  </sheetData>
  <mergeCells count="12">
    <mergeCell ref="C8:C9"/>
    <mergeCell ref="D8:D9"/>
    <mergeCell ref="A1:F1"/>
    <mergeCell ref="A2:F2"/>
    <mergeCell ref="A3:F3"/>
    <mergeCell ref="F8:F9"/>
    <mergeCell ref="A5:F5"/>
    <mergeCell ref="E7:F7"/>
    <mergeCell ref="E8:E9"/>
    <mergeCell ref="A8:A9"/>
    <mergeCell ref="B8:B9"/>
    <mergeCell ref="C7:D7"/>
  </mergeCells>
  <pageMargins left="0.7" right="0.7" top="0.75" bottom="0.75" header="0.3" footer="0.3"/>
  <pageSetup scale="8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307C-BA9A-450C-B885-F68F8B3214B9}">
  <dimension ref="A1:S14"/>
  <sheetViews>
    <sheetView rightToLeft="1" view="pageBreakPreview" zoomScaleNormal="100" zoomScaleSheetLayoutView="100" workbookViewId="0">
      <selection sqref="A1:E1"/>
    </sheetView>
  </sheetViews>
  <sheetFormatPr defaultRowHeight="18.600000000000001"/>
  <cols>
    <col min="1" max="1" width="51.296875" style="27" customWidth="1"/>
    <col min="2" max="2" width="8.796875" style="20"/>
    <col min="3" max="3" width="24.59765625" style="20" customWidth="1"/>
    <col min="4" max="4" width="13.09765625" style="20" customWidth="1"/>
    <col min="5" max="5" width="13.296875" style="20" customWidth="1"/>
    <col min="6" max="16384" width="8.796875" style="20"/>
  </cols>
  <sheetData>
    <row r="1" spans="1:19" ht="20.399999999999999">
      <c r="A1" s="41" t="s">
        <v>99</v>
      </c>
      <c r="B1" s="41"/>
      <c r="C1" s="41"/>
      <c r="D1" s="41"/>
      <c r="E1" s="41"/>
    </row>
    <row r="2" spans="1:19" ht="20.399999999999999">
      <c r="A2" s="41" t="s">
        <v>27</v>
      </c>
      <c r="B2" s="41"/>
      <c r="C2" s="41"/>
      <c r="D2" s="41"/>
      <c r="E2" s="41"/>
    </row>
    <row r="3" spans="1:19" ht="20.399999999999999">
      <c r="A3" s="41" t="s">
        <v>98</v>
      </c>
      <c r="B3" s="41"/>
      <c r="C3" s="41"/>
      <c r="D3" s="41"/>
      <c r="E3" s="41"/>
    </row>
    <row r="4" spans="1:19" ht="20.399999999999999">
      <c r="A4" s="3"/>
      <c r="B4" s="3"/>
      <c r="C4" s="3"/>
      <c r="D4" s="3"/>
      <c r="E4" s="3"/>
    </row>
    <row r="5" spans="1:19" ht="20.399999999999999">
      <c r="A5" s="42" t="s">
        <v>11</v>
      </c>
      <c r="B5" s="42"/>
      <c r="C5" s="42"/>
      <c r="D5" s="42"/>
      <c r="E5" s="42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ht="20.399999999999999">
      <c r="A6" s="28"/>
      <c r="B6" s="28"/>
      <c r="C6" s="28"/>
      <c r="D6" s="28"/>
      <c r="E6" s="28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</row>
    <row r="7" spans="1:19" ht="20.399999999999999">
      <c r="A7" s="28"/>
      <c r="B7" s="28"/>
      <c r="C7" s="72" t="s">
        <v>252</v>
      </c>
      <c r="D7" s="72"/>
      <c r="E7" s="72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</row>
    <row r="8" spans="1:19" ht="42" customHeight="1" thickBot="1">
      <c r="A8" s="29" t="s">
        <v>14</v>
      </c>
      <c r="B8" s="29" t="s">
        <v>15</v>
      </c>
      <c r="C8" s="29" t="s">
        <v>4</v>
      </c>
      <c r="D8" s="30" t="s">
        <v>8</v>
      </c>
      <c r="E8" s="30" t="s">
        <v>29</v>
      </c>
    </row>
    <row r="9" spans="1:19" ht="20.399999999999999">
      <c r="A9" s="25" t="s">
        <v>119</v>
      </c>
      <c r="B9" s="26" t="s">
        <v>47</v>
      </c>
      <c r="C9" s="14">
        <f>'درآمد سرمایه گذاری در سهام '!$J$66</f>
        <v>713799927102</v>
      </c>
      <c r="D9" s="7">
        <f>C9/748696355441</f>
        <v>0.95339041243436373</v>
      </c>
      <c r="E9" s="7">
        <f>C9/2126588261757</f>
        <v>0.33565497371468334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</row>
    <row r="10" spans="1:19" ht="20.399999999999999">
      <c r="A10" s="25" t="s">
        <v>22</v>
      </c>
      <c r="B10" s="26" t="s">
        <v>26</v>
      </c>
      <c r="C10" s="14">
        <f>'درآمد سپرده بانکی'!$D$11</f>
        <v>15860745143</v>
      </c>
      <c r="D10" s="7">
        <f>C10/748696355441</f>
        <v>2.1184482905166065E-2</v>
      </c>
      <c r="E10" s="7">
        <f>C10/2126588261757</f>
        <v>7.4583056006787872E-3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</row>
    <row r="11" spans="1:19" ht="20.399999999999999">
      <c r="A11" s="25" t="s">
        <v>118</v>
      </c>
      <c r="B11" s="26" t="s">
        <v>48</v>
      </c>
      <c r="C11" s="14">
        <f>'درآمد سرمایه گذاری مشتقه '!$H$67</f>
        <v>17305992007</v>
      </c>
      <c r="D11" s="7">
        <f>C11/748696355441</f>
        <v>2.311483404618199E-2</v>
      </c>
      <c r="E11" s="7">
        <f>C11/2126588261757</f>
        <v>8.1379138210335485E-3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1:19" ht="20.399999999999999">
      <c r="A12" s="25" t="s">
        <v>12</v>
      </c>
      <c r="B12" s="26" t="s">
        <v>256</v>
      </c>
      <c r="C12" s="14">
        <f>'سایر درآمدها'!C11</f>
        <v>1729691189</v>
      </c>
      <c r="D12" s="7">
        <f>C12/748696355441</f>
        <v>2.310270614288179E-3</v>
      </c>
      <c r="E12" s="7">
        <f>C12/2126588261757</f>
        <v>8.1336440161243007E-4</v>
      </c>
      <c r="F12" s="24"/>
      <c r="G12" s="24"/>
    </row>
    <row r="13" spans="1:19" ht="19.2" thickBot="1">
      <c r="A13" s="25" t="s">
        <v>2</v>
      </c>
      <c r="C13" s="8">
        <f>SUM(C9:C12)</f>
        <v>748696355441</v>
      </c>
      <c r="D13" s="9">
        <f>SUM(D9:D12)</f>
        <v>1</v>
      </c>
      <c r="E13" s="9">
        <f>SUM(E9:E12)</f>
        <v>0.35206455753800814</v>
      </c>
    </row>
    <row r="14" spans="1:19" ht="19.2" thickTop="1"/>
  </sheetData>
  <mergeCells count="5">
    <mergeCell ref="A5:E5"/>
    <mergeCell ref="A3:E3"/>
    <mergeCell ref="A2:E2"/>
    <mergeCell ref="A1:E1"/>
    <mergeCell ref="C7:E7"/>
  </mergeCells>
  <pageMargins left="0.7" right="0.7" top="0.75" bottom="0.75" header="0.3" footer="0.3"/>
  <pageSetup orientation="landscape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A1DF-14F2-4D79-A568-376C5920D247}">
  <dimension ref="A1:K73"/>
  <sheetViews>
    <sheetView rightToLeft="1" view="pageBreakPreview" topLeftCell="A58" zoomScale="85" zoomScaleNormal="100" zoomScaleSheetLayoutView="85" workbookViewId="0">
      <selection activeCell="G8" sqref="G8:G9"/>
    </sheetView>
  </sheetViews>
  <sheetFormatPr defaultColWidth="9.09765625" defaultRowHeight="18"/>
  <cols>
    <col min="1" max="1" width="34.3984375" style="12" customWidth="1"/>
    <col min="2" max="4" width="16.59765625" style="12" customWidth="1"/>
    <col min="5" max="5" width="16.69921875" style="12" customWidth="1"/>
    <col min="6" max="6" width="10.296875" style="12" customWidth="1"/>
    <col min="7" max="9" width="16.59765625" style="12" customWidth="1"/>
    <col min="10" max="10" width="16.69921875" style="12" customWidth="1"/>
    <col min="11" max="11" width="10.296875" style="12" customWidth="1"/>
    <col min="12" max="16384" width="9.09765625" style="12"/>
  </cols>
  <sheetData>
    <row r="1" spans="1:11" ht="20.399999999999999">
      <c r="A1" s="41" t="s">
        <v>99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ht="20.399999999999999">
      <c r="A2" s="41" t="s">
        <v>27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0.399999999999999">
      <c r="A3" s="41" t="s">
        <v>98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r="5" spans="1:11" ht="20.399999999999999">
      <c r="A5" s="42" t="s">
        <v>250</v>
      </c>
      <c r="B5" s="42"/>
      <c r="C5" s="42"/>
      <c r="D5" s="42"/>
      <c r="E5" s="42"/>
      <c r="F5" s="42"/>
      <c r="G5" s="42"/>
      <c r="H5" s="42"/>
      <c r="I5" s="42"/>
      <c r="J5" s="42"/>
      <c r="K5" s="42"/>
    </row>
    <row r="7" spans="1:11" ht="19.5" customHeight="1" thickBot="1">
      <c r="A7" s="58"/>
      <c r="B7" s="50" t="s">
        <v>251</v>
      </c>
      <c r="C7" s="50"/>
      <c r="D7" s="50"/>
      <c r="E7" s="50"/>
      <c r="F7" s="50"/>
      <c r="G7" s="50" t="s">
        <v>252</v>
      </c>
      <c r="H7" s="50"/>
      <c r="I7" s="50"/>
      <c r="J7" s="50"/>
      <c r="K7" s="50"/>
    </row>
    <row r="8" spans="1:11" ht="19.5" customHeight="1" thickBot="1">
      <c r="A8" s="40" t="s">
        <v>155</v>
      </c>
      <c r="B8" s="51" t="s">
        <v>154</v>
      </c>
      <c r="C8" s="51" t="s">
        <v>5</v>
      </c>
      <c r="D8" s="51" t="s">
        <v>6</v>
      </c>
      <c r="E8" s="51" t="s">
        <v>2</v>
      </c>
      <c r="F8" s="51"/>
      <c r="G8" s="51" t="s">
        <v>154</v>
      </c>
      <c r="H8" s="51" t="s">
        <v>5</v>
      </c>
      <c r="I8" s="51" t="s">
        <v>6</v>
      </c>
      <c r="J8" s="51" t="s">
        <v>2</v>
      </c>
      <c r="K8" s="51"/>
    </row>
    <row r="9" spans="1:11" ht="34.200000000000003" customHeight="1" thickBot="1">
      <c r="A9" s="39"/>
      <c r="B9" s="50"/>
      <c r="C9" s="50" t="s">
        <v>153</v>
      </c>
      <c r="D9" s="50" t="s">
        <v>153</v>
      </c>
      <c r="E9" s="19" t="s">
        <v>4</v>
      </c>
      <c r="F9" s="19" t="s">
        <v>152</v>
      </c>
      <c r="G9" s="50"/>
      <c r="H9" s="50" t="s">
        <v>153</v>
      </c>
      <c r="I9" s="50" t="s">
        <v>153</v>
      </c>
      <c r="J9" s="19" t="s">
        <v>4</v>
      </c>
      <c r="K9" s="19" t="s">
        <v>152</v>
      </c>
    </row>
    <row r="10" spans="1:11">
      <c r="A10" s="6" t="s">
        <v>87</v>
      </c>
      <c r="B10" s="14">
        <v>0</v>
      </c>
      <c r="C10" s="14">
        <v>24671801280</v>
      </c>
      <c r="D10" s="14">
        <v>0</v>
      </c>
      <c r="E10" s="14">
        <v>24671801280</v>
      </c>
      <c r="F10" s="7">
        <v>6.2670523201967421E-2</v>
      </c>
      <c r="G10" s="14">
        <v>1064000000</v>
      </c>
      <c r="H10" s="14">
        <v>22213054033</v>
      </c>
      <c r="I10" s="14">
        <v>0</v>
      </c>
      <c r="J10" s="14">
        <v>23277054033</v>
      </c>
      <c r="K10" s="7">
        <v>3.109011265226376E-2</v>
      </c>
    </row>
    <row r="11" spans="1:11">
      <c r="A11" s="6" t="s">
        <v>68</v>
      </c>
      <c r="B11" s="14">
        <v>0</v>
      </c>
      <c r="C11" s="14">
        <v>1532415300</v>
      </c>
      <c r="D11" s="14">
        <v>0</v>
      </c>
      <c r="E11" s="14">
        <v>1532415300</v>
      </c>
      <c r="F11" s="7">
        <v>3.8925924995817682E-3</v>
      </c>
      <c r="G11" s="14">
        <v>0</v>
      </c>
      <c r="H11" s="14">
        <v>1532415300</v>
      </c>
      <c r="I11" s="14">
        <v>0</v>
      </c>
      <c r="J11" s="14">
        <v>1532415300</v>
      </c>
      <c r="K11" s="7">
        <v>2.0467780948357508E-3</v>
      </c>
    </row>
    <row r="12" spans="1:11">
      <c r="A12" s="6" t="s">
        <v>151</v>
      </c>
      <c r="B12" s="14">
        <v>0</v>
      </c>
      <c r="C12" s="14">
        <v>-311997921</v>
      </c>
      <c r="D12" s="14">
        <v>0</v>
      </c>
      <c r="E12" s="14">
        <v>-311997921</v>
      </c>
      <c r="F12" s="7">
        <v>-7.9252717404329303E-4</v>
      </c>
      <c r="G12" s="14">
        <v>0</v>
      </c>
      <c r="H12" s="14">
        <v>-311997921</v>
      </c>
      <c r="I12" s="14">
        <v>0</v>
      </c>
      <c r="J12" s="14">
        <v>-311997921</v>
      </c>
      <c r="K12" s="7">
        <v>-4.1672157041051146E-4</v>
      </c>
    </row>
    <row r="13" spans="1:11">
      <c r="A13" s="6" t="s">
        <v>88</v>
      </c>
      <c r="B13" s="14">
        <v>0</v>
      </c>
      <c r="C13" s="14">
        <v>4737874919</v>
      </c>
      <c r="D13" s="14">
        <v>-18410591</v>
      </c>
      <c r="E13" s="14">
        <v>4719464328</v>
      </c>
      <c r="F13" s="7">
        <v>1.1988232853859205E-2</v>
      </c>
      <c r="G13" s="14">
        <v>0</v>
      </c>
      <c r="H13" s="14">
        <v>822691056</v>
      </c>
      <c r="I13" s="14">
        <v>-540329991</v>
      </c>
      <c r="J13" s="14">
        <v>282361065</v>
      </c>
      <c r="K13" s="7">
        <v>3.7713695672217157E-4</v>
      </c>
    </row>
    <row r="14" spans="1:11">
      <c r="A14" s="6" t="s">
        <v>150</v>
      </c>
      <c r="B14" s="14">
        <v>0</v>
      </c>
      <c r="C14" s="14">
        <v>13217036400</v>
      </c>
      <c r="D14" s="14">
        <v>0</v>
      </c>
      <c r="E14" s="14">
        <v>13217036400</v>
      </c>
      <c r="F14" s="7">
        <v>3.357349457248255E-2</v>
      </c>
      <c r="G14" s="14">
        <v>2400000000</v>
      </c>
      <c r="H14" s="14">
        <v>14445889169</v>
      </c>
      <c r="I14" s="14">
        <v>0</v>
      </c>
      <c r="J14" s="14">
        <v>16845889169</v>
      </c>
      <c r="K14" s="7">
        <v>2.2500295408914298E-2</v>
      </c>
    </row>
    <row r="15" spans="1:11">
      <c r="A15" s="6" t="s">
        <v>78</v>
      </c>
      <c r="B15" s="14">
        <v>0</v>
      </c>
      <c r="C15" s="14">
        <v>5985438685</v>
      </c>
      <c r="D15" s="14">
        <v>0</v>
      </c>
      <c r="E15" s="14">
        <v>5985438685</v>
      </c>
      <c r="F15" s="7">
        <v>1.520402056279232E-2</v>
      </c>
      <c r="G15" s="14">
        <v>0</v>
      </c>
      <c r="H15" s="14">
        <v>16682109285</v>
      </c>
      <c r="I15" s="14">
        <v>0</v>
      </c>
      <c r="J15" s="14">
        <v>16682109285</v>
      </c>
      <c r="K15" s="7">
        <v>2.2281541994649941E-2</v>
      </c>
    </row>
    <row r="16" spans="1:11">
      <c r="A16" s="6" t="s">
        <v>90</v>
      </c>
      <c r="B16" s="14">
        <v>0</v>
      </c>
      <c r="C16" s="14">
        <v>7452301999</v>
      </c>
      <c r="D16" s="14">
        <v>0</v>
      </c>
      <c r="E16" s="14">
        <v>7452301999</v>
      </c>
      <c r="F16" s="7">
        <v>1.8930099996995343E-2</v>
      </c>
      <c r="G16" s="14">
        <v>0</v>
      </c>
      <c r="H16" s="14">
        <v>7452301999</v>
      </c>
      <c r="I16" s="14">
        <v>0</v>
      </c>
      <c r="J16" s="14">
        <v>7452301999</v>
      </c>
      <c r="K16" s="7">
        <v>9.9537041216267389E-3</v>
      </c>
    </row>
    <row r="17" spans="1:11">
      <c r="A17" s="6" t="s">
        <v>149</v>
      </c>
      <c r="B17" s="14">
        <v>0</v>
      </c>
      <c r="C17" s="14">
        <v>2489637251</v>
      </c>
      <c r="D17" s="14">
        <v>545721415</v>
      </c>
      <c r="E17" s="14">
        <v>3035358666</v>
      </c>
      <c r="F17" s="7">
        <v>7.7103213318296428E-3</v>
      </c>
      <c r="G17" s="14">
        <v>3836000000</v>
      </c>
      <c r="H17" s="14">
        <v>3046043530</v>
      </c>
      <c r="I17" s="14">
        <v>710617759</v>
      </c>
      <c r="J17" s="14">
        <v>7592661289</v>
      </c>
      <c r="K17" s="7">
        <v>1.0141175703370081E-2</v>
      </c>
    </row>
    <row r="18" spans="1:11">
      <c r="A18" s="6" t="s">
        <v>59</v>
      </c>
      <c r="B18" s="14">
        <v>0</v>
      </c>
      <c r="C18" s="14">
        <v>4971272700</v>
      </c>
      <c r="D18" s="14">
        <v>-4501771300</v>
      </c>
      <c r="E18" s="14">
        <v>469501400</v>
      </c>
      <c r="F18" s="7">
        <v>1.192612491002367E-3</v>
      </c>
      <c r="G18" s="14">
        <v>833200000</v>
      </c>
      <c r="H18" s="14">
        <v>0</v>
      </c>
      <c r="I18" s="14">
        <v>-4501771300</v>
      </c>
      <c r="J18" s="14">
        <v>-3668571300</v>
      </c>
      <c r="K18" s="7">
        <v>-4.8999454496330809E-3</v>
      </c>
    </row>
    <row r="19" spans="1:11">
      <c r="A19" s="6" t="s">
        <v>148</v>
      </c>
      <c r="B19" s="14">
        <v>4275000000</v>
      </c>
      <c r="C19" s="14">
        <v>50786094817</v>
      </c>
      <c r="D19" s="14">
        <v>3077828697</v>
      </c>
      <c r="E19" s="14">
        <v>58138923514</v>
      </c>
      <c r="F19" s="7">
        <v>0.14768264034191939</v>
      </c>
      <c r="G19" s="14">
        <v>4275000000</v>
      </c>
      <c r="H19" s="14">
        <v>128127877657</v>
      </c>
      <c r="I19" s="14">
        <v>17781464866</v>
      </c>
      <c r="J19" s="14">
        <v>150184342523</v>
      </c>
      <c r="K19" s="7">
        <v>0.20059446186904148</v>
      </c>
    </row>
    <row r="20" spans="1:11">
      <c r="A20" s="6" t="s">
        <v>75</v>
      </c>
      <c r="B20" s="14">
        <v>5632000000</v>
      </c>
      <c r="C20" s="14">
        <v>2310275071</v>
      </c>
      <c r="D20" s="14">
        <v>1929918869</v>
      </c>
      <c r="E20" s="14">
        <v>9872193940</v>
      </c>
      <c r="F20" s="7">
        <v>2.5077032371877639E-2</v>
      </c>
      <c r="G20" s="14">
        <v>5632000000</v>
      </c>
      <c r="H20" s="14">
        <v>8410408701</v>
      </c>
      <c r="I20" s="14">
        <v>1929918869</v>
      </c>
      <c r="J20" s="14">
        <v>15972327570</v>
      </c>
      <c r="K20" s="7">
        <v>2.1333518527136303E-2</v>
      </c>
    </row>
    <row r="21" spans="1:11">
      <c r="A21" s="6" t="s">
        <v>147</v>
      </c>
      <c r="B21" s="14">
        <v>1255105500</v>
      </c>
      <c r="C21" s="14">
        <v>21838528352</v>
      </c>
      <c r="D21" s="14">
        <v>-16518244761</v>
      </c>
      <c r="E21" s="14">
        <v>6575389091</v>
      </c>
      <c r="F21" s="7">
        <v>1.6702593779544216E-2</v>
      </c>
      <c r="G21" s="14">
        <v>1255105500</v>
      </c>
      <c r="H21" s="14">
        <v>0</v>
      </c>
      <c r="I21" s="14">
        <v>-17820922254</v>
      </c>
      <c r="J21" s="14">
        <v>-16565816754</v>
      </c>
      <c r="K21" s="7">
        <v>-2.2126215298914256E-2</v>
      </c>
    </row>
    <row r="22" spans="1:11">
      <c r="A22" s="6" t="s">
        <v>86</v>
      </c>
      <c r="B22" s="14">
        <v>0</v>
      </c>
      <c r="C22" s="14">
        <v>0</v>
      </c>
      <c r="D22" s="14">
        <v>84565445</v>
      </c>
      <c r="E22" s="14">
        <v>84565445</v>
      </c>
      <c r="F22" s="7">
        <v>2.1481044787975855E-4</v>
      </c>
      <c r="G22" s="14">
        <v>0</v>
      </c>
      <c r="H22" s="14">
        <v>0</v>
      </c>
      <c r="I22" s="14">
        <v>31021005</v>
      </c>
      <c r="J22" s="14">
        <v>31021005</v>
      </c>
      <c r="K22" s="7">
        <v>4.1433359164314204E-5</v>
      </c>
    </row>
    <row r="23" spans="1:11">
      <c r="A23" s="6" t="s">
        <v>146</v>
      </c>
      <c r="B23" s="14">
        <v>0</v>
      </c>
      <c r="C23" s="14">
        <v>266337988</v>
      </c>
      <c r="D23" s="14">
        <v>0</v>
      </c>
      <c r="E23" s="14">
        <v>266337988</v>
      </c>
      <c r="F23" s="7">
        <v>6.7654326763932665E-4</v>
      </c>
      <c r="G23" s="14">
        <v>1267666600</v>
      </c>
      <c r="H23" s="14">
        <v>-107191150</v>
      </c>
      <c r="I23" s="14">
        <v>-2477556698</v>
      </c>
      <c r="J23" s="14">
        <v>-1317081248</v>
      </c>
      <c r="K23" s="7">
        <v>-1.7591661004202534E-3</v>
      </c>
    </row>
    <row r="24" spans="1:11">
      <c r="A24" s="6" t="s">
        <v>145</v>
      </c>
      <c r="B24" s="14">
        <v>0</v>
      </c>
      <c r="C24" s="14">
        <v>26248138350</v>
      </c>
      <c r="D24" s="14">
        <v>0</v>
      </c>
      <c r="E24" s="14">
        <v>26248138350</v>
      </c>
      <c r="F24" s="7">
        <v>6.6674684381704208E-2</v>
      </c>
      <c r="G24" s="14">
        <v>10412200340</v>
      </c>
      <c r="H24" s="14">
        <v>79703389915</v>
      </c>
      <c r="I24" s="14">
        <v>0</v>
      </c>
      <c r="J24" s="14">
        <v>90115590255</v>
      </c>
      <c r="K24" s="7">
        <v>0.12036333501572846</v>
      </c>
    </row>
    <row r="25" spans="1:11">
      <c r="A25" s="6" t="s">
        <v>72</v>
      </c>
      <c r="B25" s="14">
        <v>0</v>
      </c>
      <c r="C25" s="14">
        <v>-1123431282</v>
      </c>
      <c r="D25" s="14">
        <v>3168479892</v>
      </c>
      <c r="E25" s="14">
        <v>2045048610</v>
      </c>
      <c r="F25" s="7">
        <v>5.1947672935438068E-3</v>
      </c>
      <c r="G25" s="14">
        <v>0</v>
      </c>
      <c r="H25" s="14">
        <v>3704962103</v>
      </c>
      <c r="I25" s="14">
        <v>3168479892</v>
      </c>
      <c r="J25" s="14">
        <v>6873441995</v>
      </c>
      <c r="K25" s="7">
        <v>9.1805468866632579E-3</v>
      </c>
    </row>
    <row r="26" spans="1:11">
      <c r="A26" s="6" t="s">
        <v>144</v>
      </c>
      <c r="B26" s="14">
        <v>0</v>
      </c>
      <c r="C26" s="14">
        <v>32805754201</v>
      </c>
      <c r="D26" s="14">
        <v>-645893215</v>
      </c>
      <c r="E26" s="14">
        <v>32159860986</v>
      </c>
      <c r="F26" s="7">
        <v>8.169145378651331E-2</v>
      </c>
      <c r="G26" s="14">
        <v>4948500000</v>
      </c>
      <c r="H26" s="14">
        <v>20917117445</v>
      </c>
      <c r="I26" s="14">
        <v>-1643604354</v>
      </c>
      <c r="J26" s="14">
        <v>24222013091</v>
      </c>
      <c r="K26" s="7">
        <v>3.2352251904221779E-2</v>
      </c>
    </row>
    <row r="27" spans="1:11">
      <c r="A27" s="6" t="s">
        <v>58</v>
      </c>
      <c r="B27" s="14">
        <v>0</v>
      </c>
      <c r="C27" s="14">
        <v>-104188350</v>
      </c>
      <c r="D27" s="14">
        <v>0</v>
      </c>
      <c r="E27" s="14">
        <v>-104188350</v>
      </c>
      <c r="F27" s="7">
        <v>-2.6465592568398403E-4</v>
      </c>
      <c r="G27" s="14">
        <v>5196000000</v>
      </c>
      <c r="H27" s="14">
        <v>10351785964</v>
      </c>
      <c r="I27" s="14">
        <v>1021799919</v>
      </c>
      <c r="J27" s="14">
        <v>16569585883</v>
      </c>
      <c r="K27" s="7">
        <v>2.2131249554754571E-2</v>
      </c>
    </row>
    <row r="28" spans="1:11">
      <c r="A28" s="6" t="s">
        <v>85</v>
      </c>
      <c r="B28" s="14">
        <v>5932691760</v>
      </c>
      <c r="C28" s="14">
        <v>32121627071</v>
      </c>
      <c r="D28" s="14">
        <v>0</v>
      </c>
      <c r="E28" s="14">
        <v>38054318831</v>
      </c>
      <c r="F28" s="7">
        <v>9.6664367719536501E-2</v>
      </c>
      <c r="G28" s="14">
        <v>5932691760</v>
      </c>
      <c r="H28" s="14">
        <v>30891318692</v>
      </c>
      <c r="I28" s="14">
        <v>120554284</v>
      </c>
      <c r="J28" s="14">
        <v>36944564736</v>
      </c>
      <c r="K28" s="7">
        <v>4.9345191101189172E-2</v>
      </c>
    </row>
    <row r="29" spans="1:11">
      <c r="A29" s="6" t="s">
        <v>143</v>
      </c>
      <c r="B29" s="14">
        <v>0</v>
      </c>
      <c r="C29" s="14">
        <v>2295303706</v>
      </c>
      <c r="D29" s="14">
        <v>-1135016366</v>
      </c>
      <c r="E29" s="14">
        <v>1160287340</v>
      </c>
      <c r="F29" s="7">
        <v>2.9473249171054878E-3</v>
      </c>
      <c r="G29" s="14">
        <v>702000000</v>
      </c>
      <c r="H29" s="14">
        <v>1155605082</v>
      </c>
      <c r="I29" s="14">
        <v>-1135016366</v>
      </c>
      <c r="J29" s="14">
        <v>722588716</v>
      </c>
      <c r="K29" s="7">
        <v>9.6512920191040334E-4</v>
      </c>
    </row>
    <row r="30" spans="1:11">
      <c r="A30" s="6" t="s">
        <v>70</v>
      </c>
      <c r="B30" s="14">
        <v>0</v>
      </c>
      <c r="C30" s="14">
        <v>664820900</v>
      </c>
      <c r="D30" s="14">
        <v>0</v>
      </c>
      <c r="E30" s="14">
        <v>664820900</v>
      </c>
      <c r="F30" s="7">
        <v>1.6887568591263744E-3</v>
      </c>
      <c r="G30" s="14">
        <v>512500000</v>
      </c>
      <c r="H30" s="14">
        <v>1596131558</v>
      </c>
      <c r="I30" s="14">
        <v>974614607</v>
      </c>
      <c r="J30" s="14">
        <v>3083246165</v>
      </c>
      <c r="K30" s="7">
        <v>4.1181530303882599E-3</v>
      </c>
    </row>
    <row r="31" spans="1:11">
      <c r="A31" s="6" t="s">
        <v>80</v>
      </c>
      <c r="B31" s="14">
        <v>0</v>
      </c>
      <c r="C31" s="14">
        <v>2507813585</v>
      </c>
      <c r="D31" s="14">
        <v>0</v>
      </c>
      <c r="E31" s="14">
        <v>2507813585</v>
      </c>
      <c r="F31" s="7">
        <v>6.3702681324835806E-3</v>
      </c>
      <c r="G31" s="14">
        <v>0</v>
      </c>
      <c r="H31" s="14">
        <v>3762512264</v>
      </c>
      <c r="I31" s="14">
        <v>2372623224</v>
      </c>
      <c r="J31" s="14">
        <v>6135135488</v>
      </c>
      <c r="K31" s="7">
        <v>8.1944241392577083E-3</v>
      </c>
    </row>
    <row r="32" spans="1:11">
      <c r="A32" s="6" t="s">
        <v>142</v>
      </c>
      <c r="B32" s="14">
        <v>0</v>
      </c>
      <c r="C32" s="14">
        <v>162426851</v>
      </c>
      <c r="D32" s="14">
        <v>-227267771</v>
      </c>
      <c r="E32" s="14">
        <v>-64840920</v>
      </c>
      <c r="F32" s="7">
        <v>-1.6470683819065334E-4</v>
      </c>
      <c r="G32" s="14">
        <v>0</v>
      </c>
      <c r="H32" s="14">
        <v>0</v>
      </c>
      <c r="I32" s="14">
        <v>-227267771</v>
      </c>
      <c r="J32" s="14">
        <v>-227267771</v>
      </c>
      <c r="K32" s="7">
        <v>-3.0355132537827548E-4</v>
      </c>
    </row>
    <row r="33" spans="1:11">
      <c r="A33" s="6" t="s">
        <v>141</v>
      </c>
      <c r="B33" s="14">
        <v>0</v>
      </c>
      <c r="C33" s="14">
        <v>15188087055</v>
      </c>
      <c r="D33" s="14">
        <v>-607351765</v>
      </c>
      <c r="E33" s="14">
        <v>14580735290</v>
      </c>
      <c r="F33" s="7">
        <v>3.7037519025189321E-2</v>
      </c>
      <c r="G33" s="14">
        <v>4785000000</v>
      </c>
      <c r="H33" s="14">
        <v>996078643</v>
      </c>
      <c r="I33" s="14">
        <v>-746919044</v>
      </c>
      <c r="J33" s="14">
        <v>5034159599</v>
      </c>
      <c r="K33" s="7">
        <v>6.7239002332724861E-3</v>
      </c>
    </row>
    <row r="34" spans="1:11">
      <c r="A34" s="6" t="s">
        <v>140</v>
      </c>
      <c r="B34" s="14">
        <v>0</v>
      </c>
      <c r="C34" s="14">
        <v>-5582309043</v>
      </c>
      <c r="D34" s="14">
        <v>5192177413</v>
      </c>
      <c r="E34" s="14">
        <v>-390131630</v>
      </c>
      <c r="F34" s="7">
        <v>-9.9099993114634753E-4</v>
      </c>
      <c r="G34" s="14">
        <v>0</v>
      </c>
      <c r="H34" s="14">
        <v>0</v>
      </c>
      <c r="I34" s="14">
        <v>5908337489</v>
      </c>
      <c r="J34" s="14">
        <v>5908337489</v>
      </c>
      <c r="K34" s="7">
        <v>7.8915002671808773E-3</v>
      </c>
    </row>
    <row r="35" spans="1:11">
      <c r="A35" s="6" t="s">
        <v>83</v>
      </c>
      <c r="B35" s="14">
        <v>0</v>
      </c>
      <c r="C35" s="14">
        <v>9896235530</v>
      </c>
      <c r="D35" s="14">
        <v>0</v>
      </c>
      <c r="E35" s="14">
        <v>9896235530</v>
      </c>
      <c r="F35" s="7">
        <v>2.5138102052474031E-2</v>
      </c>
      <c r="G35" s="14">
        <v>0</v>
      </c>
      <c r="H35" s="14">
        <v>9896235530</v>
      </c>
      <c r="I35" s="14">
        <v>0</v>
      </c>
      <c r="J35" s="14">
        <v>9896235530</v>
      </c>
      <c r="K35" s="7">
        <v>1.3217956062001773E-2</v>
      </c>
    </row>
    <row r="36" spans="1:11">
      <c r="A36" s="6" t="s">
        <v>139</v>
      </c>
      <c r="B36" s="14">
        <v>0</v>
      </c>
      <c r="C36" s="14">
        <v>2194293345</v>
      </c>
      <c r="D36" s="14">
        <v>0</v>
      </c>
      <c r="E36" s="14">
        <v>2194293345</v>
      </c>
      <c r="F36" s="7">
        <v>5.5738740122401476E-3</v>
      </c>
      <c r="G36" s="14">
        <v>0</v>
      </c>
      <c r="H36" s="14">
        <v>2194293345</v>
      </c>
      <c r="I36" s="14">
        <v>0</v>
      </c>
      <c r="J36" s="14">
        <v>2194293345</v>
      </c>
      <c r="K36" s="7">
        <v>2.9308187879551104E-3</v>
      </c>
    </row>
    <row r="37" spans="1:11">
      <c r="A37" s="6" t="s">
        <v>138</v>
      </c>
      <c r="B37" s="14">
        <v>568525920</v>
      </c>
      <c r="C37" s="14">
        <v>-6944439403</v>
      </c>
      <c r="D37" s="14">
        <v>7915310501</v>
      </c>
      <c r="E37" s="14">
        <v>1539397018</v>
      </c>
      <c r="F37" s="7">
        <v>3.9103272371042892E-3</v>
      </c>
      <c r="G37" s="14">
        <v>568525920</v>
      </c>
      <c r="H37" s="14">
        <v>2881896354</v>
      </c>
      <c r="I37" s="14">
        <v>8398679107</v>
      </c>
      <c r="J37" s="14">
        <v>11849101381</v>
      </c>
      <c r="K37" s="7">
        <v>1.5826311020334268E-2</v>
      </c>
    </row>
    <row r="38" spans="1:11">
      <c r="A38" s="6" t="s">
        <v>56</v>
      </c>
      <c r="B38" s="14">
        <v>0</v>
      </c>
      <c r="C38" s="14">
        <v>2270445733</v>
      </c>
      <c r="D38" s="14">
        <v>-1212359761</v>
      </c>
      <c r="E38" s="14">
        <v>1058085972</v>
      </c>
      <c r="F38" s="7">
        <v>2.687716259763189E-3</v>
      </c>
      <c r="G38" s="14">
        <v>1514097200</v>
      </c>
      <c r="H38" s="14">
        <v>-852577444</v>
      </c>
      <c r="I38" s="14">
        <v>-1212359761</v>
      </c>
      <c r="J38" s="14">
        <v>-550840005</v>
      </c>
      <c r="K38" s="7">
        <v>-7.3573218434533729E-4</v>
      </c>
    </row>
    <row r="39" spans="1:11">
      <c r="A39" s="6" t="s">
        <v>74</v>
      </c>
      <c r="B39" s="14">
        <v>0</v>
      </c>
      <c r="C39" s="14">
        <v>14492103350</v>
      </c>
      <c r="D39" s="14">
        <v>0</v>
      </c>
      <c r="E39" s="14">
        <v>14492103350</v>
      </c>
      <c r="F39" s="7">
        <v>3.6812378996329401E-2</v>
      </c>
      <c r="G39" s="14">
        <v>0</v>
      </c>
      <c r="H39" s="14">
        <v>14218236830</v>
      </c>
      <c r="I39" s="14">
        <v>632249560</v>
      </c>
      <c r="J39" s="14">
        <v>14850486390</v>
      </c>
      <c r="K39" s="7">
        <v>1.9835125791754001E-2</v>
      </c>
    </row>
    <row r="40" spans="1:11">
      <c r="A40" s="6" t="s">
        <v>52</v>
      </c>
      <c r="B40" s="14">
        <v>0</v>
      </c>
      <c r="C40" s="14">
        <v>15490578074</v>
      </c>
      <c r="D40" s="14">
        <v>17286985926</v>
      </c>
      <c r="E40" s="14">
        <v>32777564000</v>
      </c>
      <c r="F40" s="7">
        <v>8.3260523293497118E-2</v>
      </c>
      <c r="G40" s="14">
        <v>3237500000</v>
      </c>
      <c r="H40" s="14">
        <v>43235056818</v>
      </c>
      <c r="I40" s="14">
        <v>21358978889</v>
      </c>
      <c r="J40" s="14">
        <v>67831535707</v>
      </c>
      <c r="K40" s="7">
        <v>9.059952704998224E-2</v>
      </c>
    </row>
    <row r="41" spans="1:11">
      <c r="A41" s="6" t="s">
        <v>79</v>
      </c>
      <c r="B41" s="14">
        <v>0</v>
      </c>
      <c r="C41" s="14">
        <v>2047507208</v>
      </c>
      <c r="D41" s="14">
        <v>6984985429</v>
      </c>
      <c r="E41" s="14">
        <v>9032492637</v>
      </c>
      <c r="F41" s="7">
        <v>2.2944049887333902E-2</v>
      </c>
      <c r="G41" s="14">
        <v>0</v>
      </c>
      <c r="H41" s="14">
        <v>8401850195</v>
      </c>
      <c r="I41" s="14">
        <v>30634248241</v>
      </c>
      <c r="J41" s="14">
        <v>39036098436</v>
      </c>
      <c r="K41" s="7">
        <v>5.2138758459705344E-2</v>
      </c>
    </row>
    <row r="42" spans="1:11">
      <c r="A42" s="6" t="s">
        <v>53</v>
      </c>
      <c r="B42" s="14">
        <v>0</v>
      </c>
      <c r="C42" s="14">
        <v>11834721037</v>
      </c>
      <c r="D42" s="14">
        <v>0</v>
      </c>
      <c r="E42" s="14">
        <v>11834721037</v>
      </c>
      <c r="F42" s="7">
        <v>3.0062181148458104E-2</v>
      </c>
      <c r="G42" s="14">
        <v>0</v>
      </c>
      <c r="H42" s="14">
        <v>11834721037</v>
      </c>
      <c r="I42" s="14">
        <v>0</v>
      </c>
      <c r="J42" s="14">
        <v>11834721037</v>
      </c>
      <c r="K42" s="7">
        <v>1.5807103842557197E-2</v>
      </c>
    </row>
    <row r="43" spans="1:11">
      <c r="A43" s="6" t="s">
        <v>137</v>
      </c>
      <c r="B43" s="14">
        <v>0</v>
      </c>
      <c r="C43" s="14">
        <v>7277232509</v>
      </c>
      <c r="D43" s="14">
        <v>0</v>
      </c>
      <c r="E43" s="14">
        <v>7277232509</v>
      </c>
      <c r="F43" s="7">
        <v>1.8485394058807697E-2</v>
      </c>
      <c r="G43" s="14">
        <v>1246176666</v>
      </c>
      <c r="H43" s="14">
        <v>20193108594</v>
      </c>
      <c r="I43" s="14">
        <v>0</v>
      </c>
      <c r="J43" s="14">
        <v>21439285260</v>
      </c>
      <c r="K43" s="7">
        <v>2.8635487676939138E-2</v>
      </c>
    </row>
    <row r="44" spans="1:11">
      <c r="A44" s="6" t="s">
        <v>91</v>
      </c>
      <c r="B44" s="14">
        <v>0</v>
      </c>
      <c r="C44" s="14">
        <v>8020267480</v>
      </c>
      <c r="D44" s="14">
        <v>0</v>
      </c>
      <c r="E44" s="14">
        <v>8020267480</v>
      </c>
      <c r="F44" s="7">
        <v>2.0372827808027998E-2</v>
      </c>
      <c r="G44" s="14">
        <v>2080000000</v>
      </c>
      <c r="H44" s="14">
        <v>17301885253</v>
      </c>
      <c r="I44" s="14">
        <v>0</v>
      </c>
      <c r="J44" s="14">
        <v>19381885253</v>
      </c>
      <c r="K44" s="7">
        <v>2.5887511154750589E-2</v>
      </c>
    </row>
    <row r="45" spans="1:11">
      <c r="A45" s="6" t="s">
        <v>57</v>
      </c>
      <c r="B45" s="14">
        <v>866250000</v>
      </c>
      <c r="C45" s="14">
        <v>1543624826</v>
      </c>
      <c r="D45" s="14">
        <v>0</v>
      </c>
      <c r="E45" s="14">
        <v>2409874826</v>
      </c>
      <c r="F45" s="7">
        <v>6.1214872186531408E-3</v>
      </c>
      <c r="G45" s="14">
        <v>866250000</v>
      </c>
      <c r="H45" s="14">
        <v>822492604</v>
      </c>
      <c r="I45" s="14">
        <v>-528735396</v>
      </c>
      <c r="J45" s="14">
        <v>1160007208</v>
      </c>
      <c r="K45" s="7">
        <v>1.549369379949403E-3</v>
      </c>
    </row>
    <row r="46" spans="1:11">
      <c r="A46" s="6" t="s">
        <v>67</v>
      </c>
      <c r="B46" s="14">
        <v>0</v>
      </c>
      <c r="C46" s="14">
        <v>10658964340</v>
      </c>
      <c r="D46" s="14">
        <v>0</v>
      </c>
      <c r="E46" s="14">
        <v>10658964340</v>
      </c>
      <c r="F46" s="7">
        <v>2.7075561463784349E-2</v>
      </c>
      <c r="G46" s="14">
        <v>5904000000</v>
      </c>
      <c r="H46" s="14">
        <v>6140562887</v>
      </c>
      <c r="I46" s="14">
        <v>10229398</v>
      </c>
      <c r="J46" s="14">
        <v>12054792285</v>
      </c>
      <c r="K46" s="7">
        <v>1.6101043096302291E-2</v>
      </c>
    </row>
    <row r="47" spans="1:11">
      <c r="A47" s="6" t="s">
        <v>77</v>
      </c>
      <c r="B47" s="14">
        <v>0</v>
      </c>
      <c r="C47" s="14">
        <v>19818812954</v>
      </c>
      <c r="D47" s="14">
        <v>2254149988</v>
      </c>
      <c r="E47" s="14">
        <v>22072962942</v>
      </c>
      <c r="F47" s="7">
        <v>5.6069036893311837E-2</v>
      </c>
      <c r="G47" s="14">
        <v>0</v>
      </c>
      <c r="H47" s="14">
        <v>44814714029</v>
      </c>
      <c r="I47" s="14">
        <v>4472772424</v>
      </c>
      <c r="J47" s="14">
        <v>49287486453</v>
      </c>
      <c r="K47" s="7">
        <v>6.5831075702203062E-2</v>
      </c>
    </row>
    <row r="48" spans="1:11">
      <c r="A48" s="6" t="s">
        <v>136</v>
      </c>
      <c r="B48" s="14">
        <v>1694325000</v>
      </c>
      <c r="C48" s="14">
        <v>-8603497593</v>
      </c>
      <c r="D48" s="14">
        <v>10835162910</v>
      </c>
      <c r="E48" s="14">
        <v>3925990317</v>
      </c>
      <c r="F48" s="7">
        <v>9.9726754629667624E-3</v>
      </c>
      <c r="G48" s="14">
        <v>1694325000</v>
      </c>
      <c r="H48" s="14">
        <v>7619681467</v>
      </c>
      <c r="I48" s="14">
        <v>18046288206</v>
      </c>
      <c r="J48" s="14">
        <v>27360294673</v>
      </c>
      <c r="K48" s="7">
        <v>3.654391326225187E-2</v>
      </c>
    </row>
    <row r="49" spans="1:11">
      <c r="A49" s="6" t="s">
        <v>135</v>
      </c>
      <c r="B49" s="14">
        <v>0</v>
      </c>
      <c r="C49" s="14">
        <v>92706893</v>
      </c>
      <c r="D49" s="14">
        <v>0</v>
      </c>
      <c r="E49" s="14">
        <v>92706893</v>
      </c>
      <c r="F49" s="7">
        <v>2.3549109458208199E-4</v>
      </c>
      <c r="G49" s="14">
        <v>0</v>
      </c>
      <c r="H49" s="14">
        <v>1582832340</v>
      </c>
      <c r="I49" s="14">
        <v>0</v>
      </c>
      <c r="J49" s="14">
        <v>1582832340</v>
      </c>
      <c r="K49" s="7">
        <v>2.1141178643345662E-3</v>
      </c>
    </row>
    <row r="50" spans="1:11">
      <c r="A50" s="6" t="s">
        <v>134</v>
      </c>
      <c r="B50" s="14">
        <v>0</v>
      </c>
      <c r="C50" s="14">
        <v>0</v>
      </c>
      <c r="D50" s="14">
        <v>0</v>
      </c>
      <c r="E50" s="14">
        <v>0</v>
      </c>
      <c r="F50" s="7">
        <v>0</v>
      </c>
      <c r="G50" s="14">
        <v>0</v>
      </c>
      <c r="H50" s="14">
        <v>0</v>
      </c>
      <c r="I50" s="14">
        <v>-1420212200</v>
      </c>
      <c r="J50" s="14">
        <v>-1420212200</v>
      </c>
      <c r="K50" s="7">
        <v>-1.8969134678950869E-3</v>
      </c>
    </row>
    <row r="51" spans="1:11">
      <c r="A51" s="6" t="s">
        <v>133</v>
      </c>
      <c r="B51" s="14">
        <v>0</v>
      </c>
      <c r="C51" s="14">
        <v>0</v>
      </c>
      <c r="D51" s="14">
        <v>0</v>
      </c>
      <c r="E51" s="14">
        <v>0</v>
      </c>
      <c r="F51" s="7">
        <v>0</v>
      </c>
      <c r="G51" s="14">
        <v>0</v>
      </c>
      <c r="H51" s="14">
        <v>0</v>
      </c>
      <c r="I51" s="14">
        <v>-553054609</v>
      </c>
      <c r="J51" s="14">
        <v>-553054609</v>
      </c>
      <c r="K51" s="7">
        <v>-7.3869013116036563E-4</v>
      </c>
    </row>
    <row r="52" spans="1:11">
      <c r="A52" s="6" t="s">
        <v>132</v>
      </c>
      <c r="B52" s="14">
        <v>0</v>
      </c>
      <c r="C52" s="14">
        <v>0</v>
      </c>
      <c r="D52" s="14">
        <v>0</v>
      </c>
      <c r="E52" s="14">
        <v>0</v>
      </c>
      <c r="F52" s="7">
        <v>0</v>
      </c>
      <c r="G52" s="14">
        <v>0</v>
      </c>
      <c r="H52" s="14">
        <v>0</v>
      </c>
      <c r="I52" s="14">
        <v>642006420</v>
      </c>
      <c r="J52" s="14">
        <v>642006420</v>
      </c>
      <c r="K52" s="7">
        <v>8.574990586428632E-4</v>
      </c>
    </row>
    <row r="53" spans="1:11">
      <c r="A53" s="6" t="s">
        <v>131</v>
      </c>
      <c r="B53" s="14">
        <v>0</v>
      </c>
      <c r="C53" s="14">
        <v>0</v>
      </c>
      <c r="D53" s="14">
        <v>0</v>
      </c>
      <c r="E53" s="14">
        <v>0</v>
      </c>
      <c r="F53" s="7">
        <v>0</v>
      </c>
      <c r="G53" s="14">
        <v>0</v>
      </c>
      <c r="H53" s="14">
        <v>0</v>
      </c>
      <c r="I53" s="14">
        <v>179495223</v>
      </c>
      <c r="J53" s="14">
        <v>179495223</v>
      </c>
      <c r="K53" s="7">
        <v>2.3974368473354333E-4</v>
      </c>
    </row>
    <row r="54" spans="1:11">
      <c r="A54" s="6" t="s">
        <v>130</v>
      </c>
      <c r="B54" s="14">
        <v>0</v>
      </c>
      <c r="C54" s="14">
        <v>0</v>
      </c>
      <c r="D54" s="14">
        <v>0</v>
      </c>
      <c r="E54" s="14">
        <v>0</v>
      </c>
      <c r="F54" s="7">
        <v>0</v>
      </c>
      <c r="G54" s="14">
        <v>0</v>
      </c>
      <c r="H54" s="14">
        <v>0</v>
      </c>
      <c r="I54" s="14">
        <v>1059081042</v>
      </c>
      <c r="J54" s="14">
        <v>1059081042</v>
      </c>
      <c r="K54" s="7">
        <v>1.4145668458292093E-3</v>
      </c>
    </row>
    <row r="55" spans="1:11">
      <c r="A55" s="6" t="s">
        <v>129</v>
      </c>
      <c r="B55" s="14">
        <v>0</v>
      </c>
      <c r="C55" s="14">
        <v>0</v>
      </c>
      <c r="D55" s="14">
        <v>0</v>
      </c>
      <c r="E55" s="14">
        <v>0</v>
      </c>
      <c r="F55" s="7">
        <v>0</v>
      </c>
      <c r="G55" s="14">
        <v>0</v>
      </c>
      <c r="H55" s="14">
        <v>0</v>
      </c>
      <c r="I55" s="14">
        <v>-1579799394</v>
      </c>
      <c r="J55" s="14">
        <v>-1579799394</v>
      </c>
      <c r="K55" s="7">
        <v>-2.1100668949690033E-3</v>
      </c>
    </row>
    <row r="56" spans="1:11">
      <c r="A56" s="6" t="s">
        <v>128</v>
      </c>
      <c r="B56" s="14">
        <v>0</v>
      </c>
      <c r="C56" s="14">
        <v>0</v>
      </c>
      <c r="D56" s="14">
        <v>0</v>
      </c>
      <c r="E56" s="14">
        <v>0</v>
      </c>
      <c r="F56" s="7">
        <v>0</v>
      </c>
      <c r="G56" s="14">
        <v>0</v>
      </c>
      <c r="H56" s="14">
        <v>0</v>
      </c>
      <c r="I56" s="14">
        <v>-277571830</v>
      </c>
      <c r="J56" s="14">
        <v>-277571830</v>
      </c>
      <c r="K56" s="7">
        <v>-3.7074019124415744E-4</v>
      </c>
    </row>
    <row r="57" spans="1:11">
      <c r="A57" s="6" t="s">
        <v>127</v>
      </c>
      <c r="B57" s="14">
        <v>0</v>
      </c>
      <c r="C57" s="14">
        <v>0</v>
      </c>
      <c r="D57" s="14">
        <v>0</v>
      </c>
      <c r="E57" s="14">
        <v>0</v>
      </c>
      <c r="F57" s="7">
        <v>0</v>
      </c>
      <c r="G57" s="14">
        <v>0</v>
      </c>
      <c r="H57" s="14">
        <v>0</v>
      </c>
      <c r="I57" s="14">
        <v>1163025722</v>
      </c>
      <c r="J57" s="14">
        <v>1163025722</v>
      </c>
      <c r="K57" s="7">
        <v>1.5534010731425962E-3</v>
      </c>
    </row>
    <row r="58" spans="1:11">
      <c r="A58" s="6" t="s">
        <v>126</v>
      </c>
      <c r="B58" s="14">
        <v>0</v>
      </c>
      <c r="C58" s="14">
        <v>0</v>
      </c>
      <c r="D58" s="14">
        <v>0</v>
      </c>
      <c r="E58" s="14">
        <v>0</v>
      </c>
      <c r="F58" s="7">
        <v>0</v>
      </c>
      <c r="G58" s="14">
        <v>0</v>
      </c>
      <c r="H58" s="14">
        <v>0</v>
      </c>
      <c r="I58" s="14">
        <v>3238188008</v>
      </c>
      <c r="J58" s="14">
        <v>3238188008</v>
      </c>
      <c r="K58" s="7">
        <v>4.3251018713622962E-3</v>
      </c>
    </row>
    <row r="59" spans="1:11">
      <c r="A59" s="6" t="s">
        <v>125</v>
      </c>
      <c r="B59" s="14">
        <v>0</v>
      </c>
      <c r="C59" s="14">
        <v>0</v>
      </c>
      <c r="D59" s="14">
        <v>0</v>
      </c>
      <c r="E59" s="14">
        <v>0</v>
      </c>
      <c r="F59" s="7">
        <v>0</v>
      </c>
      <c r="G59" s="14">
        <v>0</v>
      </c>
      <c r="H59" s="14">
        <v>0</v>
      </c>
      <c r="I59" s="14">
        <v>2022315298</v>
      </c>
      <c r="J59" s="14">
        <v>2022315298</v>
      </c>
      <c r="K59" s="7">
        <v>2.7011154566243456E-3</v>
      </c>
    </row>
    <row r="60" spans="1:11">
      <c r="A60" s="6" t="s">
        <v>124</v>
      </c>
      <c r="B60" s="14">
        <v>0</v>
      </c>
      <c r="C60" s="14">
        <v>0</v>
      </c>
      <c r="D60" s="14">
        <v>0</v>
      </c>
      <c r="E60" s="14">
        <v>0</v>
      </c>
      <c r="F60" s="7">
        <v>0</v>
      </c>
      <c r="G60" s="14">
        <v>0</v>
      </c>
      <c r="H60" s="14">
        <v>0</v>
      </c>
      <c r="I60" s="14">
        <v>2298485501</v>
      </c>
      <c r="J60" s="14">
        <v>2298485501</v>
      </c>
      <c r="K60" s="7">
        <v>3.0699835578151535E-3</v>
      </c>
    </row>
    <row r="61" spans="1:11">
      <c r="A61" s="6" t="s">
        <v>69</v>
      </c>
      <c r="B61" s="14">
        <v>0</v>
      </c>
      <c r="C61" s="14">
        <v>0</v>
      </c>
      <c r="D61" s="14">
        <v>0</v>
      </c>
      <c r="E61" s="14">
        <v>0</v>
      </c>
      <c r="F61" s="7">
        <v>0</v>
      </c>
      <c r="G61" s="14">
        <v>1280000000</v>
      </c>
      <c r="H61" s="14">
        <v>-2154340506</v>
      </c>
      <c r="I61" s="14">
        <v>189445153</v>
      </c>
      <c r="J61" s="14">
        <v>-684895353</v>
      </c>
      <c r="K61" s="7">
        <v>-9.1478387469454202E-4</v>
      </c>
    </row>
    <row r="62" spans="1:11">
      <c r="A62" s="6" t="s">
        <v>123</v>
      </c>
      <c r="B62" s="14">
        <v>0</v>
      </c>
      <c r="C62" s="14">
        <v>0</v>
      </c>
      <c r="D62" s="14">
        <v>0</v>
      </c>
      <c r="E62" s="14">
        <v>0</v>
      </c>
      <c r="F62" s="7">
        <v>0</v>
      </c>
      <c r="G62" s="14">
        <v>0</v>
      </c>
      <c r="H62" s="14">
        <v>0</v>
      </c>
      <c r="I62" s="14">
        <v>-1025979107</v>
      </c>
      <c r="J62" s="14">
        <v>-1025979107</v>
      </c>
      <c r="K62" s="7">
        <v>-1.3703540821908688E-3</v>
      </c>
    </row>
    <row r="63" spans="1:11">
      <c r="A63" s="6" t="s">
        <v>122</v>
      </c>
      <c r="B63" s="14">
        <v>0</v>
      </c>
      <c r="C63" s="14">
        <v>0</v>
      </c>
      <c r="D63" s="14">
        <v>0</v>
      </c>
      <c r="E63" s="14">
        <v>0</v>
      </c>
      <c r="F63" s="7">
        <v>0</v>
      </c>
      <c r="G63" s="14">
        <v>0</v>
      </c>
      <c r="H63" s="14">
        <v>0</v>
      </c>
      <c r="I63" s="14">
        <v>-343528390</v>
      </c>
      <c r="J63" s="14">
        <v>-343528390</v>
      </c>
      <c r="K63" s="7">
        <v>-4.5883539769290529E-4</v>
      </c>
    </row>
    <row r="64" spans="1:11">
      <c r="A64" s="6" t="s">
        <v>121</v>
      </c>
      <c r="B64" s="14">
        <v>0</v>
      </c>
      <c r="C64" s="14">
        <v>0</v>
      </c>
      <c r="D64" s="14">
        <v>0</v>
      </c>
      <c r="E64" s="14">
        <v>0</v>
      </c>
      <c r="F64" s="7">
        <v>0</v>
      </c>
      <c r="G64" s="14">
        <v>0</v>
      </c>
      <c r="H64" s="14">
        <v>0</v>
      </c>
      <c r="I64" s="14">
        <v>2957489400</v>
      </c>
      <c r="J64" s="14">
        <v>2957489400</v>
      </c>
      <c r="K64" s="7">
        <v>3.9501853835764546E-3</v>
      </c>
    </row>
    <row r="65" spans="1:11">
      <c r="A65" s="6" t="s">
        <v>120</v>
      </c>
      <c r="B65" s="14">
        <v>0</v>
      </c>
      <c r="C65" s="14">
        <v>0</v>
      </c>
      <c r="D65" s="14">
        <v>0</v>
      </c>
      <c r="E65" s="14">
        <v>0</v>
      </c>
      <c r="F65" s="7">
        <v>0</v>
      </c>
      <c r="G65" s="14">
        <v>0</v>
      </c>
      <c r="H65" s="14">
        <v>0</v>
      </c>
      <c r="I65" s="14">
        <v>3546254417</v>
      </c>
      <c r="J65" s="14">
        <v>3546254417</v>
      </c>
      <c r="K65" s="7">
        <v>4.7365722982732721E-3</v>
      </c>
    </row>
    <row r="66" spans="1:11" ht="18.600000000000001" thickBot="1">
      <c r="A66" s="6" t="s">
        <v>2</v>
      </c>
      <c r="B66" s="8">
        <f>SUM(B10:B65)</f>
        <v>20223898180</v>
      </c>
      <c r="C66" s="8">
        <f>SUM(C10:C65)</f>
        <v>335220616168</v>
      </c>
      <c r="D66" s="8">
        <f>SUM(D10:D65)</f>
        <v>34408970955</v>
      </c>
      <c r="E66" s="8">
        <f>SUM(E10:E65)</f>
        <v>389853485303</v>
      </c>
      <c r="F66" s="9">
        <f>SUM(F10:F65)</f>
        <v>0.99029339685284312</v>
      </c>
      <c r="G66" s="8">
        <f>SUM(G10:G65)</f>
        <v>71442738986</v>
      </c>
      <c r="H66" s="8">
        <f>SUM(H10:H65)</f>
        <v>543523152658</v>
      </c>
      <c r="I66" s="8">
        <f>SUM(I10:I65)</f>
        <v>98834035458</v>
      </c>
      <c r="J66" s="8">
        <f>SUM(J10:J65)</f>
        <v>713799927102</v>
      </c>
      <c r="K66" s="9">
        <f>SUM(K10:K65)</f>
        <v>0.95339041243436395</v>
      </c>
    </row>
    <row r="67" spans="1:11" ht="18.600000000000001" thickTop="1">
      <c r="B67" s="13"/>
      <c r="C67" s="13"/>
      <c r="D67" s="13"/>
      <c r="E67" s="13"/>
      <c r="F67" s="13"/>
      <c r="G67" s="13"/>
      <c r="H67" s="13"/>
      <c r="I67" s="13"/>
      <c r="J67" s="13"/>
      <c r="K67" s="13"/>
    </row>
    <row r="69" spans="1:11">
      <c r="C69" s="59"/>
      <c r="D69" s="59"/>
      <c r="H69" s="59"/>
      <c r="I69" s="59"/>
    </row>
    <row r="70" spans="1:11">
      <c r="C70" s="59"/>
      <c r="D70" s="59"/>
      <c r="H70" s="59"/>
      <c r="I70" s="59"/>
    </row>
    <row r="71" spans="1:11">
      <c r="C71" s="60"/>
      <c r="D71" s="59"/>
      <c r="H71" s="60"/>
      <c r="I71" s="59"/>
    </row>
    <row r="72" spans="1:11">
      <c r="D72" s="59"/>
      <c r="I72" s="59"/>
    </row>
    <row r="73" spans="1:11">
      <c r="D73" s="60"/>
      <c r="I73" s="60"/>
    </row>
  </sheetData>
  <mergeCells count="15">
    <mergeCell ref="I8:I9"/>
    <mergeCell ref="E8:F8"/>
    <mergeCell ref="J8:K8"/>
    <mergeCell ref="A5:K5"/>
    <mergeCell ref="B8:B9"/>
    <mergeCell ref="C8:C9"/>
    <mergeCell ref="D8:D9"/>
    <mergeCell ref="G8:G9"/>
    <mergeCell ref="H8:H9"/>
    <mergeCell ref="G7:K7"/>
    <mergeCell ref="B7:F7"/>
    <mergeCell ref="A8:A9"/>
    <mergeCell ref="A1:K1"/>
    <mergeCell ref="A2:K2"/>
    <mergeCell ref="A3:K3"/>
  </mergeCells>
  <pageMargins left="0.7" right="0.7" top="0.75" bottom="0.75" header="0.3" footer="0.3"/>
  <pageSetup scale="56" orientation="landscape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D2DD-3D93-4329-BB5C-20AAD9068925}">
  <dimension ref="A1:F12"/>
  <sheetViews>
    <sheetView rightToLeft="1" view="pageBreakPreview" zoomScaleNormal="100" zoomScaleSheetLayoutView="100" workbookViewId="0">
      <selection activeCell="B14" sqref="B14"/>
    </sheetView>
  </sheetViews>
  <sheetFormatPr defaultColWidth="9.09765625" defaultRowHeight="18"/>
  <cols>
    <col min="1" max="1" width="26.8984375" style="12" customWidth="1"/>
    <col min="2" max="2" width="22.5" style="12" customWidth="1"/>
    <col min="3" max="3" width="11.19921875" style="12" customWidth="1"/>
    <col min="4" max="4" width="22.5" style="12" customWidth="1"/>
    <col min="5" max="5" width="11.19921875" style="12" customWidth="1"/>
    <col min="6" max="16384" width="9.09765625" style="12"/>
  </cols>
  <sheetData>
    <row r="1" spans="1:6" ht="20.399999999999999">
      <c r="A1" s="41" t="s">
        <v>99</v>
      </c>
      <c r="B1" s="41"/>
      <c r="C1" s="41"/>
      <c r="D1" s="41"/>
      <c r="E1" s="41"/>
    </row>
    <row r="2" spans="1:6" ht="20.399999999999999">
      <c r="A2" s="41" t="s">
        <v>27</v>
      </c>
      <c r="B2" s="41"/>
      <c r="C2" s="41"/>
      <c r="D2" s="41"/>
      <c r="E2" s="41"/>
    </row>
    <row r="3" spans="1:6" ht="20.399999999999999">
      <c r="A3" s="41" t="s">
        <v>98</v>
      </c>
      <c r="B3" s="41"/>
      <c r="C3" s="41"/>
      <c r="D3" s="41"/>
      <c r="E3" s="41"/>
    </row>
    <row r="4" spans="1:6" ht="20.399999999999999">
      <c r="A4" s="3"/>
      <c r="B4" s="3"/>
      <c r="C4" s="3"/>
      <c r="D4" s="3"/>
      <c r="E4" s="3"/>
    </row>
    <row r="5" spans="1:6" ht="20.399999999999999">
      <c r="A5" s="42" t="s">
        <v>45</v>
      </c>
      <c r="B5" s="42"/>
      <c r="C5" s="42"/>
      <c r="D5" s="42"/>
      <c r="E5" s="42"/>
    </row>
    <row r="6" spans="1:6">
      <c r="A6" s="17"/>
      <c r="B6" s="17"/>
      <c r="C6" s="17"/>
      <c r="D6" s="17"/>
      <c r="E6" s="17"/>
      <c r="F6" s="17"/>
    </row>
    <row r="7" spans="1:6" ht="18.600000000000001" thickBot="1">
      <c r="A7" s="22"/>
      <c r="B7" s="39" t="s">
        <v>251</v>
      </c>
      <c r="C7" s="39"/>
      <c r="D7" s="50" t="s">
        <v>252</v>
      </c>
      <c r="E7" s="50"/>
      <c r="F7" s="21"/>
    </row>
    <row r="8" spans="1:6" ht="35.4" thickBot="1">
      <c r="A8" s="4" t="s">
        <v>42</v>
      </c>
      <c r="B8" s="4" t="s">
        <v>7</v>
      </c>
      <c r="C8" s="4" t="s">
        <v>44</v>
      </c>
      <c r="D8" s="4" t="s">
        <v>7</v>
      </c>
      <c r="E8" s="4" t="s">
        <v>44</v>
      </c>
      <c r="F8" s="18"/>
    </row>
    <row r="9" spans="1:6">
      <c r="A9" s="6" t="s">
        <v>36</v>
      </c>
      <c r="B9" s="14">
        <v>601848</v>
      </c>
      <c r="C9" s="7">
        <f>B9/B11</f>
        <v>3.4455623955512659E-4</v>
      </c>
      <c r="D9" s="14">
        <v>82851648</v>
      </c>
      <c r="E9" s="7">
        <f>D9/D11</f>
        <v>5.2236920304192542E-3</v>
      </c>
    </row>
    <row r="10" spans="1:6">
      <c r="A10" s="6" t="s">
        <v>35</v>
      </c>
      <c r="B10" s="14">
        <v>1746131866</v>
      </c>
      <c r="C10" s="7">
        <f>B10/B11</f>
        <v>0.99965544376044491</v>
      </c>
      <c r="D10" s="14">
        <v>15777893495</v>
      </c>
      <c r="E10" s="7">
        <f>D10/D11</f>
        <v>0.99477630796958072</v>
      </c>
    </row>
    <row r="11" spans="1:6" ht="18.600000000000001" thickBot="1">
      <c r="A11" s="6" t="s">
        <v>2</v>
      </c>
      <c r="B11" s="8">
        <f>SUM(B9:B10)</f>
        <v>1746733714</v>
      </c>
      <c r="C11" s="9">
        <f>SUM(C9:C10)</f>
        <v>1</v>
      </c>
      <c r="D11" s="8">
        <f>SUM(D9:D10)</f>
        <v>15860745143</v>
      </c>
      <c r="E11" s="9">
        <f>SUM(E9:E10)</f>
        <v>1</v>
      </c>
    </row>
    <row r="12" spans="1:6" ht="18.600000000000001" thickTop="1"/>
  </sheetData>
  <mergeCells count="6">
    <mergeCell ref="B7:C7"/>
    <mergeCell ref="A5:E5"/>
    <mergeCell ref="D7:E7"/>
    <mergeCell ref="A1:E1"/>
    <mergeCell ref="A2:E2"/>
    <mergeCell ref="A3:E3"/>
  </mergeCells>
  <pageMargins left="0.7" right="0.7" top="0.75" bottom="0.75" header="0.3" footer="0.3"/>
  <pageSetup scale="8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CF02-272F-4DC9-B93E-77BA00864C38}">
  <dimension ref="A1:I74"/>
  <sheetViews>
    <sheetView rightToLeft="1" view="pageBreakPreview" topLeftCell="A58" zoomScale="60" zoomScaleNormal="100" workbookViewId="0">
      <selection activeCell="B60" sqref="B60"/>
    </sheetView>
  </sheetViews>
  <sheetFormatPr defaultRowHeight="18.600000000000001"/>
  <cols>
    <col min="1" max="1" width="32.09765625" style="20" customWidth="1"/>
    <col min="2" max="4" width="16.69921875" style="20" customWidth="1"/>
    <col min="5" max="5" width="10.5" style="20" customWidth="1"/>
    <col min="6" max="8" width="16.69921875" style="20" customWidth="1"/>
    <col min="9" max="9" width="8.69921875" style="20" customWidth="1"/>
    <col min="10" max="16384" width="8.796875" style="20"/>
  </cols>
  <sheetData>
    <row r="1" spans="1:9" ht="20.399999999999999">
      <c r="A1" s="41" t="s">
        <v>99</v>
      </c>
      <c r="B1" s="41"/>
      <c r="C1" s="41"/>
      <c r="D1" s="41"/>
      <c r="E1" s="41"/>
      <c r="F1" s="41"/>
      <c r="G1" s="41"/>
      <c r="H1" s="41"/>
      <c r="I1" s="41"/>
    </row>
    <row r="2" spans="1:9" ht="20.399999999999999">
      <c r="A2" s="41" t="s">
        <v>253</v>
      </c>
      <c r="B2" s="41"/>
      <c r="C2" s="41"/>
      <c r="D2" s="41"/>
      <c r="E2" s="41"/>
      <c r="F2" s="41"/>
      <c r="G2" s="41"/>
      <c r="H2" s="41"/>
      <c r="I2" s="41"/>
    </row>
    <row r="3" spans="1:9" ht="20.399999999999999">
      <c r="A3" s="41" t="s">
        <v>98</v>
      </c>
      <c r="B3" s="41"/>
      <c r="C3" s="41"/>
      <c r="D3" s="41"/>
      <c r="E3" s="41"/>
      <c r="F3" s="41"/>
      <c r="G3" s="41"/>
      <c r="H3" s="41"/>
      <c r="I3" s="41"/>
    </row>
    <row r="4" spans="1:9" ht="20.399999999999999">
      <c r="A4" s="3"/>
      <c r="B4" s="3"/>
      <c r="C4" s="3"/>
      <c r="D4" s="3"/>
      <c r="E4" s="3"/>
      <c r="F4" s="3"/>
      <c r="G4" s="3"/>
    </row>
    <row r="5" spans="1:9" ht="20.399999999999999">
      <c r="A5" s="42" t="s">
        <v>254</v>
      </c>
      <c r="B5" s="42"/>
      <c r="C5" s="42"/>
      <c r="D5" s="42"/>
      <c r="E5" s="42"/>
      <c r="F5" s="42"/>
      <c r="G5" s="42"/>
    </row>
    <row r="6" spans="1:9">
      <c r="B6" s="69"/>
      <c r="C6" s="69"/>
      <c r="D6" s="69"/>
    </row>
    <row r="7" spans="1:9" ht="19.2" thickBot="1">
      <c r="A7" s="58"/>
      <c r="B7" s="50" t="s">
        <v>251</v>
      </c>
      <c r="C7" s="50"/>
      <c r="D7" s="50"/>
      <c r="E7" s="50"/>
      <c r="F7" s="50" t="s">
        <v>252</v>
      </c>
      <c r="G7" s="50"/>
      <c r="H7" s="50"/>
      <c r="I7" s="50"/>
    </row>
    <row r="8" spans="1:9" ht="15" customHeight="1" thickBot="1">
      <c r="A8" s="38" t="s">
        <v>210</v>
      </c>
      <c r="B8" s="68" t="s">
        <v>5</v>
      </c>
      <c r="C8" s="68" t="s">
        <v>6</v>
      </c>
      <c r="D8" s="51" t="s">
        <v>2</v>
      </c>
      <c r="E8" s="51"/>
      <c r="F8" s="68" t="s">
        <v>5</v>
      </c>
      <c r="G8" s="68" t="s">
        <v>6</v>
      </c>
      <c r="H8" s="51" t="s">
        <v>2</v>
      </c>
      <c r="I8" s="51"/>
    </row>
    <row r="9" spans="1:9" ht="35.4" thickBot="1">
      <c r="A9" s="39"/>
      <c r="B9" s="70" t="s">
        <v>153</v>
      </c>
      <c r="C9" s="70" t="s">
        <v>153</v>
      </c>
      <c r="D9" s="19" t="s">
        <v>4</v>
      </c>
      <c r="E9" s="19" t="s">
        <v>152</v>
      </c>
      <c r="F9" s="70" t="s">
        <v>153</v>
      </c>
      <c r="G9" s="70" t="s">
        <v>153</v>
      </c>
      <c r="H9" s="19" t="s">
        <v>4</v>
      </c>
      <c r="I9" s="19" t="s">
        <v>152</v>
      </c>
    </row>
    <row r="10" spans="1:9">
      <c r="A10" s="6" t="s">
        <v>209</v>
      </c>
      <c r="B10" s="14">
        <v>130460609</v>
      </c>
      <c r="C10" s="14">
        <v>0</v>
      </c>
      <c r="D10" s="14">
        <v>130460609</v>
      </c>
      <c r="E10" s="7">
        <v>3.3139188057197661E-4</v>
      </c>
      <c r="F10" s="14">
        <v>0</v>
      </c>
      <c r="G10" s="14">
        <v>386692992</v>
      </c>
      <c r="H10" s="14">
        <v>386692992</v>
      </c>
      <c r="I10" s="7">
        <v>5.1648841241150236E-4</v>
      </c>
    </row>
    <row r="11" spans="1:9">
      <c r="A11" s="6" t="s">
        <v>208</v>
      </c>
      <c r="B11" s="14">
        <v>304262207</v>
      </c>
      <c r="C11" s="14">
        <v>0</v>
      </c>
      <c r="D11" s="14">
        <v>304262207</v>
      </c>
      <c r="E11" s="7">
        <v>7.7287715991506702E-4</v>
      </c>
      <c r="F11" s="14">
        <v>0</v>
      </c>
      <c r="G11" s="14">
        <v>463458240</v>
      </c>
      <c r="H11" s="14">
        <v>463458240</v>
      </c>
      <c r="I11" s="7">
        <v>6.1902029658874463E-4</v>
      </c>
    </row>
    <row r="12" spans="1:9">
      <c r="A12" s="6" t="s">
        <v>207</v>
      </c>
      <c r="B12" s="14">
        <v>-135896980</v>
      </c>
      <c r="C12" s="14">
        <v>0</v>
      </c>
      <c r="D12" s="14">
        <v>-135896980</v>
      </c>
      <c r="E12" s="7">
        <v>-3.4520117690277146E-4</v>
      </c>
      <c r="F12" s="14">
        <v>0</v>
      </c>
      <c r="G12" s="14">
        <v>-349640781</v>
      </c>
      <c r="H12" s="14">
        <v>-349640781</v>
      </c>
      <c r="I12" s="7">
        <v>-4.6699944304397375E-4</v>
      </c>
    </row>
    <row r="13" spans="1:9">
      <c r="A13" s="6" t="s">
        <v>206</v>
      </c>
      <c r="B13" s="14">
        <v>959123</v>
      </c>
      <c r="C13" s="14">
        <v>0</v>
      </c>
      <c r="D13" s="14">
        <v>959123</v>
      </c>
      <c r="E13" s="7">
        <v>2.4363336727167657E-6</v>
      </c>
      <c r="F13" s="14">
        <v>0</v>
      </c>
      <c r="G13" s="14">
        <v>-1939844204</v>
      </c>
      <c r="H13" s="14">
        <v>-1939844204</v>
      </c>
      <c r="I13" s="7">
        <v>-2.5909625309413794E-3</v>
      </c>
    </row>
    <row r="14" spans="1:9">
      <c r="A14" s="6" t="s">
        <v>205</v>
      </c>
      <c r="B14" s="14">
        <v>159878800</v>
      </c>
      <c r="C14" s="14">
        <v>0</v>
      </c>
      <c r="D14" s="14">
        <v>159878800</v>
      </c>
      <c r="E14" s="7">
        <v>4.0611903165031933E-4</v>
      </c>
      <c r="F14" s="14">
        <v>0</v>
      </c>
      <c r="G14" s="14">
        <v>357138000</v>
      </c>
      <c r="H14" s="14">
        <v>357138000</v>
      </c>
      <c r="I14" s="7">
        <v>4.7701314078073373E-4</v>
      </c>
    </row>
    <row r="15" spans="1:9">
      <c r="A15" s="6" t="s">
        <v>204</v>
      </c>
      <c r="B15" s="14">
        <v>187915639</v>
      </c>
      <c r="C15" s="14">
        <v>299954704</v>
      </c>
      <c r="D15" s="14">
        <v>487870343</v>
      </c>
      <c r="E15" s="7">
        <v>1.239272694504019E-3</v>
      </c>
      <c r="F15" s="14">
        <v>8324689</v>
      </c>
      <c r="G15" s="14">
        <v>299954704</v>
      </c>
      <c r="H15" s="14">
        <v>308279393</v>
      </c>
      <c r="I15" s="7">
        <v>4.1175490004678343E-4</v>
      </c>
    </row>
    <row r="16" spans="1:9">
      <c r="A16" s="6" t="s">
        <v>112</v>
      </c>
      <c r="B16" s="14">
        <v>-22124987</v>
      </c>
      <c r="C16" s="14">
        <v>187000000</v>
      </c>
      <c r="D16" s="14">
        <v>164875013</v>
      </c>
      <c r="E16" s="7">
        <v>4.188102526594759E-4</v>
      </c>
      <c r="F16" s="14">
        <v>0</v>
      </c>
      <c r="G16" s="14">
        <v>187000000</v>
      </c>
      <c r="H16" s="14">
        <v>187000000</v>
      </c>
      <c r="I16" s="7">
        <v>2.4976747735048414E-4</v>
      </c>
    </row>
    <row r="17" spans="1:9">
      <c r="A17" s="6" t="s">
        <v>110</v>
      </c>
      <c r="B17" s="14">
        <v>-854215988</v>
      </c>
      <c r="C17" s="14">
        <v>0</v>
      </c>
      <c r="D17" s="14">
        <v>-854215988</v>
      </c>
      <c r="E17" s="7">
        <v>-2.1698522247276114E-3</v>
      </c>
      <c r="F17" s="14">
        <v>-854215988</v>
      </c>
      <c r="G17" s="14">
        <v>0</v>
      </c>
      <c r="H17" s="14">
        <v>-854215988</v>
      </c>
      <c r="I17" s="7">
        <v>-1.140937820509152E-3</v>
      </c>
    </row>
    <row r="18" spans="1:9">
      <c r="A18" s="6" t="s">
        <v>203</v>
      </c>
      <c r="B18" s="14">
        <v>715457630</v>
      </c>
      <c r="C18" s="14">
        <v>-2400302667</v>
      </c>
      <c r="D18" s="14">
        <v>-1684845037</v>
      </c>
      <c r="E18" s="7">
        <v>-4.2797896588371099E-3</v>
      </c>
      <c r="F18" s="14">
        <v>715457630</v>
      </c>
      <c r="G18" s="14">
        <v>-2400302667</v>
      </c>
      <c r="H18" s="14">
        <v>-1684845037</v>
      </c>
      <c r="I18" s="7">
        <v>-2.2503716289731185E-3</v>
      </c>
    </row>
    <row r="19" spans="1:9">
      <c r="A19" s="6" t="s">
        <v>202</v>
      </c>
      <c r="B19" s="14">
        <v>84935613</v>
      </c>
      <c r="C19" s="14">
        <v>164594743</v>
      </c>
      <c r="D19" s="14">
        <v>249530356</v>
      </c>
      <c r="E19" s="7">
        <v>6.3384905657335095E-4</v>
      </c>
      <c r="F19" s="14">
        <v>84935613</v>
      </c>
      <c r="G19" s="14">
        <v>164594743</v>
      </c>
      <c r="H19" s="14">
        <v>249530356</v>
      </c>
      <c r="I19" s="7">
        <v>3.3328645743576604E-4</v>
      </c>
    </row>
    <row r="20" spans="1:9">
      <c r="A20" s="6" t="s">
        <v>201</v>
      </c>
      <c r="B20" s="14">
        <v>2098409250</v>
      </c>
      <c r="C20" s="14">
        <v>250714024</v>
      </c>
      <c r="D20" s="14">
        <v>2349123274</v>
      </c>
      <c r="E20" s="7">
        <v>5.9671680627081756E-3</v>
      </c>
      <c r="F20" s="14">
        <v>2098409250</v>
      </c>
      <c r="G20" s="14">
        <v>250714024</v>
      </c>
      <c r="H20" s="14">
        <v>2349123274</v>
      </c>
      <c r="I20" s="7">
        <v>3.1376181504400545E-3</v>
      </c>
    </row>
    <row r="21" spans="1:9">
      <c r="A21" s="6" t="s">
        <v>114</v>
      </c>
      <c r="B21" s="14">
        <v>417244111</v>
      </c>
      <c r="C21" s="14">
        <v>0</v>
      </c>
      <c r="D21" s="14">
        <v>417244111</v>
      </c>
      <c r="E21" s="7">
        <v>1.0598701911768062E-3</v>
      </c>
      <c r="F21" s="14">
        <v>417244111</v>
      </c>
      <c r="G21" s="14">
        <v>0</v>
      </c>
      <c r="H21" s="14">
        <v>417244111</v>
      </c>
      <c r="I21" s="7">
        <v>5.57294166009708E-4</v>
      </c>
    </row>
    <row r="22" spans="1:9">
      <c r="A22" s="6" t="s">
        <v>200</v>
      </c>
      <c r="B22" s="14">
        <v>0</v>
      </c>
      <c r="C22" s="14">
        <v>0</v>
      </c>
      <c r="D22" s="14">
        <v>0</v>
      </c>
      <c r="E22" s="7">
        <v>0</v>
      </c>
      <c r="F22" s="14">
        <v>-2498107</v>
      </c>
      <c r="G22" s="14">
        <v>0</v>
      </c>
      <c r="H22" s="14">
        <v>-2498107</v>
      </c>
      <c r="I22" s="7">
        <v>-3.3366090028961814E-6</v>
      </c>
    </row>
    <row r="23" spans="1:9">
      <c r="A23" s="6" t="s">
        <v>199</v>
      </c>
      <c r="B23" s="14">
        <v>0</v>
      </c>
      <c r="C23" s="14">
        <v>0</v>
      </c>
      <c r="D23" s="14">
        <v>0</v>
      </c>
      <c r="E23" s="7">
        <v>0</v>
      </c>
      <c r="F23" s="14">
        <v>0</v>
      </c>
      <c r="G23" s="14">
        <v>2675971415</v>
      </c>
      <c r="H23" s="14">
        <v>2675971415</v>
      </c>
      <c r="I23" s="7">
        <v>3.5741744908371954E-3</v>
      </c>
    </row>
    <row r="24" spans="1:9">
      <c r="A24" s="6" t="s">
        <v>198</v>
      </c>
      <c r="B24" s="14">
        <v>0</v>
      </c>
      <c r="C24" s="14">
        <v>0</v>
      </c>
      <c r="D24" s="14">
        <v>0</v>
      </c>
      <c r="E24" s="7">
        <v>0</v>
      </c>
      <c r="F24" s="14">
        <v>0</v>
      </c>
      <c r="G24" s="14">
        <v>-11252302</v>
      </c>
      <c r="H24" s="14">
        <v>-11252302</v>
      </c>
      <c r="I24" s="7">
        <v>-1.5029192967517687E-5</v>
      </c>
    </row>
    <row r="25" spans="1:9">
      <c r="A25" s="6" t="s">
        <v>197</v>
      </c>
      <c r="B25" s="14">
        <v>0</v>
      </c>
      <c r="C25" s="14">
        <v>0</v>
      </c>
      <c r="D25" s="14">
        <v>0</v>
      </c>
      <c r="E25" s="7">
        <v>0</v>
      </c>
      <c r="F25" s="14">
        <v>-16531468</v>
      </c>
      <c r="G25" s="14">
        <v>0</v>
      </c>
      <c r="H25" s="14">
        <v>-16531468</v>
      </c>
      <c r="I25" s="7">
        <v>-2.2080337215295474E-5</v>
      </c>
    </row>
    <row r="26" spans="1:9">
      <c r="A26" s="6" t="s">
        <v>196</v>
      </c>
      <c r="B26" s="14">
        <v>0</v>
      </c>
      <c r="C26" s="14">
        <v>0</v>
      </c>
      <c r="D26" s="14">
        <v>0</v>
      </c>
      <c r="E26" s="7">
        <v>0</v>
      </c>
      <c r="F26" s="14">
        <v>0</v>
      </c>
      <c r="G26" s="14">
        <v>80866755</v>
      </c>
      <c r="H26" s="14">
        <v>80866755</v>
      </c>
      <c r="I26" s="7">
        <v>1.0801008234154893E-4</v>
      </c>
    </row>
    <row r="27" spans="1:9">
      <c r="A27" s="6" t="s">
        <v>195</v>
      </c>
      <c r="B27" s="14">
        <v>0</v>
      </c>
      <c r="C27" s="14">
        <v>0</v>
      </c>
      <c r="D27" s="14">
        <v>0</v>
      </c>
      <c r="E27" s="7">
        <v>0</v>
      </c>
      <c r="F27" s="14">
        <v>0</v>
      </c>
      <c r="G27" s="14">
        <v>-116224949</v>
      </c>
      <c r="H27" s="14">
        <v>-116224949</v>
      </c>
      <c r="I27" s="7">
        <v>-1.552364295022389E-4</v>
      </c>
    </row>
    <row r="28" spans="1:9">
      <c r="A28" s="6" t="s">
        <v>194</v>
      </c>
      <c r="B28" s="14">
        <v>0</v>
      </c>
      <c r="C28" s="14">
        <v>0</v>
      </c>
      <c r="D28" s="14">
        <v>0</v>
      </c>
      <c r="E28" s="7">
        <v>0</v>
      </c>
      <c r="F28" s="14">
        <v>0</v>
      </c>
      <c r="G28" s="14">
        <v>-27066616</v>
      </c>
      <c r="H28" s="14">
        <v>-27066616</v>
      </c>
      <c r="I28" s="7">
        <v>-3.6151659886279422E-5</v>
      </c>
    </row>
    <row r="29" spans="1:9">
      <c r="A29" s="6" t="s">
        <v>193</v>
      </c>
      <c r="B29" s="14">
        <v>0</v>
      </c>
      <c r="C29" s="14">
        <v>0</v>
      </c>
      <c r="D29" s="14">
        <v>0</v>
      </c>
      <c r="E29" s="7">
        <v>0</v>
      </c>
      <c r="F29" s="14">
        <v>0</v>
      </c>
      <c r="G29" s="14">
        <v>299927440</v>
      </c>
      <c r="H29" s="14">
        <v>299927440</v>
      </c>
      <c r="I29" s="7">
        <v>4.0059957260421764E-4</v>
      </c>
    </row>
    <row r="30" spans="1:9">
      <c r="A30" s="6" t="s">
        <v>192</v>
      </c>
      <c r="B30" s="14">
        <v>0</v>
      </c>
      <c r="C30" s="14">
        <v>0</v>
      </c>
      <c r="D30" s="14">
        <v>0</v>
      </c>
      <c r="E30" s="7">
        <v>0</v>
      </c>
      <c r="F30" s="14">
        <v>0</v>
      </c>
      <c r="G30" s="14">
        <v>-23113573</v>
      </c>
      <c r="H30" s="14">
        <v>-23113573</v>
      </c>
      <c r="I30" s="7">
        <v>-3.0871758399819585E-5</v>
      </c>
    </row>
    <row r="31" spans="1:9">
      <c r="A31" s="6" t="s">
        <v>191</v>
      </c>
      <c r="B31" s="14">
        <v>0</v>
      </c>
      <c r="C31" s="14">
        <v>0</v>
      </c>
      <c r="D31" s="14">
        <v>0</v>
      </c>
      <c r="E31" s="7">
        <v>0</v>
      </c>
      <c r="F31" s="14">
        <v>0</v>
      </c>
      <c r="G31" s="14">
        <v>49988663</v>
      </c>
      <c r="H31" s="14">
        <v>49988663</v>
      </c>
      <c r="I31" s="7">
        <v>6.6767605634403664E-5</v>
      </c>
    </row>
    <row r="32" spans="1:9">
      <c r="A32" s="6" t="s">
        <v>190</v>
      </c>
      <c r="B32" s="14">
        <v>0</v>
      </c>
      <c r="C32" s="14">
        <v>0</v>
      </c>
      <c r="D32" s="14">
        <v>0</v>
      </c>
      <c r="E32" s="7">
        <v>0</v>
      </c>
      <c r="F32" s="14">
        <v>0</v>
      </c>
      <c r="G32" s="14">
        <v>-137249186</v>
      </c>
      <c r="H32" s="14">
        <v>-137249186</v>
      </c>
      <c r="I32" s="7">
        <v>-1.8331755591244591E-4</v>
      </c>
    </row>
    <row r="33" spans="1:9">
      <c r="A33" s="6" t="s">
        <v>189</v>
      </c>
      <c r="B33" s="14">
        <v>0</v>
      </c>
      <c r="C33" s="14">
        <v>0</v>
      </c>
      <c r="D33" s="14">
        <v>0</v>
      </c>
      <c r="E33" s="7">
        <v>0</v>
      </c>
      <c r="F33" s="14">
        <v>0</v>
      </c>
      <c r="G33" s="14">
        <v>-31062868</v>
      </c>
      <c r="H33" s="14">
        <v>-31062868</v>
      </c>
      <c r="I33" s="7">
        <v>-4.1489273687866731E-5</v>
      </c>
    </row>
    <row r="34" spans="1:9">
      <c r="A34" s="6" t="s">
        <v>188</v>
      </c>
      <c r="B34" s="14">
        <v>0</v>
      </c>
      <c r="C34" s="14">
        <v>0</v>
      </c>
      <c r="D34" s="14">
        <v>0</v>
      </c>
      <c r="E34" s="7">
        <v>0</v>
      </c>
      <c r="F34" s="14">
        <v>0</v>
      </c>
      <c r="G34" s="14">
        <v>76038490</v>
      </c>
      <c r="H34" s="14">
        <v>76038490</v>
      </c>
      <c r="I34" s="7">
        <v>1.0156118625048137E-4</v>
      </c>
    </row>
    <row r="35" spans="1:9">
      <c r="A35" s="6" t="s">
        <v>187</v>
      </c>
      <c r="B35" s="14">
        <v>0</v>
      </c>
      <c r="C35" s="14">
        <v>0</v>
      </c>
      <c r="D35" s="14">
        <v>0</v>
      </c>
      <c r="E35" s="7">
        <v>0</v>
      </c>
      <c r="F35" s="14">
        <v>0</v>
      </c>
      <c r="G35" s="14">
        <v>328984960</v>
      </c>
      <c r="H35" s="14">
        <v>328984960</v>
      </c>
      <c r="I35" s="7">
        <v>4.394103932911761E-4</v>
      </c>
    </row>
    <row r="36" spans="1:9">
      <c r="A36" s="6" t="s">
        <v>186</v>
      </c>
      <c r="B36" s="14">
        <v>0</v>
      </c>
      <c r="C36" s="14">
        <v>0</v>
      </c>
      <c r="D36" s="14">
        <v>0</v>
      </c>
      <c r="E36" s="7">
        <v>0</v>
      </c>
      <c r="F36" s="14">
        <v>0</v>
      </c>
      <c r="G36" s="14">
        <v>2066660694</v>
      </c>
      <c r="H36" s="14">
        <v>2066660694</v>
      </c>
      <c r="I36" s="7">
        <v>2.7603456047047103E-3</v>
      </c>
    </row>
    <row r="37" spans="1:9">
      <c r="A37" s="6" t="s">
        <v>185</v>
      </c>
      <c r="B37" s="14">
        <v>0</v>
      </c>
      <c r="C37" s="14">
        <v>0</v>
      </c>
      <c r="D37" s="14">
        <v>0</v>
      </c>
      <c r="E37" s="7">
        <v>0</v>
      </c>
      <c r="F37" s="14">
        <v>0</v>
      </c>
      <c r="G37" s="14">
        <v>86002390</v>
      </c>
      <c r="H37" s="14">
        <v>86002390</v>
      </c>
      <c r="I37" s="7">
        <v>1.1486951869739308E-4</v>
      </c>
    </row>
    <row r="38" spans="1:9">
      <c r="A38" s="6" t="s">
        <v>184</v>
      </c>
      <c r="B38" s="14">
        <v>0</v>
      </c>
      <c r="C38" s="14">
        <v>0</v>
      </c>
      <c r="D38" s="14">
        <v>0</v>
      </c>
      <c r="E38" s="7">
        <v>0</v>
      </c>
      <c r="F38" s="14">
        <v>0</v>
      </c>
      <c r="G38" s="14">
        <v>2443270643</v>
      </c>
      <c r="H38" s="14">
        <v>2443270643</v>
      </c>
      <c r="I38" s="7">
        <v>3.26336655073051E-3</v>
      </c>
    </row>
    <row r="39" spans="1:9">
      <c r="A39" s="6" t="s">
        <v>183</v>
      </c>
      <c r="B39" s="14">
        <v>0</v>
      </c>
      <c r="C39" s="14">
        <v>0</v>
      </c>
      <c r="D39" s="14">
        <v>0</v>
      </c>
      <c r="E39" s="7">
        <v>0</v>
      </c>
      <c r="F39" s="14">
        <v>0</v>
      </c>
      <c r="G39" s="14">
        <v>262945640</v>
      </c>
      <c r="H39" s="14">
        <v>262945640</v>
      </c>
      <c r="I39" s="7">
        <v>3.5120464803801369E-4</v>
      </c>
    </row>
    <row r="40" spans="1:9">
      <c r="A40" s="6" t="s">
        <v>182</v>
      </c>
      <c r="B40" s="14">
        <v>0</v>
      </c>
      <c r="C40" s="14">
        <v>0</v>
      </c>
      <c r="D40" s="14">
        <v>0</v>
      </c>
      <c r="E40" s="7">
        <v>0</v>
      </c>
      <c r="F40" s="14">
        <v>0</v>
      </c>
      <c r="G40" s="14">
        <v>2950920590</v>
      </c>
      <c r="H40" s="14">
        <v>2950920590</v>
      </c>
      <c r="I40" s="7">
        <v>3.9414117199246118E-3</v>
      </c>
    </row>
    <row r="41" spans="1:9">
      <c r="A41" s="6" t="s">
        <v>181</v>
      </c>
      <c r="B41" s="14">
        <v>0</v>
      </c>
      <c r="C41" s="14">
        <v>0</v>
      </c>
      <c r="D41" s="14">
        <v>0</v>
      </c>
      <c r="E41" s="7">
        <v>0</v>
      </c>
      <c r="F41" s="14">
        <v>0</v>
      </c>
      <c r="G41" s="14">
        <v>193957616</v>
      </c>
      <c r="H41" s="14">
        <v>193957616</v>
      </c>
      <c r="I41" s="7">
        <v>2.5906045166435243E-4</v>
      </c>
    </row>
    <row r="42" spans="1:9">
      <c r="A42" s="6" t="s">
        <v>180</v>
      </c>
      <c r="B42" s="14">
        <v>0</v>
      </c>
      <c r="C42" s="14">
        <v>0</v>
      </c>
      <c r="D42" s="14">
        <v>0</v>
      </c>
      <c r="E42" s="7">
        <v>0</v>
      </c>
      <c r="F42" s="14">
        <v>0</v>
      </c>
      <c r="G42" s="14">
        <v>283718110</v>
      </c>
      <c r="H42" s="14">
        <v>283718110</v>
      </c>
      <c r="I42" s="7">
        <v>3.7894950060613462E-4</v>
      </c>
    </row>
    <row r="43" spans="1:9">
      <c r="A43" s="6" t="s">
        <v>179</v>
      </c>
      <c r="B43" s="14">
        <v>0</v>
      </c>
      <c r="C43" s="14">
        <v>0</v>
      </c>
      <c r="D43" s="14">
        <v>0</v>
      </c>
      <c r="E43" s="7">
        <v>0</v>
      </c>
      <c r="F43" s="14">
        <v>0</v>
      </c>
      <c r="G43" s="14">
        <v>26915685</v>
      </c>
      <c r="H43" s="14">
        <v>26915685</v>
      </c>
      <c r="I43" s="7">
        <v>3.595006814764848E-5</v>
      </c>
    </row>
    <row r="44" spans="1:9">
      <c r="A44" s="6" t="s">
        <v>178</v>
      </c>
      <c r="B44" s="14">
        <v>0</v>
      </c>
      <c r="C44" s="14">
        <v>0</v>
      </c>
      <c r="D44" s="14">
        <v>0</v>
      </c>
      <c r="E44" s="7">
        <v>0</v>
      </c>
      <c r="F44" s="14">
        <v>0</v>
      </c>
      <c r="G44" s="14">
        <v>-46032636</v>
      </c>
      <c r="H44" s="14">
        <v>-46032636</v>
      </c>
      <c r="I44" s="7">
        <v>-6.1483718553545895E-5</v>
      </c>
    </row>
    <row r="45" spans="1:9">
      <c r="A45" s="6" t="s">
        <v>177</v>
      </c>
      <c r="B45" s="14">
        <v>0</v>
      </c>
      <c r="C45" s="14">
        <v>0</v>
      </c>
      <c r="D45" s="14">
        <v>0</v>
      </c>
      <c r="E45" s="7">
        <v>0</v>
      </c>
      <c r="F45" s="14">
        <v>0</v>
      </c>
      <c r="G45" s="14">
        <v>105988655</v>
      </c>
      <c r="H45" s="14">
        <v>105988655</v>
      </c>
      <c r="I45" s="7">
        <v>1.4156427265839987E-4</v>
      </c>
    </row>
    <row r="46" spans="1:9">
      <c r="A46" s="6" t="s">
        <v>176</v>
      </c>
      <c r="B46" s="14">
        <v>0</v>
      </c>
      <c r="C46" s="14">
        <v>0</v>
      </c>
      <c r="D46" s="14">
        <v>0</v>
      </c>
      <c r="E46" s="7">
        <v>0</v>
      </c>
      <c r="F46" s="14">
        <v>0</v>
      </c>
      <c r="G46" s="14">
        <v>224975799</v>
      </c>
      <c r="H46" s="14">
        <v>224975799</v>
      </c>
      <c r="I46" s="7">
        <v>3.0049004161037204E-4</v>
      </c>
    </row>
    <row r="47" spans="1:9">
      <c r="A47" s="6" t="s">
        <v>175</v>
      </c>
      <c r="B47" s="14">
        <v>0</v>
      </c>
      <c r="C47" s="14">
        <v>0</v>
      </c>
      <c r="D47" s="14">
        <v>0</v>
      </c>
      <c r="E47" s="7">
        <v>0</v>
      </c>
      <c r="F47" s="14">
        <v>0</v>
      </c>
      <c r="G47" s="14">
        <v>295223511</v>
      </c>
      <c r="H47" s="14">
        <v>295223511</v>
      </c>
      <c r="I47" s="7">
        <v>3.943167465081439E-4</v>
      </c>
    </row>
    <row r="48" spans="1:9">
      <c r="A48" s="6" t="s">
        <v>174</v>
      </c>
      <c r="B48" s="14">
        <v>0</v>
      </c>
      <c r="C48" s="14">
        <v>0</v>
      </c>
      <c r="D48" s="14">
        <v>0</v>
      </c>
      <c r="E48" s="7">
        <v>0</v>
      </c>
      <c r="F48" s="14">
        <v>0</v>
      </c>
      <c r="G48" s="14">
        <v>569299070</v>
      </c>
      <c r="H48" s="14">
        <v>569299070</v>
      </c>
      <c r="I48" s="7">
        <v>7.6038712605281658E-4</v>
      </c>
    </row>
    <row r="49" spans="1:9">
      <c r="A49" s="6" t="s">
        <v>173</v>
      </c>
      <c r="B49" s="14">
        <v>0</v>
      </c>
      <c r="C49" s="14">
        <v>0</v>
      </c>
      <c r="D49" s="14">
        <v>0</v>
      </c>
      <c r="E49" s="7">
        <v>0</v>
      </c>
      <c r="F49" s="14">
        <v>0</v>
      </c>
      <c r="G49" s="14">
        <v>380000000</v>
      </c>
      <c r="H49" s="14">
        <v>380000000</v>
      </c>
      <c r="I49" s="7">
        <v>5.0754888445552924E-4</v>
      </c>
    </row>
    <row r="50" spans="1:9">
      <c r="A50" s="6" t="s">
        <v>172</v>
      </c>
      <c r="B50" s="14">
        <v>0</v>
      </c>
      <c r="C50" s="14">
        <v>0</v>
      </c>
      <c r="D50" s="14">
        <v>0</v>
      </c>
      <c r="E50" s="7">
        <v>0</v>
      </c>
      <c r="F50" s="14">
        <v>0</v>
      </c>
      <c r="G50" s="14">
        <v>85054895</v>
      </c>
      <c r="H50" s="14">
        <v>85054895</v>
      </c>
      <c r="I50" s="7">
        <v>1.1360399230192677E-4</v>
      </c>
    </row>
    <row r="51" spans="1:9">
      <c r="A51" s="6" t="s">
        <v>171</v>
      </c>
      <c r="B51" s="14">
        <v>0</v>
      </c>
      <c r="C51" s="14">
        <v>0</v>
      </c>
      <c r="D51" s="14">
        <v>0</v>
      </c>
      <c r="E51" s="7">
        <v>0</v>
      </c>
      <c r="F51" s="14">
        <v>0</v>
      </c>
      <c r="G51" s="14">
        <v>69977280</v>
      </c>
      <c r="H51" s="14">
        <v>69977280</v>
      </c>
      <c r="I51" s="7">
        <v>9.3465501055874268E-5</v>
      </c>
    </row>
    <row r="52" spans="1:9">
      <c r="A52" s="6" t="s">
        <v>170</v>
      </c>
      <c r="B52" s="14">
        <v>0</v>
      </c>
      <c r="C52" s="14">
        <v>0</v>
      </c>
      <c r="D52" s="14">
        <v>0</v>
      </c>
      <c r="E52" s="7">
        <v>0</v>
      </c>
      <c r="F52" s="14">
        <v>0</v>
      </c>
      <c r="G52" s="14">
        <v>44950810</v>
      </c>
      <c r="H52" s="14">
        <v>44950810</v>
      </c>
      <c r="I52" s="7">
        <v>6.0038772291769608E-5</v>
      </c>
    </row>
    <row r="53" spans="1:9">
      <c r="A53" s="6" t="s">
        <v>169</v>
      </c>
      <c r="B53" s="14">
        <v>0</v>
      </c>
      <c r="C53" s="14">
        <v>0</v>
      </c>
      <c r="D53" s="14">
        <v>0</v>
      </c>
      <c r="E53" s="7">
        <v>0</v>
      </c>
      <c r="F53" s="14">
        <v>0</v>
      </c>
      <c r="G53" s="14">
        <v>145498868</v>
      </c>
      <c r="H53" s="14">
        <v>145498868</v>
      </c>
      <c r="I53" s="7">
        <v>1.9433628458669029E-4</v>
      </c>
    </row>
    <row r="54" spans="1:9">
      <c r="A54" s="6" t="s">
        <v>168</v>
      </c>
      <c r="B54" s="14">
        <v>0</v>
      </c>
      <c r="C54" s="14">
        <v>0</v>
      </c>
      <c r="D54" s="14">
        <v>0</v>
      </c>
      <c r="E54" s="7">
        <v>0</v>
      </c>
      <c r="F54" s="14">
        <v>0</v>
      </c>
      <c r="G54" s="14">
        <v>139852</v>
      </c>
      <c r="H54" s="14">
        <v>139852</v>
      </c>
      <c r="I54" s="7">
        <v>1.867940173391439E-7</v>
      </c>
    </row>
    <row r="55" spans="1:9">
      <c r="A55" s="6" t="s">
        <v>167</v>
      </c>
      <c r="B55" s="14">
        <v>0</v>
      </c>
      <c r="C55" s="14">
        <v>0</v>
      </c>
      <c r="D55" s="14">
        <v>0</v>
      </c>
      <c r="E55" s="7">
        <v>0</v>
      </c>
      <c r="F55" s="14">
        <v>0</v>
      </c>
      <c r="G55" s="14">
        <v>-117556737</v>
      </c>
      <c r="H55" s="14">
        <v>-117556737</v>
      </c>
      <c r="I55" s="7">
        <v>-1.5701523874890011E-4</v>
      </c>
    </row>
    <row r="56" spans="1:9">
      <c r="A56" s="6" t="s">
        <v>166</v>
      </c>
      <c r="B56" s="14">
        <v>0</v>
      </c>
      <c r="C56" s="14">
        <v>0</v>
      </c>
      <c r="D56" s="14">
        <v>0</v>
      </c>
      <c r="E56" s="7">
        <v>0</v>
      </c>
      <c r="F56" s="14">
        <v>0</v>
      </c>
      <c r="G56" s="14">
        <v>34924266</v>
      </c>
      <c r="H56" s="14">
        <v>34924266</v>
      </c>
      <c r="I56" s="7">
        <v>4.6646769075600446E-5</v>
      </c>
    </row>
    <row r="57" spans="1:9">
      <c r="A57" s="6" t="s">
        <v>165</v>
      </c>
      <c r="B57" s="14">
        <v>0</v>
      </c>
      <c r="C57" s="14">
        <v>0</v>
      </c>
      <c r="D57" s="14">
        <v>0</v>
      </c>
      <c r="E57" s="7">
        <v>0</v>
      </c>
      <c r="F57" s="14">
        <v>0</v>
      </c>
      <c r="G57" s="14">
        <v>59977300</v>
      </c>
      <c r="H57" s="14">
        <v>59977300</v>
      </c>
      <c r="I57" s="7">
        <v>8.010897817803846E-5</v>
      </c>
    </row>
    <row r="58" spans="1:9">
      <c r="A58" s="6" t="s">
        <v>164</v>
      </c>
      <c r="B58" s="14">
        <v>0</v>
      </c>
      <c r="C58" s="14">
        <v>0</v>
      </c>
      <c r="D58" s="14">
        <v>0</v>
      </c>
      <c r="E58" s="7">
        <v>0</v>
      </c>
      <c r="F58" s="14">
        <v>0</v>
      </c>
      <c r="G58" s="14">
        <v>-659747733</v>
      </c>
      <c r="H58" s="14">
        <v>-659747733</v>
      </c>
      <c r="I58" s="7">
        <v>-8.8119533133214313E-4</v>
      </c>
    </row>
    <row r="59" spans="1:9">
      <c r="A59" s="6" t="s">
        <v>163</v>
      </c>
      <c r="B59" s="14">
        <v>0</v>
      </c>
      <c r="C59" s="14">
        <v>0</v>
      </c>
      <c r="D59" s="14">
        <v>0</v>
      </c>
      <c r="E59" s="7">
        <v>0</v>
      </c>
      <c r="F59" s="14">
        <v>0</v>
      </c>
      <c r="G59" s="14">
        <v>104975841</v>
      </c>
      <c r="H59" s="14">
        <v>104975841</v>
      </c>
      <c r="I59" s="7">
        <v>1.4021150261666056E-4</v>
      </c>
    </row>
    <row r="60" spans="1:9">
      <c r="A60" s="6" t="s">
        <v>162</v>
      </c>
      <c r="B60" s="14">
        <v>0</v>
      </c>
      <c r="C60" s="14">
        <v>0</v>
      </c>
      <c r="D60" s="14">
        <v>0</v>
      </c>
      <c r="E60" s="7">
        <v>0</v>
      </c>
      <c r="F60" s="14">
        <v>0</v>
      </c>
      <c r="G60" s="14">
        <v>40000000</v>
      </c>
      <c r="H60" s="14">
        <v>40000000</v>
      </c>
      <c r="I60" s="7">
        <v>5.3426198363739923E-5</v>
      </c>
    </row>
    <row r="61" spans="1:9">
      <c r="A61" s="6" t="s">
        <v>161</v>
      </c>
      <c r="B61" s="14">
        <v>0</v>
      </c>
      <c r="C61" s="14">
        <v>0</v>
      </c>
      <c r="D61" s="14">
        <v>0</v>
      </c>
      <c r="E61" s="7">
        <v>0</v>
      </c>
      <c r="F61" s="14">
        <v>0</v>
      </c>
      <c r="G61" s="14">
        <v>40000000</v>
      </c>
      <c r="H61" s="14">
        <v>40000000</v>
      </c>
      <c r="I61" s="7">
        <v>5.3426198363739923E-5</v>
      </c>
    </row>
    <row r="62" spans="1:9">
      <c r="A62" s="6" t="s">
        <v>160</v>
      </c>
      <c r="B62" s="14">
        <v>0</v>
      </c>
      <c r="C62" s="14">
        <v>0</v>
      </c>
      <c r="D62" s="14">
        <v>0</v>
      </c>
      <c r="E62" s="7">
        <v>0</v>
      </c>
      <c r="F62" s="14">
        <v>0</v>
      </c>
      <c r="G62" s="14">
        <v>213284965</v>
      </c>
      <c r="H62" s="14">
        <v>213284965</v>
      </c>
      <c r="I62" s="7">
        <v>2.8487512120233319E-4</v>
      </c>
    </row>
    <row r="63" spans="1:9">
      <c r="A63" s="6" t="s">
        <v>159</v>
      </c>
      <c r="B63" s="14">
        <v>0</v>
      </c>
      <c r="C63" s="14">
        <v>0</v>
      </c>
      <c r="D63" s="14">
        <v>0</v>
      </c>
      <c r="E63" s="7">
        <v>0</v>
      </c>
      <c r="F63" s="14">
        <v>0</v>
      </c>
      <c r="G63" s="14">
        <v>159218851</v>
      </c>
      <c r="H63" s="14">
        <v>159218851</v>
      </c>
      <c r="I63" s="7">
        <v>2.1266144791931877E-4</v>
      </c>
    </row>
    <row r="64" spans="1:9">
      <c r="A64" s="6" t="s">
        <v>158</v>
      </c>
      <c r="B64" s="14">
        <v>0</v>
      </c>
      <c r="C64" s="14">
        <v>0</v>
      </c>
      <c r="D64" s="14">
        <v>0</v>
      </c>
      <c r="E64" s="7">
        <v>0</v>
      </c>
      <c r="F64" s="14">
        <v>0</v>
      </c>
      <c r="G64" s="14">
        <v>3806588772</v>
      </c>
      <c r="H64" s="14">
        <v>3806588772</v>
      </c>
      <c r="I64" s="7">
        <v>5.0842891705514294E-3</v>
      </c>
    </row>
    <row r="65" spans="1:9">
      <c r="A65" s="6" t="s">
        <v>157</v>
      </c>
      <c r="B65" s="14">
        <v>0</v>
      </c>
      <c r="C65" s="14">
        <v>0</v>
      </c>
      <c r="D65" s="14">
        <v>0</v>
      </c>
      <c r="E65" s="7">
        <v>0</v>
      </c>
      <c r="F65" s="14">
        <v>0</v>
      </c>
      <c r="G65" s="14">
        <v>113760000</v>
      </c>
      <c r="H65" s="14">
        <v>113760000</v>
      </c>
      <c r="I65" s="7">
        <v>1.5194410814647636E-4</v>
      </c>
    </row>
    <row r="66" spans="1:9">
      <c r="A66" s="6" t="s">
        <v>156</v>
      </c>
      <c r="B66" s="14">
        <v>0</v>
      </c>
      <c r="C66" s="14">
        <v>0</v>
      </c>
      <c r="D66" s="14">
        <v>0</v>
      </c>
      <c r="E66" s="7">
        <v>0</v>
      </c>
      <c r="F66" s="14">
        <v>0</v>
      </c>
      <c r="G66" s="14">
        <v>284400000</v>
      </c>
      <c r="H66" s="14">
        <v>284400000</v>
      </c>
      <c r="I66" s="7">
        <v>3.7986027036619085E-4</v>
      </c>
    </row>
    <row r="67" spans="1:9" ht="19.2" thickBot="1">
      <c r="A67" s="6" t="s">
        <v>2</v>
      </c>
      <c r="B67" s="8">
        <f>SUM(B10:B66)</f>
        <v>3087285027</v>
      </c>
      <c r="C67" s="8">
        <f>SUM(C10:C66)</f>
        <v>-1498039196</v>
      </c>
      <c r="D67" s="8">
        <f>SUM(D10:D66)</f>
        <v>1589245831</v>
      </c>
      <c r="E67" s="9">
        <f>SUM(E10:E66)</f>
        <v>4.0369516029644149E-3</v>
      </c>
      <c r="F67" s="8">
        <f>SUM(F10:F66)</f>
        <v>2451125730</v>
      </c>
      <c r="G67" s="8">
        <f>SUM(G10:G66)</f>
        <v>14854866277</v>
      </c>
      <c r="H67" s="8">
        <f>SUM(H10:H66)</f>
        <v>17305992007</v>
      </c>
      <c r="I67" s="9">
        <f>SUM(I10:I66)</f>
        <v>2.3114834046181993E-2</v>
      </c>
    </row>
    <row r="68" spans="1:9" ht="19.2" thickTop="1">
      <c r="B68" s="32"/>
      <c r="C68" s="32"/>
      <c r="D68" s="32"/>
      <c r="E68" s="32"/>
      <c r="F68" s="32"/>
      <c r="G68" s="32"/>
      <c r="H68" s="32"/>
      <c r="I68" s="32"/>
    </row>
    <row r="69" spans="1:9">
      <c r="B69" s="32"/>
      <c r="C69" s="32"/>
      <c r="D69" s="32"/>
      <c r="E69" s="32"/>
      <c r="F69" s="32"/>
      <c r="G69" s="32"/>
      <c r="H69" s="32"/>
      <c r="I69" s="32"/>
    </row>
    <row r="70" spans="1:9">
      <c r="F70" s="59"/>
      <c r="G70" s="59"/>
    </row>
    <row r="71" spans="1:9">
      <c r="B71" s="59"/>
      <c r="C71" s="59"/>
      <c r="F71" s="59"/>
      <c r="G71" s="59"/>
    </row>
    <row r="72" spans="1:9">
      <c r="B72" s="59"/>
      <c r="C72" s="59"/>
      <c r="F72" s="71"/>
      <c r="G72" s="59"/>
    </row>
    <row r="73" spans="1:9">
      <c r="B73" s="71"/>
      <c r="C73" s="71"/>
      <c r="G73" s="59"/>
    </row>
    <row r="74" spans="1:9">
      <c r="G74" s="71"/>
    </row>
  </sheetData>
  <mergeCells count="13">
    <mergeCell ref="B8:B9"/>
    <mergeCell ref="C8:C9"/>
    <mergeCell ref="F8:F9"/>
    <mergeCell ref="G8:G9"/>
    <mergeCell ref="A1:I1"/>
    <mergeCell ref="A2:I2"/>
    <mergeCell ref="A3:I3"/>
    <mergeCell ref="H8:I8"/>
    <mergeCell ref="A8:A9"/>
    <mergeCell ref="D8:E8"/>
    <mergeCell ref="B7:E7"/>
    <mergeCell ref="F7:I7"/>
    <mergeCell ref="A5:G5"/>
  </mergeCells>
  <conditionalFormatting sqref="F4:F6">
    <cfRule type="duplicateValues" dxfId="2" priority="2"/>
    <cfRule type="duplicateValues" dxfId="1" priority="3"/>
  </conditionalFormatting>
  <conditionalFormatting sqref="F4:G6 G10:G12 A7:B7">
    <cfRule type="cellIs" dxfId="0" priority="1" operator="equal">
      <formula>-3000000000000</formula>
    </cfRule>
  </conditionalFormatting>
  <pageMargins left="0.7" right="0.7" top="0.75" bottom="0.75" header="0.3" footer="0.3"/>
  <pageSetup scale="53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0578A-4279-498B-8414-0EDE44AF30C4}">
  <dimension ref="A1:C12"/>
  <sheetViews>
    <sheetView rightToLeft="1" view="pageBreakPreview" zoomScaleNormal="100" zoomScaleSheetLayoutView="100" workbookViewId="0">
      <selection activeCell="B10" sqref="B10"/>
    </sheetView>
  </sheetViews>
  <sheetFormatPr defaultRowHeight="18.600000000000001"/>
  <cols>
    <col min="1" max="1" width="30" style="20" customWidth="1"/>
    <col min="2" max="3" width="32.296875" style="20" customWidth="1"/>
    <col min="4" max="16384" width="8.796875" style="20"/>
  </cols>
  <sheetData>
    <row r="1" spans="1:3" ht="20.399999999999999">
      <c r="A1" s="41" t="s">
        <v>99</v>
      </c>
      <c r="B1" s="41"/>
      <c r="C1" s="41"/>
    </row>
    <row r="2" spans="1:3" ht="20.399999999999999">
      <c r="A2" s="41" t="s">
        <v>27</v>
      </c>
      <c r="B2" s="41"/>
      <c r="C2" s="41"/>
    </row>
    <row r="3" spans="1:3" ht="20.399999999999999">
      <c r="A3" s="41" t="s">
        <v>98</v>
      </c>
      <c r="B3" s="41"/>
      <c r="C3" s="41"/>
    </row>
    <row r="4" spans="1:3">
      <c r="A4" s="32"/>
      <c r="B4" s="32"/>
      <c r="C4" s="32"/>
    </row>
    <row r="5" spans="1:3" ht="20.399999999999999">
      <c r="A5" s="42" t="s">
        <v>255</v>
      </c>
      <c r="B5" s="42"/>
      <c r="C5" s="42"/>
    </row>
    <row r="6" spans="1:3" ht="19.2" thickBot="1">
      <c r="A6" s="23"/>
      <c r="B6" s="4" t="s">
        <v>251</v>
      </c>
      <c r="C6" s="4" t="s">
        <v>252</v>
      </c>
    </row>
    <row r="7" spans="1:3" ht="16.5" customHeight="1">
      <c r="A7" s="52" t="s">
        <v>12</v>
      </c>
      <c r="B7" s="51" t="s">
        <v>4</v>
      </c>
      <c r="C7" s="51" t="s">
        <v>4</v>
      </c>
    </row>
    <row r="8" spans="1:3" ht="19.2" thickBot="1">
      <c r="A8" s="39"/>
      <c r="B8" s="50"/>
      <c r="C8" s="50"/>
    </row>
    <row r="9" spans="1:3">
      <c r="A9" s="6" t="s">
        <v>46</v>
      </c>
      <c r="B9" s="14">
        <v>554515190</v>
      </c>
      <c r="C9" s="14">
        <v>1412292090</v>
      </c>
    </row>
    <row r="10" spans="1:3">
      <c r="A10" s="6" t="s">
        <v>12</v>
      </c>
      <c r="B10" s="14">
        <v>0</v>
      </c>
      <c r="C10" s="14">
        <v>317399099</v>
      </c>
    </row>
    <row r="11" spans="1:3" ht="19.2" thickBot="1">
      <c r="A11" s="6" t="s">
        <v>2</v>
      </c>
      <c r="B11" s="8">
        <f>SUM(B9:B10)</f>
        <v>554515190</v>
      </c>
      <c r="C11" s="8">
        <f>SUM(C9:C10)</f>
        <v>1729691189</v>
      </c>
    </row>
    <row r="12" spans="1:3" ht="19.2" thickTop="1"/>
  </sheetData>
  <mergeCells count="7">
    <mergeCell ref="A1:C1"/>
    <mergeCell ref="A2:C2"/>
    <mergeCell ref="A3:C3"/>
    <mergeCell ref="C7:C8"/>
    <mergeCell ref="B7:B8"/>
    <mergeCell ref="A5:C5"/>
    <mergeCell ref="A7:A8"/>
  </mergeCells>
  <pageMargins left="0.7" right="0.7" top="0.75" bottom="0.75" header="0.3" footer="0.3"/>
  <pageSetup scale="81" orientation="portrait" horizontalDpi="4294967295" verticalDpi="429496729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6176-DB04-4DC6-BE9A-0F9D0EBC6A8E}">
  <dimension ref="A1:M33"/>
  <sheetViews>
    <sheetView rightToLeft="1" view="pageBreakPreview" zoomScale="70" zoomScaleNormal="100" zoomScaleSheetLayoutView="70" workbookViewId="0">
      <selection activeCell="B16" sqref="B16"/>
    </sheetView>
  </sheetViews>
  <sheetFormatPr defaultColWidth="9.09765625" defaultRowHeight="18"/>
  <cols>
    <col min="1" max="1" width="23.296875" style="12" customWidth="1"/>
    <col min="2" max="2" width="14.296875" style="12" customWidth="1"/>
    <col min="3" max="3" width="18.5" style="12" customWidth="1"/>
    <col min="4" max="4" width="13.3984375" style="12" customWidth="1"/>
    <col min="5" max="10" width="20.59765625" style="12" customWidth="1"/>
    <col min="11" max="16384" width="9.09765625" style="12"/>
  </cols>
  <sheetData>
    <row r="1" spans="1:13" ht="20.399999999999999">
      <c r="A1" s="41" t="s">
        <v>99</v>
      </c>
      <c r="B1" s="41"/>
      <c r="C1" s="41"/>
      <c r="D1" s="41"/>
      <c r="E1" s="41"/>
      <c r="F1" s="41"/>
      <c r="G1" s="41"/>
      <c r="H1" s="41"/>
      <c r="I1" s="41"/>
      <c r="J1" s="41"/>
    </row>
    <row r="2" spans="1:13" ht="20.399999999999999">
      <c r="A2" s="41" t="s">
        <v>27</v>
      </c>
      <c r="B2" s="41"/>
      <c r="C2" s="41"/>
      <c r="D2" s="41"/>
      <c r="E2" s="41"/>
      <c r="F2" s="41"/>
      <c r="G2" s="41"/>
      <c r="H2" s="41"/>
      <c r="I2" s="41"/>
      <c r="J2" s="41"/>
    </row>
    <row r="3" spans="1:13" ht="20.399999999999999">
      <c r="A3" s="41" t="s">
        <v>98</v>
      </c>
      <c r="B3" s="41"/>
      <c r="C3" s="41"/>
      <c r="D3" s="41"/>
      <c r="E3" s="41"/>
      <c r="F3" s="41"/>
      <c r="G3" s="41"/>
      <c r="H3" s="41"/>
      <c r="I3" s="41"/>
      <c r="J3" s="41"/>
    </row>
    <row r="4" spans="1:13" ht="20.399999999999999">
      <c r="A4" s="3"/>
      <c r="B4" s="3"/>
      <c r="C4" s="3"/>
      <c r="D4" s="3"/>
      <c r="E4" s="3"/>
      <c r="F4" s="3"/>
      <c r="G4" s="3"/>
      <c r="H4" s="3"/>
      <c r="I4" s="3"/>
      <c r="J4" s="3"/>
    </row>
    <row r="5" spans="1:13" ht="20.399999999999999">
      <c r="A5" s="42" t="s">
        <v>154</v>
      </c>
      <c r="B5" s="42"/>
      <c r="C5" s="42"/>
      <c r="D5" s="42"/>
      <c r="E5" s="42"/>
      <c r="F5" s="42"/>
      <c r="G5" s="42"/>
      <c r="H5" s="42"/>
      <c r="I5" s="42"/>
      <c r="J5" s="42"/>
      <c r="K5" s="24"/>
      <c r="L5" s="24"/>
      <c r="M5" s="24"/>
    </row>
    <row r="6" spans="1:13" ht="18.600000000000001" thickBot="1">
      <c r="B6" s="43" t="s">
        <v>233</v>
      </c>
      <c r="C6" s="43"/>
      <c r="D6" s="43"/>
      <c r="E6" s="50" t="s">
        <v>251</v>
      </c>
      <c r="F6" s="50"/>
      <c r="G6" s="50"/>
      <c r="H6" s="50" t="s">
        <v>252</v>
      </c>
      <c r="I6" s="50"/>
      <c r="J6" s="50"/>
      <c r="K6" s="21"/>
      <c r="L6" s="21"/>
      <c r="M6" s="21"/>
    </row>
    <row r="7" spans="1:13" ht="18.600000000000001" thickBot="1">
      <c r="A7" s="74" t="s">
        <v>104</v>
      </c>
      <c r="B7" s="73" t="s">
        <v>232</v>
      </c>
      <c r="C7" s="73" t="s">
        <v>231</v>
      </c>
      <c r="D7" s="73" t="s">
        <v>230</v>
      </c>
      <c r="E7" s="73" t="s">
        <v>229</v>
      </c>
      <c r="F7" s="73" t="s">
        <v>16</v>
      </c>
      <c r="G7" s="73" t="s">
        <v>228</v>
      </c>
      <c r="H7" s="73" t="s">
        <v>229</v>
      </c>
      <c r="I7" s="73" t="s">
        <v>16</v>
      </c>
      <c r="J7" s="73" t="s">
        <v>228</v>
      </c>
    </row>
    <row r="8" spans="1:13">
      <c r="A8" s="6" t="s">
        <v>91</v>
      </c>
      <c r="B8" s="14" t="s">
        <v>221</v>
      </c>
      <c r="C8" s="14">
        <v>2600000</v>
      </c>
      <c r="D8" s="14">
        <v>800</v>
      </c>
      <c r="E8" s="13">
        <v>0</v>
      </c>
      <c r="F8" s="13">
        <v>0</v>
      </c>
      <c r="G8" s="13">
        <v>0</v>
      </c>
      <c r="H8" s="14">
        <v>2080000000</v>
      </c>
      <c r="I8" s="14">
        <v>-44611260</v>
      </c>
      <c r="J8" s="14">
        <v>2035388740</v>
      </c>
    </row>
    <row r="9" spans="1:13">
      <c r="A9" s="6" t="s">
        <v>89</v>
      </c>
      <c r="B9" s="14" t="s">
        <v>221</v>
      </c>
      <c r="C9" s="14">
        <v>9890291</v>
      </c>
      <c r="D9" s="14">
        <v>126</v>
      </c>
      <c r="E9" s="13">
        <v>0</v>
      </c>
      <c r="F9" s="13">
        <v>0</v>
      </c>
      <c r="G9" s="13">
        <v>0</v>
      </c>
      <c r="H9" s="14">
        <v>1246176666</v>
      </c>
      <c r="I9" s="14">
        <v>0</v>
      </c>
      <c r="J9" s="14">
        <v>1246176666</v>
      </c>
    </row>
    <row r="10" spans="1:13">
      <c r="A10" s="6" t="s">
        <v>87</v>
      </c>
      <c r="B10" s="14" t="s">
        <v>227</v>
      </c>
      <c r="C10" s="14">
        <v>14000000</v>
      </c>
      <c r="D10" s="14">
        <v>76</v>
      </c>
      <c r="E10" s="13">
        <v>0</v>
      </c>
      <c r="F10" s="13">
        <v>0</v>
      </c>
      <c r="G10" s="13">
        <v>0</v>
      </c>
      <c r="H10" s="14">
        <v>1064000000</v>
      </c>
      <c r="I10" s="14">
        <v>-51327249</v>
      </c>
      <c r="J10" s="14">
        <v>1012672751</v>
      </c>
    </row>
    <row r="11" spans="1:13">
      <c r="A11" s="6" t="s">
        <v>85</v>
      </c>
      <c r="B11" s="14" t="s">
        <v>34</v>
      </c>
      <c r="C11" s="14">
        <v>128971560</v>
      </c>
      <c r="D11" s="14">
        <v>46</v>
      </c>
      <c r="E11" s="14">
        <v>5932691760</v>
      </c>
      <c r="F11" s="14">
        <v>-28308686</v>
      </c>
      <c r="G11" s="13">
        <v>5904383074</v>
      </c>
      <c r="H11" s="14">
        <v>5932691760</v>
      </c>
      <c r="I11" s="14">
        <v>0</v>
      </c>
      <c r="J11" s="14">
        <v>5932691760</v>
      </c>
    </row>
    <row r="12" spans="1:13">
      <c r="A12" s="6" t="s">
        <v>84</v>
      </c>
      <c r="B12" s="14" t="s">
        <v>226</v>
      </c>
      <c r="C12" s="14">
        <v>5850000</v>
      </c>
      <c r="D12" s="14">
        <v>120</v>
      </c>
      <c r="E12" s="13">
        <v>0</v>
      </c>
      <c r="F12" s="13">
        <v>0</v>
      </c>
      <c r="G12" s="13">
        <v>0</v>
      </c>
      <c r="H12" s="14">
        <v>702000000</v>
      </c>
      <c r="I12" s="14">
        <v>-23694242</v>
      </c>
      <c r="J12" s="14">
        <v>678305758</v>
      </c>
    </row>
    <row r="13" spans="1:13">
      <c r="A13" s="6" t="s">
        <v>76</v>
      </c>
      <c r="B13" s="14" t="s">
        <v>225</v>
      </c>
      <c r="C13" s="14">
        <v>3299000</v>
      </c>
      <c r="D13" s="14">
        <v>1500</v>
      </c>
      <c r="E13" s="13">
        <v>0</v>
      </c>
      <c r="F13" s="13">
        <v>0</v>
      </c>
      <c r="G13" s="13">
        <v>0</v>
      </c>
      <c r="H13" s="14">
        <v>4948500000</v>
      </c>
      <c r="I13" s="14">
        <v>0</v>
      </c>
      <c r="J13" s="14">
        <v>4948500000</v>
      </c>
    </row>
    <row r="14" spans="1:13">
      <c r="A14" s="6" t="s">
        <v>75</v>
      </c>
      <c r="B14" s="14" t="s">
        <v>224</v>
      </c>
      <c r="C14" s="14">
        <v>1600000</v>
      </c>
      <c r="D14" s="14">
        <v>3520</v>
      </c>
      <c r="E14" s="14">
        <v>5632000000</v>
      </c>
      <c r="F14" s="14">
        <v>-330439716</v>
      </c>
      <c r="G14" s="13">
        <v>5301560284</v>
      </c>
      <c r="H14" s="14">
        <v>5632000000</v>
      </c>
      <c r="I14" s="14">
        <v>-330439716</v>
      </c>
      <c r="J14" s="14">
        <v>5301560284</v>
      </c>
    </row>
    <row r="15" spans="1:13">
      <c r="A15" s="6" t="s">
        <v>73</v>
      </c>
      <c r="B15" s="14" t="s">
        <v>223</v>
      </c>
      <c r="C15" s="14">
        <v>22820100</v>
      </c>
      <c r="D15" s="14">
        <v>55</v>
      </c>
      <c r="E15" s="14">
        <v>1255105500</v>
      </c>
      <c r="F15" s="14">
        <v>-175285801</v>
      </c>
      <c r="G15" s="13">
        <v>1079819699</v>
      </c>
      <c r="H15" s="14">
        <v>1255105500</v>
      </c>
      <c r="I15" s="14">
        <v>-14446035</v>
      </c>
      <c r="J15" s="14">
        <v>1240659465</v>
      </c>
    </row>
    <row r="16" spans="1:13">
      <c r="A16" s="6" t="s">
        <v>70</v>
      </c>
      <c r="B16" s="14" t="s">
        <v>216</v>
      </c>
      <c r="C16" s="14">
        <v>250000</v>
      </c>
      <c r="D16" s="14">
        <v>2050</v>
      </c>
      <c r="E16" s="13">
        <v>0</v>
      </c>
      <c r="F16" s="13">
        <v>0</v>
      </c>
      <c r="G16" s="13">
        <v>0</v>
      </c>
      <c r="H16" s="14">
        <v>512500000</v>
      </c>
      <c r="I16" s="14">
        <v>-26938676</v>
      </c>
      <c r="J16" s="14">
        <v>485561324</v>
      </c>
    </row>
    <row r="17" spans="1:10">
      <c r="A17" s="6" t="s">
        <v>69</v>
      </c>
      <c r="B17" s="14" t="s">
        <v>222</v>
      </c>
      <c r="C17" s="14">
        <v>800000</v>
      </c>
      <c r="D17" s="14">
        <v>1600</v>
      </c>
      <c r="E17" s="13">
        <v>0</v>
      </c>
      <c r="F17" s="13">
        <v>0</v>
      </c>
      <c r="G17" s="13">
        <v>0</v>
      </c>
      <c r="H17" s="14">
        <v>1280000000</v>
      </c>
      <c r="I17" s="14">
        <v>-67280986</v>
      </c>
      <c r="J17" s="14">
        <v>1212719014</v>
      </c>
    </row>
    <row r="18" spans="1:10">
      <c r="A18" s="6" t="s">
        <v>67</v>
      </c>
      <c r="B18" s="14" t="s">
        <v>217</v>
      </c>
      <c r="C18" s="14">
        <v>8200000</v>
      </c>
      <c r="D18" s="14">
        <v>720</v>
      </c>
      <c r="E18" s="13">
        <v>0</v>
      </c>
      <c r="F18" s="13">
        <v>0</v>
      </c>
      <c r="G18" s="13">
        <v>0</v>
      </c>
      <c r="H18" s="14">
        <v>5904000000</v>
      </c>
      <c r="I18" s="14">
        <v>-339222724</v>
      </c>
      <c r="J18" s="14">
        <v>5564777276</v>
      </c>
    </row>
    <row r="19" spans="1:10">
      <c r="A19" s="6" t="s">
        <v>66</v>
      </c>
      <c r="B19" s="14" t="s">
        <v>34</v>
      </c>
      <c r="C19" s="14">
        <v>9500000</v>
      </c>
      <c r="D19" s="14">
        <v>450</v>
      </c>
      <c r="E19" s="14">
        <v>4275000000</v>
      </c>
      <c r="F19" s="14">
        <v>-166046741</v>
      </c>
      <c r="G19" s="13">
        <v>4108953259</v>
      </c>
      <c r="H19" s="14">
        <v>4275000000</v>
      </c>
      <c r="I19" s="14">
        <v>-88883300</v>
      </c>
      <c r="J19" s="14">
        <v>4186116700</v>
      </c>
    </row>
    <row r="20" spans="1:10">
      <c r="A20" s="6" t="s">
        <v>65</v>
      </c>
      <c r="B20" s="14" t="s">
        <v>221</v>
      </c>
      <c r="C20" s="14">
        <v>14070541</v>
      </c>
      <c r="D20" s="14">
        <v>740</v>
      </c>
      <c r="E20" s="13">
        <v>0</v>
      </c>
      <c r="F20" s="13">
        <v>0</v>
      </c>
      <c r="G20" s="13">
        <v>0</v>
      </c>
      <c r="H20" s="14">
        <v>10412200340</v>
      </c>
      <c r="I20" s="14">
        <v>-112869380</v>
      </c>
      <c r="J20" s="14">
        <v>10299330960</v>
      </c>
    </row>
    <row r="21" spans="1:10">
      <c r="A21" s="6" t="s">
        <v>64</v>
      </c>
      <c r="B21" s="14" t="s">
        <v>214</v>
      </c>
      <c r="C21" s="14">
        <v>1425000</v>
      </c>
      <c r="D21" s="14">
        <v>1189</v>
      </c>
      <c r="E21" s="14">
        <v>1694325000</v>
      </c>
      <c r="F21" s="14">
        <v>-238342363</v>
      </c>
      <c r="G21" s="13">
        <v>1455982637</v>
      </c>
      <c r="H21" s="14">
        <v>1694325000</v>
      </c>
      <c r="I21" s="14">
        <v>-97349855</v>
      </c>
      <c r="J21" s="14">
        <v>1596975145</v>
      </c>
    </row>
    <row r="22" spans="1:10">
      <c r="A22" s="6" t="s">
        <v>63</v>
      </c>
      <c r="B22" s="14" t="s">
        <v>220</v>
      </c>
      <c r="C22" s="14">
        <v>800000</v>
      </c>
      <c r="D22" s="14">
        <v>4795</v>
      </c>
      <c r="E22" s="13">
        <v>0</v>
      </c>
      <c r="F22" s="13">
        <v>0</v>
      </c>
      <c r="G22" s="13">
        <v>0</v>
      </c>
      <c r="H22" s="14">
        <v>3836000000</v>
      </c>
      <c r="I22" s="14">
        <v>-173109222</v>
      </c>
      <c r="J22" s="14">
        <v>3662890778</v>
      </c>
    </row>
    <row r="23" spans="1:10">
      <c r="A23" s="6" t="s">
        <v>62</v>
      </c>
      <c r="B23" s="14" t="s">
        <v>219</v>
      </c>
      <c r="C23" s="14">
        <v>1184429</v>
      </c>
      <c r="D23" s="14">
        <v>480</v>
      </c>
      <c r="E23" s="14">
        <v>568525920</v>
      </c>
      <c r="F23" s="14">
        <v>-79975100</v>
      </c>
      <c r="G23" s="13">
        <v>488550820</v>
      </c>
      <c r="H23" s="14">
        <v>568525920</v>
      </c>
      <c r="I23" s="14">
        <v>-24232252</v>
      </c>
      <c r="J23" s="14">
        <v>544293668</v>
      </c>
    </row>
    <row r="24" spans="1:10">
      <c r="A24" s="6" t="s">
        <v>61</v>
      </c>
      <c r="B24" s="14" t="s">
        <v>218</v>
      </c>
      <c r="C24" s="14">
        <v>550000</v>
      </c>
      <c r="D24" s="14">
        <v>8700</v>
      </c>
      <c r="E24" s="13">
        <v>0</v>
      </c>
      <c r="F24" s="13">
        <v>0</v>
      </c>
      <c r="G24" s="13">
        <v>0</v>
      </c>
      <c r="H24" s="14">
        <v>4785000000</v>
      </c>
      <c r="I24" s="14">
        <v>0</v>
      </c>
      <c r="J24" s="14">
        <v>4785000000</v>
      </c>
    </row>
    <row r="25" spans="1:10">
      <c r="A25" s="6" t="s">
        <v>60</v>
      </c>
      <c r="B25" s="14" t="s">
        <v>217</v>
      </c>
      <c r="C25" s="14">
        <v>3000000</v>
      </c>
      <c r="D25" s="14">
        <v>800</v>
      </c>
      <c r="E25" s="13">
        <v>0</v>
      </c>
      <c r="F25" s="13">
        <v>0</v>
      </c>
      <c r="G25" s="13">
        <v>0</v>
      </c>
      <c r="H25" s="14">
        <v>2400000000</v>
      </c>
      <c r="I25" s="14">
        <v>-134970911</v>
      </c>
      <c r="J25" s="14">
        <v>2265029089</v>
      </c>
    </row>
    <row r="26" spans="1:10">
      <c r="A26" s="6" t="s">
        <v>59</v>
      </c>
      <c r="B26" s="14" t="s">
        <v>216</v>
      </c>
      <c r="C26" s="14">
        <v>200000</v>
      </c>
      <c r="D26" s="14">
        <v>4166</v>
      </c>
      <c r="E26" s="13">
        <v>0</v>
      </c>
      <c r="F26" s="13">
        <v>0</v>
      </c>
      <c r="G26" s="13">
        <v>0</v>
      </c>
      <c r="H26" s="14">
        <v>833200000</v>
      </c>
      <c r="I26" s="14">
        <v>0</v>
      </c>
      <c r="J26" s="14">
        <v>833200000</v>
      </c>
    </row>
    <row r="27" spans="1:10">
      <c r="A27" s="6" t="s">
        <v>58</v>
      </c>
      <c r="B27" s="14" t="s">
        <v>215</v>
      </c>
      <c r="C27" s="14">
        <v>750000</v>
      </c>
      <c r="D27" s="14">
        <v>6928</v>
      </c>
      <c r="E27" s="13">
        <v>0</v>
      </c>
      <c r="F27" s="13">
        <v>0</v>
      </c>
      <c r="G27" s="13">
        <v>0</v>
      </c>
      <c r="H27" s="14">
        <v>5196000000</v>
      </c>
      <c r="I27" s="14">
        <v>-148654691</v>
      </c>
      <c r="J27" s="14">
        <v>5047345309</v>
      </c>
    </row>
    <row r="28" spans="1:10">
      <c r="A28" s="6" t="s">
        <v>57</v>
      </c>
      <c r="B28" s="14" t="s">
        <v>214</v>
      </c>
      <c r="C28" s="14">
        <v>225000</v>
      </c>
      <c r="D28" s="14">
        <v>3850</v>
      </c>
      <c r="E28" s="14">
        <v>866250000</v>
      </c>
      <c r="F28" s="14">
        <v>-19713855</v>
      </c>
      <c r="G28" s="13">
        <v>846536145</v>
      </c>
      <c r="H28" s="14">
        <v>866250000</v>
      </c>
      <c r="I28" s="14">
        <v>-13434761</v>
      </c>
      <c r="J28" s="14">
        <v>852815239</v>
      </c>
    </row>
    <row r="29" spans="1:10">
      <c r="A29" s="6" t="s">
        <v>56</v>
      </c>
      <c r="B29" s="14" t="s">
        <v>213</v>
      </c>
      <c r="C29" s="14">
        <v>3441130</v>
      </c>
      <c r="D29" s="14">
        <v>440</v>
      </c>
      <c r="E29" s="13">
        <v>0</v>
      </c>
      <c r="F29" s="13">
        <v>0</v>
      </c>
      <c r="G29" s="13">
        <v>0</v>
      </c>
      <c r="H29" s="14">
        <v>1514097200</v>
      </c>
      <c r="I29" s="14">
        <v>0</v>
      </c>
      <c r="J29" s="14">
        <v>1514097200</v>
      </c>
    </row>
    <row r="30" spans="1:10">
      <c r="A30" s="6" t="s">
        <v>52</v>
      </c>
      <c r="B30" s="14" t="s">
        <v>212</v>
      </c>
      <c r="C30" s="14">
        <v>350000</v>
      </c>
      <c r="D30" s="14">
        <v>9250</v>
      </c>
      <c r="E30" s="13">
        <v>0</v>
      </c>
      <c r="F30" s="13">
        <v>0</v>
      </c>
      <c r="G30" s="13">
        <v>0</v>
      </c>
      <c r="H30" s="14">
        <v>3237500000</v>
      </c>
      <c r="I30" s="14">
        <v>0</v>
      </c>
      <c r="J30" s="14">
        <v>3237500000</v>
      </c>
    </row>
    <row r="31" spans="1:10">
      <c r="A31" s="6" t="s">
        <v>51</v>
      </c>
      <c r="B31" s="14" t="s">
        <v>211</v>
      </c>
      <c r="C31" s="14">
        <v>6338333</v>
      </c>
      <c r="D31" s="14">
        <v>200</v>
      </c>
      <c r="E31" s="13">
        <v>0</v>
      </c>
      <c r="F31" s="13">
        <v>0</v>
      </c>
      <c r="G31" s="13">
        <v>0</v>
      </c>
      <c r="H31" s="14">
        <v>1267666600</v>
      </c>
      <c r="I31" s="14">
        <v>0</v>
      </c>
      <c r="J31" s="14">
        <v>1267666600</v>
      </c>
    </row>
    <row r="32" spans="1:10" ht="18.600000000000001" thickBot="1">
      <c r="A32" s="6" t="s">
        <v>2</v>
      </c>
      <c r="B32" s="14"/>
      <c r="C32" s="14"/>
      <c r="D32" s="14"/>
      <c r="E32" s="8">
        <f>SUM(E8:E31)</f>
        <v>20223898180</v>
      </c>
      <c r="F32" s="8">
        <f>SUM(F8:F31)</f>
        <v>-1038112262</v>
      </c>
      <c r="G32" s="8">
        <f>SUM(G8:G31)</f>
        <v>19185785918</v>
      </c>
      <c r="H32" s="8">
        <f>SUM(H8:H31)</f>
        <v>71442738986</v>
      </c>
      <c r="I32" s="8">
        <f>SUM(I8:I31)</f>
        <v>-1691465260</v>
      </c>
      <c r="J32" s="8">
        <f>SUM(J8:J31)</f>
        <v>69751273726</v>
      </c>
    </row>
    <row r="33" ht="18.600000000000001" thickTop="1"/>
  </sheetData>
  <mergeCells count="7">
    <mergeCell ref="B6:D6"/>
    <mergeCell ref="E6:G6"/>
    <mergeCell ref="H6:J6"/>
    <mergeCell ref="A1:J1"/>
    <mergeCell ref="A2:J2"/>
    <mergeCell ref="A3:J3"/>
    <mergeCell ref="A5:J5"/>
  </mergeCells>
  <pageMargins left="0.7" right="0.7" top="0.75" bottom="0.75" header="0.3" footer="0.3"/>
  <pageSetup scale="59" orientation="landscape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0EC9-C952-4F71-B6B4-7A9D1DA6D056}">
  <dimension ref="A1:G11"/>
  <sheetViews>
    <sheetView rightToLeft="1" view="pageBreakPreview" zoomScaleNormal="100" zoomScaleSheetLayoutView="100" workbookViewId="0">
      <selection sqref="A1:G1"/>
    </sheetView>
  </sheetViews>
  <sheetFormatPr defaultRowHeight="18.600000000000001"/>
  <cols>
    <col min="1" max="1" width="34" style="20" customWidth="1"/>
    <col min="2" max="7" width="17.796875" style="20" customWidth="1"/>
    <col min="8" max="16384" width="8.796875" style="20"/>
  </cols>
  <sheetData>
    <row r="1" spans="1:7">
      <c r="A1" s="53" t="s">
        <v>99</v>
      </c>
      <c r="B1" s="53"/>
      <c r="C1" s="53"/>
      <c r="D1" s="53"/>
      <c r="E1" s="53"/>
      <c r="F1" s="53"/>
      <c r="G1" s="53"/>
    </row>
    <row r="2" spans="1:7">
      <c r="A2" s="53" t="s">
        <v>27</v>
      </c>
      <c r="B2" s="53"/>
      <c r="C2" s="53"/>
      <c r="D2" s="53"/>
      <c r="E2" s="53"/>
      <c r="F2" s="53"/>
      <c r="G2" s="53"/>
    </row>
    <row r="3" spans="1:7">
      <c r="A3" s="53" t="s">
        <v>98</v>
      </c>
      <c r="B3" s="53"/>
      <c r="C3" s="53"/>
      <c r="D3" s="53"/>
      <c r="E3" s="53"/>
      <c r="F3" s="53"/>
      <c r="G3" s="53"/>
    </row>
    <row r="4" spans="1:7">
      <c r="A4" s="34"/>
      <c r="B4" s="34"/>
      <c r="C4" s="34"/>
      <c r="D4" s="34"/>
      <c r="E4" s="34"/>
      <c r="F4" s="34"/>
      <c r="G4" s="34"/>
    </row>
    <row r="5" spans="1:7" ht="20.399999999999999">
      <c r="A5" s="42" t="s">
        <v>31</v>
      </c>
      <c r="B5" s="42"/>
      <c r="C5" s="42"/>
      <c r="D5" s="42"/>
      <c r="E5" s="42"/>
      <c r="F5" s="42"/>
      <c r="G5" s="42"/>
    </row>
    <row r="6" spans="1:7" ht="19.2" thickBot="1">
      <c r="A6" s="32"/>
      <c r="B6" s="50" t="s">
        <v>251</v>
      </c>
      <c r="C6" s="50"/>
      <c r="D6" s="50"/>
      <c r="E6" s="50" t="s">
        <v>252</v>
      </c>
      <c r="F6" s="50"/>
      <c r="G6" s="50"/>
    </row>
    <row r="7" spans="1:7" ht="19.2" thickBot="1">
      <c r="A7" s="2" t="s">
        <v>42</v>
      </c>
      <c r="B7" s="31" t="s">
        <v>28</v>
      </c>
      <c r="C7" s="31" t="s">
        <v>16</v>
      </c>
      <c r="D7" s="31" t="s">
        <v>17</v>
      </c>
      <c r="E7" s="31" t="s">
        <v>28</v>
      </c>
      <c r="F7" s="31" t="s">
        <v>16</v>
      </c>
      <c r="G7" s="31" t="s">
        <v>17</v>
      </c>
    </row>
    <row r="8" spans="1:7">
      <c r="A8" s="6" t="s">
        <v>36</v>
      </c>
      <c r="B8" s="14">
        <v>601848</v>
      </c>
      <c r="C8" s="14">
        <v>0</v>
      </c>
      <c r="D8" s="14">
        <v>601848</v>
      </c>
      <c r="E8" s="14">
        <v>82851648</v>
      </c>
      <c r="F8" s="14">
        <v>0</v>
      </c>
      <c r="G8" s="14">
        <v>82851648</v>
      </c>
    </row>
    <row r="9" spans="1:7">
      <c r="A9" s="6" t="s">
        <v>35</v>
      </c>
      <c r="B9" s="14">
        <v>1746131866</v>
      </c>
      <c r="C9" s="14">
        <v>-31727358</v>
      </c>
      <c r="D9" s="14">
        <v>1714404508</v>
      </c>
      <c r="E9" s="14">
        <v>15777893495</v>
      </c>
      <c r="F9" s="14">
        <v>-9931</v>
      </c>
      <c r="G9" s="14">
        <v>15777883564</v>
      </c>
    </row>
    <row r="10" spans="1:7" ht="19.2" thickBot="1">
      <c r="A10" s="6" t="s">
        <v>2</v>
      </c>
      <c r="B10" s="8">
        <f>SUM(B8:B9)</f>
        <v>1746733714</v>
      </c>
      <c r="C10" s="8">
        <f>SUM(C8:C9)</f>
        <v>-31727358</v>
      </c>
      <c r="D10" s="8">
        <f>SUM(D8:D9)</f>
        <v>1715006356</v>
      </c>
      <c r="E10" s="8">
        <f>SUM(E8:E9)</f>
        <v>15860745143</v>
      </c>
      <c r="F10" s="8">
        <f>SUM(F8:F9)</f>
        <v>-9931</v>
      </c>
      <c r="G10" s="8">
        <f>SUM(G8:G9)</f>
        <v>15860735212</v>
      </c>
    </row>
    <row r="11" spans="1:7" ht="19.2" thickTop="1"/>
  </sheetData>
  <mergeCells count="6">
    <mergeCell ref="A1:G1"/>
    <mergeCell ref="A2:G2"/>
    <mergeCell ref="A3:G3"/>
    <mergeCell ref="A5:G5"/>
    <mergeCell ref="B6:D6"/>
    <mergeCell ref="E6:G6"/>
  </mergeCells>
  <pageMargins left="0.7" right="0.7" top="0.75" bottom="0.75" header="0.3" footer="0.3"/>
  <pageSetup scale="76" orientation="landscape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AF3D-17EE-4FAF-81AF-F88AD89983FB}">
  <dimension ref="A1:I106"/>
  <sheetViews>
    <sheetView rightToLeft="1" view="pageBreakPreview" zoomScaleNormal="100" zoomScaleSheetLayoutView="100" workbookViewId="0">
      <selection activeCell="B6" sqref="B6:I6"/>
    </sheetView>
  </sheetViews>
  <sheetFormatPr defaultRowHeight="18.600000000000001"/>
  <cols>
    <col min="1" max="1" width="34.69921875" style="20" customWidth="1"/>
    <col min="2" max="2" width="14.69921875" style="20" customWidth="1"/>
    <col min="3" max="4" width="20.09765625" style="20" customWidth="1"/>
    <col min="5" max="5" width="18.296875" style="20" customWidth="1"/>
    <col min="6" max="6" width="14.69921875" style="20" customWidth="1"/>
    <col min="7" max="8" width="20.09765625" style="20" customWidth="1"/>
    <col min="9" max="9" width="18.296875" style="20" customWidth="1"/>
    <col min="10" max="16384" width="8.796875" style="20"/>
  </cols>
  <sheetData>
    <row r="1" spans="1:9" ht="20.399999999999999">
      <c r="A1" s="41" t="s">
        <v>99</v>
      </c>
      <c r="B1" s="41"/>
      <c r="C1" s="41"/>
      <c r="D1" s="41"/>
      <c r="E1" s="41"/>
      <c r="F1" s="41"/>
      <c r="G1" s="41"/>
      <c r="H1" s="41"/>
      <c r="I1" s="41"/>
    </row>
    <row r="2" spans="1:9" ht="20.399999999999999">
      <c r="A2" s="41" t="s">
        <v>27</v>
      </c>
      <c r="B2" s="41"/>
      <c r="C2" s="41"/>
      <c r="D2" s="41"/>
      <c r="E2" s="41"/>
      <c r="F2" s="41"/>
      <c r="G2" s="41"/>
      <c r="H2" s="41"/>
      <c r="I2" s="41"/>
    </row>
    <row r="3" spans="1:9" ht="20.399999999999999">
      <c r="A3" s="41" t="s">
        <v>98</v>
      </c>
      <c r="B3" s="41"/>
      <c r="C3" s="41"/>
      <c r="D3" s="41"/>
      <c r="E3" s="41"/>
      <c r="F3" s="41"/>
      <c r="G3" s="41"/>
      <c r="H3" s="41"/>
      <c r="I3" s="41"/>
    </row>
    <row r="4" spans="1:9" ht="20.399999999999999">
      <c r="A4" s="3"/>
      <c r="B4" s="3"/>
      <c r="C4" s="3"/>
      <c r="D4" s="3"/>
      <c r="E4" s="3"/>
      <c r="F4" s="3"/>
      <c r="G4" s="3"/>
      <c r="H4" s="3"/>
      <c r="I4" s="3"/>
    </row>
    <row r="5" spans="1:9" ht="20.399999999999999">
      <c r="A5" s="42" t="s">
        <v>23</v>
      </c>
      <c r="B5" s="42"/>
      <c r="C5" s="42"/>
      <c r="D5" s="42"/>
      <c r="E5" s="42"/>
      <c r="F5" s="42"/>
      <c r="G5" s="42"/>
      <c r="H5" s="42"/>
      <c r="I5" s="42"/>
    </row>
    <row r="6" spans="1:9" ht="19.2" thickBot="1">
      <c r="B6" s="50" t="s">
        <v>251</v>
      </c>
      <c r="C6" s="50"/>
      <c r="D6" s="50"/>
      <c r="E6" s="50"/>
      <c r="F6" s="50" t="s">
        <v>252</v>
      </c>
      <c r="G6" s="50"/>
      <c r="H6" s="50"/>
      <c r="I6" s="50"/>
    </row>
    <row r="7" spans="1:9" ht="19.2" thickBot="1">
      <c r="A7" s="2" t="s">
        <v>14</v>
      </c>
      <c r="B7" s="33" t="s">
        <v>3</v>
      </c>
      <c r="C7" s="1" t="s">
        <v>9</v>
      </c>
      <c r="D7" s="33" t="s">
        <v>19</v>
      </c>
      <c r="E7" s="1" t="s">
        <v>21</v>
      </c>
      <c r="F7" s="33" t="s">
        <v>3</v>
      </c>
      <c r="G7" s="1" t="s">
        <v>9</v>
      </c>
      <c r="H7" s="33" t="s">
        <v>19</v>
      </c>
      <c r="I7" s="1" t="s">
        <v>21</v>
      </c>
    </row>
    <row r="8" spans="1:9">
      <c r="A8" s="6" t="s">
        <v>161</v>
      </c>
      <c r="B8" s="14">
        <v>0</v>
      </c>
      <c r="C8" s="14">
        <v>0</v>
      </c>
      <c r="D8" s="14">
        <v>0</v>
      </c>
      <c r="E8" s="14">
        <v>0</v>
      </c>
      <c r="F8" s="14">
        <v>5000000</v>
      </c>
      <c r="G8" s="14">
        <v>39969725</v>
      </c>
      <c r="H8" s="14">
        <v>-30275</v>
      </c>
      <c r="I8" s="14">
        <v>40000000</v>
      </c>
    </row>
    <row r="9" spans="1:9">
      <c r="A9" s="6" t="s">
        <v>195</v>
      </c>
      <c r="B9" s="14">
        <v>0</v>
      </c>
      <c r="C9" s="14">
        <v>0</v>
      </c>
      <c r="D9" s="14">
        <v>0</v>
      </c>
      <c r="E9" s="14">
        <v>0</v>
      </c>
      <c r="F9" s="14">
        <v>5000000</v>
      </c>
      <c r="G9" s="14">
        <v>76941700</v>
      </c>
      <c r="H9" s="14">
        <v>193166649</v>
      </c>
      <c r="I9" s="14">
        <v>-116224949</v>
      </c>
    </row>
    <row r="10" spans="1:9">
      <c r="A10" s="6" t="s">
        <v>58</v>
      </c>
      <c r="B10" s="14">
        <v>0</v>
      </c>
      <c r="C10" s="14">
        <v>0</v>
      </c>
      <c r="D10" s="14">
        <v>0</v>
      </c>
      <c r="E10" s="14">
        <v>0</v>
      </c>
      <c r="F10" s="14">
        <v>50000</v>
      </c>
      <c r="G10" s="14">
        <v>3345438305</v>
      </c>
      <c r="H10" s="14">
        <v>2323638386</v>
      </c>
      <c r="I10" s="14">
        <v>1021799919</v>
      </c>
    </row>
    <row r="11" spans="1:9">
      <c r="A11" s="6" t="s">
        <v>62</v>
      </c>
      <c r="B11" s="14">
        <v>4500000</v>
      </c>
      <c r="C11" s="14">
        <v>21225499289</v>
      </c>
      <c r="D11" s="14">
        <v>13310188788</v>
      </c>
      <c r="E11" s="14">
        <v>7915310501</v>
      </c>
      <c r="F11" s="14">
        <v>5300001</v>
      </c>
      <c r="G11" s="14">
        <v>24580165729</v>
      </c>
      <c r="H11" s="14">
        <v>16181486622</v>
      </c>
      <c r="I11" s="14">
        <v>8398679107</v>
      </c>
    </row>
    <row r="12" spans="1:9">
      <c r="A12" s="6" t="s">
        <v>74</v>
      </c>
      <c r="B12" s="14">
        <v>0</v>
      </c>
      <c r="C12" s="14">
        <v>0</v>
      </c>
      <c r="D12" s="14">
        <v>0</v>
      </c>
      <c r="E12" s="14">
        <v>0</v>
      </c>
      <c r="F12" s="14">
        <v>400000</v>
      </c>
      <c r="G12" s="14">
        <v>4735112467</v>
      </c>
      <c r="H12" s="14">
        <v>4102862907</v>
      </c>
      <c r="I12" s="14">
        <v>632249560</v>
      </c>
    </row>
    <row r="13" spans="1:9">
      <c r="A13" s="6" t="s">
        <v>157</v>
      </c>
      <c r="B13" s="14">
        <v>0</v>
      </c>
      <c r="C13" s="14">
        <v>0</v>
      </c>
      <c r="D13" s="14">
        <v>0</v>
      </c>
      <c r="E13" s="14">
        <v>0</v>
      </c>
      <c r="F13" s="14">
        <v>14220000</v>
      </c>
      <c r="G13" s="14">
        <v>113673861</v>
      </c>
      <c r="H13" s="14">
        <v>-86139</v>
      </c>
      <c r="I13" s="14">
        <v>113760000</v>
      </c>
    </row>
    <row r="14" spans="1:9">
      <c r="A14" s="6" t="s">
        <v>134</v>
      </c>
      <c r="B14" s="14">
        <v>0</v>
      </c>
      <c r="C14" s="14">
        <v>0</v>
      </c>
      <c r="D14" s="14">
        <v>0</v>
      </c>
      <c r="E14" s="14">
        <v>0</v>
      </c>
      <c r="F14" s="14">
        <v>2300000</v>
      </c>
      <c r="G14" s="14">
        <v>17160317626</v>
      </c>
      <c r="H14" s="14">
        <v>18580529826</v>
      </c>
      <c r="I14" s="14">
        <v>-1420212200</v>
      </c>
    </row>
    <row r="15" spans="1:9">
      <c r="A15" s="6" t="s">
        <v>244</v>
      </c>
      <c r="B15" s="14">
        <v>0</v>
      </c>
      <c r="C15" s="14">
        <v>0</v>
      </c>
      <c r="D15" s="14">
        <v>0</v>
      </c>
      <c r="E15" s="14">
        <v>0</v>
      </c>
      <c r="F15" s="14">
        <v>20000</v>
      </c>
      <c r="G15" s="14">
        <v>339744</v>
      </c>
      <c r="H15" s="14">
        <v>199892</v>
      </c>
      <c r="I15" s="14">
        <v>139852</v>
      </c>
    </row>
    <row r="16" spans="1:9">
      <c r="A16" s="6" t="s">
        <v>86</v>
      </c>
      <c r="B16" s="14">
        <v>3000000</v>
      </c>
      <c r="C16" s="14">
        <v>2113535106</v>
      </c>
      <c r="D16" s="14">
        <v>2028969661</v>
      </c>
      <c r="E16" s="14">
        <v>84565445</v>
      </c>
      <c r="F16" s="14">
        <v>13800000</v>
      </c>
      <c r="G16" s="14">
        <v>8334274354</v>
      </c>
      <c r="H16" s="14">
        <v>8303253349</v>
      </c>
      <c r="I16" s="14">
        <v>31021005</v>
      </c>
    </row>
    <row r="17" spans="1:9">
      <c r="A17" s="6" t="s">
        <v>59</v>
      </c>
      <c r="B17" s="14">
        <v>200000</v>
      </c>
      <c r="C17" s="14">
        <v>7535298423</v>
      </c>
      <c r="D17" s="14">
        <v>12037069723</v>
      </c>
      <c r="E17" s="14">
        <v>-4501771300</v>
      </c>
      <c r="F17" s="14">
        <v>200000</v>
      </c>
      <c r="G17" s="14">
        <v>7535298423</v>
      </c>
      <c r="H17" s="14">
        <v>12037069723</v>
      </c>
      <c r="I17" s="14">
        <v>-4501771300</v>
      </c>
    </row>
    <row r="18" spans="1:9">
      <c r="A18" s="6" t="s">
        <v>156</v>
      </c>
      <c r="B18" s="14">
        <v>0</v>
      </c>
      <c r="C18" s="14">
        <v>0</v>
      </c>
      <c r="D18" s="14">
        <v>0</v>
      </c>
      <c r="E18" s="14">
        <v>0</v>
      </c>
      <c r="F18" s="14">
        <v>35550000</v>
      </c>
      <c r="G18" s="14">
        <v>284184689</v>
      </c>
      <c r="H18" s="14">
        <v>-215311</v>
      </c>
      <c r="I18" s="14">
        <v>284400000</v>
      </c>
    </row>
    <row r="19" spans="1:9">
      <c r="A19" s="6" t="s">
        <v>165</v>
      </c>
      <c r="B19" s="14">
        <v>0</v>
      </c>
      <c r="C19" s="14">
        <v>0</v>
      </c>
      <c r="D19" s="14">
        <v>0</v>
      </c>
      <c r="E19" s="14">
        <v>0</v>
      </c>
      <c r="F19" s="14">
        <v>5000000</v>
      </c>
      <c r="G19" s="14">
        <v>89931841</v>
      </c>
      <c r="H19" s="14">
        <v>29954541</v>
      </c>
      <c r="I19" s="14">
        <v>59977300</v>
      </c>
    </row>
    <row r="20" spans="1:9">
      <c r="A20" s="6" t="s">
        <v>121</v>
      </c>
      <c r="B20" s="14">
        <v>0</v>
      </c>
      <c r="C20" s="14">
        <v>0</v>
      </c>
      <c r="D20" s="14">
        <v>0</v>
      </c>
      <c r="E20" s="14">
        <v>0</v>
      </c>
      <c r="F20" s="14">
        <v>750000</v>
      </c>
      <c r="G20" s="14">
        <v>9053223432</v>
      </c>
      <c r="H20" s="14">
        <v>6095734032</v>
      </c>
      <c r="I20" s="14">
        <v>2957489400</v>
      </c>
    </row>
    <row r="21" spans="1:9">
      <c r="A21" s="6" t="s">
        <v>173</v>
      </c>
      <c r="B21" s="14">
        <v>0</v>
      </c>
      <c r="C21" s="14">
        <v>0</v>
      </c>
      <c r="D21" s="14">
        <v>0</v>
      </c>
      <c r="E21" s="14">
        <v>0</v>
      </c>
      <c r="F21" s="14">
        <v>77000000</v>
      </c>
      <c r="G21" s="14">
        <v>379712256</v>
      </c>
      <c r="H21" s="14">
        <v>-287744</v>
      </c>
      <c r="I21" s="14">
        <v>380000000</v>
      </c>
    </row>
    <row r="22" spans="1:9">
      <c r="A22" s="6" t="s">
        <v>158</v>
      </c>
      <c r="B22" s="14">
        <v>0</v>
      </c>
      <c r="C22" s="14">
        <v>0</v>
      </c>
      <c r="D22" s="14">
        <v>0</v>
      </c>
      <c r="E22" s="14">
        <v>0</v>
      </c>
      <c r="F22" s="14">
        <v>39375180</v>
      </c>
      <c r="G22" s="14">
        <v>3803705479</v>
      </c>
      <c r="H22" s="14">
        <v>-2883293</v>
      </c>
      <c r="I22" s="14">
        <v>3806588772</v>
      </c>
    </row>
    <row r="23" spans="1:9">
      <c r="A23" s="6" t="s">
        <v>176</v>
      </c>
      <c r="B23" s="14">
        <v>0</v>
      </c>
      <c r="C23" s="14">
        <v>0</v>
      </c>
      <c r="D23" s="14">
        <v>0</v>
      </c>
      <c r="E23" s="14">
        <v>0</v>
      </c>
      <c r="F23" s="14">
        <v>8000000</v>
      </c>
      <c r="G23" s="14">
        <v>256805344</v>
      </c>
      <c r="H23" s="14">
        <v>31829545</v>
      </c>
      <c r="I23" s="14">
        <v>224975799</v>
      </c>
    </row>
    <row r="24" spans="1:9">
      <c r="A24" s="6" t="s">
        <v>125</v>
      </c>
      <c r="B24" s="14">
        <v>0</v>
      </c>
      <c r="C24" s="14">
        <v>0</v>
      </c>
      <c r="D24" s="14">
        <v>0</v>
      </c>
      <c r="E24" s="14">
        <v>0</v>
      </c>
      <c r="F24" s="14">
        <v>100454</v>
      </c>
      <c r="G24" s="14">
        <v>6345525499</v>
      </c>
      <c r="H24" s="14">
        <v>4323210201</v>
      </c>
      <c r="I24" s="14">
        <v>2022315298</v>
      </c>
    </row>
    <row r="25" spans="1:9">
      <c r="A25" s="6" t="s">
        <v>243</v>
      </c>
      <c r="B25" s="14">
        <v>0</v>
      </c>
      <c r="C25" s="14">
        <v>0</v>
      </c>
      <c r="D25" s="14">
        <v>0</v>
      </c>
      <c r="E25" s="14">
        <v>0</v>
      </c>
      <c r="F25" s="14">
        <v>2100000</v>
      </c>
      <c r="G25" s="14">
        <v>38895776245</v>
      </c>
      <c r="H25" s="14">
        <v>35349521828</v>
      </c>
      <c r="I25" s="14">
        <v>3546254417</v>
      </c>
    </row>
    <row r="26" spans="1:9">
      <c r="A26" s="6" t="s">
        <v>126</v>
      </c>
      <c r="B26" s="14">
        <v>0</v>
      </c>
      <c r="C26" s="14">
        <v>0</v>
      </c>
      <c r="D26" s="14">
        <v>0</v>
      </c>
      <c r="E26" s="14">
        <v>0</v>
      </c>
      <c r="F26" s="14">
        <v>535000</v>
      </c>
      <c r="G26" s="14">
        <v>11035555824</v>
      </c>
      <c r="H26" s="14">
        <v>7797367816</v>
      </c>
      <c r="I26" s="14">
        <v>3238188008</v>
      </c>
    </row>
    <row r="27" spans="1:9">
      <c r="A27" s="6" t="s">
        <v>242</v>
      </c>
      <c r="B27" s="14">
        <v>0</v>
      </c>
      <c r="C27" s="14">
        <v>0</v>
      </c>
      <c r="D27" s="14">
        <v>0</v>
      </c>
      <c r="E27" s="14">
        <v>0</v>
      </c>
      <c r="F27" s="14">
        <v>3500000</v>
      </c>
      <c r="G27" s="14">
        <v>3004685259</v>
      </c>
      <c r="H27" s="14">
        <v>53764669</v>
      </c>
      <c r="I27" s="14">
        <v>2950920590</v>
      </c>
    </row>
    <row r="28" spans="1:9">
      <c r="A28" s="6" t="s">
        <v>241</v>
      </c>
      <c r="B28" s="14">
        <v>0</v>
      </c>
      <c r="C28" s="14">
        <v>0</v>
      </c>
      <c r="D28" s="14">
        <v>0</v>
      </c>
      <c r="E28" s="14">
        <v>0</v>
      </c>
      <c r="F28" s="14">
        <v>5000000</v>
      </c>
      <c r="G28" s="14">
        <v>39969728</v>
      </c>
      <c r="H28" s="14">
        <v>-30272</v>
      </c>
      <c r="I28" s="14">
        <v>40000000</v>
      </c>
    </row>
    <row r="29" spans="1:9">
      <c r="A29" s="6" t="s">
        <v>66</v>
      </c>
      <c r="B29" s="14">
        <v>500000</v>
      </c>
      <c r="C29" s="14">
        <v>7456909119</v>
      </c>
      <c r="D29" s="14">
        <v>4379080422</v>
      </c>
      <c r="E29" s="14">
        <v>3077828697</v>
      </c>
      <c r="F29" s="14">
        <v>3100000</v>
      </c>
      <c r="G29" s="14">
        <v>52730593252</v>
      </c>
      <c r="H29" s="14">
        <v>34949128386</v>
      </c>
      <c r="I29" s="14">
        <v>17781464866</v>
      </c>
    </row>
    <row r="30" spans="1:9">
      <c r="A30" s="6" t="s">
        <v>240</v>
      </c>
      <c r="B30" s="14">
        <v>0</v>
      </c>
      <c r="C30" s="14">
        <v>0</v>
      </c>
      <c r="D30" s="14">
        <v>0</v>
      </c>
      <c r="E30" s="14">
        <v>0</v>
      </c>
      <c r="F30" s="14">
        <v>6000000</v>
      </c>
      <c r="G30" s="14">
        <v>2470752400</v>
      </c>
      <c r="H30" s="14">
        <v>2814280790</v>
      </c>
      <c r="I30" s="14">
        <v>-343528390</v>
      </c>
    </row>
    <row r="31" spans="1:9">
      <c r="A31" s="6" t="s">
        <v>239</v>
      </c>
      <c r="B31" s="14">
        <v>0</v>
      </c>
      <c r="C31" s="14">
        <v>0</v>
      </c>
      <c r="D31" s="14">
        <v>0</v>
      </c>
      <c r="E31" s="14">
        <v>0</v>
      </c>
      <c r="F31" s="14">
        <v>13238820</v>
      </c>
      <c r="G31" s="14">
        <v>463107221</v>
      </c>
      <c r="H31" s="14">
        <v>-351019</v>
      </c>
      <c r="I31" s="14">
        <v>463458240</v>
      </c>
    </row>
    <row r="32" spans="1:9">
      <c r="A32" s="6" t="s">
        <v>202</v>
      </c>
      <c r="B32" s="14">
        <v>5000000</v>
      </c>
      <c r="C32" s="14">
        <v>699469750</v>
      </c>
      <c r="D32" s="14">
        <v>534875007</v>
      </c>
      <c r="E32" s="14">
        <v>164594743</v>
      </c>
      <c r="F32" s="14">
        <v>5000000</v>
      </c>
      <c r="G32" s="14">
        <v>699469750</v>
      </c>
      <c r="H32" s="14">
        <v>534875007</v>
      </c>
      <c r="I32" s="14">
        <v>164594743</v>
      </c>
    </row>
    <row r="33" spans="1:9">
      <c r="A33" s="6" t="s">
        <v>174</v>
      </c>
      <c r="B33" s="14">
        <v>0</v>
      </c>
      <c r="C33" s="14">
        <v>0</v>
      </c>
      <c r="D33" s="14">
        <v>0</v>
      </c>
      <c r="E33" s="14">
        <v>0</v>
      </c>
      <c r="F33" s="14">
        <v>100000</v>
      </c>
      <c r="G33" s="14">
        <v>1139636072</v>
      </c>
      <c r="H33" s="14">
        <v>570337002</v>
      </c>
      <c r="I33" s="14">
        <v>569299070</v>
      </c>
    </row>
    <row r="34" spans="1:9">
      <c r="A34" s="6" t="s">
        <v>77</v>
      </c>
      <c r="B34" s="14">
        <v>490000</v>
      </c>
      <c r="C34" s="14">
        <v>7912162552</v>
      </c>
      <c r="D34" s="14">
        <v>5658012564</v>
      </c>
      <c r="E34" s="14">
        <v>2254149988</v>
      </c>
      <c r="F34" s="14">
        <v>990000</v>
      </c>
      <c r="G34" s="14">
        <v>15904897432</v>
      </c>
      <c r="H34" s="14">
        <v>11432125008</v>
      </c>
      <c r="I34" s="14">
        <v>4472772424</v>
      </c>
    </row>
    <row r="35" spans="1:9">
      <c r="A35" s="6" t="s">
        <v>206</v>
      </c>
      <c r="B35" s="14">
        <v>0</v>
      </c>
      <c r="C35" s="14">
        <v>0</v>
      </c>
      <c r="D35" s="14">
        <v>0</v>
      </c>
      <c r="E35" s="14">
        <v>0</v>
      </c>
      <c r="F35" s="14">
        <v>39816000</v>
      </c>
      <c r="G35" s="14">
        <v>8266696294</v>
      </c>
      <c r="H35" s="14">
        <v>10206540498</v>
      </c>
      <c r="I35" s="14">
        <v>-1939844204</v>
      </c>
    </row>
    <row r="36" spans="1:9">
      <c r="A36" s="6" t="s">
        <v>189</v>
      </c>
      <c r="B36" s="14">
        <v>0</v>
      </c>
      <c r="C36" s="14">
        <v>0</v>
      </c>
      <c r="D36" s="14">
        <v>0</v>
      </c>
      <c r="E36" s="14">
        <v>0</v>
      </c>
      <c r="F36" s="14">
        <v>1000000</v>
      </c>
      <c r="G36" s="14">
        <v>51960615</v>
      </c>
      <c r="H36" s="14">
        <v>83023483</v>
      </c>
      <c r="I36" s="14">
        <v>-31062868</v>
      </c>
    </row>
    <row r="37" spans="1:9">
      <c r="A37" s="6" t="s">
        <v>160</v>
      </c>
      <c r="B37" s="14">
        <v>0</v>
      </c>
      <c r="C37" s="14">
        <v>0</v>
      </c>
      <c r="D37" s="14">
        <v>0</v>
      </c>
      <c r="E37" s="14">
        <v>0</v>
      </c>
      <c r="F37" s="14">
        <v>19908000</v>
      </c>
      <c r="G37" s="14">
        <v>233031408</v>
      </c>
      <c r="H37" s="14">
        <v>19746443</v>
      </c>
      <c r="I37" s="14">
        <v>213284965</v>
      </c>
    </row>
    <row r="38" spans="1:9">
      <c r="A38" s="6" t="s">
        <v>159</v>
      </c>
      <c r="B38" s="14">
        <v>0</v>
      </c>
      <c r="C38" s="14">
        <v>0</v>
      </c>
      <c r="D38" s="14">
        <v>0</v>
      </c>
      <c r="E38" s="14">
        <v>0</v>
      </c>
      <c r="F38" s="14">
        <v>19908000</v>
      </c>
      <c r="G38" s="14">
        <v>218822204</v>
      </c>
      <c r="H38" s="14">
        <v>59603353</v>
      </c>
      <c r="I38" s="14">
        <v>159218851</v>
      </c>
    </row>
    <row r="39" spans="1:9">
      <c r="A39" s="6" t="s">
        <v>171</v>
      </c>
      <c r="B39" s="14">
        <v>0</v>
      </c>
      <c r="C39" s="14">
        <v>0</v>
      </c>
      <c r="D39" s="14">
        <v>0</v>
      </c>
      <c r="E39" s="14">
        <v>0</v>
      </c>
      <c r="F39" s="14">
        <v>10000000</v>
      </c>
      <c r="G39" s="14">
        <v>99924294</v>
      </c>
      <c r="H39" s="14">
        <v>29947014</v>
      </c>
      <c r="I39" s="14">
        <v>69977280</v>
      </c>
    </row>
    <row r="40" spans="1:9">
      <c r="A40" s="6" t="s">
        <v>198</v>
      </c>
      <c r="B40" s="14">
        <v>0</v>
      </c>
      <c r="C40" s="14">
        <v>0</v>
      </c>
      <c r="D40" s="14">
        <v>0</v>
      </c>
      <c r="E40" s="14">
        <v>0</v>
      </c>
      <c r="F40" s="14">
        <v>1000000</v>
      </c>
      <c r="G40" s="14">
        <v>381161053</v>
      </c>
      <c r="H40" s="14">
        <v>392413355</v>
      </c>
      <c r="I40" s="14">
        <v>-11252302</v>
      </c>
    </row>
    <row r="41" spans="1:9">
      <c r="A41" s="6" t="s">
        <v>205</v>
      </c>
      <c r="B41" s="14">
        <v>0</v>
      </c>
      <c r="C41" s="14">
        <v>0</v>
      </c>
      <c r="D41" s="14">
        <v>0</v>
      </c>
      <c r="E41" s="14">
        <v>0</v>
      </c>
      <c r="F41" s="14">
        <v>20000000</v>
      </c>
      <c r="G41" s="14">
        <v>356867546</v>
      </c>
      <c r="H41" s="14">
        <v>-270454</v>
      </c>
      <c r="I41" s="14">
        <v>357138000</v>
      </c>
    </row>
    <row r="42" spans="1:9">
      <c r="A42" s="6" t="s">
        <v>238</v>
      </c>
      <c r="B42" s="14">
        <v>0</v>
      </c>
      <c r="C42" s="14">
        <v>0</v>
      </c>
      <c r="D42" s="14">
        <v>0</v>
      </c>
      <c r="E42" s="14">
        <v>0</v>
      </c>
      <c r="F42" s="14">
        <v>100000</v>
      </c>
      <c r="G42" s="14">
        <v>146888649</v>
      </c>
      <c r="H42" s="14">
        <v>1389781</v>
      </c>
      <c r="I42" s="14">
        <v>145498868</v>
      </c>
    </row>
    <row r="43" spans="1:9">
      <c r="A43" s="6" t="s">
        <v>61</v>
      </c>
      <c r="B43" s="14">
        <v>887823</v>
      </c>
      <c r="C43" s="14">
        <v>24649359630</v>
      </c>
      <c r="D43" s="14">
        <v>25256711395</v>
      </c>
      <c r="E43" s="14">
        <v>-607351765</v>
      </c>
      <c r="F43" s="14">
        <v>1287823</v>
      </c>
      <c r="G43" s="14">
        <v>35711185600</v>
      </c>
      <c r="H43" s="14">
        <v>36458104644</v>
      </c>
      <c r="I43" s="14">
        <v>-746919044</v>
      </c>
    </row>
    <row r="44" spans="1:9">
      <c r="A44" s="6" t="s">
        <v>84</v>
      </c>
      <c r="B44" s="14">
        <v>5850000</v>
      </c>
      <c r="C44" s="14">
        <v>11195822656</v>
      </c>
      <c r="D44" s="14">
        <v>12330839022</v>
      </c>
      <c r="E44" s="14">
        <v>-1135016366</v>
      </c>
      <c r="F44" s="14">
        <v>5850000</v>
      </c>
      <c r="G44" s="14">
        <v>11195822656</v>
      </c>
      <c r="H44" s="14">
        <v>12330839022</v>
      </c>
      <c r="I44" s="14">
        <v>-1135016366</v>
      </c>
    </row>
    <row r="45" spans="1:9">
      <c r="A45" s="6" t="s">
        <v>52</v>
      </c>
      <c r="B45" s="14">
        <v>200000</v>
      </c>
      <c r="C45" s="14">
        <v>39219472130</v>
      </c>
      <c r="D45" s="14">
        <v>21932486204</v>
      </c>
      <c r="E45" s="14">
        <v>17286985926</v>
      </c>
      <c r="F45" s="14">
        <v>300000</v>
      </c>
      <c r="G45" s="14">
        <v>54293045773</v>
      </c>
      <c r="H45" s="14">
        <v>32934066884</v>
      </c>
      <c r="I45" s="14">
        <v>21358978889</v>
      </c>
    </row>
    <row r="46" spans="1:9">
      <c r="A46" s="6" t="s">
        <v>108</v>
      </c>
      <c r="B46" s="14">
        <v>0</v>
      </c>
      <c r="C46" s="14">
        <v>0</v>
      </c>
      <c r="D46" s="14">
        <v>-299954704</v>
      </c>
      <c r="E46" s="14">
        <v>299954704</v>
      </c>
      <c r="F46" s="14">
        <v>30000000</v>
      </c>
      <c r="G46" s="14">
        <v>359727477</v>
      </c>
      <c r="H46" s="14">
        <v>59772773</v>
      </c>
      <c r="I46" s="14">
        <v>299954704</v>
      </c>
    </row>
    <row r="47" spans="1:9">
      <c r="A47" s="6" t="s">
        <v>133</v>
      </c>
      <c r="B47" s="14">
        <v>0</v>
      </c>
      <c r="C47" s="14">
        <v>0</v>
      </c>
      <c r="D47" s="14">
        <v>0</v>
      </c>
      <c r="E47" s="14">
        <v>0</v>
      </c>
      <c r="F47" s="14">
        <v>562500</v>
      </c>
      <c r="G47" s="14">
        <v>4950825640</v>
      </c>
      <c r="H47" s="14">
        <v>5503880249</v>
      </c>
      <c r="I47" s="14">
        <v>-553054609</v>
      </c>
    </row>
    <row r="48" spans="1:9">
      <c r="A48" s="6" t="s">
        <v>191</v>
      </c>
      <c r="B48" s="14">
        <v>0</v>
      </c>
      <c r="C48" s="14">
        <v>0</v>
      </c>
      <c r="D48" s="14">
        <v>0</v>
      </c>
      <c r="E48" s="14">
        <v>0</v>
      </c>
      <c r="F48" s="14">
        <v>5000000</v>
      </c>
      <c r="G48" s="14">
        <v>64950770</v>
      </c>
      <c r="H48" s="14">
        <v>14962107</v>
      </c>
      <c r="I48" s="14">
        <v>49988663</v>
      </c>
    </row>
    <row r="49" spans="1:9">
      <c r="A49" s="6" t="s">
        <v>131</v>
      </c>
      <c r="B49" s="14">
        <v>0</v>
      </c>
      <c r="C49" s="14">
        <v>0</v>
      </c>
      <c r="D49" s="14">
        <v>0</v>
      </c>
      <c r="E49" s="14">
        <v>0</v>
      </c>
      <c r="F49" s="14">
        <v>1200000</v>
      </c>
      <c r="G49" s="14">
        <v>3952012977</v>
      </c>
      <c r="H49" s="14">
        <v>3772517754</v>
      </c>
      <c r="I49" s="14">
        <v>179495223</v>
      </c>
    </row>
    <row r="50" spans="1:9">
      <c r="A50" s="6" t="s">
        <v>129</v>
      </c>
      <c r="B50" s="14">
        <v>0</v>
      </c>
      <c r="C50" s="14">
        <v>0</v>
      </c>
      <c r="D50" s="14">
        <v>0</v>
      </c>
      <c r="E50" s="14">
        <v>0</v>
      </c>
      <c r="F50" s="14">
        <v>2900000</v>
      </c>
      <c r="G50" s="14">
        <v>21814981638</v>
      </c>
      <c r="H50" s="14">
        <v>23394781032</v>
      </c>
      <c r="I50" s="14">
        <v>-1579799394</v>
      </c>
    </row>
    <row r="51" spans="1:9">
      <c r="A51" s="6" t="s">
        <v>73</v>
      </c>
      <c r="B51" s="14">
        <v>22820100</v>
      </c>
      <c r="C51" s="14">
        <v>52193729962</v>
      </c>
      <c r="D51" s="14">
        <v>68711974723</v>
      </c>
      <c r="E51" s="14">
        <v>-16518244761</v>
      </c>
      <c r="F51" s="14">
        <v>26020100</v>
      </c>
      <c r="G51" s="14">
        <v>63307550976</v>
      </c>
      <c r="H51" s="14">
        <v>81128473230</v>
      </c>
      <c r="I51" s="14">
        <v>-17820922254</v>
      </c>
    </row>
    <row r="52" spans="1:9">
      <c r="A52" s="6" t="s">
        <v>175</v>
      </c>
      <c r="B52" s="14">
        <v>0</v>
      </c>
      <c r="C52" s="14">
        <v>0</v>
      </c>
      <c r="D52" s="14">
        <v>0</v>
      </c>
      <c r="E52" s="14">
        <v>0</v>
      </c>
      <c r="F52" s="14">
        <v>8096000</v>
      </c>
      <c r="G52" s="14">
        <v>327383857</v>
      </c>
      <c r="H52" s="14">
        <v>32160346</v>
      </c>
      <c r="I52" s="14">
        <v>295223511</v>
      </c>
    </row>
    <row r="53" spans="1:9">
      <c r="A53" s="6" t="s">
        <v>237</v>
      </c>
      <c r="B53" s="14">
        <v>0</v>
      </c>
      <c r="C53" s="14">
        <v>0</v>
      </c>
      <c r="D53" s="14">
        <v>0</v>
      </c>
      <c r="E53" s="14">
        <v>0</v>
      </c>
      <c r="F53" s="14">
        <v>700000</v>
      </c>
      <c r="G53" s="14">
        <v>10200715278</v>
      </c>
      <c r="H53" s="14">
        <v>10478287108</v>
      </c>
      <c r="I53" s="14">
        <v>-277571830</v>
      </c>
    </row>
    <row r="54" spans="1:9">
      <c r="A54" s="6" t="s">
        <v>196</v>
      </c>
      <c r="B54" s="14">
        <v>0</v>
      </c>
      <c r="C54" s="14">
        <v>0</v>
      </c>
      <c r="D54" s="14">
        <v>0</v>
      </c>
      <c r="E54" s="14">
        <v>0</v>
      </c>
      <c r="F54" s="14">
        <v>11000000</v>
      </c>
      <c r="G54" s="14">
        <v>144890222</v>
      </c>
      <c r="H54" s="14">
        <v>64023467</v>
      </c>
      <c r="I54" s="14">
        <v>80866755</v>
      </c>
    </row>
    <row r="55" spans="1:9">
      <c r="A55" s="6" t="s">
        <v>110</v>
      </c>
      <c r="B55" s="14">
        <v>15000000</v>
      </c>
      <c r="C55" s="14">
        <v>179863725</v>
      </c>
      <c r="D55" s="14">
        <v>179863725</v>
      </c>
      <c r="E55" s="14">
        <v>0</v>
      </c>
      <c r="F55" s="14">
        <v>15000000</v>
      </c>
      <c r="G55" s="14">
        <v>179863725</v>
      </c>
      <c r="H55" s="14">
        <v>179863725</v>
      </c>
      <c r="I55" s="14">
        <v>0</v>
      </c>
    </row>
    <row r="56" spans="1:9">
      <c r="A56" s="6" t="s">
        <v>194</v>
      </c>
      <c r="B56" s="14">
        <v>0</v>
      </c>
      <c r="C56" s="14">
        <v>0</v>
      </c>
      <c r="D56" s="14">
        <v>0</v>
      </c>
      <c r="E56" s="14">
        <v>0</v>
      </c>
      <c r="F56" s="14">
        <v>8000000</v>
      </c>
      <c r="G56" s="14">
        <v>60953834</v>
      </c>
      <c r="H56" s="14">
        <v>88020450</v>
      </c>
      <c r="I56" s="14">
        <v>-27066616</v>
      </c>
    </row>
    <row r="57" spans="1:9">
      <c r="A57" s="6" t="s">
        <v>183</v>
      </c>
      <c r="B57" s="14">
        <v>0</v>
      </c>
      <c r="C57" s="14">
        <v>0</v>
      </c>
      <c r="D57" s="14">
        <v>0</v>
      </c>
      <c r="E57" s="14">
        <v>0</v>
      </c>
      <c r="F57" s="14">
        <v>36000000</v>
      </c>
      <c r="G57" s="14">
        <v>334746428</v>
      </c>
      <c r="H57" s="14">
        <v>71800788</v>
      </c>
      <c r="I57" s="14">
        <v>262945640</v>
      </c>
    </row>
    <row r="58" spans="1:9">
      <c r="A58" s="6" t="s">
        <v>72</v>
      </c>
      <c r="B58" s="14">
        <v>10000000</v>
      </c>
      <c r="C58" s="14">
        <v>24221310836</v>
      </c>
      <c r="D58" s="14">
        <v>21052830944</v>
      </c>
      <c r="E58" s="14">
        <v>3168479892</v>
      </c>
      <c r="F58" s="14">
        <v>10000000</v>
      </c>
      <c r="G58" s="14">
        <v>24221310836</v>
      </c>
      <c r="H58" s="14">
        <v>21052830944</v>
      </c>
      <c r="I58" s="14">
        <v>3168479892</v>
      </c>
    </row>
    <row r="59" spans="1:9">
      <c r="A59" s="6" t="s">
        <v>187</v>
      </c>
      <c r="B59" s="14">
        <v>0</v>
      </c>
      <c r="C59" s="14">
        <v>0</v>
      </c>
      <c r="D59" s="14">
        <v>0</v>
      </c>
      <c r="E59" s="14">
        <v>0</v>
      </c>
      <c r="F59" s="14">
        <v>20000000</v>
      </c>
      <c r="G59" s="14">
        <v>348735672</v>
      </c>
      <c r="H59" s="14">
        <v>19750712</v>
      </c>
      <c r="I59" s="14">
        <v>328984960</v>
      </c>
    </row>
    <row r="60" spans="1:9">
      <c r="A60" s="6" t="s">
        <v>54</v>
      </c>
      <c r="B60" s="14">
        <v>1600000</v>
      </c>
      <c r="C60" s="14">
        <v>42021564860</v>
      </c>
      <c r="D60" s="14">
        <v>36829387447</v>
      </c>
      <c r="E60" s="14">
        <v>5192177413</v>
      </c>
      <c r="F60" s="14">
        <v>1800000</v>
      </c>
      <c r="G60" s="14">
        <v>47167665632</v>
      </c>
      <c r="H60" s="14">
        <v>41259328143</v>
      </c>
      <c r="I60" s="14">
        <v>5908337489</v>
      </c>
    </row>
    <row r="61" spans="1:9">
      <c r="A61" s="6" t="s">
        <v>170</v>
      </c>
      <c r="B61" s="14">
        <v>0</v>
      </c>
      <c r="C61" s="14">
        <v>0</v>
      </c>
      <c r="D61" s="14">
        <v>0</v>
      </c>
      <c r="E61" s="14">
        <v>0</v>
      </c>
      <c r="F61" s="14">
        <v>10000000</v>
      </c>
      <c r="G61" s="14">
        <v>109916722</v>
      </c>
      <c r="H61" s="14">
        <v>64965912</v>
      </c>
      <c r="I61" s="14">
        <v>44950810</v>
      </c>
    </row>
    <row r="62" spans="1:9">
      <c r="A62" s="6" t="s">
        <v>63</v>
      </c>
      <c r="B62" s="14">
        <v>405981</v>
      </c>
      <c r="C62" s="14">
        <v>15834756541</v>
      </c>
      <c r="D62" s="14">
        <v>15289035126</v>
      </c>
      <c r="E62" s="14">
        <v>545721415</v>
      </c>
      <c r="F62" s="14">
        <v>454981</v>
      </c>
      <c r="G62" s="14">
        <v>17279293286</v>
      </c>
      <c r="H62" s="14">
        <v>16568675527</v>
      </c>
      <c r="I62" s="14">
        <v>710617759</v>
      </c>
    </row>
    <row r="63" spans="1:9">
      <c r="A63" s="6" t="s">
        <v>70</v>
      </c>
      <c r="B63" s="14">
        <v>0</v>
      </c>
      <c r="C63" s="14">
        <v>0</v>
      </c>
      <c r="D63" s="14">
        <v>0</v>
      </c>
      <c r="E63" s="14">
        <v>0</v>
      </c>
      <c r="F63" s="14">
        <v>125000</v>
      </c>
      <c r="G63" s="14">
        <v>5394268979</v>
      </c>
      <c r="H63" s="14">
        <v>4419654372</v>
      </c>
      <c r="I63" s="14">
        <v>974614607</v>
      </c>
    </row>
    <row r="64" spans="1:9">
      <c r="A64" s="6" t="s">
        <v>67</v>
      </c>
      <c r="B64" s="14">
        <v>0</v>
      </c>
      <c r="C64" s="14">
        <v>0</v>
      </c>
      <c r="D64" s="14">
        <v>0</v>
      </c>
      <c r="E64" s="14">
        <v>0</v>
      </c>
      <c r="F64" s="14">
        <v>200000</v>
      </c>
      <c r="G64" s="14">
        <v>1738457084</v>
      </c>
      <c r="H64" s="14">
        <v>1728227686</v>
      </c>
      <c r="I64" s="14">
        <v>10229398</v>
      </c>
    </row>
    <row r="65" spans="1:9">
      <c r="A65" s="6" t="s">
        <v>236</v>
      </c>
      <c r="B65" s="14">
        <v>0</v>
      </c>
      <c r="C65" s="14">
        <v>0</v>
      </c>
      <c r="D65" s="14">
        <v>0</v>
      </c>
      <c r="E65" s="14">
        <v>0</v>
      </c>
      <c r="F65" s="14">
        <v>50000</v>
      </c>
      <c r="G65" s="14">
        <v>4537500000</v>
      </c>
      <c r="H65" s="14">
        <v>5197247733</v>
      </c>
      <c r="I65" s="14">
        <v>-659747733</v>
      </c>
    </row>
    <row r="66" spans="1:9">
      <c r="A66" s="6" t="s">
        <v>235</v>
      </c>
      <c r="B66" s="14">
        <v>0</v>
      </c>
      <c r="C66" s="14">
        <v>0</v>
      </c>
      <c r="D66" s="14">
        <v>0</v>
      </c>
      <c r="E66" s="14">
        <v>0</v>
      </c>
      <c r="F66" s="14">
        <v>4502052</v>
      </c>
      <c r="G66" s="14">
        <v>386400092</v>
      </c>
      <c r="H66" s="14">
        <v>-292900</v>
      </c>
      <c r="I66" s="14">
        <v>386692992</v>
      </c>
    </row>
    <row r="67" spans="1:9">
      <c r="A67" s="6" t="s">
        <v>178</v>
      </c>
      <c r="B67" s="14">
        <v>0</v>
      </c>
      <c r="C67" s="14">
        <v>0</v>
      </c>
      <c r="D67" s="14">
        <v>0</v>
      </c>
      <c r="E67" s="14">
        <v>0</v>
      </c>
      <c r="F67" s="14">
        <v>200000</v>
      </c>
      <c r="G67" s="14">
        <v>1053201595</v>
      </c>
      <c r="H67" s="14">
        <v>1099234231</v>
      </c>
      <c r="I67" s="14">
        <v>-46032636</v>
      </c>
    </row>
    <row r="68" spans="1:9">
      <c r="A68" s="6" t="s">
        <v>124</v>
      </c>
      <c r="B68" s="14">
        <v>0</v>
      </c>
      <c r="C68" s="14">
        <v>0</v>
      </c>
      <c r="D68" s="14">
        <v>0</v>
      </c>
      <c r="E68" s="14">
        <v>0</v>
      </c>
      <c r="F68" s="14">
        <v>2513000</v>
      </c>
      <c r="G68" s="14">
        <v>18054275583</v>
      </c>
      <c r="H68" s="14">
        <v>15755790082</v>
      </c>
      <c r="I68" s="14">
        <v>2298485501</v>
      </c>
    </row>
    <row r="69" spans="1:9">
      <c r="A69" s="6" t="s">
        <v>207</v>
      </c>
      <c r="B69" s="14">
        <v>0</v>
      </c>
      <c r="C69" s="14">
        <v>0</v>
      </c>
      <c r="D69" s="14">
        <v>0</v>
      </c>
      <c r="E69" s="14">
        <v>0</v>
      </c>
      <c r="F69" s="14">
        <v>10000000</v>
      </c>
      <c r="G69" s="14">
        <v>760623442</v>
      </c>
      <c r="H69" s="14">
        <v>1110264223</v>
      </c>
      <c r="I69" s="14">
        <v>-349640781</v>
      </c>
    </row>
    <row r="70" spans="1:9">
      <c r="A70" s="6" t="s">
        <v>201</v>
      </c>
      <c r="B70" s="14">
        <v>50000000</v>
      </c>
      <c r="C70" s="14">
        <v>42984776475</v>
      </c>
      <c r="D70" s="14">
        <v>42734062451</v>
      </c>
      <c r="E70" s="14">
        <v>250714024</v>
      </c>
      <c r="F70" s="14">
        <v>50000000</v>
      </c>
      <c r="G70" s="14">
        <v>42984776475</v>
      </c>
      <c r="H70" s="14">
        <v>42734062451</v>
      </c>
      <c r="I70" s="14">
        <v>250714024</v>
      </c>
    </row>
    <row r="71" spans="1:9">
      <c r="A71" s="6" t="s">
        <v>112</v>
      </c>
      <c r="B71" s="14">
        <v>0</v>
      </c>
      <c r="C71" s="14">
        <v>0</v>
      </c>
      <c r="D71" s="14">
        <v>-187000000</v>
      </c>
      <c r="E71" s="14">
        <v>187000000</v>
      </c>
      <c r="F71" s="14">
        <v>33000000</v>
      </c>
      <c r="G71" s="14">
        <v>186858493</v>
      </c>
      <c r="H71" s="14">
        <v>-141507</v>
      </c>
      <c r="I71" s="14">
        <v>187000000</v>
      </c>
    </row>
    <row r="72" spans="1:9">
      <c r="A72" s="6" t="s">
        <v>181</v>
      </c>
      <c r="B72" s="14">
        <v>0</v>
      </c>
      <c r="C72" s="14">
        <v>0</v>
      </c>
      <c r="D72" s="14">
        <v>0</v>
      </c>
      <c r="E72" s="14">
        <v>0</v>
      </c>
      <c r="F72" s="14">
        <v>8000000</v>
      </c>
      <c r="G72" s="14">
        <v>249810648</v>
      </c>
      <c r="H72" s="14">
        <v>55853032</v>
      </c>
      <c r="I72" s="14">
        <v>193957616</v>
      </c>
    </row>
    <row r="73" spans="1:9">
      <c r="A73" s="6" t="s">
        <v>130</v>
      </c>
      <c r="B73" s="14">
        <v>0</v>
      </c>
      <c r="C73" s="14">
        <v>0</v>
      </c>
      <c r="D73" s="14">
        <v>0</v>
      </c>
      <c r="E73" s="14">
        <v>0</v>
      </c>
      <c r="F73" s="14">
        <v>2000000</v>
      </c>
      <c r="G73" s="14">
        <v>16332764255</v>
      </c>
      <c r="H73" s="14">
        <v>15273683213</v>
      </c>
      <c r="I73" s="14">
        <v>1059081042</v>
      </c>
    </row>
    <row r="74" spans="1:9">
      <c r="A74" s="6" t="s">
        <v>180</v>
      </c>
      <c r="B74" s="14">
        <v>0</v>
      </c>
      <c r="C74" s="14">
        <v>0</v>
      </c>
      <c r="D74" s="14">
        <v>0</v>
      </c>
      <c r="E74" s="14">
        <v>0</v>
      </c>
      <c r="F74" s="14">
        <v>25424000</v>
      </c>
      <c r="G74" s="14">
        <v>608223068</v>
      </c>
      <c r="H74" s="14">
        <v>324504958</v>
      </c>
      <c r="I74" s="14">
        <v>283718110</v>
      </c>
    </row>
    <row r="75" spans="1:9">
      <c r="A75" s="6" t="s">
        <v>88</v>
      </c>
      <c r="B75" s="14">
        <v>274000</v>
      </c>
      <c r="C75" s="14">
        <v>149871150</v>
      </c>
      <c r="D75" s="14">
        <v>168281741</v>
      </c>
      <c r="E75" s="14">
        <v>-18410591</v>
      </c>
      <c r="F75" s="14">
        <v>10274000</v>
      </c>
      <c r="G75" s="14">
        <v>5756196668</v>
      </c>
      <c r="H75" s="14">
        <v>6296526659</v>
      </c>
      <c r="I75" s="14">
        <v>-540329991</v>
      </c>
    </row>
    <row r="76" spans="1:9">
      <c r="A76" s="6" t="s">
        <v>177</v>
      </c>
      <c r="B76" s="14">
        <v>0</v>
      </c>
      <c r="C76" s="14">
        <v>0</v>
      </c>
      <c r="D76" s="14">
        <v>0</v>
      </c>
      <c r="E76" s="14">
        <v>0</v>
      </c>
      <c r="F76" s="14">
        <v>5000000</v>
      </c>
      <c r="G76" s="14">
        <v>120908364</v>
      </c>
      <c r="H76" s="14">
        <v>14919709</v>
      </c>
      <c r="I76" s="14">
        <v>105988655</v>
      </c>
    </row>
    <row r="77" spans="1:9">
      <c r="A77" s="6" t="s">
        <v>192</v>
      </c>
      <c r="B77" s="14">
        <v>0</v>
      </c>
      <c r="C77" s="14">
        <v>0</v>
      </c>
      <c r="D77" s="14">
        <v>0</v>
      </c>
      <c r="E77" s="14">
        <v>0</v>
      </c>
      <c r="F77" s="14">
        <v>14000000</v>
      </c>
      <c r="G77" s="14">
        <v>126903870</v>
      </c>
      <c r="H77" s="14">
        <v>150017443</v>
      </c>
      <c r="I77" s="14">
        <v>-23113573</v>
      </c>
    </row>
    <row r="78" spans="1:9">
      <c r="A78" s="6" t="s">
        <v>132</v>
      </c>
      <c r="B78" s="14">
        <v>0</v>
      </c>
      <c r="C78" s="14">
        <v>0</v>
      </c>
      <c r="D78" s="14">
        <v>0</v>
      </c>
      <c r="E78" s="14">
        <v>0</v>
      </c>
      <c r="F78" s="14">
        <v>1105454</v>
      </c>
      <c r="G78" s="14">
        <v>5875656169</v>
      </c>
      <c r="H78" s="14">
        <v>5233649749</v>
      </c>
      <c r="I78" s="14">
        <v>642006420</v>
      </c>
    </row>
    <row r="79" spans="1:9">
      <c r="A79" s="6" t="s">
        <v>85</v>
      </c>
      <c r="B79" s="14">
        <v>0</v>
      </c>
      <c r="C79" s="14">
        <v>0</v>
      </c>
      <c r="D79" s="14">
        <v>0</v>
      </c>
      <c r="E79" s="14">
        <v>0</v>
      </c>
      <c r="F79" s="14">
        <v>67392963</v>
      </c>
      <c r="G79" s="14">
        <v>81275917224</v>
      </c>
      <c r="H79" s="14">
        <v>81155362940</v>
      </c>
      <c r="I79" s="14">
        <v>120554284</v>
      </c>
    </row>
    <row r="80" spans="1:9">
      <c r="A80" s="6" t="s">
        <v>51</v>
      </c>
      <c r="B80" s="14">
        <v>0</v>
      </c>
      <c r="C80" s="14">
        <v>0</v>
      </c>
      <c r="D80" s="14">
        <v>0</v>
      </c>
      <c r="E80" s="14">
        <v>0</v>
      </c>
      <c r="F80" s="14">
        <v>6338333</v>
      </c>
      <c r="G80" s="14">
        <v>14031768438</v>
      </c>
      <c r="H80" s="14">
        <v>16509325136</v>
      </c>
      <c r="I80" s="14">
        <v>-2477556698</v>
      </c>
    </row>
    <row r="81" spans="1:9">
      <c r="A81" s="6" t="s">
        <v>172</v>
      </c>
      <c r="B81" s="14">
        <v>0</v>
      </c>
      <c r="C81" s="14">
        <v>0</v>
      </c>
      <c r="D81" s="14">
        <v>0</v>
      </c>
      <c r="E81" s="14">
        <v>0</v>
      </c>
      <c r="F81" s="14">
        <v>10009000</v>
      </c>
      <c r="G81" s="14">
        <v>155143432</v>
      </c>
      <c r="H81" s="14">
        <v>70088537</v>
      </c>
      <c r="I81" s="14">
        <v>85054895</v>
      </c>
    </row>
    <row r="82" spans="1:9">
      <c r="A82" s="6" t="s">
        <v>79</v>
      </c>
      <c r="B82" s="14">
        <v>20731000</v>
      </c>
      <c r="C82" s="14">
        <v>45082532069</v>
      </c>
      <c r="D82" s="14">
        <v>38097546640</v>
      </c>
      <c r="E82" s="14">
        <v>6984985429</v>
      </c>
      <c r="F82" s="14">
        <v>95142000</v>
      </c>
      <c r="G82" s="14">
        <v>204407608376</v>
      </c>
      <c r="H82" s="14">
        <v>173773360135</v>
      </c>
      <c r="I82" s="14">
        <v>30634248241</v>
      </c>
    </row>
    <row r="83" spans="1:9">
      <c r="A83" s="6" t="s">
        <v>80</v>
      </c>
      <c r="B83" s="14">
        <v>0</v>
      </c>
      <c r="C83" s="14">
        <v>0</v>
      </c>
      <c r="D83" s="14">
        <v>0</v>
      </c>
      <c r="E83" s="14">
        <v>0</v>
      </c>
      <c r="F83" s="14">
        <v>435000</v>
      </c>
      <c r="G83" s="14">
        <v>9927998529</v>
      </c>
      <c r="H83" s="14">
        <v>7555375305</v>
      </c>
      <c r="I83" s="14">
        <v>2372623224</v>
      </c>
    </row>
    <row r="84" spans="1:9">
      <c r="A84" s="6" t="s">
        <v>69</v>
      </c>
      <c r="B84" s="14">
        <v>0</v>
      </c>
      <c r="C84" s="14">
        <v>0</v>
      </c>
      <c r="D84" s="14">
        <v>0</v>
      </c>
      <c r="E84" s="14">
        <v>0</v>
      </c>
      <c r="F84" s="14">
        <v>170000</v>
      </c>
      <c r="G84" s="14">
        <v>2753946186</v>
      </c>
      <c r="H84" s="14">
        <v>2564501033</v>
      </c>
      <c r="I84" s="14">
        <v>189445153</v>
      </c>
    </row>
    <row r="85" spans="1:9">
      <c r="A85" s="6" t="s">
        <v>203</v>
      </c>
      <c r="B85" s="14">
        <v>40000000</v>
      </c>
      <c r="C85" s="14">
        <v>641513846</v>
      </c>
      <c r="D85" s="14">
        <v>3041816513</v>
      </c>
      <c r="E85" s="14">
        <v>-2400302667</v>
      </c>
      <c r="F85" s="14">
        <v>40000000</v>
      </c>
      <c r="G85" s="14">
        <v>641513846</v>
      </c>
      <c r="H85" s="14">
        <v>3041816513</v>
      </c>
      <c r="I85" s="14">
        <v>-2400302667</v>
      </c>
    </row>
    <row r="86" spans="1:9">
      <c r="A86" s="6" t="s">
        <v>123</v>
      </c>
      <c r="B86" s="14">
        <v>0</v>
      </c>
      <c r="C86" s="14">
        <v>0</v>
      </c>
      <c r="D86" s="14">
        <v>0</v>
      </c>
      <c r="E86" s="14">
        <v>0</v>
      </c>
      <c r="F86" s="14">
        <v>2450000</v>
      </c>
      <c r="G86" s="14">
        <v>9241456646</v>
      </c>
      <c r="H86" s="14">
        <v>10267435753</v>
      </c>
      <c r="I86" s="14">
        <v>-1025979107</v>
      </c>
    </row>
    <row r="87" spans="1:9">
      <c r="A87" s="6" t="s">
        <v>184</v>
      </c>
      <c r="B87" s="14">
        <v>0</v>
      </c>
      <c r="C87" s="14">
        <v>0</v>
      </c>
      <c r="D87" s="14">
        <v>0</v>
      </c>
      <c r="E87" s="14">
        <v>0</v>
      </c>
      <c r="F87" s="14">
        <v>148596000</v>
      </c>
      <c r="G87" s="14">
        <v>2596420247</v>
      </c>
      <c r="H87" s="14">
        <v>153149604</v>
      </c>
      <c r="I87" s="14">
        <v>2443270643</v>
      </c>
    </row>
    <row r="88" spans="1:9">
      <c r="A88" s="6" t="s">
        <v>82</v>
      </c>
      <c r="B88" s="14">
        <v>200000</v>
      </c>
      <c r="C88" s="14">
        <v>2885521186</v>
      </c>
      <c r="D88" s="14">
        <v>3112788957</v>
      </c>
      <c r="E88" s="14">
        <v>-227267771</v>
      </c>
      <c r="F88" s="14">
        <v>200000</v>
      </c>
      <c r="G88" s="14">
        <v>2885521186</v>
      </c>
      <c r="H88" s="14">
        <v>3112788957</v>
      </c>
      <c r="I88" s="14">
        <v>-227267771</v>
      </c>
    </row>
    <row r="89" spans="1:9">
      <c r="A89" s="6" t="s">
        <v>64</v>
      </c>
      <c r="B89" s="14">
        <v>2275000</v>
      </c>
      <c r="C89" s="14">
        <v>25672257711</v>
      </c>
      <c r="D89" s="14">
        <v>14837094801</v>
      </c>
      <c r="E89" s="14">
        <v>10835162910</v>
      </c>
      <c r="F89" s="14">
        <v>4050000</v>
      </c>
      <c r="G89" s="14">
        <v>44449851316</v>
      </c>
      <c r="H89" s="14">
        <v>26403563110</v>
      </c>
      <c r="I89" s="14">
        <v>18046288206</v>
      </c>
    </row>
    <row r="90" spans="1:9">
      <c r="A90" s="6" t="s">
        <v>186</v>
      </c>
      <c r="B90" s="14">
        <v>0</v>
      </c>
      <c r="C90" s="14">
        <v>0</v>
      </c>
      <c r="D90" s="14">
        <v>0</v>
      </c>
      <c r="E90" s="14">
        <v>0</v>
      </c>
      <c r="F90" s="14">
        <v>5149000</v>
      </c>
      <c r="G90" s="14">
        <v>2128867180</v>
      </c>
      <c r="H90" s="14">
        <v>62206486</v>
      </c>
      <c r="I90" s="14">
        <v>2066660694</v>
      </c>
    </row>
    <row r="91" spans="1:9">
      <c r="A91" s="6" t="s">
        <v>185</v>
      </c>
      <c r="B91" s="14">
        <v>0</v>
      </c>
      <c r="C91" s="14">
        <v>0</v>
      </c>
      <c r="D91" s="14">
        <v>0</v>
      </c>
      <c r="E91" s="14">
        <v>0</v>
      </c>
      <c r="F91" s="14">
        <v>4000000</v>
      </c>
      <c r="G91" s="14">
        <v>1402936497</v>
      </c>
      <c r="H91" s="14">
        <v>1316934107</v>
      </c>
      <c r="I91" s="14">
        <v>86002390</v>
      </c>
    </row>
    <row r="92" spans="1:9">
      <c r="A92" s="6" t="s">
        <v>188</v>
      </c>
      <c r="B92" s="14">
        <v>0</v>
      </c>
      <c r="C92" s="14">
        <v>0</v>
      </c>
      <c r="D92" s="14">
        <v>0</v>
      </c>
      <c r="E92" s="14">
        <v>0</v>
      </c>
      <c r="F92" s="14">
        <v>1000000</v>
      </c>
      <c r="G92" s="14">
        <v>77980889</v>
      </c>
      <c r="H92" s="14">
        <v>1942399</v>
      </c>
      <c r="I92" s="14">
        <v>76038490</v>
      </c>
    </row>
    <row r="93" spans="1:9">
      <c r="A93" s="6" t="s">
        <v>167</v>
      </c>
      <c r="B93" s="14">
        <v>0</v>
      </c>
      <c r="C93" s="14">
        <v>0</v>
      </c>
      <c r="D93" s="14">
        <v>0</v>
      </c>
      <c r="E93" s="14">
        <v>0</v>
      </c>
      <c r="F93" s="14">
        <v>15000000</v>
      </c>
      <c r="G93" s="14">
        <v>551581958</v>
      </c>
      <c r="H93" s="14">
        <v>669138695</v>
      </c>
      <c r="I93" s="14">
        <v>-117556737</v>
      </c>
    </row>
    <row r="94" spans="1:9">
      <c r="A94" s="6" t="s">
        <v>75</v>
      </c>
      <c r="B94" s="14">
        <v>500000</v>
      </c>
      <c r="C94" s="14">
        <v>13445916785</v>
      </c>
      <c r="D94" s="14">
        <v>11515997916</v>
      </c>
      <c r="E94" s="14">
        <v>1929918869</v>
      </c>
      <c r="F94" s="14">
        <v>500000</v>
      </c>
      <c r="G94" s="14">
        <v>13445916785</v>
      </c>
      <c r="H94" s="14">
        <v>11515997916</v>
      </c>
      <c r="I94" s="14">
        <v>1929918869</v>
      </c>
    </row>
    <row r="95" spans="1:9">
      <c r="A95" s="6" t="s">
        <v>76</v>
      </c>
      <c r="B95" s="14">
        <v>701200</v>
      </c>
      <c r="C95" s="14">
        <v>10049964672</v>
      </c>
      <c r="D95" s="14">
        <v>10695857887</v>
      </c>
      <c r="E95" s="14">
        <v>-645893215</v>
      </c>
      <c r="F95" s="14">
        <v>3252200</v>
      </c>
      <c r="G95" s="14">
        <v>47573029101</v>
      </c>
      <c r="H95" s="14">
        <v>49216633455</v>
      </c>
      <c r="I95" s="14">
        <v>-1643604354</v>
      </c>
    </row>
    <row r="96" spans="1:9">
      <c r="A96" s="6" t="s">
        <v>234</v>
      </c>
      <c r="B96" s="14">
        <v>0</v>
      </c>
      <c r="C96" s="14">
        <v>0</v>
      </c>
      <c r="D96" s="14">
        <v>0</v>
      </c>
      <c r="E96" s="14">
        <v>0</v>
      </c>
      <c r="F96" s="14">
        <v>16000000</v>
      </c>
      <c r="G96" s="14">
        <v>136896309</v>
      </c>
      <c r="H96" s="14">
        <v>31920468</v>
      </c>
      <c r="I96" s="14">
        <v>104975841</v>
      </c>
    </row>
    <row r="97" spans="1:9">
      <c r="A97" s="6" t="s">
        <v>190</v>
      </c>
      <c r="B97" s="14">
        <v>0</v>
      </c>
      <c r="C97" s="14">
        <v>0</v>
      </c>
      <c r="D97" s="14">
        <v>0</v>
      </c>
      <c r="E97" s="14">
        <v>0</v>
      </c>
      <c r="F97" s="14">
        <v>11000000</v>
      </c>
      <c r="G97" s="14">
        <v>191854617</v>
      </c>
      <c r="H97" s="14">
        <v>329103803</v>
      </c>
      <c r="I97" s="14">
        <v>-137249186</v>
      </c>
    </row>
    <row r="98" spans="1:9">
      <c r="A98" s="6" t="s">
        <v>193</v>
      </c>
      <c r="B98" s="14">
        <v>0</v>
      </c>
      <c r="C98" s="14">
        <v>0</v>
      </c>
      <c r="D98" s="14">
        <v>0</v>
      </c>
      <c r="E98" s="14">
        <v>0</v>
      </c>
      <c r="F98" s="14">
        <v>32000000</v>
      </c>
      <c r="G98" s="14">
        <v>395700166</v>
      </c>
      <c r="H98" s="14">
        <v>95772726</v>
      </c>
      <c r="I98" s="14">
        <v>299927440</v>
      </c>
    </row>
    <row r="99" spans="1:9">
      <c r="A99" s="6" t="s">
        <v>179</v>
      </c>
      <c r="B99" s="14">
        <v>0</v>
      </c>
      <c r="C99" s="14">
        <v>0</v>
      </c>
      <c r="D99" s="14">
        <v>0</v>
      </c>
      <c r="E99" s="14">
        <v>0</v>
      </c>
      <c r="F99" s="14">
        <v>100000</v>
      </c>
      <c r="G99" s="14">
        <v>139894951</v>
      </c>
      <c r="H99" s="14">
        <v>112979266</v>
      </c>
      <c r="I99" s="14">
        <v>26915685</v>
      </c>
    </row>
    <row r="100" spans="1:9">
      <c r="A100" s="6" t="s">
        <v>127</v>
      </c>
      <c r="B100" s="14">
        <v>0</v>
      </c>
      <c r="C100" s="14">
        <v>0</v>
      </c>
      <c r="D100" s="14">
        <v>0</v>
      </c>
      <c r="E100" s="14">
        <v>0</v>
      </c>
      <c r="F100" s="14">
        <v>1675000</v>
      </c>
      <c r="G100" s="14">
        <v>8348086329</v>
      </c>
      <c r="H100" s="14">
        <v>7185060607</v>
      </c>
      <c r="I100" s="14">
        <v>1163025722</v>
      </c>
    </row>
    <row r="101" spans="1:9">
      <c r="A101" s="6" t="s">
        <v>57</v>
      </c>
      <c r="B101" s="14">
        <v>0</v>
      </c>
      <c r="C101" s="14">
        <v>0</v>
      </c>
      <c r="D101" s="14">
        <v>0</v>
      </c>
      <c r="E101" s="14">
        <v>0</v>
      </c>
      <c r="F101" s="14">
        <v>275000</v>
      </c>
      <c r="G101" s="14">
        <v>13376423487</v>
      </c>
      <c r="H101" s="14">
        <v>13905158883</v>
      </c>
      <c r="I101" s="14">
        <v>-528735396</v>
      </c>
    </row>
    <row r="102" spans="1:9">
      <c r="A102" s="6" t="s">
        <v>166</v>
      </c>
      <c r="B102" s="14">
        <v>0</v>
      </c>
      <c r="C102" s="14">
        <v>0</v>
      </c>
      <c r="D102" s="14">
        <v>0</v>
      </c>
      <c r="E102" s="14">
        <v>0</v>
      </c>
      <c r="F102" s="14">
        <v>10000000</v>
      </c>
      <c r="G102" s="14">
        <v>134897786</v>
      </c>
      <c r="H102" s="14">
        <v>99973520</v>
      </c>
      <c r="I102" s="14">
        <v>34924266</v>
      </c>
    </row>
    <row r="103" spans="1:9">
      <c r="A103" s="6" t="s">
        <v>56</v>
      </c>
      <c r="B103" s="14">
        <v>1645957</v>
      </c>
      <c r="C103" s="14">
        <v>3330871734</v>
      </c>
      <c r="D103" s="14">
        <v>4543231495</v>
      </c>
      <c r="E103" s="14">
        <v>-1212359761</v>
      </c>
      <c r="F103" s="14">
        <v>1645957</v>
      </c>
      <c r="G103" s="14">
        <v>3330871734</v>
      </c>
      <c r="H103" s="14">
        <v>4543231495</v>
      </c>
      <c r="I103" s="14">
        <v>-1212359761</v>
      </c>
    </row>
    <row r="104" spans="1:9">
      <c r="A104" s="6" t="s">
        <v>199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-2675971415</v>
      </c>
      <c r="I104" s="14">
        <v>2675971415</v>
      </c>
    </row>
    <row r="105" spans="1:9" ht="19.2" thickBot="1">
      <c r="A105" s="6" t="s">
        <v>2</v>
      </c>
      <c r="B105" s="14"/>
      <c r="C105" s="8">
        <f>SUM(C8:C104)</f>
        <v>400701980207</v>
      </c>
      <c r="D105" s="8">
        <f>SUM(D8:D104)</f>
        <v>367791048448</v>
      </c>
      <c r="E105" s="8">
        <f>SUM(E8:E104)</f>
        <v>32910931759</v>
      </c>
      <c r="F105" s="14"/>
      <c r="G105" s="8">
        <f>SUM(G8:G104)</f>
        <v>1086068902719</v>
      </c>
      <c r="H105" s="8">
        <f>SUM(H8:H104)</f>
        <v>972380000984</v>
      </c>
      <c r="I105" s="8">
        <f>SUM(I8:I104)</f>
        <v>113688901735</v>
      </c>
    </row>
    <row r="106" spans="1:9" ht="19.2" thickTop="1"/>
  </sheetData>
  <mergeCells count="7">
    <mergeCell ref="A1:I1"/>
    <mergeCell ref="A2:I2"/>
    <mergeCell ref="A3:I3"/>
    <mergeCell ref="B6:E6"/>
    <mergeCell ref="F6:I6"/>
    <mergeCell ref="A5:E5"/>
    <mergeCell ref="F5:I5"/>
  </mergeCells>
  <pageMargins left="0.7" right="0.7" top="0.75" bottom="0.75" header="0.3" footer="0.3"/>
  <pageSetup scale="61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AC1FB-5433-4A8C-BFC6-5051FDAF1345}">
  <dimension ref="A1:I63"/>
  <sheetViews>
    <sheetView rightToLeft="1" view="pageBreakPreview" zoomScaleNormal="100" zoomScaleSheetLayoutView="100" workbookViewId="0">
      <selection sqref="A1:I1"/>
    </sheetView>
  </sheetViews>
  <sheetFormatPr defaultRowHeight="18.600000000000001"/>
  <cols>
    <col min="1" max="1" width="32.59765625" style="20" customWidth="1"/>
    <col min="2" max="2" width="13.796875" style="20" customWidth="1"/>
    <col min="3" max="4" width="19.09765625" style="20" customWidth="1"/>
    <col min="5" max="5" width="22" style="20" customWidth="1"/>
    <col min="6" max="6" width="13.796875" style="20" customWidth="1"/>
    <col min="7" max="8" width="19.09765625" style="20" customWidth="1"/>
    <col min="9" max="9" width="22" style="20" customWidth="1"/>
    <col min="10" max="16384" width="8.796875" style="20"/>
  </cols>
  <sheetData>
    <row r="1" spans="1:9" ht="20.399999999999999">
      <c r="A1" s="41" t="s">
        <v>99</v>
      </c>
      <c r="B1" s="41"/>
      <c r="C1" s="41"/>
      <c r="D1" s="41"/>
      <c r="E1" s="41"/>
      <c r="F1" s="41"/>
      <c r="G1" s="41"/>
      <c r="H1" s="41"/>
      <c r="I1" s="41"/>
    </row>
    <row r="2" spans="1:9" ht="20.399999999999999">
      <c r="A2" s="41" t="s">
        <v>27</v>
      </c>
      <c r="B2" s="41"/>
      <c r="C2" s="41"/>
      <c r="D2" s="41"/>
      <c r="E2" s="41"/>
      <c r="F2" s="41"/>
      <c r="G2" s="41"/>
      <c r="H2" s="41"/>
      <c r="I2" s="41"/>
    </row>
    <row r="3" spans="1:9" ht="20.399999999999999">
      <c r="A3" s="41" t="s">
        <v>98</v>
      </c>
      <c r="B3" s="41"/>
      <c r="C3" s="41"/>
      <c r="D3" s="41"/>
      <c r="E3" s="41"/>
      <c r="F3" s="41"/>
      <c r="G3" s="41"/>
      <c r="H3" s="41"/>
      <c r="I3" s="41"/>
    </row>
    <row r="4" spans="1:9" ht="20.399999999999999">
      <c r="A4" s="3"/>
      <c r="B4" s="3"/>
      <c r="C4" s="3"/>
      <c r="D4" s="3"/>
      <c r="E4" s="3"/>
      <c r="F4" s="3"/>
      <c r="G4" s="3"/>
      <c r="H4" s="3"/>
      <c r="I4" s="3"/>
    </row>
    <row r="5" spans="1:9" ht="20.399999999999999">
      <c r="A5" s="42" t="s">
        <v>18</v>
      </c>
      <c r="B5" s="42"/>
      <c r="C5" s="42"/>
      <c r="D5" s="42"/>
    </row>
    <row r="6" spans="1:9" ht="19.2" thickBot="1">
      <c r="B6" s="50" t="s">
        <v>251</v>
      </c>
      <c r="C6" s="50"/>
      <c r="D6" s="50"/>
      <c r="E6" s="50"/>
      <c r="F6" s="50" t="s">
        <v>252</v>
      </c>
      <c r="G6" s="50"/>
      <c r="H6" s="50"/>
      <c r="I6" s="50"/>
    </row>
    <row r="7" spans="1:9" ht="19.2" thickBot="1">
      <c r="A7" s="2" t="s">
        <v>14</v>
      </c>
      <c r="B7" s="33" t="s">
        <v>3</v>
      </c>
      <c r="C7" s="1" t="s">
        <v>9</v>
      </c>
      <c r="D7" s="33" t="s">
        <v>19</v>
      </c>
      <c r="E7" s="1" t="s">
        <v>20</v>
      </c>
      <c r="F7" s="33" t="s">
        <v>3</v>
      </c>
      <c r="G7" s="1" t="s">
        <v>9</v>
      </c>
      <c r="H7" s="33" t="s">
        <v>19</v>
      </c>
      <c r="I7" s="1" t="s">
        <v>20</v>
      </c>
    </row>
    <row r="8" spans="1:9">
      <c r="A8" s="6" t="s">
        <v>91</v>
      </c>
      <c r="B8" s="14">
        <v>3100000</v>
      </c>
      <c r="C8" s="14">
        <v>45186983530</v>
      </c>
      <c r="D8" s="14">
        <v>37166716050</v>
      </c>
      <c r="E8" s="14">
        <v>8020267480</v>
      </c>
      <c r="F8" s="14">
        <v>3100000</v>
      </c>
      <c r="G8" s="14">
        <v>45186983530</v>
      </c>
      <c r="H8" s="14">
        <v>27885098277</v>
      </c>
      <c r="I8" s="14">
        <v>17301885253</v>
      </c>
    </row>
    <row r="9" spans="1:9">
      <c r="A9" s="6" t="s">
        <v>90</v>
      </c>
      <c r="B9" s="14">
        <v>10666000</v>
      </c>
      <c r="C9" s="14">
        <v>44133411089</v>
      </c>
      <c r="D9" s="14">
        <v>36681109090</v>
      </c>
      <c r="E9" s="14">
        <v>7452301999</v>
      </c>
      <c r="F9" s="14">
        <v>10666000</v>
      </c>
      <c r="G9" s="14">
        <v>44133411089</v>
      </c>
      <c r="H9" s="14">
        <v>36681109090</v>
      </c>
      <c r="I9" s="14">
        <v>7452301999</v>
      </c>
    </row>
    <row r="10" spans="1:9">
      <c r="A10" s="6" t="s">
        <v>207</v>
      </c>
      <c r="B10" s="14">
        <v>0</v>
      </c>
      <c r="C10" s="14">
        <v>0</v>
      </c>
      <c r="D10" s="14">
        <v>135896980</v>
      </c>
      <c r="E10" s="14">
        <v>-135896980</v>
      </c>
      <c r="F10" s="14">
        <v>0</v>
      </c>
      <c r="G10" s="14">
        <v>0</v>
      </c>
      <c r="H10" s="14">
        <v>0</v>
      </c>
      <c r="I10" s="14">
        <v>0</v>
      </c>
    </row>
    <row r="11" spans="1:9">
      <c r="A11" s="6" t="s">
        <v>202</v>
      </c>
      <c r="B11" s="14">
        <v>0</v>
      </c>
      <c r="C11" s="14">
        <v>84935613</v>
      </c>
      <c r="D11" s="14">
        <v>0</v>
      </c>
      <c r="E11" s="14">
        <v>84935613</v>
      </c>
      <c r="F11" s="14">
        <v>0</v>
      </c>
      <c r="G11" s="14">
        <v>84935613</v>
      </c>
      <c r="H11" s="14">
        <v>0</v>
      </c>
      <c r="I11" s="14">
        <v>84935613</v>
      </c>
    </row>
    <row r="12" spans="1:9">
      <c r="A12" s="6" t="s">
        <v>114</v>
      </c>
      <c r="B12" s="14">
        <v>15000000</v>
      </c>
      <c r="C12" s="14">
        <v>2473125187</v>
      </c>
      <c r="D12" s="14">
        <v>2055881076</v>
      </c>
      <c r="E12" s="14">
        <v>417244111</v>
      </c>
      <c r="F12" s="14">
        <v>15000000</v>
      </c>
      <c r="G12" s="14">
        <v>2473125187</v>
      </c>
      <c r="H12" s="14">
        <v>2055881076</v>
      </c>
      <c r="I12" s="14">
        <v>417244111</v>
      </c>
    </row>
    <row r="13" spans="1:9">
      <c r="A13" s="6" t="s">
        <v>112</v>
      </c>
      <c r="B13" s="14">
        <v>0</v>
      </c>
      <c r="C13" s="14">
        <v>0</v>
      </c>
      <c r="D13" s="14">
        <v>22124987</v>
      </c>
      <c r="E13" s="14">
        <v>-22124987</v>
      </c>
      <c r="F13" s="14">
        <v>0</v>
      </c>
      <c r="G13" s="14">
        <v>0</v>
      </c>
      <c r="H13" s="14">
        <v>0</v>
      </c>
      <c r="I13" s="14">
        <v>0</v>
      </c>
    </row>
    <row r="14" spans="1:9">
      <c r="A14" s="6" t="s">
        <v>200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2498107</v>
      </c>
      <c r="I14" s="14">
        <v>-2498107</v>
      </c>
    </row>
    <row r="15" spans="1:9">
      <c r="A15" s="6" t="s">
        <v>110</v>
      </c>
      <c r="B15" s="14">
        <v>-15000000</v>
      </c>
      <c r="C15" s="14">
        <v>-1034215988</v>
      </c>
      <c r="D15" s="14">
        <v>-180000000</v>
      </c>
      <c r="E15" s="14">
        <v>-854215988</v>
      </c>
      <c r="F15" s="14">
        <v>-15000000</v>
      </c>
      <c r="G15" s="14">
        <v>-1034215988</v>
      </c>
      <c r="H15" s="14">
        <v>-180000000</v>
      </c>
      <c r="I15" s="14">
        <v>-854215988</v>
      </c>
    </row>
    <row r="16" spans="1:9">
      <c r="A16" s="6" t="s">
        <v>197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16531468</v>
      </c>
      <c r="I16" s="14">
        <v>-16531468</v>
      </c>
    </row>
    <row r="17" spans="1:9">
      <c r="A17" s="6" t="s">
        <v>205</v>
      </c>
      <c r="B17" s="14">
        <v>0</v>
      </c>
      <c r="C17" s="14">
        <v>0</v>
      </c>
      <c r="D17" s="14">
        <v>-159878800</v>
      </c>
      <c r="E17" s="14">
        <v>159878800</v>
      </c>
      <c r="F17" s="14">
        <v>0</v>
      </c>
      <c r="G17" s="14">
        <v>0</v>
      </c>
      <c r="H17" s="14">
        <v>0</v>
      </c>
      <c r="I17" s="14">
        <v>0</v>
      </c>
    </row>
    <row r="18" spans="1:9">
      <c r="A18" s="6" t="s">
        <v>201</v>
      </c>
      <c r="B18" s="14">
        <v>0</v>
      </c>
      <c r="C18" s="14">
        <v>2098409250</v>
      </c>
      <c r="D18" s="14">
        <v>0</v>
      </c>
      <c r="E18" s="14">
        <v>2098409250</v>
      </c>
      <c r="F18" s="14">
        <v>0</v>
      </c>
      <c r="G18" s="14">
        <v>2098409250</v>
      </c>
      <c r="H18" s="14">
        <v>0</v>
      </c>
      <c r="I18" s="14">
        <v>2098409250</v>
      </c>
    </row>
    <row r="19" spans="1:9">
      <c r="A19" s="6" t="s">
        <v>239</v>
      </c>
      <c r="B19" s="14">
        <v>0</v>
      </c>
      <c r="C19" s="14">
        <v>0</v>
      </c>
      <c r="D19" s="14">
        <v>-304262207</v>
      </c>
      <c r="E19" s="14">
        <v>304262207</v>
      </c>
      <c r="F19" s="14">
        <v>0</v>
      </c>
      <c r="G19" s="14">
        <v>0</v>
      </c>
      <c r="H19" s="14">
        <v>0</v>
      </c>
      <c r="I19" s="14">
        <v>0</v>
      </c>
    </row>
    <row r="20" spans="1:9">
      <c r="A20" s="6" t="s">
        <v>206</v>
      </c>
      <c r="B20" s="14">
        <v>0</v>
      </c>
      <c r="C20" s="14">
        <v>0</v>
      </c>
      <c r="D20" s="14">
        <v>-959123</v>
      </c>
      <c r="E20" s="14">
        <v>959123</v>
      </c>
      <c r="F20" s="14">
        <v>0</v>
      </c>
      <c r="G20" s="14">
        <v>0</v>
      </c>
      <c r="H20" s="14">
        <v>0</v>
      </c>
      <c r="I20" s="14">
        <v>0</v>
      </c>
    </row>
    <row r="21" spans="1:9">
      <c r="A21" s="6" t="s">
        <v>203</v>
      </c>
      <c r="B21" s="14">
        <v>0</v>
      </c>
      <c r="C21" s="14">
        <v>715457630</v>
      </c>
      <c r="D21" s="14">
        <v>0</v>
      </c>
      <c r="E21" s="14">
        <v>715457630</v>
      </c>
      <c r="F21" s="14">
        <v>0</v>
      </c>
      <c r="G21" s="14">
        <v>715457630</v>
      </c>
      <c r="H21" s="14">
        <v>0</v>
      </c>
      <c r="I21" s="14">
        <v>715457630</v>
      </c>
    </row>
    <row r="22" spans="1:9">
      <c r="A22" s="6" t="s">
        <v>108</v>
      </c>
      <c r="B22" s="14">
        <v>0</v>
      </c>
      <c r="C22" s="14">
        <v>8324689</v>
      </c>
      <c r="D22" s="14">
        <v>-179590950</v>
      </c>
      <c r="E22" s="14">
        <v>187915639</v>
      </c>
      <c r="F22" s="14">
        <v>0</v>
      </c>
      <c r="G22" s="14">
        <v>8324689</v>
      </c>
      <c r="H22" s="14">
        <v>0</v>
      </c>
      <c r="I22" s="14">
        <v>8324689</v>
      </c>
    </row>
    <row r="23" spans="1:9">
      <c r="A23" s="6" t="s">
        <v>235</v>
      </c>
      <c r="B23" s="14">
        <v>0</v>
      </c>
      <c r="C23" s="14">
        <v>0</v>
      </c>
      <c r="D23" s="14">
        <v>-130460609</v>
      </c>
      <c r="E23" s="14">
        <v>130460609</v>
      </c>
      <c r="F23" s="14">
        <v>0</v>
      </c>
      <c r="G23" s="14">
        <v>0</v>
      </c>
      <c r="H23" s="14">
        <v>0</v>
      </c>
      <c r="I23" s="14">
        <v>0</v>
      </c>
    </row>
    <row r="24" spans="1:9">
      <c r="A24" s="6" t="s">
        <v>89</v>
      </c>
      <c r="B24" s="14">
        <v>12122188</v>
      </c>
      <c r="C24" s="14">
        <v>40776559020</v>
      </c>
      <c r="D24" s="14">
        <v>33499326511</v>
      </c>
      <c r="E24" s="14">
        <v>7277232509</v>
      </c>
      <c r="F24" s="14">
        <v>12122188</v>
      </c>
      <c r="G24" s="14">
        <v>40776559020</v>
      </c>
      <c r="H24" s="14">
        <v>20583450426</v>
      </c>
      <c r="I24" s="14">
        <v>20193108594</v>
      </c>
    </row>
    <row r="25" spans="1:9">
      <c r="A25" s="6" t="s">
        <v>88</v>
      </c>
      <c r="B25" s="14">
        <v>33164000</v>
      </c>
      <c r="C25" s="14">
        <v>21291244555</v>
      </c>
      <c r="D25" s="14">
        <v>16553369636</v>
      </c>
      <c r="E25" s="14">
        <v>4737874919</v>
      </c>
      <c r="F25" s="14">
        <v>33164000</v>
      </c>
      <c r="G25" s="14">
        <v>21291244555</v>
      </c>
      <c r="H25" s="14">
        <v>20468553499</v>
      </c>
      <c r="I25" s="14">
        <v>822691056</v>
      </c>
    </row>
    <row r="26" spans="1:9">
      <c r="A26" s="6" t="s">
        <v>87</v>
      </c>
      <c r="B26" s="14">
        <v>14000000</v>
      </c>
      <c r="C26" s="14">
        <v>65985955000</v>
      </c>
      <c r="D26" s="14">
        <v>41314153720</v>
      </c>
      <c r="E26" s="14">
        <v>24671801280</v>
      </c>
      <c r="F26" s="14">
        <v>14000000</v>
      </c>
      <c r="G26" s="14">
        <v>65985955000</v>
      </c>
      <c r="H26" s="14">
        <v>43772900967</v>
      </c>
      <c r="I26" s="14">
        <v>22213054033</v>
      </c>
    </row>
    <row r="27" spans="1:9">
      <c r="A27" s="6" t="s">
        <v>85</v>
      </c>
      <c r="B27" s="14">
        <v>128971560</v>
      </c>
      <c r="C27" s="14">
        <v>175197240873</v>
      </c>
      <c r="D27" s="14">
        <v>143075613802</v>
      </c>
      <c r="E27" s="14">
        <v>32121627071</v>
      </c>
      <c r="F27" s="14">
        <v>128971560</v>
      </c>
      <c r="G27" s="14">
        <v>175197240873</v>
      </c>
      <c r="H27" s="14">
        <v>144305922181</v>
      </c>
      <c r="I27" s="14">
        <v>30891318692</v>
      </c>
    </row>
    <row r="28" spans="1:9">
      <c r="A28" s="6" t="s">
        <v>84</v>
      </c>
      <c r="B28" s="14">
        <v>1643258</v>
      </c>
      <c r="C28" s="14">
        <v>4643822393</v>
      </c>
      <c r="D28" s="14">
        <v>2348518687</v>
      </c>
      <c r="E28" s="14">
        <v>2295303706</v>
      </c>
      <c r="F28" s="14">
        <v>1643258</v>
      </c>
      <c r="G28" s="14">
        <v>4643822393</v>
      </c>
      <c r="H28" s="14">
        <v>3488217311</v>
      </c>
      <c r="I28" s="14">
        <v>1155605082</v>
      </c>
    </row>
    <row r="29" spans="1:9">
      <c r="A29" s="6" t="s">
        <v>83</v>
      </c>
      <c r="B29" s="14">
        <v>1400000</v>
      </c>
      <c r="C29" s="14">
        <v>36382571820</v>
      </c>
      <c r="D29" s="14">
        <v>26486336290</v>
      </c>
      <c r="E29" s="14">
        <v>9896235530</v>
      </c>
      <c r="F29" s="14">
        <v>1400000</v>
      </c>
      <c r="G29" s="14">
        <v>36382571820</v>
      </c>
      <c r="H29" s="14">
        <v>26486336290</v>
      </c>
      <c r="I29" s="14">
        <v>9896235530</v>
      </c>
    </row>
    <row r="30" spans="1:9">
      <c r="A30" s="6" t="s">
        <v>82</v>
      </c>
      <c r="B30" s="14">
        <v>0</v>
      </c>
      <c r="C30" s="14">
        <v>0</v>
      </c>
      <c r="D30" s="14">
        <v>-162426851</v>
      </c>
      <c r="E30" s="14">
        <v>162426851</v>
      </c>
      <c r="F30" s="14">
        <v>0</v>
      </c>
      <c r="G30" s="14">
        <v>0</v>
      </c>
      <c r="H30" s="14">
        <v>0</v>
      </c>
      <c r="I30" s="14">
        <v>0</v>
      </c>
    </row>
    <row r="31" spans="1:9">
      <c r="A31" s="6" t="s">
        <v>81</v>
      </c>
      <c r="B31" s="14">
        <v>2000000</v>
      </c>
      <c r="C31" s="14">
        <v>40742606200</v>
      </c>
      <c r="D31" s="14">
        <v>38548312855</v>
      </c>
      <c r="E31" s="14">
        <v>2194293345</v>
      </c>
      <c r="F31" s="14">
        <v>2000000</v>
      </c>
      <c r="G31" s="14">
        <v>40742606200</v>
      </c>
      <c r="H31" s="14">
        <v>38548312855</v>
      </c>
      <c r="I31" s="14">
        <v>2194293345</v>
      </c>
    </row>
    <row r="32" spans="1:9">
      <c r="A32" s="6" t="s">
        <v>80</v>
      </c>
      <c r="B32" s="14">
        <v>435000</v>
      </c>
      <c r="C32" s="14">
        <v>11395228680</v>
      </c>
      <c r="D32" s="14">
        <v>8887415095</v>
      </c>
      <c r="E32" s="14">
        <v>2507813585</v>
      </c>
      <c r="F32" s="14">
        <v>435000</v>
      </c>
      <c r="G32" s="14">
        <v>11395228680</v>
      </c>
      <c r="H32" s="14">
        <v>7632716416</v>
      </c>
      <c r="I32" s="14">
        <v>3762512264</v>
      </c>
    </row>
    <row r="33" spans="1:9">
      <c r="A33" s="6" t="s">
        <v>79</v>
      </c>
      <c r="B33" s="14">
        <v>21022000</v>
      </c>
      <c r="C33" s="14">
        <v>60137938327</v>
      </c>
      <c r="D33" s="14">
        <v>58090431119</v>
      </c>
      <c r="E33" s="14">
        <v>2047507208</v>
      </c>
      <c r="F33" s="14">
        <v>21022000</v>
      </c>
      <c r="G33" s="14">
        <v>60137938327</v>
      </c>
      <c r="H33" s="14">
        <v>51736088132</v>
      </c>
      <c r="I33" s="14">
        <v>8401850195</v>
      </c>
    </row>
    <row r="34" spans="1:9">
      <c r="A34" s="6" t="s">
        <v>78</v>
      </c>
      <c r="B34" s="14">
        <v>1018181</v>
      </c>
      <c r="C34" s="14">
        <v>30066839315</v>
      </c>
      <c r="D34" s="14">
        <v>24081400630</v>
      </c>
      <c r="E34" s="14">
        <v>5985438685</v>
      </c>
      <c r="F34" s="14">
        <v>1018181</v>
      </c>
      <c r="G34" s="14">
        <v>30066839315</v>
      </c>
      <c r="H34" s="14">
        <v>13384730030</v>
      </c>
      <c r="I34" s="14">
        <v>16682109285</v>
      </c>
    </row>
    <row r="35" spans="1:9">
      <c r="A35" s="6" t="s">
        <v>77</v>
      </c>
      <c r="B35" s="14">
        <v>4943333</v>
      </c>
      <c r="C35" s="14">
        <v>102517029651</v>
      </c>
      <c r="D35" s="14">
        <v>82698216697</v>
      </c>
      <c r="E35" s="14">
        <v>19818812954</v>
      </c>
      <c r="F35" s="14">
        <v>4943333</v>
      </c>
      <c r="G35" s="14">
        <v>102517029651</v>
      </c>
      <c r="H35" s="14">
        <v>57702315622</v>
      </c>
      <c r="I35" s="14">
        <v>44814714029</v>
      </c>
    </row>
    <row r="36" spans="1:9">
      <c r="A36" s="6" t="s">
        <v>76</v>
      </c>
      <c r="B36" s="14">
        <v>6048800</v>
      </c>
      <c r="C36" s="14">
        <v>113858751461</v>
      </c>
      <c r="D36" s="14">
        <v>81052997260</v>
      </c>
      <c r="E36" s="14">
        <v>32805754201</v>
      </c>
      <c r="F36" s="14">
        <v>6048800</v>
      </c>
      <c r="G36" s="14">
        <v>113858751461</v>
      </c>
      <c r="H36" s="14">
        <v>92941634016</v>
      </c>
      <c r="I36" s="14">
        <v>20917117445</v>
      </c>
    </row>
    <row r="37" spans="1:9">
      <c r="A37" s="6" t="s">
        <v>75</v>
      </c>
      <c r="B37" s="14">
        <v>1600000</v>
      </c>
      <c r="C37" s="14">
        <v>45596791040</v>
      </c>
      <c r="D37" s="14">
        <v>43286515969</v>
      </c>
      <c r="E37" s="14">
        <v>2310275071</v>
      </c>
      <c r="F37" s="14">
        <v>1600000</v>
      </c>
      <c r="G37" s="14">
        <v>45596791040</v>
      </c>
      <c r="H37" s="14">
        <v>37186382339</v>
      </c>
      <c r="I37" s="14">
        <v>8410408701</v>
      </c>
    </row>
    <row r="38" spans="1:9">
      <c r="A38" s="6" t="s">
        <v>74</v>
      </c>
      <c r="B38" s="14">
        <v>11500000</v>
      </c>
      <c r="C38" s="14">
        <v>109432496950</v>
      </c>
      <c r="D38" s="14">
        <v>94940393600</v>
      </c>
      <c r="E38" s="14">
        <v>14492103350</v>
      </c>
      <c r="F38" s="14">
        <v>11500000</v>
      </c>
      <c r="G38" s="14">
        <v>109432496950</v>
      </c>
      <c r="H38" s="14">
        <v>95214260120</v>
      </c>
      <c r="I38" s="14">
        <v>14218236830</v>
      </c>
    </row>
    <row r="39" spans="1:9">
      <c r="A39" s="6" t="s">
        <v>73</v>
      </c>
      <c r="B39" s="14">
        <v>0</v>
      </c>
      <c r="C39" s="14">
        <v>0</v>
      </c>
      <c r="D39" s="14">
        <v>-21838528352</v>
      </c>
      <c r="E39" s="14">
        <v>21838528352</v>
      </c>
      <c r="F39" s="14">
        <v>0</v>
      </c>
      <c r="G39" s="14">
        <v>0</v>
      </c>
      <c r="H39" s="14">
        <v>0</v>
      </c>
      <c r="I39" s="14">
        <v>0</v>
      </c>
    </row>
    <row r="40" spans="1:9">
      <c r="A40" s="6" t="s">
        <v>72</v>
      </c>
      <c r="B40" s="14">
        <v>11516638</v>
      </c>
      <c r="C40" s="14">
        <v>24946482210</v>
      </c>
      <c r="D40" s="14">
        <v>26069913492</v>
      </c>
      <c r="E40" s="14">
        <v>-1123431282</v>
      </c>
      <c r="F40" s="14">
        <v>11516638</v>
      </c>
      <c r="G40" s="14">
        <v>24946482210</v>
      </c>
      <c r="H40" s="14">
        <v>21241520107</v>
      </c>
      <c r="I40" s="14">
        <v>3704962103</v>
      </c>
    </row>
    <row r="41" spans="1:9">
      <c r="A41" s="6" t="s">
        <v>71</v>
      </c>
      <c r="B41" s="14">
        <v>8000000</v>
      </c>
      <c r="C41" s="14">
        <v>17662406000</v>
      </c>
      <c r="D41" s="14">
        <v>17974403921</v>
      </c>
      <c r="E41" s="14">
        <v>-311997921</v>
      </c>
      <c r="F41" s="14">
        <v>8000000</v>
      </c>
      <c r="G41" s="14">
        <v>17662406000</v>
      </c>
      <c r="H41" s="14">
        <v>17974403921</v>
      </c>
      <c r="I41" s="14">
        <v>-311997921</v>
      </c>
    </row>
    <row r="42" spans="1:9">
      <c r="A42" s="6" t="s">
        <v>70</v>
      </c>
      <c r="B42" s="14">
        <v>125000</v>
      </c>
      <c r="C42" s="14">
        <v>6057808350</v>
      </c>
      <c r="D42" s="14">
        <v>5392987450</v>
      </c>
      <c r="E42" s="14">
        <v>664820900</v>
      </c>
      <c r="F42" s="14">
        <v>125000</v>
      </c>
      <c r="G42" s="14">
        <v>6057808350</v>
      </c>
      <c r="H42" s="14">
        <v>4461676792</v>
      </c>
      <c r="I42" s="14">
        <v>1596131558</v>
      </c>
    </row>
    <row r="43" spans="1:9">
      <c r="A43" s="6" t="s">
        <v>69</v>
      </c>
      <c r="B43" s="14">
        <v>800000</v>
      </c>
      <c r="C43" s="14">
        <v>10526000160</v>
      </c>
      <c r="D43" s="14">
        <v>10526000160</v>
      </c>
      <c r="E43" s="14">
        <v>0</v>
      </c>
      <c r="F43" s="14">
        <v>800000</v>
      </c>
      <c r="G43" s="14">
        <v>10526000160</v>
      </c>
      <c r="H43" s="14">
        <v>12680340666</v>
      </c>
      <c r="I43" s="14">
        <v>-2154340506</v>
      </c>
    </row>
    <row r="44" spans="1:9">
      <c r="A44" s="6" t="s">
        <v>68</v>
      </c>
      <c r="B44" s="14">
        <v>5000000</v>
      </c>
      <c r="C44" s="14">
        <v>40435002500</v>
      </c>
      <c r="D44" s="14">
        <v>38902587200</v>
      </c>
      <c r="E44" s="14">
        <v>1532415300</v>
      </c>
      <c r="F44" s="14">
        <v>5000000</v>
      </c>
      <c r="G44" s="14">
        <v>40435002500</v>
      </c>
      <c r="H44" s="14">
        <v>38902587200</v>
      </c>
      <c r="I44" s="14">
        <v>1532415300</v>
      </c>
    </row>
    <row r="45" spans="1:9">
      <c r="A45" s="6" t="s">
        <v>67</v>
      </c>
      <c r="B45" s="14">
        <v>8200000</v>
      </c>
      <c r="C45" s="14">
        <v>84702151740</v>
      </c>
      <c r="D45" s="14">
        <v>74043187400</v>
      </c>
      <c r="E45" s="14">
        <v>10658964340</v>
      </c>
      <c r="F45" s="14">
        <v>8200000</v>
      </c>
      <c r="G45" s="14">
        <v>84702151740</v>
      </c>
      <c r="H45" s="14">
        <v>78561588853</v>
      </c>
      <c r="I45" s="14">
        <v>6140562887</v>
      </c>
    </row>
    <row r="46" spans="1:9">
      <c r="A46" s="6" t="s">
        <v>66</v>
      </c>
      <c r="B46" s="14">
        <v>12528571</v>
      </c>
      <c r="C46" s="14">
        <v>239310709064</v>
      </c>
      <c r="D46" s="14">
        <v>188524614247</v>
      </c>
      <c r="E46" s="14">
        <v>50786094817</v>
      </c>
      <c r="F46" s="14">
        <v>12528571</v>
      </c>
      <c r="G46" s="14">
        <v>239310709064</v>
      </c>
      <c r="H46" s="14">
        <v>111182831407</v>
      </c>
      <c r="I46" s="14">
        <v>128127877657</v>
      </c>
    </row>
    <row r="47" spans="1:9">
      <c r="A47" s="6" t="s">
        <v>65</v>
      </c>
      <c r="B47" s="14">
        <v>14070541</v>
      </c>
      <c r="C47" s="14">
        <v>157768065614</v>
      </c>
      <c r="D47" s="14">
        <v>131519927264</v>
      </c>
      <c r="E47" s="14">
        <v>26248138350</v>
      </c>
      <c r="F47" s="14">
        <v>14070541</v>
      </c>
      <c r="G47" s="14">
        <v>157768065614</v>
      </c>
      <c r="H47" s="14">
        <v>78064675699</v>
      </c>
      <c r="I47" s="14">
        <v>79703389915</v>
      </c>
    </row>
    <row r="48" spans="1:9">
      <c r="A48" s="6" t="s">
        <v>64</v>
      </c>
      <c r="B48" s="14">
        <v>1425000</v>
      </c>
      <c r="C48" s="14">
        <v>17038516237</v>
      </c>
      <c r="D48" s="14">
        <v>25642013830</v>
      </c>
      <c r="E48" s="14">
        <v>-8603497593</v>
      </c>
      <c r="F48" s="14">
        <v>1425000</v>
      </c>
      <c r="G48" s="14">
        <v>17038516237</v>
      </c>
      <c r="H48" s="14">
        <v>9418834770</v>
      </c>
      <c r="I48" s="14">
        <v>7619681467</v>
      </c>
    </row>
    <row r="49" spans="1:9">
      <c r="A49" s="6" t="s">
        <v>63</v>
      </c>
      <c r="B49" s="14">
        <v>394019</v>
      </c>
      <c r="C49" s="14">
        <v>18004317386</v>
      </c>
      <c r="D49" s="14">
        <v>15514680135</v>
      </c>
      <c r="E49" s="14">
        <v>2489637251</v>
      </c>
      <c r="F49" s="14">
        <v>394019</v>
      </c>
      <c r="G49" s="14">
        <v>18004317386</v>
      </c>
      <c r="H49" s="14">
        <v>14958273856</v>
      </c>
      <c r="I49" s="14">
        <v>3046043530</v>
      </c>
    </row>
    <row r="50" spans="1:9">
      <c r="A50" s="6" t="s">
        <v>62</v>
      </c>
      <c r="B50" s="14">
        <v>1184429</v>
      </c>
      <c r="C50" s="14">
        <v>6428745300</v>
      </c>
      <c r="D50" s="14">
        <v>13373184703</v>
      </c>
      <c r="E50" s="14">
        <v>-6944439403</v>
      </c>
      <c r="F50" s="14">
        <v>1184429</v>
      </c>
      <c r="G50" s="14">
        <v>6428745300</v>
      </c>
      <c r="H50" s="14">
        <v>3546848946</v>
      </c>
      <c r="I50" s="14">
        <v>2881896354</v>
      </c>
    </row>
    <row r="51" spans="1:9">
      <c r="A51" s="6" t="s">
        <v>61</v>
      </c>
      <c r="B51" s="14">
        <v>1723326</v>
      </c>
      <c r="C51" s="14">
        <v>50393838215</v>
      </c>
      <c r="D51" s="14">
        <v>35205751160</v>
      </c>
      <c r="E51" s="14">
        <v>15188087055</v>
      </c>
      <c r="F51" s="14">
        <v>1723326</v>
      </c>
      <c r="G51" s="14">
        <v>50393838215</v>
      </c>
      <c r="H51" s="14">
        <v>49397759572</v>
      </c>
      <c r="I51" s="14">
        <v>996078643</v>
      </c>
    </row>
    <row r="52" spans="1:9">
      <c r="A52" s="6" t="s">
        <v>60</v>
      </c>
      <c r="B52" s="14">
        <v>3000000</v>
      </c>
      <c r="C52" s="14">
        <v>43312585500</v>
      </c>
      <c r="D52" s="14">
        <v>30095549100</v>
      </c>
      <c r="E52" s="14">
        <v>13217036400</v>
      </c>
      <c r="F52" s="14">
        <v>3000000</v>
      </c>
      <c r="G52" s="14">
        <v>43312585500</v>
      </c>
      <c r="H52" s="14">
        <v>28866696331</v>
      </c>
      <c r="I52" s="14">
        <v>14445889169</v>
      </c>
    </row>
    <row r="53" spans="1:9">
      <c r="A53" s="6" t="s">
        <v>59</v>
      </c>
      <c r="B53" s="14">
        <v>0</v>
      </c>
      <c r="C53" s="14">
        <v>0</v>
      </c>
      <c r="D53" s="14">
        <v>-4971272700</v>
      </c>
      <c r="E53" s="14">
        <v>4971272700</v>
      </c>
      <c r="F53" s="14">
        <v>0</v>
      </c>
      <c r="G53" s="14">
        <v>0</v>
      </c>
      <c r="H53" s="14">
        <v>0</v>
      </c>
      <c r="I53" s="14">
        <v>0</v>
      </c>
    </row>
    <row r="54" spans="1:9">
      <c r="A54" s="6" t="s">
        <v>58</v>
      </c>
      <c r="B54" s="14">
        <v>750000</v>
      </c>
      <c r="C54" s="14">
        <v>45597287175</v>
      </c>
      <c r="D54" s="14">
        <v>45701475525</v>
      </c>
      <c r="E54" s="14">
        <v>-104188350</v>
      </c>
      <c r="F54" s="14">
        <v>750000</v>
      </c>
      <c r="G54" s="14">
        <v>45597287175</v>
      </c>
      <c r="H54" s="14">
        <v>35245501211</v>
      </c>
      <c r="I54" s="14">
        <v>10351785964</v>
      </c>
    </row>
    <row r="55" spans="1:9">
      <c r="A55" s="6" t="s">
        <v>57</v>
      </c>
      <c r="B55" s="14">
        <v>360000</v>
      </c>
      <c r="C55" s="14">
        <v>12284699508</v>
      </c>
      <c r="D55" s="14">
        <v>10741074682</v>
      </c>
      <c r="E55" s="14">
        <v>1543624826</v>
      </c>
      <c r="F55" s="14">
        <v>360000</v>
      </c>
      <c r="G55" s="14">
        <v>12284699508</v>
      </c>
      <c r="H55" s="14">
        <v>11462206904</v>
      </c>
      <c r="I55" s="14">
        <v>822492604</v>
      </c>
    </row>
    <row r="56" spans="1:9">
      <c r="A56" s="6" t="s">
        <v>56</v>
      </c>
      <c r="B56" s="14">
        <v>1795173</v>
      </c>
      <c r="C56" s="14">
        <v>4130826149</v>
      </c>
      <c r="D56" s="14">
        <v>1860380416</v>
      </c>
      <c r="E56" s="14">
        <v>2270445733</v>
      </c>
      <c r="F56" s="14">
        <v>1795173</v>
      </c>
      <c r="G56" s="14">
        <v>4130826149</v>
      </c>
      <c r="H56" s="14">
        <v>4983403593</v>
      </c>
      <c r="I56" s="14">
        <v>-852577444</v>
      </c>
    </row>
    <row r="57" spans="1:9">
      <c r="A57" s="6" t="s">
        <v>55</v>
      </c>
      <c r="B57" s="14">
        <v>4671455</v>
      </c>
      <c r="C57" s="14">
        <v>48624765408</v>
      </c>
      <c r="D57" s="14">
        <v>48532058515</v>
      </c>
      <c r="E57" s="14">
        <v>92706893</v>
      </c>
      <c r="F57" s="14">
        <v>4671455</v>
      </c>
      <c r="G57" s="14">
        <v>48624765408</v>
      </c>
      <c r="H57" s="14">
        <v>47041933068</v>
      </c>
      <c r="I57" s="14">
        <v>1582832340</v>
      </c>
    </row>
    <row r="58" spans="1:9">
      <c r="A58" s="6" t="s">
        <v>54</v>
      </c>
      <c r="B58" s="14">
        <v>0</v>
      </c>
      <c r="C58" s="14">
        <v>0</v>
      </c>
      <c r="D58" s="14">
        <v>5582309043</v>
      </c>
      <c r="E58" s="14">
        <v>-5582309043</v>
      </c>
      <c r="F58" s="14">
        <v>0</v>
      </c>
      <c r="G58" s="14">
        <v>0</v>
      </c>
      <c r="H58" s="14">
        <v>0</v>
      </c>
      <c r="I58" s="14">
        <v>0</v>
      </c>
    </row>
    <row r="59" spans="1:9">
      <c r="A59" s="6" t="s">
        <v>53</v>
      </c>
      <c r="B59" s="14">
        <v>10000000</v>
      </c>
      <c r="C59" s="14">
        <v>76305563000</v>
      </c>
      <c r="D59" s="14">
        <v>64470841963</v>
      </c>
      <c r="E59" s="14">
        <v>11834721037</v>
      </c>
      <c r="F59" s="14">
        <v>10000000</v>
      </c>
      <c r="G59" s="14">
        <v>76305563000</v>
      </c>
      <c r="H59" s="14">
        <v>64470841963</v>
      </c>
      <c r="I59" s="14">
        <v>11834721037</v>
      </c>
    </row>
    <row r="60" spans="1:9">
      <c r="A60" s="6" t="s">
        <v>52</v>
      </c>
      <c r="B60" s="14">
        <v>500000</v>
      </c>
      <c r="C60" s="14">
        <v>98830092000</v>
      </c>
      <c r="D60" s="14">
        <v>83339513926</v>
      </c>
      <c r="E60" s="14">
        <v>15490578074</v>
      </c>
      <c r="F60" s="14">
        <v>500000</v>
      </c>
      <c r="G60" s="14">
        <v>98830092000</v>
      </c>
      <c r="H60" s="14">
        <v>55595035182</v>
      </c>
      <c r="I60" s="14">
        <v>43235056818</v>
      </c>
    </row>
    <row r="61" spans="1:9">
      <c r="A61" s="6" t="s">
        <v>51</v>
      </c>
      <c r="B61" s="14">
        <v>695370</v>
      </c>
      <c r="C61" s="14">
        <v>1716017042</v>
      </c>
      <c r="D61" s="14">
        <v>1449679054</v>
      </c>
      <c r="E61" s="14">
        <v>266337988</v>
      </c>
      <c r="F61" s="14">
        <v>695370</v>
      </c>
      <c r="G61" s="14">
        <v>1716017042</v>
      </c>
      <c r="H61" s="14">
        <v>1823208192</v>
      </c>
      <c r="I61" s="14">
        <v>-107191150</v>
      </c>
    </row>
    <row r="62" spans="1:9" ht="19.2" thickBot="1">
      <c r="A62" s="6" t="s">
        <v>2</v>
      </c>
      <c r="B62" s="14"/>
      <c r="C62" s="8">
        <f>SUM(C8:C61)</f>
        <v>1955767384843</v>
      </c>
      <c r="D62" s="8">
        <f>SUM(D8:D61)</f>
        <v>1617459483648</v>
      </c>
      <c r="E62" s="8">
        <f>SUM(E8:E61)</f>
        <v>338307901195</v>
      </c>
      <c r="F62" s="14"/>
      <c r="G62" s="8">
        <f>SUM(G8:G61)</f>
        <v>1955767384843</v>
      </c>
      <c r="H62" s="8">
        <f>SUM(H8:H61)</f>
        <v>1409793106455</v>
      </c>
      <c r="I62" s="8">
        <f>SUM(I8:I61)</f>
        <v>545974278388</v>
      </c>
    </row>
    <row r="63" spans="1:9" ht="19.2" thickTop="1"/>
  </sheetData>
  <mergeCells count="6">
    <mergeCell ref="B6:E6"/>
    <mergeCell ref="F6:I6"/>
    <mergeCell ref="A5:D5"/>
    <mergeCell ref="A1:I1"/>
    <mergeCell ref="A2:I2"/>
    <mergeCell ref="A3:I3"/>
  </mergeCells>
  <pageMargins left="0.7" right="0.7" top="0.75" bottom="0.75" header="0.3" footer="0.3"/>
  <pageSetup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سربرگ</vt:lpstr>
      <vt:lpstr> سهام</vt:lpstr>
      <vt:lpstr>اوراق مشتقه</vt:lpstr>
      <vt:lpstr>سپرده</vt:lpstr>
      <vt:lpstr>درآمدها</vt:lpstr>
      <vt:lpstr>درآمد سرمایه گذاری در سهام </vt:lpstr>
      <vt:lpstr>درآمد سپرده بانکی</vt:lpstr>
      <vt:lpstr>درآمد سرمایه گذاری مشتقه </vt:lpstr>
      <vt:lpstr>سایر درآمدها</vt:lpstr>
      <vt:lpstr>درآمد سود سهام</vt:lpstr>
      <vt:lpstr>سود  سپرده بانکی</vt:lpstr>
      <vt:lpstr>درآمد ناشی ازفروش</vt:lpstr>
      <vt:lpstr>درآمد ناشی از تغییر قیمت اوراق </vt:lpstr>
      <vt:lpstr>' سهام'!Print_Area</vt:lpstr>
      <vt:lpstr>'اوراق مشتقه'!Print_Area</vt:lpstr>
      <vt:lpstr>'درآمد سپرده بانکی'!Print_Area</vt:lpstr>
      <vt:lpstr>'درآمد سرمایه گذاری در سهام '!Print_Area</vt:lpstr>
      <vt:lpstr>'درآمد سرمایه گذاری مشتقه 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سربرگ!Print_Area</vt:lpstr>
      <vt:lpstr>'سود  سپرده بانکی'!Print_Area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Arash Ranjbar</cp:lastModifiedBy>
  <cp:lastPrinted>2024-02-06T09:33:07Z</cp:lastPrinted>
  <dcterms:created xsi:type="dcterms:W3CDTF">2017-11-22T14:26:20Z</dcterms:created>
  <dcterms:modified xsi:type="dcterms:W3CDTF">2026-08-30T21:18:21Z</dcterms:modified>
</cp:coreProperties>
</file>