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ranjbar\Desktop\"/>
    </mc:Choice>
  </mc:AlternateContent>
  <xr:revisionPtr revIDLastSave="0" documentId="13_ncr:1_{AECF0D1C-DE62-43C0-975A-846F554701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" sheetId="17" r:id="rId1"/>
    <sheet name="1" sheetId="2" r:id="rId2"/>
    <sheet name="2" sheetId="3" r:id="rId3"/>
    <sheet name="3" sheetId="6" r:id="rId4"/>
    <sheet name="4" sheetId="8" r:id="rId5"/>
    <sheet name="5" sheetId="13" r:id="rId6"/>
    <sheet name="6" sheetId="15" r:id="rId7"/>
    <sheet name="7" sheetId="16" r:id="rId8"/>
    <sheet name="8" sheetId="9" r:id="rId9"/>
    <sheet name="9" sheetId="10" r:id="rId10"/>
    <sheet name="10" sheetId="11" r:id="rId11"/>
    <sheet name="11" sheetId="12" r:id="rId12"/>
  </sheets>
  <definedNames>
    <definedName name="_xlnm.Print_Area" localSheetId="0">'0'!$A$1:$J$29</definedName>
    <definedName name="_xlnm.Print_Area" localSheetId="1">'1'!$A$1:$W$82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3" i="12" l="1"/>
  <c r="O143" i="12"/>
  <c r="M143" i="12"/>
  <c r="I143" i="12"/>
  <c r="G143" i="12"/>
  <c r="E143" i="12"/>
  <c r="Q133" i="12"/>
  <c r="O133" i="12"/>
  <c r="M133" i="12"/>
  <c r="I133" i="12"/>
  <c r="G133" i="12"/>
  <c r="E133" i="12"/>
  <c r="Q31" i="12"/>
  <c r="Q40" i="12" s="1"/>
  <c r="Q62" i="12" s="1"/>
  <c r="Q71" i="12" s="1"/>
  <c r="Q93" i="12" s="1"/>
  <c r="Q102" i="12" s="1"/>
  <c r="Q124" i="12" s="1"/>
  <c r="O31" i="12"/>
  <c r="O40" i="12" s="1"/>
  <c r="O62" i="12" s="1"/>
  <c r="O71" i="12" s="1"/>
  <c r="O93" i="12" s="1"/>
  <c r="O102" i="12" s="1"/>
  <c r="O124" i="12" s="1"/>
  <c r="M31" i="12"/>
  <c r="M40" i="12" s="1"/>
  <c r="M62" i="12" s="1"/>
  <c r="M71" i="12" s="1"/>
  <c r="M93" i="12" s="1"/>
  <c r="M102" i="12" s="1"/>
  <c r="M124" i="12" s="1"/>
  <c r="I31" i="12"/>
  <c r="I40" i="12" s="1"/>
  <c r="I62" i="12" s="1"/>
  <c r="I71" i="12" s="1"/>
  <c r="I93" i="12" s="1"/>
  <c r="I102" i="12" s="1"/>
  <c r="I124" i="12" s="1"/>
  <c r="G31" i="12"/>
  <c r="G40" i="12" s="1"/>
  <c r="G62" i="12" s="1"/>
  <c r="G71" i="12" s="1"/>
  <c r="G93" i="12" s="1"/>
  <c r="G102" i="12" s="1"/>
  <c r="G124" i="12" s="1"/>
  <c r="E31" i="12"/>
  <c r="E40" i="12" s="1"/>
  <c r="E62" i="12" s="1"/>
  <c r="E71" i="12" s="1"/>
  <c r="E93" i="12" s="1"/>
  <c r="E102" i="12" s="1"/>
  <c r="E124" i="12" s="1"/>
  <c r="Q76" i="11"/>
  <c r="O76" i="11"/>
  <c r="M76" i="11"/>
  <c r="I76" i="11"/>
  <c r="G76" i="11"/>
  <c r="E76" i="11"/>
  <c r="Q73" i="11"/>
  <c r="O73" i="11"/>
  <c r="M73" i="11"/>
  <c r="I73" i="11"/>
  <c r="G73" i="11"/>
  <c r="E73" i="11"/>
  <c r="Q32" i="11"/>
  <c r="Q41" i="11" s="1"/>
  <c r="Q64" i="11" s="1"/>
  <c r="O32" i="11"/>
  <c r="O41" i="11" s="1"/>
  <c r="O64" i="11" s="1"/>
  <c r="M32" i="11"/>
  <c r="M41" i="11" s="1"/>
  <c r="M64" i="11" s="1"/>
  <c r="I32" i="11"/>
  <c r="I41" i="11" s="1"/>
  <c r="I64" i="11" s="1"/>
  <c r="G32" i="11"/>
  <c r="G41" i="11" s="1"/>
  <c r="G64" i="11" s="1"/>
  <c r="E32" i="11"/>
  <c r="E41" i="11" s="1"/>
  <c r="E64" i="11" s="1"/>
  <c r="S10" i="10"/>
  <c r="S9" i="10"/>
  <c r="M10" i="10"/>
  <c r="M9" i="10"/>
  <c r="S10" i="9"/>
  <c r="S9" i="9"/>
  <c r="M10" i="9"/>
  <c r="M9" i="9"/>
  <c r="E10" i="8"/>
  <c r="E9" i="8"/>
  <c r="E8" i="8"/>
  <c r="K10" i="15"/>
  <c r="K9" i="15"/>
  <c r="G10" i="15"/>
  <c r="G9" i="15"/>
  <c r="U136" i="13"/>
  <c r="S136" i="13"/>
  <c r="Q136" i="13"/>
  <c r="O136" i="13"/>
  <c r="M136" i="13"/>
  <c r="K136" i="13"/>
  <c r="I136" i="13"/>
  <c r="G136" i="13"/>
  <c r="E136" i="13"/>
  <c r="C136" i="13"/>
  <c r="U126" i="13"/>
  <c r="Q126" i="13"/>
  <c r="K126" i="13"/>
  <c r="G126" i="13"/>
  <c r="E126" i="13"/>
  <c r="C126" i="13"/>
  <c r="E87" i="13"/>
  <c r="E117" i="13" s="1"/>
  <c r="G48" i="13"/>
  <c r="G78" i="13" s="1"/>
  <c r="G87" i="13" s="1"/>
  <c r="G117" i="13" s="1"/>
  <c r="U39" i="13"/>
  <c r="U48" i="13" s="1"/>
  <c r="U78" i="13" s="1"/>
  <c r="U87" i="13" s="1"/>
  <c r="U117" i="13" s="1"/>
  <c r="Q39" i="13"/>
  <c r="Q48" i="13" s="1"/>
  <c r="Q78" i="13" s="1"/>
  <c r="Q87" i="13" s="1"/>
  <c r="Q117" i="13" s="1"/>
  <c r="O39" i="13"/>
  <c r="M39" i="13"/>
  <c r="M48" i="13" s="1"/>
  <c r="K39" i="13"/>
  <c r="K48" i="13" s="1"/>
  <c r="K78" i="13" s="1"/>
  <c r="K87" i="13" s="1"/>
  <c r="K117" i="13" s="1"/>
  <c r="G39" i="13"/>
  <c r="E39" i="13"/>
  <c r="E48" i="13" s="1"/>
  <c r="E78" i="13" s="1"/>
  <c r="C39" i="13"/>
  <c r="C48" i="13" s="1"/>
  <c r="C78" i="13" s="1"/>
  <c r="C87" i="13" s="1"/>
  <c r="C117" i="13" s="1"/>
  <c r="S90" i="13"/>
  <c r="S91" i="13"/>
  <c r="S92" i="13"/>
  <c r="S93" i="13"/>
  <c r="S94" i="13"/>
  <c r="S95" i="13"/>
  <c r="S96" i="13"/>
  <c r="S97" i="13"/>
  <c r="S98" i="13"/>
  <c r="S99" i="13"/>
  <c r="S100" i="13"/>
  <c r="S101" i="13"/>
  <c r="S102" i="13"/>
  <c r="S103" i="13"/>
  <c r="S104" i="13"/>
  <c r="S105" i="13"/>
  <c r="S106" i="13"/>
  <c r="S107" i="13"/>
  <c r="S108" i="13"/>
  <c r="S109" i="13"/>
  <c r="S110" i="13"/>
  <c r="S111" i="13"/>
  <c r="S112" i="13"/>
  <c r="S113" i="13"/>
  <c r="S114" i="13"/>
  <c r="S115" i="13"/>
  <c r="S116" i="13"/>
  <c r="S127" i="13"/>
  <c r="S128" i="13"/>
  <c r="S129" i="13"/>
  <c r="S130" i="13"/>
  <c r="S131" i="13"/>
  <c r="S132" i="13"/>
  <c r="S133" i="13"/>
  <c r="S134" i="13"/>
  <c r="S135" i="13"/>
  <c r="S10" i="13"/>
  <c r="S11" i="13"/>
  <c r="S12" i="13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S36" i="13"/>
  <c r="S37" i="13"/>
  <c r="S38" i="13"/>
  <c r="S49" i="13"/>
  <c r="S50" i="13"/>
  <c r="S51" i="13"/>
  <c r="S52" i="13"/>
  <c r="S53" i="13"/>
  <c r="S54" i="13"/>
  <c r="S55" i="13"/>
  <c r="S56" i="13"/>
  <c r="S57" i="13"/>
  <c r="S58" i="13"/>
  <c r="S59" i="13"/>
  <c r="S60" i="13"/>
  <c r="S61" i="13"/>
  <c r="S62" i="13"/>
  <c r="S63" i="13"/>
  <c r="S64" i="13"/>
  <c r="S65" i="13"/>
  <c r="S66" i="13"/>
  <c r="S67" i="13"/>
  <c r="S68" i="13"/>
  <c r="S69" i="13"/>
  <c r="S70" i="13"/>
  <c r="S71" i="13"/>
  <c r="S72" i="13"/>
  <c r="S73" i="13"/>
  <c r="S74" i="13"/>
  <c r="S75" i="13"/>
  <c r="S76" i="13"/>
  <c r="S77" i="13"/>
  <c r="S88" i="13"/>
  <c r="S89" i="13"/>
  <c r="S9" i="13"/>
  <c r="I12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88" i="13"/>
  <c r="I89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27" i="13"/>
  <c r="I128" i="13"/>
  <c r="I130" i="13"/>
  <c r="I131" i="13"/>
  <c r="I132" i="13"/>
  <c r="I133" i="13"/>
  <c r="I134" i="13"/>
  <c r="I135" i="13"/>
  <c r="I9" i="13"/>
  <c r="M78" i="13" l="1"/>
  <c r="O48" i="13"/>
  <c r="O78" i="13" s="1"/>
  <c r="O87" i="13" s="1"/>
  <c r="O117" i="13" s="1"/>
  <c r="O126" i="13" s="1"/>
  <c r="I39" i="13"/>
  <c r="I48" i="13" s="1"/>
  <c r="I78" i="13" s="1"/>
  <c r="I87" i="13" s="1"/>
  <c r="I117" i="13" s="1"/>
  <c r="I126" i="13" s="1"/>
  <c r="S39" i="13"/>
  <c r="S48" i="13" s="1"/>
  <c r="S78" i="13" s="1"/>
  <c r="S87" i="13" s="1"/>
  <c r="S117" i="13" s="1"/>
  <c r="S126" i="13" s="1"/>
  <c r="W82" i="2"/>
  <c r="U82" i="2"/>
  <c r="S82" i="2"/>
  <c r="M82" i="2"/>
  <c r="J82" i="2"/>
  <c r="G82" i="2"/>
  <c r="E82" i="2"/>
  <c r="W52" i="2"/>
  <c r="U52" i="2"/>
  <c r="S52" i="2"/>
  <c r="M52" i="2"/>
  <c r="J52" i="2"/>
  <c r="G52" i="2"/>
  <c r="E52" i="2"/>
  <c r="W41" i="2"/>
  <c r="U41" i="2"/>
  <c r="S41" i="2"/>
  <c r="M41" i="2"/>
  <c r="J41" i="2"/>
  <c r="G41" i="2"/>
  <c r="E41" i="2"/>
  <c r="M87" i="13" l="1"/>
  <c r="E10" i="16"/>
  <c r="C10" i="16"/>
  <c r="I11" i="15"/>
  <c r="E11" i="15"/>
  <c r="K11" i="15"/>
  <c r="G11" i="15"/>
  <c r="S11" i="10"/>
  <c r="Q11" i="10"/>
  <c r="O11" i="10"/>
  <c r="M11" i="10"/>
  <c r="K11" i="10"/>
  <c r="I11" i="10"/>
  <c r="S11" i="9"/>
  <c r="Q11" i="9"/>
  <c r="O11" i="9"/>
  <c r="M11" i="9"/>
  <c r="K11" i="9"/>
  <c r="I11" i="9"/>
  <c r="E11" i="8"/>
  <c r="S12" i="6"/>
  <c r="Q12" i="6"/>
  <c r="O12" i="6"/>
  <c r="M12" i="6"/>
  <c r="K12" i="6"/>
  <c r="G9" i="8" l="1"/>
  <c r="G8" i="8"/>
  <c r="G10" i="8"/>
  <c r="I11" i="8"/>
  <c r="G11" i="8"/>
  <c r="M117" i="13"/>
  <c r="M126" i="13" s="1"/>
</calcChain>
</file>

<file path=xl/sharedStrings.xml><?xml version="1.0" encoding="utf-8"?>
<sst xmlns="http://schemas.openxmlformats.org/spreadsheetml/2006/main" count="790" uniqueCount="306">
  <si>
    <t>‫صورت وضعیت پورتفوی</t>
  </si>
  <si>
    <t>‫برای ماه منتهی به 1403/11/30</t>
  </si>
  <si>
    <t>‫1- سرمایه گذاری ها</t>
  </si>
  <si>
    <t>‫1-1- سرمایه گذاری در سهام و حق تقدم سهام</t>
  </si>
  <si>
    <t>‫1403/10/30</t>
  </si>
  <si>
    <t>‫1403/11/30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</si>
  <si>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</si>
  <si>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</si>
  <si>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</si>
  <si>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</si>
  <si>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</si>
  <si>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</si>
  <si>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</si>
  <si>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</si>
  <si>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</si>
  <si>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‫آلومينيوم ايران</t>
  </si>
  <si>
    <t>‫اختيارخ خساپا-3250-1403/12/22</t>
  </si>
  <si>
    <t>‫اختيارخ خودرو-3250-1404/02/03</t>
  </si>
  <si>
    <t>‫اختيارخ خودرو-3750-1404/01/06</t>
  </si>
  <si>
    <t>‫اختيارخ خودرو-4000-1404/01/06</t>
  </si>
  <si>
    <t>‫اختيارخ ذوب-500-1403/12/22</t>
  </si>
  <si>
    <t>‫اختيارخ شستا-1500-1404/01/20</t>
  </si>
  <si>
    <t>‫اختيارخ شپنا-5000-1403/12/08</t>
  </si>
  <si>
    <t>‫اختيارخ فملي-10000-1404/01/06</t>
  </si>
  <si>
    <t>‫اختيارخ فولاد-6000-1403/12/01</t>
  </si>
  <si>
    <t>‫اختيارخ فولاد-6500-1403/12/01</t>
  </si>
  <si>
    <t>‫اختيارخ وبملت-3000-1403/11/24</t>
  </si>
  <si>
    <t>‫اختيارخ وبملت-3500-1404/01/27</t>
  </si>
  <si>
    <t>‫اختيارخ وبملت-3750-1403/11/24</t>
  </si>
  <si>
    <t>‫اختيارخ وتجارت-1800-1403/12/15</t>
  </si>
  <si>
    <t>‫اختيارخ وتجارت-2200-1403/12/15</t>
  </si>
  <si>
    <t>‫اختيارخ وتجارت-2200-1404/02/17</t>
  </si>
  <si>
    <t>‫اختيارف خودرو-3250-1403/12/01</t>
  </si>
  <si>
    <t>‫اختيارف خودرو-3250-1404/01/06</t>
  </si>
  <si>
    <t>‫اختيارف خودرو-3500-1403/12/01</t>
  </si>
  <si>
    <t>‫اختيارف شستا-1300-1404/01/20</t>
  </si>
  <si>
    <t>‫اختيارف شستا-1350-1403/12/08</t>
  </si>
  <si>
    <t>‫اختيارف وبملت-3000-1403/11/24</t>
  </si>
  <si>
    <t>‫اخشان خراسان</t>
  </si>
  <si>
    <t>‫ارتباطات سیار</t>
  </si>
  <si>
    <t>‫اقتصاد نوين</t>
  </si>
  <si>
    <t>‫ايران خودرو</t>
  </si>
  <si>
    <t>‫بانك تجارت</t>
  </si>
  <si>
    <t>‫بانك صادرات</t>
  </si>
  <si>
    <t>‫بانك ملت</t>
  </si>
  <si>
    <t>‫بين المللي توسعه ص. معادن غدير</t>
  </si>
  <si>
    <t>‫توسعه معادن وص.معدني خاورميانه</t>
  </si>
  <si>
    <t>‫توسعه نيشكر و صنايع جانبي</t>
  </si>
  <si>
    <t>‫توسعه‌معادن‌وفلزات‌</t>
  </si>
  <si>
    <t>‫توسعه‌معادن‌وفلزات‌ (تقدم)</t>
  </si>
  <si>
    <t>‫توليد انرژي برق شمس پاسارگاد</t>
  </si>
  <si>
    <t>‫توليدي برنا باطري</t>
  </si>
  <si>
    <t>‫دارويي تامين</t>
  </si>
  <si>
    <t>‫دارويي و نهاده هاي زاگرس دارو</t>
  </si>
  <si>
    <t>‫ذوب آهن  اصفهان</t>
  </si>
  <si>
    <t>‫سايپا</t>
  </si>
  <si>
    <t>‫سرمايه گذاري تامين اجتماعي</t>
  </si>
  <si>
    <t>‫سرمايه گذاري صدرتامين</t>
  </si>
  <si>
    <t>‫سرمايه گذاري غدير</t>
  </si>
  <si>
    <t>‫سرمايه گذاري ملي ايران</t>
  </si>
  <si>
    <t>‫سيمان تهران</t>
  </si>
  <si>
    <t>‫صبا فولاد خليج فارس</t>
  </si>
  <si>
    <t>‫صنايع ارتباطي آوا</t>
  </si>
  <si>
    <t>‫صنايع الكترونيك ماديران</t>
  </si>
  <si>
    <t>‫صنايع شيميايي كيمياگران امروز</t>
  </si>
  <si>
    <t>‫صنايع پتروشيمي خليج فارس</t>
  </si>
  <si>
    <t>‫صندوق بازنشستگي</t>
  </si>
  <si>
    <t>‫صنعتی صبانور</t>
  </si>
  <si>
    <t>‫فروشگاههاي زنجيره اي افق كوروش</t>
  </si>
  <si>
    <t>‫فولاد اميركبير</t>
  </si>
  <si>
    <t>‫فولاد خوزستان</t>
  </si>
  <si>
    <t>‫فولاد مباركه</t>
  </si>
  <si>
    <t>‫كاني كربن طبس</t>
  </si>
  <si>
    <t>‫كشتيراني ايران</t>
  </si>
  <si>
    <t>‫مخابرات</t>
  </si>
  <si>
    <t>‫مديريت نيروگاهي ايرانيان مپنا</t>
  </si>
  <si>
    <t>‫معادن روي</t>
  </si>
  <si>
    <t>‫ملي مس</t>
  </si>
  <si>
    <t>‫نساجي بابكان</t>
  </si>
  <si>
    <t>‫نفت اصفهان</t>
  </si>
  <si>
    <t>‫نفت بهران</t>
  </si>
  <si>
    <t>‫نفت تبريز</t>
  </si>
  <si>
    <t>‫نفت تهران</t>
  </si>
  <si>
    <t>‫نفت و گاز پارسیان</t>
  </si>
  <si>
    <t>‫پارس مينو</t>
  </si>
  <si>
    <t>‫پتروشيمي بوعلي سينا</t>
  </si>
  <si>
    <t>‫پتروشيمي جم</t>
  </si>
  <si>
    <t>‫پتروشيمي شيراز</t>
  </si>
  <si>
    <t>‫پتروشيمي نوري</t>
  </si>
  <si>
    <t>‫پتروشيمي پارس</t>
  </si>
  <si>
    <t>‫پتروشيمی پردیس</t>
  </si>
  <si>
    <t>‫پتروشیمی تامین</t>
  </si>
  <si>
    <t>‫پخش هجرت</t>
  </si>
  <si>
    <t>‫پست بانك ايران</t>
  </si>
  <si>
    <t>‫چادرملو</t>
  </si>
  <si>
    <t>‫گل گهر</t>
  </si>
  <si>
    <t>‫جمع</t>
  </si>
  <si>
    <t>‫نام سهام</t>
  </si>
  <si>
    <t>‫قیمت اعمال</t>
  </si>
  <si>
    <t>‫تاریخ اعمال</t>
  </si>
  <si>
    <t>‫اطلاعات آماری مرتبط با موقعیت‌های اخذ شده در اوراق اختیار معامله توسط صندوق سرمایه گذاری:</t>
  </si>
  <si>
    <t>‫نوع اختیار</t>
  </si>
  <si>
    <t>‫نوع موقعیت</t>
  </si>
  <si>
    <t>‫تعداد اوراق</t>
  </si>
  <si>
    <t>‫اختيار معامله خرید</t>
  </si>
  <si>
    <t>‫موقعیت فروش</t>
  </si>
  <si>
    <t>‫3,400,000</t>
  </si>
  <si>
    <t>‫3250</t>
  </si>
  <si>
    <t>‫1403/12/22</t>
  </si>
  <si>
    <t>‫3,391,000</t>
  </si>
  <si>
    <t>‫1404/02/03</t>
  </si>
  <si>
    <t>‫4,309,000</t>
  </si>
  <si>
    <t>‫4000</t>
  </si>
  <si>
    <t>‫1404/01/06</t>
  </si>
  <si>
    <t>‫10,803,000</t>
  </si>
  <si>
    <t>‫500</t>
  </si>
  <si>
    <t>‫16,214,000</t>
  </si>
  <si>
    <t>‫1500</t>
  </si>
  <si>
    <t>‫1404/01/20</t>
  </si>
  <si>
    <t>‫11,048,000</t>
  </si>
  <si>
    <t>‫10000</t>
  </si>
  <si>
    <t>‫6,900,000</t>
  </si>
  <si>
    <t>‫3000</t>
  </si>
  <si>
    <t>‫1403/11/27</t>
  </si>
  <si>
    <t>‫1,298,000</t>
  </si>
  <si>
    <t>‫1800</t>
  </si>
  <si>
    <t>‫1403/12/15</t>
  </si>
  <si>
    <t>‫6,699,000</t>
  </si>
  <si>
    <t>‫2200</t>
  </si>
  <si>
    <t>‫9,147,000</t>
  </si>
  <si>
    <t>‫1404/02/17</t>
  </si>
  <si>
    <t>‫اختيار معامله فروش</t>
  </si>
  <si>
    <t>‫1,000,000</t>
  </si>
  <si>
    <t>‫1403/12/01</t>
  </si>
  <si>
    <t>‫7,200,000</t>
  </si>
  <si>
    <t>‫2,922,000</t>
  </si>
  <si>
    <t>‫1300</t>
  </si>
  <si>
    <t>‫10,000,000</t>
  </si>
  <si>
    <t>‫1350</t>
  </si>
  <si>
    <t>‫1403/12/08</t>
  </si>
  <si>
    <t>‫تاریخ سررسید</t>
  </si>
  <si>
    <t>‫مشخصات حساب بانکی</t>
  </si>
  <si>
    <t>‫سپرده‌های بانکی</t>
  </si>
  <si>
    <t>‫شماره حساب</t>
  </si>
  <si>
    <t>‫نوع سپرده</t>
  </si>
  <si>
    <t>‫تاریخ افتتاح حساب</t>
  </si>
  <si>
    <t>‫نرخ سود علی الحساب</t>
  </si>
  <si>
    <t>‫مبلغ</t>
  </si>
  <si>
    <t>‫افزایش</t>
  </si>
  <si>
    <t>‫کاهش</t>
  </si>
  <si>
    <t>‫سپرده بانکی نزد بانک پاسارگاد</t>
  </si>
  <si>
    <t>‫415.8100.14938708.1</t>
  </si>
  <si>
    <t>‫کوتاه مدت</t>
  </si>
  <si>
    <t>‫1400/08/09</t>
  </si>
  <si>
    <t>‫0</t>
  </si>
  <si>
    <t>‫سپرده بانکی نزد بانک گردشگري</t>
  </si>
  <si>
    <t>‫132-711270160-1</t>
  </si>
  <si>
    <t>‫جاري</t>
  </si>
  <si>
    <t>‫1401/09/22</t>
  </si>
  <si>
    <t>‫132.9967.1270160.1</t>
  </si>
  <si>
    <t>‫1403/05/03</t>
  </si>
  <si>
    <t>‫23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</si>
  <si>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</si>
  <si>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</si>
  <si>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</si>
  <si>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</si>
  <si>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</si>
  <si>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</si>
  <si>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</si>
  <si>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‫2-2</t>
  </si>
  <si>
    <t>‫درآمد حاصل از سرمایه گذاری در سپرده بانکی و گواهی سپرده</t>
  </si>
  <si>
    <t>‫سایر درآمدها</t>
  </si>
  <si>
    <t>‫درآمد سود سهام</t>
  </si>
  <si>
    <t>‫اطلاعات مجمع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</si>
  <si>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</si>
  <si>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</si>
  <si>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</si>
  <si>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</si>
  <si>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</si>
  <si>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</si>
  <si>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‫1403/10/15</t>
  </si>
  <si>
    <t>‫1403/10/19</t>
  </si>
  <si>
    <t>‫تاریخ دریافت سود</t>
  </si>
  <si>
    <t>‫درآمد سود</t>
  </si>
  <si>
    <t>‫خالص درآمد</t>
  </si>
  <si>
    <t>‫كوتاه مدت-1.1270160.9967.132-گردشگري</t>
  </si>
  <si>
    <t>‫1403/11/03</t>
  </si>
  <si>
    <t>‫-</t>
  </si>
  <si>
    <t>‫كوتاه مدت-1.14938708.8100.415-پاسارگاد</t>
  </si>
  <si>
    <t>‫1403/11/01</t>
  </si>
  <si>
    <t>‫سود(زیان) حاصل از فروش اوراق بهادار</t>
  </si>
  <si>
    <t>‫ارزش دفتری</t>
  </si>
  <si>
    <t>‫سود و زیان ناشی از فروش</t>
  </si>
  <si>
    <t>‫اختيارخ خودرو-3750-1403/12/01</t>
  </si>
  <si>
    <t>‫اختيارخ خودرو-4000-1403/11/03</t>
  </si>
  <si>
    <t>‫اختيارخ خودرو-5000-1403/12/01</t>
  </si>
  <si>
    <t>‫اختيارخ ذوب-700-1403/11/24</t>
  </si>
  <si>
    <t>‫اختيارخ شستا-1550-1403/11/10</t>
  </si>
  <si>
    <t>‫اختيارخ شستا-1650-1403/12/08</t>
  </si>
  <si>
    <t>‫اختيارخ شپنا-5500-1403/12/08</t>
  </si>
  <si>
    <t>‫اختيارف خودرو-3250-1403/11/03</t>
  </si>
  <si>
    <t>‫سرمايه گذاري جامي</t>
  </si>
  <si>
    <t>‫سيمان سپاهان</t>
  </si>
  <si>
    <t>‫قند چهار محال</t>
  </si>
  <si>
    <t>‫درآمد ناشی از تغییر قیمت اوراق بهادار</t>
  </si>
  <si>
    <t>‫سود و زیان ناشی از تغییر قیمت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</si>
  <si>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</si>
  <si>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</si>
  <si>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</si>
  <si>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</si>
  <si>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</si>
  <si>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‫بانك اقتصاد نوين</t>
  </si>
  <si>
    <t>‫توسعه معادن روي ايران</t>
  </si>
  <si>
    <t>‫توسعه معدني و صنعتي صبانور</t>
  </si>
  <si>
    <t>‫ذوب آهن اصفهان</t>
  </si>
  <si>
    <t>‫س. نفت و گاز و پتروشيمي تامين</t>
  </si>
  <si>
    <t>‫سرمايه گذاري توسعه معادن و فلزات (هلدينگ)</t>
  </si>
  <si>
    <t>‫سرمايه گذاري دارويي تامين</t>
  </si>
  <si>
    <t>‫سرمايه گذاري صندوق بازنشستگي كشوري (هلدينگ)</t>
  </si>
  <si>
    <t>‫سرمايه گذاري غدير (هلدينگ)</t>
  </si>
  <si>
    <t>‫شركت ارتباطات سيار ايران</t>
  </si>
  <si>
    <t>‫شركت مخابرات ايران</t>
  </si>
  <si>
    <t>‫شركت گسترش نفت و گاز پارسيان</t>
  </si>
  <si>
    <t>‫فولاد اميركبير كاشان</t>
  </si>
  <si>
    <t>‫فولاد مباركه اصفهان</t>
  </si>
  <si>
    <t>‫كشتيراني جمهوري اسلامي ايران</t>
  </si>
  <si>
    <t>‫معدني و صنعتي چادر ملو</t>
  </si>
  <si>
    <t>‫معدني و صنعتي گل گهر</t>
  </si>
  <si>
    <t>‫ملي صنايع مس ايران</t>
  </si>
  <si>
    <t>‫پالايش نفت اصفهان</t>
  </si>
  <si>
    <t>‫پالايش نفت تبريز</t>
  </si>
  <si>
    <t>‫پالايش نفت تهران</t>
  </si>
  <si>
    <t>‫پتروشيمي پرديس</t>
  </si>
  <si>
    <t>‫بانك صادرات ايران</t>
  </si>
  <si>
    <t>‫فرآورده هاي غذايي و قند چهار محال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</si>
  <si>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</si>
  <si>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</si>
  <si>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</si>
  <si>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</si>
  <si>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‫سپرده بانکی کوتاه مدت - پاسارگاد</t>
  </si>
  <si>
    <t>‫سپرده بانکی کوتاه مدت - گردشگري</t>
  </si>
  <si>
    <t>رکن صندوق</t>
  </si>
  <si>
    <t>شرکت</t>
  </si>
  <si>
    <t>نماینده</t>
  </si>
  <si>
    <t xml:space="preserve">امضا </t>
  </si>
  <si>
    <t>مدیر صندوق</t>
  </si>
  <si>
    <t>شرکت سبدگردان سهم آشنا</t>
  </si>
  <si>
    <t>علی اسماعیلی</t>
  </si>
  <si>
    <t>‫تغییرات طی بهمن ماه</t>
  </si>
  <si>
    <t>نقل به صفحه بعد</t>
  </si>
  <si>
    <t>صندوق ‫سرمایه گذاری قابل معامله شاخصی بازار آشنا</t>
  </si>
  <si>
    <t>نقل از صفحه قبل</t>
  </si>
  <si>
    <t>‫1-2- سرمایه گذاری در سپرده بانکی</t>
  </si>
  <si>
    <t>‫طی بهمن ماه</t>
  </si>
  <si>
    <t>‫2-1- درآمد حاصل از سرمایه گذاری در سهام و حق تقدم سهام:</t>
  </si>
  <si>
    <t>اختيارخ وتجارت-1800-1403/12/15</t>
  </si>
  <si>
    <t>اختيارخ وبملت-3750-1403/11/24</t>
  </si>
  <si>
    <t>اختيارخ وبملت-3000-1403/11/24</t>
  </si>
  <si>
    <t>اختيارخ وتجارت-2200-1403/12/15</t>
  </si>
  <si>
    <t>اختيارخ ذوب-500-1403/12/22</t>
  </si>
  <si>
    <t>اختيارخ فولاد-6500-1403/12/01</t>
  </si>
  <si>
    <t>اختيارخ فولاد-6000-1403/12/01</t>
  </si>
  <si>
    <t>اختيارخ شپنا-5000-1403/12/08</t>
  </si>
  <si>
    <t>اختيارخ فملي-10000-1404/01/06</t>
  </si>
  <si>
    <t>اختيارخ وبملت-3500-1404/01/27</t>
  </si>
  <si>
    <t>اختيارخ خساپا-3250-1403/12/22</t>
  </si>
  <si>
    <t>اختيارخ وتجارت-2200-1404/02/17</t>
  </si>
  <si>
    <t>اختيارخ خودرو-3750-1404/01/06</t>
  </si>
  <si>
    <t>اختيارخ خودرو-4000-1404/01/06</t>
  </si>
  <si>
    <t>اختيارخ شستا-1500-1404/01/20</t>
  </si>
  <si>
    <t>اختيارخ خودرو-3250-1404/02/03</t>
  </si>
  <si>
    <t>اختيارف خودرو-3250-1403/12/01</t>
  </si>
  <si>
    <t>اختيارف وبملت-3000-1403/11/24</t>
  </si>
  <si>
    <t>اختيارف خودرو-3500-1403/12/01</t>
  </si>
  <si>
    <t>اختيارف شستا-1350-1403/12/08</t>
  </si>
  <si>
    <t>اختيارف خودرو-3250-1404/01/06</t>
  </si>
  <si>
    <t>اختيارف شستا-1300-1404/01/20</t>
  </si>
  <si>
    <t>اختيارخ شستا-1350-1403/10/12</t>
  </si>
  <si>
    <t>اختيارخ ذوب-600-1403/11/24</t>
  </si>
  <si>
    <t>اختيارخ شستا-1450-1403/10/12</t>
  </si>
  <si>
    <t>اختيارخ ذوب-700-1403/11/24</t>
  </si>
  <si>
    <t>اختيارخ شستا-1650-1403/11/10</t>
  </si>
  <si>
    <t>اختيارخ شستا-1550-1403/11/10</t>
  </si>
  <si>
    <t>اختيارخ خودرو-4000-1403/11/03</t>
  </si>
  <si>
    <t>اختيارخ وبصادر-2200-1403/11/17</t>
  </si>
  <si>
    <t>اختيارخ وبصادر-2400-1403/11/17</t>
  </si>
  <si>
    <t>اختيارخ خودرو-3750-1403/12/01</t>
  </si>
  <si>
    <t>اختيارخ خودرو-5000-1403/12/01</t>
  </si>
  <si>
    <t>اختيارخ شپنا-5500-1403/12/08</t>
  </si>
  <si>
    <t>اختيارخ شستا-1650-1403/12/08</t>
  </si>
  <si>
    <t>اختيارف خودرو-3250-1403/11/03</t>
  </si>
  <si>
    <t>‫صندوق سرمایه گذاری قابل معامله شاخصی بازار آشنا</t>
  </si>
  <si>
    <t>از ابتدای سال مالی تا ‫پایان بهمن ماه</t>
  </si>
  <si>
    <t>از ابتدای سال مالی تا پایان بهمن ماه</t>
  </si>
  <si>
    <t>‫2-2- درآمد حاصل از سرمایه گذاری در سپرده بانکی و گواهی سپرده:</t>
  </si>
  <si>
    <t>‫2-3- سایر درآمدها:</t>
  </si>
  <si>
    <t>تعدیل کارمزد کارگزاری</t>
  </si>
  <si>
    <t>‫2-1</t>
  </si>
  <si>
    <t>‫2-3</t>
  </si>
  <si>
    <t>‫سود سپرده های بانکی</t>
  </si>
  <si>
    <t>‫اختيارخ وبصادر-2200-1403/11/17</t>
  </si>
  <si>
    <t>‫اختيارخ وبصادر-2400-1403/11/17</t>
  </si>
  <si>
    <t>‫اختيارخ شستا-1350-1403/10/12</t>
  </si>
  <si>
    <t>‫اختيارخ ذوب-600-1403/11/24</t>
  </si>
  <si>
    <t>‫اختيارخ شستا-1450-1403/10/12</t>
  </si>
  <si>
    <t>‫اختيارخ شستا-1650-1403/11/10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</si>
</sst>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  <font>
      <b/>
      <u/>
      <sz val="16"/>
      <name val="B Zar"/>
      <charset val="178"/>
    </font>
    <font>
      <b/>
      <sz val="12"/>
      <name val="B Zar"/>
      <charset val="178"/>
    </font>
    <font>
      <sz val="12"/>
      <name val="B Zar"/>
      <charset val="178"/>
    </font>
    <font>
      <sz val="9"/>
      <color rgb="FF000000"/>
      <name val="Yekan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5"/>
  </cellStyleXfs>
  <cellXfs count="37">
    <xf numFmtId="0" fontId="0" fillId="0" borderId="0" xfId="0"/>
    <xf numFmtId="37" fontId="2" fillId="2" borderId="5" xfId="1" applyNumberFormat="1" applyFont="1" applyAlignment="1">
      <alignment horizontal="center" vertical="center"/>
    </xf>
    <xf numFmtId="0" fontId="3" fillId="2" borderId="5" xfId="1" applyFont="1"/>
    <xf numFmtId="0" fontId="3" fillId="2" borderId="5" xfId="1" applyFont="1"/>
    <xf numFmtId="0" fontId="4" fillId="3" borderId="5" xfId="1" applyFont="1" applyFill="1" applyAlignment="1">
      <alignment horizontal="center" vertical="center" wrapText="1" readingOrder="2"/>
    </xf>
    <xf numFmtId="0" fontId="5" fillId="2" borderId="5" xfId="1" applyFont="1" applyAlignment="1">
      <alignment horizontal="center" vertical="center" wrapText="1" readingOrder="2"/>
    </xf>
    <xf numFmtId="37" fontId="6" fillId="0" borderId="0" xfId="0" applyNumberFormat="1" applyFont="1" applyAlignment="1">
      <alignment horizontal="center" vertical="center"/>
    </xf>
    <xf numFmtId="0" fontId="3" fillId="0" borderId="0" xfId="0" applyFont="1"/>
    <xf numFmtId="0" fontId="3" fillId="0" borderId="0" xfId="0" applyFont="1"/>
    <xf numFmtId="37" fontId="7" fillId="0" borderId="0" xfId="0" applyNumberFormat="1" applyFont="1" applyAlignment="1">
      <alignment horizontal="right" vertical="center"/>
    </xf>
    <xf numFmtId="37" fontId="7" fillId="0" borderId="1" xfId="0" applyNumberFormat="1" applyFont="1" applyBorder="1" applyAlignment="1">
      <alignment horizontal="center" vertical="center"/>
    </xf>
    <xf numFmtId="0" fontId="3" fillId="2" borderId="2" xfId="0" applyNumberFormat="1" applyFont="1" applyFill="1" applyBorder="1"/>
    <xf numFmtId="0" fontId="8" fillId="0" borderId="0" xfId="0" applyFont="1" applyAlignment="1">
      <alignment horizontal="center" vertical="center"/>
    </xf>
    <xf numFmtId="37" fontId="8" fillId="0" borderId="0" xfId="0" applyNumberFormat="1" applyFont="1" applyAlignment="1">
      <alignment horizontal="center" vertical="center" wrapText="1"/>
    </xf>
    <xf numFmtId="37" fontId="8" fillId="0" borderId="1" xfId="0" applyNumberFormat="1" applyFont="1" applyBorder="1" applyAlignment="1">
      <alignment horizontal="center" vertical="center"/>
    </xf>
    <xf numFmtId="37" fontId="8" fillId="0" borderId="1" xfId="0" applyNumberFormat="1" applyFont="1" applyBorder="1" applyAlignment="1">
      <alignment horizontal="center" vertical="center"/>
    </xf>
    <xf numFmtId="37" fontId="8" fillId="0" borderId="0" xfId="0" applyNumberFormat="1" applyFont="1" applyAlignment="1">
      <alignment horizontal="right" vertical="center" wrapText="1"/>
    </xf>
    <xf numFmtId="3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37" fontId="8" fillId="0" borderId="3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37" fontId="8" fillId="0" borderId="4" xfId="0" applyNumberFormat="1" applyFont="1" applyBorder="1" applyAlignment="1">
      <alignment horizontal="center" vertical="center"/>
    </xf>
    <xf numFmtId="37" fontId="8" fillId="0" borderId="5" xfId="0" applyNumberFormat="1" applyFont="1" applyBorder="1" applyAlignment="1">
      <alignment horizontal="center" vertical="center"/>
    </xf>
    <xf numFmtId="3" fontId="9" fillId="0" borderId="0" xfId="0" applyNumberFormat="1" applyFont="1"/>
    <xf numFmtId="10" fontId="8" fillId="0" borderId="6" xfId="0" applyNumberFormat="1" applyFont="1" applyBorder="1" applyAlignment="1">
      <alignment horizontal="center" vertical="center"/>
    </xf>
    <xf numFmtId="37" fontId="8" fillId="0" borderId="6" xfId="0" applyNumberFormat="1" applyFont="1" applyBorder="1" applyAlignment="1">
      <alignment horizontal="center" vertical="center"/>
    </xf>
    <xf numFmtId="10" fontId="8" fillId="0" borderId="7" xfId="0" applyNumberFormat="1" applyFont="1" applyBorder="1" applyAlignment="1">
      <alignment horizontal="center" vertical="center"/>
    </xf>
    <xf numFmtId="37" fontId="7" fillId="0" borderId="0" xfId="0" applyNumberFormat="1" applyFont="1" applyAlignment="1">
      <alignment horizontal="right" vertical="center"/>
    </xf>
    <xf numFmtId="37" fontId="7" fillId="0" borderId="1" xfId="0" applyNumberFormat="1" applyFont="1" applyBorder="1" applyAlignment="1">
      <alignment horizontal="center" vertical="center"/>
    </xf>
    <xf numFmtId="37" fontId="8" fillId="0" borderId="0" xfId="0" applyNumberFormat="1" applyFont="1" applyAlignment="1">
      <alignment horizontal="center" vertical="center" wrapText="1"/>
    </xf>
    <xf numFmtId="37" fontId="7" fillId="0" borderId="1" xfId="0" applyNumberFormat="1" applyFont="1" applyBorder="1" applyAlignment="1">
      <alignment horizontal="center" vertical="center" wrapText="1"/>
    </xf>
    <xf numFmtId="3" fontId="3" fillId="0" borderId="0" xfId="0" applyNumberFormat="1" applyFont="1"/>
    <xf numFmtId="9" fontId="8" fillId="0" borderId="3" xfId="0" applyNumberFormat="1" applyFont="1" applyBorder="1" applyAlignment="1">
      <alignment horizontal="center" vertical="center"/>
    </xf>
    <xf numFmtId="37" fontId="3" fillId="0" borderId="0" xfId="0" applyNumberFormat="1" applyFont="1" applyAlignment="1">
      <alignment horizontal="center" vertical="center" wrapText="1"/>
    </xf>
    <xf numFmtId="37" fontId="7" fillId="0" borderId="8" xfId="0" applyNumberFormat="1" applyFont="1" applyBorder="1" applyAlignment="1">
      <alignment horizontal="center" vertical="center"/>
    </xf>
    <xf numFmtId="0" fontId="3" fillId="0" borderId="0" xfId="0" applyFont="1" applyAlignment="1"/>
  </cellXfs>
  <cellStyles count="2">
    <cellStyle name="Normal" xfId="0" builtinId="0"/>
    <cellStyle name="Normal 2" xfId="1" xr:uid="{C2D2261C-66C6-4B94-A78F-43DE79D39F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270330</xdr:colOff>
      <xdr:row>6</xdr:row>
      <xdr:rowOff>76200</xdr:rowOff>
    </xdr:from>
    <xdr:to>
      <xdr:col>6</xdr:col>
      <xdr:colOff>235378</xdr:colOff>
      <xdr:row>13</xdr:row>
      <xdr:rowOff>155575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2BE550-5FB8-4986-A0BD-F405E0C01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1792522" y="1562100"/>
          <a:ext cx="1736698" cy="181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766460</xdr:colOff>
      <xdr:row>3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29302C-E84D-4CF3-9776-70EE1938D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758140" y="1"/>
          <a:ext cx="766459" cy="800100"/>
        </a:xfrm>
        <a:prstGeom prst="rect">
          <a:avLst/>
        </a:prstGeom>
      </xdr:spPr>
    </xdr:pic>
    <xdr:clientData/>
  </xdr:twoCellAnchor>
  <xdr:oneCellAnchor>
    <xdr:from>
      <xdr:col>0</xdr:col>
      <xdr:colOff>1</xdr:colOff>
      <xdr:row>41</xdr:row>
      <xdr:rowOff>1</xdr:rowOff>
    </xdr:from>
    <xdr:ext cx="766459" cy="819150"/>
    <xdr:pic>
      <xdr:nvPicPr>
        <xdr:cNvPr id="3" name="Picture 2">
          <a:extLst>
            <a:ext uri="{FF2B5EF4-FFF2-40B4-BE49-F238E27FC236}">
              <a16:creationId xmlns:a16="http://schemas.microsoft.com/office/drawing/2014/main" id="{661459A7-9618-42E4-A979-573D031B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3802290" y="1"/>
          <a:ext cx="766459" cy="8191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766459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74ED1E-8F6F-4D43-B3A7-D43001FFA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2897416" y="0"/>
          <a:ext cx="766459" cy="819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766459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D7D43F-319E-40AC-959B-68535EE25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662766" y="0"/>
          <a:ext cx="766459" cy="8191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766459</xdr:colOff>
      <xdr:row>3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0B363E-CC4B-460E-90D3-160DDF36C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834466" y="0"/>
          <a:ext cx="766459" cy="838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766459</xdr:colOff>
      <xdr:row>3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6E1DEE-8749-4496-AF48-E0BAE5EB5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281891" y="0"/>
          <a:ext cx="766459" cy="83820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39</xdr:row>
      <xdr:rowOff>0</xdr:rowOff>
    </xdr:from>
    <xdr:ext cx="766459" cy="857250"/>
    <xdr:pic>
      <xdr:nvPicPr>
        <xdr:cNvPr id="3" name="Picture 2">
          <a:extLst>
            <a:ext uri="{FF2B5EF4-FFF2-40B4-BE49-F238E27FC236}">
              <a16:creationId xmlns:a16="http://schemas.microsoft.com/office/drawing/2014/main" id="{EAC7F548-0EFC-4943-96BB-053405B8A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500791" y="0"/>
          <a:ext cx="766459" cy="857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766459" cy="857250"/>
    <xdr:pic>
      <xdr:nvPicPr>
        <xdr:cNvPr id="4" name="Picture 3">
          <a:extLst>
            <a:ext uri="{FF2B5EF4-FFF2-40B4-BE49-F238E27FC236}">
              <a16:creationId xmlns:a16="http://schemas.microsoft.com/office/drawing/2014/main" id="{AA17B0CD-8B30-4DC1-AD53-F37DE218C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500791" y="10715625"/>
          <a:ext cx="766459" cy="857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766459" cy="857250"/>
    <xdr:pic>
      <xdr:nvPicPr>
        <xdr:cNvPr id="5" name="Picture 4">
          <a:extLst>
            <a:ext uri="{FF2B5EF4-FFF2-40B4-BE49-F238E27FC236}">
              <a16:creationId xmlns:a16="http://schemas.microsoft.com/office/drawing/2014/main" id="{4AB3DF15-AF1F-4810-ABFC-B1C4E8CFC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500791" y="21431250"/>
          <a:ext cx="766459" cy="8572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740910</xdr:colOff>
      <xdr:row>3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25E06C-5846-491D-A314-97A332A3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278990" y="0"/>
          <a:ext cx="740910" cy="8286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0</xdr:col>
      <xdr:colOff>695324</xdr:colOff>
      <xdr:row>2</xdr:row>
      <xdr:rowOff>222608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AED5EA-2D61-4266-9251-969FCB41F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9610451" y="9525"/>
          <a:ext cx="695324" cy="70838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695324</xdr:colOff>
      <xdr:row>2</xdr:row>
      <xdr:rowOff>225783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73F728-F59E-41B8-B44A-64675AAE9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286351" y="0"/>
          <a:ext cx="695324" cy="72108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0</xdr:col>
      <xdr:colOff>695324</xdr:colOff>
      <xdr:row>3</xdr:row>
      <xdr:rowOff>358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F7E1F2-4727-408C-A900-CD5F6DB1F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772001" y="9525"/>
          <a:ext cx="695324" cy="7337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695324</xdr:colOff>
      <xdr:row>3</xdr:row>
      <xdr:rowOff>9883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E1D220-3CAD-41C5-8D95-5BA597781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696051" y="0"/>
          <a:ext cx="695324" cy="752833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32</xdr:row>
      <xdr:rowOff>0</xdr:rowOff>
    </xdr:from>
    <xdr:ext cx="695324" cy="771883"/>
    <xdr:pic>
      <xdr:nvPicPr>
        <xdr:cNvPr id="3" name="Picture 2">
          <a:extLst>
            <a:ext uri="{FF2B5EF4-FFF2-40B4-BE49-F238E27FC236}">
              <a16:creationId xmlns:a16="http://schemas.microsoft.com/office/drawing/2014/main" id="{9CF6E935-26E3-48D3-9ADE-F1B666939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714801" y="0"/>
          <a:ext cx="695324" cy="77188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695324" cy="771883"/>
    <xdr:pic>
      <xdr:nvPicPr>
        <xdr:cNvPr id="4" name="Picture 3">
          <a:extLst>
            <a:ext uri="{FF2B5EF4-FFF2-40B4-BE49-F238E27FC236}">
              <a16:creationId xmlns:a16="http://schemas.microsoft.com/office/drawing/2014/main" id="{5358937C-B47D-4378-9871-CBBE21C41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714801" y="8826500"/>
          <a:ext cx="695324" cy="771883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695324</xdr:colOff>
      <xdr:row>3</xdr:row>
      <xdr:rowOff>28933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19E219-2D30-46BE-82F3-F5999300B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7495901" y="0"/>
          <a:ext cx="695324" cy="771883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31</xdr:row>
      <xdr:rowOff>0</xdr:rowOff>
    </xdr:from>
    <xdr:ext cx="695324" cy="790933"/>
    <xdr:pic>
      <xdr:nvPicPr>
        <xdr:cNvPr id="3" name="Picture 2">
          <a:extLst>
            <a:ext uri="{FF2B5EF4-FFF2-40B4-BE49-F238E27FC236}">
              <a16:creationId xmlns:a16="http://schemas.microsoft.com/office/drawing/2014/main" id="{A5B77E5D-E54F-412B-BAAD-35C898EE0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302051" y="0"/>
          <a:ext cx="695324" cy="7909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695324" cy="790933"/>
    <xdr:pic>
      <xdr:nvPicPr>
        <xdr:cNvPr id="4" name="Picture 3">
          <a:extLst>
            <a:ext uri="{FF2B5EF4-FFF2-40B4-BE49-F238E27FC236}">
              <a16:creationId xmlns:a16="http://schemas.microsoft.com/office/drawing/2014/main" id="{237C1657-5ADB-46E8-8D01-397D5FF04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302051" y="8556625"/>
          <a:ext cx="695324" cy="7909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695324" cy="790933"/>
    <xdr:pic>
      <xdr:nvPicPr>
        <xdr:cNvPr id="5" name="Picture 4">
          <a:extLst>
            <a:ext uri="{FF2B5EF4-FFF2-40B4-BE49-F238E27FC236}">
              <a16:creationId xmlns:a16="http://schemas.microsoft.com/office/drawing/2014/main" id="{807DA911-54A0-4518-A649-F540C6B5B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302051" y="17113250"/>
          <a:ext cx="695324" cy="7909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695324" cy="790933"/>
    <xdr:pic>
      <xdr:nvPicPr>
        <xdr:cNvPr id="6" name="Picture 5">
          <a:extLst>
            <a:ext uri="{FF2B5EF4-FFF2-40B4-BE49-F238E27FC236}">
              <a16:creationId xmlns:a16="http://schemas.microsoft.com/office/drawing/2014/main" id="{7DF3CEDB-7330-4EC0-B4DA-25D7ACC31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4302051" y="25669875"/>
          <a:ext cx="695324" cy="79093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4D6B-DE8A-40D1-B6CB-038589AB45F2}">
  <sheetPr>
    <pageSetUpPr fitToPage="1"/>
  </sheetPr>
  <dimension ref="A18:J25"/>
  <sheetViews>
    <sheetView rightToLeft="1" tabSelected="1" view="pageBreakPreview" zoomScaleNormal="100" zoomScaleSheetLayoutView="100" workbookViewId="0">
      <selection activeCell="A18" sqref="A18:J18"/>
    </sheetView>
  </sheetViews>
  <sheetFormatPr defaultColWidth="8.85546875" defaultRowHeight="19.5"/>
  <cols>
    <col min="1" max="16384" width="8.85546875" style="3"/>
  </cols>
  <sheetData>
    <row r="18" spans="1:10" ht="40.15" customHeight="1">
      <c r="A18" s="1" t="s">
        <v>250</v>
      </c>
      <c r="B18" s="2"/>
      <c r="C18" s="2"/>
      <c r="D18" s="2"/>
      <c r="E18" s="2"/>
      <c r="F18" s="2"/>
      <c r="G18" s="2"/>
      <c r="H18" s="2"/>
      <c r="I18" s="2"/>
      <c r="J18" s="2"/>
    </row>
    <row r="19" spans="1:10" ht="40.15" customHeight="1">
      <c r="A19" s="1" t="s">
        <v>0</v>
      </c>
      <c r="B19" s="2"/>
      <c r="C19" s="2"/>
      <c r="D19" s="2"/>
      <c r="E19" s="2"/>
      <c r="F19" s="2"/>
      <c r="G19" s="2"/>
      <c r="H19" s="2"/>
      <c r="I19" s="2"/>
      <c r="J19" s="2"/>
    </row>
    <row r="20" spans="1:10" ht="40.15" customHeight="1">
      <c r="A20" s="1" t="s">
        <v>1</v>
      </c>
      <c r="B20" s="2"/>
      <c r="C20" s="2"/>
      <c r="D20" s="2"/>
      <c r="E20" s="2"/>
      <c r="F20" s="2"/>
      <c r="G20" s="2"/>
      <c r="H20" s="2"/>
      <c r="I20" s="2"/>
      <c r="J20" s="2"/>
    </row>
    <row r="24" spans="1:10" ht="43.5" customHeight="1">
      <c r="B24" s="4" t="s">
        <v>241</v>
      </c>
      <c r="C24" s="4"/>
      <c r="D24" s="4" t="s">
        <v>242</v>
      </c>
      <c r="E24" s="4"/>
      <c r="F24" s="4" t="s">
        <v>243</v>
      </c>
      <c r="G24" s="4"/>
      <c r="H24" s="4" t="s">
        <v>244</v>
      </c>
      <c r="I24" s="4"/>
    </row>
    <row r="25" spans="1:10" ht="39.75" customHeight="1">
      <c r="B25" s="5" t="s">
        <v>245</v>
      </c>
      <c r="C25" s="5"/>
      <c r="D25" s="5" t="s">
        <v>246</v>
      </c>
      <c r="E25" s="5"/>
      <c r="F25" s="5" t="s">
        <v>247</v>
      </c>
      <c r="G25" s="5"/>
      <c r="H25" s="5"/>
      <c r="I25" s="5"/>
    </row>
  </sheetData>
  <mergeCells count="11">
    <mergeCell ref="B25:C25"/>
    <mergeCell ref="D25:E25"/>
    <mergeCell ref="F25:G25"/>
    <mergeCell ref="H25:I25"/>
    <mergeCell ref="A18:J18"/>
    <mergeCell ref="A19:J19"/>
    <mergeCell ref="A20:J20"/>
    <mergeCell ref="B24:C24"/>
    <mergeCell ref="D24:E24"/>
    <mergeCell ref="F24:G24"/>
    <mergeCell ref="H24:I24"/>
  </mergeCells>
  <pageMargins left="0.7" right="0.7" top="0.75" bottom="0.75" header="0.3" footer="0.3"/>
  <pageSetup paperSize="9" scale="9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83"/>
  <sheetViews>
    <sheetView rightToLeft="1" view="pageBreakPreview" zoomScale="60" zoomScaleNormal="100" workbookViewId="0">
      <selection activeCell="A6" sqref="A6:W6"/>
    </sheetView>
  </sheetViews>
  <sheetFormatPr defaultRowHeight="19.5"/>
  <cols>
    <col min="1" max="1" width="33.140625" style="8" customWidth="1"/>
    <col min="2" max="2" width="1.42578125" style="8" customWidth="1"/>
    <col min="3" max="3" width="12.7109375" style="8" customWidth="1"/>
    <col min="4" max="4" width="1.42578125" style="8" customWidth="1"/>
    <col min="5" max="5" width="17" style="8" customWidth="1"/>
    <col min="6" max="6" width="1.42578125" style="8" customWidth="1"/>
    <col min="7" max="7" width="17" style="8" customWidth="1"/>
    <col min="8" max="8" width="1.42578125" style="8" customWidth="1"/>
    <col min="9" max="9" width="11.42578125" style="8" customWidth="1"/>
    <col min="10" max="10" width="17" style="8" customWidth="1"/>
    <col min="11" max="11" width="1.42578125" style="8" customWidth="1"/>
    <col min="12" max="12" width="11.42578125" style="8" customWidth="1"/>
    <col min="13" max="13" width="17" style="8" customWidth="1"/>
    <col min="14" max="14" width="1.42578125" style="8" customWidth="1"/>
    <col min="15" max="15" width="12.7109375" style="8" customWidth="1"/>
    <col min="16" max="16" width="1.42578125" style="8" customWidth="1"/>
    <col min="17" max="17" width="14.5703125" style="8" customWidth="1"/>
    <col min="18" max="18" width="1.42578125" style="8" customWidth="1"/>
    <col min="19" max="19" width="17" style="8" customWidth="1"/>
    <col min="20" max="20" width="1.42578125" style="8" customWidth="1"/>
    <col min="21" max="21" width="17" style="8" customWidth="1"/>
    <col min="22" max="22" width="1.42578125" style="8" customWidth="1"/>
    <col min="23" max="23" width="10.5703125" style="8" customWidth="1"/>
    <col min="24" max="16384" width="9.140625" style="8"/>
  </cols>
  <sheetData>
    <row r="1" spans="1:23" ht="20.100000000000001" customHeight="1">
      <c r="A1" s="6" t="s">
        <v>250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20.100000000000001" customHeight="1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20.100000000000001" customHeight="1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3" ht="21">
      <c r="A5" s="9" t="s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21">
      <c r="A6" s="9" t="s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8" spans="1:23" ht="21">
      <c r="C8" s="10" t="s">
        <v>4</v>
      </c>
      <c r="D8" s="11"/>
      <c r="E8" s="11"/>
      <c r="F8" s="11"/>
      <c r="G8" s="11"/>
      <c r="I8" s="10" t="s">
        <v>248</v>
      </c>
      <c r="J8" s="11"/>
      <c r="K8" s="11"/>
      <c r="L8" s="11"/>
      <c r="M8" s="11"/>
      <c r="O8" s="10" t="s">
        <v>5</v>
      </c>
      <c r="P8" s="11"/>
      <c r="Q8" s="11"/>
      <c r="R8" s="11"/>
      <c r="S8" s="11"/>
      <c r="T8" s="11"/>
      <c r="U8" s="11"/>
      <c r="V8" s="11"/>
      <c r="W8" s="11"/>
    </row>
    <row r="9" spans="1:23" ht="21">
      <c r="A9" s="12" t="s">
        <v>6</v>
      </c>
      <c r="C9" s="12" t="s">
        <v>7</v>
      </c>
      <c r="E9" s="12" t="s">
        <v>8</v>
      </c>
      <c r="G9" s="12" t="s">
        <v>9</v>
      </c>
      <c r="I9" s="12" t="s">
        <v>10</v>
      </c>
      <c r="J9" s="7"/>
      <c r="L9" s="12" t="s">
        <v>11</v>
      </c>
      <c r="M9" s="7"/>
      <c r="O9" s="12" t="s">
        <v>7</v>
      </c>
      <c r="Q9" s="13" t="s">
        <v>12</v>
      </c>
      <c r="S9" s="12" t="s">
        <v>8</v>
      </c>
      <c r="U9" s="12" t="s">
        <v>9</v>
      </c>
      <c r="W9" s="13" t="s">
        <v>13</v>
      </c>
    </row>
    <row r="10" spans="1:23" ht="21">
      <c r="A10" s="14"/>
      <c r="C10" s="14"/>
      <c r="E10" s="14"/>
      <c r="G10" s="14"/>
      <c r="I10" s="15" t="s">
        <v>7</v>
      </c>
      <c r="J10" s="15" t="s">
        <v>8</v>
      </c>
      <c r="L10" s="15" t="s">
        <v>7</v>
      </c>
      <c r="M10" s="15" t="s">
        <v>14</v>
      </c>
      <c r="O10" s="14"/>
      <c r="Q10" s="14"/>
      <c r="S10" s="14"/>
      <c r="U10" s="14"/>
      <c r="W10" s="14"/>
    </row>
    <row r="11" spans="1:23" ht="21">
      <c r="A11" s="16" t="s">
        <v>15</v>
      </c>
      <c r="C11" s="17">
        <v>467651</v>
      </c>
      <c r="E11" s="17">
        <v>2921674505</v>
      </c>
      <c r="G11" s="17">
        <v>3207592488</v>
      </c>
      <c r="I11" s="17">
        <v>0</v>
      </c>
      <c r="J11" s="17">
        <v>0</v>
      </c>
      <c r="L11" s="17">
        <v>0</v>
      </c>
      <c r="M11" s="17">
        <v>0</v>
      </c>
      <c r="N11" s="18"/>
      <c r="O11" s="17">
        <v>579887</v>
      </c>
      <c r="Q11" s="17">
        <v>5640</v>
      </c>
      <c r="S11" s="17">
        <v>2921674505</v>
      </c>
      <c r="U11" s="17">
        <v>3326039599</v>
      </c>
      <c r="W11" s="19">
        <v>2.775515193476112E-3</v>
      </c>
    </row>
    <row r="12" spans="1:23" ht="21">
      <c r="A12" s="16" t="s">
        <v>38</v>
      </c>
      <c r="C12" s="17">
        <v>0</v>
      </c>
      <c r="D12" s="17"/>
      <c r="E12" s="17">
        <v>0</v>
      </c>
      <c r="F12" s="17"/>
      <c r="G12" s="17">
        <v>0</v>
      </c>
      <c r="H12" s="18"/>
      <c r="I12" s="17">
        <v>150000</v>
      </c>
      <c r="J12" s="17">
        <v>1050974400</v>
      </c>
      <c r="L12" s="17">
        <v>75000</v>
      </c>
      <c r="M12" s="17">
        <v>717207107</v>
      </c>
      <c r="O12" s="17">
        <v>75000</v>
      </c>
      <c r="Q12" s="17">
        <v>9250</v>
      </c>
      <c r="S12" s="17">
        <v>525487200</v>
      </c>
      <c r="U12" s="17">
        <v>689622187</v>
      </c>
      <c r="W12" s="19">
        <v>5.7547626863859369E-4</v>
      </c>
    </row>
    <row r="13" spans="1:23" ht="21">
      <c r="A13" s="16" t="s">
        <v>39</v>
      </c>
      <c r="C13" s="17">
        <v>2000000</v>
      </c>
      <c r="E13" s="17">
        <v>8799272430</v>
      </c>
      <c r="G13" s="17">
        <v>10039905000</v>
      </c>
      <c r="I13" s="17">
        <v>0</v>
      </c>
      <c r="J13" s="17">
        <v>0</v>
      </c>
      <c r="L13" s="17">
        <v>0</v>
      </c>
      <c r="M13" s="17">
        <v>0</v>
      </c>
      <c r="N13" s="18"/>
      <c r="O13" s="17">
        <v>2000000</v>
      </c>
      <c r="Q13" s="17">
        <v>4545</v>
      </c>
      <c r="S13" s="17">
        <v>8799272430</v>
      </c>
      <c r="U13" s="17">
        <v>9021997800</v>
      </c>
      <c r="W13" s="19">
        <v>7.5286812511001786E-3</v>
      </c>
    </row>
    <row r="14" spans="1:23" ht="21">
      <c r="A14" s="16" t="s">
        <v>40</v>
      </c>
      <c r="C14" s="17">
        <v>0</v>
      </c>
      <c r="D14" s="17"/>
      <c r="E14" s="17">
        <v>0</v>
      </c>
      <c r="F14" s="17"/>
      <c r="G14" s="17">
        <v>0</v>
      </c>
      <c r="H14" s="18"/>
      <c r="I14" s="17">
        <v>2500000</v>
      </c>
      <c r="J14" s="17">
        <v>11089731654</v>
      </c>
      <c r="L14" s="17">
        <v>0</v>
      </c>
      <c r="M14" s="17">
        <v>0</v>
      </c>
      <c r="O14" s="17">
        <v>2500000</v>
      </c>
      <c r="Q14" s="17">
        <v>4219</v>
      </c>
      <c r="S14" s="17">
        <v>11089731654</v>
      </c>
      <c r="U14" s="17">
        <v>10487227500</v>
      </c>
      <c r="W14" s="19">
        <v>8.7513868663625909E-3</v>
      </c>
    </row>
    <row r="15" spans="1:23" ht="21">
      <c r="A15" s="16" t="s">
        <v>41</v>
      </c>
      <c r="C15" s="17">
        <v>7726948</v>
      </c>
      <c r="E15" s="17">
        <v>17704787532</v>
      </c>
      <c r="G15" s="17">
        <v>27113833488</v>
      </c>
      <c r="I15" s="17">
        <v>0</v>
      </c>
      <c r="J15" s="17">
        <v>0</v>
      </c>
      <c r="L15" s="17">
        <v>0</v>
      </c>
      <c r="M15" s="17">
        <v>0</v>
      </c>
      <c r="N15" s="18"/>
      <c r="O15" s="17">
        <v>7726948</v>
      </c>
      <c r="Q15" s="17">
        <v>3358</v>
      </c>
      <c r="S15" s="17">
        <v>17704787532</v>
      </c>
      <c r="U15" s="17">
        <v>25969368561</v>
      </c>
      <c r="W15" s="19">
        <v>2.1670931707399785E-2</v>
      </c>
    </row>
    <row r="16" spans="1:23" ht="21">
      <c r="A16" s="16" t="s">
        <v>42</v>
      </c>
      <c r="C16" s="17">
        <v>10000000</v>
      </c>
      <c r="E16" s="17">
        <v>14560081342</v>
      </c>
      <c r="G16" s="17">
        <v>18091710000</v>
      </c>
      <c r="I16" s="17">
        <v>0</v>
      </c>
      <c r="J16" s="17">
        <v>0</v>
      </c>
      <c r="L16" s="17">
        <v>0</v>
      </c>
      <c r="M16" s="17">
        <v>0</v>
      </c>
      <c r="N16" s="18"/>
      <c r="O16" s="17">
        <v>10000000</v>
      </c>
      <c r="Q16" s="17">
        <v>1705</v>
      </c>
      <c r="S16" s="17">
        <v>14560081342</v>
      </c>
      <c r="U16" s="17">
        <v>16998255000</v>
      </c>
      <c r="W16" s="19">
        <v>1.4184712361592447E-2</v>
      </c>
    </row>
    <row r="17" spans="1:23" ht="21">
      <c r="A17" s="16" t="s">
        <v>43</v>
      </c>
      <c r="C17" s="17">
        <v>37560926</v>
      </c>
      <c r="E17" s="17">
        <v>23562427309</v>
      </c>
      <c r="G17" s="17">
        <v>22813174918</v>
      </c>
      <c r="I17" s="17">
        <v>0</v>
      </c>
      <c r="J17" s="17">
        <v>0</v>
      </c>
      <c r="L17" s="17">
        <v>0</v>
      </c>
      <c r="M17" s="17">
        <v>0</v>
      </c>
      <c r="N17" s="18"/>
      <c r="O17" s="17">
        <v>37560926</v>
      </c>
      <c r="Q17" s="17">
        <v>611</v>
      </c>
      <c r="S17" s="17">
        <v>23562427309</v>
      </c>
      <c r="U17" s="17">
        <v>22813174918</v>
      </c>
      <c r="W17" s="19">
        <v>1.9037149652509942E-2</v>
      </c>
    </row>
    <row r="18" spans="1:23" ht="21">
      <c r="A18" s="16" t="s">
        <v>44</v>
      </c>
      <c r="C18" s="17">
        <v>14900000</v>
      </c>
      <c r="E18" s="17">
        <v>22714344403</v>
      </c>
      <c r="G18" s="17">
        <v>46626114060</v>
      </c>
      <c r="I18" s="17">
        <v>0</v>
      </c>
      <c r="J18" s="17">
        <v>0</v>
      </c>
      <c r="L18" s="17">
        <v>0</v>
      </c>
      <c r="M18" s="17">
        <v>0</v>
      </c>
      <c r="N18" s="18"/>
      <c r="O18" s="17">
        <v>14900000</v>
      </c>
      <c r="Q18" s="17">
        <v>3048</v>
      </c>
      <c r="S18" s="17">
        <v>22714344403</v>
      </c>
      <c r="U18" s="17">
        <v>45352338390</v>
      </c>
      <c r="W18" s="19">
        <v>3.7845642096071434E-2</v>
      </c>
    </row>
    <row r="19" spans="1:23" ht="21">
      <c r="A19" s="16" t="s">
        <v>45</v>
      </c>
      <c r="C19" s="17">
        <v>1700000</v>
      </c>
      <c r="E19" s="17">
        <v>8016464339</v>
      </c>
      <c r="G19" s="17">
        <v>7401696300</v>
      </c>
      <c r="I19" s="17">
        <v>0</v>
      </c>
      <c r="J19" s="17">
        <v>0</v>
      </c>
      <c r="L19" s="17">
        <v>0</v>
      </c>
      <c r="M19" s="17">
        <v>0</v>
      </c>
      <c r="N19" s="18"/>
      <c r="O19" s="17">
        <v>1700000</v>
      </c>
      <c r="Q19" s="17">
        <v>4045</v>
      </c>
      <c r="S19" s="17">
        <v>8016464339</v>
      </c>
      <c r="U19" s="17">
        <v>6815306205</v>
      </c>
      <c r="W19" s="19">
        <v>5.6872401416557883E-3</v>
      </c>
    </row>
    <row r="20" spans="1:23" ht="21">
      <c r="A20" s="16" t="s">
        <v>46</v>
      </c>
      <c r="C20" s="17">
        <v>491813</v>
      </c>
      <c r="E20" s="17">
        <v>2151185976</v>
      </c>
      <c r="G20" s="17">
        <v>2864876136</v>
      </c>
      <c r="I20" s="17">
        <v>0</v>
      </c>
      <c r="J20" s="17">
        <v>0</v>
      </c>
      <c r="L20" s="17">
        <v>491813</v>
      </c>
      <c r="M20" s="17">
        <v>2682696973</v>
      </c>
      <c r="O20" s="17">
        <v>0</v>
      </c>
      <c r="Q20" s="17">
        <v>0</v>
      </c>
      <c r="S20" s="17">
        <v>0</v>
      </c>
      <c r="U20" s="17">
        <v>0</v>
      </c>
      <c r="W20" s="19">
        <v>0</v>
      </c>
    </row>
    <row r="21" spans="1:23" ht="21">
      <c r="A21" s="16" t="s">
        <v>47</v>
      </c>
      <c r="C21" s="17">
        <v>571500</v>
      </c>
      <c r="E21" s="17">
        <v>26026860948</v>
      </c>
      <c r="G21" s="17">
        <v>26956324834</v>
      </c>
      <c r="I21" s="17">
        <v>0</v>
      </c>
      <c r="J21" s="17">
        <v>0</v>
      </c>
      <c r="L21" s="17">
        <v>285750</v>
      </c>
      <c r="M21" s="17">
        <v>15769900291</v>
      </c>
      <c r="O21" s="17">
        <v>285750</v>
      </c>
      <c r="Q21" s="17">
        <v>52250</v>
      </c>
      <c r="S21" s="17">
        <v>13013430474</v>
      </c>
      <c r="U21" s="17">
        <v>14855803886</v>
      </c>
      <c r="W21" s="19">
        <v>1.23968786809668E-2</v>
      </c>
    </row>
    <row r="22" spans="1:23" ht="21">
      <c r="A22" s="16" t="s">
        <v>48</v>
      </c>
      <c r="C22" s="17">
        <v>5800000</v>
      </c>
      <c r="E22" s="17">
        <v>16350923338</v>
      </c>
      <c r="G22" s="17">
        <v>20542440870</v>
      </c>
      <c r="I22" s="17">
        <v>0</v>
      </c>
      <c r="J22" s="17">
        <v>0</v>
      </c>
      <c r="L22" s="17">
        <v>0</v>
      </c>
      <c r="M22" s="17">
        <v>0</v>
      </c>
      <c r="N22" s="18"/>
      <c r="O22" s="17">
        <v>7153333</v>
      </c>
      <c r="Q22" s="17">
        <v>2581</v>
      </c>
      <c r="S22" s="17">
        <v>14800767603</v>
      </c>
      <c r="U22" s="17">
        <v>18352899096</v>
      </c>
      <c r="W22" s="19">
        <v>1.5315136446540544E-2</v>
      </c>
    </row>
    <row r="23" spans="1:23" ht="21">
      <c r="A23" s="16" t="s">
        <v>49</v>
      </c>
      <c r="C23" s="17">
        <v>0</v>
      </c>
      <c r="D23" s="17"/>
      <c r="E23" s="17">
        <v>0</v>
      </c>
      <c r="F23" s="17"/>
      <c r="G23" s="17">
        <v>0</v>
      </c>
      <c r="H23" s="18"/>
      <c r="I23" s="17">
        <v>0</v>
      </c>
      <c r="J23" s="17">
        <v>0</v>
      </c>
      <c r="L23" s="17">
        <v>0</v>
      </c>
      <c r="M23" s="17">
        <v>0</v>
      </c>
      <c r="N23" s="18"/>
      <c r="O23" s="17">
        <v>1450000</v>
      </c>
      <c r="Q23" s="17">
        <v>1581</v>
      </c>
      <c r="S23" s="17">
        <v>1550155735</v>
      </c>
      <c r="U23" s="17">
        <v>2278809922</v>
      </c>
      <c r="W23" s="19">
        <v>1.9016224471460699E-3</v>
      </c>
    </row>
    <row r="24" spans="1:23" ht="21">
      <c r="A24" s="16" t="s">
        <v>50</v>
      </c>
      <c r="C24" s="17">
        <v>0</v>
      </c>
      <c r="D24" s="17"/>
      <c r="E24" s="17">
        <v>0</v>
      </c>
      <c r="F24" s="17"/>
      <c r="G24" s="17">
        <v>0</v>
      </c>
      <c r="H24" s="18"/>
      <c r="I24" s="17">
        <v>1800000</v>
      </c>
      <c r="J24" s="17">
        <v>5865438080</v>
      </c>
      <c r="L24" s="17">
        <v>900000</v>
      </c>
      <c r="M24" s="17">
        <v>3867396344</v>
      </c>
      <c r="O24" s="17">
        <v>900000</v>
      </c>
      <c r="Q24" s="17">
        <v>3931</v>
      </c>
      <c r="S24" s="17">
        <v>2932719040</v>
      </c>
      <c r="U24" s="17">
        <v>3611681865</v>
      </c>
      <c r="W24" s="19">
        <v>3.0138780949341424E-3</v>
      </c>
    </row>
    <row r="25" spans="1:23" ht="21">
      <c r="A25" s="16" t="s">
        <v>51</v>
      </c>
      <c r="C25" s="17">
        <v>800000</v>
      </c>
      <c r="E25" s="17">
        <v>4614185880</v>
      </c>
      <c r="G25" s="17">
        <v>5685966000</v>
      </c>
      <c r="I25" s="17">
        <v>0</v>
      </c>
      <c r="J25" s="17">
        <v>0</v>
      </c>
      <c r="L25" s="17">
        <v>0</v>
      </c>
      <c r="M25" s="17">
        <v>0</v>
      </c>
      <c r="N25" s="18"/>
      <c r="O25" s="17">
        <v>800000</v>
      </c>
      <c r="Q25" s="17">
        <v>6440</v>
      </c>
      <c r="S25" s="17">
        <v>4614185880</v>
      </c>
      <c r="U25" s="17">
        <v>5177012400</v>
      </c>
      <c r="W25" s="19">
        <v>4.3201159052148226E-3</v>
      </c>
    </row>
    <row r="26" spans="1:23" ht="21">
      <c r="A26" s="16" t="s">
        <v>52</v>
      </c>
      <c r="C26" s="17">
        <v>310000</v>
      </c>
      <c r="E26" s="17">
        <v>7299946160</v>
      </c>
      <c r="G26" s="17">
        <v>8609864670</v>
      </c>
      <c r="I26" s="17">
        <v>190000</v>
      </c>
      <c r="J26" s="17">
        <v>5248452572</v>
      </c>
      <c r="L26" s="17">
        <v>0</v>
      </c>
      <c r="M26" s="17">
        <v>0</v>
      </c>
      <c r="O26" s="17">
        <v>500000</v>
      </c>
      <c r="Q26" s="17">
        <v>26260</v>
      </c>
      <c r="S26" s="17">
        <v>12548398732</v>
      </c>
      <c r="U26" s="17">
        <v>12992233500</v>
      </c>
      <c r="W26" s="19">
        <v>1.0841765530176215E-2</v>
      </c>
    </row>
    <row r="27" spans="1:23" ht="21">
      <c r="A27" s="16" t="s">
        <v>53</v>
      </c>
      <c r="C27" s="17">
        <v>297500</v>
      </c>
      <c r="E27" s="17">
        <v>5627605230</v>
      </c>
      <c r="G27" s="17">
        <v>8753604300</v>
      </c>
      <c r="I27" s="17">
        <v>0</v>
      </c>
      <c r="J27" s="17">
        <v>0</v>
      </c>
      <c r="L27" s="17">
        <v>297500</v>
      </c>
      <c r="M27" s="17">
        <v>9003607952</v>
      </c>
      <c r="O27" s="17">
        <v>0</v>
      </c>
      <c r="Q27" s="17">
        <v>0</v>
      </c>
      <c r="S27" s="17">
        <v>0</v>
      </c>
      <c r="U27" s="17">
        <v>0</v>
      </c>
      <c r="W27" s="19">
        <v>0</v>
      </c>
    </row>
    <row r="28" spans="1:23" ht="21">
      <c r="A28" s="16" t="s">
        <v>54</v>
      </c>
      <c r="C28" s="17">
        <v>24500000</v>
      </c>
      <c r="E28" s="17">
        <v>11694161736</v>
      </c>
      <c r="G28" s="17">
        <v>12347592075</v>
      </c>
      <c r="I28" s="17">
        <v>0</v>
      </c>
      <c r="J28" s="17">
        <v>0</v>
      </c>
      <c r="L28" s="17">
        <v>0</v>
      </c>
      <c r="M28" s="17">
        <v>0</v>
      </c>
      <c r="N28" s="18"/>
      <c r="O28" s="17">
        <v>24500000</v>
      </c>
      <c r="Q28" s="17">
        <v>441</v>
      </c>
      <c r="S28" s="17">
        <v>11694161736</v>
      </c>
      <c r="U28" s="17">
        <v>10959401250</v>
      </c>
      <c r="W28" s="19">
        <v>9.1454066541846041E-3</v>
      </c>
    </row>
    <row r="29" spans="1:23" ht="21">
      <c r="A29" s="16" t="s">
        <v>55</v>
      </c>
      <c r="C29" s="17">
        <v>3400000</v>
      </c>
      <c r="E29" s="17">
        <v>9586342604</v>
      </c>
      <c r="G29" s="17">
        <v>9733737600</v>
      </c>
      <c r="I29" s="17">
        <v>0</v>
      </c>
      <c r="J29" s="17">
        <v>0</v>
      </c>
      <c r="L29" s="17">
        <v>0</v>
      </c>
      <c r="M29" s="17">
        <v>0</v>
      </c>
      <c r="N29" s="18"/>
      <c r="O29" s="17">
        <v>3400000</v>
      </c>
      <c r="Q29" s="17">
        <v>2715</v>
      </c>
      <c r="S29" s="17">
        <v>9586342604</v>
      </c>
      <c r="U29" s="17">
        <v>9196354170</v>
      </c>
      <c r="W29" s="19">
        <v>7.6741782422243485E-3</v>
      </c>
    </row>
    <row r="30" spans="1:23" ht="21">
      <c r="A30" s="16" t="s">
        <v>56</v>
      </c>
      <c r="C30" s="17">
        <v>32600000</v>
      </c>
      <c r="E30" s="17">
        <v>39464253596</v>
      </c>
      <c r="G30" s="17">
        <v>43942576680</v>
      </c>
      <c r="I30" s="17">
        <v>0</v>
      </c>
      <c r="J30" s="17">
        <v>0</v>
      </c>
      <c r="L30" s="17">
        <v>0</v>
      </c>
      <c r="M30" s="17">
        <v>0</v>
      </c>
      <c r="N30" s="18"/>
      <c r="O30" s="17">
        <v>32600000</v>
      </c>
      <c r="Q30" s="17">
        <v>1295</v>
      </c>
      <c r="S30" s="17">
        <v>39464253596</v>
      </c>
      <c r="U30" s="17">
        <v>42063026940</v>
      </c>
      <c r="W30" s="19">
        <v>3.5100775826801878E-2</v>
      </c>
    </row>
    <row r="31" spans="1:23" ht="21">
      <c r="A31" s="16" t="s">
        <v>57</v>
      </c>
      <c r="C31" s="17">
        <v>888004</v>
      </c>
      <c r="E31" s="17">
        <v>8268927676</v>
      </c>
      <c r="G31" s="17">
        <v>10522026884</v>
      </c>
      <c r="I31" s="17">
        <v>0</v>
      </c>
      <c r="J31" s="17">
        <v>0</v>
      </c>
      <c r="L31" s="17">
        <v>0</v>
      </c>
      <c r="M31" s="17">
        <v>0</v>
      </c>
      <c r="N31" s="18"/>
      <c r="O31" s="17">
        <v>888004</v>
      </c>
      <c r="Q31" s="17">
        <v>12510</v>
      </c>
      <c r="S31" s="17">
        <v>8268927676</v>
      </c>
      <c r="U31" s="17">
        <v>11157585555</v>
      </c>
      <c r="W31" s="19">
        <v>9.3107875924636867E-3</v>
      </c>
    </row>
    <row r="32" spans="1:23" ht="21">
      <c r="A32" s="16" t="s">
        <v>58</v>
      </c>
      <c r="C32" s="17">
        <v>4279048</v>
      </c>
      <c r="E32" s="17">
        <v>29900688297</v>
      </c>
      <c r="G32" s="17">
        <v>45385780379</v>
      </c>
      <c r="I32" s="17">
        <v>0</v>
      </c>
      <c r="J32" s="17">
        <v>0</v>
      </c>
      <c r="L32" s="17">
        <v>0</v>
      </c>
      <c r="M32" s="17">
        <v>0</v>
      </c>
      <c r="N32" s="18"/>
      <c r="O32" s="17">
        <v>4279048</v>
      </c>
      <c r="Q32" s="17">
        <v>11270</v>
      </c>
      <c r="S32" s="17">
        <v>29900688297</v>
      </c>
      <c r="U32" s="17">
        <v>48023004731</v>
      </c>
      <c r="W32" s="19">
        <v>4.007426108436591E-2</v>
      </c>
    </row>
    <row r="33" spans="1:23" ht="21">
      <c r="A33" s="16" t="s">
        <v>59</v>
      </c>
      <c r="C33" s="17">
        <v>2785714</v>
      </c>
      <c r="E33" s="17">
        <v>10855064124</v>
      </c>
      <c r="G33" s="17">
        <v>16401610307</v>
      </c>
      <c r="I33" s="17">
        <v>0</v>
      </c>
      <c r="J33" s="17">
        <v>0</v>
      </c>
      <c r="L33" s="17">
        <v>0</v>
      </c>
      <c r="M33" s="17">
        <v>0</v>
      </c>
      <c r="N33" s="18"/>
      <c r="O33" s="17">
        <v>2785714</v>
      </c>
      <c r="Q33" s="17">
        <v>5420</v>
      </c>
      <c r="S33" s="17">
        <v>10855064124</v>
      </c>
      <c r="U33" s="17">
        <v>14842585049</v>
      </c>
      <c r="W33" s="19">
        <v>1.2385847819234241E-2</v>
      </c>
    </row>
    <row r="34" spans="1:23" ht="21">
      <c r="A34" s="16" t="s">
        <v>60</v>
      </c>
      <c r="C34" s="17">
        <v>800000</v>
      </c>
      <c r="E34" s="17">
        <v>7074058598</v>
      </c>
      <c r="G34" s="17">
        <v>6870873600</v>
      </c>
      <c r="I34" s="17">
        <v>500000</v>
      </c>
      <c r="J34" s="17">
        <v>4489162064</v>
      </c>
      <c r="L34" s="17">
        <v>0</v>
      </c>
      <c r="M34" s="17">
        <v>0</v>
      </c>
      <c r="O34" s="17">
        <v>1300000</v>
      </c>
      <c r="Q34" s="17">
        <v>8670</v>
      </c>
      <c r="S34" s="17">
        <v>11563220662</v>
      </c>
      <c r="U34" s="17">
        <v>11139324300</v>
      </c>
      <c r="W34" s="19">
        <v>9.2955489312283607E-3</v>
      </c>
    </row>
    <row r="35" spans="1:23" ht="21">
      <c r="A35" s="16" t="s">
        <v>61</v>
      </c>
      <c r="C35" s="17">
        <v>2400000</v>
      </c>
      <c r="E35" s="17">
        <v>11429569715</v>
      </c>
      <c r="G35" s="17">
        <v>11427598800</v>
      </c>
      <c r="I35" s="17">
        <v>0</v>
      </c>
      <c r="J35" s="17">
        <v>0</v>
      </c>
      <c r="L35" s="17">
        <v>0</v>
      </c>
      <c r="M35" s="17">
        <v>0</v>
      </c>
      <c r="N35" s="18"/>
      <c r="O35" s="17">
        <v>2400000</v>
      </c>
      <c r="Q35" s="17">
        <v>4220</v>
      </c>
      <c r="S35" s="17">
        <v>11429569715</v>
      </c>
      <c r="U35" s="17">
        <v>10225195920</v>
      </c>
      <c r="W35" s="19">
        <v>8.532726622004945E-3</v>
      </c>
    </row>
    <row r="36" spans="1:23" ht="21">
      <c r="A36" s="16" t="s">
        <v>62</v>
      </c>
      <c r="C36" s="17">
        <v>249999</v>
      </c>
      <c r="E36" s="17">
        <v>1709077715</v>
      </c>
      <c r="G36" s="17">
        <v>2500025750</v>
      </c>
      <c r="I36" s="17">
        <v>0</v>
      </c>
      <c r="J36" s="17">
        <v>0</v>
      </c>
      <c r="L36" s="17">
        <v>0</v>
      </c>
      <c r="M36" s="17">
        <v>0</v>
      </c>
      <c r="N36" s="18"/>
      <c r="O36" s="17">
        <v>249999</v>
      </c>
      <c r="Q36" s="17">
        <v>7770</v>
      </c>
      <c r="S36" s="17">
        <v>1709077715</v>
      </c>
      <c r="U36" s="17">
        <v>1930934401</v>
      </c>
      <c r="W36" s="19">
        <v>1.6113271078289392E-3</v>
      </c>
    </row>
    <row r="37" spans="1:23" ht="21">
      <c r="A37" s="16" t="s">
        <v>63</v>
      </c>
      <c r="C37" s="17">
        <v>0</v>
      </c>
      <c r="D37" s="17"/>
      <c r="E37" s="17">
        <v>0</v>
      </c>
      <c r="F37" s="17"/>
      <c r="G37" s="17">
        <v>0</v>
      </c>
      <c r="H37" s="18"/>
      <c r="I37" s="17">
        <v>3000000</v>
      </c>
      <c r="J37" s="17">
        <v>9308630400</v>
      </c>
      <c r="L37" s="17">
        <v>0</v>
      </c>
      <c r="M37" s="17">
        <v>0</v>
      </c>
      <c r="O37" s="17">
        <v>3000000</v>
      </c>
      <c r="Q37" s="17">
        <v>3011</v>
      </c>
      <c r="S37" s="17">
        <v>9308630400</v>
      </c>
      <c r="U37" s="17">
        <v>8979253650</v>
      </c>
      <c r="W37" s="19">
        <v>7.493012091360501E-3</v>
      </c>
    </row>
    <row r="38" spans="1:23" ht="21">
      <c r="A38" s="16" t="s">
        <v>64</v>
      </c>
      <c r="C38" s="17">
        <v>3506493</v>
      </c>
      <c r="E38" s="17">
        <v>7333139699</v>
      </c>
      <c r="G38" s="17">
        <v>9644736458</v>
      </c>
      <c r="I38" s="17">
        <v>0</v>
      </c>
      <c r="J38" s="17">
        <v>0</v>
      </c>
      <c r="L38" s="17">
        <v>3506493</v>
      </c>
      <c r="M38" s="17">
        <v>7869514143</v>
      </c>
      <c r="O38" s="17">
        <v>0</v>
      </c>
      <c r="Q38" s="17">
        <v>0</v>
      </c>
      <c r="S38" s="17">
        <v>0</v>
      </c>
      <c r="U38" s="17">
        <v>0</v>
      </c>
      <c r="W38" s="19">
        <v>0</v>
      </c>
    </row>
    <row r="39" spans="1:23" ht="21">
      <c r="A39" s="16" t="s">
        <v>65</v>
      </c>
      <c r="C39" s="17">
        <v>10000000</v>
      </c>
      <c r="E39" s="17">
        <v>63076093275</v>
      </c>
      <c r="G39" s="17">
        <v>105468705000</v>
      </c>
      <c r="I39" s="17">
        <v>0</v>
      </c>
      <c r="J39" s="17">
        <v>0</v>
      </c>
      <c r="L39" s="17">
        <v>0</v>
      </c>
      <c r="M39" s="17">
        <v>0</v>
      </c>
      <c r="N39" s="18"/>
      <c r="O39" s="17">
        <v>10000000</v>
      </c>
      <c r="Q39" s="17">
        <v>10170</v>
      </c>
      <c r="S39" s="17">
        <v>63076093275</v>
      </c>
      <c r="U39" s="17">
        <v>100896075000</v>
      </c>
      <c r="W39" s="19">
        <v>8.419580729249318E-2</v>
      </c>
    </row>
    <row r="40" spans="1:23" ht="21">
      <c r="A40" s="16" t="s">
        <v>66</v>
      </c>
      <c r="C40" s="17">
        <v>1092665</v>
      </c>
      <c r="E40" s="17">
        <v>20222828436</v>
      </c>
      <c r="G40" s="17">
        <v>25329336161</v>
      </c>
      <c r="I40" s="17">
        <v>0</v>
      </c>
      <c r="J40" s="17">
        <v>0</v>
      </c>
      <c r="L40" s="17">
        <v>0</v>
      </c>
      <c r="M40" s="17">
        <v>0</v>
      </c>
      <c r="N40" s="18"/>
      <c r="O40" s="17">
        <v>1092665</v>
      </c>
      <c r="Q40" s="17">
        <v>23470</v>
      </c>
      <c r="S40" s="17">
        <v>20222828436</v>
      </c>
      <c r="U40" s="17">
        <v>25231581433</v>
      </c>
      <c r="W40" s="19">
        <v>2.1055262734627853E-2</v>
      </c>
    </row>
    <row r="41" spans="1:23" ht="21">
      <c r="A41" s="16" t="s">
        <v>249</v>
      </c>
      <c r="C41" s="17"/>
      <c r="E41" s="26">
        <f>SUM(E11:E40)</f>
        <v>380963964863</v>
      </c>
      <c r="G41" s="26">
        <f>SUM(G11:G40)</f>
        <v>508281702758</v>
      </c>
      <c r="I41" s="17"/>
      <c r="J41" s="26">
        <f>SUM(J11:J40)</f>
        <v>37052389170</v>
      </c>
      <c r="L41" s="17"/>
      <c r="M41" s="26">
        <f>SUM(M11:M40)</f>
        <v>39910322810</v>
      </c>
      <c r="N41" s="18"/>
      <c r="O41" s="17"/>
      <c r="Q41" s="17"/>
      <c r="S41" s="26">
        <f>SUM(S11:S40)</f>
        <v>386432786414</v>
      </c>
      <c r="U41" s="26">
        <f>SUM(U11:U40)</f>
        <v>493386093228</v>
      </c>
      <c r="W41" s="25">
        <f>SUM(W11:W40)</f>
        <v>0.41172107464260399</v>
      </c>
    </row>
    <row r="42" spans="1:23" ht="20.100000000000001" customHeight="1">
      <c r="A42" s="6" t="s">
        <v>250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ht="20.100000000000001" customHeight="1">
      <c r="A43" s="6" t="s">
        <v>0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ht="20.100000000000001" customHeight="1">
      <c r="A44" s="6" t="s">
        <v>1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6" spans="1:23" ht="21">
      <c r="A46" s="9" t="s">
        <v>2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ht="21">
      <c r="A47" s="9" t="s">
        <v>3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9" spans="1:23" ht="21">
      <c r="C49" s="10" t="s">
        <v>4</v>
      </c>
      <c r="D49" s="11"/>
      <c r="E49" s="11"/>
      <c r="F49" s="11"/>
      <c r="G49" s="11"/>
      <c r="I49" s="10" t="s">
        <v>248</v>
      </c>
      <c r="J49" s="11"/>
      <c r="K49" s="11"/>
      <c r="L49" s="11"/>
      <c r="M49" s="11"/>
      <c r="O49" s="10" t="s">
        <v>5</v>
      </c>
      <c r="P49" s="11"/>
      <c r="Q49" s="11"/>
      <c r="R49" s="11"/>
      <c r="S49" s="11"/>
      <c r="T49" s="11"/>
      <c r="U49" s="11"/>
      <c r="V49" s="11"/>
      <c r="W49" s="11"/>
    </row>
    <row r="50" spans="1:23" ht="21">
      <c r="A50" s="12" t="s">
        <v>6</v>
      </c>
      <c r="C50" s="12" t="s">
        <v>7</v>
      </c>
      <c r="E50" s="12" t="s">
        <v>8</v>
      </c>
      <c r="G50" s="12" t="s">
        <v>9</v>
      </c>
      <c r="I50" s="12" t="s">
        <v>10</v>
      </c>
      <c r="J50" s="7"/>
      <c r="L50" s="12" t="s">
        <v>11</v>
      </c>
      <c r="M50" s="7"/>
      <c r="O50" s="12" t="s">
        <v>7</v>
      </c>
      <c r="Q50" s="13" t="s">
        <v>12</v>
      </c>
      <c r="S50" s="12" t="s">
        <v>8</v>
      </c>
      <c r="U50" s="12" t="s">
        <v>9</v>
      </c>
      <c r="W50" s="13" t="s">
        <v>13</v>
      </c>
    </row>
    <row r="51" spans="1:23" ht="21">
      <c r="A51" s="14"/>
      <c r="C51" s="14"/>
      <c r="E51" s="14"/>
      <c r="G51" s="14"/>
      <c r="I51" s="15" t="s">
        <v>7</v>
      </c>
      <c r="J51" s="15" t="s">
        <v>8</v>
      </c>
      <c r="L51" s="15" t="s">
        <v>7</v>
      </c>
      <c r="M51" s="15" t="s">
        <v>14</v>
      </c>
      <c r="O51" s="14"/>
      <c r="Q51" s="14"/>
      <c r="S51" s="14"/>
      <c r="U51" s="14"/>
      <c r="W51" s="14"/>
    </row>
    <row r="52" spans="1:23" ht="21">
      <c r="A52" s="16" t="s">
        <v>251</v>
      </c>
      <c r="C52" s="23"/>
      <c r="E52" s="23">
        <f>E41</f>
        <v>380963964863</v>
      </c>
      <c r="G52" s="23">
        <f>G41</f>
        <v>508281702758</v>
      </c>
      <c r="I52" s="23"/>
      <c r="J52" s="23">
        <f>J41</f>
        <v>37052389170</v>
      </c>
      <c r="L52" s="23"/>
      <c r="M52" s="23">
        <f>M41</f>
        <v>39910322810</v>
      </c>
      <c r="O52" s="23"/>
      <c r="Q52" s="23"/>
      <c r="S52" s="23">
        <f>S41</f>
        <v>386432786414</v>
      </c>
      <c r="U52" s="23">
        <f>U41</f>
        <v>493386093228</v>
      </c>
      <c r="W52" s="19">
        <f>W41</f>
        <v>0.41172107464260399</v>
      </c>
    </row>
    <row r="53" spans="1:23" ht="21">
      <c r="A53" s="16" t="s">
        <v>67</v>
      </c>
      <c r="C53" s="17">
        <v>3800000</v>
      </c>
      <c r="E53" s="17">
        <v>22878313850</v>
      </c>
      <c r="G53" s="17">
        <v>25081869600</v>
      </c>
      <c r="I53" s="17">
        <v>0</v>
      </c>
      <c r="J53" s="17">
        <v>0</v>
      </c>
      <c r="L53" s="17">
        <v>3800000</v>
      </c>
      <c r="M53" s="17">
        <v>23683463035</v>
      </c>
      <c r="O53" s="17">
        <v>0</v>
      </c>
      <c r="Q53" s="17">
        <v>0</v>
      </c>
      <c r="S53" s="17">
        <v>0</v>
      </c>
      <c r="U53" s="17">
        <v>0</v>
      </c>
      <c r="W53" s="19">
        <v>0</v>
      </c>
    </row>
    <row r="54" spans="1:23" ht="21">
      <c r="A54" s="16" t="s">
        <v>68</v>
      </c>
      <c r="C54" s="17">
        <v>0</v>
      </c>
      <c r="D54" s="17"/>
      <c r="E54" s="17">
        <v>0</v>
      </c>
      <c r="F54" s="17"/>
      <c r="G54" s="17">
        <v>0</v>
      </c>
      <c r="H54" s="18"/>
      <c r="I54" s="17">
        <v>265</v>
      </c>
      <c r="J54" s="17">
        <v>4895823</v>
      </c>
      <c r="L54" s="17">
        <v>265</v>
      </c>
      <c r="M54" s="17">
        <v>5023485</v>
      </c>
      <c r="O54" s="17">
        <v>0</v>
      </c>
      <c r="Q54" s="17">
        <v>0</v>
      </c>
      <c r="S54" s="17">
        <v>0</v>
      </c>
      <c r="U54" s="17">
        <v>0</v>
      </c>
      <c r="W54" s="19">
        <v>0</v>
      </c>
    </row>
    <row r="55" spans="1:23" ht="21">
      <c r="A55" s="16" t="s">
        <v>69</v>
      </c>
      <c r="C55" s="17">
        <v>800000</v>
      </c>
      <c r="E55" s="17">
        <v>3238202253</v>
      </c>
      <c r="G55" s="17">
        <v>3225493440</v>
      </c>
      <c r="I55" s="17">
        <v>0</v>
      </c>
      <c r="J55" s="17">
        <v>0</v>
      </c>
      <c r="L55" s="17">
        <v>800000</v>
      </c>
      <c r="M55" s="17">
        <v>2926501004</v>
      </c>
      <c r="O55" s="17">
        <v>0</v>
      </c>
      <c r="Q55" s="17">
        <v>0</v>
      </c>
      <c r="S55" s="17">
        <v>0</v>
      </c>
      <c r="U55" s="17">
        <v>0</v>
      </c>
      <c r="W55" s="19">
        <v>0</v>
      </c>
    </row>
    <row r="56" spans="1:23" ht="21">
      <c r="A56" s="16" t="s">
        <v>70</v>
      </c>
      <c r="C56" s="17">
        <v>8500000</v>
      </c>
      <c r="E56" s="17">
        <v>27916940097</v>
      </c>
      <c r="G56" s="17">
        <v>23962569300</v>
      </c>
      <c r="I56" s="17">
        <v>0</v>
      </c>
      <c r="J56" s="17">
        <v>0</v>
      </c>
      <c r="L56" s="17">
        <v>0</v>
      </c>
      <c r="M56" s="17">
        <v>0</v>
      </c>
      <c r="N56" s="18"/>
      <c r="O56" s="17">
        <v>8500000</v>
      </c>
      <c r="Q56" s="17">
        <v>2459</v>
      </c>
      <c r="S56" s="17">
        <v>27916940097</v>
      </c>
      <c r="U56" s="17">
        <v>20810933775</v>
      </c>
      <c r="W56" s="19">
        <v>1.7366318458837349E-2</v>
      </c>
    </row>
    <row r="57" spans="1:23" ht="21">
      <c r="A57" s="16" t="s">
        <v>71</v>
      </c>
      <c r="C57" s="17">
        <v>14351672</v>
      </c>
      <c r="E57" s="17">
        <v>65646651603</v>
      </c>
      <c r="G57" s="17">
        <v>81175130649</v>
      </c>
      <c r="I57" s="17">
        <v>0</v>
      </c>
      <c r="J57" s="17">
        <v>0</v>
      </c>
      <c r="L57" s="17">
        <v>0</v>
      </c>
      <c r="M57" s="17">
        <v>0</v>
      </c>
      <c r="N57" s="18"/>
      <c r="O57" s="17">
        <v>14351672</v>
      </c>
      <c r="Q57" s="17">
        <v>5420</v>
      </c>
      <c r="S57" s="17">
        <v>65646651603</v>
      </c>
      <c r="U57" s="17">
        <v>77037909579</v>
      </c>
      <c r="W57" s="19">
        <v>6.4286633440696267E-2</v>
      </c>
    </row>
    <row r="58" spans="1:23" ht="21">
      <c r="A58" s="16" t="s">
        <v>72</v>
      </c>
      <c r="C58" s="17">
        <v>200000</v>
      </c>
      <c r="E58" s="17">
        <v>2542357120</v>
      </c>
      <c r="G58" s="17">
        <v>3435436800</v>
      </c>
      <c r="I58" s="17">
        <v>0</v>
      </c>
      <c r="J58" s="17">
        <v>0</v>
      </c>
      <c r="L58" s="17">
        <v>0</v>
      </c>
      <c r="M58" s="17">
        <v>0</v>
      </c>
      <c r="N58" s="18"/>
      <c r="O58" s="17">
        <v>200000</v>
      </c>
      <c r="Q58" s="17">
        <v>15760</v>
      </c>
      <c r="S58" s="17">
        <v>2542357120</v>
      </c>
      <c r="U58" s="17">
        <v>3157102800</v>
      </c>
      <c r="W58" s="19">
        <v>2.6345407286793923E-3</v>
      </c>
    </row>
    <row r="59" spans="1:23" ht="21">
      <c r="A59" s="16" t="s">
        <v>73</v>
      </c>
      <c r="C59" s="17">
        <v>1341844</v>
      </c>
      <c r="E59" s="17">
        <v>11432747846</v>
      </c>
      <c r="G59" s="17">
        <v>15766225533</v>
      </c>
      <c r="I59" s="17">
        <v>0</v>
      </c>
      <c r="J59" s="17">
        <v>0</v>
      </c>
      <c r="L59" s="17">
        <v>0</v>
      </c>
      <c r="M59" s="17">
        <v>0</v>
      </c>
      <c r="N59" s="18"/>
      <c r="O59" s="17">
        <v>1341844</v>
      </c>
      <c r="Q59" s="17">
        <v>10950</v>
      </c>
      <c r="S59" s="17">
        <v>11432747846</v>
      </c>
      <c r="U59" s="17">
        <v>14659121710</v>
      </c>
      <c r="W59" s="19">
        <v>1.2232751240049359E-2</v>
      </c>
    </row>
    <row r="60" spans="1:23" ht="21">
      <c r="A60" s="16" t="s">
        <v>74</v>
      </c>
      <c r="C60" s="17">
        <v>1250000</v>
      </c>
      <c r="E60" s="17">
        <v>8819935931</v>
      </c>
      <c r="G60" s="17">
        <v>11717364375</v>
      </c>
      <c r="I60" s="17">
        <v>0</v>
      </c>
      <c r="J60" s="17">
        <v>0</v>
      </c>
      <c r="L60" s="17">
        <v>0</v>
      </c>
      <c r="M60" s="17">
        <v>0</v>
      </c>
      <c r="N60" s="18"/>
      <c r="O60" s="17">
        <v>1250000</v>
      </c>
      <c r="Q60" s="17">
        <v>8350</v>
      </c>
      <c r="S60" s="17">
        <v>8819935931</v>
      </c>
      <c r="U60" s="17">
        <v>10661186250</v>
      </c>
      <c r="W60" s="19">
        <v>8.8965520513496488E-3</v>
      </c>
    </row>
    <row r="61" spans="1:23" ht="21">
      <c r="A61" s="16" t="s">
        <v>75</v>
      </c>
      <c r="C61" s="17">
        <v>1600000</v>
      </c>
      <c r="E61" s="17">
        <v>25743868160</v>
      </c>
      <c r="G61" s="17">
        <v>27578923200</v>
      </c>
      <c r="I61" s="17">
        <v>0</v>
      </c>
      <c r="J61" s="17">
        <v>0</v>
      </c>
      <c r="L61" s="17">
        <v>800000</v>
      </c>
      <c r="M61" s="17">
        <v>14622475665</v>
      </c>
      <c r="O61" s="17">
        <v>800000</v>
      </c>
      <c r="Q61" s="17">
        <v>15190</v>
      </c>
      <c r="S61" s="17">
        <v>12871934080</v>
      </c>
      <c r="U61" s="17">
        <v>11968362000</v>
      </c>
      <c r="W61" s="19">
        <v>9.9873647271095361E-3</v>
      </c>
    </row>
    <row r="62" spans="1:23" ht="21">
      <c r="A62" s="16" t="s">
        <v>76</v>
      </c>
      <c r="C62" s="17">
        <v>1000000</v>
      </c>
      <c r="E62" s="17">
        <v>6135688610</v>
      </c>
      <c r="G62" s="17">
        <v>6014002500</v>
      </c>
      <c r="I62" s="17">
        <v>621626</v>
      </c>
      <c r="J62" s="17">
        <v>3754128380</v>
      </c>
      <c r="L62" s="17">
        <v>0</v>
      </c>
      <c r="M62" s="17">
        <v>0</v>
      </c>
      <c r="O62" s="17">
        <v>1621626</v>
      </c>
      <c r="Q62" s="17">
        <v>5740</v>
      </c>
      <c r="S62" s="17">
        <v>9889816990</v>
      </c>
      <c r="U62" s="17">
        <v>9365588260</v>
      </c>
      <c r="W62" s="19">
        <v>7.81540079056392E-3</v>
      </c>
    </row>
    <row r="63" spans="1:23" ht="21">
      <c r="A63" s="16" t="s">
        <v>77</v>
      </c>
      <c r="C63" s="17">
        <v>12320000</v>
      </c>
      <c r="E63" s="17">
        <v>67389428873</v>
      </c>
      <c r="G63" s="17">
        <v>100912775040</v>
      </c>
      <c r="I63" s="17">
        <v>0</v>
      </c>
      <c r="J63" s="17">
        <v>0</v>
      </c>
      <c r="L63" s="17">
        <v>0</v>
      </c>
      <c r="M63" s="17">
        <v>0</v>
      </c>
      <c r="N63" s="18"/>
      <c r="O63" s="17">
        <v>12320000</v>
      </c>
      <c r="Q63" s="17">
        <v>8310</v>
      </c>
      <c r="S63" s="17">
        <v>67389428873</v>
      </c>
      <c r="U63" s="17">
        <v>102259911600</v>
      </c>
      <c r="W63" s="19">
        <v>8.5333902342791701E-2</v>
      </c>
    </row>
    <row r="64" spans="1:23" ht="21">
      <c r="A64" s="16" t="s">
        <v>78</v>
      </c>
      <c r="C64" s="17">
        <v>450000</v>
      </c>
      <c r="E64" s="17">
        <v>2492260920</v>
      </c>
      <c r="G64" s="17">
        <v>4034848950</v>
      </c>
      <c r="I64" s="17">
        <v>0</v>
      </c>
      <c r="J64" s="17">
        <v>0</v>
      </c>
      <c r="L64" s="17">
        <v>450000</v>
      </c>
      <c r="M64" s="17">
        <v>5159086050</v>
      </c>
      <c r="O64" s="17">
        <v>0</v>
      </c>
      <c r="Q64" s="17">
        <v>0</v>
      </c>
      <c r="S64" s="17">
        <v>0</v>
      </c>
      <c r="U64" s="17">
        <v>0</v>
      </c>
      <c r="W64" s="19">
        <v>0</v>
      </c>
    </row>
    <row r="65" spans="1:23" ht="21">
      <c r="A65" s="16" t="s">
        <v>79</v>
      </c>
      <c r="C65" s="17">
        <v>10000000</v>
      </c>
      <c r="E65" s="17">
        <v>37019592698</v>
      </c>
      <c r="G65" s="17">
        <v>47495709000</v>
      </c>
      <c r="I65" s="17">
        <v>0</v>
      </c>
      <c r="J65" s="17">
        <v>0</v>
      </c>
      <c r="L65" s="17">
        <v>0</v>
      </c>
      <c r="M65" s="17">
        <v>0</v>
      </c>
      <c r="N65" s="18"/>
      <c r="O65" s="17">
        <v>10000000</v>
      </c>
      <c r="Q65" s="17">
        <v>4840</v>
      </c>
      <c r="S65" s="17">
        <v>37019592698</v>
      </c>
      <c r="U65" s="17">
        <v>48410235000</v>
      </c>
      <c r="W65" s="19">
        <v>4.039739719354106E-2</v>
      </c>
    </row>
    <row r="66" spans="1:23" ht="21">
      <c r="A66" s="16" t="s">
        <v>80</v>
      </c>
      <c r="C66" s="17">
        <v>500000</v>
      </c>
      <c r="E66" s="17">
        <v>8492517918</v>
      </c>
      <c r="G66" s="17">
        <v>8379841500</v>
      </c>
      <c r="I66" s="17">
        <v>100000</v>
      </c>
      <c r="J66" s="17">
        <v>1671549751</v>
      </c>
      <c r="L66" s="17">
        <v>0</v>
      </c>
      <c r="M66" s="17">
        <v>0</v>
      </c>
      <c r="O66" s="17">
        <v>600000</v>
      </c>
      <c r="Q66" s="17">
        <v>14790</v>
      </c>
      <c r="S66" s="17">
        <v>10164067669</v>
      </c>
      <c r="U66" s="17">
        <v>8636306400</v>
      </c>
      <c r="W66" s="19">
        <v>7.2068292981003028E-3</v>
      </c>
    </row>
    <row r="67" spans="1:23" ht="21">
      <c r="A67" s="16" t="s">
        <v>81</v>
      </c>
      <c r="C67" s="17">
        <v>650000</v>
      </c>
      <c r="E67" s="17">
        <v>10326401749</v>
      </c>
      <c r="G67" s="17">
        <v>12102061725</v>
      </c>
      <c r="I67" s="17">
        <v>0</v>
      </c>
      <c r="J67" s="17">
        <v>0</v>
      </c>
      <c r="L67" s="17">
        <v>0</v>
      </c>
      <c r="M67" s="17">
        <v>0</v>
      </c>
      <c r="N67" s="18"/>
      <c r="O67" s="17">
        <v>650000</v>
      </c>
      <c r="Q67" s="17">
        <v>19710</v>
      </c>
      <c r="S67" s="17">
        <v>10326401749</v>
      </c>
      <c r="U67" s="17">
        <v>12728810250</v>
      </c>
      <c r="W67" s="19">
        <v>1.0621943964338671E-2</v>
      </c>
    </row>
    <row r="68" spans="1:23" ht="21">
      <c r="A68" s="16" t="s">
        <v>82</v>
      </c>
      <c r="C68" s="17">
        <v>4688661</v>
      </c>
      <c r="E68" s="17">
        <v>12347277052</v>
      </c>
      <c r="G68" s="17">
        <v>14136095596</v>
      </c>
      <c r="I68" s="17">
        <v>0</v>
      </c>
      <c r="J68" s="17">
        <v>0</v>
      </c>
      <c r="L68" s="17">
        <v>0</v>
      </c>
      <c r="M68" s="17">
        <v>0</v>
      </c>
      <c r="N68" s="18"/>
      <c r="O68" s="17">
        <v>4688661</v>
      </c>
      <c r="Q68" s="17">
        <v>3191</v>
      </c>
      <c r="S68" s="17">
        <v>12347277052</v>
      </c>
      <c r="U68" s="17">
        <v>14583528888</v>
      </c>
      <c r="W68" s="19">
        <v>1.2169670504016687E-2</v>
      </c>
    </row>
    <row r="69" spans="1:23" ht="21">
      <c r="A69" s="16" t="s">
        <v>83</v>
      </c>
      <c r="C69" s="17">
        <v>607000</v>
      </c>
      <c r="E69" s="17">
        <v>21314456002</v>
      </c>
      <c r="G69" s="17">
        <v>37126485175</v>
      </c>
      <c r="I69" s="17">
        <v>0</v>
      </c>
      <c r="J69" s="17">
        <v>0</v>
      </c>
      <c r="L69" s="17">
        <v>0</v>
      </c>
      <c r="M69" s="17">
        <v>0</v>
      </c>
      <c r="N69" s="18"/>
      <c r="O69" s="17">
        <v>607000</v>
      </c>
      <c r="Q69" s="17">
        <v>54660</v>
      </c>
      <c r="S69" s="17">
        <v>21314456002</v>
      </c>
      <c r="U69" s="17">
        <v>33077749347</v>
      </c>
      <c r="W69" s="19">
        <v>2.7602736872464107E-2</v>
      </c>
    </row>
    <row r="70" spans="1:23" ht="21">
      <c r="A70" s="16" t="s">
        <v>84</v>
      </c>
      <c r="C70" s="17">
        <v>0</v>
      </c>
      <c r="D70" s="17"/>
      <c r="E70" s="17">
        <v>0</v>
      </c>
      <c r="F70" s="17"/>
      <c r="G70" s="17">
        <v>0</v>
      </c>
      <c r="H70" s="18"/>
      <c r="I70" s="17">
        <v>2400000</v>
      </c>
      <c r="J70" s="17">
        <v>12743349120</v>
      </c>
      <c r="L70" s="17">
        <v>0</v>
      </c>
      <c r="M70" s="17">
        <v>0</v>
      </c>
      <c r="O70" s="17">
        <v>2400000</v>
      </c>
      <c r="Q70" s="17">
        <v>4990</v>
      </c>
      <c r="S70" s="17">
        <v>12743349120</v>
      </c>
      <c r="U70" s="17">
        <v>12095600400</v>
      </c>
      <c r="W70" s="19">
        <v>1.0093542690985783E-2</v>
      </c>
    </row>
    <row r="71" spans="1:23" ht="21">
      <c r="A71" s="16" t="s">
        <v>85</v>
      </c>
      <c r="C71" s="17">
        <v>200000</v>
      </c>
      <c r="E71" s="17">
        <v>11554712809</v>
      </c>
      <c r="G71" s="17">
        <v>12362005800</v>
      </c>
      <c r="I71" s="17">
        <v>100000</v>
      </c>
      <c r="J71" s="17">
        <v>6979470938</v>
      </c>
      <c r="L71" s="17">
        <v>0</v>
      </c>
      <c r="M71" s="17">
        <v>0</v>
      </c>
      <c r="O71" s="17">
        <v>300000</v>
      </c>
      <c r="Q71" s="17">
        <v>73550</v>
      </c>
      <c r="S71" s="17">
        <v>18534183747</v>
      </c>
      <c r="U71" s="17">
        <v>21969499050</v>
      </c>
      <c r="W71" s="19">
        <v>1.8333118590851152E-2</v>
      </c>
    </row>
    <row r="72" spans="1:23" ht="21">
      <c r="A72" s="16" t="s">
        <v>86</v>
      </c>
      <c r="C72" s="17">
        <v>285000</v>
      </c>
      <c r="E72" s="17">
        <v>12204019862</v>
      </c>
      <c r="G72" s="17">
        <v>14533508025</v>
      </c>
      <c r="I72" s="17">
        <v>0</v>
      </c>
      <c r="J72" s="17">
        <v>0</v>
      </c>
      <c r="L72" s="17">
        <v>0</v>
      </c>
      <c r="M72" s="17">
        <v>0</v>
      </c>
      <c r="N72" s="18"/>
      <c r="O72" s="17">
        <v>285000</v>
      </c>
      <c r="Q72" s="17">
        <v>66080</v>
      </c>
      <c r="S72" s="17">
        <v>12204019862</v>
      </c>
      <c r="U72" s="17">
        <v>18445939717</v>
      </c>
      <c r="W72" s="19">
        <v>1.5392777030637496E-2</v>
      </c>
    </row>
    <row r="73" spans="1:23" ht="21">
      <c r="A73" s="16" t="s">
        <v>87</v>
      </c>
      <c r="C73" s="17">
        <v>100000</v>
      </c>
      <c r="E73" s="17">
        <v>3261023424</v>
      </c>
      <c r="G73" s="17">
        <v>3851943750</v>
      </c>
      <c r="I73" s="17">
        <v>0</v>
      </c>
      <c r="J73" s="17">
        <v>0</v>
      </c>
      <c r="L73" s="17">
        <v>0</v>
      </c>
      <c r="M73" s="17">
        <v>0</v>
      </c>
      <c r="N73" s="18"/>
      <c r="O73" s="17">
        <v>100000</v>
      </c>
      <c r="Q73" s="17">
        <v>36520</v>
      </c>
      <c r="S73" s="17">
        <v>3261023424</v>
      </c>
      <c r="U73" s="17">
        <v>3695877900</v>
      </c>
      <c r="W73" s="19">
        <v>3.0841380444678783E-3</v>
      </c>
    </row>
    <row r="74" spans="1:23" ht="21">
      <c r="A74" s="16" t="s">
        <v>88</v>
      </c>
      <c r="C74" s="17">
        <v>113500</v>
      </c>
      <c r="E74" s="17">
        <v>17986494619</v>
      </c>
      <c r="G74" s="17">
        <v>24609318111</v>
      </c>
      <c r="I74" s="17">
        <v>25235</v>
      </c>
      <c r="J74" s="17">
        <v>6207003631</v>
      </c>
      <c r="L74" s="17">
        <v>0</v>
      </c>
      <c r="M74" s="17">
        <v>0</v>
      </c>
      <c r="O74" s="17">
        <v>138735</v>
      </c>
      <c r="Q74" s="17">
        <v>264820</v>
      </c>
      <c r="S74" s="17">
        <v>24193498250</v>
      </c>
      <c r="U74" s="17">
        <v>36558436446</v>
      </c>
      <c r="W74" s="19">
        <v>3.0507302389337496E-2</v>
      </c>
    </row>
    <row r="75" spans="1:23" ht="21">
      <c r="A75" s="16" t="s">
        <v>89</v>
      </c>
      <c r="C75" s="17">
        <v>3000000</v>
      </c>
      <c r="E75" s="17">
        <v>6520206627</v>
      </c>
      <c r="G75" s="17">
        <v>8499127500</v>
      </c>
      <c r="I75" s="17">
        <v>800000</v>
      </c>
      <c r="J75" s="17">
        <v>2463083611</v>
      </c>
      <c r="L75" s="17">
        <v>0</v>
      </c>
      <c r="M75" s="17">
        <v>0</v>
      </c>
      <c r="O75" s="17">
        <v>3800000</v>
      </c>
      <c r="Q75" s="17">
        <v>3226</v>
      </c>
      <c r="S75" s="17">
        <v>8983290238</v>
      </c>
      <c r="U75" s="17">
        <v>12185860140</v>
      </c>
      <c r="W75" s="19">
        <v>1.0168862684110496E-2</v>
      </c>
    </row>
    <row r="76" spans="1:23" ht="21">
      <c r="A76" s="16" t="s">
        <v>90</v>
      </c>
      <c r="C76" s="17">
        <v>128000</v>
      </c>
      <c r="E76" s="17">
        <v>17760573980</v>
      </c>
      <c r="G76" s="17">
        <v>26592825600</v>
      </c>
      <c r="I76" s="17">
        <v>0</v>
      </c>
      <c r="J76" s="17">
        <v>0</v>
      </c>
      <c r="L76" s="17">
        <v>0</v>
      </c>
      <c r="M76" s="17">
        <v>0</v>
      </c>
      <c r="N76" s="18"/>
      <c r="O76" s="17">
        <v>128000</v>
      </c>
      <c r="Q76" s="17">
        <v>244250</v>
      </c>
      <c r="S76" s="17">
        <v>17760573980</v>
      </c>
      <c r="U76" s="17">
        <v>31077979200</v>
      </c>
      <c r="W76" s="19">
        <v>2.5933967676773466E-2</v>
      </c>
    </row>
    <row r="77" spans="1:23" ht="21">
      <c r="A77" s="16" t="s">
        <v>91</v>
      </c>
      <c r="C77" s="17">
        <v>1218099</v>
      </c>
      <c r="E77" s="17">
        <v>13852230236</v>
      </c>
      <c r="G77" s="17">
        <v>23417864354</v>
      </c>
      <c r="I77" s="17">
        <v>0</v>
      </c>
      <c r="J77" s="17">
        <v>0</v>
      </c>
      <c r="L77" s="17">
        <v>0</v>
      </c>
      <c r="M77" s="17">
        <v>0</v>
      </c>
      <c r="N77" s="18"/>
      <c r="O77" s="17">
        <v>1218099</v>
      </c>
      <c r="Q77" s="17">
        <v>17970</v>
      </c>
      <c r="S77" s="17">
        <v>13852230236</v>
      </c>
      <c r="U77" s="17">
        <v>21758998058</v>
      </c>
      <c r="W77" s="19">
        <v>1.8157459617424179E-2</v>
      </c>
    </row>
    <row r="78" spans="1:23" ht="21">
      <c r="A78" s="16" t="s">
        <v>92</v>
      </c>
      <c r="C78" s="17">
        <v>560000</v>
      </c>
      <c r="E78" s="17">
        <v>17515657869</v>
      </c>
      <c r="G78" s="17">
        <v>21515218200</v>
      </c>
      <c r="I78" s="17">
        <v>0</v>
      </c>
      <c r="J78" s="17">
        <v>0</v>
      </c>
      <c r="L78" s="17">
        <v>0</v>
      </c>
      <c r="M78" s="17">
        <v>0</v>
      </c>
      <c r="N78" s="18"/>
      <c r="O78" s="17">
        <v>560000</v>
      </c>
      <c r="Q78" s="17">
        <v>36650</v>
      </c>
      <c r="S78" s="17">
        <v>17515657869</v>
      </c>
      <c r="U78" s="17">
        <v>20318382000</v>
      </c>
      <c r="W78" s="19">
        <v>1.6955293606488283E-2</v>
      </c>
    </row>
    <row r="79" spans="1:23" ht="21">
      <c r="A79" s="16" t="s">
        <v>93</v>
      </c>
      <c r="C79" s="17">
        <v>3600000</v>
      </c>
      <c r="E79" s="17">
        <v>18948298801</v>
      </c>
      <c r="G79" s="17">
        <v>21936695400</v>
      </c>
      <c r="I79" s="17">
        <v>0</v>
      </c>
      <c r="J79" s="17">
        <v>0</v>
      </c>
      <c r="L79" s="17">
        <v>0</v>
      </c>
      <c r="M79" s="17">
        <v>0</v>
      </c>
      <c r="N79" s="18"/>
      <c r="O79" s="17">
        <v>3600000</v>
      </c>
      <c r="Q79" s="17">
        <v>7000</v>
      </c>
      <c r="S79" s="17">
        <v>18948298801</v>
      </c>
      <c r="U79" s="17">
        <v>24727987800</v>
      </c>
      <c r="W79" s="19">
        <v>2.0635023667074485E-2</v>
      </c>
    </row>
    <row r="80" spans="1:23" ht="21">
      <c r="A80" s="16" t="s">
        <v>94</v>
      </c>
      <c r="C80" s="17">
        <v>5200000</v>
      </c>
      <c r="E80" s="17">
        <v>19037612373</v>
      </c>
      <c r="G80" s="17">
        <v>19275424740</v>
      </c>
      <c r="I80" s="17">
        <v>800000</v>
      </c>
      <c r="J80" s="17">
        <v>2612021688</v>
      </c>
      <c r="L80" s="17">
        <v>0</v>
      </c>
      <c r="M80" s="17">
        <v>0</v>
      </c>
      <c r="O80" s="17">
        <v>6000000</v>
      </c>
      <c r="Q80" s="17">
        <v>3339</v>
      </c>
      <c r="S80" s="17">
        <v>21649634061</v>
      </c>
      <c r="U80" s="17">
        <v>20028119400</v>
      </c>
      <c r="W80" s="19">
        <v>1.6713075126395593E-2</v>
      </c>
    </row>
    <row r="81" spans="1:23" ht="21">
      <c r="A81" s="16" t="s">
        <v>95</v>
      </c>
      <c r="C81" s="17">
        <v>6286264</v>
      </c>
      <c r="E81" s="17">
        <v>16102955538</v>
      </c>
      <c r="G81" s="17">
        <v>21752284198</v>
      </c>
      <c r="I81" s="17">
        <v>0</v>
      </c>
      <c r="J81" s="17">
        <v>0</v>
      </c>
      <c r="L81" s="17">
        <v>0</v>
      </c>
      <c r="M81" s="17">
        <v>0</v>
      </c>
      <c r="N81" s="18"/>
      <c r="O81" s="17">
        <v>6286264</v>
      </c>
      <c r="Q81" s="17">
        <v>2845</v>
      </c>
      <c r="S81" s="17">
        <v>16102955538</v>
      </c>
      <c r="U81" s="17">
        <v>17809253078</v>
      </c>
      <c r="W81" s="19">
        <v>1.4861474444655345E-2</v>
      </c>
    </row>
    <row r="82" spans="1:23" ht="21.75" thickBot="1">
      <c r="A82" s="20" t="s">
        <v>96</v>
      </c>
      <c r="C82" s="23"/>
      <c r="E82" s="20">
        <f>SUM(E52:E81)</f>
        <v>869444391683</v>
      </c>
      <c r="G82" s="20">
        <f>SUM(G52:G81)</f>
        <v>1128772750819</v>
      </c>
      <c r="I82" s="23"/>
      <c r="J82" s="20">
        <f>SUM(J52:J81)</f>
        <v>73487892112</v>
      </c>
      <c r="L82" s="23"/>
      <c r="M82" s="20">
        <f>SUM(M52:M81)</f>
        <v>86306872049</v>
      </c>
      <c r="O82" s="23"/>
      <c r="Q82" s="23"/>
      <c r="S82" s="20">
        <f>SUM(S52:S81)</f>
        <v>869863109250</v>
      </c>
      <c r="U82" s="20">
        <f>SUM(U52:U81)</f>
        <v>1101414772276</v>
      </c>
      <c r="W82" s="27">
        <f>SUM(W52:W81)</f>
        <v>0.91910915182434383</v>
      </c>
    </row>
    <row r="83" spans="1:23" ht="21.75" thickTop="1">
      <c r="C83" s="23"/>
      <c r="E83" s="22"/>
      <c r="G83" s="22"/>
      <c r="I83" s="23"/>
      <c r="J83" s="22"/>
      <c r="L83" s="23"/>
      <c r="M83" s="22"/>
      <c r="O83" s="23"/>
      <c r="Q83" s="23"/>
      <c r="S83" s="22"/>
      <c r="U83" s="22"/>
      <c r="W83" s="22"/>
    </row>
  </sheetData>
  <mergeCells count="38">
    <mergeCell ref="C49:G49"/>
    <mergeCell ref="I49:M49"/>
    <mergeCell ref="O49:W49"/>
    <mergeCell ref="A50:A51"/>
    <mergeCell ref="C50:C51"/>
    <mergeCell ref="E50:E51"/>
    <mergeCell ref="G50:G51"/>
    <mergeCell ref="I50:J50"/>
    <mergeCell ref="L50:M50"/>
    <mergeCell ref="O50:O51"/>
    <mergeCell ref="Q50:Q51"/>
    <mergeCell ref="S50:S51"/>
    <mergeCell ref="U50:U51"/>
    <mergeCell ref="W50:W51"/>
    <mergeCell ref="A42:W42"/>
    <mergeCell ref="A43:W43"/>
    <mergeCell ref="A44:W44"/>
    <mergeCell ref="A46:W46"/>
    <mergeCell ref="A47:W47"/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  <mergeCell ref="A1:W1"/>
    <mergeCell ref="A2:W2"/>
    <mergeCell ref="A3:W3"/>
    <mergeCell ref="A5:W5"/>
    <mergeCell ref="A6:W6"/>
  </mergeCells>
  <pageMargins left="0.7" right="0.7" top="0.75" bottom="0.75" header="0.3" footer="0.3"/>
  <pageSetup paperSize="9" scale="58" fitToHeight="0" orientation="landscape" r:id="rId1"/>
  <rowBreaks count="1" manualBreakCount="1">
    <brk id="41" max="2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37"/>
  <sheetViews>
    <sheetView rightToLeft="1" view="pageBreakPreview" zoomScale="60" zoomScaleNormal="100" workbookViewId="0">
      <selection activeCell="A2" sqref="A2:W2"/>
    </sheetView>
  </sheetViews>
  <sheetFormatPr defaultRowHeight="19.5"/>
  <cols>
    <col min="1" max="1" width="17" style="8" customWidth="1"/>
    <col min="2" max="2" width="1.42578125" style="8" customWidth="1"/>
    <col min="3" max="3" width="12.7109375" style="8" customWidth="1"/>
    <col min="4" max="4" width="1.42578125" style="8" customWidth="1"/>
    <col min="5" max="5" width="17" style="8" customWidth="1"/>
    <col min="6" max="6" width="1.42578125" style="8" customWidth="1"/>
    <col min="7" max="7" width="17" style="8" customWidth="1"/>
    <col min="8" max="8" width="1.42578125" style="8" customWidth="1"/>
    <col min="9" max="9" width="14.28515625" style="8" bestFit="1" customWidth="1"/>
    <col min="10" max="10" width="17" style="8" customWidth="1"/>
    <col min="11" max="11" width="1.42578125" style="8" customWidth="1"/>
    <col min="12" max="12" width="11.42578125" style="8" customWidth="1"/>
    <col min="13" max="13" width="17" style="8" customWidth="1"/>
    <col min="14" max="14" width="1.42578125" style="8" customWidth="1"/>
    <col min="15" max="15" width="12.7109375" style="8" customWidth="1"/>
    <col min="16" max="16" width="1.42578125" style="8" customWidth="1"/>
    <col min="17" max="17" width="14.28515625" style="8" bestFit="1" customWidth="1"/>
    <col min="18" max="18" width="1.42578125" style="8" customWidth="1"/>
    <col min="19" max="19" width="17" style="8" customWidth="1"/>
    <col min="20" max="20" width="1.42578125" style="8" customWidth="1"/>
    <col min="21" max="21" width="17" style="8" customWidth="1"/>
    <col min="22" max="22" width="1.42578125" style="8" customWidth="1"/>
    <col min="23" max="23" width="9.28515625" style="8" bestFit="1" customWidth="1"/>
    <col min="24" max="24" width="10.140625" style="8" bestFit="1" customWidth="1"/>
    <col min="25" max="16384" width="9.140625" style="8"/>
  </cols>
  <sheetData>
    <row r="1" spans="1:24" ht="20.100000000000001" customHeight="1">
      <c r="A1" s="6" t="s">
        <v>250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4" ht="20.100000000000001" customHeight="1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4" ht="20.100000000000001" customHeight="1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5" spans="1:24" ht="21">
      <c r="A5" s="9" t="s">
        <v>100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7" spans="1:24" ht="21">
      <c r="A7" s="10" t="s">
        <v>97</v>
      </c>
      <c r="B7" s="11"/>
      <c r="C7" s="11"/>
      <c r="D7" s="11"/>
      <c r="E7" s="11"/>
      <c r="F7" s="11"/>
      <c r="G7" s="11"/>
      <c r="I7" s="10" t="s">
        <v>4</v>
      </c>
      <c r="J7" s="11"/>
      <c r="K7" s="11"/>
      <c r="L7" s="11"/>
      <c r="M7" s="11"/>
      <c r="N7" s="11"/>
      <c r="O7" s="11"/>
      <c r="Q7" s="10" t="s">
        <v>5</v>
      </c>
      <c r="R7" s="11"/>
      <c r="S7" s="11"/>
      <c r="T7" s="11"/>
      <c r="U7" s="11"/>
      <c r="V7" s="11"/>
      <c r="W7" s="11"/>
      <c r="X7" s="11"/>
    </row>
    <row r="8" spans="1:24">
      <c r="A8" s="12"/>
      <c r="B8" s="7"/>
      <c r="C8" s="7"/>
      <c r="D8" s="7"/>
      <c r="E8" s="7"/>
      <c r="F8" s="7"/>
      <c r="G8" s="7"/>
      <c r="I8" s="12" t="s">
        <v>101</v>
      </c>
      <c r="J8" s="12" t="s">
        <v>102</v>
      </c>
      <c r="L8" s="12" t="s">
        <v>103</v>
      </c>
      <c r="M8" s="12" t="s">
        <v>98</v>
      </c>
      <c r="O8" s="12" t="s">
        <v>99</v>
      </c>
      <c r="Q8" s="12" t="s">
        <v>101</v>
      </c>
      <c r="S8" s="12" t="s">
        <v>102</v>
      </c>
      <c r="U8" s="12" t="s">
        <v>103</v>
      </c>
      <c r="W8" s="12" t="s">
        <v>98</v>
      </c>
      <c r="X8" s="12" t="s">
        <v>99</v>
      </c>
    </row>
    <row r="9" spans="1:24">
      <c r="A9" s="7"/>
      <c r="B9" s="7"/>
      <c r="C9" s="7"/>
      <c r="D9" s="7"/>
      <c r="E9" s="7"/>
      <c r="F9" s="7"/>
      <c r="G9" s="7"/>
      <c r="I9" s="7"/>
      <c r="J9" s="7"/>
      <c r="L9" s="7"/>
      <c r="M9" s="7"/>
      <c r="O9" s="7"/>
      <c r="Q9" s="7"/>
      <c r="S9" s="7"/>
      <c r="U9" s="7"/>
      <c r="W9" s="7"/>
      <c r="X9" s="7"/>
    </row>
    <row r="10" spans="1:24">
      <c r="A10" s="12" t="s">
        <v>16</v>
      </c>
      <c r="B10" s="7"/>
      <c r="C10" s="7"/>
      <c r="D10" s="7"/>
      <c r="E10" s="7"/>
      <c r="F10" s="7"/>
      <c r="G10" s="7"/>
      <c r="I10" s="12"/>
      <c r="J10" s="12"/>
      <c r="L10" s="12"/>
      <c r="M10" s="12"/>
      <c r="O10" s="12"/>
      <c r="Q10" s="12" t="s">
        <v>104</v>
      </c>
      <c r="S10" s="12" t="s">
        <v>105</v>
      </c>
      <c r="U10" s="12" t="s">
        <v>106</v>
      </c>
      <c r="W10" s="12" t="s">
        <v>107</v>
      </c>
      <c r="X10" s="12" t="s">
        <v>108</v>
      </c>
    </row>
    <row r="11" spans="1:24">
      <c r="A11" s="7"/>
      <c r="B11" s="7"/>
      <c r="C11" s="7"/>
      <c r="D11" s="7"/>
      <c r="E11" s="7"/>
      <c r="F11" s="7"/>
      <c r="G11" s="7"/>
      <c r="I11" s="7"/>
      <c r="J11" s="7"/>
      <c r="L11" s="7"/>
      <c r="M11" s="7"/>
      <c r="O11" s="7"/>
      <c r="Q11" s="7"/>
      <c r="S11" s="7"/>
      <c r="U11" s="7"/>
      <c r="W11" s="7"/>
      <c r="X11" s="7"/>
    </row>
    <row r="12" spans="1:24">
      <c r="A12" s="12" t="s">
        <v>17</v>
      </c>
      <c r="B12" s="7"/>
      <c r="C12" s="7"/>
      <c r="D12" s="7"/>
      <c r="E12" s="7"/>
      <c r="F12" s="7"/>
      <c r="G12" s="7"/>
      <c r="I12" s="12"/>
      <c r="J12" s="12"/>
      <c r="L12" s="12"/>
      <c r="M12" s="12"/>
      <c r="O12" s="12"/>
      <c r="Q12" s="12" t="s">
        <v>104</v>
      </c>
      <c r="S12" s="12" t="s">
        <v>105</v>
      </c>
      <c r="U12" s="12" t="s">
        <v>109</v>
      </c>
      <c r="W12" s="12" t="s">
        <v>107</v>
      </c>
      <c r="X12" s="12" t="s">
        <v>110</v>
      </c>
    </row>
    <row r="13" spans="1:24">
      <c r="A13" s="7"/>
      <c r="B13" s="7"/>
      <c r="C13" s="7"/>
      <c r="D13" s="7"/>
      <c r="E13" s="7"/>
      <c r="F13" s="7"/>
      <c r="G13" s="7"/>
      <c r="I13" s="7"/>
      <c r="J13" s="7"/>
      <c r="L13" s="7"/>
      <c r="M13" s="7"/>
      <c r="O13" s="7"/>
      <c r="Q13" s="7"/>
      <c r="S13" s="7"/>
      <c r="U13" s="7"/>
      <c r="W13" s="7"/>
      <c r="X13" s="7"/>
    </row>
    <row r="14" spans="1:24">
      <c r="A14" s="12" t="s">
        <v>19</v>
      </c>
      <c r="B14" s="7"/>
      <c r="C14" s="7"/>
      <c r="D14" s="7"/>
      <c r="E14" s="7"/>
      <c r="F14" s="7"/>
      <c r="G14" s="7"/>
      <c r="I14" s="12"/>
      <c r="J14" s="12"/>
      <c r="L14" s="12"/>
      <c r="M14" s="12"/>
      <c r="O14" s="12"/>
      <c r="Q14" s="12" t="s">
        <v>104</v>
      </c>
      <c r="S14" s="12" t="s">
        <v>105</v>
      </c>
      <c r="U14" s="12" t="s">
        <v>111</v>
      </c>
      <c r="W14" s="12" t="s">
        <v>112</v>
      </c>
      <c r="X14" s="12" t="s">
        <v>113</v>
      </c>
    </row>
    <row r="15" spans="1:24">
      <c r="A15" s="7"/>
      <c r="B15" s="7"/>
      <c r="C15" s="7"/>
      <c r="D15" s="7"/>
      <c r="E15" s="7"/>
      <c r="F15" s="7"/>
      <c r="G15" s="7"/>
      <c r="I15" s="7"/>
      <c r="J15" s="7"/>
      <c r="L15" s="7"/>
      <c r="M15" s="7"/>
      <c r="O15" s="7"/>
      <c r="Q15" s="7"/>
      <c r="S15" s="7"/>
      <c r="U15" s="7"/>
      <c r="W15" s="7"/>
      <c r="X15" s="7"/>
    </row>
    <row r="16" spans="1:24">
      <c r="A16" s="12" t="s">
        <v>20</v>
      </c>
      <c r="B16" s="7"/>
      <c r="C16" s="7"/>
      <c r="D16" s="7"/>
      <c r="E16" s="7"/>
      <c r="F16" s="7"/>
      <c r="G16" s="7"/>
      <c r="I16" s="12" t="s">
        <v>104</v>
      </c>
      <c r="J16" s="12" t="s">
        <v>105</v>
      </c>
      <c r="L16" s="12" t="s">
        <v>114</v>
      </c>
      <c r="M16" s="12" t="s">
        <v>115</v>
      </c>
      <c r="O16" s="12" t="s">
        <v>108</v>
      </c>
      <c r="Q16" s="12"/>
      <c r="S16" s="12"/>
      <c r="U16" s="12"/>
      <c r="W16" s="12"/>
      <c r="X16" s="12"/>
    </row>
    <row r="17" spans="1:24">
      <c r="A17" s="7"/>
      <c r="B17" s="7"/>
      <c r="C17" s="7"/>
      <c r="D17" s="7"/>
      <c r="E17" s="7"/>
      <c r="F17" s="7"/>
      <c r="G17" s="7"/>
      <c r="I17" s="7"/>
      <c r="J17" s="7"/>
      <c r="L17" s="7"/>
      <c r="M17" s="7"/>
      <c r="O17" s="7"/>
      <c r="Q17" s="7"/>
      <c r="S17" s="7"/>
      <c r="U17" s="7"/>
      <c r="W17" s="7"/>
      <c r="X17" s="7"/>
    </row>
    <row r="18" spans="1:24">
      <c r="A18" s="12" t="s">
        <v>21</v>
      </c>
      <c r="B18" s="7"/>
      <c r="C18" s="7"/>
      <c r="D18" s="7"/>
      <c r="E18" s="7"/>
      <c r="F18" s="7"/>
      <c r="G18" s="7"/>
      <c r="I18" s="12"/>
      <c r="J18" s="12"/>
      <c r="L18" s="12"/>
      <c r="M18" s="12"/>
      <c r="O18" s="12"/>
      <c r="Q18" s="12" t="s">
        <v>104</v>
      </c>
      <c r="S18" s="12" t="s">
        <v>105</v>
      </c>
      <c r="U18" s="12" t="s">
        <v>116</v>
      </c>
      <c r="W18" s="12" t="s">
        <v>117</v>
      </c>
      <c r="X18" s="12" t="s">
        <v>118</v>
      </c>
    </row>
    <row r="19" spans="1:24">
      <c r="A19" s="7"/>
      <c r="B19" s="7"/>
      <c r="C19" s="7"/>
      <c r="D19" s="7"/>
      <c r="E19" s="7"/>
      <c r="F19" s="7"/>
      <c r="G19" s="7"/>
      <c r="I19" s="7"/>
      <c r="J19" s="7"/>
      <c r="L19" s="7"/>
      <c r="M19" s="7"/>
      <c r="O19" s="7"/>
      <c r="Q19" s="7"/>
      <c r="S19" s="7"/>
      <c r="U19" s="7"/>
      <c r="W19" s="7"/>
      <c r="X19" s="7"/>
    </row>
    <row r="20" spans="1:24">
      <c r="A20" s="12" t="s">
        <v>23</v>
      </c>
      <c r="B20" s="7"/>
      <c r="C20" s="7"/>
      <c r="D20" s="7"/>
      <c r="E20" s="7"/>
      <c r="F20" s="7"/>
      <c r="G20" s="7"/>
      <c r="I20" s="12"/>
      <c r="J20" s="12"/>
      <c r="L20" s="12"/>
      <c r="M20" s="12"/>
      <c r="O20" s="12"/>
      <c r="Q20" s="12" t="s">
        <v>104</v>
      </c>
      <c r="S20" s="12" t="s">
        <v>105</v>
      </c>
      <c r="U20" s="12" t="s">
        <v>119</v>
      </c>
      <c r="W20" s="12" t="s">
        <v>120</v>
      </c>
      <c r="X20" s="12" t="s">
        <v>113</v>
      </c>
    </row>
    <row r="21" spans="1:24">
      <c r="A21" s="7"/>
      <c r="B21" s="7"/>
      <c r="C21" s="7"/>
      <c r="D21" s="7"/>
      <c r="E21" s="7"/>
      <c r="F21" s="7"/>
      <c r="G21" s="7"/>
      <c r="I21" s="7"/>
      <c r="J21" s="7"/>
      <c r="L21" s="7"/>
      <c r="M21" s="7"/>
      <c r="O21" s="7"/>
      <c r="Q21" s="7"/>
      <c r="S21" s="7"/>
      <c r="U21" s="7"/>
      <c r="W21" s="7"/>
      <c r="X21" s="7"/>
    </row>
    <row r="22" spans="1:24">
      <c r="A22" s="12" t="s">
        <v>26</v>
      </c>
      <c r="B22" s="7"/>
      <c r="C22" s="7"/>
      <c r="D22" s="7"/>
      <c r="E22" s="7"/>
      <c r="F22" s="7"/>
      <c r="G22" s="7"/>
      <c r="I22" s="12" t="s">
        <v>104</v>
      </c>
      <c r="J22" s="12" t="s">
        <v>105</v>
      </c>
      <c r="L22" s="12" t="s">
        <v>121</v>
      </c>
      <c r="M22" s="12" t="s">
        <v>122</v>
      </c>
      <c r="O22" s="12" t="s">
        <v>123</v>
      </c>
      <c r="Q22" s="12"/>
      <c r="S22" s="12"/>
      <c r="U22" s="12"/>
      <c r="W22" s="12"/>
      <c r="X22" s="12"/>
    </row>
    <row r="23" spans="1:24">
      <c r="A23" s="7"/>
      <c r="B23" s="7"/>
      <c r="C23" s="7"/>
      <c r="D23" s="7"/>
      <c r="E23" s="7"/>
      <c r="F23" s="7"/>
      <c r="G23" s="7"/>
      <c r="I23" s="7"/>
      <c r="J23" s="7"/>
      <c r="L23" s="7"/>
      <c r="M23" s="7"/>
      <c r="O23" s="7"/>
      <c r="Q23" s="7"/>
      <c r="S23" s="7"/>
      <c r="U23" s="7"/>
      <c r="W23" s="7"/>
      <c r="X23" s="7"/>
    </row>
    <row r="24" spans="1:24">
      <c r="A24" s="12" t="s">
        <v>29</v>
      </c>
      <c r="B24" s="7"/>
      <c r="C24" s="7"/>
      <c r="D24" s="7"/>
      <c r="E24" s="7"/>
      <c r="F24" s="7"/>
      <c r="G24" s="7"/>
      <c r="I24" s="12" t="s">
        <v>104</v>
      </c>
      <c r="J24" s="12" t="s">
        <v>105</v>
      </c>
      <c r="L24" s="12" t="s">
        <v>124</v>
      </c>
      <c r="M24" s="12" t="s">
        <v>125</v>
      </c>
      <c r="O24" s="12" t="s">
        <v>126</v>
      </c>
      <c r="Q24" s="12"/>
      <c r="S24" s="12"/>
      <c r="U24" s="12"/>
      <c r="W24" s="12"/>
      <c r="X24" s="12"/>
    </row>
    <row r="25" spans="1:24">
      <c r="A25" s="7"/>
      <c r="B25" s="7"/>
      <c r="C25" s="7"/>
      <c r="D25" s="7"/>
      <c r="E25" s="7"/>
      <c r="F25" s="7"/>
      <c r="G25" s="7"/>
      <c r="I25" s="7"/>
      <c r="J25" s="7"/>
      <c r="L25" s="7"/>
      <c r="M25" s="7"/>
      <c r="O25" s="7"/>
      <c r="Q25" s="7"/>
      <c r="S25" s="7"/>
      <c r="U25" s="7"/>
      <c r="W25" s="7"/>
      <c r="X25" s="7"/>
    </row>
    <row r="26" spans="1:24">
      <c r="A26" s="12" t="s">
        <v>30</v>
      </c>
      <c r="B26" s="7"/>
      <c r="C26" s="7"/>
      <c r="D26" s="7"/>
      <c r="E26" s="7"/>
      <c r="F26" s="7"/>
      <c r="G26" s="7"/>
      <c r="I26" s="12" t="s">
        <v>104</v>
      </c>
      <c r="J26" s="12" t="s">
        <v>105</v>
      </c>
      <c r="L26" s="12" t="s">
        <v>127</v>
      </c>
      <c r="M26" s="12" t="s">
        <v>128</v>
      </c>
      <c r="O26" s="12" t="s">
        <v>126</v>
      </c>
      <c r="Q26" s="12"/>
      <c r="S26" s="12"/>
      <c r="U26" s="12"/>
      <c r="W26" s="12"/>
      <c r="X26" s="12"/>
    </row>
    <row r="27" spans="1:24">
      <c r="A27" s="7"/>
      <c r="B27" s="7"/>
      <c r="C27" s="7"/>
      <c r="D27" s="7"/>
      <c r="E27" s="7"/>
      <c r="F27" s="7"/>
      <c r="G27" s="7"/>
      <c r="I27" s="7"/>
      <c r="J27" s="7"/>
      <c r="L27" s="7"/>
      <c r="M27" s="7"/>
      <c r="O27" s="7"/>
      <c r="Q27" s="7"/>
      <c r="S27" s="7"/>
      <c r="U27" s="7"/>
      <c r="W27" s="7"/>
      <c r="X27" s="7"/>
    </row>
    <row r="28" spans="1:24">
      <c r="A28" s="12" t="s">
        <v>31</v>
      </c>
      <c r="B28" s="7"/>
      <c r="C28" s="7"/>
      <c r="D28" s="7"/>
      <c r="E28" s="7"/>
      <c r="F28" s="7"/>
      <c r="G28" s="7"/>
      <c r="I28" s="12"/>
      <c r="J28" s="12"/>
      <c r="L28" s="12"/>
      <c r="M28" s="12"/>
      <c r="O28" s="12"/>
      <c r="Q28" s="12" t="s">
        <v>104</v>
      </c>
      <c r="S28" s="12" t="s">
        <v>105</v>
      </c>
      <c r="U28" s="12" t="s">
        <v>129</v>
      </c>
      <c r="W28" s="12" t="s">
        <v>128</v>
      </c>
      <c r="X28" s="12" t="s">
        <v>130</v>
      </c>
    </row>
    <row r="29" spans="1:24">
      <c r="A29" s="7"/>
      <c r="B29" s="7"/>
      <c r="C29" s="7"/>
      <c r="D29" s="7"/>
      <c r="E29" s="7"/>
      <c r="F29" s="7"/>
      <c r="G29" s="7"/>
      <c r="I29" s="7"/>
      <c r="J29" s="7"/>
      <c r="L29" s="7"/>
      <c r="M29" s="7"/>
      <c r="O29" s="7"/>
      <c r="Q29" s="7"/>
      <c r="S29" s="7"/>
      <c r="U29" s="7"/>
      <c r="W29" s="7"/>
      <c r="X29" s="7"/>
    </row>
    <row r="30" spans="1:24">
      <c r="A30" s="12" t="s">
        <v>32</v>
      </c>
      <c r="B30" s="7"/>
      <c r="C30" s="7"/>
      <c r="D30" s="7"/>
      <c r="E30" s="7"/>
      <c r="F30" s="7"/>
      <c r="G30" s="7"/>
      <c r="I30" s="12" t="s">
        <v>131</v>
      </c>
      <c r="J30" s="12" t="s">
        <v>105</v>
      </c>
      <c r="L30" s="12" t="s">
        <v>132</v>
      </c>
      <c r="M30" s="12" t="s">
        <v>107</v>
      </c>
      <c r="O30" s="12" t="s">
        <v>133</v>
      </c>
      <c r="Q30" s="12"/>
      <c r="S30" s="12"/>
      <c r="U30" s="12"/>
      <c r="W30" s="12"/>
      <c r="X30" s="12"/>
    </row>
    <row r="31" spans="1:24">
      <c r="A31" s="7"/>
      <c r="B31" s="7"/>
      <c r="C31" s="7"/>
      <c r="D31" s="7"/>
      <c r="E31" s="7"/>
      <c r="F31" s="7"/>
      <c r="G31" s="7"/>
      <c r="I31" s="7"/>
      <c r="J31" s="7"/>
      <c r="L31" s="7"/>
      <c r="M31" s="7"/>
      <c r="O31" s="7"/>
      <c r="Q31" s="7"/>
      <c r="S31" s="7"/>
      <c r="U31" s="7"/>
      <c r="W31" s="7"/>
      <c r="X31" s="7"/>
    </row>
    <row r="32" spans="1:24">
      <c r="A32" s="12" t="s">
        <v>33</v>
      </c>
      <c r="B32" s="7"/>
      <c r="C32" s="7"/>
      <c r="D32" s="7"/>
      <c r="E32" s="7"/>
      <c r="F32" s="7"/>
      <c r="G32" s="7"/>
      <c r="I32" s="12"/>
      <c r="J32" s="12"/>
      <c r="L32" s="12"/>
      <c r="M32" s="12"/>
      <c r="O32" s="12"/>
      <c r="Q32" s="12" t="s">
        <v>131</v>
      </c>
      <c r="S32" s="12" t="s">
        <v>105</v>
      </c>
      <c r="U32" s="12" t="s">
        <v>134</v>
      </c>
      <c r="W32" s="12" t="s">
        <v>107</v>
      </c>
      <c r="X32" s="12" t="s">
        <v>113</v>
      </c>
    </row>
    <row r="33" spans="1:24">
      <c r="A33" s="7"/>
      <c r="B33" s="7"/>
      <c r="C33" s="7"/>
      <c r="D33" s="7"/>
      <c r="E33" s="7"/>
      <c r="F33" s="7"/>
      <c r="G33" s="7"/>
      <c r="I33" s="7"/>
      <c r="J33" s="7"/>
      <c r="L33" s="7"/>
      <c r="M33" s="7"/>
      <c r="O33" s="7"/>
      <c r="Q33" s="7"/>
      <c r="S33" s="7"/>
      <c r="U33" s="7"/>
      <c r="W33" s="7"/>
      <c r="X33" s="7"/>
    </row>
    <row r="34" spans="1:24">
      <c r="A34" s="12" t="s">
        <v>35</v>
      </c>
      <c r="B34" s="7"/>
      <c r="C34" s="7"/>
      <c r="D34" s="7"/>
      <c r="E34" s="7"/>
      <c r="F34" s="7"/>
      <c r="G34" s="7"/>
      <c r="I34" s="12"/>
      <c r="J34" s="12"/>
      <c r="L34" s="12"/>
      <c r="M34" s="12"/>
      <c r="O34" s="12"/>
      <c r="Q34" s="12" t="s">
        <v>131</v>
      </c>
      <c r="S34" s="12" t="s">
        <v>105</v>
      </c>
      <c r="U34" s="12" t="s">
        <v>135</v>
      </c>
      <c r="W34" s="12" t="s">
        <v>136</v>
      </c>
      <c r="X34" s="12" t="s">
        <v>118</v>
      </c>
    </row>
    <row r="35" spans="1:24">
      <c r="A35" s="7"/>
      <c r="B35" s="7"/>
      <c r="C35" s="7"/>
      <c r="D35" s="7"/>
      <c r="E35" s="7"/>
      <c r="F35" s="7"/>
      <c r="G35" s="7"/>
      <c r="I35" s="7"/>
      <c r="J35" s="7"/>
      <c r="L35" s="7"/>
      <c r="M35" s="7"/>
      <c r="O35" s="7"/>
      <c r="Q35" s="7"/>
      <c r="S35" s="7"/>
      <c r="U35" s="7"/>
      <c r="W35" s="7"/>
      <c r="X35" s="7"/>
    </row>
    <row r="36" spans="1:24">
      <c r="A36" s="12" t="s">
        <v>36</v>
      </c>
      <c r="B36" s="7"/>
      <c r="C36" s="7"/>
      <c r="D36" s="7"/>
      <c r="E36" s="7"/>
      <c r="F36" s="7"/>
      <c r="G36" s="7"/>
      <c r="I36" s="12"/>
      <c r="J36" s="12"/>
      <c r="L36" s="12"/>
      <c r="M36" s="12"/>
      <c r="O36" s="12"/>
      <c r="Q36" s="12" t="s">
        <v>131</v>
      </c>
      <c r="S36" s="12" t="s">
        <v>105</v>
      </c>
      <c r="U36" s="12" t="s">
        <v>137</v>
      </c>
      <c r="W36" s="12" t="s">
        <v>138</v>
      </c>
      <c r="X36" s="12" t="s">
        <v>139</v>
      </c>
    </row>
    <row r="37" spans="1:24">
      <c r="A37" s="7"/>
      <c r="B37" s="7"/>
      <c r="C37" s="7"/>
      <c r="D37" s="7"/>
      <c r="E37" s="7"/>
      <c r="F37" s="7"/>
      <c r="G37" s="7"/>
      <c r="I37" s="7"/>
      <c r="J37" s="7"/>
      <c r="L37" s="7"/>
      <c r="M37" s="7"/>
      <c r="O37" s="7"/>
      <c r="Q37" s="7"/>
      <c r="S37" s="7"/>
      <c r="U37" s="7"/>
      <c r="W37" s="7"/>
      <c r="X37" s="7"/>
    </row>
  </sheetData>
  <mergeCells count="172">
    <mergeCell ref="X34:X35"/>
    <mergeCell ref="A36:G37"/>
    <mergeCell ref="I36:I37"/>
    <mergeCell ref="J36:J37"/>
    <mergeCell ref="L36:L37"/>
    <mergeCell ref="M36:M37"/>
    <mergeCell ref="O36:O37"/>
    <mergeCell ref="Q36:Q37"/>
    <mergeCell ref="S36:S37"/>
    <mergeCell ref="U36:U37"/>
    <mergeCell ref="W36:W37"/>
    <mergeCell ref="X36:X37"/>
    <mergeCell ref="O34:O35"/>
    <mergeCell ref="Q34:Q35"/>
    <mergeCell ref="S34:S35"/>
    <mergeCell ref="U34:U35"/>
    <mergeCell ref="W34:W35"/>
    <mergeCell ref="A34:G35"/>
    <mergeCell ref="I34:I35"/>
    <mergeCell ref="J34:J35"/>
    <mergeCell ref="L34:L35"/>
    <mergeCell ref="M34:M35"/>
    <mergeCell ref="X30:X31"/>
    <mergeCell ref="A32:G33"/>
    <mergeCell ref="I32:I33"/>
    <mergeCell ref="J32:J33"/>
    <mergeCell ref="L32:L33"/>
    <mergeCell ref="M32:M33"/>
    <mergeCell ref="O32:O33"/>
    <mergeCell ref="Q32:Q33"/>
    <mergeCell ref="S32:S33"/>
    <mergeCell ref="U32:U33"/>
    <mergeCell ref="W32:W33"/>
    <mergeCell ref="X32:X33"/>
    <mergeCell ref="O30:O31"/>
    <mergeCell ref="Q30:Q31"/>
    <mergeCell ref="S30:S31"/>
    <mergeCell ref="U30:U31"/>
    <mergeCell ref="W30:W31"/>
    <mergeCell ref="A30:G31"/>
    <mergeCell ref="I30:I31"/>
    <mergeCell ref="J30:J31"/>
    <mergeCell ref="L30:L31"/>
    <mergeCell ref="M30:M31"/>
    <mergeCell ref="X26:X27"/>
    <mergeCell ref="A28:G29"/>
    <mergeCell ref="I28:I29"/>
    <mergeCell ref="J28:J29"/>
    <mergeCell ref="L28:L29"/>
    <mergeCell ref="M28:M29"/>
    <mergeCell ref="O28:O29"/>
    <mergeCell ref="Q28:Q29"/>
    <mergeCell ref="S28:S29"/>
    <mergeCell ref="U28:U29"/>
    <mergeCell ref="W28:W29"/>
    <mergeCell ref="X28:X29"/>
    <mergeCell ref="O26:O27"/>
    <mergeCell ref="Q26:Q27"/>
    <mergeCell ref="S26:S27"/>
    <mergeCell ref="U26:U27"/>
    <mergeCell ref="W26:W27"/>
    <mergeCell ref="A26:G27"/>
    <mergeCell ref="I26:I27"/>
    <mergeCell ref="J26:J27"/>
    <mergeCell ref="L26:L27"/>
    <mergeCell ref="M26:M27"/>
    <mergeCell ref="X22:X23"/>
    <mergeCell ref="A24:G25"/>
    <mergeCell ref="I24:I25"/>
    <mergeCell ref="J24:J25"/>
    <mergeCell ref="L24:L25"/>
    <mergeCell ref="M24:M25"/>
    <mergeCell ref="O24:O25"/>
    <mergeCell ref="Q24:Q25"/>
    <mergeCell ref="S24:S25"/>
    <mergeCell ref="U24:U25"/>
    <mergeCell ref="W24:W25"/>
    <mergeCell ref="X24:X25"/>
    <mergeCell ref="O22:O23"/>
    <mergeCell ref="Q22:Q23"/>
    <mergeCell ref="S22:S23"/>
    <mergeCell ref="U22:U23"/>
    <mergeCell ref="W22:W23"/>
    <mergeCell ref="A22:G23"/>
    <mergeCell ref="I22:I23"/>
    <mergeCell ref="J22:J23"/>
    <mergeCell ref="L22:L23"/>
    <mergeCell ref="M22:M23"/>
    <mergeCell ref="X18:X19"/>
    <mergeCell ref="A20:G21"/>
    <mergeCell ref="I20:I21"/>
    <mergeCell ref="J20:J21"/>
    <mergeCell ref="L20:L21"/>
    <mergeCell ref="M20:M21"/>
    <mergeCell ref="O20:O21"/>
    <mergeCell ref="Q20:Q21"/>
    <mergeCell ref="S20:S21"/>
    <mergeCell ref="U20:U21"/>
    <mergeCell ref="W20:W21"/>
    <mergeCell ref="X20:X21"/>
    <mergeCell ref="O18:O19"/>
    <mergeCell ref="Q18:Q19"/>
    <mergeCell ref="S18:S19"/>
    <mergeCell ref="U18:U19"/>
    <mergeCell ref="W18:W19"/>
    <mergeCell ref="A18:G19"/>
    <mergeCell ref="I18:I19"/>
    <mergeCell ref="J18:J19"/>
    <mergeCell ref="L18:L19"/>
    <mergeCell ref="M18:M19"/>
    <mergeCell ref="X14:X15"/>
    <mergeCell ref="A16:G17"/>
    <mergeCell ref="I16:I17"/>
    <mergeCell ref="J16:J17"/>
    <mergeCell ref="L16:L17"/>
    <mergeCell ref="M16:M17"/>
    <mergeCell ref="O16:O17"/>
    <mergeCell ref="Q16:Q17"/>
    <mergeCell ref="S16:S17"/>
    <mergeCell ref="U16:U17"/>
    <mergeCell ref="W16:W17"/>
    <mergeCell ref="X16:X17"/>
    <mergeCell ref="O14:O15"/>
    <mergeCell ref="Q14:Q15"/>
    <mergeCell ref="S14:S15"/>
    <mergeCell ref="U14:U15"/>
    <mergeCell ref="W14:W15"/>
    <mergeCell ref="A14:G15"/>
    <mergeCell ref="I14:I15"/>
    <mergeCell ref="J14:J15"/>
    <mergeCell ref="L14:L15"/>
    <mergeCell ref="M14:M15"/>
    <mergeCell ref="X10:X11"/>
    <mergeCell ref="A12:G13"/>
    <mergeCell ref="I12:I13"/>
    <mergeCell ref="J12:J13"/>
    <mergeCell ref="L12:L13"/>
    <mergeCell ref="M12:M13"/>
    <mergeCell ref="O12:O13"/>
    <mergeCell ref="Q12:Q13"/>
    <mergeCell ref="S12:S13"/>
    <mergeCell ref="U12:U13"/>
    <mergeCell ref="W12:W13"/>
    <mergeCell ref="X12:X13"/>
    <mergeCell ref="O10:O11"/>
    <mergeCell ref="Q10:Q11"/>
    <mergeCell ref="S10:S11"/>
    <mergeCell ref="U10:U11"/>
    <mergeCell ref="W10:W11"/>
    <mergeCell ref="A10:G11"/>
    <mergeCell ref="I10:I11"/>
    <mergeCell ref="J10:J11"/>
    <mergeCell ref="L10:L11"/>
    <mergeCell ref="M10:M11"/>
    <mergeCell ref="A7:G7"/>
    <mergeCell ref="I7:O7"/>
    <mergeCell ref="Q7:X7"/>
    <mergeCell ref="A8:G9"/>
    <mergeCell ref="I8:I9"/>
    <mergeCell ref="J8:J9"/>
    <mergeCell ref="L8:L9"/>
    <mergeCell ref="M8:M9"/>
    <mergeCell ref="O8:O9"/>
    <mergeCell ref="Q8:Q9"/>
    <mergeCell ref="S8:S9"/>
    <mergeCell ref="U8:U9"/>
    <mergeCell ref="W8:W9"/>
    <mergeCell ref="X8:X9"/>
    <mergeCell ref="A5:W5"/>
    <mergeCell ref="A1:W1"/>
    <mergeCell ref="A2:W2"/>
    <mergeCell ref="A3:W3"/>
  </mergeCells>
  <pageMargins left="0.7" right="0.7" top="0.75" bottom="0.75" header="0.3" footer="0.3"/>
  <pageSetup paperSize="9" scale="6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18"/>
  <sheetViews>
    <sheetView rightToLeft="1" view="pageBreakPreview" zoomScale="60" zoomScaleNormal="100" workbookViewId="0">
      <selection sqref="A1:S1"/>
    </sheetView>
  </sheetViews>
  <sheetFormatPr defaultRowHeight="19.5"/>
  <cols>
    <col min="1" max="1" width="29.140625" style="8" customWidth="1"/>
    <col min="2" max="2" width="1.42578125" style="8" customWidth="1"/>
    <col min="3" max="3" width="18.42578125" style="8" customWidth="1"/>
    <col min="4" max="4" width="1.42578125" style="8" customWidth="1"/>
    <col min="5" max="5" width="10" style="8" customWidth="1"/>
    <col min="6" max="6" width="1.42578125" style="8" customWidth="1"/>
    <col min="7" max="7" width="11.42578125" style="8" customWidth="1"/>
    <col min="8" max="8" width="1.42578125" style="8" customWidth="1"/>
    <col min="9" max="9" width="11.42578125" style="8" customWidth="1"/>
    <col min="10" max="10" width="1.42578125" style="8" customWidth="1"/>
    <col min="11" max="11" width="18.42578125" style="8" customWidth="1"/>
    <col min="12" max="12" width="1.42578125" style="8" customWidth="1"/>
    <col min="13" max="13" width="18.42578125" style="8" customWidth="1"/>
    <col min="14" max="14" width="1.42578125" style="8" customWidth="1"/>
    <col min="15" max="15" width="18.42578125" style="8" customWidth="1"/>
    <col min="16" max="16" width="1.42578125" style="8" customWidth="1"/>
    <col min="17" max="17" width="18.42578125" style="8" customWidth="1"/>
    <col min="18" max="18" width="1.42578125" style="8" customWidth="1"/>
    <col min="19" max="19" width="12.7109375" style="8" customWidth="1"/>
    <col min="20" max="16384" width="9.140625" style="8"/>
  </cols>
  <sheetData>
    <row r="1" spans="1:19" ht="20.100000000000001" customHeight="1">
      <c r="A1" s="6" t="s">
        <v>291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20.100000000000001" customHeight="1">
      <c r="A2" s="6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20.100000000000001" customHeight="1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5" spans="1:19" ht="21">
      <c r="A5" s="9" t="s">
        <v>252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7" spans="1:19" ht="21">
      <c r="C7" s="10" t="s">
        <v>141</v>
      </c>
      <c r="D7" s="11"/>
      <c r="E7" s="11"/>
      <c r="F7" s="11"/>
      <c r="G7" s="11"/>
      <c r="H7" s="11"/>
      <c r="I7" s="11"/>
      <c r="K7" s="29" t="s">
        <v>4</v>
      </c>
      <c r="M7" s="10" t="s">
        <v>248</v>
      </c>
      <c r="N7" s="10"/>
      <c r="O7" s="10"/>
      <c r="Q7" s="10" t="s">
        <v>5</v>
      </c>
      <c r="R7" s="11"/>
      <c r="S7" s="11"/>
    </row>
    <row r="8" spans="1:19" ht="42">
      <c r="A8" s="29" t="s">
        <v>142</v>
      </c>
      <c r="C8" s="29" t="s">
        <v>143</v>
      </c>
      <c r="E8" s="29" t="s">
        <v>144</v>
      </c>
      <c r="G8" s="31" t="s">
        <v>145</v>
      </c>
      <c r="I8" s="31" t="s">
        <v>146</v>
      </c>
      <c r="K8" s="29" t="s">
        <v>147</v>
      </c>
      <c r="M8" s="29" t="s">
        <v>148</v>
      </c>
      <c r="O8" s="29" t="s">
        <v>149</v>
      </c>
      <c r="Q8" s="29" t="s">
        <v>147</v>
      </c>
      <c r="S8" s="31" t="s">
        <v>13</v>
      </c>
    </row>
    <row r="9" spans="1:19" ht="21">
      <c r="A9" s="16" t="s">
        <v>150</v>
      </c>
      <c r="C9" s="18" t="s">
        <v>151</v>
      </c>
      <c r="E9" s="30" t="s">
        <v>152</v>
      </c>
      <c r="G9" s="18" t="s">
        <v>153</v>
      </c>
      <c r="I9" s="18">
        <v>10</v>
      </c>
      <c r="K9" s="17">
        <v>970555368</v>
      </c>
      <c r="M9" s="17">
        <v>23005588800</v>
      </c>
      <c r="O9" s="17">
        <v>22065181405</v>
      </c>
      <c r="Q9" s="17">
        <v>1910962763</v>
      </c>
      <c r="S9" s="19">
        <v>1.5946611653295563E-3</v>
      </c>
    </row>
    <row r="10" spans="1:19" ht="21">
      <c r="A10" s="16" t="s">
        <v>155</v>
      </c>
      <c r="C10" s="18" t="s">
        <v>156</v>
      </c>
      <c r="E10" s="30" t="s">
        <v>157</v>
      </c>
      <c r="G10" s="18" t="s">
        <v>158</v>
      </c>
      <c r="I10" s="18" t="s">
        <v>154</v>
      </c>
      <c r="K10" s="17">
        <v>156818</v>
      </c>
      <c r="M10" s="17">
        <v>0</v>
      </c>
      <c r="N10" s="17"/>
      <c r="O10" s="17">
        <v>0</v>
      </c>
      <c r="P10" s="18"/>
      <c r="Q10" s="17">
        <v>156818</v>
      </c>
      <c r="S10" s="19">
        <v>1.3086156332636524E-7</v>
      </c>
    </row>
    <row r="11" spans="1:19" ht="21">
      <c r="A11" s="16" t="s">
        <v>155</v>
      </c>
      <c r="C11" s="18" t="s">
        <v>159</v>
      </c>
      <c r="E11" s="30" t="s">
        <v>152</v>
      </c>
      <c r="G11" s="18" t="s">
        <v>160</v>
      </c>
      <c r="I11" s="18" t="s">
        <v>161</v>
      </c>
      <c r="K11" s="17">
        <v>49627219848</v>
      </c>
      <c r="M11" s="17">
        <v>984678741</v>
      </c>
      <c r="O11" s="17">
        <v>12000600000</v>
      </c>
      <c r="Q11" s="17">
        <v>38611298589</v>
      </c>
      <c r="S11" s="19">
        <v>3.2220375820490123E-2</v>
      </c>
    </row>
    <row r="12" spans="1:19" ht="21.75" thickBot="1">
      <c r="A12" s="20" t="s">
        <v>96</v>
      </c>
      <c r="K12" s="20">
        <f>SUM(K9:$K$11)</f>
        <v>50597932034</v>
      </c>
      <c r="M12" s="20">
        <f>SUM(M9:$M$11)</f>
        <v>23990267541</v>
      </c>
      <c r="O12" s="20">
        <f>SUM(O9:$O$11)</f>
        <v>34065781405</v>
      </c>
      <c r="Q12" s="20">
        <f>SUM(Q9:$Q$11)</f>
        <v>40522418170</v>
      </c>
      <c r="S12" s="21">
        <f>SUM(S9:$S$11)</f>
        <v>3.3815167847383004E-2</v>
      </c>
    </row>
    <row r="13" spans="1:19" ht="21.75" thickTop="1">
      <c r="K13" s="22"/>
      <c r="M13" s="22"/>
      <c r="O13" s="22"/>
      <c r="Q13" s="22"/>
      <c r="S13" s="22"/>
    </row>
    <row r="16" spans="1:19">
      <c r="K16" s="24"/>
      <c r="Q16" s="24"/>
    </row>
    <row r="17" spans="11:17">
      <c r="K17" s="24"/>
      <c r="Q17" s="24"/>
    </row>
    <row r="18" spans="11:17">
      <c r="K18" s="32"/>
      <c r="Q18" s="32"/>
    </row>
  </sheetData>
  <mergeCells count="7">
    <mergeCell ref="A1:S1"/>
    <mergeCell ref="A2:S2"/>
    <mergeCell ref="A3:S3"/>
    <mergeCell ref="A5:S5"/>
    <mergeCell ref="C7:I7"/>
    <mergeCell ref="M7:O7"/>
    <mergeCell ref="Q7:S7"/>
  </mergeCells>
  <pageMargins left="0.7" right="0.7" top="0.75" bottom="0.75" header="0.3" footer="0.3"/>
  <pageSetup paperSize="9" scale="73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12"/>
  <sheetViews>
    <sheetView rightToLeft="1" view="pageBreakPreview" zoomScale="60" zoomScaleNormal="100" workbookViewId="0">
      <selection activeCell="L1" sqref="L1:N1048576"/>
    </sheetView>
  </sheetViews>
  <sheetFormatPr defaultRowHeight="19.5"/>
  <cols>
    <col min="1" max="1" width="59.28515625" style="8" customWidth="1"/>
    <col min="2" max="2" width="1.42578125" style="8" customWidth="1"/>
    <col min="3" max="3" width="11.42578125" style="8" customWidth="1"/>
    <col min="4" max="4" width="1.42578125" style="8" customWidth="1"/>
    <col min="5" max="5" width="21.28515625" style="8" customWidth="1"/>
    <col min="6" max="6" width="1.42578125" style="8" customWidth="1"/>
    <col min="7" max="7" width="12.5703125" style="8" customWidth="1"/>
    <col min="8" max="8" width="1.42578125" style="8" customWidth="1"/>
    <col min="9" max="9" width="13.85546875" style="8" customWidth="1"/>
    <col min="10" max="16384" width="9.140625" style="8"/>
  </cols>
  <sheetData>
    <row r="1" spans="1:9" ht="20.100000000000001" customHeight="1">
      <c r="A1" s="6" t="s">
        <v>250</v>
      </c>
      <c r="B1" s="7"/>
      <c r="C1" s="7"/>
      <c r="D1" s="7"/>
      <c r="E1" s="7"/>
      <c r="F1" s="7"/>
      <c r="G1" s="7"/>
      <c r="H1" s="7"/>
      <c r="I1" s="7"/>
    </row>
    <row r="2" spans="1:9" ht="20.100000000000001" customHeight="1">
      <c r="A2" s="6" t="s">
        <v>162</v>
      </c>
      <c r="B2" s="7"/>
      <c r="C2" s="7"/>
      <c r="D2" s="7"/>
      <c r="E2" s="7"/>
      <c r="F2" s="7"/>
      <c r="G2" s="7"/>
      <c r="H2" s="7"/>
      <c r="I2" s="7"/>
    </row>
    <row r="3" spans="1:9" ht="20.100000000000001" customHeight="1">
      <c r="A3" s="6" t="s">
        <v>1</v>
      </c>
      <c r="B3" s="7"/>
      <c r="C3" s="7"/>
      <c r="D3" s="7"/>
      <c r="E3" s="7"/>
      <c r="F3" s="7"/>
      <c r="G3" s="7"/>
      <c r="H3" s="7"/>
      <c r="I3" s="7"/>
    </row>
    <row r="5" spans="1:9" ht="21">
      <c r="A5" s="9" t="s">
        <v>163</v>
      </c>
      <c r="B5" s="7"/>
      <c r="C5" s="7"/>
      <c r="D5" s="7"/>
      <c r="E5" s="7"/>
      <c r="F5" s="7"/>
      <c r="G5" s="7"/>
      <c r="H5" s="7"/>
      <c r="I5" s="7"/>
    </row>
    <row r="7" spans="1:9" ht="42">
      <c r="A7" s="29" t="s">
        <v>164</v>
      </c>
      <c r="C7" s="29" t="s">
        <v>165</v>
      </c>
      <c r="E7" s="29" t="s">
        <v>147</v>
      </c>
      <c r="G7" s="31" t="s">
        <v>166</v>
      </c>
      <c r="I7" s="31" t="s">
        <v>167</v>
      </c>
    </row>
    <row r="8" spans="1:9" ht="21">
      <c r="A8" s="28" t="s">
        <v>168</v>
      </c>
      <c r="C8" s="18" t="s">
        <v>297</v>
      </c>
      <c r="E8" s="17">
        <f>'5'!$S$136</f>
        <v>52754211797</v>
      </c>
      <c r="G8" s="19">
        <f>E8/$E$11</f>
        <v>0.95978518451078321</v>
      </c>
      <c r="I8" s="19">
        <v>4.4022361130773249E-2</v>
      </c>
    </row>
    <row r="9" spans="1:9" ht="21">
      <c r="A9" s="28" t="s">
        <v>170</v>
      </c>
      <c r="C9" s="18" t="s">
        <v>169</v>
      </c>
      <c r="E9" s="17">
        <f>'6'!I11</f>
        <v>2172606755</v>
      </c>
      <c r="G9" s="19">
        <f t="shared" ref="G9:G10" si="0">E9/$E$11</f>
        <v>3.9527379979462249E-2</v>
      </c>
      <c r="I9" s="19">
        <v>1.812997975058484E-3</v>
      </c>
    </row>
    <row r="10" spans="1:9" ht="21">
      <c r="A10" s="28" t="s">
        <v>171</v>
      </c>
      <c r="C10" s="18" t="s">
        <v>298</v>
      </c>
      <c r="E10" s="17">
        <f>'7'!$E$10</f>
        <v>37784620</v>
      </c>
      <c r="G10" s="19">
        <f t="shared" si="0"/>
        <v>6.8743550975454318E-4</v>
      </c>
      <c r="I10" s="19">
        <v>3.1530528656739951E-5</v>
      </c>
    </row>
    <row r="11" spans="1:9" ht="21.75" thickBot="1">
      <c r="A11" s="35" t="s">
        <v>96</v>
      </c>
      <c r="E11" s="20">
        <f>SUM(E8:$E$10)</f>
        <v>54964603172</v>
      </c>
      <c r="G11" s="33">
        <f>SUM(G8:$G$10)</f>
        <v>1</v>
      </c>
      <c r="I11" s="21">
        <f>SUM(I8:$I$10)</f>
        <v>4.586688963448847E-2</v>
      </c>
    </row>
    <row r="12" spans="1:9" ht="21.75" thickTop="1">
      <c r="E12" s="22"/>
      <c r="G12" s="22"/>
      <c r="I12" s="22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scale="7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137"/>
  <sheetViews>
    <sheetView rightToLeft="1" view="pageBreakPreview" topLeftCell="A102" zoomScale="60" zoomScaleNormal="100" workbookViewId="0">
      <selection activeCell="A129" sqref="A129:A132"/>
    </sheetView>
  </sheetViews>
  <sheetFormatPr defaultRowHeight="19.5"/>
  <cols>
    <col min="1" max="1" width="39.140625" style="8" customWidth="1"/>
    <col min="2" max="2" width="1.42578125" style="8" customWidth="1"/>
    <col min="3" max="3" width="17" style="8" customWidth="1"/>
    <col min="4" max="4" width="1.42578125" style="8" customWidth="1"/>
    <col min="5" max="5" width="17" style="8" customWidth="1"/>
    <col min="6" max="6" width="1.42578125" style="8" customWidth="1"/>
    <col min="7" max="7" width="17" style="8" customWidth="1"/>
    <col min="8" max="8" width="1.42578125" style="8" customWidth="1"/>
    <col min="9" max="9" width="17" style="8" customWidth="1"/>
    <col min="10" max="10" width="1.42578125" style="8" customWidth="1"/>
    <col min="11" max="11" width="13.140625" style="8" customWidth="1"/>
    <col min="12" max="12" width="1.42578125" style="8" customWidth="1"/>
    <col min="13" max="13" width="17" style="8" customWidth="1"/>
    <col min="14" max="14" width="1.42578125" style="8" customWidth="1"/>
    <col min="15" max="15" width="17" style="8" customWidth="1"/>
    <col min="16" max="16" width="1.42578125" style="8" customWidth="1"/>
    <col min="17" max="17" width="17" style="8" customWidth="1"/>
    <col min="18" max="18" width="1.42578125" style="8" customWidth="1"/>
    <col min="19" max="19" width="17" style="8" customWidth="1"/>
    <col min="20" max="20" width="1.42578125" style="8" customWidth="1"/>
    <col min="21" max="21" width="12.7109375" style="8" customWidth="1"/>
    <col min="22" max="16384" width="9.140625" style="8"/>
  </cols>
  <sheetData>
    <row r="1" spans="1:21" ht="20.100000000000001" customHeight="1">
      <c r="A1" s="6" t="s">
        <v>250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20.100000000000001" customHeight="1">
      <c r="A2" s="6" t="s">
        <v>162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ht="20.100000000000001" customHeight="1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5" spans="1:21" ht="21">
      <c r="A5" s="9" t="s">
        <v>254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9"/>
      <c r="U5" s="7"/>
    </row>
    <row r="7" spans="1:21" ht="21">
      <c r="C7" s="10" t="s">
        <v>253</v>
      </c>
      <c r="D7" s="11"/>
      <c r="E7" s="11"/>
      <c r="F7" s="11"/>
      <c r="G7" s="11"/>
      <c r="H7" s="11"/>
      <c r="I7" s="11"/>
      <c r="J7" s="11"/>
      <c r="K7" s="11"/>
      <c r="M7" s="10" t="s">
        <v>292</v>
      </c>
      <c r="N7" s="11"/>
      <c r="O7" s="11"/>
      <c r="P7" s="11"/>
      <c r="Q7" s="11"/>
      <c r="R7" s="11"/>
      <c r="S7" s="11"/>
      <c r="T7" s="11"/>
      <c r="U7" s="11"/>
    </row>
    <row r="8" spans="1:21" ht="42">
      <c r="A8" s="29" t="s">
        <v>206</v>
      </c>
      <c r="C8" s="31" t="s">
        <v>172</v>
      </c>
      <c r="E8" s="31" t="s">
        <v>207</v>
      </c>
      <c r="G8" s="31" t="s">
        <v>208</v>
      </c>
      <c r="I8" s="31" t="s">
        <v>209</v>
      </c>
      <c r="K8" s="31" t="s">
        <v>210</v>
      </c>
      <c r="M8" s="31" t="s">
        <v>172</v>
      </c>
      <c r="O8" s="31" t="s">
        <v>207</v>
      </c>
      <c r="Q8" s="31" t="s">
        <v>208</v>
      </c>
      <c r="S8" s="31" t="s">
        <v>209</v>
      </c>
      <c r="U8" s="31" t="s">
        <v>210</v>
      </c>
    </row>
    <row r="9" spans="1:21" ht="21">
      <c r="A9" s="30" t="s">
        <v>15</v>
      </c>
      <c r="C9" s="17">
        <v>0</v>
      </c>
      <c r="E9" s="17">
        <v>118447111</v>
      </c>
      <c r="G9" s="17">
        <v>0</v>
      </c>
      <c r="I9" s="17">
        <f>C9+E9+G9</f>
        <v>118447111</v>
      </c>
      <c r="K9" s="19">
        <v>-2.0197743745577652E-2</v>
      </c>
      <c r="M9" s="17">
        <v>0</v>
      </c>
      <c r="O9" s="17">
        <v>467098468</v>
      </c>
      <c r="Q9" s="17">
        <v>0</v>
      </c>
      <c r="S9" s="17">
        <f>M9+O9+Q9</f>
        <v>467098468</v>
      </c>
      <c r="U9" s="19">
        <v>8.4981686584421432E-3</v>
      </c>
    </row>
    <row r="10" spans="1:21" ht="21">
      <c r="A10" s="30" t="s">
        <v>38</v>
      </c>
      <c r="C10" s="17">
        <v>0</v>
      </c>
      <c r="E10" s="17">
        <v>164134987</v>
      </c>
      <c r="G10" s="17">
        <v>196012800</v>
      </c>
      <c r="I10" s="17">
        <f t="shared" ref="I10:I106" si="0">C10+E10+G10</f>
        <v>360147787</v>
      </c>
      <c r="K10" s="19">
        <v>-6.1412833550350439E-2</v>
      </c>
      <c r="M10" s="17">
        <v>0</v>
      </c>
      <c r="O10" s="17">
        <v>164134987</v>
      </c>
      <c r="Q10" s="17">
        <v>196012800</v>
      </c>
      <c r="S10" s="17">
        <f t="shared" ref="S10:S93" si="1">M10+O10+Q10</f>
        <v>360147787</v>
      </c>
      <c r="U10" s="19">
        <v>6.5523585401498184E-3</v>
      </c>
    </row>
    <row r="11" spans="1:21" ht="21">
      <c r="A11" s="30" t="s">
        <v>41</v>
      </c>
      <c r="C11" s="17">
        <v>0</v>
      </c>
      <c r="E11" s="17">
        <v>-1144464927</v>
      </c>
      <c r="G11" s="17">
        <v>0</v>
      </c>
      <c r="I11" s="17">
        <f t="shared" si="0"/>
        <v>-1144464927</v>
      </c>
      <c r="K11" s="19">
        <v>0.19515553504168823</v>
      </c>
      <c r="M11" s="17">
        <v>0</v>
      </c>
      <c r="O11" s="17">
        <v>-529987114</v>
      </c>
      <c r="Q11" s="17">
        <v>0</v>
      </c>
      <c r="S11" s="17">
        <f t="shared" si="1"/>
        <v>-529987114</v>
      </c>
      <c r="U11" s="19">
        <v>-9.6423349467568854E-3</v>
      </c>
    </row>
    <row r="12" spans="1:21" ht="21">
      <c r="A12" s="30" t="s">
        <v>211</v>
      </c>
      <c r="C12" s="17">
        <v>0</v>
      </c>
      <c r="E12" s="17">
        <v>-602504154</v>
      </c>
      <c r="G12" s="17">
        <v>0</v>
      </c>
      <c r="I12" s="17">
        <f t="shared" si="0"/>
        <v>-602504154</v>
      </c>
      <c r="K12" s="19">
        <v>0.10273973257260834</v>
      </c>
      <c r="M12" s="17">
        <v>0</v>
      </c>
      <c r="O12" s="17">
        <v>-602504154</v>
      </c>
      <c r="Q12" s="17">
        <v>0</v>
      </c>
      <c r="S12" s="17">
        <f t="shared" si="1"/>
        <v>-602504154</v>
      </c>
      <c r="U12" s="19">
        <v>-1.0961675682704227E-2</v>
      </c>
    </row>
    <row r="13" spans="1:21" ht="21">
      <c r="A13" s="30" t="s">
        <v>42</v>
      </c>
      <c r="C13" s="17">
        <v>0</v>
      </c>
      <c r="E13" s="17">
        <v>-1093455000</v>
      </c>
      <c r="G13" s="17">
        <v>0</v>
      </c>
      <c r="I13" s="17">
        <f t="shared" si="0"/>
        <v>-1093455000</v>
      </c>
      <c r="K13" s="19">
        <v>0.18645726097380805</v>
      </c>
      <c r="M13" s="17">
        <v>0</v>
      </c>
      <c r="O13" s="17">
        <v>-2186910000</v>
      </c>
      <c r="Q13" s="17">
        <v>0</v>
      </c>
      <c r="S13" s="17">
        <f t="shared" si="1"/>
        <v>-2186910000</v>
      </c>
      <c r="U13" s="19">
        <v>-3.9787606455677152E-2</v>
      </c>
    </row>
    <row r="14" spans="1:21" ht="21">
      <c r="A14" s="30" t="s">
        <v>44</v>
      </c>
      <c r="C14" s="17">
        <v>0</v>
      </c>
      <c r="E14" s="17">
        <v>-1273775670</v>
      </c>
      <c r="G14" s="17">
        <v>0</v>
      </c>
      <c r="I14" s="17">
        <f t="shared" si="0"/>
        <v>-1273775670</v>
      </c>
      <c r="K14" s="19">
        <v>0.21720575837439787</v>
      </c>
      <c r="M14" s="17">
        <v>0</v>
      </c>
      <c r="O14" s="17">
        <v>-2666042100</v>
      </c>
      <c r="Q14" s="17">
        <v>0</v>
      </c>
      <c r="S14" s="17">
        <f t="shared" si="1"/>
        <v>-2666042100</v>
      </c>
      <c r="U14" s="19">
        <v>-4.8504709324602782E-2</v>
      </c>
    </row>
    <row r="15" spans="1:21" ht="21">
      <c r="A15" s="30" t="s">
        <v>45</v>
      </c>
      <c r="C15" s="17">
        <v>0</v>
      </c>
      <c r="E15" s="17">
        <v>-586390095</v>
      </c>
      <c r="G15" s="17">
        <v>0</v>
      </c>
      <c r="I15" s="17">
        <f t="shared" si="0"/>
        <v>-586390095</v>
      </c>
      <c r="K15" s="19">
        <v>9.9991943862226706E-2</v>
      </c>
      <c r="M15" s="17">
        <v>952000000</v>
      </c>
      <c r="O15" s="17">
        <v>-2208679695</v>
      </c>
      <c r="Q15" s="17">
        <v>0</v>
      </c>
      <c r="S15" s="17">
        <f t="shared" si="1"/>
        <v>-1256679695</v>
      </c>
      <c r="U15" s="19">
        <v>-2.286343614757827E-2</v>
      </c>
    </row>
    <row r="16" spans="1:21" ht="21">
      <c r="A16" s="30" t="s">
        <v>212</v>
      </c>
      <c r="C16" s="17">
        <v>0</v>
      </c>
      <c r="E16" s="17">
        <v>-402542620</v>
      </c>
      <c r="G16" s="17">
        <v>0</v>
      </c>
      <c r="I16" s="17">
        <f t="shared" si="0"/>
        <v>-402542620</v>
      </c>
      <c r="K16" s="19">
        <v>6.8642051433685375E-2</v>
      </c>
      <c r="M16" s="17">
        <v>0</v>
      </c>
      <c r="O16" s="17">
        <v>-524228730</v>
      </c>
      <c r="Q16" s="17">
        <v>0</v>
      </c>
      <c r="S16" s="17">
        <f t="shared" si="1"/>
        <v>-524228730</v>
      </c>
      <c r="U16" s="19">
        <v>-9.5375696311231078E-3</v>
      </c>
    </row>
    <row r="17" spans="1:21" ht="21">
      <c r="A17" s="30" t="s">
        <v>46</v>
      </c>
      <c r="C17" s="17">
        <v>0</v>
      </c>
      <c r="E17" s="17">
        <v>-29333203</v>
      </c>
      <c r="G17" s="17">
        <v>-136788503</v>
      </c>
      <c r="I17" s="17">
        <f t="shared" si="0"/>
        <v>-166121706</v>
      </c>
      <c r="K17" s="19">
        <v>2.8327272991623995E-2</v>
      </c>
      <c r="M17" s="17">
        <v>0</v>
      </c>
      <c r="O17" s="17">
        <v>0</v>
      </c>
      <c r="Q17" s="17">
        <v>-136788503</v>
      </c>
      <c r="S17" s="17">
        <f t="shared" si="1"/>
        <v>-136788503</v>
      </c>
      <c r="U17" s="19">
        <v>-2.4886653428925804E-3</v>
      </c>
    </row>
    <row r="18" spans="1:21" ht="21">
      <c r="A18" s="30" t="s">
        <v>213</v>
      </c>
      <c r="C18" s="17">
        <v>0</v>
      </c>
      <c r="E18" s="17">
        <v>1057669200</v>
      </c>
      <c r="G18" s="17">
        <v>-2314315880</v>
      </c>
      <c r="I18" s="17">
        <f t="shared" si="0"/>
        <v>-1256646680</v>
      </c>
      <c r="K18" s="19">
        <v>0.21428490240991122</v>
      </c>
      <c r="M18" s="17">
        <v>0</v>
      </c>
      <c r="O18" s="17">
        <v>0</v>
      </c>
      <c r="Q18" s="17">
        <v>-2314315880</v>
      </c>
      <c r="S18" s="17">
        <f t="shared" si="1"/>
        <v>-2314315880</v>
      </c>
      <c r="U18" s="19">
        <v>-4.2105568792297876E-2</v>
      </c>
    </row>
    <row r="19" spans="1:21" ht="21">
      <c r="A19" s="30" t="s">
        <v>47</v>
      </c>
      <c r="C19" s="17">
        <v>0</v>
      </c>
      <c r="E19" s="17">
        <v>912909526</v>
      </c>
      <c r="G19" s="17">
        <v>2850861976</v>
      </c>
      <c r="I19" s="17">
        <f t="shared" si="0"/>
        <v>3763771502</v>
      </c>
      <c r="K19" s="19">
        <v>-0.64180284071516025</v>
      </c>
      <c r="M19" s="17">
        <v>0</v>
      </c>
      <c r="O19" s="17">
        <v>1842373412</v>
      </c>
      <c r="Q19" s="17">
        <v>2850861976</v>
      </c>
      <c r="S19" s="17">
        <f t="shared" si="1"/>
        <v>4693235388</v>
      </c>
      <c r="U19" s="19">
        <v>8.5386505444486172E-2</v>
      </c>
    </row>
    <row r="20" spans="1:21" ht="21">
      <c r="A20" s="30" t="s">
        <v>50</v>
      </c>
      <c r="C20" s="17">
        <v>0</v>
      </c>
      <c r="E20" s="17">
        <v>678962825</v>
      </c>
      <c r="G20" s="17">
        <v>957825935</v>
      </c>
      <c r="I20" s="17">
        <f t="shared" si="0"/>
        <v>1636788760</v>
      </c>
      <c r="K20" s="19">
        <v>-0.2791071868365097</v>
      </c>
      <c r="M20" s="17">
        <v>0</v>
      </c>
      <c r="O20" s="17">
        <v>678962825</v>
      </c>
      <c r="Q20" s="17">
        <v>957825935</v>
      </c>
      <c r="S20" s="17">
        <f t="shared" si="1"/>
        <v>1636788760</v>
      </c>
      <c r="U20" s="19">
        <v>2.9778960740933919E-2</v>
      </c>
    </row>
    <row r="21" spans="1:21" ht="21">
      <c r="A21" s="30" t="s">
        <v>51</v>
      </c>
      <c r="C21" s="17">
        <v>0</v>
      </c>
      <c r="E21" s="17">
        <v>-508953600</v>
      </c>
      <c r="G21" s="17">
        <v>0</v>
      </c>
      <c r="I21" s="17">
        <f t="shared" si="0"/>
        <v>-508953600</v>
      </c>
      <c r="K21" s="19">
        <v>8.6787379653263386E-2</v>
      </c>
      <c r="M21" s="17">
        <v>0</v>
      </c>
      <c r="O21" s="17">
        <v>-55666800</v>
      </c>
      <c r="Q21" s="17">
        <v>1007320800</v>
      </c>
      <c r="S21" s="17">
        <f t="shared" si="1"/>
        <v>951654000</v>
      </c>
      <c r="U21" s="19">
        <v>1.7313942884696207E-2</v>
      </c>
    </row>
    <row r="22" spans="1:21" ht="21">
      <c r="A22" s="30" t="s">
        <v>53</v>
      </c>
      <c r="C22" s="17">
        <v>0</v>
      </c>
      <c r="E22" s="17">
        <v>-3125999070</v>
      </c>
      <c r="G22" s="17">
        <v>3429894770</v>
      </c>
      <c r="I22" s="17">
        <f t="shared" si="0"/>
        <v>303895700</v>
      </c>
      <c r="K22" s="19">
        <v>-5.1820660057997889E-2</v>
      </c>
      <c r="M22" s="17">
        <v>0</v>
      </c>
      <c r="O22" s="17">
        <v>0</v>
      </c>
      <c r="Q22" s="17">
        <v>6310789540</v>
      </c>
      <c r="S22" s="17">
        <f t="shared" si="1"/>
        <v>6310789540</v>
      </c>
      <c r="U22" s="19">
        <v>0.11481552082258704</v>
      </c>
    </row>
    <row r="23" spans="1:21" ht="21">
      <c r="A23" s="30" t="s">
        <v>214</v>
      </c>
      <c r="C23" s="17">
        <v>0</v>
      </c>
      <c r="E23" s="17">
        <v>-1388190825</v>
      </c>
      <c r="G23" s="17">
        <v>0</v>
      </c>
      <c r="I23" s="17">
        <f t="shared" si="0"/>
        <v>-1388190825</v>
      </c>
      <c r="K23" s="19">
        <v>0.23671596813629359</v>
      </c>
      <c r="M23" s="17">
        <v>0</v>
      </c>
      <c r="O23" s="17">
        <v>-1997046450</v>
      </c>
      <c r="Q23" s="17">
        <v>0</v>
      </c>
      <c r="S23" s="17">
        <f t="shared" si="1"/>
        <v>-1997046450</v>
      </c>
      <c r="U23" s="19">
        <v>-3.6333318804297909E-2</v>
      </c>
    </row>
    <row r="24" spans="1:21" ht="21">
      <c r="A24" s="30" t="s">
        <v>215</v>
      </c>
      <c r="C24" s="17">
        <v>0</v>
      </c>
      <c r="E24" s="17">
        <v>-1658866296</v>
      </c>
      <c r="G24" s="17">
        <v>0</v>
      </c>
      <c r="I24" s="17">
        <f t="shared" si="0"/>
        <v>-1658866296</v>
      </c>
      <c r="K24" s="19">
        <v>0.28287187481325371</v>
      </c>
      <c r="M24" s="17">
        <v>0</v>
      </c>
      <c r="O24" s="17">
        <v>-2058447228</v>
      </c>
      <c r="Q24" s="17">
        <v>0</v>
      </c>
      <c r="S24" s="17">
        <f t="shared" si="1"/>
        <v>-2058447228</v>
      </c>
      <c r="U24" s="19">
        <v>-3.7450415525761706E-2</v>
      </c>
    </row>
    <row r="25" spans="1:21" ht="21">
      <c r="A25" s="30" t="s">
        <v>55</v>
      </c>
      <c r="C25" s="17">
        <v>0</v>
      </c>
      <c r="E25" s="17">
        <v>-537383430</v>
      </c>
      <c r="G25" s="17">
        <v>0</v>
      </c>
      <c r="I25" s="17">
        <f t="shared" si="0"/>
        <v>-537383430</v>
      </c>
      <c r="K25" s="19">
        <v>9.1635268438582398E-2</v>
      </c>
      <c r="M25" s="17">
        <v>0</v>
      </c>
      <c r="O25" s="17">
        <v>-513431712</v>
      </c>
      <c r="Q25" s="17">
        <v>0</v>
      </c>
      <c r="S25" s="17">
        <f t="shared" si="1"/>
        <v>-513431712</v>
      </c>
      <c r="U25" s="19">
        <v>-9.3411337910204676E-3</v>
      </c>
    </row>
    <row r="26" spans="1:21" ht="21">
      <c r="A26" s="30" t="s">
        <v>56</v>
      </c>
      <c r="C26" s="17">
        <v>0</v>
      </c>
      <c r="E26" s="17">
        <v>-1879549740</v>
      </c>
      <c r="G26" s="17">
        <v>0</v>
      </c>
      <c r="I26" s="17">
        <f t="shared" si="0"/>
        <v>-1879549740</v>
      </c>
      <c r="K26" s="19">
        <v>0.32050308095388752</v>
      </c>
      <c r="M26" s="17">
        <v>0</v>
      </c>
      <c r="O26" s="17">
        <v>-3953535660</v>
      </c>
      <c r="Q26" s="17">
        <v>0</v>
      </c>
      <c r="S26" s="17">
        <f t="shared" si="1"/>
        <v>-3953535660</v>
      </c>
      <c r="U26" s="19">
        <v>-7.1928758361599621E-2</v>
      </c>
    </row>
    <row r="27" spans="1:21" ht="21">
      <c r="A27" s="30" t="s">
        <v>216</v>
      </c>
      <c r="C27" s="17">
        <v>0</v>
      </c>
      <c r="E27" s="17">
        <v>89268148</v>
      </c>
      <c r="G27" s="17">
        <v>0</v>
      </c>
      <c r="I27" s="17">
        <f t="shared" si="0"/>
        <v>89268148</v>
      </c>
      <c r="K27" s="19">
        <v>-1.5222111900612756E-2</v>
      </c>
      <c r="M27" s="17">
        <v>0</v>
      </c>
      <c r="O27" s="17">
        <v>-2020901192</v>
      </c>
      <c r="Q27" s="17">
        <v>0</v>
      </c>
      <c r="S27" s="17">
        <f t="shared" si="1"/>
        <v>-2020901192</v>
      </c>
      <c r="U27" s="19">
        <v>-3.6767320700488292E-2</v>
      </c>
    </row>
    <row r="28" spans="1:21" ht="21">
      <c r="A28" s="30" t="s">
        <v>217</v>
      </c>
      <c r="C28" s="17">
        <v>0</v>
      </c>
      <c r="E28" s="17">
        <v>-866083742</v>
      </c>
      <c r="G28" s="17">
        <v>0</v>
      </c>
      <c r="I28" s="17">
        <f t="shared" si="0"/>
        <v>-866083742</v>
      </c>
      <c r="K28" s="19">
        <v>0.14768564075089166</v>
      </c>
      <c r="M28" s="17">
        <v>0</v>
      </c>
      <c r="O28" s="17">
        <v>-302159177</v>
      </c>
      <c r="Q28" s="17">
        <v>902449800</v>
      </c>
      <c r="S28" s="17">
        <f t="shared" si="1"/>
        <v>600290623</v>
      </c>
      <c r="U28" s="19">
        <v>1.0921403746362338E-2</v>
      </c>
    </row>
    <row r="29" spans="1:21" ht="21">
      <c r="A29" s="30" t="s">
        <v>57</v>
      </c>
      <c r="C29" s="17">
        <v>0</v>
      </c>
      <c r="E29" s="17">
        <v>635558671</v>
      </c>
      <c r="G29" s="17">
        <v>0</v>
      </c>
      <c r="I29" s="17">
        <f t="shared" si="0"/>
        <v>635558671</v>
      </c>
      <c r="K29" s="19">
        <v>-0.1083762285442141</v>
      </c>
      <c r="M29" s="17">
        <v>0</v>
      </c>
      <c r="O29" s="17">
        <v>1103400470</v>
      </c>
      <c r="Q29" s="17">
        <v>0</v>
      </c>
      <c r="S29" s="17">
        <f t="shared" si="1"/>
        <v>1103400470</v>
      </c>
      <c r="U29" s="19">
        <v>2.0074746406285215E-2</v>
      </c>
    </row>
    <row r="30" spans="1:21" ht="21">
      <c r="A30" s="30" t="s">
        <v>218</v>
      </c>
      <c r="C30" s="17">
        <v>0</v>
      </c>
      <c r="E30" s="17">
        <v>-97754728</v>
      </c>
      <c r="G30" s="17">
        <v>0</v>
      </c>
      <c r="I30" s="17">
        <f t="shared" si="0"/>
        <v>-97754728</v>
      </c>
      <c r="K30" s="19">
        <v>1.6669253723399335E-2</v>
      </c>
      <c r="M30" s="17">
        <v>0</v>
      </c>
      <c r="O30" s="17">
        <v>314987457</v>
      </c>
      <c r="Q30" s="17">
        <v>0</v>
      </c>
      <c r="S30" s="17">
        <f t="shared" si="1"/>
        <v>314987457</v>
      </c>
      <c r="U30" s="19">
        <v>5.730732850273001E-3</v>
      </c>
    </row>
    <row r="31" spans="1:21" ht="21">
      <c r="A31" s="30" t="s">
        <v>219</v>
      </c>
      <c r="C31" s="17">
        <v>0</v>
      </c>
      <c r="E31" s="17">
        <v>2637224352</v>
      </c>
      <c r="G31" s="17">
        <v>0</v>
      </c>
      <c r="I31" s="17">
        <f t="shared" si="0"/>
        <v>2637224352</v>
      </c>
      <c r="K31" s="19">
        <v>-0.44970266654535013</v>
      </c>
      <c r="M31" s="17">
        <v>0</v>
      </c>
      <c r="O31" s="17">
        <v>2934975488</v>
      </c>
      <c r="Q31" s="17">
        <v>0</v>
      </c>
      <c r="S31" s="17">
        <f t="shared" si="1"/>
        <v>2934975488</v>
      </c>
      <c r="U31" s="19">
        <v>5.3397556220239055E-2</v>
      </c>
    </row>
    <row r="32" spans="1:21" ht="21">
      <c r="A32" s="30" t="s">
        <v>59</v>
      </c>
      <c r="C32" s="17">
        <v>0</v>
      </c>
      <c r="E32" s="17">
        <v>-1559025258</v>
      </c>
      <c r="G32" s="17">
        <v>0</v>
      </c>
      <c r="I32" s="17">
        <f t="shared" si="0"/>
        <v>-1559025258</v>
      </c>
      <c r="K32" s="19">
        <v>0.26584686100083171</v>
      </c>
      <c r="M32" s="17">
        <v>0</v>
      </c>
      <c r="O32" s="17">
        <v>1154516549</v>
      </c>
      <c r="Q32" s="17">
        <v>0</v>
      </c>
      <c r="S32" s="17">
        <f t="shared" si="1"/>
        <v>1154516549</v>
      </c>
      <c r="U32" s="19">
        <v>2.1004728177281419E-2</v>
      </c>
    </row>
    <row r="33" spans="1:21" ht="21">
      <c r="A33" s="30" t="s">
        <v>60</v>
      </c>
      <c r="C33" s="17">
        <v>0</v>
      </c>
      <c r="E33" s="17">
        <v>-220711364</v>
      </c>
      <c r="G33" s="17">
        <v>0</v>
      </c>
      <c r="I33" s="17">
        <f t="shared" si="0"/>
        <v>-220711364</v>
      </c>
      <c r="K33" s="19">
        <v>3.7635967092594709E-2</v>
      </c>
      <c r="M33" s="17">
        <v>0</v>
      </c>
      <c r="O33" s="17">
        <v>-423896362</v>
      </c>
      <c r="Q33" s="17">
        <v>0</v>
      </c>
      <c r="S33" s="17">
        <f t="shared" si="1"/>
        <v>-423896362</v>
      </c>
      <c r="U33" s="19">
        <v>-7.7121699700715887E-3</v>
      </c>
    </row>
    <row r="34" spans="1:21" ht="21">
      <c r="A34" s="30" t="s">
        <v>220</v>
      </c>
      <c r="C34" s="17">
        <v>0</v>
      </c>
      <c r="E34" s="17">
        <v>-1017907200</v>
      </c>
      <c r="G34" s="17">
        <v>0</v>
      </c>
      <c r="I34" s="17">
        <f t="shared" si="0"/>
        <v>-1017907200</v>
      </c>
      <c r="K34" s="19">
        <v>0.17357475930652677</v>
      </c>
      <c r="M34" s="17">
        <v>0</v>
      </c>
      <c r="O34" s="17">
        <v>-59643000</v>
      </c>
      <c r="Q34" s="17">
        <v>0</v>
      </c>
      <c r="S34" s="17">
        <f t="shared" si="1"/>
        <v>-59643000</v>
      </c>
      <c r="U34" s="19">
        <v>-1.0851165397002859E-3</v>
      </c>
    </row>
    <row r="35" spans="1:21" ht="21">
      <c r="A35" s="30" t="s">
        <v>221</v>
      </c>
      <c r="C35" s="17">
        <v>0</v>
      </c>
      <c r="E35" s="17">
        <v>-1056178125</v>
      </c>
      <c r="G35" s="17">
        <v>0</v>
      </c>
      <c r="I35" s="17">
        <f t="shared" si="0"/>
        <v>-1056178125</v>
      </c>
      <c r="K35" s="19">
        <v>0.18010076344061005</v>
      </c>
      <c r="M35" s="17">
        <v>0</v>
      </c>
      <c r="O35" s="17">
        <v>-1006475625</v>
      </c>
      <c r="Q35" s="17">
        <v>0</v>
      </c>
      <c r="S35" s="17">
        <f t="shared" si="1"/>
        <v>-1006475625</v>
      </c>
      <c r="U35" s="19">
        <v>-1.8311341607442324E-2</v>
      </c>
    </row>
    <row r="36" spans="1:21" ht="21">
      <c r="A36" s="30" t="s">
        <v>222</v>
      </c>
      <c r="C36" s="17">
        <v>0</v>
      </c>
      <c r="E36" s="17">
        <v>-4048735828</v>
      </c>
      <c r="G36" s="17">
        <v>0</v>
      </c>
      <c r="I36" s="17">
        <f t="shared" si="0"/>
        <v>-4048735828</v>
      </c>
      <c r="K36" s="19">
        <v>0.69039530012245853</v>
      </c>
      <c r="M36" s="17">
        <v>4394680000</v>
      </c>
      <c r="O36" s="17">
        <v>-3348805342</v>
      </c>
      <c r="Q36" s="17">
        <v>0</v>
      </c>
      <c r="S36" s="17">
        <f t="shared" si="1"/>
        <v>1045874658</v>
      </c>
      <c r="U36" s="19">
        <v>1.9028148983940781E-2</v>
      </c>
    </row>
    <row r="37" spans="1:21" ht="21">
      <c r="A37" s="30" t="s">
        <v>61</v>
      </c>
      <c r="C37" s="17">
        <v>0</v>
      </c>
      <c r="E37" s="17">
        <v>-1202402880</v>
      </c>
      <c r="G37" s="17">
        <v>0</v>
      </c>
      <c r="I37" s="17">
        <f t="shared" si="0"/>
        <v>-1202402880</v>
      </c>
      <c r="K37" s="19">
        <v>0.20503518443083477</v>
      </c>
      <c r="M37" s="17">
        <v>0</v>
      </c>
      <c r="O37" s="17">
        <v>-1581732360</v>
      </c>
      <c r="Q37" s="17">
        <v>0</v>
      </c>
      <c r="S37" s="17">
        <f t="shared" si="1"/>
        <v>-1581732360</v>
      </c>
      <c r="U37" s="19">
        <v>-2.8777290632851584E-2</v>
      </c>
    </row>
    <row r="38" spans="1:21" ht="21">
      <c r="A38" s="30" t="s">
        <v>62</v>
      </c>
      <c r="C38" s="17">
        <v>0</v>
      </c>
      <c r="E38" s="17">
        <v>-569091349</v>
      </c>
      <c r="G38" s="17">
        <v>0</v>
      </c>
      <c r="I38" s="17">
        <f t="shared" si="0"/>
        <v>-569091349</v>
      </c>
      <c r="K38" s="19">
        <v>9.7042140900566995E-2</v>
      </c>
      <c r="M38" s="17">
        <v>0</v>
      </c>
      <c r="O38" s="17">
        <v>221856686</v>
      </c>
      <c r="Q38" s="17">
        <v>573417743</v>
      </c>
      <c r="S38" s="17">
        <f t="shared" si="1"/>
        <v>795274429</v>
      </c>
      <c r="U38" s="19">
        <v>1.4468846914283332E-2</v>
      </c>
    </row>
    <row r="39" spans="1:21" ht="21">
      <c r="A39" s="30" t="s">
        <v>249</v>
      </c>
      <c r="C39" s="26">
        <f>SUM(C9:C38)</f>
        <v>0</v>
      </c>
      <c r="E39" s="26">
        <f>SUM(E9:E38)</f>
        <v>-18575124284</v>
      </c>
      <c r="G39" s="26">
        <f>SUM(G9:G38)</f>
        <v>4983491098</v>
      </c>
      <c r="I39" s="26">
        <f>SUM(I9:I38)</f>
        <v>-13591633186</v>
      </c>
      <c r="K39" s="25">
        <f>SUM(K9:K38)</f>
        <v>2.3176616285281719</v>
      </c>
      <c r="M39" s="26">
        <f>SUM(M9:M38)</f>
        <v>5346680000</v>
      </c>
      <c r="O39" s="26">
        <f>SUM(O9:O38)</f>
        <v>-17157786359</v>
      </c>
      <c r="Q39" s="26">
        <f>SUM(Q9:Q38)</f>
        <v>10347574211</v>
      </c>
      <c r="S39" s="26">
        <f>SUM(S9:S38)</f>
        <v>-1463532148</v>
      </c>
      <c r="U39" s="25">
        <f>SUM(U9:U38)</f>
        <v>-2.66268118669062E-2</v>
      </c>
    </row>
    <row r="40" spans="1:21" ht="20.100000000000001" customHeight="1">
      <c r="A40" s="6" t="s">
        <v>250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ht="20.100000000000001" customHeight="1">
      <c r="A41" s="6" t="s">
        <v>162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ht="20.100000000000001" customHeight="1">
      <c r="A42" s="6" t="s">
        <v>1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4" spans="1:21" ht="21">
      <c r="A44" s="9" t="s">
        <v>254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9"/>
      <c r="U44" s="7"/>
    </row>
    <row r="46" spans="1:21" ht="21">
      <c r="C46" s="10" t="s">
        <v>253</v>
      </c>
      <c r="D46" s="11"/>
      <c r="E46" s="11"/>
      <c r="F46" s="11"/>
      <c r="G46" s="11"/>
      <c r="H46" s="11"/>
      <c r="I46" s="11"/>
      <c r="J46" s="11"/>
      <c r="K46" s="11"/>
      <c r="M46" s="10" t="s">
        <v>292</v>
      </c>
      <c r="N46" s="11"/>
      <c r="O46" s="11"/>
      <c r="P46" s="11"/>
      <c r="Q46" s="11"/>
      <c r="R46" s="11"/>
      <c r="S46" s="11"/>
      <c r="T46" s="11"/>
      <c r="U46" s="11"/>
    </row>
    <row r="47" spans="1:21" ht="42">
      <c r="A47" s="29" t="s">
        <v>206</v>
      </c>
      <c r="C47" s="31" t="s">
        <v>172</v>
      </c>
      <c r="E47" s="31" t="s">
        <v>207</v>
      </c>
      <c r="G47" s="31" t="s">
        <v>208</v>
      </c>
      <c r="I47" s="31" t="s">
        <v>209</v>
      </c>
      <c r="K47" s="31" t="s">
        <v>210</v>
      </c>
      <c r="M47" s="31" t="s">
        <v>172</v>
      </c>
      <c r="O47" s="31" t="s">
        <v>207</v>
      </c>
      <c r="Q47" s="31" t="s">
        <v>208</v>
      </c>
      <c r="S47" s="31" t="s">
        <v>209</v>
      </c>
      <c r="U47" s="31" t="s">
        <v>210</v>
      </c>
    </row>
    <row r="48" spans="1:21" ht="21">
      <c r="A48" s="30" t="s">
        <v>251</v>
      </c>
      <c r="C48" s="17">
        <f>C39</f>
        <v>0</v>
      </c>
      <c r="E48" s="17">
        <f>E39</f>
        <v>-18575124284</v>
      </c>
      <c r="G48" s="17">
        <f>G39</f>
        <v>4983491098</v>
      </c>
      <c r="I48" s="17">
        <f>I39</f>
        <v>-13591633186</v>
      </c>
      <c r="K48" s="19">
        <f>K39</f>
        <v>2.3176616285281719</v>
      </c>
      <c r="M48" s="17">
        <f>M39</f>
        <v>5346680000</v>
      </c>
      <c r="O48" s="17">
        <f>O39</f>
        <v>-17157786359</v>
      </c>
      <c r="Q48" s="17">
        <f>Q39</f>
        <v>10347574211</v>
      </c>
      <c r="S48" s="17">
        <f>S39</f>
        <v>-1463532148</v>
      </c>
      <c r="U48" s="19">
        <f>U39</f>
        <v>-2.66268118669062E-2</v>
      </c>
    </row>
    <row r="49" spans="1:21" ht="21">
      <c r="A49" s="30" t="s">
        <v>63</v>
      </c>
      <c r="C49" s="17">
        <v>0</v>
      </c>
      <c r="E49" s="17">
        <v>-329376750</v>
      </c>
      <c r="G49" s="17">
        <v>0</v>
      </c>
      <c r="I49" s="17">
        <f t="shared" si="0"/>
        <v>-329376750</v>
      </c>
      <c r="K49" s="19">
        <v>5.6165719333173048E-2</v>
      </c>
      <c r="M49" s="17">
        <v>0</v>
      </c>
      <c r="O49" s="17">
        <v>-329376750</v>
      </c>
      <c r="Q49" s="17">
        <v>0</v>
      </c>
      <c r="S49" s="17">
        <f t="shared" si="1"/>
        <v>-329376750</v>
      </c>
      <c r="U49" s="19">
        <v>-5.9925248431119517E-3</v>
      </c>
    </row>
    <row r="50" spans="1:21" ht="21">
      <c r="A50" s="30" t="s">
        <v>64</v>
      </c>
      <c r="C50" s="17">
        <v>0</v>
      </c>
      <c r="E50" s="17">
        <v>-679697727</v>
      </c>
      <c r="G50" s="17">
        <v>-1048420863</v>
      </c>
      <c r="I50" s="17">
        <f t="shared" si="0"/>
        <v>-1728118590</v>
      </c>
      <c r="K50" s="19">
        <v>0.29468085922998133</v>
      </c>
      <c r="M50" s="17">
        <v>0</v>
      </c>
      <c r="O50" s="17">
        <v>0</v>
      </c>
      <c r="Q50" s="17">
        <v>1447873382</v>
      </c>
      <c r="S50" s="17">
        <f t="shared" si="1"/>
        <v>1447873382</v>
      </c>
      <c r="U50" s="19">
        <v>2.6341923682577841E-2</v>
      </c>
    </row>
    <row r="51" spans="1:21" ht="21">
      <c r="A51" s="30" t="s">
        <v>65</v>
      </c>
      <c r="C51" s="17">
        <v>0</v>
      </c>
      <c r="E51" s="17">
        <v>-4572630000</v>
      </c>
      <c r="G51" s="17">
        <v>0</v>
      </c>
      <c r="I51" s="17">
        <f t="shared" si="0"/>
        <v>-4572630000</v>
      </c>
      <c r="K51" s="19">
        <v>0.77973036407228824</v>
      </c>
      <c r="M51" s="17">
        <v>0</v>
      </c>
      <c r="O51" s="17">
        <v>9940500000</v>
      </c>
      <c r="Q51" s="17">
        <v>2805783244</v>
      </c>
      <c r="S51" s="17">
        <f t="shared" si="1"/>
        <v>12746283244</v>
      </c>
      <c r="U51" s="19">
        <v>0.23189985023840209</v>
      </c>
    </row>
    <row r="52" spans="1:21" ht="21">
      <c r="A52" s="30" t="s">
        <v>68</v>
      </c>
      <c r="C52" s="17">
        <v>0</v>
      </c>
      <c r="E52" s="17">
        <v>0</v>
      </c>
      <c r="G52" s="17">
        <v>157727</v>
      </c>
      <c r="I52" s="17">
        <f t="shared" si="0"/>
        <v>157727</v>
      </c>
      <c r="K52" s="19">
        <v>-2.6895797633753401E-5</v>
      </c>
      <c r="M52" s="17">
        <v>0</v>
      </c>
      <c r="O52" s="17">
        <v>0</v>
      </c>
      <c r="Q52" s="17">
        <v>157727</v>
      </c>
      <c r="S52" s="17">
        <f t="shared" si="1"/>
        <v>157727</v>
      </c>
      <c r="U52" s="19">
        <v>2.8696104565046527E-6</v>
      </c>
    </row>
    <row r="53" spans="1:21" ht="21">
      <c r="A53" s="30" t="s">
        <v>223</v>
      </c>
      <c r="C53" s="17">
        <v>0</v>
      </c>
      <c r="E53" s="17">
        <v>82704960</v>
      </c>
      <c r="G53" s="17">
        <v>-364180561</v>
      </c>
      <c r="I53" s="17">
        <f t="shared" si="0"/>
        <v>-281475601</v>
      </c>
      <c r="K53" s="19">
        <v>4.799755782672032E-2</v>
      </c>
      <c r="M53" s="17">
        <v>0</v>
      </c>
      <c r="O53" s="17">
        <v>0</v>
      </c>
      <c r="Q53" s="17">
        <v>-364180561</v>
      </c>
      <c r="S53" s="17">
        <f t="shared" si="1"/>
        <v>-364180561</v>
      </c>
      <c r="U53" s="19">
        <v>-6.6257289234013866E-3</v>
      </c>
    </row>
    <row r="54" spans="1:21" ht="21">
      <c r="A54" s="30" t="s">
        <v>70</v>
      </c>
      <c r="C54" s="17">
        <v>0</v>
      </c>
      <c r="E54" s="17">
        <v>-3151635525</v>
      </c>
      <c r="G54" s="17">
        <v>0</v>
      </c>
      <c r="I54" s="17">
        <f t="shared" si="0"/>
        <v>-3151635525</v>
      </c>
      <c r="K54" s="19">
        <v>0.5374206781067804</v>
      </c>
      <c r="M54" s="17">
        <v>0</v>
      </c>
      <c r="O54" s="17">
        <v>-5761615599</v>
      </c>
      <c r="Q54" s="17">
        <v>0</v>
      </c>
      <c r="S54" s="17">
        <f t="shared" si="1"/>
        <v>-5761615599</v>
      </c>
      <c r="U54" s="19">
        <v>-0.10482410981791779</v>
      </c>
    </row>
    <row r="55" spans="1:21" ht="21">
      <c r="A55" s="30" t="s">
        <v>224</v>
      </c>
      <c r="C55" s="17">
        <v>0</v>
      </c>
      <c r="E55" s="17">
        <v>-4137221070</v>
      </c>
      <c r="G55" s="17">
        <v>0</v>
      </c>
      <c r="I55" s="17">
        <f t="shared" si="0"/>
        <v>-4137221070</v>
      </c>
      <c r="K55" s="19">
        <v>0.70548390995086896</v>
      </c>
      <c r="M55" s="17">
        <v>0</v>
      </c>
      <c r="O55" s="17">
        <v>-6293467417</v>
      </c>
      <c r="Q55" s="17">
        <v>0</v>
      </c>
      <c r="S55" s="17">
        <f t="shared" si="1"/>
        <v>-6293467417</v>
      </c>
      <c r="U55" s="19">
        <v>-0.11450037030752203</v>
      </c>
    </row>
    <row r="56" spans="1:21" ht="21">
      <c r="A56" s="30" t="s">
        <v>72</v>
      </c>
      <c r="C56" s="17">
        <v>0</v>
      </c>
      <c r="E56" s="17">
        <v>-278334000</v>
      </c>
      <c r="G56" s="17">
        <v>0</v>
      </c>
      <c r="I56" s="17">
        <f t="shared" si="0"/>
        <v>-278334000</v>
      </c>
      <c r="K56" s="19">
        <v>4.7461848247878413E-2</v>
      </c>
      <c r="M56" s="17">
        <v>0</v>
      </c>
      <c r="O56" s="17">
        <v>-475155900</v>
      </c>
      <c r="Q56" s="17">
        <v>0</v>
      </c>
      <c r="S56" s="17">
        <f t="shared" si="1"/>
        <v>-475155900</v>
      </c>
      <c r="U56" s="19">
        <v>-8.6447617662789439E-3</v>
      </c>
    </row>
    <row r="57" spans="1:21" ht="21">
      <c r="A57" s="30" t="s">
        <v>225</v>
      </c>
      <c r="C57" s="17">
        <v>0</v>
      </c>
      <c r="E57" s="17">
        <v>-1107103823</v>
      </c>
      <c r="G57" s="17">
        <v>0</v>
      </c>
      <c r="I57" s="17">
        <f t="shared" si="0"/>
        <v>-1107103823</v>
      </c>
      <c r="K57" s="19">
        <v>0.18878467467816382</v>
      </c>
      <c r="M57" s="17">
        <v>0</v>
      </c>
      <c r="O57" s="17">
        <v>-200079004</v>
      </c>
      <c r="Q57" s="17">
        <v>0</v>
      </c>
      <c r="S57" s="17">
        <f t="shared" si="1"/>
        <v>-200079004</v>
      </c>
      <c r="U57" s="19">
        <v>-3.6401427910594648E-3</v>
      </c>
    </row>
    <row r="58" spans="1:21" ht="21">
      <c r="A58" s="30" t="s">
        <v>75</v>
      </c>
      <c r="C58" s="17">
        <v>0</v>
      </c>
      <c r="E58" s="17">
        <v>-2738627120</v>
      </c>
      <c r="G58" s="17">
        <v>1838065920</v>
      </c>
      <c r="I58" s="17">
        <f t="shared" si="0"/>
        <v>-900561200</v>
      </c>
      <c r="K58" s="19">
        <v>0.15356477833224574</v>
      </c>
      <c r="M58" s="17">
        <v>0</v>
      </c>
      <c r="O58" s="17">
        <v>-903572080</v>
      </c>
      <c r="Q58" s="17">
        <v>1838065920</v>
      </c>
      <c r="S58" s="17">
        <f t="shared" si="1"/>
        <v>934493840</v>
      </c>
      <c r="U58" s="19">
        <v>1.7001739047868697E-2</v>
      </c>
    </row>
    <row r="59" spans="1:21" ht="21">
      <c r="A59" s="30" t="s">
        <v>226</v>
      </c>
      <c r="C59" s="17">
        <v>0</v>
      </c>
      <c r="E59" s="17">
        <v>-1859327028</v>
      </c>
      <c r="G59" s="17">
        <v>0</v>
      </c>
      <c r="I59" s="17">
        <f t="shared" si="0"/>
        <v>-1859327028</v>
      </c>
      <c r="K59" s="19">
        <v>0.31705467979519131</v>
      </c>
      <c r="M59" s="17">
        <v>0</v>
      </c>
      <c r="O59" s="17">
        <v>-3254973228</v>
      </c>
      <c r="Q59" s="17">
        <v>0</v>
      </c>
      <c r="S59" s="17">
        <f t="shared" si="1"/>
        <v>-3254973228</v>
      </c>
      <c r="U59" s="19">
        <v>-5.9219443790292738E-2</v>
      </c>
    </row>
    <row r="60" spans="1:21" ht="21">
      <c r="A60" s="30" t="s">
        <v>227</v>
      </c>
      <c r="C60" s="17">
        <v>0</v>
      </c>
      <c r="E60" s="17">
        <v>-3943031120</v>
      </c>
      <c r="G60" s="17">
        <v>0</v>
      </c>
      <c r="I60" s="17">
        <f t="shared" si="0"/>
        <v>-3943031120</v>
      </c>
      <c r="K60" s="19">
        <v>0.67237040625328581</v>
      </c>
      <c r="M60" s="17">
        <v>0</v>
      </c>
      <c r="O60" s="17">
        <v>-5736454150</v>
      </c>
      <c r="Q60" s="17">
        <v>0</v>
      </c>
      <c r="S60" s="17">
        <f t="shared" si="1"/>
        <v>-5736454150</v>
      </c>
      <c r="U60" s="19">
        <v>-0.10436633431244816</v>
      </c>
    </row>
    <row r="61" spans="1:21" ht="21">
      <c r="A61" s="30" t="s">
        <v>228</v>
      </c>
      <c r="C61" s="17">
        <v>0</v>
      </c>
      <c r="E61" s="17">
        <v>1347136560</v>
      </c>
      <c r="G61" s="17">
        <v>0</v>
      </c>
      <c r="I61" s="17">
        <f t="shared" si="0"/>
        <v>1347136560</v>
      </c>
      <c r="K61" s="19">
        <v>-0.22971534551973152</v>
      </c>
      <c r="M61" s="17">
        <v>0</v>
      </c>
      <c r="O61" s="17">
        <v>5633480160</v>
      </c>
      <c r="Q61" s="17">
        <v>0</v>
      </c>
      <c r="S61" s="17">
        <f t="shared" si="1"/>
        <v>5633480160</v>
      </c>
      <c r="U61" s="19">
        <v>0.10249287422982434</v>
      </c>
    </row>
    <row r="62" spans="1:21" ht="21">
      <c r="A62" s="30" t="s">
        <v>78</v>
      </c>
      <c r="C62" s="17">
        <v>0</v>
      </c>
      <c r="E62" s="17">
        <v>-1542588030</v>
      </c>
      <c r="G62" s="17">
        <v>2697705400</v>
      </c>
      <c r="I62" s="17">
        <f t="shared" si="0"/>
        <v>1155117370</v>
      </c>
      <c r="K62" s="19">
        <v>-0.19697200242668314</v>
      </c>
      <c r="M62" s="17">
        <v>0</v>
      </c>
      <c r="O62" s="17">
        <v>0</v>
      </c>
      <c r="Q62" s="17">
        <v>2697705400</v>
      </c>
      <c r="S62" s="17">
        <f t="shared" si="1"/>
        <v>2697705400</v>
      </c>
      <c r="U62" s="19">
        <v>4.9080776432754485E-2</v>
      </c>
    </row>
    <row r="63" spans="1:21" ht="21">
      <c r="A63" s="30" t="s">
        <v>80</v>
      </c>
      <c r="C63" s="17">
        <v>0</v>
      </c>
      <c r="E63" s="17">
        <v>-1415084851</v>
      </c>
      <c r="G63" s="17">
        <v>0</v>
      </c>
      <c r="I63" s="17">
        <f t="shared" si="0"/>
        <v>-1415084851</v>
      </c>
      <c r="K63" s="19">
        <v>0.24130196977743876</v>
      </c>
      <c r="M63" s="17">
        <v>0</v>
      </c>
      <c r="O63" s="17">
        <v>-1126810351</v>
      </c>
      <c r="Q63" s="17">
        <v>0</v>
      </c>
      <c r="S63" s="17">
        <f t="shared" si="1"/>
        <v>-1126810351</v>
      </c>
      <c r="U63" s="19">
        <v>-2.0500654711794925E-2</v>
      </c>
    </row>
    <row r="64" spans="1:21" ht="21">
      <c r="A64" s="30" t="s">
        <v>84</v>
      </c>
      <c r="C64" s="17">
        <v>0</v>
      </c>
      <c r="E64" s="17">
        <v>-647748720</v>
      </c>
      <c r="G64" s="17">
        <v>0</v>
      </c>
      <c r="I64" s="17">
        <f t="shared" si="0"/>
        <v>-647748720</v>
      </c>
      <c r="K64" s="19">
        <v>0.11045489035258893</v>
      </c>
      <c r="M64" s="17">
        <v>0</v>
      </c>
      <c r="O64" s="17">
        <v>-647748720</v>
      </c>
      <c r="Q64" s="17">
        <v>0</v>
      </c>
      <c r="S64" s="17">
        <f t="shared" si="1"/>
        <v>-647748720</v>
      </c>
      <c r="U64" s="19">
        <v>-1.17848339225339E-2</v>
      </c>
    </row>
    <row r="65" spans="1:21" ht="21">
      <c r="A65" s="30" t="s">
        <v>229</v>
      </c>
      <c r="C65" s="17">
        <v>0</v>
      </c>
      <c r="E65" s="17">
        <v>914526000</v>
      </c>
      <c r="G65" s="17">
        <v>0</v>
      </c>
      <c r="I65" s="17">
        <f t="shared" si="0"/>
        <v>914526000</v>
      </c>
      <c r="K65" s="19">
        <v>-0.15594607281445766</v>
      </c>
      <c r="M65" s="17">
        <v>0</v>
      </c>
      <c r="O65" s="17">
        <v>566608500</v>
      </c>
      <c r="Q65" s="17">
        <v>0</v>
      </c>
      <c r="S65" s="17">
        <f t="shared" si="1"/>
        <v>566608500</v>
      </c>
      <c r="U65" s="19">
        <v>1.0308607127152716E-2</v>
      </c>
    </row>
    <row r="66" spans="1:21" ht="21">
      <c r="A66" s="30" t="s">
        <v>230</v>
      </c>
      <c r="C66" s="17">
        <v>0</v>
      </c>
      <c r="E66" s="17">
        <v>626748525</v>
      </c>
      <c r="G66" s="17">
        <v>0</v>
      </c>
      <c r="I66" s="17">
        <f t="shared" si="0"/>
        <v>626748525</v>
      </c>
      <c r="K66" s="19">
        <v>-0.10687391185816908</v>
      </c>
      <c r="M66" s="17">
        <v>0</v>
      </c>
      <c r="O66" s="17">
        <v>1919774413</v>
      </c>
      <c r="Q66" s="17">
        <v>0</v>
      </c>
      <c r="S66" s="17">
        <f t="shared" si="1"/>
        <v>1919774413</v>
      </c>
      <c r="U66" s="19">
        <v>3.4927467901341443E-2</v>
      </c>
    </row>
    <row r="67" spans="1:21" ht="21">
      <c r="A67" s="30" t="s">
        <v>231</v>
      </c>
      <c r="C67" s="17">
        <v>0</v>
      </c>
      <c r="E67" s="17">
        <v>447433292</v>
      </c>
      <c r="G67" s="17">
        <v>0</v>
      </c>
      <c r="I67" s="17">
        <f t="shared" si="0"/>
        <v>447433292</v>
      </c>
      <c r="K67" s="19">
        <v>-7.629686278339215E-2</v>
      </c>
      <c r="M67" s="17">
        <v>0</v>
      </c>
      <c r="O67" s="17">
        <v>838937424</v>
      </c>
      <c r="Q67" s="17">
        <v>0</v>
      </c>
      <c r="S67" s="17">
        <f t="shared" si="1"/>
        <v>838937424</v>
      </c>
      <c r="U67" s="19">
        <v>1.5263230799187694E-2</v>
      </c>
    </row>
    <row r="68" spans="1:21" ht="21">
      <c r="A68" s="30" t="s">
        <v>85</v>
      </c>
      <c r="C68" s="17">
        <v>0</v>
      </c>
      <c r="E68" s="17">
        <v>2628022312</v>
      </c>
      <c r="G68" s="17">
        <v>0</v>
      </c>
      <c r="I68" s="17">
        <f t="shared" si="0"/>
        <v>2628022312</v>
      </c>
      <c r="K68" s="19">
        <v>-0.4481335236233539</v>
      </c>
      <c r="M68" s="17">
        <v>0</v>
      </c>
      <c r="O68" s="17">
        <v>2628022312</v>
      </c>
      <c r="Q68" s="17">
        <v>0</v>
      </c>
      <c r="S68" s="17">
        <f t="shared" si="1"/>
        <v>2628022312</v>
      </c>
      <c r="U68" s="19">
        <v>4.7812995279455851E-2</v>
      </c>
    </row>
    <row r="69" spans="1:21" ht="21">
      <c r="A69" s="30" t="s">
        <v>86</v>
      </c>
      <c r="C69" s="17">
        <v>0</v>
      </c>
      <c r="E69" s="17">
        <v>3912431692</v>
      </c>
      <c r="G69" s="17">
        <v>0</v>
      </c>
      <c r="I69" s="17">
        <f t="shared" si="0"/>
        <v>3912431692</v>
      </c>
      <c r="K69" s="19">
        <v>-0.66715255500906889</v>
      </c>
      <c r="M69" s="17">
        <v>0</v>
      </c>
      <c r="O69" s="17">
        <v>3912431692</v>
      </c>
      <c r="Q69" s="17">
        <v>0</v>
      </c>
      <c r="S69" s="17">
        <f t="shared" si="1"/>
        <v>3912431692</v>
      </c>
      <c r="U69" s="19">
        <v>7.1180932203892738E-2</v>
      </c>
    </row>
    <row r="70" spans="1:21" ht="21">
      <c r="A70" s="30" t="s">
        <v>87</v>
      </c>
      <c r="C70" s="17">
        <v>0</v>
      </c>
      <c r="E70" s="17">
        <v>-156065850</v>
      </c>
      <c r="G70" s="17">
        <v>0</v>
      </c>
      <c r="I70" s="17">
        <f t="shared" si="0"/>
        <v>-156065850</v>
      </c>
      <c r="K70" s="19">
        <v>2.6612536338988968E-2</v>
      </c>
      <c r="M70" s="17">
        <v>0</v>
      </c>
      <c r="O70" s="17">
        <v>363822300</v>
      </c>
      <c r="Q70" s="17">
        <v>0</v>
      </c>
      <c r="S70" s="17">
        <f t="shared" si="1"/>
        <v>363822300</v>
      </c>
      <c r="U70" s="19">
        <v>6.619210892171744E-3</v>
      </c>
    </row>
    <row r="71" spans="1:21" ht="21">
      <c r="A71" s="30" t="s">
        <v>88</v>
      </c>
      <c r="C71" s="17">
        <v>0</v>
      </c>
      <c r="E71" s="17">
        <v>5742114704</v>
      </c>
      <c r="G71" s="17">
        <v>0</v>
      </c>
      <c r="I71" s="17">
        <f t="shared" si="0"/>
        <v>5742114704</v>
      </c>
      <c r="K71" s="19">
        <v>-0.97915230156272426</v>
      </c>
      <c r="M71" s="17">
        <v>0</v>
      </c>
      <c r="O71" s="17">
        <v>5742114704</v>
      </c>
      <c r="Q71" s="17">
        <v>0</v>
      </c>
      <c r="S71" s="17">
        <f t="shared" si="1"/>
        <v>5742114704</v>
      </c>
      <c r="U71" s="19">
        <v>0.10446931975532102</v>
      </c>
    </row>
    <row r="72" spans="1:21" ht="21">
      <c r="A72" s="30" t="s">
        <v>89</v>
      </c>
      <c r="C72" s="17">
        <v>0</v>
      </c>
      <c r="E72" s="17">
        <v>1223649029</v>
      </c>
      <c r="G72" s="17">
        <v>0</v>
      </c>
      <c r="I72" s="17">
        <f t="shared" si="0"/>
        <v>1223649029</v>
      </c>
      <c r="K72" s="19">
        <v>-0.20865810329698051</v>
      </c>
      <c r="M72" s="17">
        <v>0</v>
      </c>
      <c r="O72" s="17">
        <v>1223649029</v>
      </c>
      <c r="Q72" s="17">
        <v>0</v>
      </c>
      <c r="S72" s="17">
        <f t="shared" si="1"/>
        <v>1223649029</v>
      </c>
      <c r="U72" s="19">
        <v>2.2262491828984037E-2</v>
      </c>
    </row>
    <row r="73" spans="1:21" ht="21">
      <c r="A73" s="30" t="s">
        <v>232</v>
      </c>
      <c r="C73" s="17">
        <v>0</v>
      </c>
      <c r="E73" s="17">
        <v>4485153600</v>
      </c>
      <c r="G73" s="17">
        <v>0</v>
      </c>
      <c r="I73" s="17">
        <f t="shared" si="0"/>
        <v>4485153600</v>
      </c>
      <c r="K73" s="19">
        <v>-0.76481378319438365</v>
      </c>
      <c r="M73" s="17">
        <v>0</v>
      </c>
      <c r="O73" s="17">
        <v>4485153600</v>
      </c>
      <c r="Q73" s="17">
        <v>0</v>
      </c>
      <c r="S73" s="17">
        <f t="shared" si="1"/>
        <v>4485153600</v>
      </c>
      <c r="U73" s="19">
        <v>8.1600763785461508E-2</v>
      </c>
    </row>
    <row r="74" spans="1:21" ht="21">
      <c r="A74" s="30" t="s">
        <v>92</v>
      </c>
      <c r="C74" s="17">
        <v>0</v>
      </c>
      <c r="E74" s="17">
        <v>-1196836200</v>
      </c>
      <c r="G74" s="17">
        <v>0</v>
      </c>
      <c r="I74" s="17">
        <f t="shared" si="0"/>
        <v>-1196836200</v>
      </c>
      <c r="K74" s="19">
        <v>0.20408594746587719</v>
      </c>
      <c r="M74" s="17">
        <v>0</v>
      </c>
      <c r="O74" s="17">
        <v>2802724131</v>
      </c>
      <c r="Q74" s="17">
        <v>747847102</v>
      </c>
      <c r="S74" s="17">
        <f t="shared" si="1"/>
        <v>3550571233</v>
      </c>
      <c r="U74" s="19">
        <v>6.4597414119214963E-2</v>
      </c>
    </row>
    <row r="75" spans="1:21" ht="21">
      <c r="A75" s="30" t="s">
        <v>93</v>
      </c>
      <c r="C75" s="17">
        <v>0</v>
      </c>
      <c r="E75" s="17">
        <v>2791292400</v>
      </c>
      <c r="G75" s="17">
        <v>0</v>
      </c>
      <c r="I75" s="17">
        <f t="shared" si="0"/>
        <v>2791292400</v>
      </c>
      <c r="K75" s="19">
        <v>-0.47597453528586642</v>
      </c>
      <c r="M75" s="17">
        <v>0</v>
      </c>
      <c r="O75" s="17">
        <v>5940442800</v>
      </c>
      <c r="Q75" s="17">
        <v>0</v>
      </c>
      <c r="S75" s="17">
        <f t="shared" si="1"/>
        <v>5940442800</v>
      </c>
      <c r="U75" s="19">
        <v>0.10807760735414848</v>
      </c>
    </row>
    <row r="76" spans="1:21" ht="21">
      <c r="A76" s="30" t="s">
        <v>233</v>
      </c>
      <c r="C76" s="17">
        <v>0</v>
      </c>
      <c r="E76" s="17">
        <v>0</v>
      </c>
      <c r="G76" s="17">
        <v>0</v>
      </c>
      <c r="I76" s="17">
        <f t="shared" si="0"/>
        <v>0</v>
      </c>
      <c r="K76" s="19">
        <v>0</v>
      </c>
      <c r="L76" s="18"/>
      <c r="M76" s="17">
        <v>0</v>
      </c>
      <c r="O76" s="17">
        <v>-856747952</v>
      </c>
      <c r="Q76" s="17">
        <v>0</v>
      </c>
      <c r="S76" s="17">
        <f t="shared" si="1"/>
        <v>-856747952</v>
      </c>
      <c r="U76" s="19">
        <v>-1.5587267123879528E-2</v>
      </c>
    </row>
    <row r="77" spans="1:21" ht="21">
      <c r="A77" s="30" t="s">
        <v>201</v>
      </c>
      <c r="C77" s="17">
        <v>0</v>
      </c>
      <c r="E77" s="17">
        <v>0</v>
      </c>
      <c r="G77" s="17">
        <v>0</v>
      </c>
      <c r="I77" s="17">
        <f t="shared" si="0"/>
        <v>0</v>
      </c>
      <c r="K77" s="19">
        <v>0</v>
      </c>
      <c r="L77" s="18"/>
      <c r="M77" s="17">
        <v>0</v>
      </c>
      <c r="O77" s="17">
        <v>0</v>
      </c>
      <c r="Q77" s="17">
        <v>-436957507</v>
      </c>
      <c r="S77" s="17">
        <f t="shared" si="1"/>
        <v>-436957507</v>
      </c>
      <c r="U77" s="19">
        <v>-7.9497982662157084E-3</v>
      </c>
    </row>
    <row r="78" spans="1:21" ht="21">
      <c r="A78" s="30" t="s">
        <v>249</v>
      </c>
      <c r="C78" s="26">
        <f>SUM(C48:C77)</f>
        <v>0</v>
      </c>
      <c r="E78" s="26">
        <f>SUM(E48:E77)</f>
        <v>-22129219024</v>
      </c>
      <c r="G78" s="26">
        <f>SUM(G48:G77)</f>
        <v>8106818721</v>
      </c>
      <c r="I78" s="26">
        <f>SUM(I48:I77)</f>
        <v>-14022400303</v>
      </c>
      <c r="K78" s="25">
        <f>SUM(K48:K77)</f>
        <v>2.3911165551171996</v>
      </c>
      <c r="M78" s="26">
        <f>SUM(M48:M77)</f>
        <v>5346680000</v>
      </c>
      <c r="O78" s="26">
        <f>SUM(O48:O77)</f>
        <v>3253873555</v>
      </c>
      <c r="Q78" s="26">
        <f>SUM(Q48:Q77)</f>
        <v>19083868918</v>
      </c>
      <c r="S78" s="26">
        <f>SUM(S48:S77)</f>
        <v>27684422473</v>
      </c>
      <c r="U78" s="25">
        <f>SUM(U48:U77)</f>
        <v>0.50367729184485355</v>
      </c>
    </row>
    <row r="79" spans="1:21" ht="20.100000000000001" customHeight="1">
      <c r="A79" s="6" t="s">
        <v>250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 ht="20.100000000000001" customHeight="1">
      <c r="A80" s="6" t="s">
        <v>162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1:21" ht="20.100000000000001" customHeight="1">
      <c r="A81" s="6" t="s">
        <v>1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3" spans="1:21" ht="21">
      <c r="A83" s="9" t="s">
        <v>254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9"/>
      <c r="U83" s="7"/>
    </row>
    <row r="85" spans="1:21" ht="21">
      <c r="C85" s="10" t="s">
        <v>253</v>
      </c>
      <c r="D85" s="11"/>
      <c r="E85" s="11"/>
      <c r="F85" s="11"/>
      <c r="G85" s="11"/>
      <c r="H85" s="11"/>
      <c r="I85" s="11"/>
      <c r="J85" s="11"/>
      <c r="K85" s="11"/>
      <c r="M85" s="10" t="s">
        <v>292</v>
      </c>
      <c r="N85" s="11"/>
      <c r="O85" s="11"/>
      <c r="P85" s="11"/>
      <c r="Q85" s="11"/>
      <c r="R85" s="11"/>
      <c r="S85" s="11"/>
      <c r="T85" s="11"/>
      <c r="U85" s="11"/>
    </row>
    <row r="86" spans="1:21" ht="42">
      <c r="A86" s="29" t="s">
        <v>206</v>
      </c>
      <c r="C86" s="31" t="s">
        <v>172</v>
      </c>
      <c r="E86" s="31" t="s">
        <v>207</v>
      </c>
      <c r="G86" s="31" t="s">
        <v>208</v>
      </c>
      <c r="I86" s="31" t="s">
        <v>209</v>
      </c>
      <c r="K86" s="31" t="s">
        <v>210</v>
      </c>
      <c r="M86" s="31" t="s">
        <v>172</v>
      </c>
      <c r="O86" s="31" t="s">
        <v>207</v>
      </c>
      <c r="Q86" s="31" t="s">
        <v>208</v>
      </c>
      <c r="S86" s="31" t="s">
        <v>209</v>
      </c>
      <c r="U86" s="31" t="s">
        <v>210</v>
      </c>
    </row>
    <row r="87" spans="1:21" ht="21">
      <c r="A87" s="30" t="s">
        <v>251</v>
      </c>
      <c r="C87" s="17">
        <f>C78</f>
        <v>0</v>
      </c>
      <c r="E87" s="17">
        <f>E78</f>
        <v>-22129219024</v>
      </c>
      <c r="G87" s="17">
        <f>G78</f>
        <v>8106818721</v>
      </c>
      <c r="I87" s="17">
        <f>I78</f>
        <v>-14022400303</v>
      </c>
      <c r="K87" s="19">
        <f>K78</f>
        <v>2.3911165551171996</v>
      </c>
      <c r="M87" s="17">
        <f>M78</f>
        <v>5346680000</v>
      </c>
      <c r="O87" s="17">
        <f>O78</f>
        <v>3253873555</v>
      </c>
      <c r="Q87" s="17">
        <f>Q78</f>
        <v>19083868918</v>
      </c>
      <c r="S87" s="17">
        <f>S78</f>
        <v>27684422473</v>
      </c>
      <c r="U87" s="19">
        <f>U78</f>
        <v>0.50367729184485355</v>
      </c>
    </row>
    <row r="88" spans="1:21" ht="21">
      <c r="A88" s="30" t="s">
        <v>202</v>
      </c>
      <c r="C88" s="17">
        <v>0</v>
      </c>
      <c r="E88" s="17">
        <v>0</v>
      </c>
      <c r="G88" s="17">
        <v>0</v>
      </c>
      <c r="I88" s="17">
        <f t="shared" si="0"/>
        <v>0</v>
      </c>
      <c r="K88" s="19">
        <v>0</v>
      </c>
      <c r="L88" s="18"/>
      <c r="M88" s="17">
        <v>0</v>
      </c>
      <c r="O88" s="17">
        <v>0</v>
      </c>
      <c r="Q88" s="17">
        <v>2546816440</v>
      </c>
      <c r="S88" s="17">
        <f t="shared" si="1"/>
        <v>2546816440</v>
      </c>
      <c r="U88" s="19">
        <v>4.6335574042630334E-2</v>
      </c>
    </row>
    <row r="89" spans="1:21" ht="21">
      <c r="A89" s="30" t="s">
        <v>234</v>
      </c>
      <c r="C89" s="17">
        <v>0</v>
      </c>
      <c r="E89" s="17">
        <v>0</v>
      </c>
      <c r="G89" s="17">
        <v>0</v>
      </c>
      <c r="I89" s="17">
        <f t="shared" si="0"/>
        <v>0</v>
      </c>
      <c r="K89" s="19">
        <v>0</v>
      </c>
      <c r="L89" s="18"/>
      <c r="M89" s="17">
        <v>0</v>
      </c>
      <c r="O89" s="17">
        <v>0</v>
      </c>
      <c r="Q89" s="17">
        <v>60230850</v>
      </c>
      <c r="S89" s="17">
        <f t="shared" si="1"/>
        <v>60230850</v>
      </c>
      <c r="U89" s="19">
        <v>1.0958116046343573E-3</v>
      </c>
    </row>
    <row r="90" spans="1:21" ht="21">
      <c r="A90" s="30" t="s">
        <v>277</v>
      </c>
      <c r="C90" s="17">
        <v>0</v>
      </c>
      <c r="E90" s="17">
        <v>0</v>
      </c>
      <c r="G90" s="17">
        <v>0</v>
      </c>
      <c r="I90" s="17">
        <f t="shared" ref="I90:I102" si="2">C90+E90+G90</f>
        <v>0</v>
      </c>
      <c r="K90" s="19">
        <v>0</v>
      </c>
      <c r="L90" s="18"/>
      <c r="M90" s="17">
        <v>0</v>
      </c>
      <c r="O90" s="17">
        <v>322177018</v>
      </c>
      <c r="Q90" s="17">
        <v>2539867414</v>
      </c>
      <c r="S90" s="17">
        <f>M90+O90+Q90</f>
        <v>2862044432</v>
      </c>
      <c r="U90" s="19">
        <v>5.2070683072955926E-2</v>
      </c>
    </row>
    <row r="91" spans="1:21" ht="21">
      <c r="A91" s="30" t="s">
        <v>278</v>
      </c>
      <c r="C91" s="17">
        <v>0</v>
      </c>
      <c r="E91" s="17">
        <v>0</v>
      </c>
      <c r="G91" s="17">
        <v>0</v>
      </c>
      <c r="I91" s="17">
        <f t="shared" si="2"/>
        <v>0</v>
      </c>
      <c r="K91" s="19">
        <v>0</v>
      </c>
      <c r="L91" s="18"/>
      <c r="M91" s="17">
        <v>0</v>
      </c>
      <c r="O91" s="17">
        <v>26803097</v>
      </c>
      <c r="Q91" s="17">
        <v>798978106</v>
      </c>
      <c r="S91" s="17">
        <f t="shared" si="1"/>
        <v>825781203</v>
      </c>
      <c r="U91" s="19">
        <v>1.5023872735256433E-2</v>
      </c>
    </row>
    <row r="92" spans="1:21" ht="21">
      <c r="A92" s="30" t="s">
        <v>279</v>
      </c>
      <c r="C92" s="17">
        <v>0</v>
      </c>
      <c r="E92" s="17">
        <v>0</v>
      </c>
      <c r="G92" s="17">
        <v>0</v>
      </c>
      <c r="I92" s="17">
        <f t="shared" si="2"/>
        <v>0</v>
      </c>
      <c r="K92" s="19">
        <v>0</v>
      </c>
      <c r="L92" s="18"/>
      <c r="M92" s="17">
        <v>0</v>
      </c>
      <c r="O92" s="17">
        <v>136568824</v>
      </c>
      <c r="Q92" s="17">
        <v>288880900</v>
      </c>
      <c r="S92" s="17">
        <f t="shared" si="1"/>
        <v>425449724</v>
      </c>
      <c r="U92" s="19">
        <v>7.7404311037895758E-3</v>
      </c>
    </row>
    <row r="93" spans="1:21" ht="21">
      <c r="A93" s="30" t="s">
        <v>280</v>
      </c>
      <c r="C93" s="17">
        <v>0</v>
      </c>
      <c r="E93" s="17">
        <v>0</v>
      </c>
      <c r="G93" s="17">
        <v>0</v>
      </c>
      <c r="I93" s="17">
        <f t="shared" si="2"/>
        <v>0</v>
      </c>
      <c r="K93" s="19">
        <v>0</v>
      </c>
      <c r="L93" s="18"/>
      <c r="M93" s="17">
        <v>0</v>
      </c>
      <c r="O93" s="17">
        <v>25493434</v>
      </c>
      <c r="Q93" s="17">
        <v>416670792</v>
      </c>
      <c r="S93" s="17">
        <f t="shared" si="1"/>
        <v>442164226</v>
      </c>
      <c r="U93" s="19">
        <v>8.044526849695274E-3</v>
      </c>
    </row>
    <row r="94" spans="1:21" ht="21">
      <c r="A94" s="30" t="s">
        <v>281</v>
      </c>
      <c r="C94" s="17">
        <v>0</v>
      </c>
      <c r="E94" s="17">
        <v>0</v>
      </c>
      <c r="G94" s="17">
        <v>0</v>
      </c>
      <c r="I94" s="17">
        <f t="shared" si="2"/>
        <v>0</v>
      </c>
      <c r="K94" s="19">
        <v>0</v>
      </c>
      <c r="L94" s="18"/>
      <c r="M94" s="17">
        <v>0</v>
      </c>
      <c r="O94" s="17">
        <v>-1999485</v>
      </c>
      <c r="Q94" s="17">
        <v>103932028</v>
      </c>
      <c r="S94" s="17">
        <f t="shared" ref="S94:S135" si="3">M94+O94+Q94</f>
        <v>101932543</v>
      </c>
      <c r="U94" s="19">
        <v>1.8545124883558944E-3</v>
      </c>
    </row>
    <row r="95" spans="1:21" ht="21">
      <c r="A95" s="30" t="s">
        <v>282</v>
      </c>
      <c r="C95" s="17">
        <v>0</v>
      </c>
      <c r="E95" s="17">
        <v>0</v>
      </c>
      <c r="G95" s="17">
        <v>0</v>
      </c>
      <c r="I95" s="17">
        <f t="shared" si="2"/>
        <v>0</v>
      </c>
      <c r="K95" s="19">
        <v>0</v>
      </c>
      <c r="L95" s="18"/>
      <c r="M95" s="17">
        <v>0</v>
      </c>
      <c r="O95" s="17">
        <v>-11996910</v>
      </c>
      <c r="Q95" s="17">
        <v>818500907</v>
      </c>
      <c r="S95" s="17">
        <f t="shared" si="3"/>
        <v>806503997</v>
      </c>
      <c r="U95" s="19">
        <v>1.4673152364553925E-2</v>
      </c>
    </row>
    <row r="96" spans="1:21" ht="21">
      <c r="A96" s="30" t="s">
        <v>283</v>
      </c>
      <c r="C96" s="17">
        <v>0</v>
      </c>
      <c r="E96" s="17">
        <v>0</v>
      </c>
      <c r="G96" s="17">
        <v>0</v>
      </c>
      <c r="I96" s="17">
        <f t="shared" si="2"/>
        <v>0</v>
      </c>
      <c r="K96" s="19">
        <v>0</v>
      </c>
      <c r="L96" s="18"/>
      <c r="M96" s="17">
        <v>0</v>
      </c>
      <c r="O96" s="17">
        <v>552857603</v>
      </c>
      <c r="Q96" s="17">
        <v>652987649</v>
      </c>
      <c r="S96" s="17">
        <f t="shared" si="3"/>
        <v>1205845252</v>
      </c>
      <c r="U96" s="19">
        <v>2.1938578328793978E-2</v>
      </c>
    </row>
    <row r="97" spans="1:21" ht="21">
      <c r="A97" s="30" t="s">
        <v>284</v>
      </c>
      <c r="C97" s="17">
        <v>0</v>
      </c>
      <c r="E97" s="17">
        <v>0</v>
      </c>
      <c r="G97" s="17">
        <v>0</v>
      </c>
      <c r="I97" s="17">
        <f t="shared" si="2"/>
        <v>0</v>
      </c>
      <c r="K97" s="19">
        <v>0</v>
      </c>
      <c r="L97" s="18"/>
      <c r="M97" s="17">
        <v>0</v>
      </c>
      <c r="O97" s="17">
        <v>-3551085</v>
      </c>
      <c r="Q97" s="17">
        <v>1027103692</v>
      </c>
      <c r="S97" s="17">
        <f t="shared" si="3"/>
        <v>1023552607</v>
      </c>
      <c r="U97" s="19">
        <v>1.8622032143068703E-2</v>
      </c>
    </row>
    <row r="98" spans="1:21" ht="21">
      <c r="A98" s="30" t="s">
        <v>285</v>
      </c>
      <c r="C98" s="17">
        <v>0</v>
      </c>
      <c r="E98" s="17">
        <v>0</v>
      </c>
      <c r="G98" s="17">
        <v>0</v>
      </c>
      <c r="I98" s="17">
        <f t="shared" si="2"/>
        <v>0</v>
      </c>
      <c r="K98" s="19">
        <v>0</v>
      </c>
      <c r="L98" s="18"/>
      <c r="M98" s="17">
        <v>0</v>
      </c>
      <c r="O98" s="17">
        <v>-2469364</v>
      </c>
      <c r="Q98" s="17">
        <v>394213597</v>
      </c>
      <c r="S98" s="17">
        <f t="shared" si="3"/>
        <v>391744233</v>
      </c>
      <c r="U98" s="19">
        <v>7.1272093382375558E-3</v>
      </c>
    </row>
    <row r="99" spans="1:21" ht="21">
      <c r="A99" s="30" t="s">
        <v>286</v>
      </c>
      <c r="C99" s="17">
        <v>0</v>
      </c>
      <c r="E99" s="17">
        <v>0</v>
      </c>
      <c r="G99" s="17">
        <v>0</v>
      </c>
      <c r="I99" s="17">
        <f t="shared" si="2"/>
        <v>0</v>
      </c>
      <c r="K99" s="19">
        <v>0</v>
      </c>
      <c r="L99" s="18"/>
      <c r="M99" s="17">
        <v>0</v>
      </c>
      <c r="O99" s="17">
        <v>18005293</v>
      </c>
      <c r="Q99" s="17">
        <v>17872710</v>
      </c>
      <c r="S99" s="17">
        <f t="shared" si="3"/>
        <v>35878003</v>
      </c>
      <c r="U99" s="19">
        <v>6.5274742160381736E-4</v>
      </c>
    </row>
    <row r="100" spans="1:21" ht="21">
      <c r="A100" s="30" t="s">
        <v>287</v>
      </c>
      <c r="C100" s="17">
        <v>0</v>
      </c>
      <c r="E100" s="17">
        <v>0</v>
      </c>
      <c r="G100" s="17">
        <v>0</v>
      </c>
      <c r="I100" s="17">
        <f t="shared" si="2"/>
        <v>0</v>
      </c>
      <c r="K100" s="19">
        <v>0</v>
      </c>
      <c r="L100" s="18"/>
      <c r="M100" s="17">
        <v>0</v>
      </c>
      <c r="O100" s="17">
        <v>-3898996</v>
      </c>
      <c r="Q100" s="17">
        <v>330679973</v>
      </c>
      <c r="S100" s="17">
        <f t="shared" si="3"/>
        <v>326780977</v>
      </c>
      <c r="U100" s="19">
        <v>5.9452985765658791E-3</v>
      </c>
    </row>
    <row r="101" spans="1:21" ht="21">
      <c r="A101" s="30" t="s">
        <v>288</v>
      </c>
      <c r="C101" s="17">
        <v>0</v>
      </c>
      <c r="E101" s="17">
        <v>0</v>
      </c>
      <c r="G101" s="17">
        <v>0</v>
      </c>
      <c r="I101" s="17">
        <f t="shared" si="2"/>
        <v>0</v>
      </c>
      <c r="K101" s="19">
        <v>0</v>
      </c>
      <c r="L101" s="18"/>
      <c r="M101" s="17">
        <v>0</v>
      </c>
      <c r="O101" s="17">
        <v>-79979</v>
      </c>
      <c r="Q101" s="17">
        <v>2313123597</v>
      </c>
      <c r="S101" s="17">
        <f t="shared" si="3"/>
        <v>2313043618</v>
      </c>
      <c r="U101" s="19">
        <v>4.2082421859061248E-2</v>
      </c>
    </row>
    <row r="102" spans="1:21" ht="21">
      <c r="A102" s="30" t="s">
        <v>289</v>
      </c>
      <c r="C102" s="17">
        <v>0</v>
      </c>
      <c r="E102" s="17">
        <v>0</v>
      </c>
      <c r="G102" s="17">
        <v>0</v>
      </c>
      <c r="I102" s="17">
        <f t="shared" si="2"/>
        <v>0</v>
      </c>
      <c r="K102" s="19">
        <v>0</v>
      </c>
      <c r="L102" s="18"/>
      <c r="M102" s="17">
        <v>0</v>
      </c>
      <c r="O102" s="17">
        <v>-9760486</v>
      </c>
      <c r="Q102" s="17">
        <v>853398759</v>
      </c>
      <c r="S102" s="17">
        <f t="shared" si="3"/>
        <v>843638273</v>
      </c>
      <c r="U102" s="19">
        <v>1.5348755823088797E-2</v>
      </c>
    </row>
    <row r="103" spans="1:21" ht="21">
      <c r="A103" s="30" t="s">
        <v>255</v>
      </c>
      <c r="C103" s="17">
        <v>0</v>
      </c>
      <c r="E103" s="17">
        <v>66288539</v>
      </c>
      <c r="G103" s="17">
        <v>107559947</v>
      </c>
      <c r="I103" s="17">
        <f t="shared" si="0"/>
        <v>173848486</v>
      </c>
      <c r="K103" s="19">
        <v>-2.9644852805102557E-2</v>
      </c>
      <c r="L103" s="18"/>
      <c r="M103" s="17">
        <v>0</v>
      </c>
      <c r="O103" s="17">
        <v>180993382</v>
      </c>
      <c r="Q103" s="17">
        <v>294439966</v>
      </c>
      <c r="S103" s="17">
        <f t="shared" si="3"/>
        <v>475433348</v>
      </c>
      <c r="U103" s="19">
        <v>8.6498095239991597E-3</v>
      </c>
    </row>
    <row r="104" spans="1:21" ht="21">
      <c r="A104" s="30" t="s">
        <v>256</v>
      </c>
      <c r="C104" s="17">
        <v>0</v>
      </c>
      <c r="E104" s="17">
        <v>13181605</v>
      </c>
      <c r="G104" s="17">
        <v>47112538</v>
      </c>
      <c r="I104" s="17">
        <f t="shared" si="0"/>
        <v>60294143</v>
      </c>
      <c r="K104" s="19">
        <v>-1.0281429740175044E-2</v>
      </c>
      <c r="L104" s="18"/>
      <c r="M104" s="17">
        <v>0</v>
      </c>
      <c r="O104" s="17">
        <v>0</v>
      </c>
      <c r="Q104" s="17">
        <v>169892337</v>
      </c>
      <c r="S104" s="17">
        <f t="shared" si="3"/>
        <v>169892337</v>
      </c>
      <c r="U104" s="19">
        <v>3.0909408454811941E-3</v>
      </c>
    </row>
    <row r="105" spans="1:21" ht="21">
      <c r="A105" s="30" t="s">
        <v>257</v>
      </c>
      <c r="C105" s="17">
        <v>0</v>
      </c>
      <c r="E105" s="17">
        <v>-446114387</v>
      </c>
      <c r="G105" s="17">
        <v>1461949594</v>
      </c>
      <c r="I105" s="17">
        <f t="shared" si="0"/>
        <v>1015835207</v>
      </c>
      <c r="K105" s="19">
        <v>-0.17322144056955369</v>
      </c>
      <c r="L105" s="18"/>
      <c r="M105" s="17">
        <v>0</v>
      </c>
      <c r="O105" s="17">
        <v>1769544</v>
      </c>
      <c r="Q105" s="17">
        <v>1500319978</v>
      </c>
      <c r="S105" s="17">
        <f t="shared" si="3"/>
        <v>1502089522</v>
      </c>
      <c r="U105" s="19">
        <v>2.7328306497538628E-2</v>
      </c>
    </row>
    <row r="106" spans="1:21" ht="21">
      <c r="A106" s="30" t="s">
        <v>258</v>
      </c>
      <c r="C106" s="17">
        <v>0</v>
      </c>
      <c r="E106" s="17">
        <v>-183745856</v>
      </c>
      <c r="G106" s="17">
        <v>593579598</v>
      </c>
      <c r="I106" s="17">
        <f t="shared" si="0"/>
        <v>409833742</v>
      </c>
      <c r="K106" s="19">
        <v>-6.9885342321326732E-2</v>
      </c>
      <c r="L106" s="18"/>
      <c r="M106" s="17">
        <v>0</v>
      </c>
      <c r="O106" s="17">
        <v>-2499356</v>
      </c>
      <c r="Q106" s="17">
        <v>593579598</v>
      </c>
      <c r="S106" s="17">
        <f t="shared" si="3"/>
        <v>591080242</v>
      </c>
      <c r="U106" s="19">
        <v>1.0753834429593542E-2</v>
      </c>
    </row>
    <row r="107" spans="1:21" ht="21">
      <c r="A107" s="30" t="s">
        <v>259</v>
      </c>
      <c r="C107" s="17">
        <v>0</v>
      </c>
      <c r="E107" s="17">
        <v>-86110550</v>
      </c>
      <c r="G107" s="17">
        <v>836739081</v>
      </c>
      <c r="I107" s="17">
        <f t="shared" ref="I107:I135" si="4">C107+E107+G107</f>
        <v>750628531</v>
      </c>
      <c r="K107" s="19">
        <v>-0.12799807938968971</v>
      </c>
      <c r="L107" s="18"/>
      <c r="M107" s="17">
        <v>0</v>
      </c>
      <c r="O107" s="17">
        <v>29992</v>
      </c>
      <c r="Q107" s="17">
        <v>836739081</v>
      </c>
      <c r="S107" s="17">
        <f t="shared" si="3"/>
        <v>836769073</v>
      </c>
      <c r="U107" s="19">
        <v>1.5223780846402361E-2</v>
      </c>
    </row>
    <row r="108" spans="1:21" ht="21">
      <c r="A108" s="30" t="s">
        <v>260</v>
      </c>
      <c r="C108" s="17">
        <v>0</v>
      </c>
      <c r="E108" s="17">
        <v>6238393</v>
      </c>
      <c r="G108" s="17">
        <v>718657381</v>
      </c>
      <c r="I108" s="17">
        <f t="shared" si="4"/>
        <v>724895774</v>
      </c>
      <c r="K108" s="19">
        <v>-0.12361009873431333</v>
      </c>
      <c r="L108" s="18"/>
      <c r="M108" s="17">
        <v>0</v>
      </c>
      <c r="O108" s="17">
        <v>6238393</v>
      </c>
      <c r="Q108" s="17">
        <v>718657381</v>
      </c>
      <c r="S108" s="17">
        <f t="shared" si="3"/>
        <v>724895774</v>
      </c>
      <c r="U108" s="19">
        <v>1.3188410943886801E-2</v>
      </c>
    </row>
    <row r="109" spans="1:21" ht="21">
      <c r="A109" s="30" t="s">
        <v>261</v>
      </c>
      <c r="C109" s="17">
        <v>0</v>
      </c>
      <c r="E109" s="17">
        <v>1519609</v>
      </c>
      <c r="G109" s="17">
        <v>1596292</v>
      </c>
      <c r="I109" s="17">
        <f t="shared" si="4"/>
        <v>3115901</v>
      </c>
      <c r="K109" s="19">
        <v>-5.3132718394954478E-4</v>
      </c>
      <c r="L109" s="18"/>
      <c r="M109" s="17">
        <v>0</v>
      </c>
      <c r="O109" s="17">
        <v>1519609</v>
      </c>
      <c r="Q109" s="17">
        <v>1596292</v>
      </c>
      <c r="S109" s="17">
        <f t="shared" si="3"/>
        <v>3115901</v>
      </c>
      <c r="U109" s="19">
        <v>5.6689229434613627E-5</v>
      </c>
    </row>
    <row r="110" spans="1:21" ht="21">
      <c r="A110" s="30" t="s">
        <v>262</v>
      </c>
      <c r="C110" s="17">
        <v>0</v>
      </c>
      <c r="E110" s="17">
        <v>-22527198</v>
      </c>
      <c r="G110" s="17">
        <v>299720319</v>
      </c>
      <c r="I110" s="17">
        <f t="shared" si="4"/>
        <v>277193121</v>
      </c>
      <c r="K110" s="19">
        <v>-4.7267304189419185E-2</v>
      </c>
      <c r="L110" s="18"/>
      <c r="M110" s="17">
        <v>0</v>
      </c>
      <c r="O110" s="17">
        <v>-22527198</v>
      </c>
      <c r="Q110" s="17">
        <v>299720319</v>
      </c>
      <c r="S110" s="17">
        <f t="shared" si="3"/>
        <v>277193121</v>
      </c>
      <c r="U110" s="19">
        <v>5.0431205722086857E-3</v>
      </c>
    </row>
    <row r="111" spans="1:21" ht="21">
      <c r="A111" s="30" t="s">
        <v>263</v>
      </c>
      <c r="C111" s="17">
        <v>0</v>
      </c>
      <c r="E111" s="17">
        <v>390227191</v>
      </c>
      <c r="G111" s="17">
        <v>28592508</v>
      </c>
      <c r="I111" s="17">
        <f t="shared" si="4"/>
        <v>418819699</v>
      </c>
      <c r="K111" s="19">
        <v>-7.141763851042314E-2</v>
      </c>
      <c r="L111" s="18"/>
      <c r="M111" s="17">
        <v>0</v>
      </c>
      <c r="O111" s="17">
        <v>390227191</v>
      </c>
      <c r="Q111" s="17">
        <v>28592508</v>
      </c>
      <c r="S111" s="17">
        <f t="shared" si="3"/>
        <v>418819699</v>
      </c>
      <c r="U111" s="19">
        <v>7.6198075639588103E-3</v>
      </c>
    </row>
    <row r="112" spans="1:21" ht="21">
      <c r="A112" s="30" t="s">
        <v>264</v>
      </c>
      <c r="C112" s="17">
        <v>0</v>
      </c>
      <c r="E112" s="17">
        <v>26225246</v>
      </c>
      <c r="G112" s="17">
        <v>2107963767</v>
      </c>
      <c r="I112" s="17">
        <f t="shared" si="4"/>
        <v>2134189013</v>
      </c>
      <c r="K112" s="19">
        <v>-0.36392447587177784</v>
      </c>
      <c r="L112" s="18"/>
      <c r="M112" s="17">
        <v>0</v>
      </c>
      <c r="O112" s="17">
        <v>26225246</v>
      </c>
      <c r="Q112" s="17">
        <v>2107963767</v>
      </c>
      <c r="S112" s="17">
        <f t="shared" si="3"/>
        <v>2134189013</v>
      </c>
      <c r="U112" s="19">
        <v>3.8828425747412583E-2</v>
      </c>
    </row>
    <row r="113" spans="1:21" ht="21">
      <c r="A113" s="30" t="s">
        <v>265</v>
      </c>
      <c r="C113" s="17">
        <v>0</v>
      </c>
      <c r="E113" s="17">
        <v>136317510</v>
      </c>
      <c r="G113" s="17">
        <v>0</v>
      </c>
      <c r="I113" s="17">
        <f t="shared" si="4"/>
        <v>136317510</v>
      </c>
      <c r="K113" s="19">
        <v>-2.3245025663945651E-2</v>
      </c>
      <c r="L113" s="18"/>
      <c r="M113" s="17">
        <v>0</v>
      </c>
      <c r="O113" s="17">
        <v>136317510</v>
      </c>
      <c r="Q113" s="17">
        <v>0</v>
      </c>
      <c r="S113" s="17">
        <f t="shared" si="3"/>
        <v>136317510</v>
      </c>
      <c r="U113" s="19">
        <v>2.4800963189604668E-3</v>
      </c>
    </row>
    <row r="114" spans="1:21" ht="21">
      <c r="A114" s="30" t="s">
        <v>266</v>
      </c>
      <c r="C114" s="17">
        <v>0</v>
      </c>
      <c r="E114" s="17">
        <v>252969519</v>
      </c>
      <c r="G114" s="17">
        <v>0</v>
      </c>
      <c r="I114" s="17">
        <f t="shared" si="4"/>
        <v>252969519</v>
      </c>
      <c r="K114" s="19">
        <v>-4.3136666458703558E-2</v>
      </c>
      <c r="L114" s="18"/>
      <c r="M114" s="17">
        <v>0</v>
      </c>
      <c r="O114" s="17">
        <v>252969519</v>
      </c>
      <c r="Q114" s="17">
        <v>0</v>
      </c>
      <c r="S114" s="17">
        <f t="shared" si="3"/>
        <v>252969519</v>
      </c>
      <c r="U114" s="19">
        <v>4.602407811594416E-3</v>
      </c>
    </row>
    <row r="115" spans="1:21" ht="21">
      <c r="A115" s="30" t="s">
        <v>267</v>
      </c>
      <c r="C115" s="17">
        <v>0</v>
      </c>
      <c r="E115" s="17">
        <v>3998970</v>
      </c>
      <c r="G115" s="17">
        <v>16998970</v>
      </c>
      <c r="I115" s="17">
        <f t="shared" si="4"/>
        <v>20997940</v>
      </c>
      <c r="K115" s="19">
        <v>-3.5805939691092577E-3</v>
      </c>
      <c r="L115" s="18"/>
      <c r="M115" s="17">
        <v>0</v>
      </c>
      <c r="O115" s="17">
        <v>3998970</v>
      </c>
      <c r="Q115" s="17">
        <v>16998970</v>
      </c>
      <c r="S115" s="17">
        <f t="shared" si="3"/>
        <v>20997940</v>
      </c>
      <c r="U115" s="19">
        <v>3.8202659144634279E-4</v>
      </c>
    </row>
    <row r="116" spans="1:21" ht="21">
      <c r="A116" s="30" t="s">
        <v>268</v>
      </c>
      <c r="C116" s="17">
        <v>0</v>
      </c>
      <c r="E116" s="17">
        <v>284263711</v>
      </c>
      <c r="G116" s="17">
        <v>0</v>
      </c>
      <c r="I116" s="17">
        <f t="shared" si="4"/>
        <v>284263711</v>
      </c>
      <c r="K116" s="19">
        <v>-4.8472989695332827E-2</v>
      </c>
      <c r="L116" s="18"/>
      <c r="M116" s="17">
        <v>0</v>
      </c>
      <c r="O116" s="17">
        <v>284263711</v>
      </c>
      <c r="Q116" s="17">
        <v>0</v>
      </c>
      <c r="S116" s="17">
        <f t="shared" si="3"/>
        <v>284263711</v>
      </c>
      <c r="U116" s="19">
        <v>5.1717595433275008E-3</v>
      </c>
    </row>
    <row r="117" spans="1:21" ht="21">
      <c r="A117" s="30" t="s">
        <v>249</v>
      </c>
      <c r="C117" s="26">
        <f>SUM(C87:C116)</f>
        <v>0</v>
      </c>
      <c r="E117" s="26">
        <f>SUM(E87:E116)</f>
        <v>-21686486722</v>
      </c>
      <c r="G117" s="26">
        <f>SUM(G87:G116)</f>
        <v>14327288716</v>
      </c>
      <c r="I117" s="26">
        <f>SUM(I87:I116)</f>
        <v>-7359198006</v>
      </c>
      <c r="K117" s="25">
        <f>SUM(K87:K116)</f>
        <v>1.2548992900143776</v>
      </c>
      <c r="M117" s="26">
        <f>SUM(M87:M116)</f>
        <v>5346680000</v>
      </c>
      <c r="O117" s="26">
        <f>SUM(O87:O116)</f>
        <v>5561549032</v>
      </c>
      <c r="Q117" s="26">
        <f>SUM(Q87:Q116)</f>
        <v>38815626529</v>
      </c>
      <c r="S117" s="26">
        <f>SUM(S87:S116)</f>
        <v>49723855561</v>
      </c>
      <c r="U117" s="25">
        <f>SUM(U87:U116)</f>
        <v>0.90465231606239038</v>
      </c>
    </row>
    <row r="118" spans="1:21" ht="20.100000000000001" customHeight="1">
      <c r="A118" s="6" t="s">
        <v>250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spans="1:21" ht="20.100000000000001" customHeight="1">
      <c r="A119" s="6" t="s">
        <v>162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spans="1:21" ht="20.100000000000001" customHeight="1">
      <c r="A120" s="6" t="s">
        <v>1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2" spans="1:21" ht="21">
      <c r="A122" s="9" t="s">
        <v>254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9"/>
      <c r="U122" s="7"/>
    </row>
    <row r="124" spans="1:21" ht="21">
      <c r="C124" s="10" t="s">
        <v>253</v>
      </c>
      <c r="D124" s="11"/>
      <c r="E124" s="11"/>
      <c r="F124" s="11"/>
      <c r="G124" s="11"/>
      <c r="H124" s="11"/>
      <c r="I124" s="11"/>
      <c r="J124" s="11"/>
      <c r="K124" s="11"/>
      <c r="M124" s="10" t="s">
        <v>292</v>
      </c>
      <c r="N124" s="11"/>
      <c r="O124" s="11"/>
      <c r="P124" s="11"/>
      <c r="Q124" s="11"/>
      <c r="R124" s="11"/>
      <c r="S124" s="11"/>
      <c r="T124" s="11"/>
      <c r="U124" s="11"/>
    </row>
    <row r="125" spans="1:21" ht="42">
      <c r="A125" s="29" t="s">
        <v>206</v>
      </c>
      <c r="C125" s="31" t="s">
        <v>172</v>
      </c>
      <c r="E125" s="31" t="s">
        <v>207</v>
      </c>
      <c r="G125" s="31" t="s">
        <v>208</v>
      </c>
      <c r="I125" s="31" t="s">
        <v>209</v>
      </c>
      <c r="K125" s="31" t="s">
        <v>210</v>
      </c>
      <c r="M125" s="31" t="s">
        <v>172</v>
      </c>
      <c r="O125" s="31" t="s">
        <v>207</v>
      </c>
      <c r="Q125" s="31" t="s">
        <v>208</v>
      </c>
      <c r="S125" s="31" t="s">
        <v>209</v>
      </c>
      <c r="U125" s="31" t="s">
        <v>210</v>
      </c>
    </row>
    <row r="126" spans="1:21" ht="21">
      <c r="A126" s="30" t="s">
        <v>251</v>
      </c>
      <c r="C126" s="17">
        <f>C117</f>
        <v>0</v>
      </c>
      <c r="E126" s="17">
        <f>E117</f>
        <v>-21686486722</v>
      </c>
      <c r="G126" s="17">
        <f>G117</f>
        <v>14327288716</v>
      </c>
      <c r="I126" s="17">
        <f>I117</f>
        <v>-7359198006</v>
      </c>
      <c r="K126" s="19">
        <f>K117</f>
        <v>1.2548992900143776</v>
      </c>
      <c r="M126" s="17">
        <f>M117</f>
        <v>5346680000</v>
      </c>
      <c r="O126" s="17">
        <f>O117</f>
        <v>5561549032</v>
      </c>
      <c r="Q126" s="17">
        <f>Q117</f>
        <v>38815626529</v>
      </c>
      <c r="S126" s="17">
        <f>S117</f>
        <v>49723855561</v>
      </c>
      <c r="U126" s="19">
        <f>U117</f>
        <v>0.90465231606239038</v>
      </c>
    </row>
    <row r="127" spans="1:21" ht="21">
      <c r="A127" s="30" t="s">
        <v>269</v>
      </c>
      <c r="C127" s="17">
        <v>0</v>
      </c>
      <c r="E127" s="17">
        <v>12649631</v>
      </c>
      <c r="G127" s="17">
        <v>0</v>
      </c>
      <c r="I127" s="17">
        <f t="shared" si="4"/>
        <v>12649631</v>
      </c>
      <c r="K127" s="19">
        <v>-2.1570302834495909E-3</v>
      </c>
      <c r="L127" s="18"/>
      <c r="M127" s="17">
        <v>0</v>
      </c>
      <c r="O127" s="17">
        <v>12649631</v>
      </c>
      <c r="Q127" s="17">
        <v>0</v>
      </c>
      <c r="S127" s="17">
        <f t="shared" si="3"/>
        <v>12649631</v>
      </c>
      <c r="U127" s="19">
        <v>2.3014140501325333E-4</v>
      </c>
    </row>
    <row r="128" spans="1:21" ht="21">
      <c r="A128" s="30" t="s">
        <v>270</v>
      </c>
      <c r="C128" s="17">
        <v>0</v>
      </c>
      <c r="E128" s="17">
        <v>-14780941</v>
      </c>
      <c r="G128" s="17">
        <v>0</v>
      </c>
      <c r="I128" s="17">
        <f t="shared" si="4"/>
        <v>-14780941</v>
      </c>
      <c r="K128" s="19">
        <v>2.5204638265639277E-3</v>
      </c>
      <c r="L128" s="18"/>
      <c r="M128" s="17">
        <v>0</v>
      </c>
      <c r="O128" s="17">
        <v>-14780941</v>
      </c>
      <c r="Q128" s="17">
        <v>0</v>
      </c>
      <c r="S128" s="17">
        <f t="shared" si="3"/>
        <v>-14780941</v>
      </c>
      <c r="U128" s="19">
        <v>-2.6891745135949039E-4</v>
      </c>
    </row>
    <row r="129" spans="1:21" ht="21">
      <c r="A129" s="30" t="s">
        <v>290</v>
      </c>
      <c r="C129" s="17">
        <v>0</v>
      </c>
      <c r="E129" s="17">
        <v>0</v>
      </c>
      <c r="G129" s="17">
        <v>0</v>
      </c>
      <c r="I129" s="17">
        <f t="shared" si="4"/>
        <v>0</v>
      </c>
      <c r="K129" s="19">
        <v>0</v>
      </c>
      <c r="L129" s="18"/>
      <c r="M129" s="17">
        <v>0</v>
      </c>
      <c r="O129" s="17">
        <v>-24993562</v>
      </c>
      <c r="Q129" s="17">
        <v>2635614794</v>
      </c>
      <c r="S129" s="17">
        <f t="shared" si="3"/>
        <v>2610621232</v>
      </c>
      <c r="U129" s="19">
        <v>4.7496408258067793E-2</v>
      </c>
    </row>
    <row r="130" spans="1:21" ht="21">
      <c r="A130" s="30" t="s">
        <v>271</v>
      </c>
      <c r="C130" s="17">
        <v>0</v>
      </c>
      <c r="E130" s="17">
        <v>30971417</v>
      </c>
      <c r="G130" s="17">
        <v>220595472</v>
      </c>
      <c r="I130" s="17">
        <f t="shared" si="4"/>
        <v>251566889</v>
      </c>
      <c r="K130" s="19">
        <v>-4.2897488305089833E-2</v>
      </c>
      <c r="L130" s="18"/>
      <c r="M130" s="17">
        <v>0</v>
      </c>
      <c r="O130" s="17">
        <v>51986610</v>
      </c>
      <c r="Q130" s="17">
        <v>220595472</v>
      </c>
      <c r="S130" s="17">
        <f t="shared" si="3"/>
        <v>272582082</v>
      </c>
      <c r="U130" s="19">
        <v>4.9592295089807619E-3</v>
      </c>
    </row>
    <row r="131" spans="1:21" ht="21">
      <c r="A131" s="30" t="s">
        <v>272</v>
      </c>
      <c r="C131" s="17">
        <v>0</v>
      </c>
      <c r="E131" s="17">
        <v>-1887514</v>
      </c>
      <c r="G131" s="17">
        <v>250998754</v>
      </c>
      <c r="I131" s="17">
        <f t="shared" si="4"/>
        <v>249111240</v>
      </c>
      <c r="K131" s="19">
        <v>-4.247874808582789E-2</v>
      </c>
      <c r="L131" s="18"/>
      <c r="M131" s="17">
        <v>0</v>
      </c>
      <c r="O131" s="17">
        <v>-1887514</v>
      </c>
      <c r="Q131" s="17">
        <v>250998754</v>
      </c>
      <c r="S131" s="17">
        <f t="shared" si="3"/>
        <v>249111240</v>
      </c>
      <c r="U131" s="19">
        <v>4.5322121078625729E-3</v>
      </c>
    </row>
    <row r="132" spans="1:21" ht="21">
      <c r="A132" s="30" t="s">
        <v>273</v>
      </c>
      <c r="C132" s="17">
        <v>0</v>
      </c>
      <c r="E132" s="17">
        <v>24667646</v>
      </c>
      <c r="G132" s="17">
        <v>137838676</v>
      </c>
      <c r="I132" s="17">
        <f t="shared" si="4"/>
        <v>162506322</v>
      </c>
      <c r="K132" s="19">
        <v>-2.7710773366117204E-2</v>
      </c>
      <c r="L132" s="18"/>
      <c r="M132" s="17">
        <v>0</v>
      </c>
      <c r="O132" s="17">
        <v>24667646</v>
      </c>
      <c r="Q132" s="17">
        <v>137838676</v>
      </c>
      <c r="S132" s="17">
        <f t="shared" si="3"/>
        <v>162506322</v>
      </c>
      <c r="U132" s="19">
        <v>2.9565631810616576E-3</v>
      </c>
    </row>
    <row r="133" spans="1:21" ht="21">
      <c r="A133" s="30" t="s">
        <v>274</v>
      </c>
      <c r="C133" s="17">
        <v>0</v>
      </c>
      <c r="E133" s="17">
        <v>-230678875</v>
      </c>
      <c r="G133" s="17">
        <v>0</v>
      </c>
      <c r="I133" s="17">
        <f t="shared" si="4"/>
        <v>-230678875</v>
      </c>
      <c r="K133" s="19">
        <v>3.9335639049635739E-2</v>
      </c>
      <c r="L133" s="18"/>
      <c r="M133" s="17">
        <v>0</v>
      </c>
      <c r="O133" s="17">
        <v>-230678875</v>
      </c>
      <c r="Q133" s="17">
        <v>0</v>
      </c>
      <c r="S133" s="17">
        <f t="shared" si="3"/>
        <v>-230678875</v>
      </c>
      <c r="U133" s="19">
        <v>-4.1968623748294817E-3</v>
      </c>
    </row>
    <row r="134" spans="1:21" ht="21">
      <c r="A134" s="30" t="s">
        <v>275</v>
      </c>
      <c r="C134" s="17">
        <v>0</v>
      </c>
      <c r="E134" s="17">
        <v>-31699600</v>
      </c>
      <c r="G134" s="17">
        <v>0</v>
      </c>
      <c r="I134" s="17">
        <f t="shared" si="4"/>
        <v>-31699600</v>
      </c>
      <c r="K134" s="19">
        <v>5.4054538961048476E-3</v>
      </c>
      <c r="L134" s="18"/>
      <c r="M134" s="17">
        <v>0</v>
      </c>
      <c r="O134" s="17">
        <v>-31699600</v>
      </c>
      <c r="Q134" s="17">
        <v>0</v>
      </c>
      <c r="S134" s="17">
        <f t="shared" si="3"/>
        <v>-31699600</v>
      </c>
      <c r="U134" s="19">
        <v>-5.767275331871835E-4</v>
      </c>
    </row>
    <row r="135" spans="1:21" ht="21">
      <c r="A135" s="30" t="s">
        <v>276</v>
      </c>
      <c r="C135" s="17">
        <v>0</v>
      </c>
      <c r="E135" s="17">
        <v>45145</v>
      </c>
      <c r="G135" s="17">
        <v>0</v>
      </c>
      <c r="I135" s="17">
        <f t="shared" si="4"/>
        <v>45145</v>
      </c>
      <c r="K135" s="19">
        <v>-7.6981796659785412E-6</v>
      </c>
      <c r="L135" s="18"/>
      <c r="M135" s="17">
        <v>0</v>
      </c>
      <c r="O135" s="17">
        <v>45145</v>
      </c>
      <c r="Q135" s="17">
        <v>0</v>
      </c>
      <c r="S135" s="17">
        <f t="shared" si="3"/>
        <v>45145</v>
      </c>
      <c r="U135" s="19">
        <v>8.2134678310563534E-7</v>
      </c>
    </row>
    <row r="136" spans="1:21" ht="21.75" thickBot="1">
      <c r="A136" s="20" t="s">
        <v>96</v>
      </c>
      <c r="C136" s="20">
        <f>SUM(C126:C135)</f>
        <v>0</v>
      </c>
      <c r="E136" s="20">
        <f>SUM(E126:E135)</f>
        <v>-21897199813</v>
      </c>
      <c r="G136" s="20">
        <f>SUM(G126:G135)</f>
        <v>14936721618</v>
      </c>
      <c r="I136" s="20">
        <f>SUM(I126:I135)</f>
        <v>-6960478195</v>
      </c>
      <c r="K136" s="21">
        <f>SUM(K126:K135)</f>
        <v>1.1869091085665315</v>
      </c>
      <c r="M136" s="20">
        <f>SUM(M126:M135)</f>
        <v>5346680000</v>
      </c>
      <c r="O136" s="20">
        <f>SUM(O126:O135)</f>
        <v>5346857572</v>
      </c>
      <c r="Q136" s="20">
        <f>SUM(Q126:Q135)</f>
        <v>42060674225</v>
      </c>
      <c r="S136" s="20">
        <f>SUM(S126:S135)</f>
        <v>52754211797</v>
      </c>
      <c r="U136" s="21">
        <f>SUM(U126:U135)</f>
        <v>0.95978518451078332</v>
      </c>
    </row>
    <row r="137" spans="1:21" ht="21.75" thickTop="1">
      <c r="C137" s="22"/>
      <c r="E137" s="22"/>
      <c r="G137" s="22"/>
      <c r="I137" s="22"/>
      <c r="K137" s="22"/>
      <c r="M137" s="22"/>
      <c r="O137" s="22"/>
      <c r="Q137" s="22"/>
      <c r="S137" s="22"/>
      <c r="U137" s="22"/>
    </row>
  </sheetData>
  <mergeCells count="28">
    <mergeCell ref="A119:U119"/>
    <mergeCell ref="A120:U120"/>
    <mergeCell ref="A122:S122"/>
    <mergeCell ref="T122:U122"/>
    <mergeCell ref="C124:K124"/>
    <mergeCell ref="M124:U124"/>
    <mergeCell ref="A83:S83"/>
    <mergeCell ref="T83:U83"/>
    <mergeCell ref="C85:K85"/>
    <mergeCell ref="M85:U85"/>
    <mergeCell ref="A118:U118"/>
    <mergeCell ref="C46:K46"/>
    <mergeCell ref="M46:U46"/>
    <mergeCell ref="A79:U79"/>
    <mergeCell ref="A80:U80"/>
    <mergeCell ref="A81:U81"/>
    <mergeCell ref="A40:U40"/>
    <mergeCell ref="A41:U41"/>
    <mergeCell ref="A42:U42"/>
    <mergeCell ref="A44:S44"/>
    <mergeCell ref="T44:U44"/>
    <mergeCell ref="A1:U1"/>
    <mergeCell ref="A2:U2"/>
    <mergeCell ref="A3:U3"/>
    <mergeCell ref="C7:K7"/>
    <mergeCell ref="M7:U7"/>
    <mergeCell ref="A5:S5"/>
    <mergeCell ref="T5:U5"/>
  </mergeCells>
  <pageMargins left="0.7" right="0.7" top="0.75" bottom="0.75" header="0.3" footer="0.3"/>
  <pageSetup paperSize="9" scale="60" fitToHeight="0" orientation="landscape" r:id="rId1"/>
  <rowBreaks count="3" manualBreakCount="3">
    <brk id="39" max="20" man="1"/>
    <brk id="78" max="20" man="1"/>
    <brk id="117" max="20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12"/>
  <sheetViews>
    <sheetView rightToLeft="1" view="pageBreakPreview" zoomScale="60" zoomScaleNormal="100" workbookViewId="0">
      <selection activeCell="A5" sqref="A5:K5"/>
    </sheetView>
  </sheetViews>
  <sheetFormatPr defaultRowHeight="19.5"/>
  <cols>
    <col min="1" max="1" width="32.5703125" style="8" customWidth="1"/>
    <col min="2" max="2" width="1.42578125" style="8" customWidth="1"/>
    <col min="3" max="3" width="18.5703125" style="8" bestFit="1" customWidth="1"/>
    <col min="4" max="4" width="1.42578125" style="8" customWidth="1"/>
    <col min="5" max="5" width="17" style="8" customWidth="1"/>
    <col min="6" max="6" width="1.42578125" style="8" customWidth="1"/>
    <col min="7" max="7" width="14.140625" style="8" customWidth="1"/>
    <col min="8" max="8" width="1.42578125" style="8" customWidth="1"/>
    <col min="9" max="9" width="17" style="8" customWidth="1"/>
    <col min="10" max="10" width="1.42578125" style="8" customWidth="1"/>
    <col min="11" max="11" width="14.140625" style="8" customWidth="1"/>
    <col min="12" max="16384" width="9.140625" style="8"/>
  </cols>
  <sheetData>
    <row r="1" spans="1:11" ht="20.100000000000001" customHeight="1">
      <c r="A1" s="6" t="s">
        <v>291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0.100000000000001" customHeight="1">
      <c r="A2" s="6" t="s">
        <v>162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0.100000000000001" customHeight="1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</row>
    <row r="5" spans="1:11" ht="21">
      <c r="A5" s="9" t="s">
        <v>294</v>
      </c>
      <c r="B5" s="7"/>
      <c r="C5" s="7"/>
      <c r="D5" s="7"/>
      <c r="E5" s="7"/>
      <c r="F5" s="7"/>
      <c r="G5" s="7"/>
      <c r="H5" s="7"/>
      <c r="I5" s="7"/>
      <c r="J5" s="7"/>
      <c r="K5" s="7"/>
    </row>
    <row r="7" spans="1:11" ht="21">
      <c r="A7" s="10" t="s">
        <v>235</v>
      </c>
      <c r="B7" s="11"/>
      <c r="C7" s="11"/>
      <c r="E7" s="10" t="s">
        <v>253</v>
      </c>
      <c r="F7" s="11"/>
      <c r="G7" s="11"/>
      <c r="I7" s="10" t="s">
        <v>293</v>
      </c>
      <c r="J7" s="11"/>
      <c r="K7" s="11"/>
    </row>
    <row r="8" spans="1:11" ht="42">
      <c r="A8" s="31" t="s">
        <v>236</v>
      </c>
      <c r="C8" s="31" t="s">
        <v>143</v>
      </c>
      <c r="E8" s="31" t="s">
        <v>237</v>
      </c>
      <c r="G8" s="31" t="s">
        <v>238</v>
      </c>
      <c r="I8" s="31" t="s">
        <v>237</v>
      </c>
      <c r="K8" s="31" t="s">
        <v>238</v>
      </c>
    </row>
    <row r="9" spans="1:11" ht="21">
      <c r="A9" s="30" t="s">
        <v>239</v>
      </c>
      <c r="C9" s="18" t="s">
        <v>151</v>
      </c>
      <c r="E9" s="17">
        <v>338640</v>
      </c>
      <c r="G9" s="19">
        <f>E9/$E$11</f>
        <v>3.1254746380820537E-4</v>
      </c>
      <c r="I9" s="17">
        <v>1818620</v>
      </c>
      <c r="K9" s="19">
        <f>I9/$I$11</f>
        <v>8.3706818816366982E-4</v>
      </c>
    </row>
    <row r="10" spans="1:11" ht="21">
      <c r="A10" s="30" t="s">
        <v>240</v>
      </c>
      <c r="C10" s="18" t="s">
        <v>159</v>
      </c>
      <c r="E10" s="17">
        <v>1083144796</v>
      </c>
      <c r="G10" s="19">
        <f>E10/$E$11</f>
        <v>0.99968745253619185</v>
      </c>
      <c r="I10" s="17">
        <v>2170788135</v>
      </c>
      <c r="K10" s="19">
        <f>I10/$I$11</f>
        <v>0.99916293181183635</v>
      </c>
    </row>
    <row r="11" spans="1:11" ht="21">
      <c r="A11" s="20" t="s">
        <v>96</v>
      </c>
      <c r="E11" s="20">
        <f>SUM(E9:$E$10)</f>
        <v>1083483436</v>
      </c>
      <c r="G11" s="33">
        <f>SUM(G9:$G$10)</f>
        <v>1</v>
      </c>
      <c r="I11" s="20">
        <f>SUM(I9:$I$10)</f>
        <v>2172606755</v>
      </c>
      <c r="K11" s="33">
        <f>SUM(K9:$K$10)</f>
        <v>1</v>
      </c>
    </row>
    <row r="12" spans="1:11" ht="21">
      <c r="E12" s="22"/>
      <c r="G12" s="22"/>
      <c r="I12" s="22"/>
      <c r="K12" s="22"/>
    </row>
  </sheetData>
  <mergeCells count="7">
    <mergeCell ref="A1:K1"/>
    <mergeCell ref="A2:K2"/>
    <mergeCell ref="A3:K3"/>
    <mergeCell ref="A5:K5"/>
    <mergeCell ref="A7:C7"/>
    <mergeCell ref="E7:G7"/>
    <mergeCell ref="I7:K7"/>
  </mergeCells>
  <pageMargins left="0.7" right="0.7" top="0.75" bottom="0.75" header="0.3" footer="0.3"/>
  <pageSetup paperSize="9" scale="72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1"/>
  <sheetViews>
    <sheetView rightToLeft="1" view="pageBreakPreview" zoomScale="60" zoomScaleNormal="100" workbookViewId="0">
      <selection activeCell="C10" sqref="C10"/>
    </sheetView>
  </sheetViews>
  <sheetFormatPr defaultRowHeight="19.5"/>
  <cols>
    <col min="1" max="1" width="41" style="8" customWidth="1"/>
    <col min="2" max="2" width="1.42578125" style="8" customWidth="1"/>
    <col min="3" max="3" width="24.140625" style="8" customWidth="1"/>
    <col min="4" max="4" width="1.42578125" style="8" customWidth="1"/>
    <col min="5" max="5" width="31.42578125" style="8" bestFit="1" customWidth="1"/>
    <col min="6" max="16384" width="9.140625" style="8"/>
  </cols>
  <sheetData>
    <row r="1" spans="1:5" ht="20.100000000000001" customHeight="1">
      <c r="A1" s="6" t="s">
        <v>291</v>
      </c>
      <c r="B1" s="7"/>
      <c r="C1" s="7"/>
      <c r="D1" s="7"/>
      <c r="E1" s="7"/>
    </row>
    <row r="2" spans="1:5" ht="20.100000000000001" customHeight="1">
      <c r="A2" s="6" t="s">
        <v>162</v>
      </c>
      <c r="B2" s="7"/>
      <c r="C2" s="7"/>
      <c r="D2" s="7"/>
      <c r="E2" s="7"/>
    </row>
    <row r="3" spans="1:5" ht="20.100000000000001" customHeight="1">
      <c r="A3" s="6" t="s">
        <v>1</v>
      </c>
      <c r="B3" s="7"/>
      <c r="C3" s="7"/>
      <c r="D3" s="7"/>
      <c r="E3" s="7"/>
    </row>
    <row r="5" spans="1:5" ht="21">
      <c r="A5" s="9" t="s">
        <v>295</v>
      </c>
      <c r="B5" s="7"/>
      <c r="C5" s="7"/>
      <c r="D5" s="7"/>
      <c r="E5" s="7"/>
    </row>
    <row r="7" spans="1:5" ht="21">
      <c r="C7" s="29" t="s">
        <v>253</v>
      </c>
      <c r="E7" s="29" t="s">
        <v>293</v>
      </c>
    </row>
    <row r="8" spans="1:5" ht="21">
      <c r="A8" s="31" t="s">
        <v>171</v>
      </c>
      <c r="C8" s="31" t="s">
        <v>147</v>
      </c>
      <c r="E8" s="31" t="s">
        <v>147</v>
      </c>
    </row>
    <row r="9" spans="1:5" ht="21">
      <c r="A9" s="34" t="s">
        <v>296</v>
      </c>
      <c r="C9" s="17">
        <v>16153209</v>
      </c>
      <c r="E9" s="17">
        <v>37784620</v>
      </c>
    </row>
    <row r="10" spans="1:5" ht="21">
      <c r="A10" s="20" t="s">
        <v>96</v>
      </c>
      <c r="C10" s="20">
        <f>SUM(C9:$C$9)</f>
        <v>16153209</v>
      </c>
      <c r="E10" s="20">
        <f>SUM(E9:$E$9)</f>
        <v>37784620</v>
      </c>
    </row>
    <row r="11" spans="1:5" ht="21">
      <c r="C11" s="22"/>
      <c r="E11" s="22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scale="87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12"/>
  <sheetViews>
    <sheetView rightToLeft="1" view="pageBreakPreview" zoomScale="60" zoomScaleNormal="100" workbookViewId="0">
      <selection activeCell="I7" sqref="I7:S7"/>
    </sheetView>
  </sheetViews>
  <sheetFormatPr defaultRowHeight="19.5"/>
  <cols>
    <col min="1" max="1" width="27.7109375" style="8" customWidth="1"/>
    <col min="2" max="2" width="1.42578125" style="8" customWidth="1"/>
    <col min="3" max="3" width="11.42578125" style="8" customWidth="1"/>
    <col min="4" max="4" width="1.42578125" style="8" customWidth="1"/>
    <col min="5" max="5" width="12.7109375" style="8" customWidth="1"/>
    <col min="6" max="6" width="1.42578125" style="8" customWidth="1"/>
    <col min="7" max="7" width="11.42578125" style="8" customWidth="1"/>
    <col min="8" max="8" width="1.42578125" style="8" customWidth="1"/>
    <col min="9" max="9" width="18.42578125" style="8" customWidth="1"/>
    <col min="10" max="10" width="1.42578125" style="8" customWidth="1"/>
    <col min="11" max="11" width="14.140625" style="8" customWidth="1"/>
    <col min="12" max="12" width="1.42578125" style="8" customWidth="1"/>
    <col min="13" max="13" width="18.42578125" style="8" customWidth="1"/>
    <col min="14" max="14" width="1.42578125" style="8" customWidth="1"/>
    <col min="15" max="15" width="18.42578125" style="8" customWidth="1"/>
    <col min="16" max="16" width="1.42578125" style="8" customWidth="1"/>
    <col min="17" max="17" width="14.140625" style="8" customWidth="1"/>
    <col min="18" max="18" width="1.42578125" style="8" customWidth="1"/>
    <col min="19" max="19" width="18.42578125" style="8" customWidth="1"/>
    <col min="20" max="16384" width="9.140625" style="8"/>
  </cols>
  <sheetData>
    <row r="1" spans="1:19" ht="20.100000000000001" customHeight="1">
      <c r="A1" s="6" t="s">
        <v>291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20.100000000000001" customHeight="1">
      <c r="A2" s="6" t="s">
        <v>162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20.100000000000001" customHeight="1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5" spans="1:19" ht="21">
      <c r="A5" s="9" t="s">
        <v>172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7" spans="1:19" ht="21">
      <c r="C7" s="10" t="s">
        <v>173</v>
      </c>
      <c r="D7" s="11"/>
      <c r="E7" s="11"/>
      <c r="F7" s="11"/>
      <c r="G7" s="11"/>
      <c r="I7" s="10" t="s">
        <v>253</v>
      </c>
      <c r="J7" s="11"/>
      <c r="K7" s="11"/>
      <c r="L7" s="11"/>
      <c r="M7" s="11"/>
      <c r="O7" s="10" t="s">
        <v>293</v>
      </c>
      <c r="P7" s="11"/>
      <c r="Q7" s="11"/>
      <c r="R7" s="11"/>
      <c r="S7" s="11"/>
    </row>
    <row r="8" spans="1:19" ht="63">
      <c r="A8" s="29" t="s">
        <v>97</v>
      </c>
      <c r="C8" s="31" t="s">
        <v>174</v>
      </c>
      <c r="E8" s="31" t="s">
        <v>175</v>
      </c>
      <c r="G8" s="31" t="s">
        <v>176</v>
      </c>
      <c r="I8" s="31" t="s">
        <v>177</v>
      </c>
      <c r="K8" s="31" t="s">
        <v>178</v>
      </c>
      <c r="M8" s="31" t="s">
        <v>179</v>
      </c>
      <c r="O8" s="31" t="s">
        <v>177</v>
      </c>
      <c r="Q8" s="31" t="s">
        <v>178</v>
      </c>
      <c r="S8" s="31" t="s">
        <v>179</v>
      </c>
    </row>
    <row r="9" spans="1:19" ht="21">
      <c r="A9" s="30" t="s">
        <v>45</v>
      </c>
      <c r="C9" s="18" t="s">
        <v>180</v>
      </c>
      <c r="E9" s="17">
        <v>1700000</v>
      </c>
      <c r="G9" s="17">
        <v>560</v>
      </c>
      <c r="I9" s="17">
        <v>0</v>
      </c>
      <c r="J9" s="17"/>
      <c r="K9" s="17">
        <v>0</v>
      </c>
      <c r="M9" s="17">
        <f>I9+K9</f>
        <v>0</v>
      </c>
      <c r="N9" s="18"/>
      <c r="O9" s="17">
        <v>952000000</v>
      </c>
      <c r="Q9" s="17">
        <v>-112169184</v>
      </c>
      <c r="S9" s="17">
        <f>O9+Q9</f>
        <v>839830816</v>
      </c>
    </row>
    <row r="10" spans="1:19" ht="21">
      <c r="A10" s="30" t="s">
        <v>83</v>
      </c>
      <c r="C10" s="18" t="s">
        <v>181</v>
      </c>
      <c r="E10" s="17">
        <v>607000</v>
      </c>
      <c r="G10" s="17">
        <v>7240</v>
      </c>
      <c r="I10" s="17">
        <v>0</v>
      </c>
      <c r="J10" s="17"/>
      <c r="K10" s="17">
        <v>0</v>
      </c>
      <c r="M10" s="17">
        <f>I10+K10</f>
        <v>0</v>
      </c>
      <c r="N10" s="18"/>
      <c r="O10" s="17">
        <v>4394680000</v>
      </c>
      <c r="Q10" s="17">
        <v>0</v>
      </c>
      <c r="S10" s="17">
        <f>O10+Q10</f>
        <v>4394680000</v>
      </c>
    </row>
    <row r="11" spans="1:19" ht="21">
      <c r="A11" s="20" t="s">
        <v>96</v>
      </c>
      <c r="I11" s="20">
        <f>SUM(I9:$I$10)</f>
        <v>0</v>
      </c>
      <c r="K11" s="20">
        <f>SUM(K9:$K$10)</f>
        <v>0</v>
      </c>
      <c r="M11" s="20">
        <f>SUM(M9:$M$10)</f>
        <v>0</v>
      </c>
      <c r="O11" s="20">
        <f>SUM(O9:$O$10)</f>
        <v>5346680000</v>
      </c>
      <c r="Q11" s="20">
        <f>SUM(Q9:$Q$10)</f>
        <v>-112169184</v>
      </c>
      <c r="S11" s="20">
        <f>SUM(S9:$S$10)</f>
        <v>5234510816</v>
      </c>
    </row>
    <row r="12" spans="1:19" ht="21">
      <c r="I12" s="22"/>
      <c r="K12" s="22"/>
      <c r="M12" s="22"/>
      <c r="O12" s="22"/>
      <c r="Q12" s="22"/>
      <c r="S12" s="22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3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12"/>
  <sheetViews>
    <sheetView rightToLeft="1" view="pageBreakPreview" zoomScale="60" zoomScaleNormal="100" workbookViewId="0">
      <selection sqref="A1:S1"/>
    </sheetView>
  </sheetViews>
  <sheetFormatPr defaultRowHeight="19.5"/>
  <cols>
    <col min="1" max="1" width="36.5703125" style="8" customWidth="1"/>
    <col min="2" max="2" width="1.42578125" style="8" customWidth="1"/>
    <col min="3" max="3" width="11.42578125" style="8" customWidth="1"/>
    <col min="4" max="4" width="1.42578125" style="8" customWidth="1"/>
    <col min="5" max="5" width="11.42578125" style="8" customWidth="1"/>
    <col min="6" max="6" width="1.42578125" style="8" customWidth="1"/>
    <col min="7" max="7" width="11.42578125" style="8" customWidth="1"/>
    <col min="8" max="8" width="1.42578125" style="8" customWidth="1"/>
    <col min="9" max="9" width="18.42578125" style="8" customWidth="1"/>
    <col min="10" max="10" width="1.42578125" style="8" customWidth="1"/>
    <col min="11" max="11" width="14.140625" style="8" customWidth="1"/>
    <col min="12" max="12" width="1.42578125" style="8" customWidth="1"/>
    <col min="13" max="13" width="18.42578125" style="8" customWidth="1"/>
    <col min="14" max="14" width="1.42578125" style="8" customWidth="1"/>
    <col min="15" max="15" width="18.42578125" style="8" customWidth="1"/>
    <col min="16" max="16" width="1.42578125" style="8" customWidth="1"/>
    <col min="17" max="17" width="14.140625" style="8" customWidth="1"/>
    <col min="18" max="18" width="1.42578125" style="8" customWidth="1"/>
    <col min="19" max="19" width="18.42578125" style="8" customWidth="1"/>
    <col min="20" max="16384" width="9.140625" style="8"/>
  </cols>
  <sheetData>
    <row r="1" spans="1:19" ht="20.100000000000001" customHeight="1">
      <c r="A1" s="6" t="s">
        <v>291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20.100000000000001" customHeight="1">
      <c r="A2" s="6" t="s">
        <v>162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20.100000000000001" customHeight="1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5" spans="1:19" ht="21">
      <c r="A5" s="9" t="s">
        <v>299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7" spans="1:19" ht="21">
      <c r="I7" s="10" t="s">
        <v>253</v>
      </c>
      <c r="J7" s="11"/>
      <c r="K7" s="11"/>
      <c r="L7" s="11"/>
      <c r="M7" s="11"/>
      <c r="O7" s="10" t="s">
        <v>293</v>
      </c>
      <c r="P7" s="11"/>
      <c r="Q7" s="11"/>
      <c r="R7" s="11"/>
      <c r="S7" s="11"/>
    </row>
    <row r="8" spans="1:19" ht="42">
      <c r="A8" s="29" t="s">
        <v>164</v>
      </c>
      <c r="C8" s="31" t="s">
        <v>182</v>
      </c>
      <c r="E8" s="31" t="s">
        <v>140</v>
      </c>
      <c r="G8" s="31" t="s">
        <v>146</v>
      </c>
      <c r="I8" s="31" t="s">
        <v>183</v>
      </c>
      <c r="K8" s="31" t="s">
        <v>178</v>
      </c>
      <c r="M8" s="31" t="s">
        <v>184</v>
      </c>
      <c r="O8" s="31" t="s">
        <v>183</v>
      </c>
      <c r="Q8" s="31" t="s">
        <v>178</v>
      </c>
      <c r="S8" s="31" t="s">
        <v>184</v>
      </c>
    </row>
    <row r="9" spans="1:19" ht="21">
      <c r="A9" s="30" t="s">
        <v>185</v>
      </c>
      <c r="C9" s="18" t="s">
        <v>186</v>
      </c>
      <c r="E9" s="18" t="s">
        <v>187</v>
      </c>
      <c r="G9" s="18" t="s">
        <v>161</v>
      </c>
      <c r="I9" s="17">
        <v>1083144796</v>
      </c>
      <c r="K9" s="17">
        <v>-4804157</v>
      </c>
      <c r="M9" s="17">
        <f>I9+K9</f>
        <v>1078340639</v>
      </c>
      <c r="O9" s="17">
        <v>2170788135</v>
      </c>
      <c r="Q9" s="17">
        <v>0</v>
      </c>
      <c r="S9" s="17">
        <f>O9+Q9</f>
        <v>2170788135</v>
      </c>
    </row>
    <row r="10" spans="1:19" ht="21">
      <c r="A10" s="30" t="s">
        <v>188</v>
      </c>
      <c r="C10" s="18" t="s">
        <v>189</v>
      </c>
      <c r="E10" s="18" t="s">
        <v>187</v>
      </c>
      <c r="G10" s="18">
        <v>10</v>
      </c>
      <c r="I10" s="17">
        <v>338640</v>
      </c>
      <c r="K10" s="17">
        <v>0</v>
      </c>
      <c r="M10" s="17">
        <f>I10+K10</f>
        <v>338640</v>
      </c>
      <c r="O10" s="17">
        <v>1818620</v>
      </c>
      <c r="Q10" s="17">
        <v>0</v>
      </c>
      <c r="S10" s="17">
        <f>O10+Q10</f>
        <v>1818620</v>
      </c>
    </row>
    <row r="11" spans="1:19" ht="21">
      <c r="A11" s="20" t="s">
        <v>96</v>
      </c>
      <c r="I11" s="20">
        <f>SUM(I9:$I$10)</f>
        <v>1083483436</v>
      </c>
      <c r="K11" s="20">
        <f>SUM(K9:$K$10)</f>
        <v>-4804157</v>
      </c>
      <c r="M11" s="20">
        <f>SUM(M9:$M$10)</f>
        <v>1078679279</v>
      </c>
      <c r="O11" s="20">
        <f>SUM(O9:$O$10)</f>
        <v>2172606755</v>
      </c>
      <c r="Q11" s="20">
        <f>SUM(Q9:$Q$10)</f>
        <v>0</v>
      </c>
      <c r="S11" s="20">
        <f>SUM(S9:$S$10)</f>
        <v>2172606755</v>
      </c>
    </row>
    <row r="12" spans="1:19" ht="21">
      <c r="I12" s="22"/>
      <c r="K12" s="22"/>
      <c r="M12" s="22"/>
      <c r="O12" s="22"/>
      <c r="Q12" s="22"/>
      <c r="S12" s="22"/>
    </row>
  </sheetData>
  <mergeCells count="6">
    <mergeCell ref="A1:S1"/>
    <mergeCell ref="A2:S2"/>
    <mergeCell ref="A3:S3"/>
    <mergeCell ref="A5:S5"/>
    <mergeCell ref="I7:M7"/>
    <mergeCell ref="O7:S7"/>
  </mergeCells>
  <pageMargins left="0.7" right="0.7" top="0.75" bottom="0.75" header="0.3" footer="0.3"/>
  <pageSetup paperSize="9" scale="70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77"/>
  <sheetViews>
    <sheetView rightToLeft="1" view="pageBreakPreview" zoomScale="60" zoomScaleNormal="100" workbookViewId="0">
      <selection activeCell="C7" sqref="C7:Q7"/>
    </sheetView>
  </sheetViews>
  <sheetFormatPr defaultRowHeight="19.5"/>
  <cols>
    <col min="1" max="1" width="42.140625" style="8" customWidth="1"/>
    <col min="2" max="2" width="1.42578125" style="8" customWidth="1"/>
    <col min="3" max="3" width="12.7109375" style="8" customWidth="1"/>
    <col min="4" max="4" width="1.42578125" style="8" customWidth="1"/>
    <col min="5" max="5" width="17" style="8" customWidth="1"/>
    <col min="6" max="6" width="1.42578125" style="8" customWidth="1"/>
    <col min="7" max="7" width="17" style="8" customWidth="1"/>
    <col min="8" max="8" width="1.42578125" style="8" customWidth="1"/>
    <col min="9" max="9" width="17" style="8" customWidth="1"/>
    <col min="10" max="10" width="1.42578125" style="8" customWidth="1"/>
    <col min="11" max="11" width="12.7109375" style="8" customWidth="1"/>
    <col min="12" max="12" width="1.42578125" style="8" customWidth="1"/>
    <col min="13" max="13" width="17" style="8" customWidth="1"/>
    <col min="14" max="14" width="1.42578125" style="8" customWidth="1"/>
    <col min="15" max="15" width="17" style="8" customWidth="1"/>
    <col min="16" max="16" width="1.42578125" style="8" customWidth="1"/>
    <col min="17" max="17" width="17" style="8" customWidth="1"/>
    <col min="18" max="16384" width="9.140625" style="8"/>
  </cols>
  <sheetData>
    <row r="1" spans="1:19" ht="20.100000000000001" customHeight="1">
      <c r="A1" s="6" t="s">
        <v>291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36"/>
      <c r="S1" s="36"/>
    </row>
    <row r="2" spans="1:19" ht="20.100000000000001" customHeight="1">
      <c r="A2" s="6" t="s">
        <v>162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9" ht="20.100000000000001" customHeight="1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5" spans="1:19" ht="21">
      <c r="A5" s="9" t="s">
        <v>190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7" spans="1:19" ht="21">
      <c r="C7" s="10" t="s">
        <v>253</v>
      </c>
      <c r="D7" s="11"/>
      <c r="E7" s="11"/>
      <c r="F7" s="11"/>
      <c r="G7" s="11"/>
      <c r="H7" s="11"/>
      <c r="I7" s="11"/>
      <c r="K7" s="10" t="s">
        <v>293</v>
      </c>
      <c r="L7" s="11"/>
      <c r="M7" s="11"/>
      <c r="N7" s="11"/>
      <c r="O7" s="11"/>
      <c r="P7" s="11"/>
      <c r="Q7" s="11"/>
    </row>
    <row r="8" spans="1:19" ht="42">
      <c r="A8" s="29" t="s">
        <v>164</v>
      </c>
      <c r="C8" s="31" t="s">
        <v>7</v>
      </c>
      <c r="E8" s="31" t="s">
        <v>9</v>
      </c>
      <c r="G8" s="31" t="s">
        <v>191</v>
      </c>
      <c r="I8" s="31" t="s">
        <v>192</v>
      </c>
      <c r="K8" s="31" t="s">
        <v>7</v>
      </c>
      <c r="M8" s="31" t="s">
        <v>9</v>
      </c>
      <c r="O8" s="31" t="s">
        <v>191</v>
      </c>
      <c r="Q8" s="31" t="s">
        <v>192</v>
      </c>
    </row>
    <row r="9" spans="1:19" ht="21">
      <c r="A9" s="30" t="s">
        <v>193</v>
      </c>
      <c r="C9" s="17">
        <v>0</v>
      </c>
      <c r="E9" s="17">
        <v>0</v>
      </c>
      <c r="G9" s="17">
        <v>0</v>
      </c>
      <c r="I9" s="17">
        <v>0</v>
      </c>
      <c r="J9" s="18"/>
      <c r="K9" s="17">
        <v>542000</v>
      </c>
      <c r="M9" s="17">
        <v>275318095</v>
      </c>
      <c r="O9" s="17">
        <v>257445385</v>
      </c>
      <c r="Q9" s="17">
        <v>17872710</v>
      </c>
    </row>
    <row r="10" spans="1:19" ht="21">
      <c r="A10" s="30" t="s">
        <v>18</v>
      </c>
      <c r="C10" s="17">
        <v>50000</v>
      </c>
      <c r="E10" s="17">
        <v>20994593</v>
      </c>
      <c r="G10" s="17">
        <v>3995623</v>
      </c>
      <c r="I10" s="17">
        <v>16998970</v>
      </c>
      <c r="K10" s="17">
        <v>50000</v>
      </c>
      <c r="M10" s="17">
        <v>20994593</v>
      </c>
      <c r="O10" s="17">
        <v>3995623</v>
      </c>
      <c r="Q10" s="17">
        <v>16998970</v>
      </c>
    </row>
    <row r="11" spans="1:19" ht="21">
      <c r="A11" s="30" t="s">
        <v>194</v>
      </c>
      <c r="C11" s="17">
        <v>0</v>
      </c>
      <c r="E11" s="17">
        <v>0</v>
      </c>
      <c r="G11" s="17">
        <v>0</v>
      </c>
      <c r="I11" s="17">
        <v>0</v>
      </c>
      <c r="J11" s="18"/>
      <c r="K11" s="17">
        <v>3531000</v>
      </c>
      <c r="M11" s="17">
        <v>798637324</v>
      </c>
      <c r="O11" s="17">
        <v>145649675</v>
      </c>
      <c r="Q11" s="17">
        <v>652987649</v>
      </c>
    </row>
    <row r="12" spans="1:19" ht="21">
      <c r="A12" s="30" t="s">
        <v>195</v>
      </c>
      <c r="C12" s="17">
        <v>0</v>
      </c>
      <c r="E12" s="17">
        <v>0</v>
      </c>
      <c r="G12" s="17">
        <v>0</v>
      </c>
      <c r="I12" s="17">
        <v>0</v>
      </c>
      <c r="J12" s="18"/>
      <c r="K12" s="17">
        <v>7700000</v>
      </c>
      <c r="M12" s="17">
        <v>587094792</v>
      </c>
      <c r="O12" s="17">
        <v>256414819</v>
      </c>
      <c r="Q12" s="17">
        <v>330679973</v>
      </c>
    </row>
    <row r="13" spans="1:19" ht="21">
      <c r="A13" s="30" t="s">
        <v>20</v>
      </c>
      <c r="C13" s="17">
        <v>3197000</v>
      </c>
      <c r="E13" s="17">
        <v>282592238</v>
      </c>
      <c r="G13" s="17">
        <v>-554146843</v>
      </c>
      <c r="I13" s="17">
        <v>836739081</v>
      </c>
      <c r="K13" s="17">
        <v>14000000</v>
      </c>
      <c r="M13" s="17">
        <v>1232505640</v>
      </c>
      <c r="O13" s="17">
        <v>395766559</v>
      </c>
      <c r="Q13" s="17">
        <v>836739081</v>
      </c>
    </row>
    <row r="14" spans="1:19" ht="21">
      <c r="A14" s="30" t="s">
        <v>303</v>
      </c>
      <c r="C14" s="17">
        <v>0</v>
      </c>
      <c r="E14" s="17">
        <v>0</v>
      </c>
      <c r="G14" s="17">
        <v>0</v>
      </c>
      <c r="I14" s="17">
        <v>0</v>
      </c>
      <c r="K14" s="17"/>
      <c r="M14" s="17"/>
      <c r="O14" s="17"/>
      <c r="Q14" s="17">
        <v>798978106</v>
      </c>
    </row>
    <row r="15" spans="1:19" ht="21">
      <c r="A15" s="30" t="s">
        <v>196</v>
      </c>
      <c r="C15" s="17">
        <v>0</v>
      </c>
      <c r="E15" s="17">
        <v>0</v>
      </c>
      <c r="G15" s="17">
        <v>0</v>
      </c>
      <c r="I15" s="17">
        <v>0</v>
      </c>
      <c r="J15" s="18"/>
      <c r="K15" s="17">
        <v>1500000</v>
      </c>
      <c r="M15" s="17">
        <v>64903292</v>
      </c>
      <c r="O15" s="17">
        <v>-351767500</v>
      </c>
      <c r="Q15" s="17">
        <v>416670792</v>
      </c>
    </row>
    <row r="16" spans="1:19" ht="21">
      <c r="A16" s="30" t="s">
        <v>302</v>
      </c>
      <c r="C16" s="17">
        <v>0</v>
      </c>
      <c r="E16" s="17">
        <v>0</v>
      </c>
      <c r="G16" s="17">
        <v>0</v>
      </c>
      <c r="I16" s="17">
        <v>0</v>
      </c>
      <c r="J16" s="18"/>
      <c r="K16" s="17"/>
      <c r="M16" s="17"/>
      <c r="O16" s="17"/>
      <c r="Q16" s="17">
        <v>2539867414</v>
      </c>
    </row>
    <row r="17" spans="1:17" ht="21">
      <c r="A17" s="30" t="s">
        <v>304</v>
      </c>
      <c r="C17" s="17">
        <v>0</v>
      </c>
      <c r="E17" s="17">
        <v>0</v>
      </c>
      <c r="G17" s="17">
        <v>0</v>
      </c>
      <c r="I17" s="17">
        <v>0</v>
      </c>
      <c r="J17" s="18"/>
      <c r="K17" s="17"/>
      <c r="M17" s="17"/>
      <c r="O17" s="17"/>
      <c r="Q17" s="17">
        <v>288880900</v>
      </c>
    </row>
    <row r="18" spans="1:17" ht="21">
      <c r="A18" s="30" t="s">
        <v>197</v>
      </c>
      <c r="C18" s="17">
        <v>0</v>
      </c>
      <c r="E18" s="17">
        <v>0</v>
      </c>
      <c r="G18" s="17">
        <v>0</v>
      </c>
      <c r="I18" s="17">
        <v>0</v>
      </c>
      <c r="J18" s="18"/>
      <c r="K18" s="17">
        <v>28000000</v>
      </c>
      <c r="M18" s="17">
        <v>2321433191</v>
      </c>
      <c r="O18" s="17">
        <v>1502932284</v>
      </c>
      <c r="Q18" s="17">
        <v>818500907</v>
      </c>
    </row>
    <row r="19" spans="1:17" ht="21">
      <c r="A19" s="30" t="s">
        <v>305</v>
      </c>
      <c r="C19" s="17">
        <v>0</v>
      </c>
      <c r="E19" s="17">
        <v>0</v>
      </c>
      <c r="G19" s="17">
        <v>0</v>
      </c>
      <c r="I19" s="17">
        <v>0</v>
      </c>
      <c r="J19" s="18"/>
      <c r="K19" s="17"/>
      <c r="M19" s="17"/>
      <c r="O19" s="17"/>
      <c r="Q19" s="17">
        <v>103932028</v>
      </c>
    </row>
    <row r="20" spans="1:17" ht="21">
      <c r="A20" s="30" t="s">
        <v>198</v>
      </c>
      <c r="C20" s="17">
        <v>0</v>
      </c>
      <c r="E20" s="17">
        <v>0</v>
      </c>
      <c r="G20" s="17">
        <v>0</v>
      </c>
      <c r="I20" s="17">
        <v>0</v>
      </c>
      <c r="J20" s="18"/>
      <c r="K20" s="17">
        <v>21751000</v>
      </c>
      <c r="M20" s="17">
        <v>1603768001</v>
      </c>
      <c r="O20" s="17">
        <v>750369242</v>
      </c>
      <c r="Q20" s="17">
        <v>853398759</v>
      </c>
    </row>
    <row r="21" spans="1:17" ht="21">
      <c r="A21" s="30" t="s">
        <v>22</v>
      </c>
      <c r="C21" s="17">
        <v>1073000</v>
      </c>
      <c r="E21" s="17">
        <v>430469130</v>
      </c>
      <c r="G21" s="17">
        <v>130748811</v>
      </c>
      <c r="I21" s="17">
        <v>299720319</v>
      </c>
      <c r="K21" s="17">
        <v>1073000</v>
      </c>
      <c r="M21" s="17">
        <v>430469130</v>
      </c>
      <c r="O21" s="17">
        <v>130748811</v>
      </c>
      <c r="Q21" s="17">
        <v>299720319</v>
      </c>
    </row>
    <row r="22" spans="1:17" ht="21">
      <c r="A22" s="30" t="s">
        <v>199</v>
      </c>
      <c r="C22" s="17">
        <v>0</v>
      </c>
      <c r="E22" s="17">
        <v>0</v>
      </c>
      <c r="G22" s="17">
        <v>0</v>
      </c>
      <c r="I22" s="17">
        <v>0</v>
      </c>
      <c r="J22" s="18"/>
      <c r="K22" s="17">
        <v>10000000</v>
      </c>
      <c r="M22" s="17">
        <v>5498633758</v>
      </c>
      <c r="O22" s="17">
        <v>3185510161</v>
      </c>
      <c r="Q22" s="17">
        <v>2313123597</v>
      </c>
    </row>
    <row r="23" spans="1:17" ht="21">
      <c r="A23" s="30" t="s">
        <v>23</v>
      </c>
      <c r="C23" s="17">
        <v>12000000</v>
      </c>
      <c r="E23" s="17">
        <v>1203342086</v>
      </c>
      <c r="G23" s="17">
        <v>1174749578</v>
      </c>
      <c r="I23" s="17">
        <v>28592508</v>
      </c>
      <c r="K23" s="17">
        <v>12000000</v>
      </c>
      <c r="M23" s="17">
        <v>1203342086</v>
      </c>
      <c r="O23" s="17">
        <v>1174749578</v>
      </c>
      <c r="Q23" s="17">
        <v>28592508</v>
      </c>
    </row>
    <row r="24" spans="1:17" ht="21">
      <c r="A24" s="30" t="s">
        <v>24</v>
      </c>
      <c r="C24" s="17">
        <v>40000</v>
      </c>
      <c r="E24" s="17">
        <v>15995880</v>
      </c>
      <c r="G24" s="17">
        <v>14399588</v>
      </c>
      <c r="I24" s="17">
        <v>1596292</v>
      </c>
      <c r="K24" s="17">
        <v>40000</v>
      </c>
      <c r="M24" s="17">
        <v>15995880</v>
      </c>
      <c r="O24" s="17">
        <v>14399588</v>
      </c>
      <c r="Q24" s="17">
        <v>1596292</v>
      </c>
    </row>
    <row r="25" spans="1:17" ht="21">
      <c r="A25" s="30" t="s">
        <v>25</v>
      </c>
      <c r="C25" s="17">
        <v>8000000</v>
      </c>
      <c r="E25" s="17">
        <v>806472331</v>
      </c>
      <c r="G25" s="17">
        <v>87814950</v>
      </c>
      <c r="I25" s="17">
        <v>718657381</v>
      </c>
      <c r="K25" s="17">
        <v>8000000</v>
      </c>
      <c r="M25" s="17">
        <v>806472331</v>
      </c>
      <c r="O25" s="17">
        <v>87814950</v>
      </c>
      <c r="Q25" s="17">
        <v>718657381</v>
      </c>
    </row>
    <row r="26" spans="1:17" ht="21">
      <c r="A26" s="30" t="s">
        <v>300</v>
      </c>
      <c r="C26" s="17">
        <v>0</v>
      </c>
      <c r="E26" s="17">
        <v>0</v>
      </c>
      <c r="G26" s="17">
        <v>0</v>
      </c>
      <c r="I26" s="17">
        <v>0</v>
      </c>
      <c r="J26" s="18"/>
      <c r="K26" s="17">
        <v>6862000</v>
      </c>
      <c r="M26" s="17">
        <v>2072784133</v>
      </c>
      <c r="O26" s="17">
        <v>1045680441</v>
      </c>
      <c r="Q26" s="17">
        <v>1027103692</v>
      </c>
    </row>
    <row r="27" spans="1:17" ht="21">
      <c r="A27" s="30" t="s">
        <v>301</v>
      </c>
      <c r="C27" s="17">
        <v>0</v>
      </c>
      <c r="E27" s="17">
        <v>0</v>
      </c>
      <c r="G27" s="17">
        <v>0</v>
      </c>
      <c r="I27" s="17">
        <v>0</v>
      </c>
      <c r="J27" s="18"/>
      <c r="K27" s="17">
        <v>3250000</v>
      </c>
      <c r="M27" s="17">
        <v>659830052</v>
      </c>
      <c r="O27" s="17">
        <v>265616455</v>
      </c>
      <c r="Q27" s="17">
        <v>394213597</v>
      </c>
    </row>
    <row r="28" spans="1:17" ht="21">
      <c r="A28" s="30" t="s">
        <v>26</v>
      </c>
      <c r="C28" s="17">
        <v>1000000</v>
      </c>
      <c r="E28" s="17">
        <v>382901385</v>
      </c>
      <c r="G28" s="17">
        <v>-1079048209</v>
      </c>
      <c r="I28" s="17">
        <v>1461949594</v>
      </c>
      <c r="K28" s="17">
        <v>9900000</v>
      </c>
      <c r="M28" s="17">
        <v>3806991542</v>
      </c>
      <c r="O28" s="17">
        <v>2306671564</v>
      </c>
      <c r="Q28" s="17">
        <v>1500319978</v>
      </c>
    </row>
    <row r="29" spans="1:17" ht="21">
      <c r="A29" s="30" t="s">
        <v>27</v>
      </c>
      <c r="C29" s="17">
        <v>14900000</v>
      </c>
      <c r="E29" s="17">
        <v>3409416921</v>
      </c>
      <c r="G29" s="17">
        <v>1301453154</v>
      </c>
      <c r="I29" s="17">
        <v>2107963767</v>
      </c>
      <c r="K29" s="17">
        <v>14900000</v>
      </c>
      <c r="M29" s="17">
        <v>3409416921</v>
      </c>
      <c r="O29" s="17">
        <v>1301453154</v>
      </c>
      <c r="Q29" s="17">
        <v>2107963767</v>
      </c>
    </row>
    <row r="30" spans="1:17" ht="21">
      <c r="A30" s="30" t="s">
        <v>28</v>
      </c>
      <c r="C30" s="17">
        <v>1500000</v>
      </c>
      <c r="E30" s="17">
        <v>76100408</v>
      </c>
      <c r="G30" s="17">
        <v>28987870</v>
      </c>
      <c r="I30" s="17">
        <v>47112538</v>
      </c>
      <c r="K30" s="17">
        <v>7500000</v>
      </c>
      <c r="M30" s="17">
        <v>510332588</v>
      </c>
      <c r="O30" s="17">
        <v>340440251</v>
      </c>
      <c r="Q30" s="17">
        <v>169892337</v>
      </c>
    </row>
    <row r="31" spans="1:17" ht="21">
      <c r="A31" s="30" t="s">
        <v>29</v>
      </c>
      <c r="I31" s="17">
        <v>107559947</v>
      </c>
      <c r="J31" s="18"/>
      <c r="K31" s="17">
        <v>3301000</v>
      </c>
      <c r="M31" s="17">
        <v>1086767113</v>
      </c>
      <c r="O31" s="17">
        <v>792327147</v>
      </c>
      <c r="Q31" s="17">
        <v>294439966</v>
      </c>
    </row>
    <row r="32" spans="1:17" ht="21">
      <c r="A32" s="30" t="s">
        <v>249</v>
      </c>
      <c r="C32" s="17"/>
      <c r="D32" s="17"/>
      <c r="E32" s="26">
        <f>SUM(E9:E31)</f>
        <v>6628284972</v>
      </c>
      <c r="F32" s="17"/>
      <c r="G32" s="26">
        <f>SUM(G9:G31)</f>
        <v>1108954522</v>
      </c>
      <c r="H32" s="17"/>
      <c r="I32" s="26">
        <f>SUM(I9:I31)</f>
        <v>5626890397</v>
      </c>
      <c r="J32" s="17"/>
      <c r="K32" s="17"/>
      <c r="L32" s="17"/>
      <c r="M32" s="26">
        <f>SUM(M9:M31)</f>
        <v>26405690462</v>
      </c>
      <c r="N32" s="17"/>
      <c r="O32" s="26">
        <f>SUM(O9:O31)</f>
        <v>13606218187</v>
      </c>
      <c r="P32" s="17"/>
      <c r="Q32" s="26">
        <f>SUM(Q9:Q31)</f>
        <v>16531130723</v>
      </c>
    </row>
    <row r="33" spans="1:19" ht="20.100000000000001" customHeight="1">
      <c r="A33" s="6" t="s">
        <v>291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36"/>
      <c r="S33" s="36"/>
    </row>
    <row r="34" spans="1:19" ht="20.100000000000001" customHeight="1">
      <c r="A34" s="6" t="s">
        <v>162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9" ht="20.100000000000001" customHeight="1">
      <c r="A35" s="6" t="s">
        <v>1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7" spans="1:19" ht="21">
      <c r="A37" s="9" t="s">
        <v>190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9" spans="1:19" ht="21">
      <c r="C39" s="10" t="s">
        <v>253</v>
      </c>
      <c r="D39" s="11"/>
      <c r="E39" s="11"/>
      <c r="F39" s="11"/>
      <c r="G39" s="11"/>
      <c r="H39" s="11"/>
      <c r="I39" s="11"/>
      <c r="K39" s="10" t="s">
        <v>293</v>
      </c>
      <c r="L39" s="11"/>
      <c r="M39" s="11"/>
      <c r="N39" s="11"/>
      <c r="O39" s="11"/>
      <c r="P39" s="11"/>
      <c r="Q39" s="11"/>
    </row>
    <row r="40" spans="1:19" ht="42">
      <c r="A40" s="29" t="s">
        <v>164</v>
      </c>
      <c r="C40" s="31" t="s">
        <v>7</v>
      </c>
      <c r="E40" s="31" t="s">
        <v>9</v>
      </c>
      <c r="G40" s="31" t="s">
        <v>191</v>
      </c>
      <c r="I40" s="31" t="s">
        <v>192</v>
      </c>
      <c r="K40" s="31" t="s">
        <v>7</v>
      </c>
      <c r="M40" s="31" t="s">
        <v>9</v>
      </c>
      <c r="O40" s="31" t="s">
        <v>191</v>
      </c>
      <c r="Q40" s="31" t="s">
        <v>192</v>
      </c>
    </row>
    <row r="41" spans="1:19" ht="21">
      <c r="A41" s="30" t="s">
        <v>251</v>
      </c>
      <c r="C41" s="17"/>
      <c r="D41" s="17"/>
      <c r="E41" s="17">
        <f>E32</f>
        <v>6628284972</v>
      </c>
      <c r="F41" s="17"/>
      <c r="G41" s="17">
        <f>G32</f>
        <v>1108954522</v>
      </c>
      <c r="H41" s="17"/>
      <c r="I41" s="17">
        <f>I32</f>
        <v>5626890397</v>
      </c>
      <c r="J41" s="17"/>
      <c r="K41" s="17"/>
      <c r="L41" s="17"/>
      <c r="M41" s="17">
        <f>M32</f>
        <v>26405690462</v>
      </c>
      <c r="N41" s="17"/>
      <c r="O41" s="17">
        <f>O32</f>
        <v>13606218187</v>
      </c>
      <c r="P41" s="17"/>
      <c r="Q41" s="17">
        <f>Q32</f>
        <v>16531130723</v>
      </c>
    </row>
    <row r="42" spans="1:19" ht="21">
      <c r="A42" s="30" t="s">
        <v>30</v>
      </c>
      <c r="C42" s="17">
        <v>2301000</v>
      </c>
      <c r="E42" s="17">
        <v>148021882</v>
      </c>
      <c r="G42" s="17">
        <v>-445557716</v>
      </c>
      <c r="I42" s="17">
        <v>593579598</v>
      </c>
      <c r="K42" s="17">
        <v>9000000</v>
      </c>
      <c r="M42" s="17">
        <v>730954783</v>
      </c>
      <c r="O42" s="17">
        <v>137375185</v>
      </c>
      <c r="Q42" s="17">
        <v>593579598</v>
      </c>
    </row>
    <row r="43" spans="1:19" ht="21">
      <c r="A43" s="30" t="s">
        <v>200</v>
      </c>
      <c r="C43" s="17">
        <v>0</v>
      </c>
      <c r="E43" s="17">
        <v>0</v>
      </c>
      <c r="G43" s="17">
        <v>0</v>
      </c>
      <c r="I43" s="17">
        <v>0</v>
      </c>
      <c r="J43" s="18"/>
      <c r="K43" s="17">
        <v>4000000</v>
      </c>
      <c r="M43" s="17">
        <v>1143160582</v>
      </c>
      <c r="O43" s="17">
        <v>-1492454212</v>
      </c>
      <c r="Q43" s="17">
        <v>2635614794</v>
      </c>
    </row>
    <row r="44" spans="1:19" ht="21">
      <c r="A44" s="30" t="s">
        <v>32</v>
      </c>
      <c r="C44" s="17">
        <v>4000000</v>
      </c>
      <c r="E44" s="17">
        <v>247559264</v>
      </c>
      <c r="G44" s="17">
        <v>26963792</v>
      </c>
      <c r="I44" s="17">
        <v>220595472</v>
      </c>
      <c r="K44" s="17">
        <v>5000000</v>
      </c>
      <c r="M44" s="17">
        <v>327538664</v>
      </c>
      <c r="O44" s="17">
        <v>106943192</v>
      </c>
      <c r="Q44" s="17">
        <v>220595472</v>
      </c>
    </row>
    <row r="45" spans="1:19" ht="21">
      <c r="A45" s="30" t="s">
        <v>34</v>
      </c>
      <c r="C45" s="17">
        <v>3222000</v>
      </c>
      <c r="E45" s="17">
        <v>694463151</v>
      </c>
      <c r="G45" s="17">
        <v>556624475</v>
      </c>
      <c r="I45" s="17">
        <v>137838676</v>
      </c>
      <c r="K45" s="17">
        <v>3222000</v>
      </c>
      <c r="M45" s="17">
        <v>694463151</v>
      </c>
      <c r="O45" s="17">
        <v>556624475</v>
      </c>
      <c r="Q45" s="17">
        <v>137838676</v>
      </c>
    </row>
    <row r="46" spans="1:19" ht="21">
      <c r="A46" s="30" t="s">
        <v>37</v>
      </c>
      <c r="C46" s="17">
        <v>7300000</v>
      </c>
      <c r="E46" s="17">
        <v>430610110</v>
      </c>
      <c r="G46" s="17">
        <v>179611356</v>
      </c>
      <c r="I46" s="17">
        <v>250998754</v>
      </c>
      <c r="K46" s="17">
        <v>7300000</v>
      </c>
      <c r="M46" s="17">
        <v>430610110</v>
      </c>
      <c r="O46" s="17">
        <v>179611356</v>
      </c>
      <c r="Q46" s="17">
        <v>250998754</v>
      </c>
    </row>
    <row r="47" spans="1:19" ht="21">
      <c r="A47" s="30" t="s">
        <v>38</v>
      </c>
      <c r="C47" s="17">
        <v>75000</v>
      </c>
      <c r="E47" s="17">
        <v>717207107</v>
      </c>
      <c r="G47" s="17">
        <v>521194307</v>
      </c>
      <c r="I47" s="17">
        <v>196012800</v>
      </c>
      <c r="K47" s="17">
        <v>75000</v>
      </c>
      <c r="M47" s="17">
        <v>717207107</v>
      </c>
      <c r="O47" s="17">
        <v>521194307</v>
      </c>
      <c r="Q47" s="17">
        <v>196012800</v>
      </c>
    </row>
    <row r="48" spans="1:19" ht="21">
      <c r="A48" s="30" t="s">
        <v>46</v>
      </c>
      <c r="C48" s="17">
        <v>491813</v>
      </c>
      <c r="E48" s="17">
        <v>2682696973</v>
      </c>
      <c r="G48" s="17">
        <v>2819485476</v>
      </c>
      <c r="I48" s="17">
        <v>-136788503</v>
      </c>
      <c r="K48" s="17">
        <v>491813</v>
      </c>
      <c r="M48" s="17">
        <v>2682696973</v>
      </c>
      <c r="O48" s="17">
        <v>2819485476</v>
      </c>
      <c r="Q48" s="17">
        <v>-136788503</v>
      </c>
    </row>
    <row r="49" spans="1:17" ht="21">
      <c r="A49" s="30" t="s">
        <v>47</v>
      </c>
      <c r="C49" s="17">
        <v>285750</v>
      </c>
      <c r="E49" s="17">
        <v>15769900291</v>
      </c>
      <c r="G49" s="17">
        <v>12919038315</v>
      </c>
      <c r="I49" s="17">
        <v>2850861976</v>
      </c>
      <c r="K49" s="17">
        <v>285750</v>
      </c>
      <c r="M49" s="17">
        <v>15769900291</v>
      </c>
      <c r="O49" s="17">
        <v>12919038315</v>
      </c>
      <c r="Q49" s="17">
        <v>2850861976</v>
      </c>
    </row>
    <row r="50" spans="1:17" ht="21">
      <c r="A50" s="30" t="s">
        <v>50</v>
      </c>
      <c r="C50" s="17">
        <v>900000</v>
      </c>
      <c r="E50" s="17">
        <v>3867396344</v>
      </c>
      <c r="G50" s="17">
        <v>2909570409</v>
      </c>
      <c r="I50" s="17">
        <v>957825935</v>
      </c>
      <c r="K50" s="17">
        <v>900000</v>
      </c>
      <c r="M50" s="17">
        <v>3867396344</v>
      </c>
      <c r="O50" s="17">
        <v>2909570409</v>
      </c>
      <c r="Q50" s="17">
        <v>957825935</v>
      </c>
    </row>
    <row r="51" spans="1:17" ht="21">
      <c r="A51" s="30" t="s">
        <v>51</v>
      </c>
      <c r="C51" s="17">
        <v>0</v>
      </c>
      <c r="E51" s="17">
        <v>0</v>
      </c>
      <c r="G51" s="17">
        <v>0</v>
      </c>
      <c r="I51" s="17">
        <v>0</v>
      </c>
      <c r="J51" s="18"/>
      <c r="K51" s="17">
        <v>800000</v>
      </c>
      <c r="M51" s="17">
        <v>6202872074</v>
      </c>
      <c r="O51" s="17">
        <v>5195551274</v>
      </c>
      <c r="Q51" s="17">
        <v>1007320800</v>
      </c>
    </row>
    <row r="52" spans="1:17" ht="21">
      <c r="A52" s="30" t="s">
        <v>52</v>
      </c>
      <c r="C52" s="17">
        <v>0</v>
      </c>
      <c r="E52" s="17">
        <v>0</v>
      </c>
      <c r="G52" s="17">
        <v>0</v>
      </c>
      <c r="I52" s="17">
        <v>0</v>
      </c>
      <c r="J52" s="18"/>
      <c r="K52" s="17">
        <v>200000</v>
      </c>
      <c r="M52" s="17">
        <v>6057123374</v>
      </c>
      <c r="O52" s="17">
        <v>5154673574</v>
      </c>
      <c r="Q52" s="17">
        <v>902449800</v>
      </c>
    </row>
    <row r="53" spans="1:17" ht="21">
      <c r="A53" s="30" t="s">
        <v>53</v>
      </c>
      <c r="C53" s="17">
        <v>297500</v>
      </c>
      <c r="E53" s="17">
        <v>9003607952</v>
      </c>
      <c r="G53" s="17">
        <v>5573713182</v>
      </c>
      <c r="I53" s="17">
        <v>3429894770</v>
      </c>
      <c r="K53" s="17">
        <v>595000</v>
      </c>
      <c r="M53" s="17">
        <v>17461482461</v>
      </c>
      <c r="O53" s="17">
        <v>11150692921</v>
      </c>
      <c r="Q53" s="17">
        <v>6310789540</v>
      </c>
    </row>
    <row r="54" spans="1:17" ht="21">
      <c r="A54" s="30" t="s">
        <v>201</v>
      </c>
      <c r="C54" s="17">
        <v>0</v>
      </c>
      <c r="E54" s="17">
        <v>0</v>
      </c>
      <c r="G54" s="17">
        <v>0</v>
      </c>
      <c r="I54" s="17">
        <v>0</v>
      </c>
      <c r="J54" s="18"/>
      <c r="K54" s="17">
        <v>24869520</v>
      </c>
      <c r="M54" s="17">
        <v>29276157072</v>
      </c>
      <c r="O54" s="17">
        <v>29713114579</v>
      </c>
      <c r="Q54" s="17">
        <v>-436957507</v>
      </c>
    </row>
    <row r="55" spans="1:17" ht="21">
      <c r="A55" s="30" t="s">
        <v>202</v>
      </c>
      <c r="C55" s="17">
        <v>0</v>
      </c>
      <c r="E55" s="17">
        <v>0</v>
      </c>
      <c r="G55" s="17">
        <v>0</v>
      </c>
      <c r="I55" s="17">
        <v>0</v>
      </c>
      <c r="J55" s="18"/>
      <c r="K55" s="17">
        <v>1183146</v>
      </c>
      <c r="M55" s="17">
        <v>12796435204</v>
      </c>
      <c r="O55" s="17">
        <v>10249618764</v>
      </c>
      <c r="Q55" s="17">
        <v>2546816440</v>
      </c>
    </row>
    <row r="56" spans="1:17" ht="21">
      <c r="A56" s="30" t="s">
        <v>62</v>
      </c>
      <c r="C56" s="17">
        <v>0</v>
      </c>
      <c r="E56" s="17">
        <v>0</v>
      </c>
      <c r="G56" s="17">
        <v>0</v>
      </c>
      <c r="I56" s="17">
        <v>0</v>
      </c>
      <c r="J56" s="18"/>
      <c r="K56" s="17">
        <v>250001</v>
      </c>
      <c r="M56" s="17">
        <v>2268928246</v>
      </c>
      <c r="O56" s="17">
        <v>1695510503</v>
      </c>
      <c r="Q56" s="17">
        <v>573417743</v>
      </c>
    </row>
    <row r="57" spans="1:17" ht="21">
      <c r="A57" s="30" t="s">
        <v>64</v>
      </c>
      <c r="C57" s="17">
        <v>3506493</v>
      </c>
      <c r="E57" s="17">
        <v>7869514143</v>
      </c>
      <c r="G57" s="17">
        <v>8917935006</v>
      </c>
      <c r="I57" s="17">
        <v>-1048420863</v>
      </c>
      <c r="K57" s="17">
        <v>9506493</v>
      </c>
      <c r="M57" s="17">
        <v>25599861319</v>
      </c>
      <c r="O57" s="17">
        <v>24151987937</v>
      </c>
      <c r="Q57" s="17">
        <v>1447873382</v>
      </c>
    </row>
    <row r="58" spans="1:17" ht="21">
      <c r="A58" s="30" t="s">
        <v>65</v>
      </c>
      <c r="C58" s="17">
        <v>0</v>
      </c>
      <c r="E58" s="17">
        <v>0</v>
      </c>
      <c r="G58" s="17">
        <v>0</v>
      </c>
      <c r="I58" s="17">
        <v>0</v>
      </c>
      <c r="J58" s="18"/>
      <c r="K58" s="17">
        <v>1399204</v>
      </c>
      <c r="M58" s="17">
        <v>15439906715</v>
      </c>
      <c r="O58" s="17">
        <v>12634123471</v>
      </c>
      <c r="Q58" s="17">
        <v>2805783244</v>
      </c>
    </row>
    <row r="59" spans="1:17" ht="21">
      <c r="A59" s="30" t="s">
        <v>67</v>
      </c>
      <c r="C59" s="17">
        <v>3800000</v>
      </c>
      <c r="E59" s="17">
        <v>23683463035</v>
      </c>
      <c r="G59" s="17">
        <v>25997778915</v>
      </c>
      <c r="I59" s="17">
        <v>-2314315880</v>
      </c>
      <c r="K59" s="17">
        <v>3800000</v>
      </c>
      <c r="M59" s="17">
        <v>23683463035</v>
      </c>
      <c r="O59" s="17">
        <v>25997778915</v>
      </c>
      <c r="Q59" s="17">
        <v>-2314315880</v>
      </c>
    </row>
    <row r="60" spans="1:17" ht="21">
      <c r="A60" s="30" t="s">
        <v>68</v>
      </c>
      <c r="C60" s="17">
        <v>265</v>
      </c>
      <c r="E60" s="17">
        <v>5023485</v>
      </c>
      <c r="G60" s="17">
        <v>4865758</v>
      </c>
      <c r="I60" s="17">
        <v>157727</v>
      </c>
      <c r="K60" s="17">
        <v>265</v>
      </c>
      <c r="M60" s="17">
        <v>5023485</v>
      </c>
      <c r="O60" s="17">
        <v>4865758</v>
      </c>
      <c r="Q60" s="17">
        <v>157727</v>
      </c>
    </row>
    <row r="61" spans="1:17" ht="21">
      <c r="A61" s="30" t="s">
        <v>69</v>
      </c>
      <c r="C61" s="17">
        <v>800000</v>
      </c>
      <c r="E61" s="17">
        <v>2926501004</v>
      </c>
      <c r="G61" s="17">
        <v>3290681565</v>
      </c>
      <c r="I61" s="17">
        <v>-364180561</v>
      </c>
      <c r="K61" s="17">
        <v>800000</v>
      </c>
      <c r="M61" s="17">
        <v>2926501004</v>
      </c>
      <c r="O61" s="17">
        <v>3290681565</v>
      </c>
      <c r="Q61" s="17">
        <v>-364180561</v>
      </c>
    </row>
    <row r="62" spans="1:17" ht="21">
      <c r="A62" s="30" t="s">
        <v>203</v>
      </c>
      <c r="C62" s="17">
        <v>0</v>
      </c>
      <c r="E62" s="17">
        <v>0</v>
      </c>
      <c r="G62" s="17">
        <v>0</v>
      </c>
      <c r="I62" s="17">
        <v>0</v>
      </c>
      <c r="J62" s="18"/>
      <c r="K62" s="17">
        <v>100000</v>
      </c>
      <c r="M62" s="17">
        <v>596430000</v>
      </c>
      <c r="O62" s="17">
        <v>536199150</v>
      </c>
      <c r="Q62" s="17">
        <v>60230850</v>
      </c>
    </row>
    <row r="63" spans="1:17" ht="21">
      <c r="A63" s="30" t="s">
        <v>75</v>
      </c>
      <c r="C63" s="17">
        <v>800000</v>
      </c>
      <c r="E63" s="17">
        <v>14622475665</v>
      </c>
      <c r="G63" s="17">
        <v>12784409745</v>
      </c>
      <c r="I63" s="17">
        <v>1838065920</v>
      </c>
      <c r="K63" s="17">
        <v>800000</v>
      </c>
      <c r="M63" s="17">
        <v>14622475665</v>
      </c>
      <c r="O63" s="17">
        <v>12784409745</v>
      </c>
      <c r="Q63" s="17">
        <v>1838065920</v>
      </c>
    </row>
    <row r="64" spans="1:17" ht="21">
      <c r="A64" s="30" t="s">
        <v>249</v>
      </c>
      <c r="C64" s="17"/>
      <c r="D64" s="17"/>
      <c r="E64" s="26">
        <f>SUM(E41:E63)</f>
        <v>89296725378</v>
      </c>
      <c r="F64" s="17"/>
      <c r="G64" s="26">
        <f>SUM(G41:G63)</f>
        <v>77165269107</v>
      </c>
      <c r="H64" s="17"/>
      <c r="I64" s="26">
        <f>SUM(I41:I63)</f>
        <v>12239016218</v>
      </c>
      <c r="J64" s="17"/>
      <c r="K64" s="17"/>
      <c r="L64" s="17"/>
      <c r="M64" s="26">
        <f>SUM(M41:M63)</f>
        <v>209706278121</v>
      </c>
      <c r="N64" s="17"/>
      <c r="O64" s="26">
        <f>SUM(O41:O63)</f>
        <v>174822814846</v>
      </c>
      <c r="P64" s="17"/>
      <c r="Q64" s="26">
        <f>SUM(Q41:Q63)</f>
        <v>38615121723</v>
      </c>
    </row>
    <row r="65" spans="1:19" ht="20.100000000000001" customHeight="1">
      <c r="A65" s="6" t="s">
        <v>291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36"/>
      <c r="S65" s="36"/>
    </row>
    <row r="66" spans="1:19" ht="20.100000000000001" customHeight="1">
      <c r="A66" s="6" t="s">
        <v>162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1:19" ht="20.100000000000001" customHeight="1">
      <c r="A67" s="6" t="s">
        <v>1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9" spans="1:19" ht="21">
      <c r="A69" s="9" t="s">
        <v>190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1" spans="1:19" ht="21">
      <c r="C71" s="10" t="s">
        <v>253</v>
      </c>
      <c r="D71" s="11"/>
      <c r="E71" s="11"/>
      <c r="F71" s="11"/>
      <c r="G71" s="11"/>
      <c r="H71" s="11"/>
      <c r="I71" s="11"/>
      <c r="K71" s="10" t="s">
        <v>293</v>
      </c>
      <c r="L71" s="11"/>
      <c r="M71" s="11"/>
      <c r="N71" s="11"/>
      <c r="O71" s="11"/>
      <c r="P71" s="11"/>
      <c r="Q71" s="11"/>
    </row>
    <row r="72" spans="1:19" ht="42">
      <c r="A72" s="29" t="s">
        <v>164</v>
      </c>
      <c r="C72" s="31" t="s">
        <v>7</v>
      </c>
      <c r="E72" s="31" t="s">
        <v>9</v>
      </c>
      <c r="G72" s="31" t="s">
        <v>191</v>
      </c>
      <c r="I72" s="31" t="s">
        <v>192</v>
      </c>
      <c r="K72" s="31" t="s">
        <v>7</v>
      </c>
      <c r="M72" s="31" t="s">
        <v>9</v>
      </c>
      <c r="O72" s="31" t="s">
        <v>191</v>
      </c>
      <c r="Q72" s="31" t="s">
        <v>192</v>
      </c>
    </row>
    <row r="73" spans="1:19" ht="21">
      <c r="A73" s="30" t="s">
        <v>251</v>
      </c>
      <c r="C73" s="17"/>
      <c r="D73" s="17"/>
      <c r="E73" s="17">
        <f>E64</f>
        <v>89296725378</v>
      </c>
      <c r="F73" s="17"/>
      <c r="G73" s="17">
        <f>G64</f>
        <v>77165269107</v>
      </c>
      <c r="H73" s="17"/>
      <c r="I73" s="17">
        <f>I64</f>
        <v>12239016218</v>
      </c>
      <c r="J73" s="17"/>
      <c r="K73" s="17"/>
      <c r="L73" s="17"/>
      <c r="M73" s="17">
        <f>M64</f>
        <v>209706278121</v>
      </c>
      <c r="N73" s="17"/>
      <c r="O73" s="17">
        <f>O64</f>
        <v>174822814846</v>
      </c>
      <c r="P73" s="17"/>
      <c r="Q73" s="17">
        <f>Q64</f>
        <v>38615121723</v>
      </c>
    </row>
    <row r="74" spans="1:19" ht="21">
      <c r="A74" s="30" t="s">
        <v>78</v>
      </c>
      <c r="C74" s="17">
        <v>450000</v>
      </c>
      <c r="E74" s="17">
        <v>5159086050</v>
      </c>
      <c r="G74" s="17">
        <v>2461380650</v>
      </c>
      <c r="I74" s="17">
        <v>2697705400</v>
      </c>
      <c r="K74" s="17">
        <v>450000</v>
      </c>
      <c r="M74" s="17">
        <v>5159086050</v>
      </c>
      <c r="O74" s="17">
        <v>2461380650</v>
      </c>
      <c r="Q74" s="17">
        <v>2697705400</v>
      </c>
    </row>
    <row r="75" spans="1:19" ht="21">
      <c r="A75" s="30" t="s">
        <v>92</v>
      </c>
      <c r="C75" s="17">
        <v>0</v>
      </c>
      <c r="E75" s="17">
        <v>0</v>
      </c>
      <c r="G75" s="17">
        <v>0</v>
      </c>
      <c r="I75" s="17">
        <v>0</v>
      </c>
      <c r="J75" s="18"/>
      <c r="K75" s="17">
        <v>100000</v>
      </c>
      <c r="M75" s="17">
        <v>3852583133</v>
      </c>
      <c r="O75" s="17">
        <v>3104736031</v>
      </c>
      <c r="Q75" s="17">
        <v>747847102</v>
      </c>
    </row>
    <row r="76" spans="1:19" ht="21">
      <c r="A76" s="20" t="s">
        <v>96</v>
      </c>
      <c r="C76" s="23"/>
      <c r="E76" s="20">
        <f>SUM(E73:E75)</f>
        <v>94455811428</v>
      </c>
      <c r="G76" s="20">
        <f>SUM(G73:G75)</f>
        <v>79626649757</v>
      </c>
      <c r="I76" s="20">
        <f>SUM(I73:I75)</f>
        <v>14936721618</v>
      </c>
      <c r="K76" s="23"/>
      <c r="M76" s="20">
        <f>SUM(M73:M75)</f>
        <v>218717947304</v>
      </c>
      <c r="O76" s="20">
        <f>SUM(O73:O75)</f>
        <v>180388931527</v>
      </c>
      <c r="Q76" s="20">
        <f>SUM(Q73:Q75)</f>
        <v>42060674225</v>
      </c>
    </row>
    <row r="77" spans="1:19" ht="21">
      <c r="C77" s="23"/>
      <c r="E77" s="22"/>
      <c r="G77" s="22"/>
      <c r="I77" s="22"/>
      <c r="K77" s="23"/>
      <c r="M77" s="22"/>
      <c r="O77" s="22"/>
      <c r="Q77" s="22"/>
    </row>
  </sheetData>
  <mergeCells count="18">
    <mergeCell ref="A65:Q65"/>
    <mergeCell ref="A66:Q66"/>
    <mergeCell ref="A67:Q67"/>
    <mergeCell ref="A69:Q69"/>
    <mergeCell ref="C71:I71"/>
    <mergeCell ref="K71:Q71"/>
    <mergeCell ref="A33:Q33"/>
    <mergeCell ref="A34:Q34"/>
    <mergeCell ref="A35:Q35"/>
    <mergeCell ref="A37:Q37"/>
    <mergeCell ref="C39:I39"/>
    <mergeCell ref="K39:Q39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2" fitToHeight="0" orientation="landscape" r:id="rId1"/>
  <rowBreaks count="2" manualBreakCount="2">
    <brk id="32" max="16" man="1"/>
    <brk id="64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44"/>
  <sheetViews>
    <sheetView rightToLeft="1" view="pageBreakPreview" zoomScale="60" zoomScaleNormal="100" workbookViewId="0">
      <selection activeCell="Q143" sqref="Q143"/>
    </sheetView>
  </sheetViews>
  <sheetFormatPr defaultRowHeight="19.5"/>
  <cols>
    <col min="1" max="1" width="33" style="8" customWidth="1"/>
    <col min="2" max="2" width="1.42578125" style="8" customWidth="1"/>
    <col min="3" max="3" width="14.140625" style="8" customWidth="1"/>
    <col min="4" max="4" width="1.42578125" style="8" customWidth="1"/>
    <col min="5" max="5" width="17" style="8" customWidth="1"/>
    <col min="6" max="6" width="1.42578125" style="8" customWidth="1"/>
    <col min="7" max="7" width="17" style="8" customWidth="1"/>
    <col min="8" max="8" width="1.42578125" style="8" customWidth="1"/>
    <col min="9" max="9" width="17" style="8" customWidth="1"/>
    <col min="10" max="10" width="1.42578125" style="8" customWidth="1"/>
    <col min="11" max="11" width="14.140625" style="8" customWidth="1"/>
    <col min="12" max="12" width="1.42578125" style="8" customWidth="1"/>
    <col min="13" max="13" width="17" style="8" customWidth="1"/>
    <col min="14" max="14" width="1.42578125" style="8" customWidth="1"/>
    <col min="15" max="15" width="17" style="8" customWidth="1"/>
    <col min="16" max="16" width="1.42578125" style="8" customWidth="1"/>
    <col min="17" max="17" width="17" style="8" customWidth="1"/>
    <col min="18" max="16384" width="9.140625" style="8"/>
  </cols>
  <sheetData>
    <row r="1" spans="1:17" ht="20.100000000000001" customHeight="1">
      <c r="A1" s="6" t="s">
        <v>291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20.100000000000001" customHeight="1">
      <c r="A2" s="6" t="s">
        <v>162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ht="20.100000000000001" customHeight="1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5" spans="1:17" ht="21">
      <c r="A5" s="9" t="s">
        <v>204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7" spans="1:17" ht="21">
      <c r="C7" s="10" t="s">
        <v>253</v>
      </c>
      <c r="D7" s="11"/>
      <c r="E7" s="11"/>
      <c r="F7" s="11"/>
      <c r="G7" s="11"/>
      <c r="H7" s="11"/>
      <c r="I7" s="11"/>
      <c r="K7" s="10" t="s">
        <v>293</v>
      </c>
      <c r="L7" s="11"/>
      <c r="M7" s="11"/>
      <c r="N7" s="11"/>
      <c r="O7" s="11"/>
      <c r="P7" s="11"/>
      <c r="Q7" s="11"/>
    </row>
    <row r="8" spans="1:17" ht="42">
      <c r="A8" s="29" t="s">
        <v>164</v>
      </c>
      <c r="C8" s="31" t="s">
        <v>7</v>
      </c>
      <c r="E8" s="31" t="s">
        <v>9</v>
      </c>
      <c r="G8" s="31" t="s">
        <v>191</v>
      </c>
      <c r="I8" s="31" t="s">
        <v>205</v>
      </c>
      <c r="K8" s="31" t="s">
        <v>7</v>
      </c>
      <c r="M8" s="31" t="s">
        <v>9</v>
      </c>
      <c r="O8" s="31" t="s">
        <v>191</v>
      </c>
      <c r="Q8" s="31" t="s">
        <v>205</v>
      </c>
    </row>
    <row r="9" spans="1:17" ht="21">
      <c r="A9" s="30" t="s">
        <v>15</v>
      </c>
      <c r="C9" s="17">
        <v>579887</v>
      </c>
      <c r="E9" s="17">
        <v>3326039599</v>
      </c>
      <c r="G9" s="17">
        <v>3207592488</v>
      </c>
      <c r="I9" s="17">
        <v>118447111</v>
      </c>
      <c r="K9" s="17">
        <v>579887</v>
      </c>
      <c r="M9" s="17">
        <v>3326039599</v>
      </c>
      <c r="O9" s="17">
        <v>2858941131</v>
      </c>
      <c r="Q9" s="17">
        <v>467098468</v>
      </c>
    </row>
    <row r="10" spans="1:17" ht="21">
      <c r="A10" s="30" t="s">
        <v>277</v>
      </c>
      <c r="C10" s="17">
        <v>0</v>
      </c>
      <c r="E10" s="17">
        <v>0</v>
      </c>
      <c r="G10" s="17">
        <v>0</v>
      </c>
      <c r="I10" s="17">
        <v>0</v>
      </c>
      <c r="K10" s="17"/>
      <c r="M10" s="17"/>
      <c r="O10" s="17"/>
      <c r="Q10" s="17">
        <v>322177018</v>
      </c>
    </row>
    <row r="11" spans="1:17" ht="21">
      <c r="A11" s="30" t="s">
        <v>278</v>
      </c>
      <c r="C11" s="17">
        <v>0</v>
      </c>
      <c r="E11" s="17">
        <v>0</v>
      </c>
      <c r="G11" s="17">
        <v>0</v>
      </c>
      <c r="I11" s="17">
        <v>0</v>
      </c>
      <c r="K11" s="17"/>
      <c r="M11" s="17"/>
      <c r="O11" s="17"/>
      <c r="Q11" s="17">
        <v>26803097</v>
      </c>
    </row>
    <row r="12" spans="1:17" ht="21">
      <c r="A12" s="30" t="s">
        <v>279</v>
      </c>
      <c r="C12" s="17">
        <v>0</v>
      </c>
      <c r="E12" s="17">
        <v>0</v>
      </c>
      <c r="G12" s="17">
        <v>0</v>
      </c>
      <c r="I12" s="17">
        <v>0</v>
      </c>
      <c r="K12" s="17"/>
      <c r="M12" s="17"/>
      <c r="O12" s="17"/>
      <c r="Q12" s="17">
        <v>136568824</v>
      </c>
    </row>
    <row r="13" spans="1:17" ht="21">
      <c r="A13" s="30" t="s">
        <v>280</v>
      </c>
      <c r="C13" s="17">
        <v>0</v>
      </c>
      <c r="E13" s="17">
        <v>0</v>
      </c>
      <c r="G13" s="17">
        <v>0</v>
      </c>
      <c r="I13" s="17">
        <v>0</v>
      </c>
      <c r="K13" s="17"/>
      <c r="M13" s="17"/>
      <c r="O13" s="17"/>
      <c r="Q13" s="17">
        <v>25493434</v>
      </c>
    </row>
    <row r="14" spans="1:17" ht="21">
      <c r="A14" s="30" t="s">
        <v>281</v>
      </c>
      <c r="C14" s="17">
        <v>0</v>
      </c>
      <c r="E14" s="17">
        <v>0</v>
      </c>
      <c r="G14" s="17">
        <v>0</v>
      </c>
      <c r="I14" s="17">
        <v>0</v>
      </c>
      <c r="K14" s="17"/>
      <c r="M14" s="17"/>
      <c r="O14" s="17"/>
      <c r="Q14" s="17">
        <v>-1999485</v>
      </c>
    </row>
    <row r="15" spans="1:17" ht="21">
      <c r="A15" s="30" t="s">
        <v>282</v>
      </c>
      <c r="C15" s="17">
        <v>0</v>
      </c>
      <c r="E15" s="17">
        <v>0</v>
      </c>
      <c r="G15" s="17">
        <v>0</v>
      </c>
      <c r="I15" s="17">
        <v>0</v>
      </c>
      <c r="K15" s="17"/>
      <c r="M15" s="17"/>
      <c r="O15" s="17"/>
      <c r="Q15" s="17">
        <v>-11996910</v>
      </c>
    </row>
    <row r="16" spans="1:17" ht="21">
      <c r="A16" s="30" t="s">
        <v>283</v>
      </c>
      <c r="C16" s="17">
        <v>0</v>
      </c>
      <c r="E16" s="17">
        <v>0</v>
      </c>
      <c r="G16" s="17">
        <v>0</v>
      </c>
      <c r="I16" s="17">
        <v>0</v>
      </c>
      <c r="K16" s="17"/>
      <c r="M16" s="17"/>
      <c r="O16" s="17"/>
      <c r="Q16" s="17">
        <v>552857603</v>
      </c>
    </row>
    <row r="17" spans="1:17" ht="21">
      <c r="A17" s="30" t="s">
        <v>284</v>
      </c>
      <c r="C17" s="17">
        <v>0</v>
      </c>
      <c r="E17" s="17">
        <v>0</v>
      </c>
      <c r="G17" s="17">
        <v>0</v>
      </c>
      <c r="I17" s="17">
        <v>0</v>
      </c>
      <c r="K17" s="17"/>
      <c r="M17" s="17"/>
      <c r="O17" s="17"/>
      <c r="Q17" s="17">
        <v>-3551085</v>
      </c>
    </row>
    <row r="18" spans="1:17" ht="21">
      <c r="A18" s="30" t="s">
        <v>285</v>
      </c>
      <c r="C18" s="17">
        <v>0</v>
      </c>
      <c r="E18" s="17">
        <v>0</v>
      </c>
      <c r="G18" s="17">
        <v>0</v>
      </c>
      <c r="I18" s="17">
        <v>0</v>
      </c>
      <c r="K18" s="17"/>
      <c r="M18" s="17"/>
      <c r="O18" s="17"/>
      <c r="Q18" s="17">
        <v>-2469364</v>
      </c>
    </row>
    <row r="19" spans="1:17" ht="21">
      <c r="A19" s="30" t="s">
        <v>286</v>
      </c>
      <c r="C19" s="17">
        <v>0</v>
      </c>
      <c r="E19" s="17">
        <v>0</v>
      </c>
      <c r="G19" s="17">
        <v>0</v>
      </c>
      <c r="I19" s="17">
        <v>0</v>
      </c>
      <c r="K19" s="17"/>
      <c r="M19" s="17"/>
      <c r="O19" s="17"/>
      <c r="Q19" s="17">
        <v>18005293</v>
      </c>
    </row>
    <row r="20" spans="1:17" ht="21">
      <c r="A20" s="30" t="s">
        <v>287</v>
      </c>
      <c r="C20" s="17">
        <v>0</v>
      </c>
      <c r="E20" s="17">
        <v>0</v>
      </c>
      <c r="G20" s="17">
        <v>0</v>
      </c>
      <c r="I20" s="17">
        <v>0</v>
      </c>
      <c r="K20" s="17"/>
      <c r="M20" s="17"/>
      <c r="O20" s="17"/>
      <c r="Q20" s="17">
        <v>-3898996</v>
      </c>
    </row>
    <row r="21" spans="1:17" ht="21">
      <c r="A21" s="30" t="s">
        <v>288</v>
      </c>
      <c r="C21" s="17">
        <v>0</v>
      </c>
      <c r="E21" s="17">
        <v>0</v>
      </c>
      <c r="G21" s="17">
        <v>0</v>
      </c>
      <c r="I21" s="17">
        <v>0</v>
      </c>
      <c r="K21" s="17"/>
      <c r="M21" s="17"/>
      <c r="O21" s="17"/>
      <c r="Q21" s="17">
        <v>-79979</v>
      </c>
    </row>
    <row r="22" spans="1:17" ht="21">
      <c r="A22" s="30" t="s">
        <v>289</v>
      </c>
      <c r="C22" s="17">
        <v>0</v>
      </c>
      <c r="E22" s="17">
        <v>0</v>
      </c>
      <c r="G22" s="17">
        <v>0</v>
      </c>
      <c r="I22" s="17">
        <v>0</v>
      </c>
      <c r="K22" s="17"/>
      <c r="M22" s="17"/>
      <c r="O22" s="17"/>
      <c r="Q22" s="17">
        <v>-9760486</v>
      </c>
    </row>
    <row r="23" spans="1:17" ht="21">
      <c r="A23" s="30" t="s">
        <v>255</v>
      </c>
      <c r="C23" s="17"/>
      <c r="E23" s="17"/>
      <c r="G23" s="17"/>
      <c r="I23" s="17">
        <v>66288539</v>
      </c>
      <c r="K23" s="17"/>
      <c r="M23" s="17"/>
      <c r="O23" s="17"/>
      <c r="Q23" s="17">
        <v>180993382</v>
      </c>
    </row>
    <row r="24" spans="1:17" ht="21">
      <c r="A24" s="30" t="s">
        <v>256</v>
      </c>
      <c r="C24" s="17"/>
      <c r="E24" s="17"/>
      <c r="G24" s="17"/>
      <c r="I24" s="17">
        <v>13181605</v>
      </c>
      <c r="K24" s="17">
        <v>0</v>
      </c>
      <c r="M24" s="17">
        <v>0</v>
      </c>
      <c r="O24" s="17">
        <v>0</v>
      </c>
      <c r="Q24" s="17">
        <v>0</v>
      </c>
    </row>
    <row r="25" spans="1:17" ht="21">
      <c r="A25" s="30" t="s">
        <v>257</v>
      </c>
      <c r="C25" s="17"/>
      <c r="E25" s="17"/>
      <c r="G25" s="17"/>
      <c r="I25" s="17">
        <v>-446114387</v>
      </c>
      <c r="K25" s="17"/>
      <c r="M25" s="17"/>
      <c r="O25" s="17"/>
      <c r="Q25" s="17">
        <v>1769544</v>
      </c>
    </row>
    <row r="26" spans="1:17" ht="21">
      <c r="A26" s="30" t="s">
        <v>258</v>
      </c>
      <c r="C26" s="17"/>
      <c r="E26" s="17"/>
      <c r="G26" s="17"/>
      <c r="I26" s="17">
        <v>-183745856</v>
      </c>
      <c r="K26" s="17"/>
      <c r="M26" s="17"/>
      <c r="O26" s="17"/>
      <c r="Q26" s="17">
        <v>-2499356</v>
      </c>
    </row>
    <row r="27" spans="1:17" ht="21">
      <c r="A27" s="30" t="s">
        <v>259</v>
      </c>
      <c r="C27" s="17"/>
      <c r="E27" s="17"/>
      <c r="G27" s="17"/>
      <c r="I27" s="17">
        <v>-86110550</v>
      </c>
      <c r="K27" s="17"/>
      <c r="M27" s="17"/>
      <c r="O27" s="17"/>
      <c r="Q27" s="17">
        <v>29992</v>
      </c>
    </row>
    <row r="28" spans="1:17" ht="21">
      <c r="A28" s="30" t="s">
        <v>260</v>
      </c>
      <c r="C28" s="17"/>
      <c r="E28" s="17"/>
      <c r="G28" s="17"/>
      <c r="I28" s="17">
        <v>6238393</v>
      </c>
      <c r="K28" s="17"/>
      <c r="M28" s="17"/>
      <c r="O28" s="17"/>
      <c r="Q28" s="17">
        <v>6238393</v>
      </c>
    </row>
    <row r="29" spans="1:17" ht="21">
      <c r="A29" s="30" t="s">
        <v>261</v>
      </c>
      <c r="C29" s="17"/>
      <c r="E29" s="17"/>
      <c r="G29" s="17"/>
      <c r="I29" s="17">
        <v>1519609</v>
      </c>
      <c r="K29" s="17"/>
      <c r="M29" s="17"/>
      <c r="O29" s="17"/>
      <c r="Q29" s="17">
        <v>1519609</v>
      </c>
    </row>
    <row r="30" spans="1:17" ht="21">
      <c r="A30" s="30" t="s">
        <v>262</v>
      </c>
      <c r="C30" s="17"/>
      <c r="E30" s="17"/>
      <c r="G30" s="17"/>
      <c r="I30" s="17">
        <v>-22527198</v>
      </c>
      <c r="K30" s="17"/>
      <c r="M30" s="17"/>
      <c r="O30" s="17"/>
      <c r="Q30" s="17">
        <v>-22527198</v>
      </c>
    </row>
    <row r="31" spans="1:17" ht="21">
      <c r="A31" s="30" t="s">
        <v>249</v>
      </c>
      <c r="C31" s="17"/>
      <c r="E31" s="26">
        <f>SUM(E9:E30)</f>
        <v>3326039599</v>
      </c>
      <c r="G31" s="26">
        <f>SUM(G9:G30)</f>
        <v>3207592488</v>
      </c>
      <c r="I31" s="26">
        <f>SUM(I9:I30)</f>
        <v>-532822734</v>
      </c>
      <c r="K31" s="17"/>
      <c r="M31" s="26">
        <f>SUM(M9:M30)</f>
        <v>3326039599</v>
      </c>
      <c r="O31" s="26">
        <f>SUM(O9:O30)</f>
        <v>2858941131</v>
      </c>
      <c r="Q31" s="26">
        <f>SUM(Q9:Q30)</f>
        <v>1680771798</v>
      </c>
    </row>
    <row r="32" spans="1:17" ht="20.100000000000001" customHeight="1">
      <c r="A32" s="6" t="s">
        <v>291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ht="20.100000000000001" customHeight="1">
      <c r="A33" s="6" t="s">
        <v>162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 ht="20.100000000000001" customHeight="1">
      <c r="A34" s="6" t="s">
        <v>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6" spans="1:17" ht="21">
      <c r="A36" s="9" t="s">
        <v>204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8" spans="1:17" ht="21">
      <c r="C38" s="10" t="s">
        <v>253</v>
      </c>
      <c r="D38" s="11"/>
      <c r="E38" s="11"/>
      <c r="F38" s="11"/>
      <c r="G38" s="11"/>
      <c r="H38" s="11"/>
      <c r="I38" s="11"/>
      <c r="K38" s="10" t="s">
        <v>293</v>
      </c>
      <c r="L38" s="11"/>
      <c r="M38" s="11"/>
      <c r="N38" s="11"/>
      <c r="O38" s="11"/>
      <c r="P38" s="11"/>
      <c r="Q38" s="11"/>
    </row>
    <row r="39" spans="1:17" ht="42">
      <c r="A39" s="29" t="s">
        <v>164</v>
      </c>
      <c r="C39" s="31" t="s">
        <v>7</v>
      </c>
      <c r="E39" s="31" t="s">
        <v>9</v>
      </c>
      <c r="G39" s="31" t="s">
        <v>191</v>
      </c>
      <c r="I39" s="31" t="s">
        <v>205</v>
      </c>
      <c r="K39" s="31" t="s">
        <v>7</v>
      </c>
      <c r="M39" s="31" t="s">
        <v>9</v>
      </c>
      <c r="O39" s="31" t="s">
        <v>191</v>
      </c>
      <c r="Q39" s="31" t="s">
        <v>205</v>
      </c>
    </row>
    <row r="40" spans="1:17" ht="21">
      <c r="A40" s="30" t="s">
        <v>251</v>
      </c>
      <c r="C40" s="17"/>
      <c r="D40" s="17"/>
      <c r="E40" s="17">
        <f>E31</f>
        <v>3326039599</v>
      </c>
      <c r="F40" s="17"/>
      <c r="G40" s="17">
        <f>G31</f>
        <v>3207592488</v>
      </c>
      <c r="H40" s="17"/>
      <c r="I40" s="17">
        <f>I31</f>
        <v>-532822734</v>
      </c>
      <c r="J40" s="17"/>
      <c r="K40" s="17"/>
      <c r="L40" s="17"/>
      <c r="M40" s="17">
        <f>M31</f>
        <v>3326039599</v>
      </c>
      <c r="N40" s="17"/>
      <c r="O40" s="17">
        <f>O31</f>
        <v>2858941131</v>
      </c>
      <c r="P40" s="17"/>
      <c r="Q40" s="17">
        <f>Q31</f>
        <v>1680771798</v>
      </c>
    </row>
    <row r="41" spans="1:17" ht="21">
      <c r="A41" s="30" t="s">
        <v>264</v>
      </c>
      <c r="C41" s="17"/>
      <c r="E41" s="17"/>
      <c r="G41" s="17"/>
      <c r="I41" s="17">
        <v>26225246</v>
      </c>
      <c r="K41" s="17"/>
      <c r="M41" s="17"/>
      <c r="O41" s="17"/>
      <c r="Q41" s="17">
        <v>26225246</v>
      </c>
    </row>
    <row r="42" spans="1:17" ht="21">
      <c r="A42" s="30" t="s">
        <v>267</v>
      </c>
      <c r="C42" s="17"/>
      <c r="E42" s="17"/>
      <c r="G42" s="17"/>
      <c r="I42" s="17">
        <v>3998970</v>
      </c>
      <c r="K42" s="17"/>
      <c r="M42" s="17"/>
      <c r="O42" s="17"/>
      <c r="Q42" s="17">
        <v>3998970</v>
      </c>
    </row>
    <row r="43" spans="1:17" ht="21">
      <c r="A43" s="30" t="s">
        <v>16</v>
      </c>
      <c r="C43" s="17">
        <v>-3400000</v>
      </c>
      <c r="E43" s="17">
        <v>-67982490</v>
      </c>
      <c r="G43" s="17">
        <v>-204300000</v>
      </c>
      <c r="I43" s="17">
        <v>136317510</v>
      </c>
      <c r="K43" s="17">
        <v>-3400000</v>
      </c>
      <c r="M43" s="17">
        <v>-67982490</v>
      </c>
      <c r="O43" s="17">
        <v>-204300000</v>
      </c>
      <c r="Q43" s="17">
        <v>136317510</v>
      </c>
    </row>
    <row r="44" spans="1:17" ht="21">
      <c r="A44" s="30" t="s">
        <v>17</v>
      </c>
      <c r="C44" s="17">
        <v>-3391000</v>
      </c>
      <c r="E44" s="17">
        <v>-1522166941</v>
      </c>
      <c r="G44" s="17">
        <v>-1507386000</v>
      </c>
      <c r="I44" s="17">
        <v>-14780941</v>
      </c>
      <c r="K44" s="17">
        <v>-3391000</v>
      </c>
      <c r="M44" s="17">
        <v>-1522166941</v>
      </c>
      <c r="O44" s="17">
        <v>-1507386000</v>
      </c>
      <c r="Q44" s="17">
        <v>-14780941</v>
      </c>
    </row>
    <row r="45" spans="1:17" ht="21">
      <c r="A45" s="30" t="s">
        <v>19</v>
      </c>
      <c r="C45" s="17">
        <v>-4309000</v>
      </c>
      <c r="E45" s="17">
        <v>-185239289</v>
      </c>
      <c r="G45" s="17">
        <v>-469503000</v>
      </c>
      <c r="I45" s="17">
        <v>284263711</v>
      </c>
      <c r="K45" s="17">
        <v>-4309000</v>
      </c>
      <c r="M45" s="17">
        <v>-185239289</v>
      </c>
      <c r="O45" s="17">
        <v>-469503000</v>
      </c>
      <c r="Q45" s="17">
        <v>284263711</v>
      </c>
    </row>
    <row r="46" spans="1:17" ht="21">
      <c r="A46" s="30" t="s">
        <v>21</v>
      </c>
      <c r="C46" s="17">
        <v>-16214000</v>
      </c>
      <c r="E46" s="17">
        <v>-891540369</v>
      </c>
      <c r="G46" s="17">
        <v>-904190000</v>
      </c>
      <c r="I46" s="17">
        <v>12649631</v>
      </c>
      <c r="K46" s="17">
        <v>-16214000</v>
      </c>
      <c r="M46" s="17">
        <v>-891540369</v>
      </c>
      <c r="O46" s="17">
        <v>-904190000</v>
      </c>
      <c r="Q46" s="17">
        <v>12649631</v>
      </c>
    </row>
    <row r="47" spans="1:17" ht="21">
      <c r="A47" s="30" t="s">
        <v>23</v>
      </c>
      <c r="C47" s="17">
        <v>-11048000</v>
      </c>
      <c r="E47" s="17">
        <v>-717935084</v>
      </c>
      <c r="G47" s="17">
        <v>-1108162275</v>
      </c>
      <c r="I47" s="17">
        <v>390227191</v>
      </c>
      <c r="K47" s="17">
        <v>-11048000</v>
      </c>
      <c r="M47" s="17">
        <v>-717935084</v>
      </c>
      <c r="O47" s="17">
        <v>-1108162275</v>
      </c>
      <c r="Q47" s="17">
        <v>390227191</v>
      </c>
    </row>
    <row r="48" spans="1:17" ht="21">
      <c r="A48" s="30" t="s">
        <v>31</v>
      </c>
      <c r="C48" s="17">
        <v>-9147000</v>
      </c>
      <c r="E48" s="17">
        <v>-630980481</v>
      </c>
      <c r="G48" s="17">
        <v>-883950000</v>
      </c>
      <c r="I48" s="17">
        <v>252969519</v>
      </c>
      <c r="K48" s="17">
        <v>-9147000</v>
      </c>
      <c r="M48" s="17">
        <v>-630980481</v>
      </c>
      <c r="O48" s="17">
        <v>-883950000</v>
      </c>
      <c r="Q48" s="17">
        <v>252969519</v>
      </c>
    </row>
    <row r="49" spans="1:17" ht="21">
      <c r="A49" s="30" t="s">
        <v>290</v>
      </c>
      <c r="C49" s="17">
        <v>0</v>
      </c>
      <c r="E49" s="17">
        <v>0</v>
      </c>
      <c r="G49" s="17">
        <v>0</v>
      </c>
      <c r="I49" s="17">
        <v>0</v>
      </c>
      <c r="K49" s="17"/>
      <c r="M49" s="17"/>
      <c r="O49" s="17"/>
      <c r="Q49" s="17">
        <v>-24993562</v>
      </c>
    </row>
    <row r="50" spans="1:17" ht="21">
      <c r="A50" s="30" t="s">
        <v>271</v>
      </c>
      <c r="C50" s="17"/>
      <c r="E50" s="17"/>
      <c r="G50" s="17"/>
      <c r="I50" s="17">
        <v>30971417</v>
      </c>
      <c r="K50" s="17"/>
      <c r="M50" s="17"/>
      <c r="O50" s="17"/>
      <c r="Q50" s="17">
        <v>51986610</v>
      </c>
    </row>
    <row r="51" spans="1:17" ht="21">
      <c r="A51" s="30" t="s">
        <v>272</v>
      </c>
      <c r="C51" s="17"/>
      <c r="E51" s="17"/>
      <c r="G51" s="17"/>
      <c r="I51" s="17">
        <v>-1887514</v>
      </c>
      <c r="K51" s="17"/>
      <c r="M51" s="17"/>
      <c r="O51" s="17"/>
      <c r="Q51" s="17">
        <v>-1887514</v>
      </c>
    </row>
    <row r="52" spans="1:17" ht="21">
      <c r="A52" s="30" t="s">
        <v>273</v>
      </c>
      <c r="C52" s="17"/>
      <c r="E52" s="17"/>
      <c r="G52" s="17"/>
      <c r="I52" s="17">
        <v>24667646</v>
      </c>
      <c r="K52" s="17"/>
      <c r="M52" s="17"/>
      <c r="O52" s="17"/>
      <c r="Q52" s="17">
        <v>24667646</v>
      </c>
    </row>
    <row r="53" spans="1:17" ht="21">
      <c r="A53" s="30" t="s">
        <v>33</v>
      </c>
      <c r="C53" s="17">
        <v>-7200000</v>
      </c>
      <c r="E53" s="17">
        <v>-719814600</v>
      </c>
      <c r="G53" s="17">
        <v>-688115000</v>
      </c>
      <c r="I53" s="17">
        <v>-31699600</v>
      </c>
      <c r="K53" s="17">
        <v>-7200000</v>
      </c>
      <c r="M53" s="17">
        <v>-719814600</v>
      </c>
      <c r="O53" s="17">
        <v>-688115000</v>
      </c>
      <c r="Q53" s="17">
        <v>-31699600</v>
      </c>
    </row>
    <row r="54" spans="1:17" ht="21">
      <c r="A54" s="30" t="s">
        <v>35</v>
      </c>
      <c r="C54" s="17">
        <v>-2922000</v>
      </c>
      <c r="E54" s="17">
        <v>-175274855</v>
      </c>
      <c r="G54" s="17">
        <v>-175320000</v>
      </c>
      <c r="I54" s="17">
        <v>45145</v>
      </c>
      <c r="K54" s="17">
        <v>-2922000</v>
      </c>
      <c r="M54" s="17">
        <v>-175274855</v>
      </c>
      <c r="O54" s="17">
        <v>-175320000</v>
      </c>
      <c r="Q54" s="17">
        <v>45145</v>
      </c>
    </row>
    <row r="55" spans="1:17" ht="21">
      <c r="A55" s="30" t="s">
        <v>36</v>
      </c>
      <c r="C55" s="17">
        <v>-10000000</v>
      </c>
      <c r="E55" s="17">
        <v>-749806875</v>
      </c>
      <c r="G55" s="17">
        <v>-519128000</v>
      </c>
      <c r="I55" s="17">
        <v>-230678875</v>
      </c>
      <c r="K55" s="17">
        <v>-10000000</v>
      </c>
      <c r="M55" s="17">
        <v>-749806875</v>
      </c>
      <c r="O55" s="17">
        <v>-519128000</v>
      </c>
      <c r="Q55" s="17">
        <v>-230678875</v>
      </c>
    </row>
    <row r="56" spans="1:17" ht="21">
      <c r="A56" s="30" t="s">
        <v>38</v>
      </c>
      <c r="C56" s="17">
        <v>75000</v>
      </c>
      <c r="E56" s="17">
        <v>689622187</v>
      </c>
      <c r="G56" s="17">
        <v>525487200</v>
      </c>
      <c r="I56" s="17">
        <v>164134987</v>
      </c>
      <c r="K56" s="17">
        <v>75000</v>
      </c>
      <c r="M56" s="17">
        <v>689622187</v>
      </c>
      <c r="O56" s="17">
        <v>525487200</v>
      </c>
      <c r="Q56" s="17">
        <v>164134987</v>
      </c>
    </row>
    <row r="57" spans="1:17" ht="21">
      <c r="A57" s="30" t="s">
        <v>39</v>
      </c>
      <c r="C57" s="17">
        <v>2000000</v>
      </c>
      <c r="E57" s="17">
        <v>9021997800</v>
      </c>
      <c r="G57" s="17">
        <v>10039905000</v>
      </c>
      <c r="I57" s="17">
        <v>-1017907200</v>
      </c>
      <c r="K57" s="17">
        <v>2000000</v>
      </c>
      <c r="M57" s="17">
        <v>9021997800</v>
      </c>
      <c r="O57" s="17">
        <v>9081640800</v>
      </c>
      <c r="Q57" s="17">
        <v>-59643000</v>
      </c>
    </row>
    <row r="58" spans="1:17" ht="21">
      <c r="A58" s="30" t="s">
        <v>40</v>
      </c>
      <c r="C58" s="17">
        <v>2500000</v>
      </c>
      <c r="E58" s="17">
        <v>10487227500</v>
      </c>
      <c r="G58" s="17">
        <v>11089731654</v>
      </c>
      <c r="I58" s="17">
        <v>-602504154</v>
      </c>
      <c r="K58" s="17">
        <v>2500000</v>
      </c>
      <c r="M58" s="17">
        <v>10487227500</v>
      </c>
      <c r="O58" s="17">
        <v>11089731654</v>
      </c>
      <c r="Q58" s="17">
        <v>-602504154</v>
      </c>
    </row>
    <row r="59" spans="1:17" ht="21">
      <c r="A59" s="30" t="s">
        <v>41</v>
      </c>
      <c r="C59" s="17">
        <v>7726948</v>
      </c>
      <c r="E59" s="17">
        <v>25969368561</v>
      </c>
      <c r="G59" s="17">
        <v>27113833488</v>
      </c>
      <c r="I59" s="17">
        <v>-1144464927</v>
      </c>
      <c r="K59" s="17">
        <v>7726948</v>
      </c>
      <c r="M59" s="17">
        <v>25969368561</v>
      </c>
      <c r="O59" s="17">
        <v>26499355675</v>
      </c>
      <c r="Q59" s="17">
        <v>-529987114</v>
      </c>
    </row>
    <row r="60" spans="1:17" ht="21">
      <c r="A60" s="30" t="s">
        <v>42</v>
      </c>
      <c r="C60" s="17">
        <v>10000000</v>
      </c>
      <c r="E60" s="17">
        <v>16998255000</v>
      </c>
      <c r="G60" s="17">
        <v>18091710000</v>
      </c>
      <c r="I60" s="17">
        <v>-1093455000</v>
      </c>
      <c r="K60" s="17">
        <v>10000000</v>
      </c>
      <c r="M60" s="17">
        <v>16998255000</v>
      </c>
      <c r="O60" s="17">
        <v>19185165000</v>
      </c>
      <c r="Q60" s="17">
        <v>-2186910000</v>
      </c>
    </row>
    <row r="61" spans="1:17" ht="21">
      <c r="A61" s="30" t="s">
        <v>43</v>
      </c>
      <c r="C61" s="17">
        <v>37560926</v>
      </c>
      <c r="E61" s="17">
        <v>22813174918</v>
      </c>
      <c r="G61" s="17">
        <v>22813174918</v>
      </c>
      <c r="I61" s="17">
        <v>0</v>
      </c>
      <c r="K61" s="17">
        <v>37560926</v>
      </c>
      <c r="M61" s="17">
        <v>22813174918</v>
      </c>
      <c r="O61" s="17">
        <v>23669922870</v>
      </c>
      <c r="Q61" s="17">
        <v>-856747952</v>
      </c>
    </row>
    <row r="62" spans="1:17" ht="21">
      <c r="A62" s="30" t="s">
        <v>249</v>
      </c>
      <c r="C62" s="17"/>
      <c r="E62" s="26">
        <f>SUM(E40:E61)</f>
        <v>83644944581</v>
      </c>
      <c r="G62" s="26">
        <f>SUM(G40:G61)</f>
        <v>86421380473</v>
      </c>
      <c r="I62" s="26">
        <f>SUM(I40:I61)</f>
        <v>-3343729972</v>
      </c>
      <c r="K62" s="17"/>
      <c r="M62" s="26">
        <f>SUM(M40:M61)</f>
        <v>83644944581</v>
      </c>
      <c r="O62" s="26">
        <f>SUM(O40:O61)</f>
        <v>86450190055</v>
      </c>
      <c r="Q62" s="26">
        <f>SUM(Q40:Q61)</f>
        <v>-1511574748</v>
      </c>
    </row>
    <row r="63" spans="1:17" ht="20.100000000000001" customHeight="1">
      <c r="A63" s="6" t="s">
        <v>291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ht="20.100000000000001" customHeight="1">
      <c r="A64" s="6" t="s">
        <v>162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 ht="20.100000000000001" customHeight="1">
      <c r="A65" s="6" t="s">
        <v>1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7" spans="1:17" ht="21">
      <c r="A67" s="9" t="s">
        <v>204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9" spans="1:17" ht="21">
      <c r="C69" s="10" t="s">
        <v>253</v>
      </c>
      <c r="D69" s="11"/>
      <c r="E69" s="11"/>
      <c r="F69" s="11"/>
      <c r="G69" s="11"/>
      <c r="H69" s="11"/>
      <c r="I69" s="11"/>
      <c r="K69" s="10" t="s">
        <v>293</v>
      </c>
      <c r="L69" s="11"/>
      <c r="M69" s="11"/>
      <c r="N69" s="11"/>
      <c r="O69" s="11"/>
      <c r="P69" s="11"/>
      <c r="Q69" s="11"/>
    </row>
    <row r="70" spans="1:17" ht="42">
      <c r="A70" s="29" t="s">
        <v>164</v>
      </c>
      <c r="C70" s="31" t="s">
        <v>7</v>
      </c>
      <c r="E70" s="31" t="s">
        <v>9</v>
      </c>
      <c r="G70" s="31" t="s">
        <v>191</v>
      </c>
      <c r="I70" s="31" t="s">
        <v>205</v>
      </c>
      <c r="K70" s="31" t="s">
        <v>7</v>
      </c>
      <c r="M70" s="31" t="s">
        <v>9</v>
      </c>
      <c r="O70" s="31" t="s">
        <v>191</v>
      </c>
      <c r="Q70" s="31" t="s">
        <v>205</v>
      </c>
    </row>
    <row r="71" spans="1:17" ht="21">
      <c r="A71" s="30" t="s">
        <v>251</v>
      </c>
      <c r="C71" s="17"/>
      <c r="D71" s="17"/>
      <c r="E71" s="17">
        <f>E62</f>
        <v>83644944581</v>
      </c>
      <c r="F71" s="17"/>
      <c r="G71" s="17">
        <f>G62</f>
        <v>86421380473</v>
      </c>
      <c r="H71" s="17"/>
      <c r="I71" s="17">
        <f>I62</f>
        <v>-3343729972</v>
      </c>
      <c r="J71" s="17"/>
      <c r="K71" s="17"/>
      <c r="L71" s="17"/>
      <c r="M71" s="17">
        <f>M62</f>
        <v>83644944581</v>
      </c>
      <c r="N71" s="17"/>
      <c r="O71" s="17">
        <f>O62</f>
        <v>86450190055</v>
      </c>
      <c r="P71" s="17"/>
      <c r="Q71" s="17">
        <f>Q62</f>
        <v>-1511574748</v>
      </c>
    </row>
    <row r="72" spans="1:17" ht="21">
      <c r="A72" s="30" t="s">
        <v>44</v>
      </c>
      <c r="C72" s="17">
        <v>14900000</v>
      </c>
      <c r="E72" s="17">
        <v>45352338390</v>
      </c>
      <c r="G72" s="17">
        <v>46626114060</v>
      </c>
      <c r="I72" s="17">
        <v>-1273775670</v>
      </c>
      <c r="K72" s="17">
        <v>14900000</v>
      </c>
      <c r="M72" s="17">
        <v>45352338390</v>
      </c>
      <c r="O72" s="17">
        <v>48018380490</v>
      </c>
      <c r="Q72" s="17">
        <v>-2666042100</v>
      </c>
    </row>
    <row r="73" spans="1:17" ht="21">
      <c r="A73" s="30" t="s">
        <v>45</v>
      </c>
      <c r="C73" s="17">
        <v>1700000</v>
      </c>
      <c r="E73" s="17">
        <v>6815306205</v>
      </c>
      <c r="G73" s="17">
        <v>7401696300</v>
      </c>
      <c r="I73" s="17">
        <v>-586390095</v>
      </c>
      <c r="K73" s="17">
        <v>1700000</v>
      </c>
      <c r="M73" s="17">
        <v>6815306205</v>
      </c>
      <c r="O73" s="17">
        <v>9023985900</v>
      </c>
      <c r="Q73" s="17">
        <v>-2208679695</v>
      </c>
    </row>
    <row r="74" spans="1:17" ht="21">
      <c r="A74" s="30" t="s">
        <v>46</v>
      </c>
      <c r="C74" s="17">
        <v>0</v>
      </c>
      <c r="E74" s="17">
        <v>0</v>
      </c>
      <c r="G74" s="17">
        <v>29333203</v>
      </c>
      <c r="I74" s="17">
        <v>-29333203</v>
      </c>
      <c r="K74" s="17">
        <v>0</v>
      </c>
      <c r="M74" s="17">
        <v>0</v>
      </c>
      <c r="O74" s="17">
        <v>0</v>
      </c>
      <c r="Q74" s="17">
        <v>0</v>
      </c>
    </row>
    <row r="75" spans="1:17" ht="21">
      <c r="A75" s="30" t="s">
        <v>47</v>
      </c>
      <c r="C75" s="17">
        <v>285750</v>
      </c>
      <c r="E75" s="17">
        <v>14855803886</v>
      </c>
      <c r="G75" s="17">
        <v>13942894360</v>
      </c>
      <c r="I75" s="17">
        <v>912909526</v>
      </c>
      <c r="K75" s="17">
        <v>285750</v>
      </c>
      <c r="M75" s="17">
        <v>14855803886</v>
      </c>
      <c r="O75" s="17">
        <v>13013430474</v>
      </c>
      <c r="Q75" s="17">
        <v>1842373412</v>
      </c>
    </row>
    <row r="76" spans="1:17" ht="21">
      <c r="A76" s="30" t="s">
        <v>48</v>
      </c>
      <c r="C76" s="17">
        <v>7153333</v>
      </c>
      <c r="E76" s="17">
        <v>18352899096</v>
      </c>
      <c r="G76" s="17">
        <v>18992285135</v>
      </c>
      <c r="I76" s="17">
        <v>-639386039</v>
      </c>
      <c r="K76" s="17">
        <v>7153333</v>
      </c>
      <c r="M76" s="17">
        <v>18352899096</v>
      </c>
      <c r="O76" s="17">
        <v>21102454475</v>
      </c>
      <c r="Q76" s="17">
        <v>-2749555379</v>
      </c>
    </row>
    <row r="77" spans="1:17" ht="21">
      <c r="A77" s="30" t="s">
        <v>49</v>
      </c>
      <c r="C77" s="17">
        <v>1450000</v>
      </c>
      <c r="E77" s="17">
        <v>2278809922</v>
      </c>
      <c r="G77" s="17">
        <v>1550155735</v>
      </c>
      <c r="I77" s="17">
        <v>728654187</v>
      </c>
      <c r="K77" s="17">
        <v>1450000</v>
      </c>
      <c r="M77" s="17">
        <v>2278809922</v>
      </c>
      <c r="O77" s="17">
        <v>1550155735</v>
      </c>
      <c r="Q77" s="17">
        <v>728654187</v>
      </c>
    </row>
    <row r="78" spans="1:17" ht="21">
      <c r="A78" s="30" t="s">
        <v>50</v>
      </c>
      <c r="C78" s="17">
        <v>900000</v>
      </c>
      <c r="E78" s="17">
        <v>3611681865</v>
      </c>
      <c r="G78" s="17">
        <v>2932719040</v>
      </c>
      <c r="I78" s="17">
        <v>678962825</v>
      </c>
      <c r="K78" s="17">
        <v>900000</v>
      </c>
      <c r="M78" s="17">
        <v>3611681865</v>
      </c>
      <c r="O78" s="17">
        <v>2932719040</v>
      </c>
      <c r="Q78" s="17">
        <v>678962825</v>
      </c>
    </row>
    <row r="79" spans="1:17" ht="21">
      <c r="A79" s="30" t="s">
        <v>51</v>
      </c>
      <c r="C79" s="17">
        <v>800000</v>
      </c>
      <c r="E79" s="17">
        <v>5177012400</v>
      </c>
      <c r="G79" s="17">
        <v>5685966000</v>
      </c>
      <c r="I79" s="17">
        <v>-508953600</v>
      </c>
      <c r="K79" s="17">
        <v>800000</v>
      </c>
      <c r="M79" s="17">
        <v>5177012400</v>
      </c>
      <c r="O79" s="17">
        <v>5232679200</v>
      </c>
      <c r="Q79" s="17">
        <v>-55666800</v>
      </c>
    </row>
    <row r="80" spans="1:17" ht="21">
      <c r="A80" s="30" t="s">
        <v>52</v>
      </c>
      <c r="C80" s="17">
        <v>500000</v>
      </c>
      <c r="E80" s="17">
        <v>12992233500</v>
      </c>
      <c r="G80" s="17">
        <v>13858317242</v>
      </c>
      <c r="I80" s="17">
        <v>-866083742</v>
      </c>
      <c r="K80" s="17">
        <v>500000</v>
      </c>
      <c r="M80" s="17">
        <v>12992233500</v>
      </c>
      <c r="O80" s="17">
        <v>13294392677</v>
      </c>
      <c r="Q80" s="17">
        <v>-302159177</v>
      </c>
    </row>
    <row r="81" spans="1:17" ht="21">
      <c r="A81" s="30" t="s">
        <v>53</v>
      </c>
      <c r="C81" s="17">
        <v>0</v>
      </c>
      <c r="E81" s="17">
        <v>0</v>
      </c>
      <c r="G81" s="17">
        <v>3125999070</v>
      </c>
      <c r="I81" s="17">
        <v>-3125999070</v>
      </c>
      <c r="K81" s="17">
        <v>0</v>
      </c>
      <c r="M81" s="17">
        <v>0</v>
      </c>
      <c r="O81" s="17">
        <v>0</v>
      </c>
      <c r="Q81" s="17">
        <v>0</v>
      </c>
    </row>
    <row r="82" spans="1:17" ht="21">
      <c r="A82" s="30" t="s">
        <v>54</v>
      </c>
      <c r="C82" s="17">
        <v>24500000</v>
      </c>
      <c r="E82" s="17">
        <v>10959401250</v>
      </c>
      <c r="G82" s="17">
        <v>12347592075</v>
      </c>
      <c r="I82" s="17">
        <v>-1388190825</v>
      </c>
      <c r="K82" s="17">
        <v>24500000</v>
      </c>
      <c r="M82" s="17">
        <v>10959401250</v>
      </c>
      <c r="O82" s="17">
        <v>12956447700</v>
      </c>
      <c r="Q82" s="17">
        <v>-1997046450</v>
      </c>
    </row>
    <row r="83" spans="1:17" ht="21">
      <c r="A83" s="30" t="s">
        <v>55</v>
      </c>
      <c r="C83" s="17">
        <v>3400000</v>
      </c>
      <c r="E83" s="17">
        <v>9196354170</v>
      </c>
      <c r="G83" s="17">
        <v>9733737600</v>
      </c>
      <c r="I83" s="17">
        <v>-537383430</v>
      </c>
      <c r="K83" s="17">
        <v>3400000</v>
      </c>
      <c r="M83" s="17">
        <v>9196354170</v>
      </c>
      <c r="O83" s="17">
        <v>9709785882</v>
      </c>
      <c r="Q83" s="17">
        <v>-513431712</v>
      </c>
    </row>
    <row r="84" spans="1:17" ht="21">
      <c r="A84" s="30" t="s">
        <v>56</v>
      </c>
      <c r="C84" s="17">
        <v>32600000</v>
      </c>
      <c r="E84" s="17">
        <v>42063026940</v>
      </c>
      <c r="G84" s="17">
        <v>43942576680</v>
      </c>
      <c r="I84" s="17">
        <v>-1879549740</v>
      </c>
      <c r="K84" s="17">
        <v>32600000</v>
      </c>
      <c r="M84" s="17">
        <v>42063026940</v>
      </c>
      <c r="O84" s="17">
        <v>46016562600</v>
      </c>
      <c r="Q84" s="17">
        <v>-3953535660</v>
      </c>
    </row>
    <row r="85" spans="1:17" ht="21">
      <c r="A85" s="30" t="s">
        <v>57</v>
      </c>
      <c r="C85" s="17">
        <v>888004</v>
      </c>
      <c r="E85" s="17">
        <v>11157585555</v>
      </c>
      <c r="G85" s="17">
        <v>10522026884</v>
      </c>
      <c r="I85" s="17">
        <v>635558671</v>
      </c>
      <c r="K85" s="17">
        <v>888004</v>
      </c>
      <c r="M85" s="17">
        <v>11157585555</v>
      </c>
      <c r="O85" s="17">
        <v>10054185085</v>
      </c>
      <c r="Q85" s="17">
        <v>1103400470</v>
      </c>
    </row>
    <row r="86" spans="1:17" ht="21">
      <c r="A86" s="30" t="s">
        <v>58</v>
      </c>
      <c r="C86" s="17">
        <v>4279048</v>
      </c>
      <c r="E86" s="17">
        <v>48023004731</v>
      </c>
      <c r="G86" s="17">
        <v>45385780379</v>
      </c>
      <c r="I86" s="17">
        <v>2637224352</v>
      </c>
      <c r="K86" s="17">
        <v>4279048</v>
      </c>
      <c r="M86" s="17">
        <v>48023004731</v>
      </c>
      <c r="O86" s="17">
        <v>45088029243</v>
      </c>
      <c r="Q86" s="17">
        <v>2934975488</v>
      </c>
    </row>
    <row r="87" spans="1:17" ht="21">
      <c r="A87" s="30" t="s">
        <v>59</v>
      </c>
      <c r="C87" s="17">
        <v>2785714</v>
      </c>
      <c r="E87" s="17">
        <v>14842585049</v>
      </c>
      <c r="G87" s="17">
        <v>16401610307</v>
      </c>
      <c r="I87" s="17">
        <v>-1559025258</v>
      </c>
      <c r="K87" s="17">
        <v>2785714</v>
      </c>
      <c r="M87" s="17">
        <v>14842585049</v>
      </c>
      <c r="O87" s="17">
        <v>13688068500</v>
      </c>
      <c r="Q87" s="17">
        <v>1154516549</v>
      </c>
    </row>
    <row r="88" spans="1:17" ht="21">
      <c r="A88" s="30" t="s">
        <v>60</v>
      </c>
      <c r="C88" s="17">
        <v>1300000</v>
      </c>
      <c r="E88" s="17">
        <v>11139324300</v>
      </c>
      <c r="G88" s="17">
        <v>11360035664</v>
      </c>
      <c r="I88" s="17">
        <v>-220711364</v>
      </c>
      <c r="K88" s="17">
        <v>1300000</v>
      </c>
      <c r="M88" s="17">
        <v>11139324300</v>
      </c>
      <c r="O88" s="17">
        <v>11563220662</v>
      </c>
      <c r="Q88" s="17">
        <v>-423896362</v>
      </c>
    </row>
    <row r="89" spans="1:17" ht="21">
      <c r="A89" s="30" t="s">
        <v>61</v>
      </c>
      <c r="C89" s="17">
        <v>2400000</v>
      </c>
      <c r="E89" s="17">
        <v>10225195920</v>
      </c>
      <c r="G89" s="17">
        <v>11427598800</v>
      </c>
      <c r="I89" s="17">
        <v>-1202402880</v>
      </c>
      <c r="K89" s="17">
        <v>2400000</v>
      </c>
      <c r="M89" s="17">
        <v>10225195920</v>
      </c>
      <c r="O89" s="17">
        <v>11806928280</v>
      </c>
      <c r="Q89" s="17">
        <v>-1581732360</v>
      </c>
    </row>
    <row r="90" spans="1:17" ht="21">
      <c r="A90" s="30" t="s">
        <v>62</v>
      </c>
      <c r="C90" s="17">
        <v>249999</v>
      </c>
      <c r="E90" s="17">
        <v>1930934401</v>
      </c>
      <c r="G90" s="17">
        <v>2500025750</v>
      </c>
      <c r="I90" s="17">
        <v>-569091349</v>
      </c>
      <c r="K90" s="17">
        <v>249999</v>
      </c>
      <c r="M90" s="17">
        <v>1930934401</v>
      </c>
      <c r="O90" s="17">
        <v>1709077715</v>
      </c>
      <c r="Q90" s="17">
        <v>221856686</v>
      </c>
    </row>
    <row r="91" spans="1:17" ht="21">
      <c r="A91" s="30" t="s">
        <v>63</v>
      </c>
      <c r="C91" s="17">
        <v>3000000</v>
      </c>
      <c r="E91" s="17">
        <v>8979253650</v>
      </c>
      <c r="G91" s="17">
        <v>9308630400</v>
      </c>
      <c r="I91" s="17">
        <v>-329376750</v>
      </c>
      <c r="K91" s="17">
        <v>3000000</v>
      </c>
      <c r="M91" s="17">
        <v>8979253650</v>
      </c>
      <c r="O91" s="17">
        <v>9308630400</v>
      </c>
      <c r="Q91" s="17">
        <v>-329376750</v>
      </c>
    </row>
    <row r="92" spans="1:17" ht="21">
      <c r="A92" s="30" t="s">
        <v>64</v>
      </c>
      <c r="C92" s="17">
        <v>0</v>
      </c>
      <c r="E92" s="17">
        <v>0</v>
      </c>
      <c r="G92" s="17">
        <v>679697727</v>
      </c>
      <c r="I92" s="17">
        <v>-679697727</v>
      </c>
      <c r="K92" s="17">
        <v>0</v>
      </c>
      <c r="M92" s="17">
        <v>0</v>
      </c>
      <c r="O92" s="17">
        <v>0</v>
      </c>
      <c r="Q92" s="17">
        <v>0</v>
      </c>
    </row>
    <row r="93" spans="1:17" ht="21">
      <c r="A93" s="30" t="s">
        <v>249</v>
      </c>
      <c r="C93" s="17"/>
      <c r="E93" s="26">
        <f>SUM(E71:E92)</f>
        <v>361597695811</v>
      </c>
      <c r="G93" s="26">
        <f>SUM(G71:G92)</f>
        <v>374176172884</v>
      </c>
      <c r="I93" s="26">
        <f>SUM(I71:I92)</f>
        <v>-13145771153</v>
      </c>
      <c r="K93" s="17"/>
      <c r="M93" s="26">
        <f>SUM(M71:M92)</f>
        <v>361597695811</v>
      </c>
      <c r="O93" s="26">
        <f>SUM(O71:O92)</f>
        <v>372519324113</v>
      </c>
      <c r="Q93" s="26">
        <f>SUM(Q71:Q92)</f>
        <v>-9627957576</v>
      </c>
    </row>
    <row r="94" spans="1:17" ht="20.100000000000001" customHeight="1">
      <c r="A94" s="6" t="s">
        <v>291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ht="20.100000000000001" customHeight="1">
      <c r="A95" s="6" t="s">
        <v>162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ht="20.100000000000001" customHeight="1">
      <c r="A96" s="6" t="s">
        <v>1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8" spans="1:17" ht="21">
      <c r="A98" s="9" t="s">
        <v>204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100" spans="1:17" ht="21">
      <c r="C100" s="10" t="s">
        <v>253</v>
      </c>
      <c r="D100" s="11"/>
      <c r="E100" s="11"/>
      <c r="F100" s="11"/>
      <c r="G100" s="11"/>
      <c r="H100" s="11"/>
      <c r="I100" s="11"/>
      <c r="K100" s="10" t="s">
        <v>293</v>
      </c>
      <c r="L100" s="11"/>
      <c r="M100" s="11"/>
      <c r="N100" s="11"/>
      <c r="O100" s="11"/>
      <c r="P100" s="11"/>
      <c r="Q100" s="11"/>
    </row>
    <row r="101" spans="1:17" ht="42">
      <c r="A101" s="29" t="s">
        <v>164</v>
      </c>
      <c r="C101" s="31" t="s">
        <v>7</v>
      </c>
      <c r="E101" s="31" t="s">
        <v>9</v>
      </c>
      <c r="G101" s="31" t="s">
        <v>191</v>
      </c>
      <c r="I101" s="31" t="s">
        <v>205</v>
      </c>
      <c r="K101" s="31" t="s">
        <v>7</v>
      </c>
      <c r="M101" s="31" t="s">
        <v>9</v>
      </c>
      <c r="O101" s="31" t="s">
        <v>191</v>
      </c>
      <c r="Q101" s="31" t="s">
        <v>205</v>
      </c>
    </row>
    <row r="102" spans="1:17" ht="21">
      <c r="A102" s="30" t="s">
        <v>251</v>
      </c>
      <c r="C102" s="17"/>
      <c r="D102" s="17"/>
      <c r="E102" s="17">
        <f>E93</f>
        <v>361597695811</v>
      </c>
      <c r="F102" s="17"/>
      <c r="G102" s="17">
        <f>G93</f>
        <v>374176172884</v>
      </c>
      <c r="H102" s="17"/>
      <c r="I102" s="17">
        <f>I93</f>
        <v>-13145771153</v>
      </c>
      <c r="J102" s="17"/>
      <c r="K102" s="17"/>
      <c r="L102" s="17"/>
      <c r="M102" s="17">
        <f>M93</f>
        <v>361597695811</v>
      </c>
      <c r="N102" s="17"/>
      <c r="O102" s="17">
        <f>O93</f>
        <v>372519324113</v>
      </c>
      <c r="P102" s="17"/>
      <c r="Q102" s="17">
        <f>Q93</f>
        <v>-9627957576</v>
      </c>
    </row>
    <row r="103" spans="1:17" ht="21">
      <c r="A103" s="30" t="s">
        <v>65</v>
      </c>
      <c r="C103" s="17">
        <v>10000000</v>
      </c>
      <c r="E103" s="17">
        <v>100896075000</v>
      </c>
      <c r="G103" s="17">
        <v>105468705000</v>
      </c>
      <c r="I103" s="17">
        <v>-4572630000</v>
      </c>
      <c r="K103" s="17">
        <v>10000000</v>
      </c>
      <c r="M103" s="17">
        <v>100896075000</v>
      </c>
      <c r="O103" s="17">
        <v>90955575000</v>
      </c>
      <c r="Q103" s="17">
        <v>9940500000</v>
      </c>
    </row>
    <row r="104" spans="1:17" ht="21">
      <c r="A104" s="30" t="s">
        <v>66</v>
      </c>
      <c r="C104" s="17">
        <v>1092665</v>
      </c>
      <c r="E104" s="17">
        <v>25231581433</v>
      </c>
      <c r="G104" s="17">
        <v>25329336161</v>
      </c>
      <c r="I104" s="17">
        <v>-97754728</v>
      </c>
      <c r="K104" s="17">
        <v>1092665</v>
      </c>
      <c r="M104" s="17">
        <v>25231581433</v>
      </c>
      <c r="O104" s="17">
        <v>24916593976</v>
      </c>
      <c r="Q104" s="17">
        <v>314987457</v>
      </c>
    </row>
    <row r="105" spans="1:17" ht="21">
      <c r="A105" s="30" t="s">
        <v>67</v>
      </c>
      <c r="C105" s="17">
        <v>0</v>
      </c>
      <c r="E105" s="17">
        <v>0</v>
      </c>
      <c r="G105" s="17">
        <v>-1057669200</v>
      </c>
      <c r="I105" s="17">
        <v>1057669200</v>
      </c>
      <c r="K105" s="17">
        <v>0</v>
      </c>
      <c r="M105" s="17">
        <v>0</v>
      </c>
      <c r="O105" s="17">
        <v>0</v>
      </c>
      <c r="Q105" s="17">
        <v>0</v>
      </c>
    </row>
    <row r="106" spans="1:17" ht="21">
      <c r="A106" s="30" t="s">
        <v>69</v>
      </c>
      <c r="C106" s="17">
        <v>0</v>
      </c>
      <c r="E106" s="17">
        <v>0</v>
      </c>
      <c r="G106" s="17">
        <v>-82704960</v>
      </c>
      <c r="I106" s="17">
        <v>82704960</v>
      </c>
      <c r="K106" s="17">
        <v>0</v>
      </c>
      <c r="M106" s="17">
        <v>0</v>
      </c>
      <c r="O106" s="17">
        <v>0</v>
      </c>
      <c r="Q106" s="17">
        <v>0</v>
      </c>
    </row>
    <row r="107" spans="1:17" ht="21">
      <c r="A107" s="30" t="s">
        <v>70</v>
      </c>
      <c r="C107" s="17">
        <v>8500000</v>
      </c>
      <c r="E107" s="17">
        <v>20810933775</v>
      </c>
      <c r="G107" s="17">
        <v>23962569300</v>
      </c>
      <c r="I107" s="17">
        <v>-3151635525</v>
      </c>
      <c r="K107" s="17">
        <v>8500000</v>
      </c>
      <c r="M107" s="17">
        <v>20810933775</v>
      </c>
      <c r="O107" s="17">
        <v>26572549374</v>
      </c>
      <c r="Q107" s="17">
        <v>-5761615599</v>
      </c>
    </row>
    <row r="108" spans="1:17" ht="21">
      <c r="A108" s="30" t="s">
        <v>71</v>
      </c>
      <c r="C108" s="17">
        <v>14351672</v>
      </c>
      <c r="E108" s="17">
        <v>77037909579</v>
      </c>
      <c r="G108" s="17">
        <v>81175130649</v>
      </c>
      <c r="I108" s="17">
        <v>-4137221070</v>
      </c>
      <c r="K108" s="17">
        <v>14351672</v>
      </c>
      <c r="M108" s="17">
        <v>77037909579</v>
      </c>
      <c r="O108" s="17">
        <v>83331376996</v>
      </c>
      <c r="Q108" s="17">
        <v>-6293467417</v>
      </c>
    </row>
    <row r="109" spans="1:17" ht="21">
      <c r="A109" s="30" t="s">
        <v>72</v>
      </c>
      <c r="C109" s="17">
        <v>200000</v>
      </c>
      <c r="E109" s="17">
        <v>3157102800</v>
      </c>
      <c r="G109" s="17">
        <v>3435436800</v>
      </c>
      <c r="I109" s="17">
        <v>-278334000</v>
      </c>
      <c r="K109" s="17">
        <v>200000</v>
      </c>
      <c r="M109" s="17">
        <v>3157102800</v>
      </c>
      <c r="O109" s="17">
        <v>3632258700</v>
      </c>
      <c r="Q109" s="17">
        <v>-475155900</v>
      </c>
    </row>
    <row r="110" spans="1:17" ht="21">
      <c r="A110" s="30" t="s">
        <v>73</v>
      </c>
      <c r="C110" s="17">
        <v>1341844</v>
      </c>
      <c r="E110" s="17">
        <v>14659121710</v>
      </c>
      <c r="G110" s="17">
        <v>15766225533</v>
      </c>
      <c r="I110" s="17">
        <v>-1107103823</v>
      </c>
      <c r="K110" s="17">
        <v>1341844</v>
      </c>
      <c r="M110" s="17">
        <v>14659121710</v>
      </c>
      <c r="O110" s="17">
        <v>14859200714</v>
      </c>
      <c r="Q110" s="17">
        <v>-200079004</v>
      </c>
    </row>
    <row r="111" spans="1:17" ht="21">
      <c r="A111" s="30" t="s">
        <v>74</v>
      </c>
      <c r="C111" s="17">
        <v>1250000</v>
      </c>
      <c r="E111" s="17">
        <v>10661186250</v>
      </c>
      <c r="G111" s="17">
        <v>11717364375</v>
      </c>
      <c r="I111" s="17">
        <v>-1056178125</v>
      </c>
      <c r="K111" s="17">
        <v>1250000</v>
      </c>
      <c r="M111" s="17">
        <v>10661186250</v>
      </c>
      <c r="O111" s="17">
        <v>11667661875</v>
      </c>
      <c r="Q111" s="17">
        <v>-1006475625</v>
      </c>
    </row>
    <row r="112" spans="1:17" ht="21">
      <c r="A112" s="30" t="s">
        <v>75</v>
      </c>
      <c r="C112" s="17">
        <v>800000</v>
      </c>
      <c r="E112" s="17">
        <v>11968362000</v>
      </c>
      <c r="G112" s="17">
        <v>14706989120</v>
      </c>
      <c r="I112" s="17">
        <v>-2738627120</v>
      </c>
      <c r="K112" s="17">
        <v>800000</v>
      </c>
      <c r="M112" s="17">
        <v>11968362000</v>
      </c>
      <c r="O112" s="17">
        <v>12871934080</v>
      </c>
      <c r="Q112" s="17">
        <v>-903572080</v>
      </c>
    </row>
    <row r="113" spans="1:17" ht="21">
      <c r="A113" s="30" t="s">
        <v>76</v>
      </c>
      <c r="C113" s="17">
        <v>1621626</v>
      </c>
      <c r="E113" s="17">
        <v>9365588260</v>
      </c>
      <c r="G113" s="17">
        <v>9768130880</v>
      </c>
      <c r="I113" s="17">
        <v>-402542620</v>
      </c>
      <c r="K113" s="17">
        <v>1621626</v>
      </c>
      <c r="M113" s="17">
        <v>9365588260</v>
      </c>
      <c r="O113" s="17">
        <v>9889816990</v>
      </c>
      <c r="Q113" s="17">
        <v>-524228730</v>
      </c>
    </row>
    <row r="114" spans="1:17" ht="21">
      <c r="A114" s="30" t="s">
        <v>77</v>
      </c>
      <c r="C114" s="17">
        <v>12320000</v>
      </c>
      <c r="E114" s="17">
        <v>102259911600</v>
      </c>
      <c r="G114" s="17">
        <v>100912775040</v>
      </c>
      <c r="I114" s="17">
        <v>1347136560</v>
      </c>
      <c r="K114" s="17">
        <v>12320000</v>
      </c>
      <c r="M114" s="17">
        <v>102259911600</v>
      </c>
      <c r="O114" s="17">
        <v>96626431440</v>
      </c>
      <c r="Q114" s="17">
        <v>5633480160</v>
      </c>
    </row>
    <row r="115" spans="1:17" ht="21">
      <c r="A115" s="30" t="s">
        <v>78</v>
      </c>
      <c r="C115" s="17">
        <v>0</v>
      </c>
      <c r="E115" s="17">
        <v>0</v>
      </c>
      <c r="G115" s="17">
        <v>1542588030</v>
      </c>
      <c r="I115" s="17">
        <v>-1542588030</v>
      </c>
      <c r="K115" s="17">
        <v>0</v>
      </c>
      <c r="M115" s="17">
        <v>0</v>
      </c>
      <c r="O115" s="17">
        <v>0</v>
      </c>
      <c r="Q115" s="17">
        <v>0</v>
      </c>
    </row>
    <row r="116" spans="1:17" ht="21">
      <c r="A116" s="30" t="s">
        <v>79</v>
      </c>
      <c r="C116" s="17">
        <v>10000000</v>
      </c>
      <c r="E116" s="17">
        <v>48410235000</v>
      </c>
      <c r="G116" s="17">
        <v>47495709000</v>
      </c>
      <c r="I116" s="17">
        <v>914526000</v>
      </c>
      <c r="K116" s="17">
        <v>10000000</v>
      </c>
      <c r="M116" s="17">
        <v>48410235000</v>
      </c>
      <c r="O116" s="17">
        <v>47843626500</v>
      </c>
      <c r="Q116" s="17">
        <v>566608500</v>
      </c>
    </row>
    <row r="117" spans="1:17" ht="21">
      <c r="A117" s="30" t="s">
        <v>80</v>
      </c>
      <c r="C117" s="17">
        <v>600000</v>
      </c>
      <c r="E117" s="17">
        <v>8636306400</v>
      </c>
      <c r="G117" s="17">
        <v>10051391251</v>
      </c>
      <c r="I117" s="17">
        <v>-1415084851</v>
      </c>
      <c r="K117" s="17">
        <v>600000</v>
      </c>
      <c r="M117" s="17">
        <v>8636306400</v>
      </c>
      <c r="O117" s="17">
        <v>9763116751</v>
      </c>
      <c r="Q117" s="17">
        <v>-1126810351</v>
      </c>
    </row>
    <row r="118" spans="1:17" ht="21">
      <c r="A118" s="30" t="s">
        <v>81</v>
      </c>
      <c r="C118" s="17">
        <v>650000</v>
      </c>
      <c r="E118" s="17">
        <v>12728810250</v>
      </c>
      <c r="G118" s="17">
        <v>12102061725</v>
      </c>
      <c r="I118" s="17">
        <v>626748525</v>
      </c>
      <c r="K118" s="17">
        <v>650000</v>
      </c>
      <c r="M118" s="17">
        <v>12728810250</v>
      </c>
      <c r="O118" s="17">
        <v>10809035837</v>
      </c>
      <c r="Q118" s="17">
        <v>1919774413</v>
      </c>
    </row>
    <row r="119" spans="1:17" ht="21">
      <c r="A119" s="30" t="s">
        <v>82</v>
      </c>
      <c r="C119" s="17">
        <v>4688661</v>
      </c>
      <c r="E119" s="17">
        <v>14583528888</v>
      </c>
      <c r="G119" s="17">
        <v>14136095596</v>
      </c>
      <c r="I119" s="17">
        <v>447433292</v>
      </c>
      <c r="K119" s="17">
        <v>4688661</v>
      </c>
      <c r="M119" s="17">
        <v>14583528888</v>
      </c>
      <c r="O119" s="17">
        <v>13744591464</v>
      </c>
      <c r="Q119" s="17">
        <v>838937424</v>
      </c>
    </row>
    <row r="120" spans="1:17" ht="21">
      <c r="A120" s="30" t="s">
        <v>83</v>
      </c>
      <c r="C120" s="17">
        <v>607000</v>
      </c>
      <c r="E120" s="17">
        <v>33077749347</v>
      </c>
      <c r="G120" s="17">
        <v>37126485175</v>
      </c>
      <c r="I120" s="17">
        <v>-4048735828</v>
      </c>
      <c r="K120" s="17">
        <v>607000</v>
      </c>
      <c r="M120" s="17">
        <v>33077749347</v>
      </c>
      <c r="O120" s="17">
        <v>36426554689</v>
      </c>
      <c r="Q120" s="17">
        <v>-3348805342</v>
      </c>
    </row>
    <row r="121" spans="1:17" ht="21">
      <c r="A121" s="30" t="s">
        <v>84</v>
      </c>
      <c r="C121" s="17">
        <v>2400000</v>
      </c>
      <c r="E121" s="17">
        <v>12095600400</v>
      </c>
      <c r="G121" s="17">
        <v>12743349120</v>
      </c>
      <c r="I121" s="17">
        <v>-647748720</v>
      </c>
      <c r="K121" s="17">
        <v>2400000</v>
      </c>
      <c r="M121" s="17">
        <v>12095600400</v>
      </c>
      <c r="O121" s="17">
        <v>12743349120</v>
      </c>
      <c r="Q121" s="17">
        <v>-647748720</v>
      </c>
    </row>
    <row r="122" spans="1:17" ht="21">
      <c r="A122" s="30" t="s">
        <v>85</v>
      </c>
      <c r="C122" s="17">
        <v>300000</v>
      </c>
      <c r="E122" s="17">
        <v>21969499050</v>
      </c>
      <c r="G122" s="17">
        <v>19341476738</v>
      </c>
      <c r="I122" s="17">
        <v>2628022312</v>
      </c>
      <c r="K122" s="17">
        <v>300000</v>
      </c>
      <c r="M122" s="17">
        <v>21969499050</v>
      </c>
      <c r="O122" s="17">
        <v>19341476738</v>
      </c>
      <c r="Q122" s="17">
        <v>2628022312</v>
      </c>
    </row>
    <row r="123" spans="1:17" ht="21">
      <c r="A123" s="30" t="s">
        <v>86</v>
      </c>
      <c r="C123" s="17">
        <v>285000</v>
      </c>
      <c r="E123" s="17">
        <v>18445939717</v>
      </c>
      <c r="G123" s="17">
        <v>14533508025</v>
      </c>
      <c r="I123" s="17">
        <v>3912431692</v>
      </c>
      <c r="K123" s="17">
        <v>285000</v>
      </c>
      <c r="M123" s="17">
        <v>18445939717</v>
      </c>
      <c r="O123" s="17">
        <v>14533508025</v>
      </c>
      <c r="Q123" s="17">
        <v>3912431692</v>
      </c>
    </row>
    <row r="124" spans="1:17" ht="21">
      <c r="A124" s="30" t="s">
        <v>249</v>
      </c>
      <c r="C124" s="17"/>
      <c r="E124" s="26">
        <f>SUM(E102:E123)</f>
        <v>907593137270</v>
      </c>
      <c r="G124" s="26">
        <f>SUM(G102:G123)</f>
        <v>934351126242</v>
      </c>
      <c r="I124" s="26">
        <f>SUM(I102:I123)</f>
        <v>-27325283052</v>
      </c>
      <c r="K124" s="17"/>
      <c r="M124" s="26">
        <f>SUM(M102:M123)</f>
        <v>907593137270</v>
      </c>
      <c r="O124" s="26">
        <f>SUM(O102:O123)</f>
        <v>913047982382</v>
      </c>
      <c r="Q124" s="26">
        <f>SUM(Q102:Q123)</f>
        <v>-4161174386</v>
      </c>
    </row>
    <row r="125" spans="1:17" ht="20.100000000000001" customHeight="1">
      <c r="A125" s="6" t="s">
        <v>291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7" ht="20.100000000000001" customHeight="1">
      <c r="A126" s="6" t="s">
        <v>162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1:17" ht="20.100000000000001" customHeight="1">
      <c r="A127" s="6" t="s">
        <v>1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9" spans="1:17" ht="21">
      <c r="A129" s="9" t="s">
        <v>204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1" spans="1:17" ht="21">
      <c r="C131" s="10" t="s">
        <v>253</v>
      </c>
      <c r="D131" s="11"/>
      <c r="E131" s="11"/>
      <c r="F131" s="11"/>
      <c r="G131" s="11"/>
      <c r="H131" s="11"/>
      <c r="I131" s="11"/>
      <c r="K131" s="10" t="s">
        <v>293</v>
      </c>
      <c r="L131" s="11"/>
      <c r="M131" s="11"/>
      <c r="N131" s="11"/>
      <c r="O131" s="11"/>
      <c r="P131" s="11"/>
      <c r="Q131" s="11"/>
    </row>
    <row r="132" spans="1:17" ht="42">
      <c r="A132" s="29" t="s">
        <v>164</v>
      </c>
      <c r="C132" s="31" t="s">
        <v>7</v>
      </c>
      <c r="E132" s="31" t="s">
        <v>9</v>
      </c>
      <c r="G132" s="31" t="s">
        <v>191</v>
      </c>
      <c r="I132" s="31" t="s">
        <v>205</v>
      </c>
      <c r="K132" s="31" t="s">
        <v>7</v>
      </c>
      <c r="M132" s="31" t="s">
        <v>9</v>
      </c>
      <c r="O132" s="31" t="s">
        <v>191</v>
      </c>
      <c r="Q132" s="31" t="s">
        <v>205</v>
      </c>
    </row>
    <row r="133" spans="1:17" ht="21">
      <c r="A133" s="30" t="s">
        <v>251</v>
      </c>
      <c r="C133" s="17"/>
      <c r="D133" s="17"/>
      <c r="E133" s="17">
        <f>E124</f>
        <v>907593137270</v>
      </c>
      <c r="F133" s="17"/>
      <c r="G133" s="17">
        <f>G124</f>
        <v>934351126242</v>
      </c>
      <c r="H133" s="17"/>
      <c r="I133" s="17">
        <f>I124</f>
        <v>-27325283052</v>
      </c>
      <c r="J133" s="17"/>
      <c r="K133" s="17"/>
      <c r="L133" s="17"/>
      <c r="M133" s="17">
        <f>M124</f>
        <v>907593137270</v>
      </c>
      <c r="N133" s="17"/>
      <c r="O133" s="17">
        <f>O124</f>
        <v>913047982382</v>
      </c>
      <c r="P133" s="17"/>
      <c r="Q133" s="17">
        <f>Q124</f>
        <v>-4161174386</v>
      </c>
    </row>
    <row r="134" spans="1:17" ht="21">
      <c r="A134" s="30" t="s">
        <v>87</v>
      </c>
      <c r="C134" s="17">
        <v>100000</v>
      </c>
      <c r="E134" s="17">
        <v>3695877900</v>
      </c>
      <c r="G134" s="17">
        <v>3851943750</v>
      </c>
      <c r="I134" s="17">
        <v>-156065850</v>
      </c>
      <c r="K134" s="17">
        <v>100000</v>
      </c>
      <c r="M134" s="17">
        <v>3695877900</v>
      </c>
      <c r="O134" s="17">
        <v>3332055600</v>
      </c>
      <c r="Q134" s="17">
        <v>363822300</v>
      </c>
    </row>
    <row r="135" spans="1:17" ht="21">
      <c r="A135" s="30" t="s">
        <v>88</v>
      </c>
      <c r="C135" s="17">
        <v>138735</v>
      </c>
      <c r="E135" s="17">
        <v>36558436446</v>
      </c>
      <c r="G135" s="17">
        <v>30816321742</v>
      </c>
      <c r="I135" s="17">
        <v>5742114704</v>
      </c>
      <c r="K135" s="17">
        <v>138735</v>
      </c>
      <c r="M135" s="17">
        <v>36558436446</v>
      </c>
      <c r="O135" s="17">
        <v>30816321742</v>
      </c>
      <c r="Q135" s="17">
        <v>5742114704</v>
      </c>
    </row>
    <row r="136" spans="1:17" ht="21">
      <c r="A136" s="30" t="s">
        <v>89</v>
      </c>
      <c r="C136" s="17">
        <v>3800000</v>
      </c>
      <c r="E136" s="17">
        <v>12185860140</v>
      </c>
      <c r="G136" s="17">
        <v>10962211111</v>
      </c>
      <c r="I136" s="17">
        <v>1223649029</v>
      </c>
      <c r="K136" s="17">
        <v>3800000</v>
      </c>
      <c r="M136" s="17">
        <v>12185860140</v>
      </c>
      <c r="O136" s="17">
        <v>10962211111</v>
      </c>
      <c r="Q136" s="17">
        <v>1223649029</v>
      </c>
    </row>
    <row r="137" spans="1:17" ht="21">
      <c r="A137" s="30" t="s">
        <v>90</v>
      </c>
      <c r="C137" s="17">
        <v>128000</v>
      </c>
      <c r="E137" s="17">
        <v>31077979200</v>
      </c>
      <c r="G137" s="17">
        <v>26592825600</v>
      </c>
      <c r="I137" s="17">
        <v>4485153600</v>
      </c>
      <c r="K137" s="17">
        <v>128000</v>
      </c>
      <c r="M137" s="17">
        <v>31077979200</v>
      </c>
      <c r="O137" s="17">
        <v>26592825600</v>
      </c>
      <c r="Q137" s="17">
        <v>4485153600</v>
      </c>
    </row>
    <row r="138" spans="1:17" ht="21">
      <c r="A138" s="30" t="s">
        <v>91</v>
      </c>
      <c r="C138" s="17">
        <v>1218099</v>
      </c>
      <c r="E138" s="17">
        <v>21758998058</v>
      </c>
      <c r="G138" s="17">
        <v>23417864354</v>
      </c>
      <c r="I138" s="17">
        <v>-1658866296</v>
      </c>
      <c r="K138" s="17">
        <v>1218099</v>
      </c>
      <c r="M138" s="17">
        <v>21758998058</v>
      </c>
      <c r="O138" s="17">
        <v>23817445286</v>
      </c>
      <c r="Q138" s="17">
        <v>-2058447228</v>
      </c>
    </row>
    <row r="139" spans="1:17" ht="21">
      <c r="A139" s="30" t="s">
        <v>92</v>
      </c>
      <c r="C139" s="17">
        <v>560000</v>
      </c>
      <c r="E139" s="17">
        <v>20318382000</v>
      </c>
      <c r="G139" s="17">
        <v>21515218200</v>
      </c>
      <c r="I139" s="17">
        <v>-1196836200</v>
      </c>
      <c r="K139" s="17">
        <v>560000</v>
      </c>
      <c r="M139" s="17">
        <v>20318382000</v>
      </c>
      <c r="O139" s="17">
        <v>17515657869</v>
      </c>
      <c r="Q139" s="17">
        <v>2802724131</v>
      </c>
    </row>
    <row r="140" spans="1:17" ht="21">
      <c r="A140" s="30" t="s">
        <v>93</v>
      </c>
      <c r="C140" s="17">
        <v>3600000</v>
      </c>
      <c r="E140" s="17">
        <v>24727987800</v>
      </c>
      <c r="G140" s="17">
        <v>21936695400</v>
      </c>
      <c r="I140" s="17">
        <v>2791292400</v>
      </c>
      <c r="K140" s="17">
        <v>3600000</v>
      </c>
      <c r="M140" s="17">
        <v>24727987800</v>
      </c>
      <c r="O140" s="17">
        <v>18787545000</v>
      </c>
      <c r="Q140" s="17">
        <v>5940442800</v>
      </c>
    </row>
    <row r="141" spans="1:17" ht="21">
      <c r="A141" s="30" t="s">
        <v>94</v>
      </c>
      <c r="C141" s="17">
        <v>6000000</v>
      </c>
      <c r="E141" s="17">
        <v>20028119400</v>
      </c>
      <c r="G141" s="17">
        <v>21887446428</v>
      </c>
      <c r="I141" s="17">
        <v>-1859327028</v>
      </c>
      <c r="K141" s="17">
        <v>6000000</v>
      </c>
      <c r="M141" s="17">
        <v>20028119400</v>
      </c>
      <c r="O141" s="17">
        <v>23283092628</v>
      </c>
      <c r="Q141" s="17">
        <v>-3254973228</v>
      </c>
    </row>
    <row r="142" spans="1:17" ht="21">
      <c r="A142" s="30" t="s">
        <v>95</v>
      </c>
      <c r="C142" s="17">
        <v>6286264</v>
      </c>
      <c r="E142" s="17">
        <v>17809253078</v>
      </c>
      <c r="G142" s="17">
        <v>21752284198</v>
      </c>
      <c r="I142" s="17">
        <v>-3943031120</v>
      </c>
      <c r="K142" s="17">
        <v>6286264</v>
      </c>
      <c r="M142" s="17">
        <v>17809253078</v>
      </c>
      <c r="O142" s="17">
        <v>23545707228</v>
      </c>
      <c r="Q142" s="17">
        <v>-5736454150</v>
      </c>
    </row>
    <row r="143" spans="1:17" ht="21">
      <c r="A143" s="20" t="s">
        <v>96</v>
      </c>
      <c r="C143" s="23"/>
      <c r="E143" s="20">
        <f>SUM(E133:E142)</f>
        <v>1095754031292</v>
      </c>
      <c r="G143" s="20">
        <f>SUM(G133:G142)</f>
        <v>1117083937025</v>
      </c>
      <c r="I143" s="20">
        <f>SUM(I133:I142)</f>
        <v>-21897199813</v>
      </c>
      <c r="K143" s="23"/>
      <c r="M143" s="20">
        <f>SUM(M133:M142)</f>
        <v>1095754031292</v>
      </c>
      <c r="O143" s="20">
        <f>SUM(O133:O142)</f>
        <v>1091700844446</v>
      </c>
      <c r="Q143" s="20">
        <f>SUM(Q133:Q142)</f>
        <v>5346857572</v>
      </c>
    </row>
    <row r="144" spans="1:17" ht="21">
      <c r="C144" s="23"/>
      <c r="E144" s="22"/>
      <c r="G144" s="22"/>
      <c r="I144" s="22"/>
      <c r="K144" s="23"/>
      <c r="M144" s="22"/>
      <c r="O144" s="22"/>
      <c r="Q144" s="22"/>
    </row>
  </sheetData>
  <mergeCells count="30">
    <mergeCell ref="A125:Q125"/>
    <mergeCell ref="A126:Q126"/>
    <mergeCell ref="A127:Q127"/>
    <mergeCell ref="A129:Q129"/>
    <mergeCell ref="C131:I131"/>
    <mergeCell ref="K131:Q131"/>
    <mergeCell ref="A94:Q94"/>
    <mergeCell ref="A95:Q95"/>
    <mergeCell ref="A96:Q96"/>
    <mergeCell ref="A98:Q98"/>
    <mergeCell ref="C100:I100"/>
    <mergeCell ref="K100:Q100"/>
    <mergeCell ref="A32:Q32"/>
    <mergeCell ref="A33:Q33"/>
    <mergeCell ref="A34:Q34"/>
    <mergeCell ref="A36:Q36"/>
    <mergeCell ref="C38:I38"/>
    <mergeCell ref="K38:Q38"/>
    <mergeCell ref="A63:Q63"/>
    <mergeCell ref="A64:Q64"/>
    <mergeCell ref="A65:Q65"/>
    <mergeCell ref="A67:Q67"/>
    <mergeCell ref="C69:I69"/>
    <mergeCell ref="K69:Q69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5" fitToHeight="0" orientation="landscape" r:id="rId1"/>
  <rowBreaks count="4" manualBreakCount="4">
    <brk id="31" max="16" man="1"/>
    <brk id="62" max="16" man="1"/>
    <brk id="93" max="16" man="1"/>
    <brk id="124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'0'!Print_Area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Arash Ranjbar</cp:lastModifiedBy>
  <cp:lastPrinted>2025-02-24T11:18:41Z</cp:lastPrinted>
  <dcterms:created xsi:type="dcterms:W3CDTF">2025-02-22T11:11:28Z</dcterms:created>
  <dcterms:modified xsi:type="dcterms:W3CDTF">2025-02-24T11:45:30Z</dcterms:modified>
</cp:coreProperties>
</file>